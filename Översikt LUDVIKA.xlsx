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45362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45362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45362</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45362</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45362</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45362</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45362</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45362</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45362</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45362</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45362</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45362</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45362</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45362</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45362</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45362</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45362</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45362</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45362</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45362</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45362</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45362</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45362</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45362</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45362</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45362</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45362</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45362</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45362</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45362</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27562-2020</t>
        </is>
      </c>
      <c r="B32" s="1" t="n">
        <v>43993</v>
      </c>
      <c r="C32" s="1" t="n">
        <v>45362</v>
      </c>
      <c r="D32" t="inlineStr">
        <is>
          <t>DALARNAS LÄN</t>
        </is>
      </c>
      <c r="E32" t="inlineStr">
        <is>
          <t>LUDVIKA</t>
        </is>
      </c>
      <c r="F32" t="inlineStr">
        <is>
          <t>Bergvik skog väst AB</t>
        </is>
      </c>
      <c r="G32" t="n">
        <v>2</v>
      </c>
      <c r="H32" t="n">
        <v>0</v>
      </c>
      <c r="I32" t="n">
        <v>1</v>
      </c>
      <c r="J32" t="n">
        <v>0</v>
      </c>
      <c r="K32" t="n">
        <v>0</v>
      </c>
      <c r="L32" t="n">
        <v>0</v>
      </c>
      <c r="M32" t="n">
        <v>0</v>
      </c>
      <c r="N32" t="n">
        <v>0</v>
      </c>
      <c r="O32" t="n">
        <v>0</v>
      </c>
      <c r="P32" t="n">
        <v>0</v>
      </c>
      <c r="Q32" t="n">
        <v>1</v>
      </c>
      <c r="R32" s="2" t="inlineStr">
        <is>
          <t>Skinnlav</t>
        </is>
      </c>
      <c r="S32">
        <f>HYPERLINK("https://klasma.github.io/Logging_2085/artfynd/A 27562-2020 artfynd.xlsx", "A 27562-2020")</f>
        <v/>
      </c>
      <c r="T32">
        <f>HYPERLINK("https://klasma.github.io/Logging_2085/kartor/A 27562-2020 karta.png", "A 27562-2020")</f>
        <v/>
      </c>
      <c r="V32">
        <f>HYPERLINK("https://klasma.github.io/Logging_2085/klagomål/A 27562-2020 FSC-klagomål.docx", "A 27562-2020")</f>
        <v/>
      </c>
      <c r="W32">
        <f>HYPERLINK("https://klasma.github.io/Logging_2085/klagomålsmail/A 27562-2020 FSC-klagomål mail.docx", "A 27562-2020")</f>
        <v/>
      </c>
      <c r="X32">
        <f>HYPERLINK("https://klasma.github.io/Logging_2085/tillsyn/A 27562-2020 tillsynsbegäran.docx", "A 27562-2020")</f>
        <v/>
      </c>
      <c r="Y32">
        <f>HYPERLINK("https://klasma.github.io/Logging_2085/tillsynsmail/A 27562-2020 tillsynsbegäran mail.docx", "A 27562-2020")</f>
        <v/>
      </c>
    </row>
    <row r="33" ht="15" customHeight="1">
      <c r="A33" t="inlineStr">
        <is>
          <t>A 64068-2020</t>
        </is>
      </c>
      <c r="B33" s="1" t="n">
        <v>44167</v>
      </c>
      <c r="C33" s="1" t="n">
        <v>45362</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69166-2020</t>
        </is>
      </c>
      <c r="B34" s="1" t="n">
        <v>44188</v>
      </c>
      <c r="C34" s="1" t="n">
        <v>45362</v>
      </c>
      <c r="D34" t="inlineStr">
        <is>
          <t>DALARNAS LÄN</t>
        </is>
      </c>
      <c r="E34" t="inlineStr">
        <is>
          <t>LUDVIKA</t>
        </is>
      </c>
      <c r="F34" t="inlineStr">
        <is>
          <t>Kommuner</t>
        </is>
      </c>
      <c r="G34" t="n">
        <v>4.9</v>
      </c>
      <c r="H34" t="n">
        <v>1</v>
      </c>
      <c r="I34" t="n">
        <v>0</v>
      </c>
      <c r="J34" t="n">
        <v>0</v>
      </c>
      <c r="K34" t="n">
        <v>0</v>
      </c>
      <c r="L34" t="n">
        <v>0</v>
      </c>
      <c r="M34" t="n">
        <v>0</v>
      </c>
      <c r="N34" t="n">
        <v>0</v>
      </c>
      <c r="O34" t="n">
        <v>0</v>
      </c>
      <c r="P34" t="n">
        <v>0</v>
      </c>
      <c r="Q34" t="n">
        <v>1</v>
      </c>
      <c r="R34" s="2" t="inlineStr">
        <is>
          <t>Fläcknycklar</t>
        </is>
      </c>
      <c r="S34">
        <f>HYPERLINK("https://klasma.github.io/Logging_2085/artfynd/A 69166-2020 artfynd.xlsx", "A 69166-2020")</f>
        <v/>
      </c>
      <c r="T34">
        <f>HYPERLINK("https://klasma.github.io/Logging_2085/kartor/A 69166-2020 karta.png", "A 69166-2020")</f>
        <v/>
      </c>
      <c r="V34">
        <f>HYPERLINK("https://klasma.github.io/Logging_2085/klagomål/A 69166-2020 FSC-klagomål.docx", "A 69166-2020")</f>
        <v/>
      </c>
      <c r="W34">
        <f>HYPERLINK("https://klasma.github.io/Logging_2085/klagomålsmail/A 69166-2020 FSC-klagomål mail.docx", "A 69166-2020")</f>
        <v/>
      </c>
      <c r="X34">
        <f>HYPERLINK("https://klasma.github.io/Logging_2085/tillsyn/A 69166-2020 tillsynsbegäran.docx", "A 69166-2020")</f>
        <v/>
      </c>
      <c r="Y34">
        <f>HYPERLINK("https://klasma.github.io/Logging_2085/tillsynsmail/A 69166-2020 tillsynsbegäran mail.docx", "A 69166-2020")</f>
        <v/>
      </c>
    </row>
    <row r="35" ht="15" customHeight="1">
      <c r="A35" t="inlineStr">
        <is>
          <t>A 38674-2021</t>
        </is>
      </c>
      <c r="B35" s="1" t="n">
        <v>44410</v>
      </c>
      <c r="C35" s="1" t="n">
        <v>45362</v>
      </c>
      <c r="D35" t="inlineStr">
        <is>
          <t>DALARNAS LÄN</t>
        </is>
      </c>
      <c r="E35" t="inlineStr">
        <is>
          <t>LUDVIKA</t>
        </is>
      </c>
      <c r="G35" t="n">
        <v>6.3</v>
      </c>
      <c r="H35" t="n">
        <v>0</v>
      </c>
      <c r="I35" t="n">
        <v>0</v>
      </c>
      <c r="J35" t="n">
        <v>1</v>
      </c>
      <c r="K35" t="n">
        <v>0</v>
      </c>
      <c r="L35" t="n">
        <v>0</v>
      </c>
      <c r="M35" t="n">
        <v>0</v>
      </c>
      <c r="N35" t="n">
        <v>0</v>
      </c>
      <c r="O35" t="n">
        <v>1</v>
      </c>
      <c r="P35" t="n">
        <v>0</v>
      </c>
      <c r="Q35" t="n">
        <v>1</v>
      </c>
      <c r="R35" s="2" t="inlineStr">
        <is>
          <t>Dvärgbägarlav</t>
        </is>
      </c>
      <c r="S35">
        <f>HYPERLINK("https://klasma.github.io/Logging_2085/artfynd/A 38674-2021 artfynd.xlsx", "A 38674-2021")</f>
        <v/>
      </c>
      <c r="T35">
        <f>HYPERLINK("https://klasma.github.io/Logging_2085/kartor/A 38674-2021 karta.png", "A 38674-2021")</f>
        <v/>
      </c>
      <c r="V35">
        <f>HYPERLINK("https://klasma.github.io/Logging_2085/klagomål/A 38674-2021 FSC-klagomål.docx", "A 38674-2021")</f>
        <v/>
      </c>
      <c r="W35">
        <f>HYPERLINK("https://klasma.github.io/Logging_2085/klagomålsmail/A 38674-2021 FSC-klagomål mail.docx", "A 38674-2021")</f>
        <v/>
      </c>
      <c r="X35">
        <f>HYPERLINK("https://klasma.github.io/Logging_2085/tillsyn/A 38674-2021 tillsynsbegäran.docx", "A 38674-2021")</f>
        <v/>
      </c>
      <c r="Y35">
        <f>HYPERLINK("https://klasma.github.io/Logging_2085/tillsynsmail/A 38674-2021 tillsynsbegäran mail.docx", "A 38674-2021")</f>
        <v/>
      </c>
    </row>
    <row r="36" ht="15" customHeight="1">
      <c r="A36" t="inlineStr">
        <is>
          <t>A 50052-2021</t>
        </is>
      </c>
      <c r="B36" s="1" t="n">
        <v>44456</v>
      </c>
      <c r="C36" s="1" t="n">
        <v>45362</v>
      </c>
      <c r="D36" t="inlineStr">
        <is>
          <t>DALARNAS LÄN</t>
        </is>
      </c>
      <c r="E36" t="inlineStr">
        <is>
          <t>LUDVIKA</t>
        </is>
      </c>
      <c r="F36" t="inlineStr">
        <is>
          <t>Bergvik skog väst AB</t>
        </is>
      </c>
      <c r="G36" t="n">
        <v>2</v>
      </c>
      <c r="H36" t="n">
        <v>1</v>
      </c>
      <c r="I36" t="n">
        <v>0</v>
      </c>
      <c r="J36" t="n">
        <v>0</v>
      </c>
      <c r="K36" t="n">
        <v>0</v>
      </c>
      <c r="L36" t="n">
        <v>0</v>
      </c>
      <c r="M36" t="n">
        <v>0</v>
      </c>
      <c r="N36" t="n">
        <v>0</v>
      </c>
      <c r="O36" t="n">
        <v>0</v>
      </c>
      <c r="P36" t="n">
        <v>0</v>
      </c>
      <c r="Q36" t="n">
        <v>1</v>
      </c>
      <c r="R36" s="2" t="inlineStr">
        <is>
          <t>Buskmus</t>
        </is>
      </c>
      <c r="S36">
        <f>HYPERLINK("https://klasma.github.io/Logging_2085/artfynd/A 50052-2021 artfynd.xlsx", "A 50052-2021")</f>
        <v/>
      </c>
      <c r="T36">
        <f>HYPERLINK("https://klasma.github.io/Logging_2085/kartor/A 50052-2021 karta.png", "A 50052-2021")</f>
        <v/>
      </c>
      <c r="V36">
        <f>HYPERLINK("https://klasma.github.io/Logging_2085/klagomål/A 50052-2021 FSC-klagomål.docx", "A 50052-2021")</f>
        <v/>
      </c>
      <c r="W36">
        <f>HYPERLINK("https://klasma.github.io/Logging_2085/klagomålsmail/A 50052-2021 FSC-klagomål mail.docx", "A 50052-2021")</f>
        <v/>
      </c>
      <c r="X36">
        <f>HYPERLINK("https://klasma.github.io/Logging_2085/tillsyn/A 50052-2021 tillsynsbegäran.docx", "A 50052-2021")</f>
        <v/>
      </c>
      <c r="Y36">
        <f>HYPERLINK("https://klasma.github.io/Logging_2085/tillsynsmail/A 50052-2021 tillsynsbegäran mail.docx", "A 50052-2021")</f>
        <v/>
      </c>
    </row>
    <row r="37" ht="15" customHeight="1">
      <c r="A37" t="inlineStr">
        <is>
          <t>A 72858-2021</t>
        </is>
      </c>
      <c r="B37" s="1" t="n">
        <v>44547</v>
      </c>
      <c r="C37" s="1" t="n">
        <v>45362</v>
      </c>
      <c r="D37" t="inlineStr">
        <is>
          <t>DALARNAS LÄN</t>
        </is>
      </c>
      <c r="E37" t="inlineStr">
        <is>
          <t>LUDVIKA</t>
        </is>
      </c>
      <c r="F37" t="inlineStr">
        <is>
          <t>Kommuner</t>
        </is>
      </c>
      <c r="G37" t="n">
        <v>7</v>
      </c>
      <c r="H37" t="n">
        <v>0</v>
      </c>
      <c r="I37" t="n">
        <v>0</v>
      </c>
      <c r="J37" t="n">
        <v>0</v>
      </c>
      <c r="K37" t="n">
        <v>1</v>
      </c>
      <c r="L37" t="n">
        <v>0</v>
      </c>
      <c r="M37" t="n">
        <v>0</v>
      </c>
      <c r="N37" t="n">
        <v>0</v>
      </c>
      <c r="O37" t="n">
        <v>1</v>
      </c>
      <c r="P37" t="n">
        <v>1</v>
      </c>
      <c r="Q37" t="n">
        <v>1</v>
      </c>
      <c r="R37" s="2" t="inlineStr">
        <is>
          <t>Rynkskinn</t>
        </is>
      </c>
      <c r="S37">
        <f>HYPERLINK("https://klasma.github.io/Logging_2085/artfynd/A 72858-2021 artfynd.xlsx", "A 72858-2021")</f>
        <v/>
      </c>
      <c r="T37">
        <f>HYPERLINK("https://klasma.github.io/Logging_2085/kartor/A 72858-2021 karta.png", "A 72858-2021")</f>
        <v/>
      </c>
      <c r="V37">
        <f>HYPERLINK("https://klasma.github.io/Logging_2085/klagomål/A 72858-2021 FSC-klagomål.docx", "A 72858-2021")</f>
        <v/>
      </c>
      <c r="W37">
        <f>HYPERLINK("https://klasma.github.io/Logging_2085/klagomålsmail/A 72858-2021 FSC-klagomål mail.docx", "A 72858-2021")</f>
        <v/>
      </c>
      <c r="X37">
        <f>HYPERLINK("https://klasma.github.io/Logging_2085/tillsyn/A 72858-2021 tillsynsbegäran.docx", "A 72858-2021")</f>
        <v/>
      </c>
      <c r="Y37">
        <f>HYPERLINK("https://klasma.github.io/Logging_2085/tillsynsmail/A 72858-2021 tillsynsbegäran mail.docx", "A 72858-2021")</f>
        <v/>
      </c>
    </row>
    <row r="38" ht="15" customHeight="1">
      <c r="A38" t="inlineStr">
        <is>
          <t>A 74401-2021</t>
        </is>
      </c>
      <c r="B38" s="1" t="n">
        <v>44560</v>
      </c>
      <c r="C38" s="1" t="n">
        <v>45362</v>
      </c>
      <c r="D38" t="inlineStr">
        <is>
          <t>DALARNAS LÄN</t>
        </is>
      </c>
      <c r="E38" t="inlineStr">
        <is>
          <t>LUDVIKA</t>
        </is>
      </c>
      <c r="F38" t="inlineStr">
        <is>
          <t>Kommuner</t>
        </is>
      </c>
      <c r="G38" t="n">
        <v>0.6</v>
      </c>
      <c r="H38" t="n">
        <v>0</v>
      </c>
      <c r="I38" t="n">
        <v>1</v>
      </c>
      <c r="J38" t="n">
        <v>0</v>
      </c>
      <c r="K38" t="n">
        <v>0</v>
      </c>
      <c r="L38" t="n">
        <v>0</v>
      </c>
      <c r="M38" t="n">
        <v>0</v>
      </c>
      <c r="N38" t="n">
        <v>0</v>
      </c>
      <c r="O38" t="n">
        <v>0</v>
      </c>
      <c r="P38" t="n">
        <v>0</v>
      </c>
      <c r="Q38" t="n">
        <v>1</v>
      </c>
      <c r="R38" s="2" t="inlineStr">
        <is>
          <t>Gullgröppa</t>
        </is>
      </c>
      <c r="S38">
        <f>HYPERLINK("https://klasma.github.io/Logging_2085/artfynd/A 74401-2021 artfynd.xlsx", "A 74401-2021")</f>
        <v/>
      </c>
      <c r="T38">
        <f>HYPERLINK("https://klasma.github.io/Logging_2085/kartor/A 74401-2021 karta.png", "A 74401-2021")</f>
        <v/>
      </c>
      <c r="V38">
        <f>HYPERLINK("https://klasma.github.io/Logging_2085/klagomål/A 74401-2021 FSC-klagomål.docx", "A 74401-2021")</f>
        <v/>
      </c>
      <c r="W38">
        <f>HYPERLINK("https://klasma.github.io/Logging_2085/klagomålsmail/A 74401-2021 FSC-klagomål mail.docx", "A 74401-2021")</f>
        <v/>
      </c>
      <c r="X38">
        <f>HYPERLINK("https://klasma.github.io/Logging_2085/tillsyn/A 74401-2021 tillsynsbegäran.docx", "A 74401-2021")</f>
        <v/>
      </c>
      <c r="Y38">
        <f>HYPERLINK("https://klasma.github.io/Logging_2085/tillsynsmail/A 74401-2021 tillsynsbegäran mail.docx", "A 74401-2021")</f>
        <v/>
      </c>
    </row>
    <row r="39" ht="15" customHeight="1">
      <c r="A39" t="inlineStr">
        <is>
          <t>A 927-2022</t>
        </is>
      </c>
      <c r="B39" s="1" t="n">
        <v>44571</v>
      </c>
      <c r="C39" s="1" t="n">
        <v>45362</v>
      </c>
      <c r="D39" t="inlineStr">
        <is>
          <t>DALARNAS LÄN</t>
        </is>
      </c>
      <c r="E39" t="inlineStr">
        <is>
          <t>LUDVIKA</t>
        </is>
      </c>
      <c r="F39" t="inlineStr">
        <is>
          <t>Allmännings- och besparingsskogar</t>
        </is>
      </c>
      <c r="G39" t="n">
        <v>2.4</v>
      </c>
      <c r="H39" t="n">
        <v>0</v>
      </c>
      <c r="I39" t="n">
        <v>0</v>
      </c>
      <c r="J39" t="n">
        <v>1</v>
      </c>
      <c r="K39" t="n">
        <v>0</v>
      </c>
      <c r="L39" t="n">
        <v>0</v>
      </c>
      <c r="M39" t="n">
        <v>0</v>
      </c>
      <c r="N39" t="n">
        <v>0</v>
      </c>
      <c r="O39" t="n">
        <v>1</v>
      </c>
      <c r="P39" t="n">
        <v>0</v>
      </c>
      <c r="Q39" t="n">
        <v>1</v>
      </c>
      <c r="R39" s="2" t="inlineStr">
        <is>
          <t>Brunklöver</t>
        </is>
      </c>
      <c r="S39">
        <f>HYPERLINK("https://klasma.github.io/Logging_2085/artfynd/A 927-2022 artfynd.xlsx", "A 927-2022")</f>
        <v/>
      </c>
      <c r="T39">
        <f>HYPERLINK("https://klasma.github.io/Logging_2085/kartor/A 927-2022 karta.png", "A 927-2022")</f>
        <v/>
      </c>
      <c r="V39">
        <f>HYPERLINK("https://klasma.github.io/Logging_2085/klagomål/A 927-2022 FSC-klagomål.docx", "A 927-2022")</f>
        <v/>
      </c>
      <c r="W39">
        <f>HYPERLINK("https://klasma.github.io/Logging_2085/klagomålsmail/A 927-2022 FSC-klagomål mail.docx", "A 927-2022")</f>
        <v/>
      </c>
      <c r="X39">
        <f>HYPERLINK("https://klasma.github.io/Logging_2085/tillsyn/A 927-2022 tillsynsbegäran.docx", "A 927-2022")</f>
        <v/>
      </c>
      <c r="Y39">
        <f>HYPERLINK("https://klasma.github.io/Logging_2085/tillsynsmail/A 927-2022 tillsynsbegäran mail.docx", "A 927-2022")</f>
        <v/>
      </c>
    </row>
    <row r="40" ht="15" customHeight="1">
      <c r="A40" t="inlineStr">
        <is>
          <t>A 19512-2022</t>
        </is>
      </c>
      <c r="B40" s="1" t="n">
        <v>44693</v>
      </c>
      <c r="C40" s="1" t="n">
        <v>45362</v>
      </c>
      <c r="D40" t="inlineStr">
        <is>
          <t>DALARNAS LÄN</t>
        </is>
      </c>
      <c r="E40" t="inlineStr">
        <is>
          <t>LUDVIKA</t>
        </is>
      </c>
      <c r="F40" t="inlineStr">
        <is>
          <t>Bergvik skog väst AB</t>
        </is>
      </c>
      <c r="G40" t="n">
        <v>2.8</v>
      </c>
      <c r="H40" t="n">
        <v>0</v>
      </c>
      <c r="I40" t="n">
        <v>1</v>
      </c>
      <c r="J40" t="n">
        <v>0</v>
      </c>
      <c r="K40" t="n">
        <v>0</v>
      </c>
      <c r="L40" t="n">
        <v>0</v>
      </c>
      <c r="M40" t="n">
        <v>0</v>
      </c>
      <c r="N40" t="n">
        <v>0</v>
      </c>
      <c r="O40" t="n">
        <v>0</v>
      </c>
      <c r="P40" t="n">
        <v>0</v>
      </c>
      <c r="Q40" t="n">
        <v>1</v>
      </c>
      <c r="R40" s="2" t="inlineStr">
        <is>
          <t>Nästlav</t>
        </is>
      </c>
      <c r="S40">
        <f>HYPERLINK("https://klasma.github.io/Logging_2085/artfynd/A 19512-2022 artfynd.xlsx", "A 19512-2022")</f>
        <v/>
      </c>
      <c r="T40">
        <f>HYPERLINK("https://klasma.github.io/Logging_2085/kartor/A 19512-2022 karta.png", "A 19512-2022")</f>
        <v/>
      </c>
      <c r="V40">
        <f>HYPERLINK("https://klasma.github.io/Logging_2085/klagomål/A 19512-2022 FSC-klagomål.docx", "A 19512-2022")</f>
        <v/>
      </c>
      <c r="W40">
        <f>HYPERLINK("https://klasma.github.io/Logging_2085/klagomålsmail/A 19512-2022 FSC-klagomål mail.docx", "A 19512-2022")</f>
        <v/>
      </c>
      <c r="X40">
        <f>HYPERLINK("https://klasma.github.io/Logging_2085/tillsyn/A 19512-2022 tillsynsbegäran.docx", "A 19512-2022")</f>
        <v/>
      </c>
      <c r="Y40">
        <f>HYPERLINK("https://klasma.github.io/Logging_2085/tillsynsmail/A 19512-2022 tillsynsbegäran mail.docx", "A 19512-2022")</f>
        <v/>
      </c>
    </row>
    <row r="41" ht="15" customHeight="1">
      <c r="A41" t="inlineStr">
        <is>
          <t>A 19717-2022</t>
        </is>
      </c>
      <c r="B41" s="1" t="n">
        <v>44694</v>
      </c>
      <c r="C41" s="1" t="n">
        <v>45362</v>
      </c>
      <c r="D41" t="inlineStr">
        <is>
          <t>DALARNAS LÄN</t>
        </is>
      </c>
      <c r="E41" t="inlineStr">
        <is>
          <t>LUDVIKA</t>
        </is>
      </c>
      <c r="F41" t="inlineStr">
        <is>
          <t>Bergvik skog väst AB</t>
        </is>
      </c>
      <c r="G41" t="n">
        <v>1.1</v>
      </c>
      <c r="H41" t="n">
        <v>0</v>
      </c>
      <c r="I41" t="n">
        <v>1</v>
      </c>
      <c r="J41" t="n">
        <v>0</v>
      </c>
      <c r="K41" t="n">
        <v>0</v>
      </c>
      <c r="L41" t="n">
        <v>0</v>
      </c>
      <c r="M41" t="n">
        <v>0</v>
      </c>
      <c r="N41" t="n">
        <v>0</v>
      </c>
      <c r="O41" t="n">
        <v>0</v>
      </c>
      <c r="P41" t="n">
        <v>0</v>
      </c>
      <c r="Q41" t="n">
        <v>1</v>
      </c>
      <c r="R41" s="2" t="inlineStr">
        <is>
          <t>Vedticka</t>
        </is>
      </c>
      <c r="S41">
        <f>HYPERLINK("https://klasma.github.io/Logging_2085/artfynd/A 19717-2022 artfynd.xlsx", "A 19717-2022")</f>
        <v/>
      </c>
      <c r="T41">
        <f>HYPERLINK("https://klasma.github.io/Logging_2085/kartor/A 19717-2022 karta.png", "A 19717-2022")</f>
        <v/>
      </c>
      <c r="V41">
        <f>HYPERLINK("https://klasma.github.io/Logging_2085/klagomål/A 19717-2022 FSC-klagomål.docx", "A 19717-2022")</f>
        <v/>
      </c>
      <c r="W41">
        <f>HYPERLINK("https://klasma.github.io/Logging_2085/klagomålsmail/A 19717-2022 FSC-klagomål mail.docx", "A 19717-2022")</f>
        <v/>
      </c>
      <c r="X41">
        <f>HYPERLINK("https://klasma.github.io/Logging_2085/tillsyn/A 19717-2022 tillsynsbegäran.docx", "A 19717-2022")</f>
        <v/>
      </c>
      <c r="Y41">
        <f>HYPERLINK("https://klasma.github.io/Logging_2085/tillsynsmail/A 19717-2022 tillsynsbegäran mail.docx", "A 19717-2022")</f>
        <v/>
      </c>
    </row>
    <row r="42" ht="15" customHeight="1">
      <c r="A42" t="inlineStr">
        <is>
          <t>A 21499-2022</t>
        </is>
      </c>
      <c r="B42" s="1" t="n">
        <v>44706</v>
      </c>
      <c r="C42" s="1" t="n">
        <v>45362</v>
      </c>
      <c r="D42" t="inlineStr">
        <is>
          <t>DALARNAS LÄN</t>
        </is>
      </c>
      <c r="E42" t="inlineStr">
        <is>
          <t>LUDVIKA</t>
        </is>
      </c>
      <c r="G42" t="n">
        <v>4.3</v>
      </c>
      <c r="H42" t="n">
        <v>0</v>
      </c>
      <c r="I42" t="n">
        <v>1</v>
      </c>
      <c r="J42" t="n">
        <v>0</v>
      </c>
      <c r="K42" t="n">
        <v>0</v>
      </c>
      <c r="L42" t="n">
        <v>0</v>
      </c>
      <c r="M42" t="n">
        <v>0</v>
      </c>
      <c r="N42" t="n">
        <v>0</v>
      </c>
      <c r="O42" t="n">
        <v>0</v>
      </c>
      <c r="P42" t="n">
        <v>0</v>
      </c>
      <c r="Q42" t="n">
        <v>1</v>
      </c>
      <c r="R42" s="2" t="inlineStr">
        <is>
          <t>Strimspindling</t>
        </is>
      </c>
      <c r="S42">
        <f>HYPERLINK("https://klasma.github.io/Logging_2085/artfynd/A 21499-2022 artfynd.xlsx", "A 21499-2022")</f>
        <v/>
      </c>
      <c r="T42">
        <f>HYPERLINK("https://klasma.github.io/Logging_2085/kartor/A 21499-2022 karta.png", "A 21499-2022")</f>
        <v/>
      </c>
      <c r="V42">
        <f>HYPERLINK("https://klasma.github.io/Logging_2085/klagomål/A 21499-2022 FSC-klagomål.docx", "A 21499-2022")</f>
        <v/>
      </c>
      <c r="W42">
        <f>HYPERLINK("https://klasma.github.io/Logging_2085/klagomålsmail/A 21499-2022 FSC-klagomål mail.docx", "A 21499-2022")</f>
        <v/>
      </c>
      <c r="X42">
        <f>HYPERLINK("https://klasma.github.io/Logging_2085/tillsyn/A 21499-2022 tillsynsbegäran.docx", "A 21499-2022")</f>
        <v/>
      </c>
      <c r="Y42">
        <f>HYPERLINK("https://klasma.github.io/Logging_2085/tillsynsmail/A 21499-2022 tillsynsbegäran mail.docx", "A 21499-2022")</f>
        <v/>
      </c>
    </row>
    <row r="43" ht="15" customHeight="1">
      <c r="A43" t="inlineStr">
        <is>
          <t>A 41028-2022</t>
        </is>
      </c>
      <c r="B43" s="1" t="n">
        <v>44825</v>
      </c>
      <c r="C43" s="1" t="n">
        <v>45362</v>
      </c>
      <c r="D43" t="inlineStr">
        <is>
          <t>DALARNAS LÄN</t>
        </is>
      </c>
      <c r="E43" t="inlineStr">
        <is>
          <t>LUDVIKA</t>
        </is>
      </c>
      <c r="F43" t="inlineStr">
        <is>
          <t>Naturvårdsverket</t>
        </is>
      </c>
      <c r="G43" t="n">
        <v>8.300000000000001</v>
      </c>
      <c r="H43" t="n">
        <v>0</v>
      </c>
      <c r="I43" t="n">
        <v>0</v>
      </c>
      <c r="J43" t="n">
        <v>1</v>
      </c>
      <c r="K43" t="n">
        <v>0</v>
      </c>
      <c r="L43" t="n">
        <v>0</v>
      </c>
      <c r="M43" t="n">
        <v>0</v>
      </c>
      <c r="N43" t="n">
        <v>0</v>
      </c>
      <c r="O43" t="n">
        <v>1</v>
      </c>
      <c r="P43" t="n">
        <v>0</v>
      </c>
      <c r="Q43" t="n">
        <v>1</v>
      </c>
      <c r="R43" s="2" t="inlineStr">
        <is>
          <t>Vårtsporigt stålskinn</t>
        </is>
      </c>
      <c r="S43">
        <f>HYPERLINK("https://klasma.github.io/Logging_2085/artfynd/A 41028-2022 artfynd.xlsx", "A 41028-2022")</f>
        <v/>
      </c>
      <c r="T43">
        <f>HYPERLINK("https://klasma.github.io/Logging_2085/kartor/A 41028-2022 karta.png", "A 41028-2022")</f>
        <v/>
      </c>
      <c r="V43">
        <f>HYPERLINK("https://klasma.github.io/Logging_2085/klagomål/A 41028-2022 FSC-klagomål.docx", "A 41028-2022")</f>
        <v/>
      </c>
      <c r="W43">
        <f>HYPERLINK("https://klasma.github.io/Logging_2085/klagomålsmail/A 41028-2022 FSC-klagomål mail.docx", "A 41028-2022")</f>
        <v/>
      </c>
      <c r="X43">
        <f>HYPERLINK("https://klasma.github.io/Logging_2085/tillsyn/A 41028-2022 tillsynsbegäran.docx", "A 41028-2022")</f>
        <v/>
      </c>
      <c r="Y43">
        <f>HYPERLINK("https://klasma.github.io/Logging_2085/tillsynsmail/A 41028-2022 tillsynsbegäran mail.docx", "A 41028-2022")</f>
        <v/>
      </c>
    </row>
    <row r="44" ht="15" customHeight="1">
      <c r="A44" t="inlineStr">
        <is>
          <t>A 42758-2022</t>
        </is>
      </c>
      <c r="B44" s="1" t="n">
        <v>44832</v>
      </c>
      <c r="C44" s="1" t="n">
        <v>45362</v>
      </c>
      <c r="D44" t="inlineStr">
        <is>
          <t>DALARNAS LÄN</t>
        </is>
      </c>
      <c r="E44" t="inlineStr">
        <is>
          <t>LUDVIKA</t>
        </is>
      </c>
      <c r="F44" t="inlineStr">
        <is>
          <t>Bergvik skog väst AB</t>
        </is>
      </c>
      <c r="G44" t="n">
        <v>1.6</v>
      </c>
      <c r="H44" t="n">
        <v>0</v>
      </c>
      <c r="I44" t="n">
        <v>0</v>
      </c>
      <c r="J44" t="n">
        <v>0</v>
      </c>
      <c r="K44" t="n">
        <v>1</v>
      </c>
      <c r="L44" t="n">
        <v>0</v>
      </c>
      <c r="M44" t="n">
        <v>0</v>
      </c>
      <c r="N44" t="n">
        <v>0</v>
      </c>
      <c r="O44" t="n">
        <v>1</v>
      </c>
      <c r="P44" t="n">
        <v>1</v>
      </c>
      <c r="Q44" t="n">
        <v>1</v>
      </c>
      <c r="R44" s="2" t="inlineStr">
        <is>
          <t>Aspgelélav</t>
        </is>
      </c>
      <c r="S44">
        <f>HYPERLINK("https://klasma.github.io/Logging_2085/artfynd/A 42758-2022 artfynd.xlsx", "A 42758-2022")</f>
        <v/>
      </c>
      <c r="T44">
        <f>HYPERLINK("https://klasma.github.io/Logging_2085/kartor/A 42758-2022 karta.png", "A 42758-2022")</f>
        <v/>
      </c>
      <c r="V44">
        <f>HYPERLINK("https://klasma.github.io/Logging_2085/klagomål/A 42758-2022 FSC-klagomål.docx", "A 42758-2022")</f>
        <v/>
      </c>
      <c r="W44">
        <f>HYPERLINK("https://klasma.github.io/Logging_2085/klagomålsmail/A 42758-2022 FSC-klagomål mail.docx", "A 42758-2022")</f>
        <v/>
      </c>
      <c r="X44">
        <f>HYPERLINK("https://klasma.github.io/Logging_2085/tillsyn/A 42758-2022 tillsynsbegäran.docx", "A 42758-2022")</f>
        <v/>
      </c>
      <c r="Y44">
        <f>HYPERLINK("https://klasma.github.io/Logging_2085/tillsynsmail/A 42758-2022 tillsynsbegäran mail.docx", "A 42758-2022")</f>
        <v/>
      </c>
    </row>
    <row r="45" ht="15" customHeight="1">
      <c r="A45" t="inlineStr">
        <is>
          <t>A 52452-2022</t>
        </is>
      </c>
      <c r="B45" s="1" t="n">
        <v>44874</v>
      </c>
      <c r="C45" s="1" t="n">
        <v>45362</v>
      </c>
      <c r="D45" t="inlineStr">
        <is>
          <t>DALARNAS LÄN</t>
        </is>
      </c>
      <c r="E45" t="inlineStr">
        <is>
          <t>LUDVIKA</t>
        </is>
      </c>
      <c r="F45" t="inlineStr">
        <is>
          <t>Bergvik skog väst AB</t>
        </is>
      </c>
      <c r="G45" t="n">
        <v>1.9</v>
      </c>
      <c r="H45" t="n">
        <v>0</v>
      </c>
      <c r="I45" t="n">
        <v>0</v>
      </c>
      <c r="J45" t="n">
        <v>1</v>
      </c>
      <c r="K45" t="n">
        <v>0</v>
      </c>
      <c r="L45" t="n">
        <v>0</v>
      </c>
      <c r="M45" t="n">
        <v>0</v>
      </c>
      <c r="N45" t="n">
        <v>0</v>
      </c>
      <c r="O45" t="n">
        <v>1</v>
      </c>
      <c r="P45" t="n">
        <v>0</v>
      </c>
      <c r="Q45" t="n">
        <v>1</v>
      </c>
      <c r="R45" s="2" t="inlineStr">
        <is>
          <t>Garnlav</t>
        </is>
      </c>
      <c r="S45">
        <f>HYPERLINK("https://klasma.github.io/Logging_2085/artfynd/A 52452-2022 artfynd.xlsx", "A 52452-2022")</f>
        <v/>
      </c>
      <c r="T45">
        <f>HYPERLINK("https://klasma.github.io/Logging_2085/kartor/A 52452-2022 karta.png", "A 52452-2022")</f>
        <v/>
      </c>
      <c r="V45">
        <f>HYPERLINK("https://klasma.github.io/Logging_2085/klagomål/A 52452-2022 FSC-klagomål.docx", "A 52452-2022")</f>
        <v/>
      </c>
      <c r="W45">
        <f>HYPERLINK("https://klasma.github.io/Logging_2085/klagomålsmail/A 52452-2022 FSC-klagomål mail.docx", "A 52452-2022")</f>
        <v/>
      </c>
      <c r="X45">
        <f>HYPERLINK("https://klasma.github.io/Logging_2085/tillsyn/A 52452-2022 tillsynsbegäran.docx", "A 52452-2022")</f>
        <v/>
      </c>
      <c r="Y45">
        <f>HYPERLINK("https://klasma.github.io/Logging_2085/tillsynsmail/A 52452-2022 tillsynsbegäran mail.docx", "A 52452-2022")</f>
        <v/>
      </c>
    </row>
    <row r="46" ht="15" customHeight="1">
      <c r="A46" t="inlineStr">
        <is>
          <t>A 55550-2022</t>
        </is>
      </c>
      <c r="B46" s="1" t="n">
        <v>44888</v>
      </c>
      <c r="C46" s="1" t="n">
        <v>45362</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17310-2023</t>
        </is>
      </c>
      <c r="B47" s="1" t="n">
        <v>45035</v>
      </c>
      <c r="C47" s="1" t="n">
        <v>45362</v>
      </c>
      <c r="D47" t="inlineStr">
        <is>
          <t>DALARNAS LÄN</t>
        </is>
      </c>
      <c r="E47" t="inlineStr">
        <is>
          <t>LUDVIKA</t>
        </is>
      </c>
      <c r="G47" t="n">
        <v>10.2</v>
      </c>
      <c r="H47" t="n">
        <v>0</v>
      </c>
      <c r="I47" t="n">
        <v>0</v>
      </c>
      <c r="J47" t="n">
        <v>1</v>
      </c>
      <c r="K47" t="n">
        <v>0</v>
      </c>
      <c r="L47" t="n">
        <v>0</v>
      </c>
      <c r="M47" t="n">
        <v>0</v>
      </c>
      <c r="N47" t="n">
        <v>0</v>
      </c>
      <c r="O47" t="n">
        <v>1</v>
      </c>
      <c r="P47" t="n">
        <v>0</v>
      </c>
      <c r="Q47" t="n">
        <v>1</v>
      </c>
      <c r="R47" s="2" t="inlineStr">
        <is>
          <t>Barrpraktbagge</t>
        </is>
      </c>
      <c r="S47">
        <f>HYPERLINK("https://klasma.github.io/Logging_2085/artfynd/A 17310-2023 artfynd.xlsx", "A 17310-2023")</f>
        <v/>
      </c>
      <c r="T47">
        <f>HYPERLINK("https://klasma.github.io/Logging_2085/kartor/A 17310-2023 karta.png", "A 17310-2023")</f>
        <v/>
      </c>
      <c r="V47">
        <f>HYPERLINK("https://klasma.github.io/Logging_2085/klagomål/A 17310-2023 FSC-klagomål.docx", "A 17310-2023")</f>
        <v/>
      </c>
      <c r="W47">
        <f>HYPERLINK("https://klasma.github.io/Logging_2085/klagomålsmail/A 17310-2023 FSC-klagomål mail.docx", "A 17310-2023")</f>
        <v/>
      </c>
      <c r="X47">
        <f>HYPERLINK("https://klasma.github.io/Logging_2085/tillsyn/A 17310-2023 tillsynsbegäran.docx", "A 17310-2023")</f>
        <v/>
      </c>
      <c r="Y47">
        <f>HYPERLINK("https://klasma.github.io/Logging_2085/tillsynsmail/A 17310-2023 tillsynsbegäran mail.docx", "A 17310-2023")</f>
        <v/>
      </c>
    </row>
    <row r="48" ht="15" customHeight="1">
      <c r="A48" t="inlineStr">
        <is>
          <t>A 18298-2023</t>
        </is>
      </c>
      <c r="B48" s="1" t="n">
        <v>45041</v>
      </c>
      <c r="C48" s="1" t="n">
        <v>45362</v>
      </c>
      <c r="D48" t="inlineStr">
        <is>
          <t>DALARNAS LÄN</t>
        </is>
      </c>
      <c r="E48" t="inlineStr">
        <is>
          <t>LUDVIKA</t>
        </is>
      </c>
      <c r="G48" t="n">
        <v>3.4</v>
      </c>
      <c r="H48" t="n">
        <v>1</v>
      </c>
      <c r="I48" t="n">
        <v>0</v>
      </c>
      <c r="J48" t="n">
        <v>0</v>
      </c>
      <c r="K48" t="n">
        <v>0</v>
      </c>
      <c r="L48" t="n">
        <v>0</v>
      </c>
      <c r="M48" t="n">
        <v>0</v>
      </c>
      <c r="N48" t="n">
        <v>0</v>
      </c>
      <c r="O48" t="n">
        <v>0</v>
      </c>
      <c r="P48" t="n">
        <v>0</v>
      </c>
      <c r="Q48" t="n">
        <v>1</v>
      </c>
      <c r="R48" s="2" t="inlineStr">
        <is>
          <t>Fläcknycklar</t>
        </is>
      </c>
      <c r="S48">
        <f>HYPERLINK("https://klasma.github.io/Logging_2085/artfynd/A 18298-2023 artfynd.xlsx", "A 18298-2023")</f>
        <v/>
      </c>
      <c r="T48">
        <f>HYPERLINK("https://klasma.github.io/Logging_2085/kartor/A 18298-2023 karta.png", "A 18298-2023")</f>
        <v/>
      </c>
      <c r="V48">
        <f>HYPERLINK("https://klasma.github.io/Logging_2085/klagomål/A 18298-2023 FSC-klagomål.docx", "A 18298-2023")</f>
        <v/>
      </c>
      <c r="W48">
        <f>HYPERLINK("https://klasma.github.io/Logging_2085/klagomålsmail/A 18298-2023 FSC-klagomål mail.docx", "A 18298-2023")</f>
        <v/>
      </c>
      <c r="X48">
        <f>HYPERLINK("https://klasma.github.io/Logging_2085/tillsyn/A 18298-2023 tillsynsbegäran.docx", "A 18298-2023")</f>
        <v/>
      </c>
      <c r="Y48">
        <f>HYPERLINK("https://klasma.github.io/Logging_2085/tillsynsmail/A 18298-2023 tillsynsbegäran mail.docx", "A 18298-2023")</f>
        <v/>
      </c>
    </row>
    <row r="49" ht="15" customHeight="1">
      <c r="A49" t="inlineStr">
        <is>
          <t>A 25588-2023</t>
        </is>
      </c>
      <c r="B49" s="1" t="n">
        <v>45089</v>
      </c>
      <c r="C49" s="1" t="n">
        <v>45362</v>
      </c>
      <c r="D49" t="inlineStr">
        <is>
          <t>DALARNAS LÄN</t>
        </is>
      </c>
      <c r="E49" t="inlineStr">
        <is>
          <t>LUDVIKA</t>
        </is>
      </c>
      <c r="G49" t="n">
        <v>9.4</v>
      </c>
      <c r="H49" t="n">
        <v>0</v>
      </c>
      <c r="I49" t="n">
        <v>0</v>
      </c>
      <c r="J49" t="n">
        <v>1</v>
      </c>
      <c r="K49" t="n">
        <v>0</v>
      </c>
      <c r="L49" t="n">
        <v>0</v>
      </c>
      <c r="M49" t="n">
        <v>0</v>
      </c>
      <c r="N49" t="n">
        <v>0</v>
      </c>
      <c r="O49" t="n">
        <v>1</v>
      </c>
      <c r="P49" t="n">
        <v>0</v>
      </c>
      <c r="Q49" t="n">
        <v>1</v>
      </c>
      <c r="R49" s="2" t="inlineStr">
        <is>
          <t>Garnlav</t>
        </is>
      </c>
      <c r="S49">
        <f>HYPERLINK("https://klasma.github.io/Logging_2085/artfynd/A 25588-2023 artfynd.xlsx", "A 25588-2023")</f>
        <v/>
      </c>
      <c r="T49">
        <f>HYPERLINK("https://klasma.github.io/Logging_2085/kartor/A 25588-2023 karta.png", "A 25588-2023")</f>
        <v/>
      </c>
      <c r="V49">
        <f>HYPERLINK("https://klasma.github.io/Logging_2085/klagomål/A 25588-2023 FSC-klagomål.docx", "A 25588-2023")</f>
        <v/>
      </c>
      <c r="W49">
        <f>HYPERLINK("https://klasma.github.io/Logging_2085/klagomålsmail/A 25588-2023 FSC-klagomål mail.docx", "A 25588-2023")</f>
        <v/>
      </c>
      <c r="X49">
        <f>HYPERLINK("https://klasma.github.io/Logging_2085/tillsyn/A 25588-2023 tillsynsbegäran.docx", "A 25588-2023")</f>
        <v/>
      </c>
      <c r="Y49">
        <f>HYPERLINK("https://klasma.github.io/Logging_2085/tillsynsmail/A 25588-2023 tillsynsbegäran mail.docx", "A 25588-2023")</f>
        <v/>
      </c>
    </row>
    <row r="50" ht="15" customHeight="1">
      <c r="A50" t="inlineStr">
        <is>
          <t>A 26850-2023</t>
        </is>
      </c>
      <c r="B50" s="1" t="n">
        <v>45093</v>
      </c>
      <c r="C50" s="1" t="n">
        <v>45362</v>
      </c>
      <c r="D50" t="inlineStr">
        <is>
          <t>DALARNAS LÄN</t>
        </is>
      </c>
      <c r="E50" t="inlineStr">
        <is>
          <t>LUDVIKA</t>
        </is>
      </c>
      <c r="F50" t="inlineStr">
        <is>
          <t>Naturvårdsverket</t>
        </is>
      </c>
      <c r="G50" t="n">
        <v>2.7</v>
      </c>
      <c r="H50" t="n">
        <v>0</v>
      </c>
      <c r="I50" t="n">
        <v>0</v>
      </c>
      <c r="J50" t="n">
        <v>1</v>
      </c>
      <c r="K50" t="n">
        <v>0</v>
      </c>
      <c r="L50" t="n">
        <v>0</v>
      </c>
      <c r="M50" t="n">
        <v>0</v>
      </c>
      <c r="N50" t="n">
        <v>0</v>
      </c>
      <c r="O50" t="n">
        <v>1</v>
      </c>
      <c r="P50" t="n">
        <v>0</v>
      </c>
      <c r="Q50" t="n">
        <v>1</v>
      </c>
      <c r="R50" s="2" t="inlineStr">
        <is>
          <t>Motaggsvamp</t>
        </is>
      </c>
      <c r="S50">
        <f>HYPERLINK("https://klasma.github.io/Logging_2085/artfynd/A 26850-2023 artfynd.xlsx", "A 26850-2023")</f>
        <v/>
      </c>
      <c r="T50">
        <f>HYPERLINK("https://klasma.github.io/Logging_2085/kartor/A 26850-2023 karta.png", "A 26850-2023")</f>
        <v/>
      </c>
      <c r="V50">
        <f>HYPERLINK("https://klasma.github.io/Logging_2085/klagomål/A 26850-2023 FSC-klagomål.docx", "A 26850-2023")</f>
        <v/>
      </c>
      <c r="W50">
        <f>HYPERLINK("https://klasma.github.io/Logging_2085/klagomålsmail/A 26850-2023 FSC-klagomål mail.docx", "A 26850-2023")</f>
        <v/>
      </c>
      <c r="X50">
        <f>HYPERLINK("https://klasma.github.io/Logging_2085/tillsyn/A 26850-2023 tillsynsbegäran.docx", "A 26850-2023")</f>
        <v/>
      </c>
      <c r="Y50">
        <f>HYPERLINK("https://klasma.github.io/Logging_2085/tillsynsmail/A 26850-2023 tillsynsbegäran mail.docx", "A 26850-2023")</f>
        <v/>
      </c>
    </row>
    <row r="51" ht="15" customHeight="1">
      <c r="A51" t="inlineStr">
        <is>
          <t>A 29144-2023</t>
        </is>
      </c>
      <c r="B51" s="1" t="n">
        <v>45105</v>
      </c>
      <c r="C51" s="1" t="n">
        <v>45362</v>
      </c>
      <c r="D51" t="inlineStr">
        <is>
          <t>DALARNAS LÄN</t>
        </is>
      </c>
      <c r="E51" t="inlineStr">
        <is>
          <t>LUDVIKA</t>
        </is>
      </c>
      <c r="F51" t="inlineStr">
        <is>
          <t>Allmännings- och besparingsskogar</t>
        </is>
      </c>
      <c r="G51" t="n">
        <v>7.2</v>
      </c>
      <c r="H51" t="n">
        <v>1</v>
      </c>
      <c r="I51" t="n">
        <v>0</v>
      </c>
      <c r="J51" t="n">
        <v>0</v>
      </c>
      <c r="K51" t="n">
        <v>1</v>
      </c>
      <c r="L51" t="n">
        <v>0</v>
      </c>
      <c r="M51" t="n">
        <v>0</v>
      </c>
      <c r="N51" t="n">
        <v>0</v>
      </c>
      <c r="O51" t="n">
        <v>1</v>
      </c>
      <c r="P51" t="n">
        <v>1</v>
      </c>
      <c r="Q51" t="n">
        <v>1</v>
      </c>
      <c r="R51" s="2" t="inlineStr">
        <is>
          <t>Knärot</t>
        </is>
      </c>
      <c r="S51">
        <f>HYPERLINK("https://klasma.github.io/Logging_2085/artfynd/A 29144-2023 artfynd.xlsx", "A 29144-2023")</f>
        <v/>
      </c>
      <c r="T51">
        <f>HYPERLINK("https://klasma.github.io/Logging_2085/kartor/A 29144-2023 karta.png", "A 29144-2023")</f>
        <v/>
      </c>
      <c r="U51">
        <f>HYPERLINK("https://klasma.github.io/Logging_2085/knärot/A 29144-2023 karta knärot.png", "A 29144-2023")</f>
        <v/>
      </c>
      <c r="V51">
        <f>HYPERLINK("https://klasma.github.io/Logging_2085/klagomål/A 29144-2023 FSC-klagomål.docx", "A 29144-2023")</f>
        <v/>
      </c>
      <c r="W51">
        <f>HYPERLINK("https://klasma.github.io/Logging_2085/klagomålsmail/A 29144-2023 FSC-klagomål mail.docx", "A 29144-2023")</f>
        <v/>
      </c>
      <c r="X51">
        <f>HYPERLINK("https://klasma.github.io/Logging_2085/tillsyn/A 29144-2023 tillsynsbegäran.docx", "A 29144-2023")</f>
        <v/>
      </c>
      <c r="Y51">
        <f>HYPERLINK("https://klasma.github.io/Logging_2085/tillsynsmail/A 29144-2023 tillsynsbegäran mail.docx", "A 29144-2023")</f>
        <v/>
      </c>
    </row>
    <row r="52" ht="15" customHeight="1">
      <c r="A52" t="inlineStr">
        <is>
          <t>A 30053-2023</t>
        </is>
      </c>
      <c r="B52" s="1" t="n">
        <v>45110</v>
      </c>
      <c r="C52" s="1" t="n">
        <v>45362</v>
      </c>
      <c r="D52" t="inlineStr">
        <is>
          <t>DALARNAS LÄN</t>
        </is>
      </c>
      <c r="E52" t="inlineStr">
        <is>
          <t>LUDVIKA</t>
        </is>
      </c>
      <c r="F52" t="inlineStr">
        <is>
          <t>Bergvik skog väst AB</t>
        </is>
      </c>
      <c r="G52" t="n">
        <v>6.8</v>
      </c>
      <c r="H52" t="n">
        <v>0</v>
      </c>
      <c r="I52" t="n">
        <v>0</v>
      </c>
      <c r="J52" t="n">
        <v>1</v>
      </c>
      <c r="K52" t="n">
        <v>0</v>
      </c>
      <c r="L52" t="n">
        <v>0</v>
      </c>
      <c r="M52" t="n">
        <v>0</v>
      </c>
      <c r="N52" t="n">
        <v>0</v>
      </c>
      <c r="O52" t="n">
        <v>1</v>
      </c>
      <c r="P52" t="n">
        <v>0</v>
      </c>
      <c r="Q52" t="n">
        <v>1</v>
      </c>
      <c r="R52" s="2" t="inlineStr">
        <is>
          <t>Garnlav</t>
        </is>
      </c>
      <c r="S52">
        <f>HYPERLINK("https://klasma.github.io/Logging_2085/artfynd/A 30053-2023 artfynd.xlsx", "A 30053-2023")</f>
        <v/>
      </c>
      <c r="T52">
        <f>HYPERLINK("https://klasma.github.io/Logging_2085/kartor/A 30053-2023 karta.png", "A 30053-2023")</f>
        <v/>
      </c>
      <c r="V52">
        <f>HYPERLINK("https://klasma.github.io/Logging_2085/klagomål/A 30053-2023 FSC-klagomål.docx", "A 30053-2023")</f>
        <v/>
      </c>
      <c r="W52">
        <f>HYPERLINK("https://klasma.github.io/Logging_2085/klagomålsmail/A 30053-2023 FSC-klagomål mail.docx", "A 30053-2023")</f>
        <v/>
      </c>
      <c r="X52">
        <f>HYPERLINK("https://klasma.github.io/Logging_2085/tillsyn/A 30053-2023 tillsynsbegäran.docx", "A 30053-2023")</f>
        <v/>
      </c>
      <c r="Y52">
        <f>HYPERLINK("https://klasma.github.io/Logging_2085/tillsynsmail/A 30053-2023 tillsynsbegäran mail.docx", "A 30053-2023")</f>
        <v/>
      </c>
    </row>
    <row r="53" ht="15" customHeight="1">
      <c r="A53" t="inlineStr">
        <is>
          <t>A 33055-2023</t>
        </is>
      </c>
      <c r="B53" s="1" t="n">
        <v>45126</v>
      </c>
      <c r="C53" s="1" t="n">
        <v>45362</v>
      </c>
      <c r="D53" t="inlineStr">
        <is>
          <t>DALARNAS LÄN</t>
        </is>
      </c>
      <c r="E53" t="inlineStr">
        <is>
          <t>LUDVIKA</t>
        </is>
      </c>
      <c r="F53" t="inlineStr">
        <is>
          <t>Bergvik skog väst AB</t>
        </is>
      </c>
      <c r="G53" t="n">
        <v>6</v>
      </c>
      <c r="H53" t="n">
        <v>0</v>
      </c>
      <c r="I53" t="n">
        <v>1</v>
      </c>
      <c r="J53" t="n">
        <v>0</v>
      </c>
      <c r="K53" t="n">
        <v>0</v>
      </c>
      <c r="L53" t="n">
        <v>0</v>
      </c>
      <c r="M53" t="n">
        <v>0</v>
      </c>
      <c r="N53" t="n">
        <v>0</v>
      </c>
      <c r="O53" t="n">
        <v>0</v>
      </c>
      <c r="P53" t="n">
        <v>0</v>
      </c>
      <c r="Q53" t="n">
        <v>1</v>
      </c>
      <c r="R53" s="2" t="inlineStr">
        <is>
          <t>Vedticka</t>
        </is>
      </c>
      <c r="S53">
        <f>HYPERLINK("https://klasma.github.io/Logging_2085/artfynd/A 33055-2023 artfynd.xlsx", "A 33055-2023")</f>
        <v/>
      </c>
      <c r="T53">
        <f>HYPERLINK("https://klasma.github.io/Logging_2085/kartor/A 33055-2023 karta.png", "A 33055-2023")</f>
        <v/>
      </c>
      <c r="V53">
        <f>HYPERLINK("https://klasma.github.io/Logging_2085/klagomål/A 33055-2023 FSC-klagomål.docx", "A 33055-2023")</f>
        <v/>
      </c>
      <c r="W53">
        <f>HYPERLINK("https://klasma.github.io/Logging_2085/klagomålsmail/A 33055-2023 FSC-klagomål mail.docx", "A 33055-2023")</f>
        <v/>
      </c>
      <c r="X53">
        <f>HYPERLINK("https://klasma.github.io/Logging_2085/tillsyn/A 33055-2023 tillsynsbegäran.docx", "A 33055-2023")</f>
        <v/>
      </c>
      <c r="Y53">
        <f>HYPERLINK("https://klasma.github.io/Logging_2085/tillsynsmail/A 33055-2023 tillsynsbegäran mail.docx", "A 33055-2023")</f>
        <v/>
      </c>
    </row>
    <row r="54" ht="15" customHeight="1">
      <c r="A54" t="inlineStr">
        <is>
          <t>A 34539-2023</t>
        </is>
      </c>
      <c r="B54" s="1" t="n">
        <v>45140</v>
      </c>
      <c r="C54" s="1" t="n">
        <v>45362</v>
      </c>
      <c r="D54" t="inlineStr">
        <is>
          <t>DALARNAS LÄN</t>
        </is>
      </c>
      <c r="E54" t="inlineStr">
        <is>
          <t>LUDVIKA</t>
        </is>
      </c>
      <c r="F54" t="inlineStr">
        <is>
          <t>Bergvik skog väst AB</t>
        </is>
      </c>
      <c r="G54" t="n">
        <v>6.1</v>
      </c>
      <c r="H54" t="n">
        <v>1</v>
      </c>
      <c r="I54" t="n">
        <v>0</v>
      </c>
      <c r="J54" t="n">
        <v>0</v>
      </c>
      <c r="K54" t="n">
        <v>0</v>
      </c>
      <c r="L54" t="n">
        <v>0</v>
      </c>
      <c r="M54" t="n">
        <v>0</v>
      </c>
      <c r="N54" t="n">
        <v>0</v>
      </c>
      <c r="O54" t="n">
        <v>0</v>
      </c>
      <c r="P54" t="n">
        <v>0</v>
      </c>
      <c r="Q54" t="n">
        <v>1</v>
      </c>
      <c r="R54" s="2" t="inlineStr">
        <is>
          <t>Gullviva</t>
        </is>
      </c>
      <c r="S54">
        <f>HYPERLINK("https://klasma.github.io/Logging_2085/artfynd/A 34539-2023 artfynd.xlsx", "A 34539-2023")</f>
        <v/>
      </c>
      <c r="T54">
        <f>HYPERLINK("https://klasma.github.io/Logging_2085/kartor/A 34539-2023 karta.png", "A 34539-2023")</f>
        <v/>
      </c>
      <c r="V54">
        <f>HYPERLINK("https://klasma.github.io/Logging_2085/klagomål/A 34539-2023 FSC-klagomål.docx", "A 34539-2023")</f>
        <v/>
      </c>
      <c r="W54">
        <f>HYPERLINK("https://klasma.github.io/Logging_2085/klagomålsmail/A 34539-2023 FSC-klagomål mail.docx", "A 34539-2023")</f>
        <v/>
      </c>
      <c r="X54">
        <f>HYPERLINK("https://klasma.github.io/Logging_2085/tillsyn/A 34539-2023 tillsynsbegäran.docx", "A 34539-2023")</f>
        <v/>
      </c>
      <c r="Y54">
        <f>HYPERLINK("https://klasma.github.io/Logging_2085/tillsynsmail/A 34539-2023 tillsynsbegäran mail.docx", "A 34539-2023")</f>
        <v/>
      </c>
    </row>
    <row r="55" ht="15" customHeight="1">
      <c r="A55" t="inlineStr">
        <is>
          <t>A 36559-2023</t>
        </is>
      </c>
      <c r="B55" s="1" t="n">
        <v>45153</v>
      </c>
      <c r="C55" s="1" t="n">
        <v>45362</v>
      </c>
      <c r="D55" t="inlineStr">
        <is>
          <t>DALARNAS LÄN</t>
        </is>
      </c>
      <c r="E55" t="inlineStr">
        <is>
          <t>LUDVIKA</t>
        </is>
      </c>
      <c r="F55" t="inlineStr">
        <is>
          <t>Bergvik skog väst AB</t>
        </is>
      </c>
      <c r="G55" t="n">
        <v>34.7</v>
      </c>
      <c r="H55" t="n">
        <v>0</v>
      </c>
      <c r="I55" t="n">
        <v>0</v>
      </c>
      <c r="J55" t="n">
        <v>1</v>
      </c>
      <c r="K55" t="n">
        <v>0</v>
      </c>
      <c r="L55" t="n">
        <v>0</v>
      </c>
      <c r="M55" t="n">
        <v>0</v>
      </c>
      <c r="N55" t="n">
        <v>0</v>
      </c>
      <c r="O55" t="n">
        <v>1</v>
      </c>
      <c r="P55" t="n">
        <v>0</v>
      </c>
      <c r="Q55" t="n">
        <v>1</v>
      </c>
      <c r="R55" s="2" t="inlineStr">
        <is>
          <t>Garnlav</t>
        </is>
      </c>
      <c r="S55">
        <f>HYPERLINK("https://klasma.github.io/Logging_2085/artfynd/A 36559-2023 artfynd.xlsx", "A 36559-2023")</f>
        <v/>
      </c>
      <c r="T55">
        <f>HYPERLINK("https://klasma.github.io/Logging_2085/kartor/A 36559-2023 karta.png", "A 36559-2023")</f>
        <v/>
      </c>
      <c r="V55">
        <f>HYPERLINK("https://klasma.github.io/Logging_2085/klagomål/A 36559-2023 FSC-klagomål.docx", "A 36559-2023")</f>
        <v/>
      </c>
      <c r="W55">
        <f>HYPERLINK("https://klasma.github.io/Logging_2085/klagomålsmail/A 36559-2023 FSC-klagomål mail.docx", "A 36559-2023")</f>
        <v/>
      </c>
      <c r="X55">
        <f>HYPERLINK("https://klasma.github.io/Logging_2085/tillsyn/A 36559-2023 tillsynsbegäran.docx", "A 36559-2023")</f>
        <v/>
      </c>
      <c r="Y55">
        <f>HYPERLINK("https://klasma.github.io/Logging_2085/tillsynsmail/A 36559-2023 tillsynsbegäran mail.docx", "A 36559-2023")</f>
        <v/>
      </c>
    </row>
    <row r="56" ht="15" customHeight="1">
      <c r="A56" t="inlineStr">
        <is>
          <t>A 42089-2023</t>
        </is>
      </c>
      <c r="B56" s="1" t="n">
        <v>45177</v>
      </c>
      <c r="C56" s="1" t="n">
        <v>45362</v>
      </c>
      <c r="D56" t="inlineStr">
        <is>
          <t>DALARNAS LÄN</t>
        </is>
      </c>
      <c r="E56" t="inlineStr">
        <is>
          <t>LUDVIKA</t>
        </is>
      </c>
      <c r="F56" t="inlineStr">
        <is>
          <t>Bergvik skog väst AB</t>
        </is>
      </c>
      <c r="G56" t="n">
        <v>2.5</v>
      </c>
      <c r="H56" t="n">
        <v>0</v>
      </c>
      <c r="I56" t="n">
        <v>0</v>
      </c>
      <c r="J56" t="n">
        <v>1</v>
      </c>
      <c r="K56" t="n">
        <v>0</v>
      </c>
      <c r="L56" t="n">
        <v>0</v>
      </c>
      <c r="M56" t="n">
        <v>0</v>
      </c>
      <c r="N56" t="n">
        <v>0</v>
      </c>
      <c r="O56" t="n">
        <v>1</v>
      </c>
      <c r="P56" t="n">
        <v>0</v>
      </c>
      <c r="Q56" t="n">
        <v>1</v>
      </c>
      <c r="R56" s="2" t="inlineStr">
        <is>
          <t>Ullticka</t>
        </is>
      </c>
      <c r="S56">
        <f>HYPERLINK("https://klasma.github.io/Logging_2085/artfynd/A 42089-2023 artfynd.xlsx", "A 42089-2023")</f>
        <v/>
      </c>
      <c r="T56">
        <f>HYPERLINK("https://klasma.github.io/Logging_2085/kartor/A 42089-2023 karta.png", "A 42089-2023")</f>
        <v/>
      </c>
      <c r="V56">
        <f>HYPERLINK("https://klasma.github.io/Logging_2085/klagomål/A 42089-2023 FSC-klagomål.docx", "A 42089-2023")</f>
        <v/>
      </c>
      <c r="W56">
        <f>HYPERLINK("https://klasma.github.io/Logging_2085/klagomålsmail/A 42089-2023 FSC-klagomål mail.docx", "A 42089-2023")</f>
        <v/>
      </c>
      <c r="X56">
        <f>HYPERLINK("https://klasma.github.io/Logging_2085/tillsyn/A 42089-2023 tillsynsbegäran.docx", "A 42089-2023")</f>
        <v/>
      </c>
      <c r="Y56">
        <f>HYPERLINK("https://klasma.github.io/Logging_2085/tillsynsmail/A 42089-2023 tillsynsbegäran mail.docx", "A 42089-2023")</f>
        <v/>
      </c>
    </row>
    <row r="57" ht="15" customHeight="1">
      <c r="A57" t="inlineStr">
        <is>
          <t>A 44578-2023</t>
        </is>
      </c>
      <c r="B57" s="1" t="n">
        <v>45189</v>
      </c>
      <c r="C57" s="1" t="n">
        <v>45362</v>
      </c>
      <c r="D57" t="inlineStr">
        <is>
          <t>DALARNAS LÄN</t>
        </is>
      </c>
      <c r="E57" t="inlineStr">
        <is>
          <t>LUDVIKA</t>
        </is>
      </c>
      <c r="F57" t="inlineStr">
        <is>
          <t>Övriga Aktiebolag</t>
        </is>
      </c>
      <c r="G57" t="n">
        <v>12</v>
      </c>
      <c r="H57" t="n">
        <v>0</v>
      </c>
      <c r="I57" t="n">
        <v>0</v>
      </c>
      <c r="J57" t="n">
        <v>1</v>
      </c>
      <c r="K57" t="n">
        <v>0</v>
      </c>
      <c r="L57" t="n">
        <v>0</v>
      </c>
      <c r="M57" t="n">
        <v>0</v>
      </c>
      <c r="N57" t="n">
        <v>0</v>
      </c>
      <c r="O57" t="n">
        <v>1</v>
      </c>
      <c r="P57" t="n">
        <v>0</v>
      </c>
      <c r="Q57" t="n">
        <v>1</v>
      </c>
      <c r="R57" s="2" t="inlineStr">
        <is>
          <t>Dofttaggsvamp</t>
        </is>
      </c>
      <c r="S57">
        <f>HYPERLINK("https://klasma.github.io/Logging_2085/artfynd/A 44578-2023 artfynd.xlsx", "A 44578-2023")</f>
        <v/>
      </c>
      <c r="T57">
        <f>HYPERLINK("https://klasma.github.io/Logging_2085/kartor/A 44578-2023 karta.png", "A 44578-2023")</f>
        <v/>
      </c>
      <c r="V57">
        <f>HYPERLINK("https://klasma.github.io/Logging_2085/klagomål/A 44578-2023 FSC-klagomål.docx", "A 44578-2023")</f>
        <v/>
      </c>
      <c r="W57">
        <f>HYPERLINK("https://klasma.github.io/Logging_2085/klagomålsmail/A 44578-2023 FSC-klagomål mail.docx", "A 44578-2023")</f>
        <v/>
      </c>
      <c r="X57">
        <f>HYPERLINK("https://klasma.github.io/Logging_2085/tillsyn/A 44578-2023 tillsynsbegäran.docx", "A 44578-2023")</f>
        <v/>
      </c>
      <c r="Y57">
        <f>HYPERLINK("https://klasma.github.io/Logging_2085/tillsynsmail/A 44578-2023 tillsynsbegäran mail.docx", "A 44578-2023")</f>
        <v/>
      </c>
    </row>
    <row r="58" ht="15" customHeight="1">
      <c r="A58" t="inlineStr">
        <is>
          <t>A 46398-2023</t>
        </is>
      </c>
      <c r="B58" s="1" t="n">
        <v>45197</v>
      </c>
      <c r="C58" s="1" t="n">
        <v>45362</v>
      </c>
      <c r="D58" t="inlineStr">
        <is>
          <t>DALARNAS LÄN</t>
        </is>
      </c>
      <c r="E58" t="inlineStr">
        <is>
          <t>LUDVIKA</t>
        </is>
      </c>
      <c r="G58" t="n">
        <v>2.1</v>
      </c>
      <c r="H58" t="n">
        <v>1</v>
      </c>
      <c r="I58" t="n">
        <v>0</v>
      </c>
      <c r="J58" t="n">
        <v>0</v>
      </c>
      <c r="K58" t="n">
        <v>1</v>
      </c>
      <c r="L58" t="n">
        <v>0</v>
      </c>
      <c r="M58" t="n">
        <v>0</v>
      </c>
      <c r="N58" t="n">
        <v>0</v>
      </c>
      <c r="O58" t="n">
        <v>1</v>
      </c>
      <c r="P58" t="n">
        <v>1</v>
      </c>
      <c r="Q58" t="n">
        <v>1</v>
      </c>
      <c r="R58" s="2" t="inlineStr">
        <is>
          <t>Knärot</t>
        </is>
      </c>
      <c r="S58">
        <f>HYPERLINK("https://klasma.github.io/Logging_2085/artfynd/A 46398-2023 artfynd.xlsx", "A 46398-2023")</f>
        <v/>
      </c>
      <c r="T58">
        <f>HYPERLINK("https://klasma.github.io/Logging_2085/kartor/A 46398-2023 karta.png", "A 46398-2023")</f>
        <v/>
      </c>
      <c r="U58">
        <f>HYPERLINK("https://klasma.github.io/Logging_2085/knärot/A 46398-2023 karta knärot.png", "A 46398-2023")</f>
        <v/>
      </c>
      <c r="V58">
        <f>HYPERLINK("https://klasma.github.io/Logging_2085/klagomål/A 46398-2023 FSC-klagomål.docx", "A 46398-2023")</f>
        <v/>
      </c>
      <c r="W58">
        <f>HYPERLINK("https://klasma.github.io/Logging_2085/klagomålsmail/A 46398-2023 FSC-klagomål mail.docx", "A 46398-2023")</f>
        <v/>
      </c>
      <c r="X58">
        <f>HYPERLINK("https://klasma.github.io/Logging_2085/tillsyn/A 46398-2023 tillsynsbegäran.docx", "A 46398-2023")</f>
        <v/>
      </c>
      <c r="Y58">
        <f>HYPERLINK("https://klasma.github.io/Logging_2085/tillsynsmail/A 46398-2023 tillsynsbegäran mail.docx", "A 46398-2023")</f>
        <v/>
      </c>
    </row>
    <row r="59" ht="15" customHeight="1">
      <c r="A59" t="inlineStr">
        <is>
          <t>A 48544-2023</t>
        </is>
      </c>
      <c r="B59" s="1" t="n">
        <v>45208</v>
      </c>
      <c r="C59" s="1" t="n">
        <v>45362</v>
      </c>
      <c r="D59" t="inlineStr">
        <is>
          <t>DALARNAS LÄN</t>
        </is>
      </c>
      <c r="E59" t="inlineStr">
        <is>
          <t>LUDVIKA</t>
        </is>
      </c>
      <c r="F59" t="inlineStr">
        <is>
          <t>Bergvik skog väst AB</t>
        </is>
      </c>
      <c r="G59" t="n">
        <v>0.9</v>
      </c>
      <c r="H59" t="n">
        <v>0</v>
      </c>
      <c r="I59" t="n">
        <v>0</v>
      </c>
      <c r="J59" t="n">
        <v>1</v>
      </c>
      <c r="K59" t="n">
        <v>0</v>
      </c>
      <c r="L59" t="n">
        <v>0</v>
      </c>
      <c r="M59" t="n">
        <v>0</v>
      </c>
      <c r="N59" t="n">
        <v>0</v>
      </c>
      <c r="O59" t="n">
        <v>1</v>
      </c>
      <c r="P59" t="n">
        <v>0</v>
      </c>
      <c r="Q59" t="n">
        <v>1</v>
      </c>
      <c r="R59" s="2" t="inlineStr">
        <is>
          <t>Garnlav</t>
        </is>
      </c>
      <c r="S59">
        <f>HYPERLINK("https://klasma.github.io/Logging_2085/artfynd/A 48544-2023 artfynd.xlsx", "A 48544-2023")</f>
        <v/>
      </c>
      <c r="T59">
        <f>HYPERLINK("https://klasma.github.io/Logging_2085/kartor/A 48544-2023 karta.png", "A 48544-2023")</f>
        <v/>
      </c>
      <c r="V59">
        <f>HYPERLINK("https://klasma.github.io/Logging_2085/klagomål/A 48544-2023 FSC-klagomål.docx", "A 48544-2023")</f>
        <v/>
      </c>
      <c r="W59">
        <f>HYPERLINK("https://klasma.github.io/Logging_2085/klagomålsmail/A 48544-2023 FSC-klagomål mail.docx", "A 48544-2023")</f>
        <v/>
      </c>
      <c r="X59">
        <f>HYPERLINK("https://klasma.github.io/Logging_2085/tillsyn/A 48544-2023 tillsynsbegäran.docx", "A 48544-2023")</f>
        <v/>
      </c>
      <c r="Y59">
        <f>HYPERLINK("https://klasma.github.io/Logging_2085/tillsynsmail/A 48544-2023 tillsynsbegäran mail.docx", "A 48544-2023")</f>
        <v/>
      </c>
    </row>
    <row r="60" ht="15" customHeight="1">
      <c r="A60" t="inlineStr">
        <is>
          <t>A 42791-2018</t>
        </is>
      </c>
      <c r="B60" s="1" t="n">
        <v>43355</v>
      </c>
      <c r="C60" s="1" t="n">
        <v>45362</v>
      </c>
      <c r="D60" t="inlineStr">
        <is>
          <t>DALARNAS LÄN</t>
        </is>
      </c>
      <c r="E60" t="inlineStr">
        <is>
          <t>LUDVIKA</t>
        </is>
      </c>
      <c r="G60" t="n">
        <v>0.6</v>
      </c>
      <c r="H60" t="n">
        <v>0</v>
      </c>
      <c r="I60" t="n">
        <v>0</v>
      </c>
      <c r="J60" t="n">
        <v>0</v>
      </c>
      <c r="K60" t="n">
        <v>0</v>
      </c>
      <c r="L60" t="n">
        <v>0</v>
      </c>
      <c r="M60" t="n">
        <v>0</v>
      </c>
      <c r="N60" t="n">
        <v>0</v>
      </c>
      <c r="O60" t="n">
        <v>0</v>
      </c>
      <c r="P60" t="n">
        <v>0</v>
      </c>
      <c r="Q60" t="n">
        <v>0</v>
      </c>
      <c r="R60" s="2" t="inlineStr"/>
    </row>
    <row r="61" ht="15" customHeight="1">
      <c r="A61" t="inlineStr">
        <is>
          <t>A 45612-2018</t>
        </is>
      </c>
      <c r="B61" s="1" t="n">
        <v>43363</v>
      </c>
      <c r="C61" s="1" t="n">
        <v>45362</v>
      </c>
      <c r="D61" t="inlineStr">
        <is>
          <t>DALARNAS LÄN</t>
        </is>
      </c>
      <c r="E61" t="inlineStr">
        <is>
          <t>LUDVIKA</t>
        </is>
      </c>
      <c r="G61" t="n">
        <v>1.5</v>
      </c>
      <c r="H61" t="n">
        <v>0</v>
      </c>
      <c r="I61" t="n">
        <v>0</v>
      </c>
      <c r="J61" t="n">
        <v>0</v>
      </c>
      <c r="K61" t="n">
        <v>0</v>
      </c>
      <c r="L61" t="n">
        <v>0</v>
      </c>
      <c r="M61" t="n">
        <v>0</v>
      </c>
      <c r="N61" t="n">
        <v>0</v>
      </c>
      <c r="O61" t="n">
        <v>0</v>
      </c>
      <c r="P61" t="n">
        <v>0</v>
      </c>
      <c r="Q61" t="n">
        <v>0</v>
      </c>
      <c r="R61" s="2" t="inlineStr"/>
    </row>
    <row r="62" ht="15" customHeight="1">
      <c r="A62" t="inlineStr">
        <is>
          <t>A 61742-2018</t>
        </is>
      </c>
      <c r="B62" s="1" t="n">
        <v>43384</v>
      </c>
      <c r="C62" s="1" t="n">
        <v>45362</v>
      </c>
      <c r="D62" t="inlineStr">
        <is>
          <t>DALARNAS LÄN</t>
        </is>
      </c>
      <c r="E62" t="inlineStr">
        <is>
          <t>LUDVIKA</t>
        </is>
      </c>
      <c r="F62" t="inlineStr">
        <is>
          <t>Bergvik skog väst AB</t>
        </is>
      </c>
      <c r="G62" t="n">
        <v>2.4</v>
      </c>
      <c r="H62" t="n">
        <v>0</v>
      </c>
      <c r="I62" t="n">
        <v>0</v>
      </c>
      <c r="J62" t="n">
        <v>0</v>
      </c>
      <c r="K62" t="n">
        <v>0</v>
      </c>
      <c r="L62" t="n">
        <v>0</v>
      </c>
      <c r="M62" t="n">
        <v>0</v>
      </c>
      <c r="N62" t="n">
        <v>0</v>
      </c>
      <c r="O62" t="n">
        <v>0</v>
      </c>
      <c r="P62" t="n">
        <v>0</v>
      </c>
      <c r="Q62" t="n">
        <v>0</v>
      </c>
      <c r="R62" s="2" t="inlineStr"/>
    </row>
    <row r="63" ht="15" customHeight="1">
      <c r="A63" t="inlineStr">
        <is>
          <t>A 63876-2018</t>
        </is>
      </c>
      <c r="B63" s="1" t="n">
        <v>43385</v>
      </c>
      <c r="C63" s="1" t="n">
        <v>45362</v>
      </c>
      <c r="D63" t="inlineStr">
        <is>
          <t>DALARNAS LÄN</t>
        </is>
      </c>
      <c r="E63" t="inlineStr">
        <is>
          <t>LUDVIKA</t>
        </is>
      </c>
      <c r="F63" t="inlineStr">
        <is>
          <t>Bergvik skog väst AB</t>
        </is>
      </c>
      <c r="G63" t="n">
        <v>2.8</v>
      </c>
      <c r="H63" t="n">
        <v>0</v>
      </c>
      <c r="I63" t="n">
        <v>0</v>
      </c>
      <c r="J63" t="n">
        <v>0</v>
      </c>
      <c r="K63" t="n">
        <v>0</v>
      </c>
      <c r="L63" t="n">
        <v>0</v>
      </c>
      <c r="M63" t="n">
        <v>0</v>
      </c>
      <c r="N63" t="n">
        <v>0</v>
      </c>
      <c r="O63" t="n">
        <v>0</v>
      </c>
      <c r="P63" t="n">
        <v>0</v>
      </c>
      <c r="Q63" t="n">
        <v>0</v>
      </c>
      <c r="R63" s="2" t="inlineStr"/>
    </row>
    <row r="64" ht="15" customHeight="1">
      <c r="A64" t="inlineStr">
        <is>
          <t>A 62183-2018</t>
        </is>
      </c>
      <c r="B64" s="1" t="n">
        <v>43385</v>
      </c>
      <c r="C64" s="1" t="n">
        <v>45362</v>
      </c>
      <c r="D64" t="inlineStr">
        <is>
          <t>DALARNAS LÄN</t>
        </is>
      </c>
      <c r="E64" t="inlineStr">
        <is>
          <t>LUDVIKA</t>
        </is>
      </c>
      <c r="F64" t="inlineStr">
        <is>
          <t>Bergvik skog väst AB</t>
        </is>
      </c>
      <c r="G64" t="n">
        <v>2.4</v>
      </c>
      <c r="H64" t="n">
        <v>0</v>
      </c>
      <c r="I64" t="n">
        <v>0</v>
      </c>
      <c r="J64" t="n">
        <v>0</v>
      </c>
      <c r="K64" t="n">
        <v>0</v>
      </c>
      <c r="L64" t="n">
        <v>0</v>
      </c>
      <c r="M64" t="n">
        <v>0</v>
      </c>
      <c r="N64" t="n">
        <v>0</v>
      </c>
      <c r="O64" t="n">
        <v>0</v>
      </c>
      <c r="P64" t="n">
        <v>0</v>
      </c>
      <c r="Q64" t="n">
        <v>0</v>
      </c>
      <c r="R64" s="2" t="inlineStr"/>
    </row>
    <row r="65" ht="15" customHeight="1">
      <c r="A65" t="inlineStr">
        <is>
          <t>A 62147-2018</t>
        </is>
      </c>
      <c r="B65" s="1" t="n">
        <v>43385</v>
      </c>
      <c r="C65" s="1" t="n">
        <v>45362</v>
      </c>
      <c r="D65" t="inlineStr">
        <is>
          <t>DALARNAS LÄN</t>
        </is>
      </c>
      <c r="E65" t="inlineStr">
        <is>
          <t>LUDVIKA</t>
        </is>
      </c>
      <c r="F65" t="inlineStr">
        <is>
          <t>Bergvik skog väst AB</t>
        </is>
      </c>
      <c r="G65" t="n">
        <v>5.6</v>
      </c>
      <c r="H65" t="n">
        <v>0</v>
      </c>
      <c r="I65" t="n">
        <v>0</v>
      </c>
      <c r="J65" t="n">
        <v>0</v>
      </c>
      <c r="K65" t="n">
        <v>0</v>
      </c>
      <c r="L65" t="n">
        <v>0</v>
      </c>
      <c r="M65" t="n">
        <v>0</v>
      </c>
      <c r="N65" t="n">
        <v>0</v>
      </c>
      <c r="O65" t="n">
        <v>0</v>
      </c>
      <c r="P65" t="n">
        <v>0</v>
      </c>
      <c r="Q65" t="n">
        <v>0</v>
      </c>
      <c r="R65" s="2" t="inlineStr"/>
    </row>
    <row r="66" ht="15" customHeight="1">
      <c r="A66" t="inlineStr">
        <is>
          <t>A 72671-2018</t>
        </is>
      </c>
      <c r="B66" s="1" t="n">
        <v>43389</v>
      </c>
      <c r="C66" s="1" t="n">
        <v>45362</v>
      </c>
      <c r="D66" t="inlineStr">
        <is>
          <t>DALARNAS LÄN</t>
        </is>
      </c>
      <c r="E66" t="inlineStr">
        <is>
          <t>LUDVIKA</t>
        </is>
      </c>
      <c r="F66" t="inlineStr">
        <is>
          <t>Bergvik skog väst AB</t>
        </is>
      </c>
      <c r="G66" t="n">
        <v>4.1</v>
      </c>
      <c r="H66" t="n">
        <v>0</v>
      </c>
      <c r="I66" t="n">
        <v>0</v>
      </c>
      <c r="J66" t="n">
        <v>0</v>
      </c>
      <c r="K66" t="n">
        <v>0</v>
      </c>
      <c r="L66" t="n">
        <v>0</v>
      </c>
      <c r="M66" t="n">
        <v>0</v>
      </c>
      <c r="N66" t="n">
        <v>0</v>
      </c>
      <c r="O66" t="n">
        <v>0</v>
      </c>
      <c r="P66" t="n">
        <v>0</v>
      </c>
      <c r="Q66" t="n">
        <v>0</v>
      </c>
      <c r="R66" s="2" t="inlineStr"/>
    </row>
    <row r="67" ht="15" customHeight="1">
      <c r="A67" t="inlineStr">
        <is>
          <t>A 72673-2018</t>
        </is>
      </c>
      <c r="B67" s="1" t="n">
        <v>43389</v>
      </c>
      <c r="C67" s="1" t="n">
        <v>45362</v>
      </c>
      <c r="D67" t="inlineStr">
        <is>
          <t>DALARNAS LÄN</t>
        </is>
      </c>
      <c r="E67" t="inlineStr">
        <is>
          <t>LUDVIKA</t>
        </is>
      </c>
      <c r="F67" t="inlineStr">
        <is>
          <t>Bergvik skog väst AB</t>
        </is>
      </c>
      <c r="G67" t="n">
        <v>5.6</v>
      </c>
      <c r="H67" t="n">
        <v>0</v>
      </c>
      <c r="I67" t="n">
        <v>0</v>
      </c>
      <c r="J67" t="n">
        <v>0</v>
      </c>
      <c r="K67" t="n">
        <v>0</v>
      </c>
      <c r="L67" t="n">
        <v>0</v>
      </c>
      <c r="M67" t="n">
        <v>0</v>
      </c>
      <c r="N67" t="n">
        <v>0</v>
      </c>
      <c r="O67" t="n">
        <v>0</v>
      </c>
      <c r="P67" t="n">
        <v>0</v>
      </c>
      <c r="Q67" t="n">
        <v>0</v>
      </c>
      <c r="R67" s="2" t="inlineStr"/>
    </row>
    <row r="68" ht="15" customHeight="1">
      <c r="A68" t="inlineStr">
        <is>
          <t>A 57057-2018</t>
        </is>
      </c>
      <c r="B68" s="1" t="n">
        <v>43403</v>
      </c>
      <c r="C68" s="1" t="n">
        <v>45362</v>
      </c>
      <c r="D68" t="inlineStr">
        <is>
          <t>DALARNAS LÄN</t>
        </is>
      </c>
      <c r="E68" t="inlineStr">
        <is>
          <t>LUDVIKA</t>
        </is>
      </c>
      <c r="F68" t="inlineStr">
        <is>
          <t>Bergvik skog väst AB</t>
        </is>
      </c>
      <c r="G68" t="n">
        <v>7.6</v>
      </c>
      <c r="H68" t="n">
        <v>0</v>
      </c>
      <c r="I68" t="n">
        <v>0</v>
      </c>
      <c r="J68" t="n">
        <v>0</v>
      </c>
      <c r="K68" t="n">
        <v>0</v>
      </c>
      <c r="L68" t="n">
        <v>0</v>
      </c>
      <c r="M68" t="n">
        <v>0</v>
      </c>
      <c r="N68" t="n">
        <v>0</v>
      </c>
      <c r="O68" t="n">
        <v>0</v>
      </c>
      <c r="P68" t="n">
        <v>0</v>
      </c>
      <c r="Q68" t="n">
        <v>0</v>
      </c>
      <c r="R68" s="2" t="inlineStr"/>
    </row>
    <row r="69" ht="15" customHeight="1">
      <c r="A69" t="inlineStr">
        <is>
          <t>A 57495-2018</t>
        </is>
      </c>
      <c r="B69" s="1" t="n">
        <v>43404</v>
      </c>
      <c r="C69" s="1" t="n">
        <v>45362</v>
      </c>
      <c r="D69" t="inlineStr">
        <is>
          <t>DALARNAS LÄN</t>
        </is>
      </c>
      <c r="E69" t="inlineStr">
        <is>
          <t>LUDVIKA</t>
        </is>
      </c>
      <c r="F69" t="inlineStr">
        <is>
          <t>Bergvik skog väst AB</t>
        </is>
      </c>
      <c r="G69" t="n">
        <v>5.3</v>
      </c>
      <c r="H69" t="n">
        <v>0</v>
      </c>
      <c r="I69" t="n">
        <v>0</v>
      </c>
      <c r="J69" t="n">
        <v>0</v>
      </c>
      <c r="K69" t="n">
        <v>0</v>
      </c>
      <c r="L69" t="n">
        <v>0</v>
      </c>
      <c r="M69" t="n">
        <v>0</v>
      </c>
      <c r="N69" t="n">
        <v>0</v>
      </c>
      <c r="O69" t="n">
        <v>0</v>
      </c>
      <c r="P69" t="n">
        <v>0</v>
      </c>
      <c r="Q69" t="n">
        <v>0</v>
      </c>
      <c r="R69" s="2" t="inlineStr"/>
    </row>
    <row r="70" ht="15" customHeight="1">
      <c r="A70" t="inlineStr">
        <is>
          <t>A 57527-2018</t>
        </is>
      </c>
      <c r="B70" s="1" t="n">
        <v>43404</v>
      </c>
      <c r="C70" s="1" t="n">
        <v>45362</v>
      </c>
      <c r="D70" t="inlineStr">
        <is>
          <t>DALARNAS LÄN</t>
        </is>
      </c>
      <c r="E70" t="inlineStr">
        <is>
          <t>LUDVIKA</t>
        </is>
      </c>
      <c r="G70" t="n">
        <v>2</v>
      </c>
      <c r="H70" t="n">
        <v>0</v>
      </c>
      <c r="I70" t="n">
        <v>0</v>
      </c>
      <c r="J70" t="n">
        <v>0</v>
      </c>
      <c r="K70" t="n">
        <v>0</v>
      </c>
      <c r="L70" t="n">
        <v>0</v>
      </c>
      <c r="M70" t="n">
        <v>0</v>
      </c>
      <c r="N70" t="n">
        <v>0</v>
      </c>
      <c r="O70" t="n">
        <v>0</v>
      </c>
      <c r="P70" t="n">
        <v>0</v>
      </c>
      <c r="Q70" t="n">
        <v>0</v>
      </c>
      <c r="R70" s="2" t="inlineStr"/>
    </row>
    <row r="71" ht="15" customHeight="1">
      <c r="A71" t="inlineStr">
        <is>
          <t>A 57519-2018</t>
        </is>
      </c>
      <c r="B71" s="1" t="n">
        <v>43404</v>
      </c>
      <c r="C71" s="1" t="n">
        <v>45362</v>
      </c>
      <c r="D71" t="inlineStr">
        <is>
          <t>DALARNAS LÄN</t>
        </is>
      </c>
      <c r="E71" t="inlineStr">
        <is>
          <t>LUDVIKA</t>
        </is>
      </c>
      <c r="G71" t="n">
        <v>3.8</v>
      </c>
      <c r="H71" t="n">
        <v>0</v>
      </c>
      <c r="I71" t="n">
        <v>0</v>
      </c>
      <c r="J71" t="n">
        <v>0</v>
      </c>
      <c r="K71" t="n">
        <v>0</v>
      </c>
      <c r="L71" t="n">
        <v>0</v>
      </c>
      <c r="M71" t="n">
        <v>0</v>
      </c>
      <c r="N71" t="n">
        <v>0</v>
      </c>
      <c r="O71" t="n">
        <v>0</v>
      </c>
      <c r="P71" t="n">
        <v>0</v>
      </c>
      <c r="Q71" t="n">
        <v>0</v>
      </c>
      <c r="R71" s="2" t="inlineStr"/>
    </row>
    <row r="72" ht="15" customHeight="1">
      <c r="A72" t="inlineStr">
        <is>
          <t>A 59781-2018</t>
        </is>
      </c>
      <c r="B72" s="1" t="n">
        <v>43411</v>
      </c>
      <c r="C72" s="1" t="n">
        <v>45362</v>
      </c>
      <c r="D72" t="inlineStr">
        <is>
          <t>DALARNAS LÄN</t>
        </is>
      </c>
      <c r="E72" t="inlineStr">
        <is>
          <t>LUDVIKA</t>
        </is>
      </c>
      <c r="G72" t="n">
        <v>0.9</v>
      </c>
      <c r="H72" t="n">
        <v>0</v>
      </c>
      <c r="I72" t="n">
        <v>0</v>
      </c>
      <c r="J72" t="n">
        <v>0</v>
      </c>
      <c r="K72" t="n">
        <v>0</v>
      </c>
      <c r="L72" t="n">
        <v>0</v>
      </c>
      <c r="M72" t="n">
        <v>0</v>
      </c>
      <c r="N72" t="n">
        <v>0</v>
      </c>
      <c r="O72" t="n">
        <v>0</v>
      </c>
      <c r="P72" t="n">
        <v>0</v>
      </c>
      <c r="Q72" t="n">
        <v>0</v>
      </c>
      <c r="R72" s="2" t="inlineStr"/>
    </row>
    <row r="73" ht="15" customHeight="1">
      <c r="A73" t="inlineStr">
        <is>
          <t>A 59786-2018</t>
        </is>
      </c>
      <c r="B73" s="1" t="n">
        <v>43411</v>
      </c>
      <c r="C73" s="1" t="n">
        <v>45362</v>
      </c>
      <c r="D73" t="inlineStr">
        <is>
          <t>DALARNAS LÄN</t>
        </is>
      </c>
      <c r="E73" t="inlineStr">
        <is>
          <t>LUDVIKA</t>
        </is>
      </c>
      <c r="G73" t="n">
        <v>2.1</v>
      </c>
      <c r="H73" t="n">
        <v>0</v>
      </c>
      <c r="I73" t="n">
        <v>0</v>
      </c>
      <c r="J73" t="n">
        <v>0</v>
      </c>
      <c r="K73" t="n">
        <v>0</v>
      </c>
      <c r="L73" t="n">
        <v>0</v>
      </c>
      <c r="M73" t="n">
        <v>0</v>
      </c>
      <c r="N73" t="n">
        <v>0</v>
      </c>
      <c r="O73" t="n">
        <v>0</v>
      </c>
      <c r="P73" t="n">
        <v>0</v>
      </c>
      <c r="Q73" t="n">
        <v>0</v>
      </c>
      <c r="R73" s="2" t="inlineStr"/>
    </row>
    <row r="74" ht="15" customHeight="1">
      <c r="A74" t="inlineStr">
        <is>
          <t>A 60285-2018</t>
        </is>
      </c>
      <c r="B74" s="1" t="n">
        <v>43413</v>
      </c>
      <c r="C74" s="1" t="n">
        <v>45362</v>
      </c>
      <c r="D74" t="inlineStr">
        <is>
          <t>DALARNAS LÄN</t>
        </is>
      </c>
      <c r="E74" t="inlineStr">
        <is>
          <t>LUDVIKA</t>
        </is>
      </c>
      <c r="F74" t="inlineStr">
        <is>
          <t>Kommuner</t>
        </is>
      </c>
      <c r="G74" t="n">
        <v>3.4</v>
      </c>
      <c r="H74" t="n">
        <v>0</v>
      </c>
      <c r="I74" t="n">
        <v>0</v>
      </c>
      <c r="J74" t="n">
        <v>0</v>
      </c>
      <c r="K74" t="n">
        <v>0</v>
      </c>
      <c r="L74" t="n">
        <v>0</v>
      </c>
      <c r="M74" t="n">
        <v>0</v>
      </c>
      <c r="N74" t="n">
        <v>0</v>
      </c>
      <c r="O74" t="n">
        <v>0</v>
      </c>
      <c r="P74" t="n">
        <v>0</v>
      </c>
      <c r="Q74" t="n">
        <v>0</v>
      </c>
      <c r="R74" s="2" t="inlineStr"/>
    </row>
    <row r="75" ht="15" customHeight="1">
      <c r="A75" t="inlineStr">
        <is>
          <t>A 62333-2018</t>
        </is>
      </c>
      <c r="B75" s="1" t="n">
        <v>43416</v>
      </c>
      <c r="C75" s="1" t="n">
        <v>45362</v>
      </c>
      <c r="D75" t="inlineStr">
        <is>
          <t>DALARNAS LÄN</t>
        </is>
      </c>
      <c r="E75" t="inlineStr">
        <is>
          <t>LUDVIKA</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61671-2018</t>
        </is>
      </c>
      <c r="B76" s="1" t="n">
        <v>43425</v>
      </c>
      <c r="C76" s="1" t="n">
        <v>45362</v>
      </c>
      <c r="D76" t="inlineStr">
        <is>
          <t>DALARNAS LÄN</t>
        </is>
      </c>
      <c r="E76" t="inlineStr">
        <is>
          <t>LUDVIKA</t>
        </is>
      </c>
      <c r="G76" t="n">
        <v>2.5</v>
      </c>
      <c r="H76" t="n">
        <v>0</v>
      </c>
      <c r="I76" t="n">
        <v>0</v>
      </c>
      <c r="J76" t="n">
        <v>0</v>
      </c>
      <c r="K76" t="n">
        <v>0</v>
      </c>
      <c r="L76" t="n">
        <v>0</v>
      </c>
      <c r="M76" t="n">
        <v>0</v>
      </c>
      <c r="N76" t="n">
        <v>0</v>
      </c>
      <c r="O76" t="n">
        <v>0</v>
      </c>
      <c r="P76" t="n">
        <v>0</v>
      </c>
      <c r="Q76" t="n">
        <v>0</v>
      </c>
      <c r="R76" s="2" t="inlineStr"/>
    </row>
    <row r="77" ht="15" customHeight="1">
      <c r="A77" t="inlineStr">
        <is>
          <t>A 63488-2018</t>
        </is>
      </c>
      <c r="B77" s="1" t="n">
        <v>43427</v>
      </c>
      <c r="C77" s="1" t="n">
        <v>45362</v>
      </c>
      <c r="D77" t="inlineStr">
        <is>
          <t>DALARNAS LÄN</t>
        </is>
      </c>
      <c r="E77" t="inlineStr">
        <is>
          <t>LUDVIKA</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66359-2018</t>
        </is>
      </c>
      <c r="B78" s="1" t="n">
        <v>43436</v>
      </c>
      <c r="C78" s="1" t="n">
        <v>45362</v>
      </c>
      <c r="D78" t="inlineStr">
        <is>
          <t>DALARNAS LÄN</t>
        </is>
      </c>
      <c r="E78" t="inlineStr">
        <is>
          <t>LUDVIKA</t>
        </is>
      </c>
      <c r="G78" t="n">
        <v>4.4</v>
      </c>
      <c r="H78" t="n">
        <v>0</v>
      </c>
      <c r="I78" t="n">
        <v>0</v>
      </c>
      <c r="J78" t="n">
        <v>0</v>
      </c>
      <c r="K78" t="n">
        <v>0</v>
      </c>
      <c r="L78" t="n">
        <v>0</v>
      </c>
      <c r="M78" t="n">
        <v>0</v>
      </c>
      <c r="N78" t="n">
        <v>0</v>
      </c>
      <c r="O78" t="n">
        <v>0</v>
      </c>
      <c r="P78" t="n">
        <v>0</v>
      </c>
      <c r="Q78" t="n">
        <v>0</v>
      </c>
      <c r="R78" s="2" t="inlineStr"/>
    </row>
    <row r="79" ht="15" customHeight="1">
      <c r="A79" t="inlineStr">
        <is>
          <t>A 69878-2018</t>
        </is>
      </c>
      <c r="B79" s="1" t="n">
        <v>43447</v>
      </c>
      <c r="C79" s="1" t="n">
        <v>45362</v>
      </c>
      <c r="D79" t="inlineStr">
        <is>
          <t>DALARNAS LÄN</t>
        </is>
      </c>
      <c r="E79" t="inlineStr">
        <is>
          <t>LUDVIKA</t>
        </is>
      </c>
      <c r="G79" t="n">
        <v>1.9</v>
      </c>
      <c r="H79" t="n">
        <v>0</v>
      </c>
      <c r="I79" t="n">
        <v>0</v>
      </c>
      <c r="J79" t="n">
        <v>0</v>
      </c>
      <c r="K79" t="n">
        <v>0</v>
      </c>
      <c r="L79" t="n">
        <v>0</v>
      </c>
      <c r="M79" t="n">
        <v>0</v>
      </c>
      <c r="N79" t="n">
        <v>0</v>
      </c>
      <c r="O79" t="n">
        <v>0</v>
      </c>
      <c r="P79" t="n">
        <v>0</v>
      </c>
      <c r="Q79" t="n">
        <v>0</v>
      </c>
      <c r="R79" s="2" t="inlineStr"/>
    </row>
    <row r="80" ht="15" customHeight="1">
      <c r="A80" t="inlineStr">
        <is>
          <t>A 70717-2018</t>
        </is>
      </c>
      <c r="B80" s="1" t="n">
        <v>43451</v>
      </c>
      <c r="C80" s="1" t="n">
        <v>45362</v>
      </c>
      <c r="D80" t="inlineStr">
        <is>
          <t>DALARNAS LÄN</t>
        </is>
      </c>
      <c r="E80" t="inlineStr">
        <is>
          <t>LUDVIKA</t>
        </is>
      </c>
      <c r="G80" t="n">
        <v>0.7</v>
      </c>
      <c r="H80" t="n">
        <v>0</v>
      </c>
      <c r="I80" t="n">
        <v>0</v>
      </c>
      <c r="J80" t="n">
        <v>0</v>
      </c>
      <c r="K80" t="n">
        <v>0</v>
      </c>
      <c r="L80" t="n">
        <v>0</v>
      </c>
      <c r="M80" t="n">
        <v>0</v>
      </c>
      <c r="N80" t="n">
        <v>0</v>
      </c>
      <c r="O80" t="n">
        <v>0</v>
      </c>
      <c r="P80" t="n">
        <v>0</v>
      </c>
      <c r="Q80" t="n">
        <v>0</v>
      </c>
      <c r="R80" s="2" t="inlineStr"/>
    </row>
    <row r="81" ht="15" customHeight="1">
      <c r="A81" t="inlineStr">
        <is>
          <t>A 71008-2018</t>
        </is>
      </c>
      <c r="B81" s="1" t="n">
        <v>43452</v>
      </c>
      <c r="C81" s="1" t="n">
        <v>45362</v>
      </c>
      <c r="D81" t="inlineStr">
        <is>
          <t>DALARNAS LÄN</t>
        </is>
      </c>
      <c r="E81" t="inlineStr">
        <is>
          <t>LUDVIKA</t>
        </is>
      </c>
      <c r="F81" t="inlineStr">
        <is>
          <t>Bergvik skog väst AB</t>
        </is>
      </c>
      <c r="G81" t="n">
        <v>5.1</v>
      </c>
      <c r="H81" t="n">
        <v>0</v>
      </c>
      <c r="I81" t="n">
        <v>0</v>
      </c>
      <c r="J81" t="n">
        <v>0</v>
      </c>
      <c r="K81" t="n">
        <v>0</v>
      </c>
      <c r="L81" t="n">
        <v>0</v>
      </c>
      <c r="M81" t="n">
        <v>0</v>
      </c>
      <c r="N81" t="n">
        <v>0</v>
      </c>
      <c r="O81" t="n">
        <v>0</v>
      </c>
      <c r="P81" t="n">
        <v>0</v>
      </c>
      <c r="Q81" t="n">
        <v>0</v>
      </c>
      <c r="R81" s="2" t="inlineStr"/>
    </row>
    <row r="82" ht="15" customHeight="1">
      <c r="A82" t="inlineStr">
        <is>
          <t>A 947-2019</t>
        </is>
      </c>
      <c r="B82" s="1" t="n">
        <v>43472</v>
      </c>
      <c r="C82" s="1" t="n">
        <v>45362</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954-2019</t>
        </is>
      </c>
      <c r="B83" s="1" t="n">
        <v>43472</v>
      </c>
      <c r="C83" s="1" t="n">
        <v>45362</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950-2019</t>
        </is>
      </c>
      <c r="B84" s="1" t="n">
        <v>43472</v>
      </c>
      <c r="C84" s="1" t="n">
        <v>45362</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1474-2019</t>
        </is>
      </c>
      <c r="B85" s="1" t="n">
        <v>43473</v>
      </c>
      <c r="C85" s="1" t="n">
        <v>45362</v>
      </c>
      <c r="D85" t="inlineStr">
        <is>
          <t>DALARNAS LÄN</t>
        </is>
      </c>
      <c r="E85" t="inlineStr">
        <is>
          <t>LUDVIKA</t>
        </is>
      </c>
      <c r="G85" t="n">
        <v>1</v>
      </c>
      <c r="H85" t="n">
        <v>0</v>
      </c>
      <c r="I85" t="n">
        <v>0</v>
      </c>
      <c r="J85" t="n">
        <v>0</v>
      </c>
      <c r="K85" t="n">
        <v>0</v>
      </c>
      <c r="L85" t="n">
        <v>0</v>
      </c>
      <c r="M85" t="n">
        <v>0</v>
      </c>
      <c r="N85" t="n">
        <v>0</v>
      </c>
      <c r="O85" t="n">
        <v>0</v>
      </c>
      <c r="P85" t="n">
        <v>0</v>
      </c>
      <c r="Q85" t="n">
        <v>0</v>
      </c>
      <c r="R85" s="2" t="inlineStr"/>
    </row>
    <row r="86" ht="15" customHeight="1">
      <c r="A86" t="inlineStr">
        <is>
          <t>A 1745-2019</t>
        </is>
      </c>
      <c r="B86" s="1" t="n">
        <v>43474</v>
      </c>
      <c r="C86" s="1" t="n">
        <v>45362</v>
      </c>
      <c r="D86" t="inlineStr">
        <is>
          <t>DALARNAS LÄN</t>
        </is>
      </c>
      <c r="E86" t="inlineStr">
        <is>
          <t>LUDVIKA</t>
        </is>
      </c>
      <c r="F86" t="inlineStr">
        <is>
          <t>Naturvårdsverket</t>
        </is>
      </c>
      <c r="G86" t="n">
        <v>8.199999999999999</v>
      </c>
      <c r="H86" t="n">
        <v>0</v>
      </c>
      <c r="I86" t="n">
        <v>0</v>
      </c>
      <c r="J86" t="n">
        <v>0</v>
      </c>
      <c r="K86" t="n">
        <v>0</v>
      </c>
      <c r="L86" t="n">
        <v>0</v>
      </c>
      <c r="M86" t="n">
        <v>0</v>
      </c>
      <c r="N86" t="n">
        <v>0</v>
      </c>
      <c r="O86" t="n">
        <v>0</v>
      </c>
      <c r="P86" t="n">
        <v>0</v>
      </c>
      <c r="Q86" t="n">
        <v>0</v>
      </c>
      <c r="R86" s="2" t="inlineStr"/>
    </row>
    <row r="87" ht="15" customHeight="1">
      <c r="A87" t="inlineStr">
        <is>
          <t>A 3336-2019</t>
        </is>
      </c>
      <c r="B87" s="1" t="n">
        <v>43474</v>
      </c>
      <c r="C87" s="1" t="n">
        <v>45362</v>
      </c>
      <c r="D87" t="inlineStr">
        <is>
          <t>DALARNAS LÄN</t>
        </is>
      </c>
      <c r="E87" t="inlineStr">
        <is>
          <t>LUDVIKA</t>
        </is>
      </c>
      <c r="G87" t="n">
        <v>1.9</v>
      </c>
      <c r="H87" t="n">
        <v>0</v>
      </c>
      <c r="I87" t="n">
        <v>0</v>
      </c>
      <c r="J87" t="n">
        <v>0</v>
      </c>
      <c r="K87" t="n">
        <v>0</v>
      </c>
      <c r="L87" t="n">
        <v>0</v>
      </c>
      <c r="M87" t="n">
        <v>0</v>
      </c>
      <c r="N87" t="n">
        <v>0</v>
      </c>
      <c r="O87" t="n">
        <v>0</v>
      </c>
      <c r="P87" t="n">
        <v>0</v>
      </c>
      <c r="Q87" t="n">
        <v>0</v>
      </c>
      <c r="R87" s="2" t="inlineStr"/>
    </row>
    <row r="88" ht="15" customHeight="1">
      <c r="A88" t="inlineStr">
        <is>
          <t>A 3319-2019</t>
        </is>
      </c>
      <c r="B88" s="1" t="n">
        <v>43474</v>
      </c>
      <c r="C88" s="1" t="n">
        <v>45362</v>
      </c>
      <c r="D88" t="inlineStr">
        <is>
          <t>DALARNAS LÄN</t>
        </is>
      </c>
      <c r="E88" t="inlineStr">
        <is>
          <t>LUDVIKA</t>
        </is>
      </c>
      <c r="G88" t="n">
        <v>1.5</v>
      </c>
      <c r="H88" t="n">
        <v>0</v>
      </c>
      <c r="I88" t="n">
        <v>0</v>
      </c>
      <c r="J88" t="n">
        <v>0</v>
      </c>
      <c r="K88" t="n">
        <v>0</v>
      </c>
      <c r="L88" t="n">
        <v>0</v>
      </c>
      <c r="M88" t="n">
        <v>0</v>
      </c>
      <c r="N88" t="n">
        <v>0</v>
      </c>
      <c r="O88" t="n">
        <v>0</v>
      </c>
      <c r="P88" t="n">
        <v>0</v>
      </c>
      <c r="Q88" t="n">
        <v>0</v>
      </c>
      <c r="R88" s="2" t="inlineStr"/>
    </row>
    <row r="89" ht="15" customHeight="1">
      <c r="A89" t="inlineStr">
        <is>
          <t>A 6450-2019</t>
        </is>
      </c>
      <c r="B89" s="1" t="n">
        <v>43494</v>
      </c>
      <c r="C89" s="1" t="n">
        <v>45362</v>
      </c>
      <c r="D89" t="inlineStr">
        <is>
          <t>DALARNAS LÄN</t>
        </is>
      </c>
      <c r="E89" t="inlineStr">
        <is>
          <t>LUDVIKA</t>
        </is>
      </c>
      <c r="F89" t="inlineStr">
        <is>
          <t>Bergvik skog väst AB</t>
        </is>
      </c>
      <c r="G89" t="n">
        <v>26.8</v>
      </c>
      <c r="H89" t="n">
        <v>0</v>
      </c>
      <c r="I89" t="n">
        <v>0</v>
      </c>
      <c r="J89" t="n">
        <v>0</v>
      </c>
      <c r="K89" t="n">
        <v>0</v>
      </c>
      <c r="L89" t="n">
        <v>0</v>
      </c>
      <c r="M89" t="n">
        <v>0</v>
      </c>
      <c r="N89" t="n">
        <v>0</v>
      </c>
      <c r="O89" t="n">
        <v>0</v>
      </c>
      <c r="P89" t="n">
        <v>0</v>
      </c>
      <c r="Q89" t="n">
        <v>0</v>
      </c>
      <c r="R89" s="2" t="inlineStr"/>
    </row>
    <row r="90" ht="15" customHeight="1">
      <c r="A90" t="inlineStr">
        <is>
          <t>A 7510-2019</t>
        </is>
      </c>
      <c r="B90" s="1" t="n">
        <v>43497</v>
      </c>
      <c r="C90" s="1" t="n">
        <v>45362</v>
      </c>
      <c r="D90" t="inlineStr">
        <is>
          <t>DALARNAS LÄN</t>
        </is>
      </c>
      <c r="E90" t="inlineStr">
        <is>
          <t>LUDVIKA</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8436-2019</t>
        </is>
      </c>
      <c r="B91" s="1" t="n">
        <v>43500</v>
      </c>
      <c r="C91" s="1" t="n">
        <v>45362</v>
      </c>
      <c r="D91" t="inlineStr">
        <is>
          <t>DALARNAS LÄN</t>
        </is>
      </c>
      <c r="E91" t="inlineStr">
        <is>
          <t>LUDVIKA</t>
        </is>
      </c>
      <c r="G91" t="n">
        <v>2.4</v>
      </c>
      <c r="H91" t="n">
        <v>0</v>
      </c>
      <c r="I91" t="n">
        <v>0</v>
      </c>
      <c r="J91" t="n">
        <v>0</v>
      </c>
      <c r="K91" t="n">
        <v>0</v>
      </c>
      <c r="L91" t="n">
        <v>0</v>
      </c>
      <c r="M91" t="n">
        <v>0</v>
      </c>
      <c r="N91" t="n">
        <v>0</v>
      </c>
      <c r="O91" t="n">
        <v>0</v>
      </c>
      <c r="P91" t="n">
        <v>0</v>
      </c>
      <c r="Q91" t="n">
        <v>0</v>
      </c>
      <c r="R91" s="2" t="inlineStr"/>
    </row>
    <row r="92" ht="15" customHeight="1">
      <c r="A92" t="inlineStr">
        <is>
          <t>A 8637-2019</t>
        </is>
      </c>
      <c r="B92" s="1" t="n">
        <v>43501</v>
      </c>
      <c r="C92" s="1" t="n">
        <v>45362</v>
      </c>
      <c r="D92" t="inlineStr">
        <is>
          <t>DALARNAS LÄN</t>
        </is>
      </c>
      <c r="E92" t="inlineStr">
        <is>
          <t>LUDVIKA</t>
        </is>
      </c>
      <c r="F92" t="inlineStr">
        <is>
          <t>Bergvik skog väst AB</t>
        </is>
      </c>
      <c r="G92" t="n">
        <v>12.3</v>
      </c>
      <c r="H92" t="n">
        <v>0</v>
      </c>
      <c r="I92" t="n">
        <v>0</v>
      </c>
      <c r="J92" t="n">
        <v>0</v>
      </c>
      <c r="K92" t="n">
        <v>0</v>
      </c>
      <c r="L92" t="n">
        <v>0</v>
      </c>
      <c r="M92" t="n">
        <v>0</v>
      </c>
      <c r="N92" t="n">
        <v>0</v>
      </c>
      <c r="O92" t="n">
        <v>0</v>
      </c>
      <c r="P92" t="n">
        <v>0</v>
      </c>
      <c r="Q92" t="n">
        <v>0</v>
      </c>
      <c r="R92" s="2" t="inlineStr"/>
    </row>
    <row r="93" ht="15" customHeight="1">
      <c r="A93" t="inlineStr">
        <is>
          <t>A 8288-2019</t>
        </is>
      </c>
      <c r="B93" s="1" t="n">
        <v>43502</v>
      </c>
      <c r="C93" s="1" t="n">
        <v>45362</v>
      </c>
      <c r="D93" t="inlineStr">
        <is>
          <t>DALARNAS LÄN</t>
        </is>
      </c>
      <c r="E93" t="inlineStr">
        <is>
          <t>LUDVIKA</t>
        </is>
      </c>
      <c r="G93" t="n">
        <v>0.7</v>
      </c>
      <c r="H93" t="n">
        <v>0</v>
      </c>
      <c r="I93" t="n">
        <v>0</v>
      </c>
      <c r="J93" t="n">
        <v>0</v>
      </c>
      <c r="K93" t="n">
        <v>0</v>
      </c>
      <c r="L93" t="n">
        <v>0</v>
      </c>
      <c r="M93" t="n">
        <v>0</v>
      </c>
      <c r="N93" t="n">
        <v>0</v>
      </c>
      <c r="O93" t="n">
        <v>0</v>
      </c>
      <c r="P93" t="n">
        <v>0</v>
      </c>
      <c r="Q93" t="n">
        <v>0</v>
      </c>
      <c r="R93" s="2" t="inlineStr"/>
    </row>
    <row r="94" ht="15" customHeight="1">
      <c r="A94" t="inlineStr">
        <is>
          <t>A 13808-2019</t>
        </is>
      </c>
      <c r="B94" s="1" t="n">
        <v>43531</v>
      </c>
      <c r="C94" s="1" t="n">
        <v>45362</v>
      </c>
      <c r="D94" t="inlineStr">
        <is>
          <t>DALARNAS LÄN</t>
        </is>
      </c>
      <c r="E94" t="inlineStr">
        <is>
          <t>LUDVIKA</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13951-2019</t>
        </is>
      </c>
      <c r="B95" s="1" t="n">
        <v>43532</v>
      </c>
      <c r="C95" s="1" t="n">
        <v>45362</v>
      </c>
      <c r="D95" t="inlineStr">
        <is>
          <t>DALARNAS LÄN</t>
        </is>
      </c>
      <c r="E95" t="inlineStr">
        <is>
          <t>LUDVIKA</t>
        </is>
      </c>
      <c r="G95" t="n">
        <v>4.7</v>
      </c>
      <c r="H95" t="n">
        <v>0</v>
      </c>
      <c r="I95" t="n">
        <v>0</v>
      </c>
      <c r="J95" t="n">
        <v>0</v>
      </c>
      <c r="K95" t="n">
        <v>0</v>
      </c>
      <c r="L95" t="n">
        <v>0</v>
      </c>
      <c r="M95" t="n">
        <v>0</v>
      </c>
      <c r="N95" t="n">
        <v>0</v>
      </c>
      <c r="O95" t="n">
        <v>0</v>
      </c>
      <c r="P95" t="n">
        <v>0</v>
      </c>
      <c r="Q95" t="n">
        <v>0</v>
      </c>
      <c r="R95" s="2" t="inlineStr"/>
    </row>
    <row r="96" ht="15" customHeight="1">
      <c r="A96" t="inlineStr">
        <is>
          <t>A 16514-2019</t>
        </is>
      </c>
      <c r="B96" s="1" t="n">
        <v>43546</v>
      </c>
      <c r="C96" s="1" t="n">
        <v>45362</v>
      </c>
      <c r="D96" t="inlineStr">
        <is>
          <t>DALARNAS LÄN</t>
        </is>
      </c>
      <c r="E96" t="inlineStr">
        <is>
          <t>LUDVIKA</t>
        </is>
      </c>
      <c r="G96" t="n">
        <v>4.6</v>
      </c>
      <c r="H96" t="n">
        <v>0</v>
      </c>
      <c r="I96" t="n">
        <v>0</v>
      </c>
      <c r="J96" t="n">
        <v>0</v>
      </c>
      <c r="K96" t="n">
        <v>0</v>
      </c>
      <c r="L96" t="n">
        <v>0</v>
      </c>
      <c r="M96" t="n">
        <v>0</v>
      </c>
      <c r="N96" t="n">
        <v>0</v>
      </c>
      <c r="O96" t="n">
        <v>0</v>
      </c>
      <c r="P96" t="n">
        <v>0</v>
      </c>
      <c r="Q96" t="n">
        <v>0</v>
      </c>
      <c r="R96" s="2" t="inlineStr"/>
    </row>
    <row r="97" ht="15" customHeight="1">
      <c r="A97" t="inlineStr">
        <is>
          <t>A 17105-2019</t>
        </is>
      </c>
      <c r="B97" s="1" t="n">
        <v>43551</v>
      </c>
      <c r="C97" s="1" t="n">
        <v>45362</v>
      </c>
      <c r="D97" t="inlineStr">
        <is>
          <t>DALARNAS LÄN</t>
        </is>
      </c>
      <c r="E97" t="inlineStr">
        <is>
          <t>LUDVIKA</t>
        </is>
      </c>
      <c r="F97" t="inlineStr">
        <is>
          <t>Bergvik skog väst AB</t>
        </is>
      </c>
      <c r="G97" t="n">
        <v>1.4</v>
      </c>
      <c r="H97" t="n">
        <v>0</v>
      </c>
      <c r="I97" t="n">
        <v>0</v>
      </c>
      <c r="J97" t="n">
        <v>0</v>
      </c>
      <c r="K97" t="n">
        <v>0</v>
      </c>
      <c r="L97" t="n">
        <v>0</v>
      </c>
      <c r="M97" t="n">
        <v>0</v>
      </c>
      <c r="N97" t="n">
        <v>0</v>
      </c>
      <c r="O97" t="n">
        <v>0</v>
      </c>
      <c r="P97" t="n">
        <v>0</v>
      </c>
      <c r="Q97" t="n">
        <v>0</v>
      </c>
      <c r="R97" s="2" t="inlineStr"/>
    </row>
    <row r="98" ht="15" customHeight="1">
      <c r="A98" t="inlineStr">
        <is>
          <t>A 17077-2019</t>
        </is>
      </c>
      <c r="B98" s="1" t="n">
        <v>43551</v>
      </c>
      <c r="C98" s="1" t="n">
        <v>45362</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17947-2019</t>
        </is>
      </c>
      <c r="B99" s="1" t="n">
        <v>43557</v>
      </c>
      <c r="C99" s="1" t="n">
        <v>45362</v>
      </c>
      <c r="D99" t="inlineStr">
        <is>
          <t>DALARNAS LÄN</t>
        </is>
      </c>
      <c r="E99" t="inlineStr">
        <is>
          <t>LUDVIKA</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19571-2019</t>
        </is>
      </c>
      <c r="B100" s="1" t="n">
        <v>43566</v>
      </c>
      <c r="C100" s="1" t="n">
        <v>45362</v>
      </c>
      <c r="D100" t="inlineStr">
        <is>
          <t>DALARNAS LÄN</t>
        </is>
      </c>
      <c r="E100" t="inlineStr">
        <is>
          <t>LUDVIKA</t>
        </is>
      </c>
      <c r="G100" t="n">
        <v>3.7</v>
      </c>
      <c r="H100" t="n">
        <v>0</v>
      </c>
      <c r="I100" t="n">
        <v>0</v>
      </c>
      <c r="J100" t="n">
        <v>0</v>
      </c>
      <c r="K100" t="n">
        <v>0</v>
      </c>
      <c r="L100" t="n">
        <v>0</v>
      </c>
      <c r="M100" t="n">
        <v>0</v>
      </c>
      <c r="N100" t="n">
        <v>0</v>
      </c>
      <c r="O100" t="n">
        <v>0</v>
      </c>
      <c r="P100" t="n">
        <v>0</v>
      </c>
      <c r="Q100" t="n">
        <v>0</v>
      </c>
      <c r="R100" s="2" t="inlineStr"/>
    </row>
    <row r="101" ht="15" customHeight="1">
      <c r="A101" t="inlineStr">
        <is>
          <t>A 23351-2019</t>
        </is>
      </c>
      <c r="B101" s="1" t="n">
        <v>43593</v>
      </c>
      <c r="C101" s="1" t="n">
        <v>45362</v>
      </c>
      <c r="D101" t="inlineStr">
        <is>
          <t>DALARNAS LÄN</t>
        </is>
      </c>
      <c r="E101" t="inlineStr">
        <is>
          <t>LUDVIKA</t>
        </is>
      </c>
      <c r="G101" t="n">
        <v>3.3</v>
      </c>
      <c r="H101" t="n">
        <v>0</v>
      </c>
      <c r="I101" t="n">
        <v>0</v>
      </c>
      <c r="J101" t="n">
        <v>0</v>
      </c>
      <c r="K101" t="n">
        <v>0</v>
      </c>
      <c r="L101" t="n">
        <v>0</v>
      </c>
      <c r="M101" t="n">
        <v>0</v>
      </c>
      <c r="N101" t="n">
        <v>0</v>
      </c>
      <c r="O101" t="n">
        <v>0</v>
      </c>
      <c r="P101" t="n">
        <v>0</v>
      </c>
      <c r="Q101" t="n">
        <v>0</v>
      </c>
      <c r="R101" s="2" t="inlineStr"/>
    </row>
    <row r="102" ht="15" customHeight="1">
      <c r="A102" t="inlineStr">
        <is>
          <t>A 23487-2019</t>
        </is>
      </c>
      <c r="B102" s="1" t="n">
        <v>43594</v>
      </c>
      <c r="C102" s="1" t="n">
        <v>45362</v>
      </c>
      <c r="D102" t="inlineStr">
        <is>
          <t>DALARNAS LÄN</t>
        </is>
      </c>
      <c r="E102" t="inlineStr">
        <is>
          <t>LUDVIKA</t>
        </is>
      </c>
      <c r="G102" t="n">
        <v>2.5</v>
      </c>
      <c r="H102" t="n">
        <v>0</v>
      </c>
      <c r="I102" t="n">
        <v>0</v>
      </c>
      <c r="J102" t="n">
        <v>0</v>
      </c>
      <c r="K102" t="n">
        <v>0</v>
      </c>
      <c r="L102" t="n">
        <v>0</v>
      </c>
      <c r="M102" t="n">
        <v>0</v>
      </c>
      <c r="N102" t="n">
        <v>0</v>
      </c>
      <c r="O102" t="n">
        <v>0</v>
      </c>
      <c r="P102" t="n">
        <v>0</v>
      </c>
      <c r="Q102" t="n">
        <v>0</v>
      </c>
      <c r="R102" s="2" t="inlineStr"/>
    </row>
    <row r="103" ht="15" customHeight="1">
      <c r="A103" t="inlineStr">
        <is>
          <t>A 24629-2019</t>
        </is>
      </c>
      <c r="B103" s="1" t="n">
        <v>43601</v>
      </c>
      <c r="C103" s="1" t="n">
        <v>45362</v>
      </c>
      <c r="D103" t="inlineStr">
        <is>
          <t>DALARNAS LÄN</t>
        </is>
      </c>
      <c r="E103" t="inlineStr">
        <is>
          <t>LUDVIKA</t>
        </is>
      </c>
      <c r="G103" t="n">
        <v>3</v>
      </c>
      <c r="H103" t="n">
        <v>0</v>
      </c>
      <c r="I103" t="n">
        <v>0</v>
      </c>
      <c r="J103" t="n">
        <v>0</v>
      </c>
      <c r="K103" t="n">
        <v>0</v>
      </c>
      <c r="L103" t="n">
        <v>0</v>
      </c>
      <c r="M103" t="n">
        <v>0</v>
      </c>
      <c r="N103" t="n">
        <v>0</v>
      </c>
      <c r="O103" t="n">
        <v>0</v>
      </c>
      <c r="P103" t="n">
        <v>0</v>
      </c>
      <c r="Q103" t="n">
        <v>0</v>
      </c>
      <c r="R103" s="2" t="inlineStr"/>
    </row>
    <row r="104" ht="15" customHeight="1">
      <c r="A104" t="inlineStr">
        <is>
          <t>A 25116-2019</t>
        </is>
      </c>
      <c r="B104" s="1" t="n">
        <v>43605</v>
      </c>
      <c r="C104" s="1" t="n">
        <v>45362</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27005-2019</t>
        </is>
      </c>
      <c r="B105" s="1" t="n">
        <v>43614</v>
      </c>
      <c r="C105" s="1" t="n">
        <v>45362</v>
      </c>
      <c r="D105" t="inlineStr">
        <is>
          <t>DALARNAS LÄN</t>
        </is>
      </c>
      <c r="E105" t="inlineStr">
        <is>
          <t>LUDVIKA</t>
        </is>
      </c>
      <c r="F105" t="inlineStr">
        <is>
          <t>Bergvik skog väst AB</t>
        </is>
      </c>
      <c r="G105" t="n">
        <v>22.4</v>
      </c>
      <c r="H105" t="n">
        <v>0</v>
      </c>
      <c r="I105" t="n">
        <v>0</v>
      </c>
      <c r="J105" t="n">
        <v>0</v>
      </c>
      <c r="K105" t="n">
        <v>0</v>
      </c>
      <c r="L105" t="n">
        <v>0</v>
      </c>
      <c r="M105" t="n">
        <v>0</v>
      </c>
      <c r="N105" t="n">
        <v>0</v>
      </c>
      <c r="O105" t="n">
        <v>0</v>
      </c>
      <c r="P105" t="n">
        <v>0</v>
      </c>
      <c r="Q105" t="n">
        <v>0</v>
      </c>
      <c r="R105" s="2" t="inlineStr"/>
    </row>
    <row r="106" ht="15" customHeight="1">
      <c r="A106" t="inlineStr">
        <is>
          <t>A 29027-2019</t>
        </is>
      </c>
      <c r="B106" s="1" t="n">
        <v>43628</v>
      </c>
      <c r="C106" s="1" t="n">
        <v>45362</v>
      </c>
      <c r="D106" t="inlineStr">
        <is>
          <t>DALARNAS LÄN</t>
        </is>
      </c>
      <c r="E106" t="inlineStr">
        <is>
          <t>LUDVIKA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30233-2019</t>
        </is>
      </c>
      <c r="B107" s="1" t="n">
        <v>43630</v>
      </c>
      <c r="C107" s="1" t="n">
        <v>45362</v>
      </c>
      <c r="D107" t="inlineStr">
        <is>
          <t>DALARNAS LÄN</t>
        </is>
      </c>
      <c r="E107" t="inlineStr">
        <is>
          <t>LUDVIKA</t>
        </is>
      </c>
      <c r="G107" t="n">
        <v>0.3</v>
      </c>
      <c r="H107" t="n">
        <v>0</v>
      </c>
      <c r="I107" t="n">
        <v>0</v>
      </c>
      <c r="J107" t="n">
        <v>0</v>
      </c>
      <c r="K107" t="n">
        <v>0</v>
      </c>
      <c r="L107" t="n">
        <v>0</v>
      </c>
      <c r="M107" t="n">
        <v>0</v>
      </c>
      <c r="N107" t="n">
        <v>0</v>
      </c>
      <c r="O107" t="n">
        <v>0</v>
      </c>
      <c r="P107" t="n">
        <v>0</v>
      </c>
      <c r="Q107" t="n">
        <v>0</v>
      </c>
      <c r="R107" s="2" t="inlineStr"/>
    </row>
    <row r="108" ht="15" customHeight="1">
      <c r="A108" t="inlineStr">
        <is>
          <t>A 30102-2019</t>
        </is>
      </c>
      <c r="B108" s="1" t="n">
        <v>43630</v>
      </c>
      <c r="C108" s="1" t="n">
        <v>45362</v>
      </c>
      <c r="D108" t="inlineStr">
        <is>
          <t>DALARNAS LÄN</t>
        </is>
      </c>
      <c r="E108" t="inlineStr">
        <is>
          <t>LUDVIKA</t>
        </is>
      </c>
      <c r="G108" t="n">
        <v>2.3</v>
      </c>
      <c r="H108" t="n">
        <v>0</v>
      </c>
      <c r="I108" t="n">
        <v>0</v>
      </c>
      <c r="J108" t="n">
        <v>0</v>
      </c>
      <c r="K108" t="n">
        <v>0</v>
      </c>
      <c r="L108" t="n">
        <v>0</v>
      </c>
      <c r="M108" t="n">
        <v>0</v>
      </c>
      <c r="N108" t="n">
        <v>0</v>
      </c>
      <c r="O108" t="n">
        <v>0</v>
      </c>
      <c r="P108" t="n">
        <v>0</v>
      </c>
      <c r="Q108" t="n">
        <v>0</v>
      </c>
      <c r="R108" s="2" t="inlineStr"/>
    </row>
    <row r="109" ht="15" customHeight="1">
      <c r="A109" t="inlineStr">
        <is>
          <t>A 30121-2019</t>
        </is>
      </c>
      <c r="B109" s="1" t="n">
        <v>43630</v>
      </c>
      <c r="C109" s="1" t="n">
        <v>45362</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30040-2019</t>
        </is>
      </c>
      <c r="B110" s="1" t="n">
        <v>43633</v>
      </c>
      <c r="C110" s="1" t="n">
        <v>45362</v>
      </c>
      <c r="D110" t="inlineStr">
        <is>
          <t>DALARNAS LÄN</t>
        </is>
      </c>
      <c r="E110" t="inlineStr">
        <is>
          <t>LUDVIKA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30887-2019</t>
        </is>
      </c>
      <c r="B111" s="1" t="n">
        <v>43636</v>
      </c>
      <c r="C111" s="1" t="n">
        <v>45362</v>
      </c>
      <c r="D111" t="inlineStr">
        <is>
          <t>DALARNAS LÄN</t>
        </is>
      </c>
      <c r="E111" t="inlineStr">
        <is>
          <t>LUDVIKA</t>
        </is>
      </c>
      <c r="F111" t="inlineStr">
        <is>
          <t>Bergvik skog väst AB</t>
        </is>
      </c>
      <c r="G111" t="n">
        <v>5.5</v>
      </c>
      <c r="H111" t="n">
        <v>0</v>
      </c>
      <c r="I111" t="n">
        <v>0</v>
      </c>
      <c r="J111" t="n">
        <v>0</v>
      </c>
      <c r="K111" t="n">
        <v>0</v>
      </c>
      <c r="L111" t="n">
        <v>0</v>
      </c>
      <c r="M111" t="n">
        <v>0</v>
      </c>
      <c r="N111" t="n">
        <v>0</v>
      </c>
      <c r="O111" t="n">
        <v>0</v>
      </c>
      <c r="P111" t="n">
        <v>0</v>
      </c>
      <c r="Q111" t="n">
        <v>0</v>
      </c>
      <c r="R111" s="2" t="inlineStr"/>
    </row>
    <row r="112" ht="15" customHeight="1">
      <c r="A112" t="inlineStr">
        <is>
          <t>A 33194-2019</t>
        </is>
      </c>
      <c r="B112" s="1" t="n">
        <v>43649</v>
      </c>
      <c r="C112" s="1" t="n">
        <v>45362</v>
      </c>
      <c r="D112" t="inlineStr">
        <is>
          <t>DALARNAS LÄN</t>
        </is>
      </c>
      <c r="E112" t="inlineStr">
        <is>
          <t>LUDVIKA</t>
        </is>
      </c>
      <c r="G112" t="n">
        <v>0.4</v>
      </c>
      <c r="H112" t="n">
        <v>0</v>
      </c>
      <c r="I112" t="n">
        <v>0</v>
      </c>
      <c r="J112" t="n">
        <v>0</v>
      </c>
      <c r="K112" t="n">
        <v>0</v>
      </c>
      <c r="L112" t="n">
        <v>0</v>
      </c>
      <c r="M112" t="n">
        <v>0</v>
      </c>
      <c r="N112" t="n">
        <v>0</v>
      </c>
      <c r="O112" t="n">
        <v>0</v>
      </c>
      <c r="P112" t="n">
        <v>0</v>
      </c>
      <c r="Q112" t="n">
        <v>0</v>
      </c>
      <c r="R112" s="2" t="inlineStr"/>
    </row>
    <row r="113" ht="15" customHeight="1">
      <c r="A113" t="inlineStr">
        <is>
          <t>A 34472-2019</t>
        </is>
      </c>
      <c r="B113" s="1" t="n">
        <v>43656</v>
      </c>
      <c r="C113" s="1" t="n">
        <v>45362</v>
      </c>
      <c r="D113" t="inlineStr">
        <is>
          <t>DALARNAS LÄN</t>
        </is>
      </c>
      <c r="E113" t="inlineStr">
        <is>
          <t>LUDVIKA</t>
        </is>
      </c>
      <c r="G113" t="n">
        <v>1.2</v>
      </c>
      <c r="H113" t="n">
        <v>0</v>
      </c>
      <c r="I113" t="n">
        <v>0</v>
      </c>
      <c r="J113" t="n">
        <v>0</v>
      </c>
      <c r="K113" t="n">
        <v>0</v>
      </c>
      <c r="L113" t="n">
        <v>0</v>
      </c>
      <c r="M113" t="n">
        <v>0</v>
      </c>
      <c r="N113" t="n">
        <v>0</v>
      </c>
      <c r="O113" t="n">
        <v>0</v>
      </c>
      <c r="P113" t="n">
        <v>0</v>
      </c>
      <c r="Q113" t="n">
        <v>0</v>
      </c>
      <c r="R113" s="2" t="inlineStr"/>
    </row>
    <row r="114" ht="15" customHeight="1">
      <c r="A114" t="inlineStr">
        <is>
          <t>A 35230-2019</t>
        </is>
      </c>
      <c r="B114" s="1" t="n">
        <v>43662</v>
      </c>
      <c r="C114" s="1" t="n">
        <v>45362</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35634-2019</t>
        </is>
      </c>
      <c r="B115" s="1" t="n">
        <v>43664</v>
      </c>
      <c r="C115" s="1" t="n">
        <v>45362</v>
      </c>
      <c r="D115" t="inlineStr">
        <is>
          <t>DALARNAS LÄN</t>
        </is>
      </c>
      <c r="E115" t="inlineStr">
        <is>
          <t>LUDVIKA</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37612-2019</t>
        </is>
      </c>
      <c r="B116" s="1" t="n">
        <v>43681</v>
      </c>
      <c r="C116" s="1" t="n">
        <v>45362</v>
      </c>
      <c r="D116" t="inlineStr">
        <is>
          <t>DALARNAS LÄN</t>
        </is>
      </c>
      <c r="E116" t="inlineStr">
        <is>
          <t>LUDVIKA</t>
        </is>
      </c>
      <c r="G116" t="n">
        <v>2.7</v>
      </c>
      <c r="H116" t="n">
        <v>0</v>
      </c>
      <c r="I116" t="n">
        <v>0</v>
      </c>
      <c r="J116" t="n">
        <v>0</v>
      </c>
      <c r="K116" t="n">
        <v>0</v>
      </c>
      <c r="L116" t="n">
        <v>0</v>
      </c>
      <c r="M116" t="n">
        <v>0</v>
      </c>
      <c r="N116" t="n">
        <v>0</v>
      </c>
      <c r="O116" t="n">
        <v>0</v>
      </c>
      <c r="P116" t="n">
        <v>0</v>
      </c>
      <c r="Q116" t="n">
        <v>0</v>
      </c>
      <c r="R116" s="2" t="inlineStr"/>
    </row>
    <row r="117" ht="15" customHeight="1">
      <c r="A117" t="inlineStr">
        <is>
          <t>A 40358-2019</t>
        </is>
      </c>
      <c r="B117" s="1" t="n">
        <v>43696</v>
      </c>
      <c r="C117" s="1" t="n">
        <v>45362</v>
      </c>
      <c r="D117" t="inlineStr">
        <is>
          <t>DALARNAS LÄN</t>
        </is>
      </c>
      <c r="E117" t="inlineStr">
        <is>
          <t>LUDVIKA</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41395-2019</t>
        </is>
      </c>
      <c r="B118" s="1" t="n">
        <v>43698</v>
      </c>
      <c r="C118" s="1" t="n">
        <v>45362</v>
      </c>
      <c r="D118" t="inlineStr">
        <is>
          <t>DALARNAS LÄN</t>
        </is>
      </c>
      <c r="E118" t="inlineStr">
        <is>
          <t>LUDVIKA</t>
        </is>
      </c>
      <c r="G118" t="n">
        <v>1</v>
      </c>
      <c r="H118" t="n">
        <v>0</v>
      </c>
      <c r="I118" t="n">
        <v>0</v>
      </c>
      <c r="J118" t="n">
        <v>0</v>
      </c>
      <c r="K118" t="n">
        <v>0</v>
      </c>
      <c r="L118" t="n">
        <v>0</v>
      </c>
      <c r="M118" t="n">
        <v>0</v>
      </c>
      <c r="N118" t="n">
        <v>0</v>
      </c>
      <c r="O118" t="n">
        <v>0</v>
      </c>
      <c r="P118" t="n">
        <v>0</v>
      </c>
      <c r="Q118" t="n">
        <v>0</v>
      </c>
      <c r="R118" s="2" t="inlineStr"/>
    </row>
    <row r="119" ht="15" customHeight="1">
      <c r="A119" t="inlineStr">
        <is>
          <t>A 42849-2019</t>
        </is>
      </c>
      <c r="B119" s="1" t="n">
        <v>43700</v>
      </c>
      <c r="C119" s="1" t="n">
        <v>45362</v>
      </c>
      <c r="D119" t="inlineStr">
        <is>
          <t>DALARNAS LÄN</t>
        </is>
      </c>
      <c r="E119" t="inlineStr">
        <is>
          <t>LUDVIKA</t>
        </is>
      </c>
      <c r="G119" t="n">
        <v>1.4</v>
      </c>
      <c r="H119" t="n">
        <v>0</v>
      </c>
      <c r="I119" t="n">
        <v>0</v>
      </c>
      <c r="J119" t="n">
        <v>0</v>
      </c>
      <c r="K119" t="n">
        <v>0</v>
      </c>
      <c r="L119" t="n">
        <v>0</v>
      </c>
      <c r="M119" t="n">
        <v>0</v>
      </c>
      <c r="N119" t="n">
        <v>0</v>
      </c>
      <c r="O119" t="n">
        <v>0</v>
      </c>
      <c r="P119" t="n">
        <v>0</v>
      </c>
      <c r="Q119" t="n">
        <v>0</v>
      </c>
      <c r="R119" s="2" t="inlineStr"/>
    </row>
    <row r="120" ht="15" customHeight="1">
      <c r="A120" t="inlineStr">
        <is>
          <t>A 43074-2019</t>
        </is>
      </c>
      <c r="B120" s="1" t="n">
        <v>43705</v>
      </c>
      <c r="C120" s="1" t="n">
        <v>45362</v>
      </c>
      <c r="D120" t="inlineStr">
        <is>
          <t>DALARNAS LÄN</t>
        </is>
      </c>
      <c r="E120" t="inlineStr">
        <is>
          <t>LUDVIKA</t>
        </is>
      </c>
      <c r="F120" t="inlineStr">
        <is>
          <t>Bergvik skog väst AB</t>
        </is>
      </c>
      <c r="G120" t="n">
        <v>3.2</v>
      </c>
      <c r="H120" t="n">
        <v>0</v>
      </c>
      <c r="I120" t="n">
        <v>0</v>
      </c>
      <c r="J120" t="n">
        <v>0</v>
      </c>
      <c r="K120" t="n">
        <v>0</v>
      </c>
      <c r="L120" t="n">
        <v>0</v>
      </c>
      <c r="M120" t="n">
        <v>0</v>
      </c>
      <c r="N120" t="n">
        <v>0</v>
      </c>
      <c r="O120" t="n">
        <v>0</v>
      </c>
      <c r="P120" t="n">
        <v>0</v>
      </c>
      <c r="Q120" t="n">
        <v>0</v>
      </c>
      <c r="R120" s="2" t="inlineStr"/>
    </row>
    <row r="121" ht="15" customHeight="1">
      <c r="A121" t="inlineStr">
        <is>
          <t>A 45480-2019</t>
        </is>
      </c>
      <c r="B121" s="1" t="n">
        <v>43714</v>
      </c>
      <c r="C121" s="1" t="n">
        <v>45362</v>
      </c>
      <c r="D121" t="inlineStr">
        <is>
          <t>DALARNAS LÄN</t>
        </is>
      </c>
      <c r="E121" t="inlineStr">
        <is>
          <t>LUDVIKA</t>
        </is>
      </c>
      <c r="F121" t="inlineStr">
        <is>
          <t>Bergvik skog väst AB</t>
        </is>
      </c>
      <c r="G121" t="n">
        <v>1.9</v>
      </c>
      <c r="H121" t="n">
        <v>0</v>
      </c>
      <c r="I121" t="n">
        <v>0</v>
      </c>
      <c r="J121" t="n">
        <v>0</v>
      </c>
      <c r="K121" t="n">
        <v>0</v>
      </c>
      <c r="L121" t="n">
        <v>0</v>
      </c>
      <c r="M121" t="n">
        <v>0</v>
      </c>
      <c r="N121" t="n">
        <v>0</v>
      </c>
      <c r="O121" t="n">
        <v>0</v>
      </c>
      <c r="P121" t="n">
        <v>0</v>
      </c>
      <c r="Q121" t="n">
        <v>0</v>
      </c>
      <c r="R121" s="2" t="inlineStr"/>
    </row>
    <row r="122" ht="15" customHeight="1">
      <c r="A122" t="inlineStr">
        <is>
          <t>A 47012-2019</t>
        </is>
      </c>
      <c r="B122" s="1" t="n">
        <v>43720</v>
      </c>
      <c r="C122" s="1" t="n">
        <v>45362</v>
      </c>
      <c r="D122" t="inlineStr">
        <is>
          <t>DALARNAS LÄN</t>
        </is>
      </c>
      <c r="E122" t="inlineStr">
        <is>
          <t>LUDVIKA</t>
        </is>
      </c>
      <c r="F122" t="inlineStr">
        <is>
          <t>Kyrkan</t>
        </is>
      </c>
      <c r="G122" t="n">
        <v>2</v>
      </c>
      <c r="H122" t="n">
        <v>0</v>
      </c>
      <c r="I122" t="n">
        <v>0</v>
      </c>
      <c r="J122" t="n">
        <v>0</v>
      </c>
      <c r="K122" t="n">
        <v>0</v>
      </c>
      <c r="L122" t="n">
        <v>0</v>
      </c>
      <c r="M122" t="n">
        <v>0</v>
      </c>
      <c r="N122" t="n">
        <v>0</v>
      </c>
      <c r="O122" t="n">
        <v>0</v>
      </c>
      <c r="P122" t="n">
        <v>0</v>
      </c>
      <c r="Q122" t="n">
        <v>0</v>
      </c>
      <c r="R122" s="2" t="inlineStr"/>
    </row>
    <row r="123" ht="15" customHeight="1">
      <c r="A123" t="inlineStr">
        <is>
          <t>A 49329-2019</t>
        </is>
      </c>
      <c r="B123" s="1" t="n">
        <v>43731</v>
      </c>
      <c r="C123" s="1" t="n">
        <v>45362</v>
      </c>
      <c r="D123" t="inlineStr">
        <is>
          <t>DALARNAS LÄN</t>
        </is>
      </c>
      <c r="E123" t="inlineStr">
        <is>
          <t>LUDVIKA</t>
        </is>
      </c>
      <c r="G123" t="n">
        <v>1.2</v>
      </c>
      <c r="H123" t="n">
        <v>0</v>
      </c>
      <c r="I123" t="n">
        <v>0</v>
      </c>
      <c r="J123" t="n">
        <v>0</v>
      </c>
      <c r="K123" t="n">
        <v>0</v>
      </c>
      <c r="L123" t="n">
        <v>0</v>
      </c>
      <c r="M123" t="n">
        <v>0</v>
      </c>
      <c r="N123" t="n">
        <v>0</v>
      </c>
      <c r="O123" t="n">
        <v>0</v>
      </c>
      <c r="P123" t="n">
        <v>0</v>
      </c>
      <c r="Q123" t="n">
        <v>0</v>
      </c>
      <c r="R123" s="2" t="inlineStr"/>
    </row>
    <row r="124" ht="15" customHeight="1">
      <c r="A124" t="inlineStr">
        <is>
          <t>A 49699-2019</t>
        </is>
      </c>
      <c r="B124" s="1" t="n">
        <v>43733</v>
      </c>
      <c r="C124" s="1" t="n">
        <v>45362</v>
      </c>
      <c r="D124" t="inlineStr">
        <is>
          <t>DALARNAS LÄN</t>
        </is>
      </c>
      <c r="E124" t="inlineStr">
        <is>
          <t>LUDVIKA</t>
        </is>
      </c>
      <c r="G124" t="n">
        <v>2.1</v>
      </c>
      <c r="H124" t="n">
        <v>0</v>
      </c>
      <c r="I124" t="n">
        <v>0</v>
      </c>
      <c r="J124" t="n">
        <v>0</v>
      </c>
      <c r="K124" t="n">
        <v>0</v>
      </c>
      <c r="L124" t="n">
        <v>0</v>
      </c>
      <c r="M124" t="n">
        <v>0</v>
      </c>
      <c r="N124" t="n">
        <v>0</v>
      </c>
      <c r="O124" t="n">
        <v>0</v>
      </c>
      <c r="P124" t="n">
        <v>0</v>
      </c>
      <c r="Q124" t="n">
        <v>0</v>
      </c>
      <c r="R124" s="2" t="inlineStr"/>
    </row>
    <row r="125" ht="15" customHeight="1">
      <c r="A125" t="inlineStr">
        <is>
          <t>A 50024-2019</t>
        </is>
      </c>
      <c r="B125" s="1" t="n">
        <v>43734</v>
      </c>
      <c r="C125" s="1" t="n">
        <v>45362</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53038-2019</t>
        </is>
      </c>
      <c r="B126" s="1" t="n">
        <v>43747</v>
      </c>
      <c r="C126" s="1" t="n">
        <v>45362</v>
      </c>
      <c r="D126" t="inlineStr">
        <is>
          <t>DALARNAS LÄN</t>
        </is>
      </c>
      <c r="E126" t="inlineStr">
        <is>
          <t>LUDVIKA</t>
        </is>
      </c>
      <c r="G126" t="n">
        <v>10.6</v>
      </c>
      <c r="H126" t="n">
        <v>0</v>
      </c>
      <c r="I126" t="n">
        <v>0</v>
      </c>
      <c r="J126" t="n">
        <v>0</v>
      </c>
      <c r="K126" t="n">
        <v>0</v>
      </c>
      <c r="L126" t="n">
        <v>0</v>
      </c>
      <c r="M126" t="n">
        <v>0</v>
      </c>
      <c r="N126" t="n">
        <v>0</v>
      </c>
      <c r="O126" t="n">
        <v>0</v>
      </c>
      <c r="P126" t="n">
        <v>0</v>
      </c>
      <c r="Q126" t="n">
        <v>0</v>
      </c>
      <c r="R126" s="2" t="inlineStr"/>
    </row>
    <row r="127" ht="15" customHeight="1">
      <c r="A127" t="inlineStr">
        <is>
          <t>A 59304-2019</t>
        </is>
      </c>
      <c r="B127" s="1" t="n">
        <v>43770</v>
      </c>
      <c r="C127" s="1" t="n">
        <v>45362</v>
      </c>
      <c r="D127" t="inlineStr">
        <is>
          <t>DALARNAS LÄN</t>
        </is>
      </c>
      <c r="E127" t="inlineStr">
        <is>
          <t>LUDVIKA</t>
        </is>
      </c>
      <c r="G127" t="n">
        <v>3.2</v>
      </c>
      <c r="H127" t="n">
        <v>0</v>
      </c>
      <c r="I127" t="n">
        <v>0</v>
      </c>
      <c r="J127" t="n">
        <v>0</v>
      </c>
      <c r="K127" t="n">
        <v>0</v>
      </c>
      <c r="L127" t="n">
        <v>0</v>
      </c>
      <c r="M127" t="n">
        <v>0</v>
      </c>
      <c r="N127" t="n">
        <v>0</v>
      </c>
      <c r="O127" t="n">
        <v>0</v>
      </c>
      <c r="P127" t="n">
        <v>0</v>
      </c>
      <c r="Q127" t="n">
        <v>0</v>
      </c>
      <c r="R127" s="2" t="inlineStr"/>
    </row>
    <row r="128" ht="15" customHeight="1">
      <c r="A128" t="inlineStr">
        <is>
          <t>A 60221-2019</t>
        </is>
      </c>
      <c r="B128" s="1" t="n">
        <v>43780</v>
      </c>
      <c r="C128" s="1" t="n">
        <v>45362</v>
      </c>
      <c r="D128" t="inlineStr">
        <is>
          <t>DALARNAS LÄN</t>
        </is>
      </c>
      <c r="E128" t="inlineStr">
        <is>
          <t>LUDVIKA</t>
        </is>
      </c>
      <c r="G128" t="n">
        <v>3.4</v>
      </c>
      <c r="H128" t="n">
        <v>0</v>
      </c>
      <c r="I128" t="n">
        <v>0</v>
      </c>
      <c r="J128" t="n">
        <v>0</v>
      </c>
      <c r="K128" t="n">
        <v>0</v>
      </c>
      <c r="L128" t="n">
        <v>0</v>
      </c>
      <c r="M128" t="n">
        <v>0</v>
      </c>
      <c r="N128" t="n">
        <v>0</v>
      </c>
      <c r="O128" t="n">
        <v>0</v>
      </c>
      <c r="P128" t="n">
        <v>0</v>
      </c>
      <c r="Q128" t="n">
        <v>0</v>
      </c>
      <c r="R128" s="2" t="inlineStr"/>
    </row>
    <row r="129" ht="15" customHeight="1">
      <c r="A129" t="inlineStr">
        <is>
          <t>A 61027-2019</t>
        </is>
      </c>
      <c r="B129" s="1" t="n">
        <v>43782</v>
      </c>
      <c r="C129" s="1" t="n">
        <v>45362</v>
      </c>
      <c r="D129" t="inlineStr">
        <is>
          <t>DALARNAS LÄN</t>
        </is>
      </c>
      <c r="E129" t="inlineStr">
        <is>
          <t>LUDVIKA</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62356-2019</t>
        </is>
      </c>
      <c r="B130" s="1" t="n">
        <v>43788</v>
      </c>
      <c r="C130" s="1" t="n">
        <v>45362</v>
      </c>
      <c r="D130" t="inlineStr">
        <is>
          <t>DALARNAS LÄN</t>
        </is>
      </c>
      <c r="E130" t="inlineStr">
        <is>
          <t>LUDVIKA</t>
        </is>
      </c>
      <c r="F130" t="inlineStr">
        <is>
          <t>Bergvik skog väst AB</t>
        </is>
      </c>
      <c r="G130" t="n">
        <v>2.8</v>
      </c>
      <c r="H130" t="n">
        <v>0</v>
      </c>
      <c r="I130" t="n">
        <v>0</v>
      </c>
      <c r="J130" t="n">
        <v>0</v>
      </c>
      <c r="K130" t="n">
        <v>0</v>
      </c>
      <c r="L130" t="n">
        <v>0</v>
      </c>
      <c r="M130" t="n">
        <v>0</v>
      </c>
      <c r="N130" t="n">
        <v>0</v>
      </c>
      <c r="O130" t="n">
        <v>0</v>
      </c>
      <c r="P130" t="n">
        <v>0</v>
      </c>
      <c r="Q130" t="n">
        <v>0</v>
      </c>
      <c r="R130" s="2" t="inlineStr"/>
    </row>
    <row r="131" ht="15" customHeight="1">
      <c r="A131" t="inlineStr">
        <is>
          <t>A 63149-2019</t>
        </is>
      </c>
      <c r="B131" s="1" t="n">
        <v>43791</v>
      </c>
      <c r="C131" s="1" t="n">
        <v>45362</v>
      </c>
      <c r="D131" t="inlineStr">
        <is>
          <t>DALARNAS LÄN</t>
        </is>
      </c>
      <c r="E131" t="inlineStr">
        <is>
          <t>LUDVIKA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64300-2019</t>
        </is>
      </c>
      <c r="B132" s="1" t="n">
        <v>43797</v>
      </c>
      <c r="C132" s="1" t="n">
        <v>45362</v>
      </c>
      <c r="D132" t="inlineStr">
        <is>
          <t>DALARNAS LÄN</t>
        </is>
      </c>
      <c r="E132" t="inlineStr">
        <is>
          <t>LUDVIKA</t>
        </is>
      </c>
      <c r="G132" t="n">
        <v>7.2</v>
      </c>
      <c r="H132" t="n">
        <v>0</v>
      </c>
      <c r="I132" t="n">
        <v>0</v>
      </c>
      <c r="J132" t="n">
        <v>0</v>
      </c>
      <c r="K132" t="n">
        <v>0</v>
      </c>
      <c r="L132" t="n">
        <v>0</v>
      </c>
      <c r="M132" t="n">
        <v>0</v>
      </c>
      <c r="N132" t="n">
        <v>0</v>
      </c>
      <c r="O132" t="n">
        <v>0</v>
      </c>
      <c r="P132" t="n">
        <v>0</v>
      </c>
      <c r="Q132" t="n">
        <v>0</v>
      </c>
      <c r="R132" s="2" t="inlineStr"/>
    </row>
    <row r="133" ht="15" customHeight="1">
      <c r="A133" t="inlineStr">
        <is>
          <t>A 64583-2019</t>
        </is>
      </c>
      <c r="B133" s="1" t="n">
        <v>43798</v>
      </c>
      <c r="C133" s="1" t="n">
        <v>45362</v>
      </c>
      <c r="D133" t="inlineStr">
        <is>
          <t>DALARNAS LÄN</t>
        </is>
      </c>
      <c r="E133" t="inlineStr">
        <is>
          <t>LUDVIKA</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64684-2019</t>
        </is>
      </c>
      <c r="B134" s="1" t="n">
        <v>43798</v>
      </c>
      <c r="C134" s="1" t="n">
        <v>45362</v>
      </c>
      <c r="D134" t="inlineStr">
        <is>
          <t>DALARNAS LÄN</t>
        </is>
      </c>
      <c r="E134" t="inlineStr">
        <is>
          <t>LUDVIKA</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64693-2019</t>
        </is>
      </c>
      <c r="B135" s="1" t="n">
        <v>43798</v>
      </c>
      <c r="C135" s="1" t="n">
        <v>45362</v>
      </c>
      <c r="D135" t="inlineStr">
        <is>
          <t>DALARNAS LÄN</t>
        </is>
      </c>
      <c r="E135" t="inlineStr">
        <is>
          <t>LUDVIKA</t>
        </is>
      </c>
      <c r="F135" t="inlineStr">
        <is>
          <t>Bergvik skog väst AB</t>
        </is>
      </c>
      <c r="G135" t="n">
        <v>3.6</v>
      </c>
      <c r="H135" t="n">
        <v>0</v>
      </c>
      <c r="I135" t="n">
        <v>0</v>
      </c>
      <c r="J135" t="n">
        <v>0</v>
      </c>
      <c r="K135" t="n">
        <v>0</v>
      </c>
      <c r="L135" t="n">
        <v>0</v>
      </c>
      <c r="M135" t="n">
        <v>0</v>
      </c>
      <c r="N135" t="n">
        <v>0</v>
      </c>
      <c r="O135" t="n">
        <v>0</v>
      </c>
      <c r="P135" t="n">
        <v>0</v>
      </c>
      <c r="Q135" t="n">
        <v>0</v>
      </c>
      <c r="R135" s="2" t="inlineStr"/>
    </row>
    <row r="136" ht="15" customHeight="1">
      <c r="A136" t="inlineStr">
        <is>
          <t>A 64628-2019</t>
        </is>
      </c>
      <c r="B136" s="1" t="n">
        <v>43798</v>
      </c>
      <c r="C136" s="1" t="n">
        <v>45362</v>
      </c>
      <c r="D136" t="inlineStr">
        <is>
          <t>DALARNAS LÄN</t>
        </is>
      </c>
      <c r="E136" t="inlineStr">
        <is>
          <t>LUDVIKA</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64961-2019</t>
        </is>
      </c>
      <c r="B137" s="1" t="n">
        <v>43801</v>
      </c>
      <c r="C137" s="1" t="n">
        <v>45362</v>
      </c>
      <c r="D137" t="inlineStr">
        <is>
          <t>DALARNAS LÄN</t>
        </is>
      </c>
      <c r="E137" t="inlineStr">
        <is>
          <t>LUDVIKA</t>
        </is>
      </c>
      <c r="G137" t="n">
        <v>1.3</v>
      </c>
      <c r="H137" t="n">
        <v>0</v>
      </c>
      <c r="I137" t="n">
        <v>0</v>
      </c>
      <c r="J137" t="n">
        <v>0</v>
      </c>
      <c r="K137" t="n">
        <v>0</v>
      </c>
      <c r="L137" t="n">
        <v>0</v>
      </c>
      <c r="M137" t="n">
        <v>0</v>
      </c>
      <c r="N137" t="n">
        <v>0</v>
      </c>
      <c r="O137" t="n">
        <v>0</v>
      </c>
      <c r="P137" t="n">
        <v>0</v>
      </c>
      <c r="Q137" t="n">
        <v>0</v>
      </c>
      <c r="R137" s="2" t="inlineStr"/>
    </row>
    <row r="138" ht="15" customHeight="1">
      <c r="A138" t="inlineStr">
        <is>
          <t>A 68226-2019</t>
        </is>
      </c>
      <c r="B138" s="1" t="n">
        <v>43817</v>
      </c>
      <c r="C138" s="1" t="n">
        <v>45362</v>
      </c>
      <c r="D138" t="inlineStr">
        <is>
          <t>DALARNAS LÄN</t>
        </is>
      </c>
      <c r="E138" t="inlineStr">
        <is>
          <t>LUDVIKA</t>
        </is>
      </c>
      <c r="G138" t="n">
        <v>4.4</v>
      </c>
      <c r="H138" t="n">
        <v>0</v>
      </c>
      <c r="I138" t="n">
        <v>0</v>
      </c>
      <c r="J138" t="n">
        <v>0</v>
      </c>
      <c r="K138" t="n">
        <v>0</v>
      </c>
      <c r="L138" t="n">
        <v>0</v>
      </c>
      <c r="M138" t="n">
        <v>0</v>
      </c>
      <c r="N138" t="n">
        <v>0</v>
      </c>
      <c r="O138" t="n">
        <v>0</v>
      </c>
      <c r="P138" t="n">
        <v>0</v>
      </c>
      <c r="Q138" t="n">
        <v>0</v>
      </c>
      <c r="R138" s="2" t="inlineStr"/>
    </row>
    <row r="139" ht="15" customHeight="1">
      <c r="A139" t="inlineStr">
        <is>
          <t>A 68721-2019</t>
        </is>
      </c>
      <c r="B139" s="1" t="n">
        <v>43819</v>
      </c>
      <c r="C139" s="1" t="n">
        <v>45362</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2572-2020</t>
        </is>
      </c>
      <c r="B140" s="1" t="n">
        <v>43847</v>
      </c>
      <c r="C140" s="1" t="n">
        <v>45362</v>
      </c>
      <c r="D140" t="inlineStr">
        <is>
          <t>DALARNAS LÄN</t>
        </is>
      </c>
      <c r="E140" t="inlineStr">
        <is>
          <t>LUDVIKA</t>
        </is>
      </c>
      <c r="G140" t="n">
        <v>5.4</v>
      </c>
      <c r="H140" t="n">
        <v>0</v>
      </c>
      <c r="I140" t="n">
        <v>0</v>
      </c>
      <c r="J140" t="n">
        <v>0</v>
      </c>
      <c r="K140" t="n">
        <v>0</v>
      </c>
      <c r="L140" t="n">
        <v>0</v>
      </c>
      <c r="M140" t="n">
        <v>0</v>
      </c>
      <c r="N140" t="n">
        <v>0</v>
      </c>
      <c r="O140" t="n">
        <v>0</v>
      </c>
      <c r="P140" t="n">
        <v>0</v>
      </c>
      <c r="Q140" t="n">
        <v>0</v>
      </c>
      <c r="R140" s="2" t="inlineStr"/>
    </row>
    <row r="141" ht="15" customHeight="1">
      <c r="A141" t="inlineStr">
        <is>
          <t>A 4071-2020</t>
        </is>
      </c>
      <c r="B141" s="1" t="n">
        <v>43847</v>
      </c>
      <c r="C141" s="1" t="n">
        <v>45362</v>
      </c>
      <c r="D141" t="inlineStr">
        <is>
          <t>DALARNAS LÄN</t>
        </is>
      </c>
      <c r="E141" t="inlineStr">
        <is>
          <t>LUDVIKA</t>
        </is>
      </c>
      <c r="G141" t="n">
        <v>3</v>
      </c>
      <c r="H141" t="n">
        <v>0</v>
      </c>
      <c r="I141" t="n">
        <v>0</v>
      </c>
      <c r="J141" t="n">
        <v>0</v>
      </c>
      <c r="K141" t="n">
        <v>0</v>
      </c>
      <c r="L141" t="n">
        <v>0</v>
      </c>
      <c r="M141" t="n">
        <v>0</v>
      </c>
      <c r="N141" t="n">
        <v>0</v>
      </c>
      <c r="O141" t="n">
        <v>0</v>
      </c>
      <c r="P141" t="n">
        <v>0</v>
      </c>
      <c r="Q141" t="n">
        <v>0</v>
      </c>
      <c r="R141" s="2" t="inlineStr"/>
    </row>
    <row r="142" ht="15" customHeight="1">
      <c r="A142" t="inlineStr">
        <is>
          <t>A 4611-2020</t>
        </is>
      </c>
      <c r="B142" s="1" t="n">
        <v>43858</v>
      </c>
      <c r="C142" s="1" t="n">
        <v>45362</v>
      </c>
      <c r="D142" t="inlineStr">
        <is>
          <t>DALARNAS LÄN</t>
        </is>
      </c>
      <c r="E142" t="inlineStr">
        <is>
          <t>LUDVIKA</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5243-2020</t>
        </is>
      </c>
      <c r="B143" s="1" t="n">
        <v>43860</v>
      </c>
      <c r="C143" s="1" t="n">
        <v>45362</v>
      </c>
      <c r="D143" t="inlineStr">
        <is>
          <t>DALARNAS LÄN</t>
        </is>
      </c>
      <c r="E143" t="inlineStr">
        <is>
          <t>LUDVIKA</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5481-2020</t>
        </is>
      </c>
      <c r="B144" s="1" t="n">
        <v>43861</v>
      </c>
      <c r="C144" s="1" t="n">
        <v>45362</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5829-2020</t>
        </is>
      </c>
      <c r="B145" s="1" t="n">
        <v>43861</v>
      </c>
      <c r="C145" s="1" t="n">
        <v>45362</v>
      </c>
      <c r="D145" t="inlineStr">
        <is>
          <t>DALARNAS LÄN</t>
        </is>
      </c>
      <c r="E145" t="inlineStr">
        <is>
          <t>LUDVIKA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6948-2020</t>
        </is>
      </c>
      <c r="B146" s="1" t="n">
        <v>43868</v>
      </c>
      <c r="C146" s="1" t="n">
        <v>45362</v>
      </c>
      <c r="D146" t="inlineStr">
        <is>
          <t>DALARNAS LÄN</t>
        </is>
      </c>
      <c r="E146" t="inlineStr">
        <is>
          <t>LUDVIKA</t>
        </is>
      </c>
      <c r="G146" t="n">
        <v>2.4</v>
      </c>
      <c r="H146" t="n">
        <v>0</v>
      </c>
      <c r="I146" t="n">
        <v>0</v>
      </c>
      <c r="J146" t="n">
        <v>0</v>
      </c>
      <c r="K146" t="n">
        <v>0</v>
      </c>
      <c r="L146" t="n">
        <v>0</v>
      </c>
      <c r="M146" t="n">
        <v>0</v>
      </c>
      <c r="N146" t="n">
        <v>0</v>
      </c>
      <c r="O146" t="n">
        <v>0</v>
      </c>
      <c r="P146" t="n">
        <v>0</v>
      </c>
      <c r="Q146" t="n">
        <v>0</v>
      </c>
      <c r="R146" s="2" t="inlineStr"/>
    </row>
    <row r="147" ht="15" customHeight="1">
      <c r="A147" t="inlineStr">
        <is>
          <t>A 7010-2020</t>
        </is>
      </c>
      <c r="B147" s="1" t="n">
        <v>43868</v>
      </c>
      <c r="C147" s="1" t="n">
        <v>45362</v>
      </c>
      <c r="D147" t="inlineStr">
        <is>
          <t>DALARNAS LÄN</t>
        </is>
      </c>
      <c r="E147" t="inlineStr">
        <is>
          <t>LUDVIKA</t>
        </is>
      </c>
      <c r="F147" t="inlineStr">
        <is>
          <t>Bergvik skog väst AB</t>
        </is>
      </c>
      <c r="G147" t="n">
        <v>0.9</v>
      </c>
      <c r="H147" t="n">
        <v>0</v>
      </c>
      <c r="I147" t="n">
        <v>0</v>
      </c>
      <c r="J147" t="n">
        <v>0</v>
      </c>
      <c r="K147" t="n">
        <v>0</v>
      </c>
      <c r="L147" t="n">
        <v>0</v>
      </c>
      <c r="M147" t="n">
        <v>0</v>
      </c>
      <c r="N147" t="n">
        <v>0</v>
      </c>
      <c r="O147" t="n">
        <v>0</v>
      </c>
      <c r="P147" t="n">
        <v>0</v>
      </c>
      <c r="Q147" t="n">
        <v>0</v>
      </c>
      <c r="R147" s="2" t="inlineStr"/>
    </row>
    <row r="148" ht="15" customHeight="1">
      <c r="A148" t="inlineStr">
        <is>
          <t>A 7709-2020</t>
        </is>
      </c>
      <c r="B148" s="1" t="n">
        <v>43872</v>
      </c>
      <c r="C148" s="1" t="n">
        <v>45362</v>
      </c>
      <c r="D148" t="inlineStr">
        <is>
          <t>DALARNAS LÄN</t>
        </is>
      </c>
      <c r="E148" t="inlineStr">
        <is>
          <t>LUDVIKA</t>
        </is>
      </c>
      <c r="G148" t="n">
        <v>2.6</v>
      </c>
      <c r="H148" t="n">
        <v>0</v>
      </c>
      <c r="I148" t="n">
        <v>0</v>
      </c>
      <c r="J148" t="n">
        <v>0</v>
      </c>
      <c r="K148" t="n">
        <v>0</v>
      </c>
      <c r="L148" t="n">
        <v>0</v>
      </c>
      <c r="M148" t="n">
        <v>0</v>
      </c>
      <c r="N148" t="n">
        <v>0</v>
      </c>
      <c r="O148" t="n">
        <v>0</v>
      </c>
      <c r="P148" t="n">
        <v>0</v>
      </c>
      <c r="Q148" t="n">
        <v>0</v>
      </c>
      <c r="R148" s="2" t="inlineStr"/>
    </row>
    <row r="149" ht="15" customHeight="1">
      <c r="A149" t="inlineStr">
        <is>
          <t>A 7851-2020</t>
        </is>
      </c>
      <c r="B149" s="1" t="n">
        <v>43873</v>
      </c>
      <c r="C149" s="1" t="n">
        <v>45362</v>
      </c>
      <c r="D149" t="inlineStr">
        <is>
          <t>DALARNAS LÄN</t>
        </is>
      </c>
      <c r="E149" t="inlineStr">
        <is>
          <t>LUDVIKA</t>
        </is>
      </c>
      <c r="F149" t="inlineStr">
        <is>
          <t>Naturvårdsverket</t>
        </is>
      </c>
      <c r="G149" t="n">
        <v>1.9</v>
      </c>
      <c r="H149" t="n">
        <v>0</v>
      </c>
      <c r="I149" t="n">
        <v>0</v>
      </c>
      <c r="J149" t="n">
        <v>0</v>
      </c>
      <c r="K149" t="n">
        <v>0</v>
      </c>
      <c r="L149" t="n">
        <v>0</v>
      </c>
      <c r="M149" t="n">
        <v>0</v>
      </c>
      <c r="N149" t="n">
        <v>0</v>
      </c>
      <c r="O149" t="n">
        <v>0</v>
      </c>
      <c r="P149" t="n">
        <v>0</v>
      </c>
      <c r="Q149" t="n">
        <v>0</v>
      </c>
      <c r="R149" s="2" t="inlineStr"/>
    </row>
    <row r="150" ht="15" customHeight="1">
      <c r="A150" t="inlineStr">
        <is>
          <t>A 9552-2020</t>
        </is>
      </c>
      <c r="B150" s="1" t="n">
        <v>43881</v>
      </c>
      <c r="C150" s="1" t="n">
        <v>45362</v>
      </c>
      <c r="D150" t="inlineStr">
        <is>
          <t>DALARNAS LÄN</t>
        </is>
      </c>
      <c r="E150" t="inlineStr">
        <is>
          <t>LUDVIKA</t>
        </is>
      </c>
      <c r="F150" t="inlineStr">
        <is>
          <t>Övriga Aktiebolag</t>
        </is>
      </c>
      <c r="G150" t="n">
        <v>1.3</v>
      </c>
      <c r="H150" t="n">
        <v>0</v>
      </c>
      <c r="I150" t="n">
        <v>0</v>
      </c>
      <c r="J150" t="n">
        <v>0</v>
      </c>
      <c r="K150" t="n">
        <v>0</v>
      </c>
      <c r="L150" t="n">
        <v>0</v>
      </c>
      <c r="M150" t="n">
        <v>0</v>
      </c>
      <c r="N150" t="n">
        <v>0</v>
      </c>
      <c r="O150" t="n">
        <v>0</v>
      </c>
      <c r="P150" t="n">
        <v>0</v>
      </c>
      <c r="Q150" t="n">
        <v>0</v>
      </c>
      <c r="R150" s="2" t="inlineStr"/>
    </row>
    <row r="151" ht="15" customHeight="1">
      <c r="A151" t="inlineStr">
        <is>
          <t>A 9805-2020</t>
        </is>
      </c>
      <c r="B151" s="1" t="n">
        <v>43881</v>
      </c>
      <c r="C151" s="1" t="n">
        <v>45362</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9932-2020</t>
        </is>
      </c>
      <c r="B152" s="1" t="n">
        <v>43882</v>
      </c>
      <c r="C152" s="1" t="n">
        <v>45362</v>
      </c>
      <c r="D152" t="inlineStr">
        <is>
          <t>DALARNAS LÄN</t>
        </is>
      </c>
      <c r="E152" t="inlineStr">
        <is>
          <t>LUDVIKA</t>
        </is>
      </c>
      <c r="G152" t="n">
        <v>0.6</v>
      </c>
      <c r="H152" t="n">
        <v>0</v>
      </c>
      <c r="I152" t="n">
        <v>0</v>
      </c>
      <c r="J152" t="n">
        <v>0</v>
      </c>
      <c r="K152" t="n">
        <v>0</v>
      </c>
      <c r="L152" t="n">
        <v>0</v>
      </c>
      <c r="M152" t="n">
        <v>0</v>
      </c>
      <c r="N152" t="n">
        <v>0</v>
      </c>
      <c r="O152" t="n">
        <v>0</v>
      </c>
      <c r="P152" t="n">
        <v>0</v>
      </c>
      <c r="Q152" t="n">
        <v>0</v>
      </c>
      <c r="R152" s="2" t="inlineStr"/>
    </row>
    <row r="153" ht="15" customHeight="1">
      <c r="A153" t="inlineStr">
        <is>
          <t>A 10578-2020</t>
        </is>
      </c>
      <c r="B153" s="1" t="n">
        <v>43887</v>
      </c>
      <c r="C153" s="1" t="n">
        <v>45362</v>
      </c>
      <c r="D153" t="inlineStr">
        <is>
          <t>DALARNAS LÄN</t>
        </is>
      </c>
      <c r="E153" t="inlineStr">
        <is>
          <t>LUDVIKA</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10600-2020</t>
        </is>
      </c>
      <c r="B154" s="1" t="n">
        <v>43887</v>
      </c>
      <c r="C154" s="1" t="n">
        <v>45362</v>
      </c>
      <c r="D154" t="inlineStr">
        <is>
          <t>DALARNAS LÄN</t>
        </is>
      </c>
      <c r="E154" t="inlineStr">
        <is>
          <t>LUDVIKA</t>
        </is>
      </c>
      <c r="G154" t="n">
        <v>1.4</v>
      </c>
      <c r="H154" t="n">
        <v>0</v>
      </c>
      <c r="I154" t="n">
        <v>0</v>
      </c>
      <c r="J154" t="n">
        <v>0</v>
      </c>
      <c r="K154" t="n">
        <v>0</v>
      </c>
      <c r="L154" t="n">
        <v>0</v>
      </c>
      <c r="M154" t="n">
        <v>0</v>
      </c>
      <c r="N154" t="n">
        <v>0</v>
      </c>
      <c r="O154" t="n">
        <v>0</v>
      </c>
      <c r="P154" t="n">
        <v>0</v>
      </c>
      <c r="Q154" t="n">
        <v>0</v>
      </c>
      <c r="R154" s="2" t="inlineStr"/>
    </row>
    <row r="155" ht="15" customHeight="1">
      <c r="A155" t="inlineStr">
        <is>
          <t>A 12439-2020</t>
        </is>
      </c>
      <c r="B155" s="1" t="n">
        <v>43892</v>
      </c>
      <c r="C155" s="1" t="n">
        <v>45362</v>
      </c>
      <c r="D155" t="inlineStr">
        <is>
          <t>DALARNAS LÄN</t>
        </is>
      </c>
      <c r="E155" t="inlineStr">
        <is>
          <t>LUDVIKA</t>
        </is>
      </c>
      <c r="G155" t="n">
        <v>1.1</v>
      </c>
      <c r="H155" t="n">
        <v>0</v>
      </c>
      <c r="I155" t="n">
        <v>0</v>
      </c>
      <c r="J155" t="n">
        <v>0</v>
      </c>
      <c r="K155" t="n">
        <v>0</v>
      </c>
      <c r="L155" t="n">
        <v>0</v>
      </c>
      <c r="M155" t="n">
        <v>0</v>
      </c>
      <c r="N155" t="n">
        <v>0</v>
      </c>
      <c r="O155" t="n">
        <v>0</v>
      </c>
      <c r="P155" t="n">
        <v>0</v>
      </c>
      <c r="Q155" t="n">
        <v>0</v>
      </c>
      <c r="R155" s="2" t="inlineStr"/>
    </row>
    <row r="156" ht="15" customHeight="1">
      <c r="A156" t="inlineStr">
        <is>
          <t>A 11207-2020</t>
        </is>
      </c>
      <c r="B156" s="1" t="n">
        <v>43892</v>
      </c>
      <c r="C156" s="1" t="n">
        <v>45362</v>
      </c>
      <c r="D156" t="inlineStr">
        <is>
          <t>DALARNAS LÄN</t>
        </is>
      </c>
      <c r="E156" t="inlineStr">
        <is>
          <t>LUDVIKA</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11559-2020</t>
        </is>
      </c>
      <c r="B157" s="1" t="n">
        <v>43893</v>
      </c>
      <c r="C157" s="1" t="n">
        <v>45362</v>
      </c>
      <c r="D157" t="inlineStr">
        <is>
          <t>DALARNAS LÄN</t>
        </is>
      </c>
      <c r="E157" t="inlineStr">
        <is>
          <t>LUDVIKA</t>
        </is>
      </c>
      <c r="G157" t="n">
        <v>32.7</v>
      </c>
      <c r="H157" t="n">
        <v>0</v>
      </c>
      <c r="I157" t="n">
        <v>0</v>
      </c>
      <c r="J157" t="n">
        <v>0</v>
      </c>
      <c r="K157" t="n">
        <v>0</v>
      </c>
      <c r="L157" t="n">
        <v>0</v>
      </c>
      <c r="M157" t="n">
        <v>0</v>
      </c>
      <c r="N157" t="n">
        <v>0</v>
      </c>
      <c r="O157" t="n">
        <v>0</v>
      </c>
      <c r="P157" t="n">
        <v>0</v>
      </c>
      <c r="Q157" t="n">
        <v>0</v>
      </c>
      <c r="R157" s="2" t="inlineStr"/>
    </row>
    <row r="158" ht="15" customHeight="1">
      <c r="A158" t="inlineStr">
        <is>
          <t>A 11626-2020</t>
        </is>
      </c>
      <c r="B158" s="1" t="n">
        <v>43893</v>
      </c>
      <c r="C158" s="1" t="n">
        <v>45362</v>
      </c>
      <c r="D158" t="inlineStr">
        <is>
          <t>DALARNAS LÄN</t>
        </is>
      </c>
      <c r="E158" t="inlineStr">
        <is>
          <t>LUDVIKA</t>
        </is>
      </c>
      <c r="G158" t="n">
        <v>1</v>
      </c>
      <c r="H158" t="n">
        <v>0</v>
      </c>
      <c r="I158" t="n">
        <v>0</v>
      </c>
      <c r="J158" t="n">
        <v>0</v>
      </c>
      <c r="K158" t="n">
        <v>0</v>
      </c>
      <c r="L158" t="n">
        <v>0</v>
      </c>
      <c r="M158" t="n">
        <v>0</v>
      </c>
      <c r="N158" t="n">
        <v>0</v>
      </c>
      <c r="O158" t="n">
        <v>0</v>
      </c>
      <c r="P158" t="n">
        <v>0</v>
      </c>
      <c r="Q158" t="n">
        <v>0</v>
      </c>
      <c r="R158" s="2" t="inlineStr"/>
    </row>
    <row r="159" ht="15" customHeight="1">
      <c r="A159" t="inlineStr">
        <is>
          <t>A 13483-2020</t>
        </is>
      </c>
      <c r="B159" s="1" t="n">
        <v>43894</v>
      </c>
      <c r="C159" s="1" t="n">
        <v>45362</v>
      </c>
      <c r="D159" t="inlineStr">
        <is>
          <t>DALARNAS LÄN</t>
        </is>
      </c>
      <c r="E159" t="inlineStr">
        <is>
          <t>LUDVIKA</t>
        </is>
      </c>
      <c r="F159" t="inlineStr">
        <is>
          <t>Bergvik skog väst AB</t>
        </is>
      </c>
      <c r="G159" t="n">
        <v>2.3</v>
      </c>
      <c r="H159" t="n">
        <v>0</v>
      </c>
      <c r="I159" t="n">
        <v>0</v>
      </c>
      <c r="J159" t="n">
        <v>0</v>
      </c>
      <c r="K159" t="n">
        <v>0</v>
      </c>
      <c r="L159" t="n">
        <v>0</v>
      </c>
      <c r="M159" t="n">
        <v>0</v>
      </c>
      <c r="N159" t="n">
        <v>0</v>
      </c>
      <c r="O159" t="n">
        <v>0</v>
      </c>
      <c r="P159" t="n">
        <v>0</v>
      </c>
      <c r="Q159" t="n">
        <v>0</v>
      </c>
      <c r="R159" s="2" t="inlineStr"/>
    </row>
    <row r="160" ht="15" customHeight="1">
      <c r="A160" t="inlineStr">
        <is>
          <t>A 12049-2020</t>
        </is>
      </c>
      <c r="B160" s="1" t="n">
        <v>43894</v>
      </c>
      <c r="C160" s="1" t="n">
        <v>45362</v>
      </c>
      <c r="D160" t="inlineStr">
        <is>
          <t>DALARNAS LÄN</t>
        </is>
      </c>
      <c r="E160" t="inlineStr">
        <is>
          <t>LUDVIKA</t>
        </is>
      </c>
      <c r="G160" t="n">
        <v>3</v>
      </c>
      <c r="H160" t="n">
        <v>0</v>
      </c>
      <c r="I160" t="n">
        <v>0</v>
      </c>
      <c r="J160" t="n">
        <v>0</v>
      </c>
      <c r="K160" t="n">
        <v>0</v>
      </c>
      <c r="L160" t="n">
        <v>0</v>
      </c>
      <c r="M160" t="n">
        <v>0</v>
      </c>
      <c r="N160" t="n">
        <v>0</v>
      </c>
      <c r="O160" t="n">
        <v>0</v>
      </c>
      <c r="P160" t="n">
        <v>0</v>
      </c>
      <c r="Q160" t="n">
        <v>0</v>
      </c>
      <c r="R160" s="2" t="inlineStr"/>
    </row>
    <row r="161" ht="15" customHeight="1">
      <c r="A161" t="inlineStr">
        <is>
          <t>A 12223-2020</t>
        </is>
      </c>
      <c r="B161" s="1" t="n">
        <v>43895</v>
      </c>
      <c r="C161" s="1" t="n">
        <v>45362</v>
      </c>
      <c r="D161" t="inlineStr">
        <is>
          <t>DALARNAS LÄN</t>
        </is>
      </c>
      <c r="E161" t="inlineStr">
        <is>
          <t>LUDVIKA</t>
        </is>
      </c>
      <c r="G161" t="n">
        <v>0.9</v>
      </c>
      <c r="H161" t="n">
        <v>0</v>
      </c>
      <c r="I161" t="n">
        <v>0</v>
      </c>
      <c r="J161" t="n">
        <v>0</v>
      </c>
      <c r="K161" t="n">
        <v>0</v>
      </c>
      <c r="L161" t="n">
        <v>0</v>
      </c>
      <c r="M161" t="n">
        <v>0</v>
      </c>
      <c r="N161" t="n">
        <v>0</v>
      </c>
      <c r="O161" t="n">
        <v>0</v>
      </c>
      <c r="P161" t="n">
        <v>0</v>
      </c>
      <c r="Q161" t="n">
        <v>0</v>
      </c>
      <c r="R161" s="2" t="inlineStr"/>
    </row>
    <row r="162" ht="15" customHeight="1">
      <c r="A162" t="inlineStr">
        <is>
          <t>A 12560-2020</t>
        </is>
      </c>
      <c r="B162" s="1" t="n">
        <v>43898</v>
      </c>
      <c r="C162" s="1" t="n">
        <v>45362</v>
      </c>
      <c r="D162" t="inlineStr">
        <is>
          <t>DALARNAS LÄN</t>
        </is>
      </c>
      <c r="E162" t="inlineStr">
        <is>
          <t>LUDVIKA</t>
        </is>
      </c>
      <c r="G162" t="n">
        <v>2.7</v>
      </c>
      <c r="H162" t="n">
        <v>0</v>
      </c>
      <c r="I162" t="n">
        <v>0</v>
      </c>
      <c r="J162" t="n">
        <v>0</v>
      </c>
      <c r="K162" t="n">
        <v>0</v>
      </c>
      <c r="L162" t="n">
        <v>0</v>
      </c>
      <c r="M162" t="n">
        <v>0</v>
      </c>
      <c r="N162" t="n">
        <v>0</v>
      </c>
      <c r="O162" t="n">
        <v>0</v>
      </c>
      <c r="P162" t="n">
        <v>0</v>
      </c>
      <c r="Q162" t="n">
        <v>0</v>
      </c>
      <c r="R162" s="2" t="inlineStr"/>
    </row>
    <row r="163" ht="15" customHeight="1">
      <c r="A163" t="inlineStr">
        <is>
          <t>A 12935-2020</t>
        </is>
      </c>
      <c r="B163" s="1" t="n">
        <v>43900</v>
      </c>
      <c r="C163" s="1" t="n">
        <v>45362</v>
      </c>
      <c r="D163" t="inlineStr">
        <is>
          <t>DALARNAS LÄN</t>
        </is>
      </c>
      <c r="E163" t="inlineStr">
        <is>
          <t>LUDVIKA</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13757-2020</t>
        </is>
      </c>
      <c r="B164" s="1" t="n">
        <v>43903</v>
      </c>
      <c r="C164" s="1" t="n">
        <v>45362</v>
      </c>
      <c r="D164" t="inlineStr">
        <is>
          <t>DALARNAS LÄN</t>
        </is>
      </c>
      <c r="E164" t="inlineStr">
        <is>
          <t>LUDVIKA</t>
        </is>
      </c>
      <c r="F164" t="inlineStr">
        <is>
          <t>Bergvik skog väst AB</t>
        </is>
      </c>
      <c r="G164" t="n">
        <v>3.1</v>
      </c>
      <c r="H164" t="n">
        <v>0</v>
      </c>
      <c r="I164" t="n">
        <v>0</v>
      </c>
      <c r="J164" t="n">
        <v>0</v>
      </c>
      <c r="K164" t="n">
        <v>0</v>
      </c>
      <c r="L164" t="n">
        <v>0</v>
      </c>
      <c r="M164" t="n">
        <v>0</v>
      </c>
      <c r="N164" t="n">
        <v>0</v>
      </c>
      <c r="O164" t="n">
        <v>0</v>
      </c>
      <c r="P164" t="n">
        <v>0</v>
      </c>
      <c r="Q164" t="n">
        <v>0</v>
      </c>
      <c r="R164" s="2" t="inlineStr"/>
    </row>
    <row r="165" ht="15" customHeight="1">
      <c r="A165" t="inlineStr">
        <is>
          <t>A 13767-2020</t>
        </is>
      </c>
      <c r="B165" s="1" t="n">
        <v>43903</v>
      </c>
      <c r="C165" s="1" t="n">
        <v>45362</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14373-2020</t>
        </is>
      </c>
      <c r="B166" s="1" t="n">
        <v>43908</v>
      </c>
      <c r="C166" s="1" t="n">
        <v>45362</v>
      </c>
      <c r="D166" t="inlineStr">
        <is>
          <t>DALARNAS LÄN</t>
        </is>
      </c>
      <c r="E166" t="inlineStr">
        <is>
          <t>LUDVIKA</t>
        </is>
      </c>
      <c r="F166" t="inlineStr">
        <is>
          <t>Bergvik skog väst AB</t>
        </is>
      </c>
      <c r="G166" t="n">
        <v>5.5</v>
      </c>
      <c r="H166" t="n">
        <v>0</v>
      </c>
      <c r="I166" t="n">
        <v>0</v>
      </c>
      <c r="J166" t="n">
        <v>0</v>
      </c>
      <c r="K166" t="n">
        <v>0</v>
      </c>
      <c r="L166" t="n">
        <v>0</v>
      </c>
      <c r="M166" t="n">
        <v>0</v>
      </c>
      <c r="N166" t="n">
        <v>0</v>
      </c>
      <c r="O166" t="n">
        <v>0</v>
      </c>
      <c r="P166" t="n">
        <v>0</v>
      </c>
      <c r="Q166" t="n">
        <v>0</v>
      </c>
      <c r="R166" s="2" t="inlineStr"/>
    </row>
    <row r="167" ht="15" customHeight="1">
      <c r="A167" t="inlineStr">
        <is>
          <t>A 15053-2020</t>
        </is>
      </c>
      <c r="B167" s="1" t="n">
        <v>43910</v>
      </c>
      <c r="C167" s="1" t="n">
        <v>45362</v>
      </c>
      <c r="D167" t="inlineStr">
        <is>
          <t>DALARNAS LÄN</t>
        </is>
      </c>
      <c r="E167" t="inlineStr">
        <is>
          <t>LUDVIKA</t>
        </is>
      </c>
      <c r="G167" t="n">
        <v>1.2</v>
      </c>
      <c r="H167" t="n">
        <v>0</v>
      </c>
      <c r="I167" t="n">
        <v>0</v>
      </c>
      <c r="J167" t="n">
        <v>0</v>
      </c>
      <c r="K167" t="n">
        <v>0</v>
      </c>
      <c r="L167" t="n">
        <v>0</v>
      </c>
      <c r="M167" t="n">
        <v>0</v>
      </c>
      <c r="N167" t="n">
        <v>0</v>
      </c>
      <c r="O167" t="n">
        <v>0</v>
      </c>
      <c r="P167" t="n">
        <v>0</v>
      </c>
      <c r="Q167" t="n">
        <v>0</v>
      </c>
      <c r="R167" s="2" t="inlineStr"/>
    </row>
    <row r="168" ht="15" customHeight="1">
      <c r="A168" t="inlineStr">
        <is>
          <t>A 15861-2020</t>
        </is>
      </c>
      <c r="B168" s="1" t="n">
        <v>43915</v>
      </c>
      <c r="C168" s="1" t="n">
        <v>45362</v>
      </c>
      <c r="D168" t="inlineStr">
        <is>
          <t>DALARNAS LÄN</t>
        </is>
      </c>
      <c r="E168" t="inlineStr">
        <is>
          <t>LUDVIKA</t>
        </is>
      </c>
      <c r="G168" t="n">
        <v>0.9</v>
      </c>
      <c r="H168" t="n">
        <v>0</v>
      </c>
      <c r="I168" t="n">
        <v>0</v>
      </c>
      <c r="J168" t="n">
        <v>0</v>
      </c>
      <c r="K168" t="n">
        <v>0</v>
      </c>
      <c r="L168" t="n">
        <v>0</v>
      </c>
      <c r="M168" t="n">
        <v>0</v>
      </c>
      <c r="N168" t="n">
        <v>0</v>
      </c>
      <c r="O168" t="n">
        <v>0</v>
      </c>
      <c r="P168" t="n">
        <v>0</v>
      </c>
      <c r="Q168" t="n">
        <v>0</v>
      </c>
      <c r="R168" s="2" t="inlineStr"/>
    </row>
    <row r="169" ht="15" customHeight="1">
      <c r="A169" t="inlineStr">
        <is>
          <t>A 16407-2020</t>
        </is>
      </c>
      <c r="B169" s="1" t="n">
        <v>43918</v>
      </c>
      <c r="C169" s="1" t="n">
        <v>45362</v>
      </c>
      <c r="D169" t="inlineStr">
        <is>
          <t>DALARNAS LÄN</t>
        </is>
      </c>
      <c r="E169" t="inlineStr">
        <is>
          <t>LUDVIKA</t>
        </is>
      </c>
      <c r="F169" t="inlineStr">
        <is>
          <t>Bergvik skog väst AB</t>
        </is>
      </c>
      <c r="G169" t="n">
        <v>32.8</v>
      </c>
      <c r="H169" t="n">
        <v>0</v>
      </c>
      <c r="I169" t="n">
        <v>0</v>
      </c>
      <c r="J169" t="n">
        <v>0</v>
      </c>
      <c r="K169" t="n">
        <v>0</v>
      </c>
      <c r="L169" t="n">
        <v>0</v>
      </c>
      <c r="M169" t="n">
        <v>0</v>
      </c>
      <c r="N169" t="n">
        <v>0</v>
      </c>
      <c r="O169" t="n">
        <v>0</v>
      </c>
      <c r="P169" t="n">
        <v>0</v>
      </c>
      <c r="Q169" t="n">
        <v>0</v>
      </c>
      <c r="R169" s="2" t="inlineStr"/>
    </row>
    <row r="170" ht="15" customHeight="1">
      <c r="A170" t="inlineStr">
        <is>
          <t>A 16782-2020</t>
        </is>
      </c>
      <c r="B170" s="1" t="n">
        <v>43921</v>
      </c>
      <c r="C170" s="1" t="n">
        <v>45362</v>
      </c>
      <c r="D170" t="inlineStr">
        <is>
          <t>DALARNAS LÄN</t>
        </is>
      </c>
      <c r="E170" t="inlineStr">
        <is>
          <t>LUDVIKA</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16781-2020</t>
        </is>
      </c>
      <c r="B171" s="1" t="n">
        <v>43921</v>
      </c>
      <c r="C171" s="1" t="n">
        <v>45362</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17166-2020</t>
        </is>
      </c>
      <c r="B172" s="1" t="n">
        <v>43922</v>
      </c>
      <c r="C172" s="1" t="n">
        <v>45362</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17597-2020</t>
        </is>
      </c>
      <c r="B173" s="1" t="n">
        <v>43923</v>
      </c>
      <c r="C173" s="1" t="n">
        <v>45362</v>
      </c>
      <c r="D173" t="inlineStr">
        <is>
          <t>DALARNAS LÄN</t>
        </is>
      </c>
      <c r="E173" t="inlineStr">
        <is>
          <t>LUDVIKA</t>
        </is>
      </c>
      <c r="F173" t="inlineStr">
        <is>
          <t>Bergvik skog väst AB</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17605-2020</t>
        </is>
      </c>
      <c r="B174" s="1" t="n">
        <v>43923</v>
      </c>
      <c r="C174" s="1" t="n">
        <v>45362</v>
      </c>
      <c r="D174" t="inlineStr">
        <is>
          <t>DALARNAS LÄN</t>
        </is>
      </c>
      <c r="E174" t="inlineStr">
        <is>
          <t>LUDVIKA</t>
        </is>
      </c>
      <c r="F174" t="inlineStr">
        <is>
          <t>Bergvik skog väst AB</t>
        </is>
      </c>
      <c r="G174" t="n">
        <v>4.2</v>
      </c>
      <c r="H174" t="n">
        <v>0</v>
      </c>
      <c r="I174" t="n">
        <v>0</v>
      </c>
      <c r="J174" t="n">
        <v>0</v>
      </c>
      <c r="K174" t="n">
        <v>0</v>
      </c>
      <c r="L174" t="n">
        <v>0</v>
      </c>
      <c r="M174" t="n">
        <v>0</v>
      </c>
      <c r="N174" t="n">
        <v>0</v>
      </c>
      <c r="O174" t="n">
        <v>0</v>
      </c>
      <c r="P174" t="n">
        <v>0</v>
      </c>
      <c r="Q174" t="n">
        <v>0</v>
      </c>
      <c r="R174" s="2" t="inlineStr"/>
    </row>
    <row r="175" ht="15" customHeight="1">
      <c r="A175" t="inlineStr">
        <is>
          <t>A 17602-2020</t>
        </is>
      </c>
      <c r="B175" s="1" t="n">
        <v>43923</v>
      </c>
      <c r="C175" s="1" t="n">
        <v>45362</v>
      </c>
      <c r="D175" t="inlineStr">
        <is>
          <t>DALARNAS LÄN</t>
        </is>
      </c>
      <c r="E175" t="inlineStr">
        <is>
          <t>LUDVIKA</t>
        </is>
      </c>
      <c r="F175" t="inlineStr">
        <is>
          <t>Bergvik skog väst AB</t>
        </is>
      </c>
      <c r="G175" t="n">
        <v>4</v>
      </c>
      <c r="H175" t="n">
        <v>0</v>
      </c>
      <c r="I175" t="n">
        <v>0</v>
      </c>
      <c r="J175" t="n">
        <v>0</v>
      </c>
      <c r="K175" t="n">
        <v>0</v>
      </c>
      <c r="L175" t="n">
        <v>0</v>
      </c>
      <c r="M175" t="n">
        <v>0</v>
      </c>
      <c r="N175" t="n">
        <v>0</v>
      </c>
      <c r="O175" t="n">
        <v>0</v>
      </c>
      <c r="P175" t="n">
        <v>0</v>
      </c>
      <c r="Q175" t="n">
        <v>0</v>
      </c>
      <c r="R175" s="2" t="inlineStr"/>
    </row>
    <row r="176" ht="15" customHeight="1">
      <c r="A176" t="inlineStr">
        <is>
          <t>A 17603-2020</t>
        </is>
      </c>
      <c r="B176" s="1" t="n">
        <v>43923</v>
      </c>
      <c r="C176" s="1" t="n">
        <v>45362</v>
      </c>
      <c r="D176" t="inlineStr">
        <is>
          <t>DALARNAS LÄN</t>
        </is>
      </c>
      <c r="E176" t="inlineStr">
        <is>
          <t>LUDVIKA</t>
        </is>
      </c>
      <c r="F176" t="inlineStr">
        <is>
          <t>Bergvik skog väst AB</t>
        </is>
      </c>
      <c r="G176" t="n">
        <v>19.9</v>
      </c>
      <c r="H176" t="n">
        <v>0</v>
      </c>
      <c r="I176" t="n">
        <v>0</v>
      </c>
      <c r="J176" t="n">
        <v>0</v>
      </c>
      <c r="K176" t="n">
        <v>0</v>
      </c>
      <c r="L176" t="n">
        <v>0</v>
      </c>
      <c r="M176" t="n">
        <v>0</v>
      </c>
      <c r="N176" t="n">
        <v>0</v>
      </c>
      <c r="O176" t="n">
        <v>0</v>
      </c>
      <c r="P176" t="n">
        <v>0</v>
      </c>
      <c r="Q176" t="n">
        <v>0</v>
      </c>
      <c r="R176" s="2" t="inlineStr"/>
    </row>
    <row r="177" ht="15" customHeight="1">
      <c r="A177" t="inlineStr">
        <is>
          <t>A 17598-2020</t>
        </is>
      </c>
      <c r="B177" s="1" t="n">
        <v>43923</v>
      </c>
      <c r="C177" s="1" t="n">
        <v>45362</v>
      </c>
      <c r="D177" t="inlineStr">
        <is>
          <t>DALARNAS LÄN</t>
        </is>
      </c>
      <c r="E177" t="inlineStr">
        <is>
          <t>LUDVIKA</t>
        </is>
      </c>
      <c r="F177" t="inlineStr">
        <is>
          <t>Bergvik skog väst AB</t>
        </is>
      </c>
      <c r="G177" t="n">
        <v>3</v>
      </c>
      <c r="H177" t="n">
        <v>0</v>
      </c>
      <c r="I177" t="n">
        <v>0</v>
      </c>
      <c r="J177" t="n">
        <v>0</v>
      </c>
      <c r="K177" t="n">
        <v>0</v>
      </c>
      <c r="L177" t="n">
        <v>0</v>
      </c>
      <c r="M177" t="n">
        <v>0</v>
      </c>
      <c r="N177" t="n">
        <v>0</v>
      </c>
      <c r="O177" t="n">
        <v>0</v>
      </c>
      <c r="P177" t="n">
        <v>0</v>
      </c>
      <c r="Q177" t="n">
        <v>0</v>
      </c>
      <c r="R177" s="2" t="inlineStr"/>
    </row>
    <row r="178" ht="15" customHeight="1">
      <c r="A178" t="inlineStr">
        <is>
          <t>A 17344-2020</t>
        </is>
      </c>
      <c r="B178" s="1" t="n">
        <v>43923</v>
      </c>
      <c r="C178" s="1" t="n">
        <v>45362</v>
      </c>
      <c r="D178" t="inlineStr">
        <is>
          <t>DALARNAS LÄN</t>
        </is>
      </c>
      <c r="E178" t="inlineStr">
        <is>
          <t>LUDVIKA</t>
        </is>
      </c>
      <c r="G178" t="n">
        <v>1.6</v>
      </c>
      <c r="H178" t="n">
        <v>0</v>
      </c>
      <c r="I178" t="n">
        <v>0</v>
      </c>
      <c r="J178" t="n">
        <v>0</v>
      </c>
      <c r="K178" t="n">
        <v>0</v>
      </c>
      <c r="L178" t="n">
        <v>0</v>
      </c>
      <c r="M178" t="n">
        <v>0</v>
      </c>
      <c r="N178" t="n">
        <v>0</v>
      </c>
      <c r="O178" t="n">
        <v>0</v>
      </c>
      <c r="P178" t="n">
        <v>0</v>
      </c>
      <c r="Q178" t="n">
        <v>0</v>
      </c>
      <c r="R178" s="2" t="inlineStr"/>
    </row>
    <row r="179" ht="15" customHeight="1">
      <c r="A179" t="inlineStr">
        <is>
          <t>A 17809-2020</t>
        </is>
      </c>
      <c r="B179" s="1" t="n">
        <v>43924</v>
      </c>
      <c r="C179" s="1" t="n">
        <v>45362</v>
      </c>
      <c r="D179" t="inlineStr">
        <is>
          <t>DALARNAS LÄN</t>
        </is>
      </c>
      <c r="E179" t="inlineStr">
        <is>
          <t>LUDVIKA</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20725-2020</t>
        </is>
      </c>
      <c r="B180" s="1" t="n">
        <v>43949</v>
      </c>
      <c r="C180" s="1" t="n">
        <v>45362</v>
      </c>
      <c r="D180" t="inlineStr">
        <is>
          <t>DALARNAS LÄN</t>
        </is>
      </c>
      <c r="E180" t="inlineStr">
        <is>
          <t>LUDVIKA</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23086-2020</t>
        </is>
      </c>
      <c r="B181" s="1" t="n">
        <v>43965</v>
      </c>
      <c r="C181" s="1" t="n">
        <v>45362</v>
      </c>
      <c r="D181" t="inlineStr">
        <is>
          <t>DALARNAS LÄN</t>
        </is>
      </c>
      <c r="E181" t="inlineStr">
        <is>
          <t>LUDVIKA</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23079-2020</t>
        </is>
      </c>
      <c r="B182" s="1" t="n">
        <v>43965</v>
      </c>
      <c r="C182" s="1" t="n">
        <v>45362</v>
      </c>
      <c r="D182" t="inlineStr">
        <is>
          <t>DALARNAS LÄN</t>
        </is>
      </c>
      <c r="E182" t="inlineStr">
        <is>
          <t>LUDVIKA</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23452-2020</t>
        </is>
      </c>
      <c r="B183" s="1" t="n">
        <v>43969</v>
      </c>
      <c r="C183" s="1" t="n">
        <v>45362</v>
      </c>
      <c r="D183" t="inlineStr">
        <is>
          <t>DALARNAS LÄN</t>
        </is>
      </c>
      <c r="E183" t="inlineStr">
        <is>
          <t>LUDVIKA</t>
        </is>
      </c>
      <c r="G183" t="n">
        <v>1.1</v>
      </c>
      <c r="H183" t="n">
        <v>0</v>
      </c>
      <c r="I183" t="n">
        <v>0</v>
      </c>
      <c r="J183" t="n">
        <v>0</v>
      </c>
      <c r="K183" t="n">
        <v>0</v>
      </c>
      <c r="L183" t="n">
        <v>0</v>
      </c>
      <c r="M183" t="n">
        <v>0</v>
      </c>
      <c r="N183" t="n">
        <v>0</v>
      </c>
      <c r="O183" t="n">
        <v>0</v>
      </c>
      <c r="P183" t="n">
        <v>0</v>
      </c>
      <c r="Q183" t="n">
        <v>0</v>
      </c>
      <c r="R183" s="2" t="inlineStr"/>
    </row>
    <row r="184" ht="15" customHeight="1">
      <c r="A184" t="inlineStr">
        <is>
          <t>A 24742-2020</t>
        </is>
      </c>
      <c r="B184" s="1" t="n">
        <v>43978</v>
      </c>
      <c r="C184" s="1" t="n">
        <v>45362</v>
      </c>
      <c r="D184" t="inlineStr">
        <is>
          <t>DALARNAS LÄN</t>
        </is>
      </c>
      <c r="E184" t="inlineStr">
        <is>
          <t>LUDVIKA</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25450-2020</t>
        </is>
      </c>
      <c r="B185" s="1" t="n">
        <v>43983</v>
      </c>
      <c r="C185" s="1" t="n">
        <v>45362</v>
      </c>
      <c r="D185" t="inlineStr">
        <is>
          <t>DALARNAS LÄN</t>
        </is>
      </c>
      <c r="E185" t="inlineStr">
        <is>
          <t>LUDVIKA</t>
        </is>
      </c>
      <c r="F185" t="inlineStr">
        <is>
          <t>Bergvik skog väst AB</t>
        </is>
      </c>
      <c r="G185" t="n">
        <v>5.8</v>
      </c>
      <c r="H185" t="n">
        <v>0</v>
      </c>
      <c r="I185" t="n">
        <v>0</v>
      </c>
      <c r="J185" t="n">
        <v>0</v>
      </c>
      <c r="K185" t="n">
        <v>0</v>
      </c>
      <c r="L185" t="n">
        <v>0</v>
      </c>
      <c r="M185" t="n">
        <v>0</v>
      </c>
      <c r="N185" t="n">
        <v>0</v>
      </c>
      <c r="O185" t="n">
        <v>0</v>
      </c>
      <c r="P185" t="n">
        <v>0</v>
      </c>
      <c r="Q185" t="n">
        <v>0</v>
      </c>
      <c r="R185" s="2" t="inlineStr"/>
    </row>
    <row r="186" ht="15" customHeight="1">
      <c r="A186" t="inlineStr">
        <is>
          <t>A 25441-2020</t>
        </is>
      </c>
      <c r="B186" s="1" t="n">
        <v>43983</v>
      </c>
      <c r="C186" s="1" t="n">
        <v>45362</v>
      </c>
      <c r="D186" t="inlineStr">
        <is>
          <t>DALARNAS LÄN</t>
        </is>
      </c>
      <c r="E186" t="inlineStr">
        <is>
          <t>LUDVIKA</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25471-2020</t>
        </is>
      </c>
      <c r="B187" s="1" t="n">
        <v>43983</v>
      </c>
      <c r="C187" s="1" t="n">
        <v>45362</v>
      </c>
      <c r="D187" t="inlineStr">
        <is>
          <t>DALARNAS LÄN</t>
        </is>
      </c>
      <c r="E187" t="inlineStr">
        <is>
          <t>LUDVIKA</t>
        </is>
      </c>
      <c r="F187" t="inlineStr">
        <is>
          <t>Bergvik skog väst AB</t>
        </is>
      </c>
      <c r="G187" t="n">
        <v>2.6</v>
      </c>
      <c r="H187" t="n">
        <v>0</v>
      </c>
      <c r="I187" t="n">
        <v>0</v>
      </c>
      <c r="J187" t="n">
        <v>0</v>
      </c>
      <c r="K187" t="n">
        <v>0</v>
      </c>
      <c r="L187" t="n">
        <v>0</v>
      </c>
      <c r="M187" t="n">
        <v>0</v>
      </c>
      <c r="N187" t="n">
        <v>0</v>
      </c>
      <c r="O187" t="n">
        <v>0</v>
      </c>
      <c r="P187" t="n">
        <v>0</v>
      </c>
      <c r="Q187" t="n">
        <v>0</v>
      </c>
      <c r="R187" s="2" t="inlineStr"/>
    </row>
    <row r="188" ht="15" customHeight="1">
      <c r="A188" t="inlineStr">
        <is>
          <t>A 25554-2020</t>
        </is>
      </c>
      <c r="B188" s="1" t="n">
        <v>43983</v>
      </c>
      <c r="C188" s="1" t="n">
        <v>45362</v>
      </c>
      <c r="D188" t="inlineStr">
        <is>
          <t>DALARNAS LÄN</t>
        </is>
      </c>
      <c r="E188" t="inlineStr">
        <is>
          <t>LUDVIKA</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25581-2020</t>
        </is>
      </c>
      <c r="B189" s="1" t="n">
        <v>43983</v>
      </c>
      <c r="C189" s="1" t="n">
        <v>45362</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25458-2020</t>
        </is>
      </c>
      <c r="B190" s="1" t="n">
        <v>43983</v>
      </c>
      <c r="C190" s="1" t="n">
        <v>45362</v>
      </c>
      <c r="D190" t="inlineStr">
        <is>
          <t>DALARNAS LÄN</t>
        </is>
      </c>
      <c r="E190" t="inlineStr">
        <is>
          <t>LUDVIKA</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28524-2020</t>
        </is>
      </c>
      <c r="B191" s="1" t="n">
        <v>43999</v>
      </c>
      <c r="C191" s="1" t="n">
        <v>45362</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28802-2020</t>
        </is>
      </c>
      <c r="B192" s="1" t="n">
        <v>44000</v>
      </c>
      <c r="C192" s="1" t="n">
        <v>45362</v>
      </c>
      <c r="D192" t="inlineStr">
        <is>
          <t>DALARNAS LÄN</t>
        </is>
      </c>
      <c r="E192" t="inlineStr">
        <is>
          <t>LUDVIKA</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28798-2020</t>
        </is>
      </c>
      <c r="B193" s="1" t="n">
        <v>44000</v>
      </c>
      <c r="C193" s="1" t="n">
        <v>45362</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29869-2020</t>
        </is>
      </c>
      <c r="B194" s="1" t="n">
        <v>44006</v>
      </c>
      <c r="C194" s="1" t="n">
        <v>45362</v>
      </c>
      <c r="D194" t="inlineStr">
        <is>
          <t>DALARNAS LÄN</t>
        </is>
      </c>
      <c r="E194" t="inlineStr">
        <is>
          <t>LUDVIKA</t>
        </is>
      </c>
      <c r="G194" t="n">
        <v>2.1</v>
      </c>
      <c r="H194" t="n">
        <v>0</v>
      </c>
      <c r="I194" t="n">
        <v>0</v>
      </c>
      <c r="J194" t="n">
        <v>0</v>
      </c>
      <c r="K194" t="n">
        <v>0</v>
      </c>
      <c r="L194" t="n">
        <v>0</v>
      </c>
      <c r="M194" t="n">
        <v>0</v>
      </c>
      <c r="N194" t="n">
        <v>0</v>
      </c>
      <c r="O194" t="n">
        <v>0</v>
      </c>
      <c r="P194" t="n">
        <v>0</v>
      </c>
      <c r="Q194" t="n">
        <v>0</v>
      </c>
      <c r="R194" s="2" t="inlineStr"/>
    </row>
    <row r="195" ht="15" customHeight="1">
      <c r="A195" t="inlineStr">
        <is>
          <t>A 31257-2020</t>
        </is>
      </c>
      <c r="B195" s="1" t="n">
        <v>44012</v>
      </c>
      <c r="C195" s="1" t="n">
        <v>45362</v>
      </c>
      <c r="D195" t="inlineStr">
        <is>
          <t>DALARNAS LÄN</t>
        </is>
      </c>
      <c r="E195" t="inlineStr">
        <is>
          <t>LUDVIKA</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32994-2020</t>
        </is>
      </c>
      <c r="B196" s="1" t="n">
        <v>44020</v>
      </c>
      <c r="C196" s="1" t="n">
        <v>45362</v>
      </c>
      <c r="D196" t="inlineStr">
        <is>
          <t>DALARNAS LÄN</t>
        </is>
      </c>
      <c r="E196" t="inlineStr">
        <is>
          <t>LUDVIKA</t>
        </is>
      </c>
      <c r="F196" t="inlineStr">
        <is>
          <t>Bergvik skog väst AB</t>
        </is>
      </c>
      <c r="G196" t="n">
        <v>0.7</v>
      </c>
      <c r="H196" t="n">
        <v>0</v>
      </c>
      <c r="I196" t="n">
        <v>0</v>
      </c>
      <c r="J196" t="n">
        <v>0</v>
      </c>
      <c r="K196" t="n">
        <v>0</v>
      </c>
      <c r="L196" t="n">
        <v>0</v>
      </c>
      <c r="M196" t="n">
        <v>0</v>
      </c>
      <c r="N196" t="n">
        <v>0</v>
      </c>
      <c r="O196" t="n">
        <v>0</v>
      </c>
      <c r="P196" t="n">
        <v>0</v>
      </c>
      <c r="Q196" t="n">
        <v>0</v>
      </c>
      <c r="R196" s="2" t="inlineStr"/>
    </row>
    <row r="197" ht="15" customHeight="1">
      <c r="A197" t="inlineStr">
        <is>
          <t>A 33357-2020</t>
        </is>
      </c>
      <c r="B197" s="1" t="n">
        <v>44022</v>
      </c>
      <c r="C197" s="1" t="n">
        <v>45362</v>
      </c>
      <c r="D197" t="inlineStr">
        <is>
          <t>DALARNAS LÄN</t>
        </is>
      </c>
      <c r="E197" t="inlineStr">
        <is>
          <t>LUDVIKA</t>
        </is>
      </c>
      <c r="F197" t="inlineStr">
        <is>
          <t>Bergvik skog väst AB</t>
        </is>
      </c>
      <c r="G197" t="n">
        <v>1.5</v>
      </c>
      <c r="H197" t="n">
        <v>0</v>
      </c>
      <c r="I197" t="n">
        <v>0</v>
      </c>
      <c r="J197" t="n">
        <v>0</v>
      </c>
      <c r="K197" t="n">
        <v>0</v>
      </c>
      <c r="L197" t="n">
        <v>0</v>
      </c>
      <c r="M197" t="n">
        <v>0</v>
      </c>
      <c r="N197" t="n">
        <v>0</v>
      </c>
      <c r="O197" t="n">
        <v>0</v>
      </c>
      <c r="P197" t="n">
        <v>0</v>
      </c>
      <c r="Q197" t="n">
        <v>0</v>
      </c>
      <c r="R197" s="2" t="inlineStr"/>
    </row>
    <row r="198" ht="15" customHeight="1">
      <c r="A198" t="inlineStr">
        <is>
          <t>A 34915-2020</t>
        </is>
      </c>
      <c r="B198" s="1" t="n">
        <v>44036</v>
      </c>
      <c r="C198" s="1" t="n">
        <v>45362</v>
      </c>
      <c r="D198" t="inlineStr">
        <is>
          <t>DALARNAS LÄN</t>
        </is>
      </c>
      <c r="E198" t="inlineStr">
        <is>
          <t>LUDVIKA</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39915-2020</t>
        </is>
      </c>
      <c r="B199" s="1" t="n">
        <v>44067</v>
      </c>
      <c r="C199" s="1" t="n">
        <v>45362</v>
      </c>
      <c r="D199" t="inlineStr">
        <is>
          <t>DALARNAS LÄN</t>
        </is>
      </c>
      <c r="E199" t="inlineStr">
        <is>
          <t>LUDVIKA</t>
        </is>
      </c>
      <c r="F199" t="inlineStr">
        <is>
          <t>Naturvårdsverket</t>
        </is>
      </c>
      <c r="G199" t="n">
        <v>17.7</v>
      </c>
      <c r="H199" t="n">
        <v>0</v>
      </c>
      <c r="I199" t="n">
        <v>0</v>
      </c>
      <c r="J199" t="n">
        <v>0</v>
      </c>
      <c r="K199" t="n">
        <v>0</v>
      </c>
      <c r="L199" t="n">
        <v>0</v>
      </c>
      <c r="M199" t="n">
        <v>0</v>
      </c>
      <c r="N199" t="n">
        <v>0</v>
      </c>
      <c r="O199" t="n">
        <v>0</v>
      </c>
      <c r="P199" t="n">
        <v>0</v>
      </c>
      <c r="Q199" t="n">
        <v>0</v>
      </c>
      <c r="R199" s="2" t="inlineStr"/>
    </row>
    <row r="200" ht="15" customHeight="1">
      <c r="A200" t="inlineStr">
        <is>
          <t>A 40472-2020</t>
        </is>
      </c>
      <c r="B200" s="1" t="n">
        <v>44069</v>
      </c>
      <c r="C200" s="1" t="n">
        <v>45362</v>
      </c>
      <c r="D200" t="inlineStr">
        <is>
          <t>DALARNAS LÄN</t>
        </is>
      </c>
      <c r="E200" t="inlineStr">
        <is>
          <t>LUDVIKA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40504-2020</t>
        </is>
      </c>
      <c r="B201" s="1" t="n">
        <v>44069</v>
      </c>
      <c r="C201" s="1" t="n">
        <v>45362</v>
      </c>
      <c r="D201" t="inlineStr">
        <is>
          <t>DALARNAS LÄN</t>
        </is>
      </c>
      <c r="E201" t="inlineStr">
        <is>
          <t>LUDVIKA</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40978-2020</t>
        </is>
      </c>
      <c r="B202" s="1" t="n">
        <v>44070</v>
      </c>
      <c r="C202" s="1" t="n">
        <v>45362</v>
      </c>
      <c r="D202" t="inlineStr">
        <is>
          <t>DALARNAS LÄN</t>
        </is>
      </c>
      <c r="E202" t="inlineStr">
        <is>
          <t>LUDVIKA</t>
        </is>
      </c>
      <c r="F202" t="inlineStr">
        <is>
          <t>Bergvik skog väst AB</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43162-2020</t>
        </is>
      </c>
      <c r="B203" s="1" t="n">
        <v>44081</v>
      </c>
      <c r="C203" s="1" t="n">
        <v>45362</v>
      </c>
      <c r="D203" t="inlineStr">
        <is>
          <t>DALARNAS LÄN</t>
        </is>
      </c>
      <c r="E203" t="inlineStr">
        <is>
          <t>LUDVIKA</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44747-2020</t>
        </is>
      </c>
      <c r="B204" s="1" t="n">
        <v>44085</v>
      </c>
      <c r="C204" s="1" t="n">
        <v>45362</v>
      </c>
      <c r="D204" t="inlineStr">
        <is>
          <t>DALARNAS LÄN</t>
        </is>
      </c>
      <c r="E204" t="inlineStr">
        <is>
          <t>LUDVIKA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44746-2020</t>
        </is>
      </c>
      <c r="B205" s="1" t="n">
        <v>44085</v>
      </c>
      <c r="C205" s="1" t="n">
        <v>45362</v>
      </c>
      <c r="D205" t="inlineStr">
        <is>
          <t>DALARNAS LÄN</t>
        </is>
      </c>
      <c r="E205" t="inlineStr">
        <is>
          <t>LUDVIKA</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45390-2020</t>
        </is>
      </c>
      <c r="B206" s="1" t="n">
        <v>44085</v>
      </c>
      <c r="C206" s="1" t="n">
        <v>45362</v>
      </c>
      <c r="D206" t="inlineStr">
        <is>
          <t>DALARNAS LÄN</t>
        </is>
      </c>
      <c r="E206" t="inlineStr">
        <is>
          <t>LUDVIKA</t>
        </is>
      </c>
      <c r="G206" t="n">
        <v>4.4</v>
      </c>
      <c r="H206" t="n">
        <v>0</v>
      </c>
      <c r="I206" t="n">
        <v>0</v>
      </c>
      <c r="J206" t="n">
        <v>0</v>
      </c>
      <c r="K206" t="n">
        <v>0</v>
      </c>
      <c r="L206" t="n">
        <v>0</v>
      </c>
      <c r="M206" t="n">
        <v>0</v>
      </c>
      <c r="N206" t="n">
        <v>0</v>
      </c>
      <c r="O206" t="n">
        <v>0</v>
      </c>
      <c r="P206" t="n">
        <v>0</v>
      </c>
      <c r="Q206" t="n">
        <v>0</v>
      </c>
      <c r="R206" s="2" t="inlineStr"/>
    </row>
    <row r="207" ht="15" customHeight="1">
      <c r="A207" t="inlineStr">
        <is>
          <t>A 44745-2020</t>
        </is>
      </c>
      <c r="B207" s="1" t="n">
        <v>44085</v>
      </c>
      <c r="C207" s="1" t="n">
        <v>45362</v>
      </c>
      <c r="D207" t="inlineStr">
        <is>
          <t>DALARNAS LÄN</t>
        </is>
      </c>
      <c r="E207" t="inlineStr">
        <is>
          <t>LUDVIKA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45309-2020</t>
        </is>
      </c>
      <c r="B208" s="1" t="n">
        <v>44089</v>
      </c>
      <c r="C208" s="1" t="n">
        <v>45362</v>
      </c>
      <c r="D208" t="inlineStr">
        <is>
          <t>DALARNAS LÄN</t>
        </is>
      </c>
      <c r="E208" t="inlineStr">
        <is>
          <t>LUDVIKA</t>
        </is>
      </c>
      <c r="G208" t="n">
        <v>0.6</v>
      </c>
      <c r="H208" t="n">
        <v>0</v>
      </c>
      <c r="I208" t="n">
        <v>0</v>
      </c>
      <c r="J208" t="n">
        <v>0</v>
      </c>
      <c r="K208" t="n">
        <v>0</v>
      </c>
      <c r="L208" t="n">
        <v>0</v>
      </c>
      <c r="M208" t="n">
        <v>0</v>
      </c>
      <c r="N208" t="n">
        <v>0</v>
      </c>
      <c r="O208" t="n">
        <v>0</v>
      </c>
      <c r="P208" t="n">
        <v>0</v>
      </c>
      <c r="Q208" t="n">
        <v>0</v>
      </c>
      <c r="R208" s="2" t="inlineStr"/>
    </row>
    <row r="209" ht="15" customHeight="1">
      <c r="A209" t="inlineStr">
        <is>
          <t>A 45613-2020</t>
        </is>
      </c>
      <c r="B209" s="1" t="n">
        <v>44090</v>
      </c>
      <c r="C209" s="1" t="n">
        <v>45362</v>
      </c>
      <c r="D209" t="inlineStr">
        <is>
          <t>DALARNAS LÄN</t>
        </is>
      </c>
      <c r="E209" t="inlineStr">
        <is>
          <t>LUDVIKA</t>
        </is>
      </c>
      <c r="F209" t="inlineStr">
        <is>
          <t>Övriga Aktiebolag</t>
        </is>
      </c>
      <c r="G209" t="n">
        <v>0.7</v>
      </c>
      <c r="H209" t="n">
        <v>0</v>
      </c>
      <c r="I209" t="n">
        <v>0</v>
      </c>
      <c r="J209" t="n">
        <v>0</v>
      </c>
      <c r="K209" t="n">
        <v>0</v>
      </c>
      <c r="L209" t="n">
        <v>0</v>
      </c>
      <c r="M209" t="n">
        <v>0</v>
      </c>
      <c r="N209" t="n">
        <v>0</v>
      </c>
      <c r="O209" t="n">
        <v>0</v>
      </c>
      <c r="P209" t="n">
        <v>0</v>
      </c>
      <c r="Q209" t="n">
        <v>0</v>
      </c>
      <c r="R209" s="2" t="inlineStr"/>
    </row>
    <row r="210" ht="15" customHeight="1">
      <c r="A210" t="inlineStr">
        <is>
          <t>A 46252-2020</t>
        </is>
      </c>
      <c r="B210" s="1" t="n">
        <v>44092</v>
      </c>
      <c r="C210" s="1" t="n">
        <v>45362</v>
      </c>
      <c r="D210" t="inlineStr">
        <is>
          <t>DALARNAS LÄN</t>
        </is>
      </c>
      <c r="E210" t="inlineStr">
        <is>
          <t>LUDVIKA</t>
        </is>
      </c>
      <c r="F210" t="inlineStr">
        <is>
          <t>Sveaskog</t>
        </is>
      </c>
      <c r="G210" t="n">
        <v>4</v>
      </c>
      <c r="H210" t="n">
        <v>0</v>
      </c>
      <c r="I210" t="n">
        <v>0</v>
      </c>
      <c r="J210" t="n">
        <v>0</v>
      </c>
      <c r="K210" t="n">
        <v>0</v>
      </c>
      <c r="L210" t="n">
        <v>0</v>
      </c>
      <c r="M210" t="n">
        <v>0</v>
      </c>
      <c r="N210" t="n">
        <v>0</v>
      </c>
      <c r="O210" t="n">
        <v>0</v>
      </c>
      <c r="P210" t="n">
        <v>0</v>
      </c>
      <c r="Q210" t="n">
        <v>0</v>
      </c>
      <c r="R210" s="2" t="inlineStr"/>
    </row>
    <row r="211" ht="15" customHeight="1">
      <c r="A211" t="inlineStr">
        <is>
          <t>A 46268-2020</t>
        </is>
      </c>
      <c r="B211" s="1" t="n">
        <v>44092</v>
      </c>
      <c r="C211" s="1" t="n">
        <v>45362</v>
      </c>
      <c r="D211" t="inlineStr">
        <is>
          <t>DALARNAS LÄN</t>
        </is>
      </c>
      <c r="E211" t="inlineStr">
        <is>
          <t>LUDVIKA</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46329-2020</t>
        </is>
      </c>
      <c r="B212" s="1" t="n">
        <v>44092</v>
      </c>
      <c r="C212" s="1" t="n">
        <v>45362</v>
      </c>
      <c r="D212" t="inlineStr">
        <is>
          <t>DALARNAS LÄN</t>
        </is>
      </c>
      <c r="E212" t="inlineStr">
        <is>
          <t>LUDVIKA</t>
        </is>
      </c>
      <c r="F212" t="inlineStr">
        <is>
          <t>Sveaskog</t>
        </is>
      </c>
      <c r="G212" t="n">
        <v>4.6</v>
      </c>
      <c r="H212" t="n">
        <v>0</v>
      </c>
      <c r="I212" t="n">
        <v>0</v>
      </c>
      <c r="J212" t="n">
        <v>0</v>
      </c>
      <c r="K212" t="n">
        <v>0</v>
      </c>
      <c r="L212" t="n">
        <v>0</v>
      </c>
      <c r="M212" t="n">
        <v>0</v>
      </c>
      <c r="N212" t="n">
        <v>0</v>
      </c>
      <c r="O212" t="n">
        <v>0</v>
      </c>
      <c r="P212" t="n">
        <v>0</v>
      </c>
      <c r="Q212" t="n">
        <v>0</v>
      </c>
      <c r="R212" s="2" t="inlineStr"/>
    </row>
    <row r="213" ht="15" customHeight="1">
      <c r="A213" t="inlineStr">
        <is>
          <t>A 46147-2020</t>
        </is>
      </c>
      <c r="B213" s="1" t="n">
        <v>44092</v>
      </c>
      <c r="C213" s="1" t="n">
        <v>45362</v>
      </c>
      <c r="D213" t="inlineStr">
        <is>
          <t>DALARNAS LÄN</t>
        </is>
      </c>
      <c r="E213" t="inlineStr">
        <is>
          <t>LUDVIKA</t>
        </is>
      </c>
      <c r="G213" t="n">
        <v>0.5</v>
      </c>
      <c r="H213" t="n">
        <v>0</v>
      </c>
      <c r="I213" t="n">
        <v>0</v>
      </c>
      <c r="J213" t="n">
        <v>0</v>
      </c>
      <c r="K213" t="n">
        <v>0</v>
      </c>
      <c r="L213" t="n">
        <v>0</v>
      </c>
      <c r="M213" t="n">
        <v>0</v>
      </c>
      <c r="N213" t="n">
        <v>0</v>
      </c>
      <c r="O213" t="n">
        <v>0</v>
      </c>
      <c r="P213" t="n">
        <v>0</v>
      </c>
      <c r="Q213" t="n">
        <v>0</v>
      </c>
      <c r="R213" s="2" t="inlineStr"/>
    </row>
    <row r="214" ht="15" customHeight="1">
      <c r="A214" t="inlineStr">
        <is>
          <t>A 46146-2020</t>
        </is>
      </c>
      <c r="B214" s="1" t="n">
        <v>44092</v>
      </c>
      <c r="C214" s="1" t="n">
        <v>45362</v>
      </c>
      <c r="D214" t="inlineStr">
        <is>
          <t>DALARNAS LÄN</t>
        </is>
      </c>
      <c r="E214" t="inlineStr">
        <is>
          <t>LUDVIKA</t>
        </is>
      </c>
      <c r="G214" t="n">
        <v>1.5</v>
      </c>
      <c r="H214" t="n">
        <v>0</v>
      </c>
      <c r="I214" t="n">
        <v>0</v>
      </c>
      <c r="J214" t="n">
        <v>0</v>
      </c>
      <c r="K214" t="n">
        <v>0</v>
      </c>
      <c r="L214" t="n">
        <v>0</v>
      </c>
      <c r="M214" t="n">
        <v>0</v>
      </c>
      <c r="N214" t="n">
        <v>0</v>
      </c>
      <c r="O214" t="n">
        <v>0</v>
      </c>
      <c r="P214" t="n">
        <v>0</v>
      </c>
      <c r="Q214" t="n">
        <v>0</v>
      </c>
      <c r="R214" s="2" t="inlineStr"/>
    </row>
    <row r="215" ht="15" customHeight="1">
      <c r="A215" t="inlineStr">
        <is>
          <t>A 46275-2020</t>
        </is>
      </c>
      <c r="B215" s="1" t="n">
        <v>44092</v>
      </c>
      <c r="C215" s="1" t="n">
        <v>45362</v>
      </c>
      <c r="D215" t="inlineStr">
        <is>
          <t>DALARNAS LÄN</t>
        </is>
      </c>
      <c r="E215" t="inlineStr">
        <is>
          <t>LUDVIKA</t>
        </is>
      </c>
      <c r="F215" t="inlineStr">
        <is>
          <t>Sveaskog</t>
        </is>
      </c>
      <c r="G215" t="n">
        <v>6.1</v>
      </c>
      <c r="H215" t="n">
        <v>0</v>
      </c>
      <c r="I215" t="n">
        <v>0</v>
      </c>
      <c r="J215" t="n">
        <v>0</v>
      </c>
      <c r="K215" t="n">
        <v>0</v>
      </c>
      <c r="L215" t="n">
        <v>0</v>
      </c>
      <c r="M215" t="n">
        <v>0</v>
      </c>
      <c r="N215" t="n">
        <v>0</v>
      </c>
      <c r="O215" t="n">
        <v>0</v>
      </c>
      <c r="P215" t="n">
        <v>0</v>
      </c>
      <c r="Q215" t="n">
        <v>0</v>
      </c>
      <c r="R215" s="2" t="inlineStr"/>
    </row>
    <row r="216" ht="15" customHeight="1">
      <c r="A216" t="inlineStr">
        <is>
          <t>A 46284-2020</t>
        </is>
      </c>
      <c r="B216" s="1" t="n">
        <v>44092</v>
      </c>
      <c r="C216" s="1" t="n">
        <v>45362</v>
      </c>
      <c r="D216" t="inlineStr">
        <is>
          <t>DALARNAS LÄN</t>
        </is>
      </c>
      <c r="E216" t="inlineStr">
        <is>
          <t>LUDVIKA</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46369-2020</t>
        </is>
      </c>
      <c r="B217" s="1" t="n">
        <v>44093</v>
      </c>
      <c r="C217" s="1" t="n">
        <v>45362</v>
      </c>
      <c r="D217" t="inlineStr">
        <is>
          <t>DALARNAS LÄN</t>
        </is>
      </c>
      <c r="E217" t="inlineStr">
        <is>
          <t>LUDVIKA</t>
        </is>
      </c>
      <c r="G217" t="n">
        <v>3.8</v>
      </c>
      <c r="H217" t="n">
        <v>0</v>
      </c>
      <c r="I217" t="n">
        <v>0</v>
      </c>
      <c r="J217" t="n">
        <v>0</v>
      </c>
      <c r="K217" t="n">
        <v>0</v>
      </c>
      <c r="L217" t="n">
        <v>0</v>
      </c>
      <c r="M217" t="n">
        <v>0</v>
      </c>
      <c r="N217" t="n">
        <v>0</v>
      </c>
      <c r="O217" t="n">
        <v>0</v>
      </c>
      <c r="P217" t="n">
        <v>0</v>
      </c>
      <c r="Q217" t="n">
        <v>0</v>
      </c>
      <c r="R217" s="2" t="inlineStr"/>
    </row>
    <row r="218" ht="15" customHeight="1">
      <c r="A218" t="inlineStr">
        <is>
          <t>A 47194-2020</t>
        </is>
      </c>
      <c r="B218" s="1" t="n">
        <v>44097</v>
      </c>
      <c r="C218" s="1" t="n">
        <v>45362</v>
      </c>
      <c r="D218" t="inlineStr">
        <is>
          <t>DALARNAS LÄN</t>
        </is>
      </c>
      <c r="E218" t="inlineStr">
        <is>
          <t>LUDVIKA</t>
        </is>
      </c>
      <c r="F218" t="inlineStr">
        <is>
          <t>Bergvik skog väst AB</t>
        </is>
      </c>
      <c r="G218" t="n">
        <v>0.9</v>
      </c>
      <c r="H218" t="n">
        <v>0</v>
      </c>
      <c r="I218" t="n">
        <v>0</v>
      </c>
      <c r="J218" t="n">
        <v>0</v>
      </c>
      <c r="K218" t="n">
        <v>0</v>
      </c>
      <c r="L218" t="n">
        <v>0</v>
      </c>
      <c r="M218" t="n">
        <v>0</v>
      </c>
      <c r="N218" t="n">
        <v>0</v>
      </c>
      <c r="O218" t="n">
        <v>0</v>
      </c>
      <c r="P218" t="n">
        <v>0</v>
      </c>
      <c r="Q218" t="n">
        <v>0</v>
      </c>
      <c r="R218" s="2" t="inlineStr"/>
    </row>
    <row r="219" ht="15" customHeight="1">
      <c r="A219" t="inlineStr">
        <is>
          <t>A 47471-2020</t>
        </is>
      </c>
      <c r="B219" s="1" t="n">
        <v>44097</v>
      </c>
      <c r="C219" s="1" t="n">
        <v>45362</v>
      </c>
      <c r="D219" t="inlineStr">
        <is>
          <t>DALARNAS LÄN</t>
        </is>
      </c>
      <c r="E219" t="inlineStr">
        <is>
          <t>LUDVIKA</t>
        </is>
      </c>
      <c r="G219" t="n">
        <v>0.7</v>
      </c>
      <c r="H219" t="n">
        <v>0</v>
      </c>
      <c r="I219" t="n">
        <v>0</v>
      </c>
      <c r="J219" t="n">
        <v>0</v>
      </c>
      <c r="K219" t="n">
        <v>0</v>
      </c>
      <c r="L219" t="n">
        <v>0</v>
      </c>
      <c r="M219" t="n">
        <v>0</v>
      </c>
      <c r="N219" t="n">
        <v>0</v>
      </c>
      <c r="O219" t="n">
        <v>0</v>
      </c>
      <c r="P219" t="n">
        <v>0</v>
      </c>
      <c r="Q219" t="n">
        <v>0</v>
      </c>
      <c r="R219" s="2" t="inlineStr"/>
    </row>
    <row r="220" ht="15" customHeight="1">
      <c r="A220" t="inlineStr">
        <is>
          <t>A 48557-2020</t>
        </is>
      </c>
      <c r="B220" s="1" t="n">
        <v>44103</v>
      </c>
      <c r="C220" s="1" t="n">
        <v>45362</v>
      </c>
      <c r="D220" t="inlineStr">
        <is>
          <t>DALARNAS LÄN</t>
        </is>
      </c>
      <c r="E220" t="inlineStr">
        <is>
          <t>LUDVIKA</t>
        </is>
      </c>
      <c r="G220" t="n">
        <v>1</v>
      </c>
      <c r="H220" t="n">
        <v>0</v>
      </c>
      <c r="I220" t="n">
        <v>0</v>
      </c>
      <c r="J220" t="n">
        <v>0</v>
      </c>
      <c r="K220" t="n">
        <v>0</v>
      </c>
      <c r="L220" t="n">
        <v>0</v>
      </c>
      <c r="M220" t="n">
        <v>0</v>
      </c>
      <c r="N220" t="n">
        <v>0</v>
      </c>
      <c r="O220" t="n">
        <v>0</v>
      </c>
      <c r="P220" t="n">
        <v>0</v>
      </c>
      <c r="Q220" t="n">
        <v>0</v>
      </c>
      <c r="R220" s="2" t="inlineStr"/>
    </row>
    <row r="221" ht="15" customHeight="1">
      <c r="A221" t="inlineStr">
        <is>
          <t>A 48482-2020</t>
        </is>
      </c>
      <c r="B221" s="1" t="n">
        <v>44103</v>
      </c>
      <c r="C221" s="1" t="n">
        <v>45362</v>
      </c>
      <c r="D221" t="inlineStr">
        <is>
          <t>DALARNAS LÄN</t>
        </is>
      </c>
      <c r="E221" t="inlineStr">
        <is>
          <t>LUDVIKA</t>
        </is>
      </c>
      <c r="G221" t="n">
        <v>0.5</v>
      </c>
      <c r="H221" t="n">
        <v>0</v>
      </c>
      <c r="I221" t="n">
        <v>0</v>
      </c>
      <c r="J221" t="n">
        <v>0</v>
      </c>
      <c r="K221" t="n">
        <v>0</v>
      </c>
      <c r="L221" t="n">
        <v>0</v>
      </c>
      <c r="M221" t="n">
        <v>0</v>
      </c>
      <c r="N221" t="n">
        <v>0</v>
      </c>
      <c r="O221" t="n">
        <v>0</v>
      </c>
      <c r="P221" t="n">
        <v>0</v>
      </c>
      <c r="Q221" t="n">
        <v>0</v>
      </c>
      <c r="R221" s="2" t="inlineStr"/>
    </row>
    <row r="222" ht="15" customHeight="1">
      <c r="A222" t="inlineStr">
        <is>
          <t>A 50146-2020</t>
        </is>
      </c>
      <c r="B222" s="1" t="n">
        <v>44104</v>
      </c>
      <c r="C222" s="1" t="n">
        <v>45362</v>
      </c>
      <c r="D222" t="inlineStr">
        <is>
          <t>DALARNAS LÄN</t>
        </is>
      </c>
      <c r="E222" t="inlineStr">
        <is>
          <t>LUDVIKA</t>
        </is>
      </c>
      <c r="G222" t="n">
        <v>4.7</v>
      </c>
      <c r="H222" t="n">
        <v>0</v>
      </c>
      <c r="I222" t="n">
        <v>0</v>
      </c>
      <c r="J222" t="n">
        <v>0</v>
      </c>
      <c r="K222" t="n">
        <v>0</v>
      </c>
      <c r="L222" t="n">
        <v>0</v>
      </c>
      <c r="M222" t="n">
        <v>0</v>
      </c>
      <c r="N222" t="n">
        <v>0</v>
      </c>
      <c r="O222" t="n">
        <v>0</v>
      </c>
      <c r="P222" t="n">
        <v>0</v>
      </c>
      <c r="Q222" t="n">
        <v>0</v>
      </c>
      <c r="R222" s="2" t="inlineStr"/>
    </row>
    <row r="223" ht="15" customHeight="1">
      <c r="A223" t="inlineStr">
        <is>
          <t>A 51439-2020</t>
        </is>
      </c>
      <c r="B223" s="1" t="n">
        <v>44113</v>
      </c>
      <c r="C223" s="1" t="n">
        <v>45362</v>
      </c>
      <c r="D223" t="inlineStr">
        <is>
          <t>DALARNAS LÄN</t>
        </is>
      </c>
      <c r="E223" t="inlineStr">
        <is>
          <t>LUDVIKA</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51777-2020</t>
        </is>
      </c>
      <c r="B224" s="1" t="n">
        <v>44116</v>
      </c>
      <c r="C224" s="1" t="n">
        <v>45362</v>
      </c>
      <c r="D224" t="inlineStr">
        <is>
          <t>DALARNAS LÄN</t>
        </is>
      </c>
      <c r="E224" t="inlineStr">
        <is>
          <t>LUDVIKA</t>
        </is>
      </c>
      <c r="G224" t="n">
        <v>11.2</v>
      </c>
      <c r="H224" t="n">
        <v>0</v>
      </c>
      <c r="I224" t="n">
        <v>0</v>
      </c>
      <c r="J224" t="n">
        <v>0</v>
      </c>
      <c r="K224" t="n">
        <v>0</v>
      </c>
      <c r="L224" t="n">
        <v>0</v>
      </c>
      <c r="M224" t="n">
        <v>0</v>
      </c>
      <c r="N224" t="n">
        <v>0</v>
      </c>
      <c r="O224" t="n">
        <v>0</v>
      </c>
      <c r="P224" t="n">
        <v>0</v>
      </c>
      <c r="Q224" t="n">
        <v>0</v>
      </c>
      <c r="R224" s="2" t="inlineStr"/>
    </row>
    <row r="225" ht="15" customHeight="1">
      <c r="A225" t="inlineStr">
        <is>
          <t>A 51895-2020</t>
        </is>
      </c>
      <c r="B225" s="1" t="n">
        <v>44116</v>
      </c>
      <c r="C225" s="1" t="n">
        <v>45362</v>
      </c>
      <c r="D225" t="inlineStr">
        <is>
          <t>DALARNAS LÄN</t>
        </is>
      </c>
      <c r="E225" t="inlineStr">
        <is>
          <t>LUDVIKA</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52425-2020</t>
        </is>
      </c>
      <c r="B226" s="1" t="n">
        <v>44118</v>
      </c>
      <c r="C226" s="1" t="n">
        <v>45362</v>
      </c>
      <c r="D226" t="inlineStr">
        <is>
          <t>DALARNAS LÄN</t>
        </is>
      </c>
      <c r="E226" t="inlineStr">
        <is>
          <t>LUDVIKA</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52748-2020</t>
        </is>
      </c>
      <c r="B227" s="1" t="n">
        <v>44119</v>
      </c>
      <c r="C227" s="1" t="n">
        <v>45362</v>
      </c>
      <c r="D227" t="inlineStr">
        <is>
          <t>DALARNAS LÄN</t>
        </is>
      </c>
      <c r="E227" t="inlineStr">
        <is>
          <t>LUDVIKA</t>
        </is>
      </c>
      <c r="G227" t="n">
        <v>1</v>
      </c>
      <c r="H227" t="n">
        <v>0</v>
      </c>
      <c r="I227" t="n">
        <v>0</v>
      </c>
      <c r="J227" t="n">
        <v>0</v>
      </c>
      <c r="K227" t="n">
        <v>0</v>
      </c>
      <c r="L227" t="n">
        <v>0</v>
      </c>
      <c r="M227" t="n">
        <v>0</v>
      </c>
      <c r="N227" t="n">
        <v>0</v>
      </c>
      <c r="O227" t="n">
        <v>0</v>
      </c>
      <c r="P227" t="n">
        <v>0</v>
      </c>
      <c r="Q227" t="n">
        <v>0</v>
      </c>
      <c r="R227" s="2" t="inlineStr"/>
    </row>
    <row r="228" ht="15" customHeight="1">
      <c r="A228" t="inlineStr">
        <is>
          <t>A 52853-2020</t>
        </is>
      </c>
      <c r="B228" s="1" t="n">
        <v>44119</v>
      </c>
      <c r="C228" s="1" t="n">
        <v>45362</v>
      </c>
      <c r="D228" t="inlineStr">
        <is>
          <t>DALARNAS LÄN</t>
        </is>
      </c>
      <c r="E228" t="inlineStr">
        <is>
          <t>LUDVIKA</t>
        </is>
      </c>
      <c r="G228" t="n">
        <v>28</v>
      </c>
      <c r="H228" t="n">
        <v>0</v>
      </c>
      <c r="I228" t="n">
        <v>0</v>
      </c>
      <c r="J228" t="n">
        <v>0</v>
      </c>
      <c r="K228" t="n">
        <v>0</v>
      </c>
      <c r="L228" t="n">
        <v>0</v>
      </c>
      <c r="M228" t="n">
        <v>0</v>
      </c>
      <c r="N228" t="n">
        <v>0</v>
      </c>
      <c r="O228" t="n">
        <v>0</v>
      </c>
      <c r="P228" t="n">
        <v>0</v>
      </c>
      <c r="Q228" t="n">
        <v>0</v>
      </c>
      <c r="R228" s="2" t="inlineStr"/>
    </row>
    <row r="229" ht="15" customHeight="1">
      <c r="A229" t="inlineStr">
        <is>
          <t>A 52929-2020</t>
        </is>
      </c>
      <c r="B229" s="1" t="n">
        <v>44120</v>
      </c>
      <c r="C229" s="1" t="n">
        <v>45362</v>
      </c>
      <c r="D229" t="inlineStr">
        <is>
          <t>DALARNAS LÄN</t>
        </is>
      </c>
      <c r="E229" t="inlineStr">
        <is>
          <t>LUDVIKA</t>
        </is>
      </c>
      <c r="F229" t="inlineStr">
        <is>
          <t>Bergvik skog väst AB</t>
        </is>
      </c>
      <c r="G229" t="n">
        <v>0.9</v>
      </c>
      <c r="H229" t="n">
        <v>0</v>
      </c>
      <c r="I229" t="n">
        <v>0</v>
      </c>
      <c r="J229" t="n">
        <v>0</v>
      </c>
      <c r="K229" t="n">
        <v>0</v>
      </c>
      <c r="L229" t="n">
        <v>0</v>
      </c>
      <c r="M229" t="n">
        <v>0</v>
      </c>
      <c r="N229" t="n">
        <v>0</v>
      </c>
      <c r="O229" t="n">
        <v>0</v>
      </c>
      <c r="P229" t="n">
        <v>0</v>
      </c>
      <c r="Q229" t="n">
        <v>0</v>
      </c>
      <c r="R229" s="2" t="inlineStr"/>
    </row>
    <row r="230" ht="15" customHeight="1">
      <c r="A230" t="inlineStr">
        <is>
          <t>A 53960-2020</t>
        </is>
      </c>
      <c r="B230" s="1" t="n">
        <v>44123</v>
      </c>
      <c r="C230" s="1" t="n">
        <v>45362</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53756-2020</t>
        </is>
      </c>
      <c r="B231" s="1" t="n">
        <v>44124</v>
      </c>
      <c r="C231" s="1" t="n">
        <v>45362</v>
      </c>
      <c r="D231" t="inlineStr">
        <is>
          <t>DALARNAS LÄN</t>
        </is>
      </c>
      <c r="E231" t="inlineStr">
        <is>
          <t>LUDVIKA</t>
        </is>
      </c>
      <c r="F231" t="inlineStr">
        <is>
          <t>Bergvik skog väst AB</t>
        </is>
      </c>
      <c r="G231" t="n">
        <v>0.6</v>
      </c>
      <c r="H231" t="n">
        <v>0</v>
      </c>
      <c r="I231" t="n">
        <v>0</v>
      </c>
      <c r="J231" t="n">
        <v>0</v>
      </c>
      <c r="K231" t="n">
        <v>0</v>
      </c>
      <c r="L231" t="n">
        <v>0</v>
      </c>
      <c r="M231" t="n">
        <v>0</v>
      </c>
      <c r="N231" t="n">
        <v>0</v>
      </c>
      <c r="O231" t="n">
        <v>0</v>
      </c>
      <c r="P231" t="n">
        <v>0</v>
      </c>
      <c r="Q231" t="n">
        <v>0</v>
      </c>
      <c r="R231" s="2" t="inlineStr"/>
    </row>
    <row r="232" ht="15" customHeight="1">
      <c r="A232" t="inlineStr">
        <is>
          <t>A 54639-2020</t>
        </is>
      </c>
      <c r="B232" s="1" t="n">
        <v>44127</v>
      </c>
      <c r="C232" s="1" t="n">
        <v>45362</v>
      </c>
      <c r="D232" t="inlineStr">
        <is>
          <t>DALARNAS LÄN</t>
        </is>
      </c>
      <c r="E232" t="inlineStr">
        <is>
          <t>LUDVIKA</t>
        </is>
      </c>
      <c r="F232" t="inlineStr">
        <is>
          <t>Övriga Aktiebolag</t>
        </is>
      </c>
      <c r="G232" t="n">
        <v>25.9</v>
      </c>
      <c r="H232" t="n">
        <v>0</v>
      </c>
      <c r="I232" t="n">
        <v>0</v>
      </c>
      <c r="J232" t="n">
        <v>0</v>
      </c>
      <c r="K232" t="n">
        <v>0</v>
      </c>
      <c r="L232" t="n">
        <v>0</v>
      </c>
      <c r="M232" t="n">
        <v>0</v>
      </c>
      <c r="N232" t="n">
        <v>0</v>
      </c>
      <c r="O232" t="n">
        <v>0</v>
      </c>
      <c r="P232" t="n">
        <v>0</v>
      </c>
      <c r="Q232" t="n">
        <v>0</v>
      </c>
      <c r="R232" s="2" t="inlineStr"/>
    </row>
    <row r="233" ht="15" customHeight="1">
      <c r="A233" t="inlineStr">
        <is>
          <t>A 54641-2020</t>
        </is>
      </c>
      <c r="B233" s="1" t="n">
        <v>44127</v>
      </c>
      <c r="C233" s="1" t="n">
        <v>45362</v>
      </c>
      <c r="D233" t="inlineStr">
        <is>
          <t>DALARNAS LÄN</t>
        </is>
      </c>
      <c r="E233" t="inlineStr">
        <is>
          <t>LUDVIKA</t>
        </is>
      </c>
      <c r="F233" t="inlineStr">
        <is>
          <t>Övriga Aktiebolag</t>
        </is>
      </c>
      <c r="G233" t="n">
        <v>38.7</v>
      </c>
      <c r="H233" t="n">
        <v>0</v>
      </c>
      <c r="I233" t="n">
        <v>0</v>
      </c>
      <c r="J233" t="n">
        <v>0</v>
      </c>
      <c r="K233" t="n">
        <v>0</v>
      </c>
      <c r="L233" t="n">
        <v>0</v>
      </c>
      <c r="M233" t="n">
        <v>0</v>
      </c>
      <c r="N233" t="n">
        <v>0</v>
      </c>
      <c r="O233" t="n">
        <v>0</v>
      </c>
      <c r="P233" t="n">
        <v>0</v>
      </c>
      <c r="Q233" t="n">
        <v>0</v>
      </c>
      <c r="R233" s="2" t="inlineStr"/>
    </row>
    <row r="234" ht="15" customHeight="1">
      <c r="A234" t="inlineStr">
        <is>
          <t>A 55646-2020</t>
        </is>
      </c>
      <c r="B234" s="1" t="n">
        <v>44131</v>
      </c>
      <c r="C234" s="1" t="n">
        <v>45362</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61004-2020</t>
        </is>
      </c>
      <c r="B235" s="1" t="n">
        <v>44154</v>
      </c>
      <c r="C235" s="1" t="n">
        <v>45362</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60913-2020</t>
        </is>
      </c>
      <c r="B236" s="1" t="n">
        <v>44154</v>
      </c>
      <c r="C236" s="1" t="n">
        <v>45362</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60822-2020</t>
        </is>
      </c>
      <c r="B237" s="1" t="n">
        <v>44154</v>
      </c>
      <c r="C237" s="1" t="n">
        <v>45362</v>
      </c>
      <c r="D237" t="inlineStr">
        <is>
          <t>DALARNAS LÄN</t>
        </is>
      </c>
      <c r="E237" t="inlineStr">
        <is>
          <t>LUDVIKA</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61491-2020</t>
        </is>
      </c>
      <c r="B238" s="1" t="n">
        <v>44154</v>
      </c>
      <c r="C238" s="1" t="n">
        <v>45362</v>
      </c>
      <c r="D238" t="inlineStr">
        <is>
          <t>DALARNAS LÄN</t>
        </is>
      </c>
      <c r="E238" t="inlineStr">
        <is>
          <t>LUDVIKA</t>
        </is>
      </c>
      <c r="G238" t="n">
        <v>1.5</v>
      </c>
      <c r="H238" t="n">
        <v>0</v>
      </c>
      <c r="I238" t="n">
        <v>0</v>
      </c>
      <c r="J238" t="n">
        <v>0</v>
      </c>
      <c r="K238" t="n">
        <v>0</v>
      </c>
      <c r="L238" t="n">
        <v>0</v>
      </c>
      <c r="M238" t="n">
        <v>0</v>
      </c>
      <c r="N238" t="n">
        <v>0</v>
      </c>
      <c r="O238" t="n">
        <v>0</v>
      </c>
      <c r="P238" t="n">
        <v>0</v>
      </c>
      <c r="Q238" t="n">
        <v>0</v>
      </c>
      <c r="R238" s="2" t="inlineStr"/>
    </row>
    <row r="239" ht="15" customHeight="1">
      <c r="A239" t="inlineStr">
        <is>
          <t>A 61501-2020</t>
        </is>
      </c>
      <c r="B239" s="1" t="n">
        <v>44154</v>
      </c>
      <c r="C239" s="1" t="n">
        <v>45362</v>
      </c>
      <c r="D239" t="inlineStr">
        <is>
          <t>DALARNAS LÄN</t>
        </is>
      </c>
      <c r="E239" t="inlineStr">
        <is>
          <t>LUDVIKA</t>
        </is>
      </c>
      <c r="G239" t="n">
        <v>10</v>
      </c>
      <c r="H239" t="n">
        <v>0</v>
      </c>
      <c r="I239" t="n">
        <v>0</v>
      </c>
      <c r="J239" t="n">
        <v>0</v>
      </c>
      <c r="K239" t="n">
        <v>0</v>
      </c>
      <c r="L239" t="n">
        <v>0</v>
      </c>
      <c r="M239" t="n">
        <v>0</v>
      </c>
      <c r="N239" t="n">
        <v>0</v>
      </c>
      <c r="O239" t="n">
        <v>0</v>
      </c>
      <c r="P239" t="n">
        <v>0</v>
      </c>
      <c r="Q239" t="n">
        <v>0</v>
      </c>
      <c r="R239" s="2" t="inlineStr"/>
    </row>
    <row r="240" ht="15" customHeight="1">
      <c r="A240" t="inlineStr">
        <is>
          <t>A 61838-2020</t>
        </is>
      </c>
      <c r="B240" s="1" t="n">
        <v>44159</v>
      </c>
      <c r="C240" s="1" t="n">
        <v>45362</v>
      </c>
      <c r="D240" t="inlineStr">
        <is>
          <t>DALARNAS LÄN</t>
        </is>
      </c>
      <c r="E240" t="inlineStr">
        <is>
          <t>LUDVIKA</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63799-2020</t>
        </is>
      </c>
      <c r="B241" s="1" t="n">
        <v>44165</v>
      </c>
      <c r="C241" s="1" t="n">
        <v>45362</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63767-2020</t>
        </is>
      </c>
      <c r="B242" s="1" t="n">
        <v>44166</v>
      </c>
      <c r="C242" s="1" t="n">
        <v>45362</v>
      </c>
      <c r="D242" t="inlineStr">
        <is>
          <t>DALARNAS LÄN</t>
        </is>
      </c>
      <c r="E242" t="inlineStr">
        <is>
          <t>LUDVIKA</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65150-2020</t>
        </is>
      </c>
      <c r="B243" s="1" t="n">
        <v>44168</v>
      </c>
      <c r="C243" s="1" t="n">
        <v>45362</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66188-2020</t>
        </is>
      </c>
      <c r="B244" s="1" t="n">
        <v>44174</v>
      </c>
      <c r="C244" s="1" t="n">
        <v>45362</v>
      </c>
      <c r="D244" t="inlineStr">
        <is>
          <t>DALARNAS LÄN</t>
        </is>
      </c>
      <c r="E244" t="inlineStr">
        <is>
          <t>LUDVIKA</t>
        </is>
      </c>
      <c r="G244" t="n">
        <v>3.5</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45362</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69157-2020</t>
        </is>
      </c>
      <c r="B246" s="1" t="n">
        <v>44188</v>
      </c>
      <c r="C246" s="1" t="n">
        <v>45362</v>
      </c>
      <c r="D246" t="inlineStr">
        <is>
          <t>DALARNAS LÄN</t>
        </is>
      </c>
      <c r="E246" t="inlineStr">
        <is>
          <t>LUDVIKA</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45362</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69090-2020</t>
        </is>
      </c>
      <c r="B248" s="1" t="n">
        <v>44188</v>
      </c>
      <c r="C248" s="1" t="n">
        <v>45362</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69165-2020</t>
        </is>
      </c>
      <c r="B249" s="1" t="n">
        <v>44188</v>
      </c>
      <c r="C249" s="1" t="n">
        <v>45362</v>
      </c>
      <c r="D249" t="inlineStr">
        <is>
          <t>DALARNAS LÄN</t>
        </is>
      </c>
      <c r="E249" t="inlineStr">
        <is>
          <t>LUDVIKA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1633-2021</t>
        </is>
      </c>
      <c r="B250" s="1" t="n">
        <v>44209</v>
      </c>
      <c r="C250" s="1" t="n">
        <v>45362</v>
      </c>
      <c r="D250" t="inlineStr">
        <is>
          <t>DALARNAS LÄN</t>
        </is>
      </c>
      <c r="E250" t="inlineStr">
        <is>
          <t>LUDVIKA</t>
        </is>
      </c>
      <c r="G250" t="n">
        <v>0.6</v>
      </c>
      <c r="H250" t="n">
        <v>0</v>
      </c>
      <c r="I250" t="n">
        <v>0</v>
      </c>
      <c r="J250" t="n">
        <v>0</v>
      </c>
      <c r="K250" t="n">
        <v>0</v>
      </c>
      <c r="L250" t="n">
        <v>0</v>
      </c>
      <c r="M250" t="n">
        <v>0</v>
      </c>
      <c r="N250" t="n">
        <v>0</v>
      </c>
      <c r="O250" t="n">
        <v>0</v>
      </c>
      <c r="P250" t="n">
        <v>0</v>
      </c>
      <c r="Q250" t="n">
        <v>0</v>
      </c>
      <c r="R250" s="2" t="inlineStr"/>
    </row>
    <row r="251" ht="15" customHeight="1">
      <c r="A251" t="inlineStr">
        <is>
          <t>A 3104-2021</t>
        </is>
      </c>
      <c r="B251" s="1" t="n">
        <v>44217</v>
      </c>
      <c r="C251" s="1" t="n">
        <v>45362</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3403-2021</t>
        </is>
      </c>
      <c r="B252" s="1" t="n">
        <v>44218</v>
      </c>
      <c r="C252" s="1" t="n">
        <v>45362</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4569-2021</t>
        </is>
      </c>
      <c r="B253" s="1" t="n">
        <v>44224</v>
      </c>
      <c r="C253" s="1" t="n">
        <v>45362</v>
      </c>
      <c r="D253" t="inlineStr">
        <is>
          <t>DALARNAS LÄN</t>
        </is>
      </c>
      <c r="E253" t="inlineStr">
        <is>
          <t>LUDVIKA</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7073-2021</t>
        </is>
      </c>
      <c r="B254" s="1" t="n">
        <v>44237</v>
      </c>
      <c r="C254" s="1" t="n">
        <v>45362</v>
      </c>
      <c r="D254" t="inlineStr">
        <is>
          <t>DALARNAS LÄN</t>
        </is>
      </c>
      <c r="E254" t="inlineStr">
        <is>
          <t>LUDVIKA</t>
        </is>
      </c>
      <c r="G254" t="n">
        <v>0.9</v>
      </c>
      <c r="H254" t="n">
        <v>0</v>
      </c>
      <c r="I254" t="n">
        <v>0</v>
      </c>
      <c r="J254" t="n">
        <v>0</v>
      </c>
      <c r="K254" t="n">
        <v>0</v>
      </c>
      <c r="L254" t="n">
        <v>0</v>
      </c>
      <c r="M254" t="n">
        <v>0</v>
      </c>
      <c r="N254" t="n">
        <v>0</v>
      </c>
      <c r="O254" t="n">
        <v>0</v>
      </c>
      <c r="P254" t="n">
        <v>0</v>
      </c>
      <c r="Q254" t="n">
        <v>0</v>
      </c>
      <c r="R254" s="2" t="inlineStr"/>
    </row>
    <row r="255" ht="15" customHeight="1">
      <c r="A255" t="inlineStr">
        <is>
          <t>A 8321-2021</t>
        </is>
      </c>
      <c r="B255" s="1" t="n">
        <v>44244</v>
      </c>
      <c r="C255" s="1" t="n">
        <v>45362</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8319-2021</t>
        </is>
      </c>
      <c r="B256" s="1" t="n">
        <v>44244</v>
      </c>
      <c r="C256" s="1" t="n">
        <v>45362</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9292-2021</t>
        </is>
      </c>
      <c r="B257" s="1" t="n">
        <v>44249</v>
      </c>
      <c r="C257" s="1" t="n">
        <v>45362</v>
      </c>
      <c r="D257" t="inlineStr">
        <is>
          <t>DALARNAS LÄN</t>
        </is>
      </c>
      <c r="E257" t="inlineStr">
        <is>
          <t>LUDVIKA</t>
        </is>
      </c>
      <c r="G257" t="n">
        <v>5.1</v>
      </c>
      <c r="H257" t="n">
        <v>0</v>
      </c>
      <c r="I257" t="n">
        <v>0</v>
      </c>
      <c r="J257" t="n">
        <v>0</v>
      </c>
      <c r="K257" t="n">
        <v>0</v>
      </c>
      <c r="L257" t="n">
        <v>0</v>
      </c>
      <c r="M257" t="n">
        <v>0</v>
      </c>
      <c r="N257" t="n">
        <v>0</v>
      </c>
      <c r="O257" t="n">
        <v>0</v>
      </c>
      <c r="P257" t="n">
        <v>0</v>
      </c>
      <c r="Q257" t="n">
        <v>0</v>
      </c>
      <c r="R257" s="2" t="inlineStr"/>
    </row>
    <row r="258" ht="15" customHeight="1">
      <c r="A258" t="inlineStr">
        <is>
          <t>A 11611-2021</t>
        </is>
      </c>
      <c r="B258" s="1" t="n">
        <v>44264</v>
      </c>
      <c r="C258" s="1" t="n">
        <v>45362</v>
      </c>
      <c r="D258" t="inlineStr">
        <is>
          <t>DALARNAS LÄN</t>
        </is>
      </c>
      <c r="E258" t="inlineStr">
        <is>
          <t>LUDVIKA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13778-2021</t>
        </is>
      </c>
      <c r="B259" s="1" t="n">
        <v>44274</v>
      </c>
      <c r="C259" s="1" t="n">
        <v>45362</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15020-2021</t>
        </is>
      </c>
      <c r="B260" s="1" t="n">
        <v>44281</v>
      </c>
      <c r="C260" s="1" t="n">
        <v>45362</v>
      </c>
      <c r="D260" t="inlineStr">
        <is>
          <t>DALARNAS LÄN</t>
        </is>
      </c>
      <c r="E260" t="inlineStr">
        <is>
          <t>LUDVIKA</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15700-2021</t>
        </is>
      </c>
      <c r="B261" s="1" t="n">
        <v>44286</v>
      </c>
      <c r="C261" s="1" t="n">
        <v>45362</v>
      </c>
      <c r="D261" t="inlineStr">
        <is>
          <t>DALARNAS LÄN</t>
        </is>
      </c>
      <c r="E261" t="inlineStr">
        <is>
          <t>LUDVIKA</t>
        </is>
      </c>
      <c r="G261" t="n">
        <v>2.2</v>
      </c>
      <c r="H261" t="n">
        <v>0</v>
      </c>
      <c r="I261" t="n">
        <v>0</v>
      </c>
      <c r="J261" t="n">
        <v>0</v>
      </c>
      <c r="K261" t="n">
        <v>0</v>
      </c>
      <c r="L261" t="n">
        <v>0</v>
      </c>
      <c r="M261" t="n">
        <v>0</v>
      </c>
      <c r="N261" t="n">
        <v>0</v>
      </c>
      <c r="O261" t="n">
        <v>0</v>
      </c>
      <c r="P261" t="n">
        <v>0</v>
      </c>
      <c r="Q261" t="n">
        <v>0</v>
      </c>
      <c r="R261" s="2" t="inlineStr"/>
    </row>
    <row r="262" ht="15" customHeight="1">
      <c r="A262" t="inlineStr">
        <is>
          <t>A 16108-2021</t>
        </is>
      </c>
      <c r="B262" s="1" t="n">
        <v>44291</v>
      </c>
      <c r="C262" s="1" t="n">
        <v>45362</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16187-2021</t>
        </is>
      </c>
      <c r="B263" s="1" t="n">
        <v>44292</v>
      </c>
      <c r="C263" s="1" t="n">
        <v>45362</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16203-2021</t>
        </is>
      </c>
      <c r="B264" s="1" t="n">
        <v>44292</v>
      </c>
      <c r="C264" s="1" t="n">
        <v>45362</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17420-2021</t>
        </is>
      </c>
      <c r="B265" s="1" t="n">
        <v>44299</v>
      </c>
      <c r="C265" s="1" t="n">
        <v>45362</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18025-2021</t>
        </is>
      </c>
      <c r="B266" s="1" t="n">
        <v>44302</v>
      </c>
      <c r="C266" s="1" t="n">
        <v>45362</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20598-2021</t>
        </is>
      </c>
      <c r="B267" s="1" t="n">
        <v>44316</v>
      </c>
      <c r="C267" s="1" t="n">
        <v>45362</v>
      </c>
      <c r="D267" t="inlineStr">
        <is>
          <t>DALARNAS LÄN</t>
        </is>
      </c>
      <c r="E267" t="inlineStr">
        <is>
          <t>LUDVIKA</t>
        </is>
      </c>
      <c r="F267" t="inlineStr">
        <is>
          <t>Naturvårdsverket</t>
        </is>
      </c>
      <c r="G267" t="n">
        <v>2.4</v>
      </c>
      <c r="H267" t="n">
        <v>0</v>
      </c>
      <c r="I267" t="n">
        <v>0</v>
      </c>
      <c r="J267" t="n">
        <v>0</v>
      </c>
      <c r="K267" t="n">
        <v>0</v>
      </c>
      <c r="L267" t="n">
        <v>0</v>
      </c>
      <c r="M267" t="n">
        <v>0</v>
      </c>
      <c r="N267" t="n">
        <v>0</v>
      </c>
      <c r="O267" t="n">
        <v>0</v>
      </c>
      <c r="P267" t="n">
        <v>0</v>
      </c>
      <c r="Q267" t="n">
        <v>0</v>
      </c>
      <c r="R267" s="2" t="inlineStr"/>
    </row>
    <row r="268" ht="15" customHeight="1">
      <c r="A268" t="inlineStr">
        <is>
          <t>A 20599-2021</t>
        </is>
      </c>
      <c r="B268" s="1" t="n">
        <v>44316</v>
      </c>
      <c r="C268" s="1" t="n">
        <v>45362</v>
      </c>
      <c r="D268" t="inlineStr">
        <is>
          <t>DALARNAS LÄN</t>
        </is>
      </c>
      <c r="E268" t="inlineStr">
        <is>
          <t>LUDVIKA</t>
        </is>
      </c>
      <c r="F268" t="inlineStr">
        <is>
          <t>Naturvårdsverket</t>
        </is>
      </c>
      <c r="G268" t="n">
        <v>1.2</v>
      </c>
      <c r="H268" t="n">
        <v>0</v>
      </c>
      <c r="I268" t="n">
        <v>0</v>
      </c>
      <c r="J268" t="n">
        <v>0</v>
      </c>
      <c r="K268" t="n">
        <v>0</v>
      </c>
      <c r="L268" t="n">
        <v>0</v>
      </c>
      <c r="M268" t="n">
        <v>0</v>
      </c>
      <c r="N268" t="n">
        <v>0</v>
      </c>
      <c r="O268" t="n">
        <v>0</v>
      </c>
      <c r="P268" t="n">
        <v>0</v>
      </c>
      <c r="Q268" t="n">
        <v>0</v>
      </c>
      <c r="R268" s="2" t="inlineStr"/>
    </row>
    <row r="269" ht="15" customHeight="1">
      <c r="A269" t="inlineStr">
        <is>
          <t>A 20690-2021</t>
        </is>
      </c>
      <c r="B269" s="1" t="n">
        <v>44316</v>
      </c>
      <c r="C269" s="1" t="n">
        <v>45362</v>
      </c>
      <c r="D269" t="inlineStr">
        <is>
          <t>DALARNAS LÄN</t>
        </is>
      </c>
      <c r="E269" t="inlineStr">
        <is>
          <t>LUDVIKA</t>
        </is>
      </c>
      <c r="F269" t="inlineStr">
        <is>
          <t>Naturvårdsverket</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20700-2021</t>
        </is>
      </c>
      <c r="B270" s="1" t="n">
        <v>44316</v>
      </c>
      <c r="C270" s="1" t="n">
        <v>45362</v>
      </c>
      <c r="D270" t="inlineStr">
        <is>
          <t>DALARNAS LÄN</t>
        </is>
      </c>
      <c r="E270" t="inlineStr">
        <is>
          <t>LUDVIKA</t>
        </is>
      </c>
      <c r="F270" t="inlineStr">
        <is>
          <t>Naturvårdsverket</t>
        </is>
      </c>
      <c r="G270" t="n">
        <v>2.5</v>
      </c>
      <c r="H270" t="n">
        <v>0</v>
      </c>
      <c r="I270" t="n">
        <v>0</v>
      </c>
      <c r="J270" t="n">
        <v>0</v>
      </c>
      <c r="K270" t="n">
        <v>0</v>
      </c>
      <c r="L270" t="n">
        <v>0</v>
      </c>
      <c r="M270" t="n">
        <v>0</v>
      </c>
      <c r="N270" t="n">
        <v>0</v>
      </c>
      <c r="O270" t="n">
        <v>0</v>
      </c>
      <c r="P270" t="n">
        <v>0</v>
      </c>
      <c r="Q270" t="n">
        <v>0</v>
      </c>
      <c r="R270" s="2" t="inlineStr"/>
    </row>
    <row r="271" ht="15" customHeight="1">
      <c r="A271" t="inlineStr">
        <is>
          <t>A 20596-2021</t>
        </is>
      </c>
      <c r="B271" s="1" t="n">
        <v>44316</v>
      </c>
      <c r="C271" s="1" t="n">
        <v>45362</v>
      </c>
      <c r="D271" t="inlineStr">
        <is>
          <t>DALARNAS LÄN</t>
        </is>
      </c>
      <c r="E271" t="inlineStr">
        <is>
          <t>LUDVIKA</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21712-2021</t>
        </is>
      </c>
      <c r="B272" s="1" t="n">
        <v>44322</v>
      </c>
      <c r="C272" s="1" t="n">
        <v>45362</v>
      </c>
      <c r="D272" t="inlineStr">
        <is>
          <t>DALARNAS LÄN</t>
        </is>
      </c>
      <c r="E272" t="inlineStr">
        <is>
          <t>LUDVIKA</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21716-2021</t>
        </is>
      </c>
      <c r="B273" s="1" t="n">
        <v>44322</v>
      </c>
      <c r="C273" s="1" t="n">
        <v>45362</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21887-2021</t>
        </is>
      </c>
      <c r="B274" s="1" t="n">
        <v>44322</v>
      </c>
      <c r="C274" s="1" t="n">
        <v>45362</v>
      </c>
      <c r="D274" t="inlineStr">
        <is>
          <t>DALARNAS LÄN</t>
        </is>
      </c>
      <c r="E274" t="inlineStr">
        <is>
          <t>LUDVIKA</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23101-2021</t>
        </is>
      </c>
      <c r="B275" s="1" t="n">
        <v>44330</v>
      </c>
      <c r="C275" s="1" t="n">
        <v>45362</v>
      </c>
      <c r="D275" t="inlineStr">
        <is>
          <t>DALARNAS LÄN</t>
        </is>
      </c>
      <c r="E275" t="inlineStr">
        <is>
          <t>LUDVIKA</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23245-2021</t>
        </is>
      </c>
      <c r="B276" s="1" t="n">
        <v>44333</v>
      </c>
      <c r="C276" s="1" t="n">
        <v>45362</v>
      </c>
      <c r="D276" t="inlineStr">
        <is>
          <t>DALARNAS LÄN</t>
        </is>
      </c>
      <c r="E276" t="inlineStr">
        <is>
          <t>LUDVIKA</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23271-2021</t>
        </is>
      </c>
      <c r="B277" s="1" t="n">
        <v>44333</v>
      </c>
      <c r="C277" s="1" t="n">
        <v>45362</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24033-2021</t>
        </is>
      </c>
      <c r="B278" s="1" t="n">
        <v>44336</v>
      </c>
      <c r="C278" s="1" t="n">
        <v>45362</v>
      </c>
      <c r="D278" t="inlineStr">
        <is>
          <t>DALARNAS LÄN</t>
        </is>
      </c>
      <c r="E278" t="inlineStr">
        <is>
          <t>LUDVIKA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24080-2021</t>
        </is>
      </c>
      <c r="B279" s="1" t="n">
        <v>44336</v>
      </c>
      <c r="C279" s="1" t="n">
        <v>45362</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24469-2021</t>
        </is>
      </c>
      <c r="B280" s="1" t="n">
        <v>44337</v>
      </c>
      <c r="C280" s="1" t="n">
        <v>45362</v>
      </c>
      <c r="D280" t="inlineStr">
        <is>
          <t>DALARNAS LÄN</t>
        </is>
      </c>
      <c r="E280" t="inlineStr">
        <is>
          <t>LUDVIKA</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24906-2021</t>
        </is>
      </c>
      <c r="B281" s="1" t="n">
        <v>44341</v>
      </c>
      <c r="C281" s="1" t="n">
        <v>45362</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26066-2021</t>
        </is>
      </c>
      <c r="B282" s="1" t="n">
        <v>44344</v>
      </c>
      <c r="C282" s="1" t="n">
        <v>45362</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26054-2021</t>
        </is>
      </c>
      <c r="B283" s="1" t="n">
        <v>44344</v>
      </c>
      <c r="C283" s="1" t="n">
        <v>45362</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29000-2021</t>
        </is>
      </c>
      <c r="B284" s="1" t="n">
        <v>44358</v>
      </c>
      <c r="C284" s="1" t="n">
        <v>45362</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29789-2021</t>
        </is>
      </c>
      <c r="B285" s="1" t="n">
        <v>44362</v>
      </c>
      <c r="C285" s="1" t="n">
        <v>45362</v>
      </c>
      <c r="D285" t="inlineStr">
        <is>
          <t>DALARNAS LÄN</t>
        </is>
      </c>
      <c r="E285" t="inlineStr">
        <is>
          <t>LUDVIKA</t>
        </is>
      </c>
      <c r="F285" t="inlineStr">
        <is>
          <t>Övriga Aktiebolag</t>
        </is>
      </c>
      <c r="G285" t="n">
        <v>0.9</v>
      </c>
      <c r="H285" t="n">
        <v>0</v>
      </c>
      <c r="I285" t="n">
        <v>0</v>
      </c>
      <c r="J285" t="n">
        <v>0</v>
      </c>
      <c r="K285" t="n">
        <v>0</v>
      </c>
      <c r="L285" t="n">
        <v>0</v>
      </c>
      <c r="M285" t="n">
        <v>0</v>
      </c>
      <c r="N285" t="n">
        <v>0</v>
      </c>
      <c r="O285" t="n">
        <v>0</v>
      </c>
      <c r="P285" t="n">
        <v>0</v>
      </c>
      <c r="Q285" t="n">
        <v>0</v>
      </c>
      <c r="R285" s="2" t="inlineStr"/>
    </row>
    <row r="286" ht="15" customHeight="1">
      <c r="A286" t="inlineStr">
        <is>
          <t>A 30502-2021</t>
        </is>
      </c>
      <c r="B286" s="1" t="n">
        <v>44364</v>
      </c>
      <c r="C286" s="1" t="n">
        <v>45362</v>
      </c>
      <c r="D286" t="inlineStr">
        <is>
          <t>DALARNAS LÄN</t>
        </is>
      </c>
      <c r="E286" t="inlineStr">
        <is>
          <t>LUDVIKA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31086-2021</t>
        </is>
      </c>
      <c r="B287" s="1" t="n">
        <v>44368</v>
      </c>
      <c r="C287" s="1" t="n">
        <v>45362</v>
      </c>
      <c r="D287" t="inlineStr">
        <is>
          <t>DALARNAS LÄN</t>
        </is>
      </c>
      <c r="E287" t="inlineStr">
        <is>
          <t>LUDVIKA</t>
        </is>
      </c>
      <c r="G287" t="n">
        <v>0.8</v>
      </c>
      <c r="H287" t="n">
        <v>0</v>
      </c>
      <c r="I287" t="n">
        <v>0</v>
      </c>
      <c r="J287" t="n">
        <v>0</v>
      </c>
      <c r="K287" t="n">
        <v>0</v>
      </c>
      <c r="L287" t="n">
        <v>0</v>
      </c>
      <c r="M287" t="n">
        <v>0</v>
      </c>
      <c r="N287" t="n">
        <v>0</v>
      </c>
      <c r="O287" t="n">
        <v>0</v>
      </c>
      <c r="P287" t="n">
        <v>0</v>
      </c>
      <c r="Q287" t="n">
        <v>0</v>
      </c>
      <c r="R287" s="2" t="inlineStr"/>
    </row>
    <row r="288" ht="15" customHeight="1">
      <c r="A288" t="inlineStr">
        <is>
          <t>A 31465-2021</t>
        </is>
      </c>
      <c r="B288" s="1" t="n">
        <v>44369</v>
      </c>
      <c r="C288" s="1" t="n">
        <v>45362</v>
      </c>
      <c r="D288" t="inlineStr">
        <is>
          <t>DALARNAS LÄN</t>
        </is>
      </c>
      <c r="E288" t="inlineStr">
        <is>
          <t>LUDVIKA</t>
        </is>
      </c>
      <c r="F288" t="inlineStr">
        <is>
          <t>Naturvårdsverket</t>
        </is>
      </c>
      <c r="G288" t="n">
        <v>2.4</v>
      </c>
      <c r="H288" t="n">
        <v>0</v>
      </c>
      <c r="I288" t="n">
        <v>0</v>
      </c>
      <c r="J288" t="n">
        <v>0</v>
      </c>
      <c r="K288" t="n">
        <v>0</v>
      </c>
      <c r="L288" t="n">
        <v>0</v>
      </c>
      <c r="M288" t="n">
        <v>0</v>
      </c>
      <c r="N288" t="n">
        <v>0</v>
      </c>
      <c r="O288" t="n">
        <v>0</v>
      </c>
      <c r="P288" t="n">
        <v>0</v>
      </c>
      <c r="Q288" t="n">
        <v>0</v>
      </c>
      <c r="R288" s="2" t="inlineStr"/>
    </row>
    <row r="289" ht="15" customHeight="1">
      <c r="A289" t="inlineStr">
        <is>
          <t>A 31550-2021</t>
        </is>
      </c>
      <c r="B289" s="1" t="n">
        <v>44369</v>
      </c>
      <c r="C289" s="1" t="n">
        <v>45362</v>
      </c>
      <c r="D289" t="inlineStr">
        <is>
          <t>DALARNAS LÄN</t>
        </is>
      </c>
      <c r="E289" t="inlineStr">
        <is>
          <t>LUDVIKA</t>
        </is>
      </c>
      <c r="G289" t="n">
        <v>2.8</v>
      </c>
      <c r="H289" t="n">
        <v>0</v>
      </c>
      <c r="I289" t="n">
        <v>0</v>
      </c>
      <c r="J289" t="n">
        <v>0</v>
      </c>
      <c r="K289" t="n">
        <v>0</v>
      </c>
      <c r="L289" t="n">
        <v>0</v>
      </c>
      <c r="M289" t="n">
        <v>0</v>
      </c>
      <c r="N289" t="n">
        <v>0</v>
      </c>
      <c r="O289" t="n">
        <v>0</v>
      </c>
      <c r="P289" t="n">
        <v>0</v>
      </c>
      <c r="Q289" t="n">
        <v>0</v>
      </c>
      <c r="R289" s="2" t="inlineStr"/>
    </row>
    <row r="290" ht="15" customHeight="1">
      <c r="A290" t="inlineStr">
        <is>
          <t>A 31921-2021</t>
        </is>
      </c>
      <c r="B290" s="1" t="n">
        <v>44370</v>
      </c>
      <c r="C290" s="1" t="n">
        <v>45362</v>
      </c>
      <c r="D290" t="inlineStr">
        <is>
          <t>DALARNAS LÄN</t>
        </is>
      </c>
      <c r="E290" t="inlineStr">
        <is>
          <t>LUDVIKA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31925-2021</t>
        </is>
      </c>
      <c r="B291" s="1" t="n">
        <v>44370</v>
      </c>
      <c r="C291" s="1" t="n">
        <v>45362</v>
      </c>
      <c r="D291" t="inlineStr">
        <is>
          <t>DALARNAS LÄN</t>
        </is>
      </c>
      <c r="E291" t="inlineStr">
        <is>
          <t>LUDVIKA</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32015-2021</t>
        </is>
      </c>
      <c r="B292" s="1" t="n">
        <v>44370</v>
      </c>
      <c r="C292" s="1" t="n">
        <v>45362</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32054-2021</t>
        </is>
      </c>
      <c r="B293" s="1" t="n">
        <v>44370</v>
      </c>
      <c r="C293" s="1" t="n">
        <v>45362</v>
      </c>
      <c r="D293" t="inlineStr">
        <is>
          <t>DALARNAS LÄN</t>
        </is>
      </c>
      <c r="E293" t="inlineStr">
        <is>
          <t>LUDVIKA</t>
        </is>
      </c>
      <c r="G293" t="n">
        <v>28.7</v>
      </c>
      <c r="H293" t="n">
        <v>0</v>
      </c>
      <c r="I293" t="n">
        <v>0</v>
      </c>
      <c r="J293" t="n">
        <v>0</v>
      </c>
      <c r="K293" t="n">
        <v>0</v>
      </c>
      <c r="L293" t="n">
        <v>0</v>
      </c>
      <c r="M293" t="n">
        <v>0</v>
      </c>
      <c r="N293" t="n">
        <v>0</v>
      </c>
      <c r="O293" t="n">
        <v>0</v>
      </c>
      <c r="P293" t="n">
        <v>0</v>
      </c>
      <c r="Q293" t="n">
        <v>0</v>
      </c>
      <c r="R293" s="2" t="inlineStr"/>
    </row>
    <row r="294" ht="15" customHeight="1">
      <c r="A294" t="inlineStr">
        <is>
          <t>A 33032-2021</t>
        </is>
      </c>
      <c r="B294" s="1" t="n">
        <v>44376</v>
      </c>
      <c r="C294" s="1" t="n">
        <v>45362</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33416-2021</t>
        </is>
      </c>
      <c r="B295" s="1" t="n">
        <v>44377</v>
      </c>
      <c r="C295" s="1" t="n">
        <v>45362</v>
      </c>
      <c r="D295" t="inlineStr">
        <is>
          <t>DALARNAS LÄN</t>
        </is>
      </c>
      <c r="E295" t="inlineStr">
        <is>
          <t>LUDVIKA</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33505-2021</t>
        </is>
      </c>
      <c r="B296" s="1" t="n">
        <v>44377</v>
      </c>
      <c r="C296" s="1" t="n">
        <v>45362</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35731-2021</t>
        </is>
      </c>
      <c r="B297" s="1" t="n">
        <v>44386</v>
      </c>
      <c r="C297" s="1" t="n">
        <v>45362</v>
      </c>
      <c r="D297" t="inlineStr">
        <is>
          <t>DALARNAS LÄN</t>
        </is>
      </c>
      <c r="E297" t="inlineStr">
        <is>
          <t>LUDVIKA</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35720-2021</t>
        </is>
      </c>
      <c r="B298" s="1" t="n">
        <v>44386</v>
      </c>
      <c r="C298" s="1" t="n">
        <v>45362</v>
      </c>
      <c r="D298" t="inlineStr">
        <is>
          <t>DALARNAS LÄN</t>
        </is>
      </c>
      <c r="E298" t="inlineStr">
        <is>
          <t>LUDVIKA</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35892-2021</t>
        </is>
      </c>
      <c r="B299" s="1" t="n">
        <v>44387</v>
      </c>
      <c r="C299" s="1" t="n">
        <v>45362</v>
      </c>
      <c r="D299" t="inlineStr">
        <is>
          <t>DALARNAS LÄN</t>
        </is>
      </c>
      <c r="E299" t="inlineStr">
        <is>
          <t>LUDVIKA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36862-2021</t>
        </is>
      </c>
      <c r="B300" s="1" t="n">
        <v>44393</v>
      </c>
      <c r="C300" s="1" t="n">
        <v>45362</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37384-2021</t>
        </is>
      </c>
      <c r="B301" s="1" t="n">
        <v>44397</v>
      </c>
      <c r="C301" s="1" t="n">
        <v>45362</v>
      </c>
      <c r="D301" t="inlineStr">
        <is>
          <t>DALARNAS LÄN</t>
        </is>
      </c>
      <c r="E301" t="inlineStr">
        <is>
          <t>LUDVIKA</t>
        </is>
      </c>
      <c r="F301" t="inlineStr">
        <is>
          <t>Kommuner</t>
        </is>
      </c>
      <c r="G301" t="n">
        <v>5.5</v>
      </c>
      <c r="H301" t="n">
        <v>0</v>
      </c>
      <c r="I301" t="n">
        <v>0</v>
      </c>
      <c r="J301" t="n">
        <v>0</v>
      </c>
      <c r="K301" t="n">
        <v>0</v>
      </c>
      <c r="L301" t="n">
        <v>0</v>
      </c>
      <c r="M301" t="n">
        <v>0</v>
      </c>
      <c r="N301" t="n">
        <v>0</v>
      </c>
      <c r="O301" t="n">
        <v>0</v>
      </c>
      <c r="P301" t="n">
        <v>0</v>
      </c>
      <c r="Q301" t="n">
        <v>0</v>
      </c>
      <c r="R301" s="2" t="inlineStr"/>
    </row>
    <row r="302" ht="15" customHeight="1">
      <c r="A302" t="inlineStr">
        <is>
          <t>A 38084-2021</t>
        </is>
      </c>
      <c r="B302" s="1" t="n">
        <v>44404</v>
      </c>
      <c r="C302" s="1" t="n">
        <v>45362</v>
      </c>
      <c r="D302" t="inlineStr">
        <is>
          <t>DALARNAS LÄN</t>
        </is>
      </c>
      <c r="E302" t="inlineStr">
        <is>
          <t>LUDVIKA</t>
        </is>
      </c>
      <c r="G302" t="n">
        <v>0.3</v>
      </c>
      <c r="H302" t="n">
        <v>0</v>
      </c>
      <c r="I302" t="n">
        <v>0</v>
      </c>
      <c r="J302" t="n">
        <v>0</v>
      </c>
      <c r="K302" t="n">
        <v>0</v>
      </c>
      <c r="L302" t="n">
        <v>0</v>
      </c>
      <c r="M302" t="n">
        <v>0</v>
      </c>
      <c r="N302" t="n">
        <v>0</v>
      </c>
      <c r="O302" t="n">
        <v>0</v>
      </c>
      <c r="P302" t="n">
        <v>0</v>
      </c>
      <c r="Q302" t="n">
        <v>0</v>
      </c>
      <c r="R302" s="2" t="inlineStr"/>
    </row>
    <row r="303" ht="15" customHeight="1">
      <c r="A303" t="inlineStr">
        <is>
          <t>A 38223-2021</t>
        </is>
      </c>
      <c r="B303" s="1" t="n">
        <v>44405</v>
      </c>
      <c r="C303" s="1" t="n">
        <v>45362</v>
      </c>
      <c r="D303" t="inlineStr">
        <is>
          <t>DALARNAS LÄN</t>
        </is>
      </c>
      <c r="E303" t="inlineStr">
        <is>
          <t>LUDVIKA</t>
        </is>
      </c>
      <c r="G303" t="n">
        <v>2.3</v>
      </c>
      <c r="H303" t="n">
        <v>0</v>
      </c>
      <c r="I303" t="n">
        <v>0</v>
      </c>
      <c r="J303" t="n">
        <v>0</v>
      </c>
      <c r="K303" t="n">
        <v>0</v>
      </c>
      <c r="L303" t="n">
        <v>0</v>
      </c>
      <c r="M303" t="n">
        <v>0</v>
      </c>
      <c r="N303" t="n">
        <v>0</v>
      </c>
      <c r="O303" t="n">
        <v>0</v>
      </c>
      <c r="P303" t="n">
        <v>0</v>
      </c>
      <c r="Q303" t="n">
        <v>0</v>
      </c>
      <c r="R303" s="2" t="inlineStr"/>
    </row>
    <row r="304" ht="15" customHeight="1">
      <c r="A304" t="inlineStr">
        <is>
          <t>A 38371-2021</t>
        </is>
      </c>
      <c r="B304" s="1" t="n">
        <v>44406</v>
      </c>
      <c r="C304" s="1" t="n">
        <v>45362</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39247-2021</t>
        </is>
      </c>
      <c r="B305" s="1" t="n">
        <v>44413</v>
      </c>
      <c r="C305" s="1" t="n">
        <v>45362</v>
      </c>
      <c r="D305" t="inlineStr">
        <is>
          <t>DALARNAS LÄN</t>
        </is>
      </c>
      <c r="E305" t="inlineStr">
        <is>
          <t>LUDVIKA</t>
        </is>
      </c>
      <c r="G305" t="n">
        <v>6</v>
      </c>
      <c r="H305" t="n">
        <v>0</v>
      </c>
      <c r="I305" t="n">
        <v>0</v>
      </c>
      <c r="J305" t="n">
        <v>0</v>
      </c>
      <c r="K305" t="n">
        <v>0</v>
      </c>
      <c r="L305" t="n">
        <v>0</v>
      </c>
      <c r="M305" t="n">
        <v>0</v>
      </c>
      <c r="N305" t="n">
        <v>0</v>
      </c>
      <c r="O305" t="n">
        <v>0</v>
      </c>
      <c r="P305" t="n">
        <v>0</v>
      </c>
      <c r="Q305" t="n">
        <v>0</v>
      </c>
      <c r="R305" s="2" t="inlineStr"/>
    </row>
    <row r="306" ht="15" customHeight="1">
      <c r="A306" t="inlineStr">
        <is>
          <t>A 40582-2021</t>
        </is>
      </c>
      <c r="B306" s="1" t="n">
        <v>44420</v>
      </c>
      <c r="C306" s="1" t="n">
        <v>45362</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43115-2021</t>
        </is>
      </c>
      <c r="B307" s="1" t="n">
        <v>44431</v>
      </c>
      <c r="C307" s="1" t="n">
        <v>45362</v>
      </c>
      <c r="D307" t="inlineStr">
        <is>
          <t>DALARNAS LÄN</t>
        </is>
      </c>
      <c r="E307" t="inlineStr">
        <is>
          <t>LUDVIKA</t>
        </is>
      </c>
      <c r="G307" t="n">
        <v>3.5</v>
      </c>
      <c r="H307" t="n">
        <v>0</v>
      </c>
      <c r="I307" t="n">
        <v>0</v>
      </c>
      <c r="J307" t="n">
        <v>0</v>
      </c>
      <c r="K307" t="n">
        <v>0</v>
      </c>
      <c r="L307" t="n">
        <v>0</v>
      </c>
      <c r="M307" t="n">
        <v>0</v>
      </c>
      <c r="N307" t="n">
        <v>0</v>
      </c>
      <c r="O307" t="n">
        <v>0</v>
      </c>
      <c r="P307" t="n">
        <v>0</v>
      </c>
      <c r="Q307" t="n">
        <v>0</v>
      </c>
      <c r="R307" s="2" t="inlineStr"/>
    </row>
    <row r="308" ht="15" customHeight="1">
      <c r="A308" t="inlineStr">
        <is>
          <t>A 43907-2021</t>
        </is>
      </c>
      <c r="B308" s="1" t="n">
        <v>44434</v>
      </c>
      <c r="C308" s="1" t="n">
        <v>45362</v>
      </c>
      <c r="D308" t="inlineStr">
        <is>
          <t>DALARNAS LÄN</t>
        </is>
      </c>
      <c r="E308" t="inlineStr">
        <is>
          <t>LUDVIKA</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44270-2021</t>
        </is>
      </c>
      <c r="B309" s="1" t="n">
        <v>44435</v>
      </c>
      <c r="C309" s="1" t="n">
        <v>45362</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44264-2021</t>
        </is>
      </c>
      <c r="B310" s="1" t="n">
        <v>44435</v>
      </c>
      <c r="C310" s="1" t="n">
        <v>45362</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45313-2021</t>
        </is>
      </c>
      <c r="B311" s="1" t="n">
        <v>44439</v>
      </c>
      <c r="C311" s="1" t="n">
        <v>45362</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45309-2021</t>
        </is>
      </c>
      <c r="B312" s="1" t="n">
        <v>44439</v>
      </c>
      <c r="C312" s="1" t="n">
        <v>45362</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45995-2021</t>
        </is>
      </c>
      <c r="B313" s="1" t="n">
        <v>44441</v>
      </c>
      <c r="C313" s="1" t="n">
        <v>45362</v>
      </c>
      <c r="D313" t="inlineStr">
        <is>
          <t>DALARNAS LÄN</t>
        </is>
      </c>
      <c r="E313" t="inlineStr">
        <is>
          <t>LUDVIKA</t>
        </is>
      </c>
      <c r="G313" t="n">
        <v>1.2</v>
      </c>
      <c r="H313" t="n">
        <v>0</v>
      </c>
      <c r="I313" t="n">
        <v>0</v>
      </c>
      <c r="J313" t="n">
        <v>0</v>
      </c>
      <c r="K313" t="n">
        <v>0</v>
      </c>
      <c r="L313" t="n">
        <v>0</v>
      </c>
      <c r="M313" t="n">
        <v>0</v>
      </c>
      <c r="N313" t="n">
        <v>0</v>
      </c>
      <c r="O313" t="n">
        <v>0</v>
      </c>
      <c r="P313" t="n">
        <v>0</v>
      </c>
      <c r="Q313" t="n">
        <v>0</v>
      </c>
      <c r="R313" s="2" t="inlineStr"/>
    </row>
    <row r="314" ht="15" customHeight="1">
      <c r="A314" t="inlineStr">
        <is>
          <t>A 47216-2021</t>
        </is>
      </c>
      <c r="B314" s="1" t="n">
        <v>44447</v>
      </c>
      <c r="C314" s="1" t="n">
        <v>45362</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48003-2021</t>
        </is>
      </c>
      <c r="B315" s="1" t="n">
        <v>44449</v>
      </c>
      <c r="C315" s="1" t="n">
        <v>45362</v>
      </c>
      <c r="D315" t="inlineStr">
        <is>
          <t>DALARNAS LÄN</t>
        </is>
      </c>
      <c r="E315" t="inlineStr">
        <is>
          <t>LUDVIKA</t>
        </is>
      </c>
      <c r="F315" t="inlineStr">
        <is>
          <t>Naturvårdsverket</t>
        </is>
      </c>
      <c r="G315" t="n">
        <v>0.8</v>
      </c>
      <c r="H315" t="n">
        <v>0</v>
      </c>
      <c r="I315" t="n">
        <v>0</v>
      </c>
      <c r="J315" t="n">
        <v>0</v>
      </c>
      <c r="K315" t="n">
        <v>0</v>
      </c>
      <c r="L315" t="n">
        <v>0</v>
      </c>
      <c r="M315" t="n">
        <v>0</v>
      </c>
      <c r="N315" t="n">
        <v>0</v>
      </c>
      <c r="O315" t="n">
        <v>0</v>
      </c>
      <c r="P315" t="n">
        <v>0</v>
      </c>
      <c r="Q315" t="n">
        <v>0</v>
      </c>
      <c r="R315" s="2" t="inlineStr"/>
    </row>
    <row r="316" ht="15" customHeight="1">
      <c r="A316" t="inlineStr">
        <is>
          <t>A 48580-2021</t>
        </is>
      </c>
      <c r="B316" s="1" t="n">
        <v>44452</v>
      </c>
      <c r="C316" s="1" t="n">
        <v>45362</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48942-2021</t>
        </is>
      </c>
      <c r="B317" s="1" t="n">
        <v>44453</v>
      </c>
      <c r="C317" s="1" t="n">
        <v>45362</v>
      </c>
      <c r="D317" t="inlineStr">
        <is>
          <t>DALARNAS LÄN</t>
        </is>
      </c>
      <c r="E317" t="inlineStr">
        <is>
          <t>LUDVIKA</t>
        </is>
      </c>
      <c r="F317" t="inlineStr">
        <is>
          <t>Naturvårdsverket</t>
        </is>
      </c>
      <c r="G317" t="n">
        <v>1.4</v>
      </c>
      <c r="H317" t="n">
        <v>0</v>
      </c>
      <c r="I317" t="n">
        <v>0</v>
      </c>
      <c r="J317" t="n">
        <v>0</v>
      </c>
      <c r="K317" t="n">
        <v>0</v>
      </c>
      <c r="L317" t="n">
        <v>0</v>
      </c>
      <c r="M317" t="n">
        <v>0</v>
      </c>
      <c r="N317" t="n">
        <v>0</v>
      </c>
      <c r="O317" t="n">
        <v>0</v>
      </c>
      <c r="P317" t="n">
        <v>0</v>
      </c>
      <c r="Q317" t="n">
        <v>0</v>
      </c>
      <c r="R317" s="2" t="inlineStr"/>
    </row>
    <row r="318" ht="15" customHeight="1">
      <c r="A318" t="inlineStr">
        <is>
          <t>A 50004-2021</t>
        </is>
      </c>
      <c r="B318" s="1" t="n">
        <v>44456</v>
      </c>
      <c r="C318" s="1" t="n">
        <v>45362</v>
      </c>
      <c r="D318" t="inlineStr">
        <is>
          <t>DALARNAS LÄN</t>
        </is>
      </c>
      <c r="E318" t="inlineStr">
        <is>
          <t>LUDVIKA</t>
        </is>
      </c>
      <c r="F318" t="inlineStr">
        <is>
          <t>Bergvik skog väst AB</t>
        </is>
      </c>
      <c r="G318" t="n">
        <v>1.5</v>
      </c>
      <c r="H318" t="n">
        <v>0</v>
      </c>
      <c r="I318" t="n">
        <v>0</v>
      </c>
      <c r="J318" t="n">
        <v>0</v>
      </c>
      <c r="K318" t="n">
        <v>0</v>
      </c>
      <c r="L318" t="n">
        <v>0</v>
      </c>
      <c r="M318" t="n">
        <v>0</v>
      </c>
      <c r="N318" t="n">
        <v>0</v>
      </c>
      <c r="O318" t="n">
        <v>0</v>
      </c>
      <c r="P318" t="n">
        <v>0</v>
      </c>
      <c r="Q318" t="n">
        <v>0</v>
      </c>
      <c r="R318" s="2" t="inlineStr"/>
    </row>
    <row r="319" ht="15" customHeight="1">
      <c r="A319" t="inlineStr">
        <is>
          <t>A 49977-2021</t>
        </is>
      </c>
      <c r="B319" s="1" t="n">
        <v>44456</v>
      </c>
      <c r="C319" s="1" t="n">
        <v>45362</v>
      </c>
      <c r="D319" t="inlineStr">
        <is>
          <t>DALARNAS LÄN</t>
        </is>
      </c>
      <c r="E319" t="inlineStr">
        <is>
          <t>LUDVIKA</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50273-2021</t>
        </is>
      </c>
      <c r="B320" s="1" t="n">
        <v>44459</v>
      </c>
      <c r="C320" s="1" t="n">
        <v>45362</v>
      </c>
      <c r="D320" t="inlineStr">
        <is>
          <t>DALARNAS LÄN</t>
        </is>
      </c>
      <c r="E320" t="inlineStr">
        <is>
          <t>LUDVIKA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50347-2021</t>
        </is>
      </c>
      <c r="B321" s="1" t="n">
        <v>44459</v>
      </c>
      <c r="C321" s="1" t="n">
        <v>45362</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50995-2021</t>
        </is>
      </c>
      <c r="B322" s="1" t="n">
        <v>44460</v>
      </c>
      <c r="C322" s="1" t="n">
        <v>45362</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51485-2021</t>
        </is>
      </c>
      <c r="B323" s="1" t="n">
        <v>44462</v>
      </c>
      <c r="C323" s="1" t="n">
        <v>45362</v>
      </c>
      <c r="D323" t="inlineStr">
        <is>
          <t>DALARNAS LÄN</t>
        </is>
      </c>
      <c r="E323" t="inlineStr">
        <is>
          <t>LUDVIKA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54279-2021</t>
        </is>
      </c>
      <c r="B324" s="1" t="n">
        <v>44470</v>
      </c>
      <c r="C324" s="1" t="n">
        <v>45362</v>
      </c>
      <c r="D324" t="inlineStr">
        <is>
          <t>DALARNAS LÄN</t>
        </is>
      </c>
      <c r="E324" t="inlineStr">
        <is>
          <t>LUDVIKA</t>
        </is>
      </c>
      <c r="G324" t="n">
        <v>1.1</v>
      </c>
      <c r="H324" t="n">
        <v>0</v>
      </c>
      <c r="I324" t="n">
        <v>0</v>
      </c>
      <c r="J324" t="n">
        <v>0</v>
      </c>
      <c r="K324" t="n">
        <v>0</v>
      </c>
      <c r="L324" t="n">
        <v>0</v>
      </c>
      <c r="M324" t="n">
        <v>0</v>
      </c>
      <c r="N324" t="n">
        <v>0</v>
      </c>
      <c r="O324" t="n">
        <v>0</v>
      </c>
      <c r="P324" t="n">
        <v>0</v>
      </c>
      <c r="Q324" t="n">
        <v>0</v>
      </c>
      <c r="R324" s="2" t="inlineStr"/>
    </row>
    <row r="325" ht="15" customHeight="1">
      <c r="A325" t="inlineStr">
        <is>
          <t>A 55633-2021</t>
        </is>
      </c>
      <c r="B325" s="1" t="n">
        <v>44476</v>
      </c>
      <c r="C325" s="1" t="n">
        <v>45362</v>
      </c>
      <c r="D325" t="inlineStr">
        <is>
          <t>DALARNAS LÄN</t>
        </is>
      </c>
      <c r="E325" t="inlineStr">
        <is>
          <t>LUDVIKA</t>
        </is>
      </c>
      <c r="F325" t="inlineStr">
        <is>
          <t>Övriga Aktiebolag</t>
        </is>
      </c>
      <c r="G325" t="n">
        <v>1.4</v>
      </c>
      <c r="H325" t="n">
        <v>0</v>
      </c>
      <c r="I325" t="n">
        <v>0</v>
      </c>
      <c r="J325" t="n">
        <v>0</v>
      </c>
      <c r="K325" t="n">
        <v>0</v>
      </c>
      <c r="L325" t="n">
        <v>0</v>
      </c>
      <c r="M325" t="n">
        <v>0</v>
      </c>
      <c r="N325" t="n">
        <v>0</v>
      </c>
      <c r="O325" t="n">
        <v>0</v>
      </c>
      <c r="P325" t="n">
        <v>0</v>
      </c>
      <c r="Q325" t="n">
        <v>0</v>
      </c>
      <c r="R325" s="2" t="inlineStr"/>
    </row>
    <row r="326" ht="15" customHeight="1">
      <c r="A326" t="inlineStr">
        <is>
          <t>A 56113-2021</t>
        </is>
      </c>
      <c r="B326" s="1" t="n">
        <v>44477</v>
      </c>
      <c r="C326" s="1" t="n">
        <v>45362</v>
      </c>
      <c r="D326" t="inlineStr">
        <is>
          <t>DALARNAS LÄN</t>
        </is>
      </c>
      <c r="E326" t="inlineStr">
        <is>
          <t>LUDVIKA</t>
        </is>
      </c>
      <c r="F326" t="inlineStr">
        <is>
          <t>Bergvik skog väst AB</t>
        </is>
      </c>
      <c r="G326" t="n">
        <v>6.5</v>
      </c>
      <c r="H326" t="n">
        <v>0</v>
      </c>
      <c r="I326" t="n">
        <v>0</v>
      </c>
      <c r="J326" t="n">
        <v>0</v>
      </c>
      <c r="K326" t="n">
        <v>0</v>
      </c>
      <c r="L326" t="n">
        <v>0</v>
      </c>
      <c r="M326" t="n">
        <v>0</v>
      </c>
      <c r="N326" t="n">
        <v>0</v>
      </c>
      <c r="O326" t="n">
        <v>0</v>
      </c>
      <c r="P326" t="n">
        <v>0</v>
      </c>
      <c r="Q326" t="n">
        <v>0</v>
      </c>
      <c r="R326" s="2" t="inlineStr"/>
    </row>
    <row r="327" ht="15" customHeight="1">
      <c r="A327" t="inlineStr">
        <is>
          <t>A 56119-2021</t>
        </is>
      </c>
      <c r="B327" s="1" t="n">
        <v>44477</v>
      </c>
      <c r="C327" s="1" t="n">
        <v>45362</v>
      </c>
      <c r="D327" t="inlineStr">
        <is>
          <t>DALARNAS LÄN</t>
        </is>
      </c>
      <c r="E327" t="inlineStr">
        <is>
          <t>LUDVIKA</t>
        </is>
      </c>
      <c r="G327" t="n">
        <v>1.3</v>
      </c>
      <c r="H327" t="n">
        <v>0</v>
      </c>
      <c r="I327" t="n">
        <v>0</v>
      </c>
      <c r="J327" t="n">
        <v>0</v>
      </c>
      <c r="K327" t="n">
        <v>0</v>
      </c>
      <c r="L327" t="n">
        <v>0</v>
      </c>
      <c r="M327" t="n">
        <v>0</v>
      </c>
      <c r="N327" t="n">
        <v>0</v>
      </c>
      <c r="O327" t="n">
        <v>0</v>
      </c>
      <c r="P327" t="n">
        <v>0</v>
      </c>
      <c r="Q327" t="n">
        <v>0</v>
      </c>
      <c r="R327" s="2" t="inlineStr"/>
    </row>
    <row r="328" ht="15" customHeight="1">
      <c r="A328" t="inlineStr">
        <is>
          <t>A 56996-2021</t>
        </is>
      </c>
      <c r="B328" s="1" t="n">
        <v>44482</v>
      </c>
      <c r="C328" s="1" t="n">
        <v>45362</v>
      </c>
      <c r="D328" t="inlineStr">
        <is>
          <t>DALARNAS LÄN</t>
        </is>
      </c>
      <c r="E328" t="inlineStr">
        <is>
          <t>LUDVIKA</t>
        </is>
      </c>
      <c r="G328" t="n">
        <v>0.9</v>
      </c>
      <c r="H328" t="n">
        <v>0</v>
      </c>
      <c r="I328" t="n">
        <v>0</v>
      </c>
      <c r="J328" t="n">
        <v>0</v>
      </c>
      <c r="K328" t="n">
        <v>0</v>
      </c>
      <c r="L328" t="n">
        <v>0</v>
      </c>
      <c r="M328" t="n">
        <v>0</v>
      </c>
      <c r="N328" t="n">
        <v>0</v>
      </c>
      <c r="O328" t="n">
        <v>0</v>
      </c>
      <c r="P328" t="n">
        <v>0</v>
      </c>
      <c r="Q328" t="n">
        <v>0</v>
      </c>
      <c r="R328" s="2" t="inlineStr"/>
    </row>
    <row r="329" ht="15" customHeight="1">
      <c r="A329" t="inlineStr">
        <is>
          <t>A 57076-2021</t>
        </is>
      </c>
      <c r="B329" s="1" t="n">
        <v>44482</v>
      </c>
      <c r="C329" s="1" t="n">
        <v>45362</v>
      </c>
      <c r="D329" t="inlineStr">
        <is>
          <t>DALARNAS LÄN</t>
        </is>
      </c>
      <c r="E329" t="inlineStr">
        <is>
          <t>LUDVIKA</t>
        </is>
      </c>
      <c r="G329" t="n">
        <v>4.7</v>
      </c>
      <c r="H329" t="n">
        <v>0</v>
      </c>
      <c r="I329" t="n">
        <v>0</v>
      </c>
      <c r="J329" t="n">
        <v>0</v>
      </c>
      <c r="K329" t="n">
        <v>0</v>
      </c>
      <c r="L329" t="n">
        <v>0</v>
      </c>
      <c r="M329" t="n">
        <v>0</v>
      </c>
      <c r="N329" t="n">
        <v>0</v>
      </c>
      <c r="O329" t="n">
        <v>0</v>
      </c>
      <c r="P329" t="n">
        <v>0</v>
      </c>
      <c r="Q329" t="n">
        <v>0</v>
      </c>
      <c r="R329" s="2" t="inlineStr"/>
    </row>
    <row r="330" ht="15" customHeight="1">
      <c r="A330" t="inlineStr">
        <is>
          <t>A 57002-2021</t>
        </is>
      </c>
      <c r="B330" s="1" t="n">
        <v>44482</v>
      </c>
      <c r="C330" s="1" t="n">
        <v>45362</v>
      </c>
      <c r="D330" t="inlineStr">
        <is>
          <t>DALARNAS LÄN</t>
        </is>
      </c>
      <c r="E330" t="inlineStr">
        <is>
          <t>LUDVIKA</t>
        </is>
      </c>
      <c r="G330" t="n">
        <v>3.5</v>
      </c>
      <c r="H330" t="n">
        <v>0</v>
      </c>
      <c r="I330" t="n">
        <v>0</v>
      </c>
      <c r="J330" t="n">
        <v>0</v>
      </c>
      <c r="K330" t="n">
        <v>0</v>
      </c>
      <c r="L330" t="n">
        <v>0</v>
      </c>
      <c r="M330" t="n">
        <v>0</v>
      </c>
      <c r="N330" t="n">
        <v>0</v>
      </c>
      <c r="O330" t="n">
        <v>0</v>
      </c>
      <c r="P330" t="n">
        <v>0</v>
      </c>
      <c r="Q330" t="n">
        <v>0</v>
      </c>
      <c r="R330" s="2" t="inlineStr"/>
    </row>
    <row r="331" ht="15" customHeight="1">
      <c r="A331" t="inlineStr">
        <is>
          <t>A 62152-2021</t>
        </is>
      </c>
      <c r="B331" s="1" t="n">
        <v>44502</v>
      </c>
      <c r="C331" s="1" t="n">
        <v>45362</v>
      </c>
      <c r="D331" t="inlineStr">
        <is>
          <t>DALARNAS LÄN</t>
        </is>
      </c>
      <c r="E331" t="inlineStr">
        <is>
          <t>LUDVIKA</t>
        </is>
      </c>
      <c r="G331" t="n">
        <v>6.1</v>
      </c>
      <c r="H331" t="n">
        <v>0</v>
      </c>
      <c r="I331" t="n">
        <v>0</v>
      </c>
      <c r="J331" t="n">
        <v>0</v>
      </c>
      <c r="K331" t="n">
        <v>0</v>
      </c>
      <c r="L331" t="n">
        <v>0</v>
      </c>
      <c r="M331" t="n">
        <v>0</v>
      </c>
      <c r="N331" t="n">
        <v>0</v>
      </c>
      <c r="O331" t="n">
        <v>0</v>
      </c>
      <c r="P331" t="n">
        <v>0</v>
      </c>
      <c r="Q331" t="n">
        <v>0</v>
      </c>
      <c r="R331" s="2" t="inlineStr"/>
    </row>
    <row r="332" ht="15" customHeight="1">
      <c r="A332" t="inlineStr">
        <is>
          <t>A 62467-2021</t>
        </is>
      </c>
      <c r="B332" s="1" t="n">
        <v>44503</v>
      </c>
      <c r="C332" s="1" t="n">
        <v>45362</v>
      </c>
      <c r="D332" t="inlineStr">
        <is>
          <t>DALARNAS LÄN</t>
        </is>
      </c>
      <c r="E332" t="inlineStr">
        <is>
          <t>LUDVIKA</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63267-2021</t>
        </is>
      </c>
      <c r="B333" s="1" t="n">
        <v>44508</v>
      </c>
      <c r="C333" s="1" t="n">
        <v>45362</v>
      </c>
      <c r="D333" t="inlineStr">
        <is>
          <t>DALARNAS LÄN</t>
        </is>
      </c>
      <c r="E333" t="inlineStr">
        <is>
          <t>LUDVIKA</t>
        </is>
      </c>
      <c r="F333" t="inlineStr">
        <is>
          <t>Bergvik skog väst AB</t>
        </is>
      </c>
      <c r="G333" t="n">
        <v>0.2</v>
      </c>
      <c r="H333" t="n">
        <v>0</v>
      </c>
      <c r="I333" t="n">
        <v>0</v>
      </c>
      <c r="J333" t="n">
        <v>0</v>
      </c>
      <c r="K333" t="n">
        <v>0</v>
      </c>
      <c r="L333" t="n">
        <v>0</v>
      </c>
      <c r="M333" t="n">
        <v>0</v>
      </c>
      <c r="N333" t="n">
        <v>0</v>
      </c>
      <c r="O333" t="n">
        <v>0</v>
      </c>
      <c r="P333" t="n">
        <v>0</v>
      </c>
      <c r="Q333" t="n">
        <v>0</v>
      </c>
      <c r="R333" s="2" t="inlineStr"/>
    </row>
    <row r="334" ht="15" customHeight="1">
      <c r="A334" t="inlineStr">
        <is>
          <t>A 65195-2021</t>
        </is>
      </c>
      <c r="B334" s="1" t="n">
        <v>44515</v>
      </c>
      <c r="C334" s="1" t="n">
        <v>45362</v>
      </c>
      <c r="D334" t="inlineStr">
        <is>
          <t>DALARNAS LÄN</t>
        </is>
      </c>
      <c r="E334" t="inlineStr">
        <is>
          <t>LUDVIKA</t>
        </is>
      </c>
      <c r="F334" t="inlineStr">
        <is>
          <t>Bergvik skog väst AB</t>
        </is>
      </c>
      <c r="G334" t="n">
        <v>0.5</v>
      </c>
      <c r="H334" t="n">
        <v>0</v>
      </c>
      <c r="I334" t="n">
        <v>0</v>
      </c>
      <c r="J334" t="n">
        <v>0</v>
      </c>
      <c r="K334" t="n">
        <v>0</v>
      </c>
      <c r="L334" t="n">
        <v>0</v>
      </c>
      <c r="M334" t="n">
        <v>0</v>
      </c>
      <c r="N334" t="n">
        <v>0</v>
      </c>
      <c r="O334" t="n">
        <v>0</v>
      </c>
      <c r="P334" t="n">
        <v>0</v>
      </c>
      <c r="Q334" t="n">
        <v>0</v>
      </c>
      <c r="R334" s="2" t="inlineStr"/>
    </row>
    <row r="335" ht="15" customHeight="1">
      <c r="A335" t="inlineStr">
        <is>
          <t>A 65699-2021</t>
        </is>
      </c>
      <c r="B335" s="1" t="n">
        <v>44516</v>
      </c>
      <c r="C335" s="1" t="n">
        <v>45362</v>
      </c>
      <c r="D335" t="inlineStr">
        <is>
          <t>DALARNAS LÄN</t>
        </is>
      </c>
      <c r="E335" t="inlineStr">
        <is>
          <t>LUDVIKA</t>
        </is>
      </c>
      <c r="G335" t="n">
        <v>1.4</v>
      </c>
      <c r="H335" t="n">
        <v>0</v>
      </c>
      <c r="I335" t="n">
        <v>0</v>
      </c>
      <c r="J335" t="n">
        <v>0</v>
      </c>
      <c r="K335" t="n">
        <v>0</v>
      </c>
      <c r="L335" t="n">
        <v>0</v>
      </c>
      <c r="M335" t="n">
        <v>0</v>
      </c>
      <c r="N335" t="n">
        <v>0</v>
      </c>
      <c r="O335" t="n">
        <v>0</v>
      </c>
      <c r="P335" t="n">
        <v>0</v>
      </c>
      <c r="Q335" t="n">
        <v>0</v>
      </c>
      <c r="R335" s="2" t="inlineStr"/>
    </row>
    <row r="336" ht="15" customHeight="1">
      <c r="A336" t="inlineStr">
        <is>
          <t>A 65667-2021</t>
        </is>
      </c>
      <c r="B336" s="1" t="n">
        <v>44516</v>
      </c>
      <c r="C336" s="1" t="n">
        <v>45362</v>
      </c>
      <c r="D336" t="inlineStr">
        <is>
          <t>DALARNAS LÄN</t>
        </is>
      </c>
      <c r="E336" t="inlineStr">
        <is>
          <t>LUDVIKA</t>
        </is>
      </c>
      <c r="G336" t="n">
        <v>1.5</v>
      </c>
      <c r="H336" t="n">
        <v>0</v>
      </c>
      <c r="I336" t="n">
        <v>0</v>
      </c>
      <c r="J336" t="n">
        <v>0</v>
      </c>
      <c r="K336" t="n">
        <v>0</v>
      </c>
      <c r="L336" t="n">
        <v>0</v>
      </c>
      <c r="M336" t="n">
        <v>0</v>
      </c>
      <c r="N336" t="n">
        <v>0</v>
      </c>
      <c r="O336" t="n">
        <v>0</v>
      </c>
      <c r="P336" t="n">
        <v>0</v>
      </c>
      <c r="Q336" t="n">
        <v>0</v>
      </c>
      <c r="R336" s="2" t="inlineStr"/>
    </row>
    <row r="337" ht="15" customHeight="1">
      <c r="A337" t="inlineStr">
        <is>
          <t>A 65685-2021</t>
        </is>
      </c>
      <c r="B337" s="1" t="n">
        <v>44516</v>
      </c>
      <c r="C337" s="1" t="n">
        <v>45362</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70046-2021</t>
        </is>
      </c>
      <c r="B338" s="1" t="n">
        <v>44533</v>
      </c>
      <c r="C338" s="1" t="n">
        <v>45362</v>
      </c>
      <c r="D338" t="inlineStr">
        <is>
          <t>DALARNAS LÄN</t>
        </is>
      </c>
      <c r="E338" t="inlineStr">
        <is>
          <t>LUDVIKA</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70291-2021</t>
        </is>
      </c>
      <c r="B339" s="1" t="n">
        <v>44536</v>
      </c>
      <c r="C339" s="1" t="n">
        <v>45362</v>
      </c>
      <c r="D339" t="inlineStr">
        <is>
          <t>DALARNAS LÄN</t>
        </is>
      </c>
      <c r="E339" t="inlineStr">
        <is>
          <t>LUDVIKA</t>
        </is>
      </c>
      <c r="G339" t="n">
        <v>1</v>
      </c>
      <c r="H339" t="n">
        <v>0</v>
      </c>
      <c r="I339" t="n">
        <v>0</v>
      </c>
      <c r="J339" t="n">
        <v>0</v>
      </c>
      <c r="K339" t="n">
        <v>0</v>
      </c>
      <c r="L339" t="n">
        <v>0</v>
      </c>
      <c r="M339" t="n">
        <v>0</v>
      </c>
      <c r="N339" t="n">
        <v>0</v>
      </c>
      <c r="O339" t="n">
        <v>0</v>
      </c>
      <c r="P339" t="n">
        <v>0</v>
      </c>
      <c r="Q339" t="n">
        <v>0</v>
      </c>
      <c r="R339" s="2" t="inlineStr"/>
    </row>
    <row r="340" ht="15" customHeight="1">
      <c r="A340" t="inlineStr">
        <is>
          <t>A 71639-2021</t>
        </is>
      </c>
      <c r="B340" s="1" t="n">
        <v>44543</v>
      </c>
      <c r="C340" s="1" t="n">
        <v>45362</v>
      </c>
      <c r="D340" t="inlineStr">
        <is>
          <t>DALARNAS LÄN</t>
        </is>
      </c>
      <c r="E340" t="inlineStr">
        <is>
          <t>LUDVIKA</t>
        </is>
      </c>
      <c r="F340" t="inlineStr">
        <is>
          <t>Naturvårdsverket</t>
        </is>
      </c>
      <c r="G340" t="n">
        <v>2.2</v>
      </c>
      <c r="H340" t="n">
        <v>0</v>
      </c>
      <c r="I340" t="n">
        <v>0</v>
      </c>
      <c r="J340" t="n">
        <v>0</v>
      </c>
      <c r="K340" t="n">
        <v>0</v>
      </c>
      <c r="L340" t="n">
        <v>0</v>
      </c>
      <c r="M340" t="n">
        <v>0</v>
      </c>
      <c r="N340" t="n">
        <v>0</v>
      </c>
      <c r="O340" t="n">
        <v>0</v>
      </c>
      <c r="P340" t="n">
        <v>0</v>
      </c>
      <c r="Q340" t="n">
        <v>0</v>
      </c>
      <c r="R340" s="2" t="inlineStr"/>
    </row>
    <row r="341" ht="15" customHeight="1">
      <c r="A341" t="inlineStr">
        <is>
          <t>A 73167-2021</t>
        </is>
      </c>
      <c r="B341" s="1" t="n">
        <v>44550</v>
      </c>
      <c r="C341" s="1" t="n">
        <v>45362</v>
      </c>
      <c r="D341" t="inlineStr">
        <is>
          <t>DALARNAS LÄN</t>
        </is>
      </c>
      <c r="E341" t="inlineStr">
        <is>
          <t>LUDVIKA</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73703-2021</t>
        </is>
      </c>
      <c r="B342" s="1" t="n">
        <v>44552</v>
      </c>
      <c r="C342" s="1" t="n">
        <v>45362</v>
      </c>
      <c r="D342" t="inlineStr">
        <is>
          <t>DALARNAS LÄN</t>
        </is>
      </c>
      <c r="E342" t="inlineStr">
        <is>
          <t>LUDVIKA</t>
        </is>
      </c>
      <c r="G342" t="n">
        <v>0.5</v>
      </c>
      <c r="H342" t="n">
        <v>0</v>
      </c>
      <c r="I342" t="n">
        <v>0</v>
      </c>
      <c r="J342" t="n">
        <v>0</v>
      </c>
      <c r="K342" t="n">
        <v>0</v>
      </c>
      <c r="L342" t="n">
        <v>0</v>
      </c>
      <c r="M342" t="n">
        <v>0</v>
      </c>
      <c r="N342" t="n">
        <v>0</v>
      </c>
      <c r="O342" t="n">
        <v>0</v>
      </c>
      <c r="P342" t="n">
        <v>0</v>
      </c>
      <c r="Q342" t="n">
        <v>0</v>
      </c>
      <c r="R342" s="2" t="inlineStr"/>
    </row>
    <row r="343" ht="15" customHeight="1">
      <c r="A343" t="inlineStr">
        <is>
          <t>A 74427-2021</t>
        </is>
      </c>
      <c r="B343" s="1" t="n">
        <v>44560</v>
      </c>
      <c r="C343" s="1" t="n">
        <v>45362</v>
      </c>
      <c r="D343" t="inlineStr">
        <is>
          <t>DALARNAS LÄN</t>
        </is>
      </c>
      <c r="E343" t="inlineStr">
        <is>
          <t>LUDVIKA</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74432-2021</t>
        </is>
      </c>
      <c r="B344" s="1" t="n">
        <v>44560</v>
      </c>
      <c r="C344" s="1" t="n">
        <v>45362</v>
      </c>
      <c r="D344" t="inlineStr">
        <is>
          <t>DALARNAS LÄN</t>
        </is>
      </c>
      <c r="E344" t="inlineStr">
        <is>
          <t>LUDVIKA</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1299-2022</t>
        </is>
      </c>
      <c r="B345" s="1" t="n">
        <v>44572</v>
      </c>
      <c r="C345" s="1" t="n">
        <v>45362</v>
      </c>
      <c r="D345" t="inlineStr">
        <is>
          <t>DALARNAS LÄN</t>
        </is>
      </c>
      <c r="E345" t="inlineStr">
        <is>
          <t>LUDVIKA</t>
        </is>
      </c>
      <c r="G345" t="n">
        <v>0.8</v>
      </c>
      <c r="H345" t="n">
        <v>0</v>
      </c>
      <c r="I345" t="n">
        <v>0</v>
      </c>
      <c r="J345" t="n">
        <v>0</v>
      </c>
      <c r="K345" t="n">
        <v>0</v>
      </c>
      <c r="L345" t="n">
        <v>0</v>
      </c>
      <c r="M345" t="n">
        <v>0</v>
      </c>
      <c r="N345" t="n">
        <v>0</v>
      </c>
      <c r="O345" t="n">
        <v>0</v>
      </c>
      <c r="P345" t="n">
        <v>0</v>
      </c>
      <c r="Q345" t="n">
        <v>0</v>
      </c>
      <c r="R345" s="2" t="inlineStr"/>
    </row>
    <row r="346" ht="15" customHeight="1">
      <c r="A346" t="inlineStr">
        <is>
          <t>A 2422-2022</t>
        </is>
      </c>
      <c r="B346" s="1" t="n">
        <v>44579</v>
      </c>
      <c r="C346" s="1" t="n">
        <v>45362</v>
      </c>
      <c r="D346" t="inlineStr">
        <is>
          <t>DALARNAS LÄN</t>
        </is>
      </c>
      <c r="E346" t="inlineStr">
        <is>
          <t>LUDVIKA</t>
        </is>
      </c>
      <c r="G346" t="n">
        <v>2.3</v>
      </c>
      <c r="H346" t="n">
        <v>0</v>
      </c>
      <c r="I346" t="n">
        <v>0</v>
      </c>
      <c r="J346" t="n">
        <v>0</v>
      </c>
      <c r="K346" t="n">
        <v>0</v>
      </c>
      <c r="L346" t="n">
        <v>0</v>
      </c>
      <c r="M346" t="n">
        <v>0</v>
      </c>
      <c r="N346" t="n">
        <v>0</v>
      </c>
      <c r="O346" t="n">
        <v>0</v>
      </c>
      <c r="P346" t="n">
        <v>0</v>
      </c>
      <c r="Q346" t="n">
        <v>0</v>
      </c>
      <c r="R346" s="2" t="inlineStr"/>
    </row>
    <row r="347" ht="15" customHeight="1">
      <c r="A347" t="inlineStr">
        <is>
          <t>A 2491-2022</t>
        </is>
      </c>
      <c r="B347" s="1" t="n">
        <v>44579</v>
      </c>
      <c r="C347" s="1" t="n">
        <v>45362</v>
      </c>
      <c r="D347" t="inlineStr">
        <is>
          <t>DALARNAS LÄN</t>
        </is>
      </c>
      <c r="E347" t="inlineStr">
        <is>
          <t>LUDVIKA</t>
        </is>
      </c>
      <c r="G347" t="n">
        <v>2.8</v>
      </c>
      <c r="H347" t="n">
        <v>0</v>
      </c>
      <c r="I347" t="n">
        <v>0</v>
      </c>
      <c r="J347" t="n">
        <v>0</v>
      </c>
      <c r="K347" t="n">
        <v>0</v>
      </c>
      <c r="L347" t="n">
        <v>0</v>
      </c>
      <c r="M347" t="n">
        <v>0</v>
      </c>
      <c r="N347" t="n">
        <v>0</v>
      </c>
      <c r="O347" t="n">
        <v>0</v>
      </c>
      <c r="P347" t="n">
        <v>0</v>
      </c>
      <c r="Q347" t="n">
        <v>0</v>
      </c>
      <c r="R347" s="2" t="inlineStr"/>
    </row>
    <row r="348" ht="15" customHeight="1">
      <c r="A348" t="inlineStr">
        <is>
          <t>A 2838-2022</t>
        </is>
      </c>
      <c r="B348" s="1" t="n">
        <v>44581</v>
      </c>
      <c r="C348" s="1" t="n">
        <v>45362</v>
      </c>
      <c r="D348" t="inlineStr">
        <is>
          <t>DALARNAS LÄN</t>
        </is>
      </c>
      <c r="E348" t="inlineStr">
        <is>
          <t>LUDVIKA</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4551-2022</t>
        </is>
      </c>
      <c r="B349" s="1" t="n">
        <v>44590</v>
      </c>
      <c r="C349" s="1" t="n">
        <v>45362</v>
      </c>
      <c r="D349" t="inlineStr">
        <is>
          <t>DALARNAS LÄN</t>
        </is>
      </c>
      <c r="E349" t="inlineStr">
        <is>
          <t>LUDVIKA</t>
        </is>
      </c>
      <c r="G349" t="n">
        <v>1.1</v>
      </c>
      <c r="H349" t="n">
        <v>0</v>
      </c>
      <c r="I349" t="n">
        <v>0</v>
      </c>
      <c r="J349" t="n">
        <v>0</v>
      </c>
      <c r="K349" t="n">
        <v>0</v>
      </c>
      <c r="L349" t="n">
        <v>0</v>
      </c>
      <c r="M349" t="n">
        <v>0</v>
      </c>
      <c r="N349" t="n">
        <v>0</v>
      </c>
      <c r="O349" t="n">
        <v>0</v>
      </c>
      <c r="P349" t="n">
        <v>0</v>
      </c>
      <c r="Q349" t="n">
        <v>0</v>
      </c>
      <c r="R349" s="2" t="inlineStr"/>
    </row>
    <row r="350" ht="15" customHeight="1">
      <c r="A350" t="inlineStr">
        <is>
          <t>A 5970-2022</t>
        </is>
      </c>
      <c r="B350" s="1" t="n">
        <v>44599</v>
      </c>
      <c r="C350" s="1" t="n">
        <v>45362</v>
      </c>
      <c r="D350" t="inlineStr">
        <is>
          <t>DALARNAS LÄN</t>
        </is>
      </c>
      <c r="E350" t="inlineStr">
        <is>
          <t>LUDVIKA</t>
        </is>
      </c>
      <c r="G350" t="n">
        <v>8.4</v>
      </c>
      <c r="H350" t="n">
        <v>0</v>
      </c>
      <c r="I350" t="n">
        <v>0</v>
      </c>
      <c r="J350" t="n">
        <v>0</v>
      </c>
      <c r="K350" t="n">
        <v>0</v>
      </c>
      <c r="L350" t="n">
        <v>0</v>
      </c>
      <c r="M350" t="n">
        <v>0</v>
      </c>
      <c r="N350" t="n">
        <v>0</v>
      </c>
      <c r="O350" t="n">
        <v>0</v>
      </c>
      <c r="P350" t="n">
        <v>0</v>
      </c>
      <c r="Q350" t="n">
        <v>0</v>
      </c>
      <c r="R350" s="2" t="inlineStr"/>
    </row>
    <row r="351" ht="15" customHeight="1">
      <c r="A351" t="inlineStr">
        <is>
          <t>A 6364-2022</t>
        </is>
      </c>
      <c r="B351" s="1" t="n">
        <v>44600</v>
      </c>
      <c r="C351" s="1" t="n">
        <v>45362</v>
      </c>
      <c r="D351" t="inlineStr">
        <is>
          <t>DALARNAS LÄN</t>
        </is>
      </c>
      <c r="E351" t="inlineStr">
        <is>
          <t>LUDVIKA</t>
        </is>
      </c>
      <c r="F351" t="inlineStr">
        <is>
          <t>Övriga Aktiebolag</t>
        </is>
      </c>
      <c r="G351" t="n">
        <v>52.3</v>
      </c>
      <c r="H351" t="n">
        <v>0</v>
      </c>
      <c r="I351" t="n">
        <v>0</v>
      </c>
      <c r="J351" t="n">
        <v>0</v>
      </c>
      <c r="K351" t="n">
        <v>0</v>
      </c>
      <c r="L351" t="n">
        <v>0</v>
      </c>
      <c r="M351" t="n">
        <v>0</v>
      </c>
      <c r="N351" t="n">
        <v>0</v>
      </c>
      <c r="O351" t="n">
        <v>0</v>
      </c>
      <c r="P351" t="n">
        <v>0</v>
      </c>
      <c r="Q351" t="n">
        <v>0</v>
      </c>
      <c r="R351" s="2" t="inlineStr"/>
    </row>
    <row r="352" ht="15" customHeight="1">
      <c r="A352" t="inlineStr">
        <is>
          <t>A 6836-2022</t>
        </is>
      </c>
      <c r="B352" s="1" t="n">
        <v>44602</v>
      </c>
      <c r="C352" s="1" t="n">
        <v>45362</v>
      </c>
      <c r="D352" t="inlineStr">
        <is>
          <t>DALARNAS LÄN</t>
        </is>
      </c>
      <c r="E352" t="inlineStr">
        <is>
          <t>LUDVIKA</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7011-2022</t>
        </is>
      </c>
      <c r="B353" s="1" t="n">
        <v>44603</v>
      </c>
      <c r="C353" s="1" t="n">
        <v>45362</v>
      </c>
      <c r="D353" t="inlineStr">
        <is>
          <t>DALARNAS LÄN</t>
        </is>
      </c>
      <c r="E353" t="inlineStr">
        <is>
          <t>LUDVIKA</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9464-2022</t>
        </is>
      </c>
      <c r="B354" s="1" t="n">
        <v>44616</v>
      </c>
      <c r="C354" s="1" t="n">
        <v>45362</v>
      </c>
      <c r="D354" t="inlineStr">
        <is>
          <t>DALARNAS LÄN</t>
        </is>
      </c>
      <c r="E354" t="inlineStr">
        <is>
          <t>LUDVIKA</t>
        </is>
      </c>
      <c r="G354" t="n">
        <v>4.1</v>
      </c>
      <c r="H354" t="n">
        <v>0</v>
      </c>
      <c r="I354" t="n">
        <v>0</v>
      </c>
      <c r="J354" t="n">
        <v>0</v>
      </c>
      <c r="K354" t="n">
        <v>0</v>
      </c>
      <c r="L354" t="n">
        <v>0</v>
      </c>
      <c r="M354" t="n">
        <v>0</v>
      </c>
      <c r="N354" t="n">
        <v>0</v>
      </c>
      <c r="O354" t="n">
        <v>0</v>
      </c>
      <c r="P354" t="n">
        <v>0</v>
      </c>
      <c r="Q354" t="n">
        <v>0</v>
      </c>
      <c r="R354" s="2" t="inlineStr"/>
    </row>
    <row r="355" ht="15" customHeight="1">
      <c r="A355" t="inlineStr">
        <is>
          <t>A 13051-2022</t>
        </is>
      </c>
      <c r="B355" s="1" t="n">
        <v>44643</v>
      </c>
      <c r="C355" s="1" t="n">
        <v>45362</v>
      </c>
      <c r="D355" t="inlineStr">
        <is>
          <t>DALARNAS LÄN</t>
        </is>
      </c>
      <c r="E355" t="inlineStr">
        <is>
          <t>LUDVIKA</t>
        </is>
      </c>
      <c r="G355" t="n">
        <v>1.4</v>
      </c>
      <c r="H355" t="n">
        <v>0</v>
      </c>
      <c r="I355" t="n">
        <v>0</v>
      </c>
      <c r="J355" t="n">
        <v>0</v>
      </c>
      <c r="K355" t="n">
        <v>0</v>
      </c>
      <c r="L355" t="n">
        <v>0</v>
      </c>
      <c r="M355" t="n">
        <v>0</v>
      </c>
      <c r="N355" t="n">
        <v>0</v>
      </c>
      <c r="O355" t="n">
        <v>0</v>
      </c>
      <c r="P355" t="n">
        <v>0</v>
      </c>
      <c r="Q355" t="n">
        <v>0</v>
      </c>
      <c r="R355" s="2" t="inlineStr"/>
    </row>
    <row r="356" ht="15" customHeight="1">
      <c r="A356" t="inlineStr">
        <is>
          <t>A 14387-2022</t>
        </is>
      </c>
      <c r="B356" s="1" t="n">
        <v>44652</v>
      </c>
      <c r="C356" s="1" t="n">
        <v>45362</v>
      </c>
      <c r="D356" t="inlineStr">
        <is>
          <t>DALARNAS LÄN</t>
        </is>
      </c>
      <c r="E356" t="inlineStr">
        <is>
          <t>LUDVIKA</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14872-2022</t>
        </is>
      </c>
      <c r="B357" s="1" t="n">
        <v>44656</v>
      </c>
      <c r="C357" s="1" t="n">
        <v>45362</v>
      </c>
      <c r="D357" t="inlineStr">
        <is>
          <t>DALARNAS LÄN</t>
        </is>
      </c>
      <c r="E357" t="inlineStr">
        <is>
          <t>LUDVIKA</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15145-2022</t>
        </is>
      </c>
      <c r="B358" s="1" t="n">
        <v>44658</v>
      </c>
      <c r="C358" s="1" t="n">
        <v>45362</v>
      </c>
      <c r="D358" t="inlineStr">
        <is>
          <t>DALARNAS LÄN</t>
        </is>
      </c>
      <c r="E358" t="inlineStr">
        <is>
          <t>LUDVIKA</t>
        </is>
      </c>
      <c r="G358" t="n">
        <v>3.7</v>
      </c>
      <c r="H358" t="n">
        <v>0</v>
      </c>
      <c r="I358" t="n">
        <v>0</v>
      </c>
      <c r="J358" t="n">
        <v>0</v>
      </c>
      <c r="K358" t="n">
        <v>0</v>
      </c>
      <c r="L358" t="n">
        <v>0</v>
      </c>
      <c r="M358" t="n">
        <v>0</v>
      </c>
      <c r="N358" t="n">
        <v>0</v>
      </c>
      <c r="O358" t="n">
        <v>0</v>
      </c>
      <c r="P358" t="n">
        <v>0</v>
      </c>
      <c r="Q358" t="n">
        <v>0</v>
      </c>
      <c r="R358" s="2" t="inlineStr"/>
    </row>
    <row r="359" ht="15" customHeight="1">
      <c r="A359" t="inlineStr">
        <is>
          <t>A 15617-2022</t>
        </is>
      </c>
      <c r="B359" s="1" t="n">
        <v>44662</v>
      </c>
      <c r="C359" s="1" t="n">
        <v>45362</v>
      </c>
      <c r="D359" t="inlineStr">
        <is>
          <t>DALARNAS LÄN</t>
        </is>
      </c>
      <c r="E359" t="inlineStr">
        <is>
          <t>LUDVIKA</t>
        </is>
      </c>
      <c r="F359" t="inlineStr">
        <is>
          <t>Bergvik skog väst AB</t>
        </is>
      </c>
      <c r="G359" t="n">
        <v>7.8</v>
      </c>
      <c r="H359" t="n">
        <v>0</v>
      </c>
      <c r="I359" t="n">
        <v>0</v>
      </c>
      <c r="J359" t="n">
        <v>0</v>
      </c>
      <c r="K359" t="n">
        <v>0</v>
      </c>
      <c r="L359" t="n">
        <v>0</v>
      </c>
      <c r="M359" t="n">
        <v>0</v>
      </c>
      <c r="N359" t="n">
        <v>0</v>
      </c>
      <c r="O359" t="n">
        <v>0</v>
      </c>
      <c r="P359" t="n">
        <v>0</v>
      </c>
      <c r="Q359" t="n">
        <v>0</v>
      </c>
      <c r="R359" s="2" t="inlineStr"/>
    </row>
    <row r="360" ht="15" customHeight="1">
      <c r="A360" t="inlineStr">
        <is>
          <t>A 17677-2022</t>
        </is>
      </c>
      <c r="B360" s="1" t="n">
        <v>44680</v>
      </c>
      <c r="C360" s="1" t="n">
        <v>45362</v>
      </c>
      <c r="D360" t="inlineStr">
        <is>
          <t>DALARNAS LÄN</t>
        </is>
      </c>
      <c r="E360" t="inlineStr">
        <is>
          <t>LUDVIKA</t>
        </is>
      </c>
      <c r="F360" t="inlineStr">
        <is>
          <t>Bergvik skog väst AB</t>
        </is>
      </c>
      <c r="G360" t="n">
        <v>5.5</v>
      </c>
      <c r="H360" t="n">
        <v>0</v>
      </c>
      <c r="I360" t="n">
        <v>0</v>
      </c>
      <c r="J360" t="n">
        <v>0</v>
      </c>
      <c r="K360" t="n">
        <v>0</v>
      </c>
      <c r="L360" t="n">
        <v>0</v>
      </c>
      <c r="M360" t="n">
        <v>0</v>
      </c>
      <c r="N360" t="n">
        <v>0</v>
      </c>
      <c r="O360" t="n">
        <v>0</v>
      </c>
      <c r="P360" t="n">
        <v>0</v>
      </c>
      <c r="Q360" t="n">
        <v>0</v>
      </c>
      <c r="R360" s="2" t="inlineStr"/>
    </row>
    <row r="361" ht="15" customHeight="1">
      <c r="A361" t="inlineStr">
        <is>
          <t>A 18289-2022</t>
        </is>
      </c>
      <c r="B361" s="1" t="n">
        <v>44685</v>
      </c>
      <c r="C361" s="1" t="n">
        <v>45362</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18703-2022</t>
        </is>
      </c>
      <c r="B362" s="1" t="n">
        <v>44687</v>
      </c>
      <c r="C362" s="1" t="n">
        <v>45362</v>
      </c>
      <c r="D362" t="inlineStr">
        <is>
          <t>DALARNAS LÄN</t>
        </is>
      </c>
      <c r="E362" t="inlineStr">
        <is>
          <t>LUDVIKA</t>
        </is>
      </c>
      <c r="F362" t="inlineStr">
        <is>
          <t>Bergvik skog väst AB</t>
        </is>
      </c>
      <c r="G362" t="n">
        <v>2.2</v>
      </c>
      <c r="H362" t="n">
        <v>0</v>
      </c>
      <c r="I362" t="n">
        <v>0</v>
      </c>
      <c r="J362" t="n">
        <v>0</v>
      </c>
      <c r="K362" t="n">
        <v>0</v>
      </c>
      <c r="L362" t="n">
        <v>0</v>
      </c>
      <c r="M362" t="n">
        <v>0</v>
      </c>
      <c r="N362" t="n">
        <v>0</v>
      </c>
      <c r="O362" t="n">
        <v>0</v>
      </c>
      <c r="P362" t="n">
        <v>0</v>
      </c>
      <c r="Q362" t="n">
        <v>0</v>
      </c>
      <c r="R362" s="2" t="inlineStr"/>
    </row>
    <row r="363" ht="15" customHeight="1">
      <c r="A363" t="inlineStr">
        <is>
          <t>A 18724-2022</t>
        </is>
      </c>
      <c r="B363" s="1" t="n">
        <v>44687</v>
      </c>
      <c r="C363" s="1" t="n">
        <v>45362</v>
      </c>
      <c r="D363" t="inlineStr">
        <is>
          <t>DALARNAS LÄN</t>
        </is>
      </c>
      <c r="E363" t="inlineStr">
        <is>
          <t>LUDVIKA</t>
        </is>
      </c>
      <c r="G363" t="n">
        <v>4.3</v>
      </c>
      <c r="H363" t="n">
        <v>0</v>
      </c>
      <c r="I363" t="n">
        <v>0</v>
      </c>
      <c r="J363" t="n">
        <v>0</v>
      </c>
      <c r="K363" t="n">
        <v>0</v>
      </c>
      <c r="L363" t="n">
        <v>0</v>
      </c>
      <c r="M363" t="n">
        <v>0</v>
      </c>
      <c r="N363" t="n">
        <v>0</v>
      </c>
      <c r="O363" t="n">
        <v>0</v>
      </c>
      <c r="P363" t="n">
        <v>0</v>
      </c>
      <c r="Q363" t="n">
        <v>0</v>
      </c>
      <c r="R363" s="2" t="inlineStr"/>
    </row>
    <row r="364" ht="15" customHeight="1">
      <c r="A364" t="inlineStr">
        <is>
          <t>A 20656-2022</t>
        </is>
      </c>
      <c r="B364" s="1" t="n">
        <v>44700</v>
      </c>
      <c r="C364" s="1" t="n">
        <v>45362</v>
      </c>
      <c r="D364" t="inlineStr">
        <is>
          <t>DALARNAS LÄN</t>
        </is>
      </c>
      <c r="E364" t="inlineStr">
        <is>
          <t>LUDVIKA</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20852-2022</t>
        </is>
      </c>
      <c r="B365" s="1" t="n">
        <v>44701</v>
      </c>
      <c r="C365" s="1" t="n">
        <v>45362</v>
      </c>
      <c r="D365" t="inlineStr">
        <is>
          <t>DALARNAS LÄN</t>
        </is>
      </c>
      <c r="E365" t="inlineStr">
        <is>
          <t>LUDVIKA</t>
        </is>
      </c>
      <c r="F365" t="inlineStr">
        <is>
          <t>Bergvik skog väst AB</t>
        </is>
      </c>
      <c r="G365" t="n">
        <v>0.4</v>
      </c>
      <c r="H365" t="n">
        <v>0</v>
      </c>
      <c r="I365" t="n">
        <v>0</v>
      </c>
      <c r="J365" t="n">
        <v>0</v>
      </c>
      <c r="K365" t="n">
        <v>0</v>
      </c>
      <c r="L365" t="n">
        <v>0</v>
      </c>
      <c r="M365" t="n">
        <v>0</v>
      </c>
      <c r="N365" t="n">
        <v>0</v>
      </c>
      <c r="O365" t="n">
        <v>0</v>
      </c>
      <c r="P365" t="n">
        <v>0</v>
      </c>
      <c r="Q365" t="n">
        <v>0</v>
      </c>
      <c r="R365" s="2" t="inlineStr"/>
    </row>
    <row r="366" ht="15" customHeight="1">
      <c r="A366" t="inlineStr">
        <is>
          <t>A 21466-2022</t>
        </is>
      </c>
      <c r="B366" s="1" t="n">
        <v>44706</v>
      </c>
      <c r="C366" s="1" t="n">
        <v>45362</v>
      </c>
      <c r="D366" t="inlineStr">
        <is>
          <t>DALARNAS LÄN</t>
        </is>
      </c>
      <c r="E366" t="inlineStr">
        <is>
          <t>LUDVIKA</t>
        </is>
      </c>
      <c r="F366" t="inlineStr">
        <is>
          <t>Bergvik skog väst AB</t>
        </is>
      </c>
      <c r="G366" t="n">
        <v>1.9</v>
      </c>
      <c r="H366" t="n">
        <v>0</v>
      </c>
      <c r="I366" t="n">
        <v>0</v>
      </c>
      <c r="J366" t="n">
        <v>0</v>
      </c>
      <c r="K366" t="n">
        <v>0</v>
      </c>
      <c r="L366" t="n">
        <v>0</v>
      </c>
      <c r="M366" t="n">
        <v>0</v>
      </c>
      <c r="N366" t="n">
        <v>0</v>
      </c>
      <c r="O366" t="n">
        <v>0</v>
      </c>
      <c r="P366" t="n">
        <v>0</v>
      </c>
      <c r="Q366" t="n">
        <v>0</v>
      </c>
      <c r="R366" s="2" t="inlineStr"/>
    </row>
    <row r="367" ht="15" customHeight="1">
      <c r="A367" t="inlineStr">
        <is>
          <t>A 21502-2022</t>
        </is>
      </c>
      <c r="B367" s="1" t="n">
        <v>44706</v>
      </c>
      <c r="C367" s="1" t="n">
        <v>45362</v>
      </c>
      <c r="D367" t="inlineStr">
        <is>
          <t>DALARNAS LÄN</t>
        </is>
      </c>
      <c r="E367" t="inlineStr">
        <is>
          <t>LUDVIKA</t>
        </is>
      </c>
      <c r="F367" t="inlineStr">
        <is>
          <t>Bergvik skog väst AB</t>
        </is>
      </c>
      <c r="G367" t="n">
        <v>5.5</v>
      </c>
      <c r="H367" t="n">
        <v>0</v>
      </c>
      <c r="I367" t="n">
        <v>0</v>
      </c>
      <c r="J367" t="n">
        <v>0</v>
      </c>
      <c r="K367" t="n">
        <v>0</v>
      </c>
      <c r="L367" t="n">
        <v>0</v>
      </c>
      <c r="M367" t="n">
        <v>0</v>
      </c>
      <c r="N367" t="n">
        <v>0</v>
      </c>
      <c r="O367" t="n">
        <v>0</v>
      </c>
      <c r="P367" t="n">
        <v>0</v>
      </c>
      <c r="Q367" t="n">
        <v>0</v>
      </c>
      <c r="R367" s="2" t="inlineStr"/>
    </row>
    <row r="368" ht="15" customHeight="1">
      <c r="A368" t="inlineStr">
        <is>
          <t>A 21741-2022</t>
        </is>
      </c>
      <c r="B368" s="1" t="n">
        <v>44708</v>
      </c>
      <c r="C368" s="1" t="n">
        <v>45362</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22000-2022</t>
        </is>
      </c>
      <c r="B369" s="1" t="n">
        <v>44711</v>
      </c>
      <c r="C369" s="1" t="n">
        <v>45362</v>
      </c>
      <c r="D369" t="inlineStr">
        <is>
          <t>DALARNAS LÄN</t>
        </is>
      </c>
      <c r="E369" t="inlineStr">
        <is>
          <t>LUDVIKA</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22920-2022</t>
        </is>
      </c>
      <c r="B370" s="1" t="n">
        <v>44715</v>
      </c>
      <c r="C370" s="1" t="n">
        <v>45362</v>
      </c>
      <c r="D370" t="inlineStr">
        <is>
          <t>DALARNAS LÄN</t>
        </is>
      </c>
      <c r="E370" t="inlineStr">
        <is>
          <t>LUDVIKA</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23258-2022</t>
        </is>
      </c>
      <c r="B371" s="1" t="n">
        <v>44720</v>
      </c>
      <c r="C371" s="1" t="n">
        <v>45362</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23345-2022</t>
        </is>
      </c>
      <c r="B372" s="1" t="n">
        <v>44720</v>
      </c>
      <c r="C372" s="1" t="n">
        <v>45362</v>
      </c>
      <c r="D372" t="inlineStr">
        <is>
          <t>DALARNAS LÄN</t>
        </is>
      </c>
      <c r="E372" t="inlineStr">
        <is>
          <t>LUDVIKA</t>
        </is>
      </c>
      <c r="G372" t="n">
        <v>0.5</v>
      </c>
      <c r="H372" t="n">
        <v>0</v>
      </c>
      <c r="I372" t="n">
        <v>0</v>
      </c>
      <c r="J372" t="n">
        <v>0</v>
      </c>
      <c r="K372" t="n">
        <v>0</v>
      </c>
      <c r="L372" t="n">
        <v>0</v>
      </c>
      <c r="M372" t="n">
        <v>0</v>
      </c>
      <c r="N372" t="n">
        <v>0</v>
      </c>
      <c r="O372" t="n">
        <v>0</v>
      </c>
      <c r="P372" t="n">
        <v>0</v>
      </c>
      <c r="Q372" t="n">
        <v>0</v>
      </c>
      <c r="R372" s="2" t="inlineStr"/>
    </row>
    <row r="373" ht="15" customHeight="1">
      <c r="A373" t="inlineStr">
        <is>
          <t>A 24160-2022</t>
        </is>
      </c>
      <c r="B373" s="1" t="n">
        <v>44725</v>
      </c>
      <c r="C373" s="1" t="n">
        <v>45362</v>
      </c>
      <c r="D373" t="inlineStr">
        <is>
          <t>DALARNAS LÄN</t>
        </is>
      </c>
      <c r="E373" t="inlineStr">
        <is>
          <t>LUDVIKA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25095-2022</t>
        </is>
      </c>
      <c r="B374" s="1" t="n">
        <v>44729</v>
      </c>
      <c r="C374" s="1" t="n">
        <v>45362</v>
      </c>
      <c r="D374" t="inlineStr">
        <is>
          <t>DALARNAS LÄN</t>
        </is>
      </c>
      <c r="E374" t="inlineStr">
        <is>
          <t>LUDVIKA</t>
        </is>
      </c>
      <c r="F374" t="inlineStr">
        <is>
          <t>Bergvik skog väst AB</t>
        </is>
      </c>
      <c r="G374" t="n">
        <v>3.9</v>
      </c>
      <c r="H374" t="n">
        <v>0</v>
      </c>
      <c r="I374" t="n">
        <v>0</v>
      </c>
      <c r="J374" t="n">
        <v>0</v>
      </c>
      <c r="K374" t="n">
        <v>0</v>
      </c>
      <c r="L374" t="n">
        <v>0</v>
      </c>
      <c r="M374" t="n">
        <v>0</v>
      </c>
      <c r="N374" t="n">
        <v>0</v>
      </c>
      <c r="O374" t="n">
        <v>0</v>
      </c>
      <c r="P374" t="n">
        <v>0</v>
      </c>
      <c r="Q374" t="n">
        <v>0</v>
      </c>
      <c r="R374" s="2" t="inlineStr"/>
    </row>
    <row r="375" ht="15" customHeight="1">
      <c r="A375" t="inlineStr">
        <is>
          <t>A 25243-2022</t>
        </is>
      </c>
      <c r="B375" s="1" t="n">
        <v>44730</v>
      </c>
      <c r="C375" s="1" t="n">
        <v>45362</v>
      </c>
      <c r="D375" t="inlineStr">
        <is>
          <t>DALARNAS LÄN</t>
        </is>
      </c>
      <c r="E375" t="inlineStr">
        <is>
          <t>LUDVIKA</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25272-2022</t>
        </is>
      </c>
      <c r="B376" s="1" t="n">
        <v>44730</v>
      </c>
      <c r="C376" s="1" t="n">
        <v>45362</v>
      </c>
      <c r="D376" t="inlineStr">
        <is>
          <t>DALARNAS LÄN</t>
        </is>
      </c>
      <c r="E376" t="inlineStr">
        <is>
          <t>LUDVIKA</t>
        </is>
      </c>
      <c r="F376" t="inlineStr">
        <is>
          <t>Bergvik skog väst AB</t>
        </is>
      </c>
      <c r="G376" t="n">
        <v>9.6</v>
      </c>
      <c r="H376" t="n">
        <v>0</v>
      </c>
      <c r="I376" t="n">
        <v>0</v>
      </c>
      <c r="J376" t="n">
        <v>0</v>
      </c>
      <c r="K376" t="n">
        <v>0</v>
      </c>
      <c r="L376" t="n">
        <v>0</v>
      </c>
      <c r="M376" t="n">
        <v>0</v>
      </c>
      <c r="N376" t="n">
        <v>0</v>
      </c>
      <c r="O376" t="n">
        <v>0</v>
      </c>
      <c r="P376" t="n">
        <v>0</v>
      </c>
      <c r="Q376" t="n">
        <v>0</v>
      </c>
      <c r="R376" s="2" t="inlineStr"/>
    </row>
    <row r="377" ht="15" customHeight="1">
      <c r="A377" t="inlineStr">
        <is>
          <t>A 25274-2022</t>
        </is>
      </c>
      <c r="B377" s="1" t="n">
        <v>44730</v>
      </c>
      <c r="C377" s="1" t="n">
        <v>45362</v>
      </c>
      <c r="D377" t="inlineStr">
        <is>
          <t>DALARNAS LÄN</t>
        </is>
      </c>
      <c r="E377" t="inlineStr">
        <is>
          <t>LUDVIKA</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25273-2022</t>
        </is>
      </c>
      <c r="B378" s="1" t="n">
        <v>44730</v>
      </c>
      <c r="C378" s="1" t="n">
        <v>45362</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25292-2022</t>
        </is>
      </c>
      <c r="B379" s="1" t="n">
        <v>44731</v>
      </c>
      <c r="C379" s="1" t="n">
        <v>45362</v>
      </c>
      <c r="D379" t="inlineStr">
        <is>
          <t>DALARNAS LÄN</t>
        </is>
      </c>
      <c r="E379" t="inlineStr">
        <is>
          <t>LUDVIKA</t>
        </is>
      </c>
      <c r="F379" t="inlineStr">
        <is>
          <t>Bergvik skog väst AB</t>
        </is>
      </c>
      <c r="G379" t="n">
        <v>2.5</v>
      </c>
      <c r="H379" t="n">
        <v>0</v>
      </c>
      <c r="I379" t="n">
        <v>0</v>
      </c>
      <c r="J379" t="n">
        <v>0</v>
      </c>
      <c r="K379" t="n">
        <v>0</v>
      </c>
      <c r="L379" t="n">
        <v>0</v>
      </c>
      <c r="M379" t="n">
        <v>0</v>
      </c>
      <c r="N379" t="n">
        <v>0</v>
      </c>
      <c r="O379" t="n">
        <v>0</v>
      </c>
      <c r="P379" t="n">
        <v>0</v>
      </c>
      <c r="Q379" t="n">
        <v>0</v>
      </c>
      <c r="R379" s="2" t="inlineStr"/>
    </row>
    <row r="380" ht="15" customHeight="1">
      <c r="A380" t="inlineStr">
        <is>
          <t>A 25296-2022</t>
        </is>
      </c>
      <c r="B380" s="1" t="n">
        <v>44731</v>
      </c>
      <c r="C380" s="1" t="n">
        <v>45362</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25300-2022</t>
        </is>
      </c>
      <c r="B381" s="1" t="n">
        <v>44731</v>
      </c>
      <c r="C381" s="1" t="n">
        <v>45362</v>
      </c>
      <c r="D381" t="inlineStr">
        <is>
          <t>DALARNAS LÄN</t>
        </is>
      </c>
      <c r="E381" t="inlineStr">
        <is>
          <t>LUDVIKA</t>
        </is>
      </c>
      <c r="F381" t="inlineStr">
        <is>
          <t>Bergvik skog väst AB</t>
        </is>
      </c>
      <c r="G381" t="n">
        <v>1.2</v>
      </c>
      <c r="H381" t="n">
        <v>0</v>
      </c>
      <c r="I381" t="n">
        <v>0</v>
      </c>
      <c r="J381" t="n">
        <v>0</v>
      </c>
      <c r="K381" t="n">
        <v>0</v>
      </c>
      <c r="L381" t="n">
        <v>0</v>
      </c>
      <c r="M381" t="n">
        <v>0</v>
      </c>
      <c r="N381" t="n">
        <v>0</v>
      </c>
      <c r="O381" t="n">
        <v>0</v>
      </c>
      <c r="P381" t="n">
        <v>0</v>
      </c>
      <c r="Q381" t="n">
        <v>0</v>
      </c>
      <c r="R381" s="2" t="inlineStr"/>
    </row>
    <row r="382" ht="15" customHeight="1">
      <c r="A382" t="inlineStr">
        <is>
          <t>A 25289-2022</t>
        </is>
      </c>
      <c r="B382" s="1" t="n">
        <v>44731</v>
      </c>
      <c r="C382" s="1" t="n">
        <v>45362</v>
      </c>
      <c r="D382" t="inlineStr">
        <is>
          <t>DALARNAS LÄN</t>
        </is>
      </c>
      <c r="E382" t="inlineStr">
        <is>
          <t>LUDVIKA</t>
        </is>
      </c>
      <c r="F382" t="inlineStr">
        <is>
          <t>Bergvik skog väst AB</t>
        </is>
      </c>
      <c r="G382" t="n">
        <v>10.1</v>
      </c>
      <c r="H382" t="n">
        <v>0</v>
      </c>
      <c r="I382" t="n">
        <v>0</v>
      </c>
      <c r="J382" t="n">
        <v>0</v>
      </c>
      <c r="K382" t="n">
        <v>0</v>
      </c>
      <c r="L382" t="n">
        <v>0</v>
      </c>
      <c r="M382" t="n">
        <v>0</v>
      </c>
      <c r="N382" t="n">
        <v>0</v>
      </c>
      <c r="O382" t="n">
        <v>0</v>
      </c>
      <c r="P382" t="n">
        <v>0</v>
      </c>
      <c r="Q382" t="n">
        <v>0</v>
      </c>
      <c r="R382" s="2" t="inlineStr"/>
    </row>
    <row r="383" ht="15" customHeight="1">
      <c r="A383" t="inlineStr">
        <is>
          <t>A 25293-2022</t>
        </is>
      </c>
      <c r="B383" s="1" t="n">
        <v>44731</v>
      </c>
      <c r="C383" s="1" t="n">
        <v>45362</v>
      </c>
      <c r="D383" t="inlineStr">
        <is>
          <t>DALARNAS LÄN</t>
        </is>
      </c>
      <c r="E383" t="inlineStr">
        <is>
          <t>LUDVIKA</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25297-2022</t>
        </is>
      </c>
      <c r="B384" s="1" t="n">
        <v>44731</v>
      </c>
      <c r="C384" s="1" t="n">
        <v>45362</v>
      </c>
      <c r="D384" t="inlineStr">
        <is>
          <t>DALARNAS LÄN</t>
        </is>
      </c>
      <c r="E384" t="inlineStr">
        <is>
          <t>LUDVIKA</t>
        </is>
      </c>
      <c r="F384" t="inlineStr">
        <is>
          <t>Bergvik skog väst AB</t>
        </is>
      </c>
      <c r="G384" t="n">
        <v>0.4</v>
      </c>
      <c r="H384" t="n">
        <v>0</v>
      </c>
      <c r="I384" t="n">
        <v>0</v>
      </c>
      <c r="J384" t="n">
        <v>0</v>
      </c>
      <c r="K384" t="n">
        <v>0</v>
      </c>
      <c r="L384" t="n">
        <v>0</v>
      </c>
      <c r="M384" t="n">
        <v>0</v>
      </c>
      <c r="N384" t="n">
        <v>0</v>
      </c>
      <c r="O384" t="n">
        <v>0</v>
      </c>
      <c r="P384" t="n">
        <v>0</v>
      </c>
      <c r="Q384" t="n">
        <v>0</v>
      </c>
      <c r="R384" s="2" t="inlineStr"/>
    </row>
    <row r="385" ht="15" customHeight="1">
      <c r="A385" t="inlineStr">
        <is>
          <t>A 25301-2022</t>
        </is>
      </c>
      <c r="B385" s="1" t="n">
        <v>44731</v>
      </c>
      <c r="C385" s="1" t="n">
        <v>45362</v>
      </c>
      <c r="D385" t="inlineStr">
        <is>
          <t>DALARNAS LÄN</t>
        </is>
      </c>
      <c r="E385" t="inlineStr">
        <is>
          <t>LUDVIKA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25290-2022</t>
        </is>
      </c>
      <c r="B386" s="1" t="n">
        <v>44731</v>
      </c>
      <c r="C386" s="1" t="n">
        <v>45362</v>
      </c>
      <c r="D386" t="inlineStr">
        <is>
          <t>DALARNAS LÄN</t>
        </is>
      </c>
      <c r="E386" t="inlineStr">
        <is>
          <t>LUDVIKA</t>
        </is>
      </c>
      <c r="F386" t="inlineStr">
        <is>
          <t>Bergvik skog väst AB</t>
        </is>
      </c>
      <c r="G386" t="n">
        <v>2.7</v>
      </c>
      <c r="H386" t="n">
        <v>0</v>
      </c>
      <c r="I386" t="n">
        <v>0</v>
      </c>
      <c r="J386" t="n">
        <v>0</v>
      </c>
      <c r="K386" t="n">
        <v>0</v>
      </c>
      <c r="L386" t="n">
        <v>0</v>
      </c>
      <c r="M386" t="n">
        <v>0</v>
      </c>
      <c r="N386" t="n">
        <v>0</v>
      </c>
      <c r="O386" t="n">
        <v>0</v>
      </c>
      <c r="P386" t="n">
        <v>0</v>
      </c>
      <c r="Q386" t="n">
        <v>0</v>
      </c>
      <c r="R386" s="2" t="inlineStr"/>
    </row>
    <row r="387" ht="15" customHeight="1">
      <c r="A387" t="inlineStr">
        <is>
          <t>A 25294-2022</t>
        </is>
      </c>
      <c r="B387" s="1" t="n">
        <v>44730</v>
      </c>
      <c r="C387" s="1" t="n">
        <v>45362</v>
      </c>
      <c r="D387" t="inlineStr">
        <is>
          <t>DALARNAS LÄN</t>
        </is>
      </c>
      <c r="E387" t="inlineStr">
        <is>
          <t>LUDVIKA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25298-2022</t>
        </is>
      </c>
      <c r="B388" s="1" t="n">
        <v>44731</v>
      </c>
      <c r="C388" s="1" t="n">
        <v>45362</v>
      </c>
      <c r="D388" t="inlineStr">
        <is>
          <t>DALARNAS LÄN</t>
        </is>
      </c>
      <c r="E388" t="inlineStr">
        <is>
          <t>LUDVIKA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25291-2022</t>
        </is>
      </c>
      <c r="B389" s="1" t="n">
        <v>44731</v>
      </c>
      <c r="C389" s="1" t="n">
        <v>45362</v>
      </c>
      <c r="D389" t="inlineStr">
        <is>
          <t>DALARNAS LÄN</t>
        </is>
      </c>
      <c r="E389" t="inlineStr">
        <is>
          <t>LUDVIKA</t>
        </is>
      </c>
      <c r="F389" t="inlineStr">
        <is>
          <t>Bergvik skog väst AB</t>
        </is>
      </c>
      <c r="G389" t="n">
        <v>0.9</v>
      </c>
      <c r="H389" t="n">
        <v>0</v>
      </c>
      <c r="I389" t="n">
        <v>0</v>
      </c>
      <c r="J389" t="n">
        <v>0</v>
      </c>
      <c r="K389" t="n">
        <v>0</v>
      </c>
      <c r="L389" t="n">
        <v>0</v>
      </c>
      <c r="M389" t="n">
        <v>0</v>
      </c>
      <c r="N389" t="n">
        <v>0</v>
      </c>
      <c r="O389" t="n">
        <v>0</v>
      </c>
      <c r="P389" t="n">
        <v>0</v>
      </c>
      <c r="Q389" t="n">
        <v>0</v>
      </c>
      <c r="R389" s="2" t="inlineStr"/>
    </row>
    <row r="390" ht="15" customHeight="1">
      <c r="A390" t="inlineStr">
        <is>
          <t>A 25299-2022</t>
        </is>
      </c>
      <c r="B390" s="1" t="n">
        <v>44731</v>
      </c>
      <c r="C390" s="1" t="n">
        <v>45362</v>
      </c>
      <c r="D390" t="inlineStr">
        <is>
          <t>DALARNAS LÄN</t>
        </is>
      </c>
      <c r="E390" t="inlineStr">
        <is>
          <t>LUDVIKA</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25328-2022</t>
        </is>
      </c>
      <c r="B391" s="1" t="n">
        <v>44731</v>
      </c>
      <c r="C391" s="1" t="n">
        <v>45362</v>
      </c>
      <c r="D391" t="inlineStr">
        <is>
          <t>DALARNAS LÄN</t>
        </is>
      </c>
      <c r="E391" t="inlineStr">
        <is>
          <t>LUDVIKA</t>
        </is>
      </c>
      <c r="F391" t="inlineStr">
        <is>
          <t>Bergvik skog väst AB</t>
        </is>
      </c>
      <c r="G391" t="n">
        <v>17.2</v>
      </c>
      <c r="H391" t="n">
        <v>0</v>
      </c>
      <c r="I391" t="n">
        <v>0</v>
      </c>
      <c r="J391" t="n">
        <v>0</v>
      </c>
      <c r="K391" t="n">
        <v>0</v>
      </c>
      <c r="L391" t="n">
        <v>0</v>
      </c>
      <c r="M391" t="n">
        <v>0</v>
      </c>
      <c r="N391" t="n">
        <v>0</v>
      </c>
      <c r="O391" t="n">
        <v>0</v>
      </c>
      <c r="P391" t="n">
        <v>0</v>
      </c>
      <c r="Q391" t="n">
        <v>0</v>
      </c>
      <c r="R391" s="2" t="inlineStr"/>
    </row>
    <row r="392" ht="15" customHeight="1">
      <c r="A392" t="inlineStr">
        <is>
          <t>A 25454-2022</t>
        </is>
      </c>
      <c r="B392" s="1" t="n">
        <v>44732</v>
      </c>
      <c r="C392" s="1" t="n">
        <v>45362</v>
      </c>
      <c r="D392" t="inlineStr">
        <is>
          <t>DALARNAS LÄN</t>
        </is>
      </c>
      <c r="E392" t="inlineStr">
        <is>
          <t>LUDVIKA</t>
        </is>
      </c>
      <c r="G392" t="n">
        <v>1.8</v>
      </c>
      <c r="H392" t="n">
        <v>0</v>
      </c>
      <c r="I392" t="n">
        <v>0</v>
      </c>
      <c r="J392" t="n">
        <v>0</v>
      </c>
      <c r="K392" t="n">
        <v>0</v>
      </c>
      <c r="L392" t="n">
        <v>0</v>
      </c>
      <c r="M392" t="n">
        <v>0</v>
      </c>
      <c r="N392" t="n">
        <v>0</v>
      </c>
      <c r="O392" t="n">
        <v>0</v>
      </c>
      <c r="P392" t="n">
        <v>0</v>
      </c>
      <c r="Q392" t="n">
        <v>0</v>
      </c>
      <c r="R392" s="2" t="inlineStr"/>
    </row>
    <row r="393" ht="15" customHeight="1">
      <c r="A393" t="inlineStr">
        <is>
          <t>A 25755-2022</t>
        </is>
      </c>
      <c r="B393" s="1" t="n">
        <v>44733</v>
      </c>
      <c r="C393" s="1" t="n">
        <v>45362</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27226-2022</t>
        </is>
      </c>
      <c r="B394" s="1" t="n">
        <v>44741</v>
      </c>
      <c r="C394" s="1" t="n">
        <v>45362</v>
      </c>
      <c r="D394" t="inlineStr">
        <is>
          <t>DALARNAS LÄN</t>
        </is>
      </c>
      <c r="E394" t="inlineStr">
        <is>
          <t>LUDVIKA</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27738-2022</t>
        </is>
      </c>
      <c r="B395" s="1" t="n">
        <v>44743</v>
      </c>
      <c r="C395" s="1" t="n">
        <v>45362</v>
      </c>
      <c r="D395" t="inlineStr">
        <is>
          <t>DALARNAS LÄN</t>
        </is>
      </c>
      <c r="E395" t="inlineStr">
        <is>
          <t>LUDVIKA</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31273-2022</t>
        </is>
      </c>
      <c r="B396" s="1" t="n">
        <v>44771</v>
      </c>
      <c r="C396" s="1" t="n">
        <v>45362</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31270-2022</t>
        </is>
      </c>
      <c r="B397" s="1" t="n">
        <v>44771</v>
      </c>
      <c r="C397" s="1" t="n">
        <v>45362</v>
      </c>
      <c r="D397" t="inlineStr">
        <is>
          <t>DALARNAS LÄN</t>
        </is>
      </c>
      <c r="E397" t="inlineStr">
        <is>
          <t>LUDVIKA</t>
        </is>
      </c>
      <c r="G397" t="n">
        <v>1.2</v>
      </c>
      <c r="H397" t="n">
        <v>0</v>
      </c>
      <c r="I397" t="n">
        <v>0</v>
      </c>
      <c r="J397" t="n">
        <v>0</v>
      </c>
      <c r="K397" t="n">
        <v>0</v>
      </c>
      <c r="L397" t="n">
        <v>0</v>
      </c>
      <c r="M397" t="n">
        <v>0</v>
      </c>
      <c r="N397" t="n">
        <v>0</v>
      </c>
      <c r="O397" t="n">
        <v>0</v>
      </c>
      <c r="P397" t="n">
        <v>0</v>
      </c>
      <c r="Q397" t="n">
        <v>0</v>
      </c>
      <c r="R397" s="2" t="inlineStr"/>
    </row>
    <row r="398" ht="15" customHeight="1">
      <c r="A398" t="inlineStr">
        <is>
          <t>A 31272-2022</t>
        </is>
      </c>
      <c r="B398" s="1" t="n">
        <v>44771</v>
      </c>
      <c r="C398" s="1" t="n">
        <v>45362</v>
      </c>
      <c r="D398" t="inlineStr">
        <is>
          <t>DALARNAS LÄN</t>
        </is>
      </c>
      <c r="E398" t="inlineStr">
        <is>
          <t>LUDVIKA</t>
        </is>
      </c>
      <c r="G398" t="n">
        <v>0.5</v>
      </c>
      <c r="H398" t="n">
        <v>0</v>
      </c>
      <c r="I398" t="n">
        <v>0</v>
      </c>
      <c r="J398" t="n">
        <v>0</v>
      </c>
      <c r="K398" t="n">
        <v>0</v>
      </c>
      <c r="L398" t="n">
        <v>0</v>
      </c>
      <c r="M398" t="n">
        <v>0</v>
      </c>
      <c r="N398" t="n">
        <v>0</v>
      </c>
      <c r="O398" t="n">
        <v>0</v>
      </c>
      <c r="P398" t="n">
        <v>0</v>
      </c>
      <c r="Q398" t="n">
        <v>0</v>
      </c>
      <c r="R398" s="2" t="inlineStr"/>
    </row>
    <row r="399" ht="15" customHeight="1">
      <c r="A399" t="inlineStr">
        <is>
          <t>A 33108-2022</t>
        </is>
      </c>
      <c r="B399" s="1" t="n">
        <v>44785</v>
      </c>
      <c r="C399" s="1" t="n">
        <v>45362</v>
      </c>
      <c r="D399" t="inlineStr">
        <is>
          <t>DALARNAS LÄN</t>
        </is>
      </c>
      <c r="E399" t="inlineStr">
        <is>
          <t>LUDVIKA</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33673-2022</t>
        </is>
      </c>
      <c r="B400" s="1" t="n">
        <v>44789</v>
      </c>
      <c r="C400" s="1" t="n">
        <v>45362</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36770-2022</t>
        </is>
      </c>
      <c r="B401" s="1" t="n">
        <v>44805</v>
      </c>
      <c r="C401" s="1" t="n">
        <v>45362</v>
      </c>
      <c r="D401" t="inlineStr">
        <is>
          <t>DALARNAS LÄN</t>
        </is>
      </c>
      <c r="E401" t="inlineStr">
        <is>
          <t>LUDVIKA</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36852-2022</t>
        </is>
      </c>
      <c r="B402" s="1" t="n">
        <v>44805</v>
      </c>
      <c r="C402" s="1" t="n">
        <v>45362</v>
      </c>
      <c r="D402" t="inlineStr">
        <is>
          <t>DALARNAS LÄN</t>
        </is>
      </c>
      <c r="E402" t="inlineStr">
        <is>
          <t>LUDVIKA</t>
        </is>
      </c>
      <c r="F402" t="inlineStr">
        <is>
          <t>Bergvik skog väst AB</t>
        </is>
      </c>
      <c r="G402" t="n">
        <v>5.7</v>
      </c>
      <c r="H402" t="n">
        <v>0</v>
      </c>
      <c r="I402" t="n">
        <v>0</v>
      </c>
      <c r="J402" t="n">
        <v>0</v>
      </c>
      <c r="K402" t="n">
        <v>0</v>
      </c>
      <c r="L402" t="n">
        <v>0</v>
      </c>
      <c r="M402" t="n">
        <v>0</v>
      </c>
      <c r="N402" t="n">
        <v>0</v>
      </c>
      <c r="O402" t="n">
        <v>0</v>
      </c>
      <c r="P402" t="n">
        <v>0</v>
      </c>
      <c r="Q402" t="n">
        <v>0</v>
      </c>
      <c r="R402" s="2" t="inlineStr"/>
    </row>
    <row r="403" ht="15" customHeight="1">
      <c r="A403" t="inlineStr">
        <is>
          <t>A 37495-2022</t>
        </is>
      </c>
      <c r="B403" s="1" t="n">
        <v>44809</v>
      </c>
      <c r="C403" s="1" t="n">
        <v>45362</v>
      </c>
      <c r="D403" t="inlineStr">
        <is>
          <t>DALARNAS LÄN</t>
        </is>
      </c>
      <c r="E403" t="inlineStr">
        <is>
          <t>LUDVIKA</t>
        </is>
      </c>
      <c r="F403" t="inlineStr">
        <is>
          <t>Naturvårdsverket</t>
        </is>
      </c>
      <c r="G403" t="n">
        <v>3.2</v>
      </c>
      <c r="H403" t="n">
        <v>0</v>
      </c>
      <c r="I403" t="n">
        <v>0</v>
      </c>
      <c r="J403" t="n">
        <v>0</v>
      </c>
      <c r="K403" t="n">
        <v>0</v>
      </c>
      <c r="L403" t="n">
        <v>0</v>
      </c>
      <c r="M403" t="n">
        <v>0</v>
      </c>
      <c r="N403" t="n">
        <v>0</v>
      </c>
      <c r="O403" t="n">
        <v>0</v>
      </c>
      <c r="P403" t="n">
        <v>0</v>
      </c>
      <c r="Q403" t="n">
        <v>0</v>
      </c>
      <c r="R403" s="2" t="inlineStr"/>
    </row>
    <row r="404" ht="15" customHeight="1">
      <c r="A404" t="inlineStr">
        <is>
          <t>A 37479-2022</t>
        </is>
      </c>
      <c r="B404" s="1" t="n">
        <v>44809</v>
      </c>
      <c r="C404" s="1" t="n">
        <v>45362</v>
      </c>
      <c r="D404" t="inlineStr">
        <is>
          <t>DALARNAS LÄN</t>
        </is>
      </c>
      <c r="E404" t="inlineStr">
        <is>
          <t>LUDVIKA</t>
        </is>
      </c>
      <c r="F404" t="inlineStr">
        <is>
          <t>Naturvårdsverket</t>
        </is>
      </c>
      <c r="G404" t="n">
        <v>2.4</v>
      </c>
      <c r="H404" t="n">
        <v>0</v>
      </c>
      <c r="I404" t="n">
        <v>0</v>
      </c>
      <c r="J404" t="n">
        <v>0</v>
      </c>
      <c r="K404" t="n">
        <v>0</v>
      </c>
      <c r="L404" t="n">
        <v>0</v>
      </c>
      <c r="M404" t="n">
        <v>0</v>
      </c>
      <c r="N404" t="n">
        <v>0</v>
      </c>
      <c r="O404" t="n">
        <v>0</v>
      </c>
      <c r="P404" t="n">
        <v>0</v>
      </c>
      <c r="Q404" t="n">
        <v>0</v>
      </c>
      <c r="R404" s="2" t="inlineStr"/>
    </row>
    <row r="405" ht="15" customHeight="1">
      <c r="A405" t="inlineStr">
        <is>
          <t>A 38014-2022</t>
        </is>
      </c>
      <c r="B405" s="1" t="n">
        <v>44811</v>
      </c>
      <c r="C405" s="1" t="n">
        <v>45362</v>
      </c>
      <c r="D405" t="inlineStr">
        <is>
          <t>DALARNAS LÄN</t>
        </is>
      </c>
      <c r="E405" t="inlineStr">
        <is>
          <t>LUDVIKA</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38565-2022</t>
        </is>
      </c>
      <c r="B406" s="1" t="n">
        <v>44813</v>
      </c>
      <c r="C406" s="1" t="n">
        <v>45362</v>
      </c>
      <c r="D406" t="inlineStr">
        <is>
          <t>DALARNAS LÄN</t>
        </is>
      </c>
      <c r="E406" t="inlineStr">
        <is>
          <t>LUDVIKA</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39090-2022</t>
        </is>
      </c>
      <c r="B407" s="1" t="n">
        <v>44817</v>
      </c>
      <c r="C407" s="1" t="n">
        <v>45362</v>
      </c>
      <c r="D407" t="inlineStr">
        <is>
          <t>DALARNAS LÄN</t>
        </is>
      </c>
      <c r="E407" t="inlineStr">
        <is>
          <t>LUDVIKA</t>
        </is>
      </c>
      <c r="F407" t="inlineStr">
        <is>
          <t>Naturvårdsverket</t>
        </is>
      </c>
      <c r="G407" t="n">
        <v>2.4</v>
      </c>
      <c r="H407" t="n">
        <v>0</v>
      </c>
      <c r="I407" t="n">
        <v>0</v>
      </c>
      <c r="J407" t="n">
        <v>0</v>
      </c>
      <c r="K407" t="n">
        <v>0</v>
      </c>
      <c r="L407" t="n">
        <v>0</v>
      </c>
      <c r="M407" t="n">
        <v>0</v>
      </c>
      <c r="N407" t="n">
        <v>0</v>
      </c>
      <c r="O407" t="n">
        <v>0</v>
      </c>
      <c r="P407" t="n">
        <v>0</v>
      </c>
      <c r="Q407" t="n">
        <v>0</v>
      </c>
      <c r="R407" s="2" t="inlineStr"/>
    </row>
    <row r="408" ht="15" customHeight="1">
      <c r="A408" t="inlineStr">
        <is>
          <t>A 39257-2022</t>
        </is>
      </c>
      <c r="B408" s="1" t="n">
        <v>44817</v>
      </c>
      <c r="C408" s="1" t="n">
        <v>45362</v>
      </c>
      <c r="D408" t="inlineStr">
        <is>
          <t>DALARNAS LÄN</t>
        </is>
      </c>
      <c r="E408" t="inlineStr">
        <is>
          <t>LUDVIKA</t>
        </is>
      </c>
      <c r="F408" t="inlineStr">
        <is>
          <t>Bergvik skog väst AB</t>
        </is>
      </c>
      <c r="G408" t="n">
        <v>10</v>
      </c>
      <c r="H408" t="n">
        <v>0</v>
      </c>
      <c r="I408" t="n">
        <v>0</v>
      </c>
      <c r="J408" t="n">
        <v>0</v>
      </c>
      <c r="K408" t="n">
        <v>0</v>
      </c>
      <c r="L408" t="n">
        <v>0</v>
      </c>
      <c r="M408" t="n">
        <v>0</v>
      </c>
      <c r="N408" t="n">
        <v>0</v>
      </c>
      <c r="O408" t="n">
        <v>0</v>
      </c>
      <c r="P408" t="n">
        <v>0</v>
      </c>
      <c r="Q408" t="n">
        <v>0</v>
      </c>
      <c r="R408" s="2" t="inlineStr"/>
    </row>
    <row r="409" ht="15" customHeight="1">
      <c r="A409" t="inlineStr">
        <is>
          <t>A 39761-2022</t>
        </is>
      </c>
      <c r="B409" s="1" t="n">
        <v>44819</v>
      </c>
      <c r="C409" s="1" t="n">
        <v>45362</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40151-2022</t>
        </is>
      </c>
      <c r="B410" s="1" t="n">
        <v>44820</v>
      </c>
      <c r="C410" s="1" t="n">
        <v>45362</v>
      </c>
      <c r="D410" t="inlineStr">
        <is>
          <t>DALARNAS LÄN</t>
        </is>
      </c>
      <c r="E410" t="inlineStr">
        <is>
          <t>LUDVIKA</t>
        </is>
      </c>
      <c r="F410" t="inlineStr">
        <is>
          <t>Bergvik skog väst AB</t>
        </is>
      </c>
      <c r="G410" t="n">
        <v>0.8</v>
      </c>
      <c r="H410" t="n">
        <v>0</v>
      </c>
      <c r="I410" t="n">
        <v>0</v>
      </c>
      <c r="J410" t="n">
        <v>0</v>
      </c>
      <c r="K410" t="n">
        <v>0</v>
      </c>
      <c r="L410" t="n">
        <v>0</v>
      </c>
      <c r="M410" t="n">
        <v>0</v>
      </c>
      <c r="N410" t="n">
        <v>0</v>
      </c>
      <c r="O410" t="n">
        <v>0</v>
      </c>
      <c r="P410" t="n">
        <v>0</v>
      </c>
      <c r="Q410" t="n">
        <v>0</v>
      </c>
      <c r="R410" s="2" t="inlineStr"/>
    </row>
    <row r="411" ht="15" customHeight="1">
      <c r="A411" t="inlineStr">
        <is>
          <t>A 40137-2022</t>
        </is>
      </c>
      <c r="B411" s="1" t="n">
        <v>44820</v>
      </c>
      <c r="C411" s="1" t="n">
        <v>45362</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40142-2022</t>
        </is>
      </c>
      <c r="B412" s="1" t="n">
        <v>44820</v>
      </c>
      <c r="C412" s="1" t="n">
        <v>45362</v>
      </c>
      <c r="D412" t="inlineStr">
        <is>
          <t>DALARNAS LÄN</t>
        </is>
      </c>
      <c r="E412" t="inlineStr">
        <is>
          <t>LUDVIKA</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41090-2022</t>
        </is>
      </c>
      <c r="B413" s="1" t="n">
        <v>44825</v>
      </c>
      <c r="C413" s="1" t="n">
        <v>45362</v>
      </c>
      <c r="D413" t="inlineStr">
        <is>
          <t>DALARNAS LÄN</t>
        </is>
      </c>
      <c r="E413" t="inlineStr">
        <is>
          <t>LUDVIKA</t>
        </is>
      </c>
      <c r="F413" t="inlineStr">
        <is>
          <t>Bergvik skog väst AB</t>
        </is>
      </c>
      <c r="G413" t="n">
        <v>2.5</v>
      </c>
      <c r="H413" t="n">
        <v>0</v>
      </c>
      <c r="I413" t="n">
        <v>0</v>
      </c>
      <c r="J413" t="n">
        <v>0</v>
      </c>
      <c r="K413" t="n">
        <v>0</v>
      </c>
      <c r="L413" t="n">
        <v>0</v>
      </c>
      <c r="M413" t="n">
        <v>0</v>
      </c>
      <c r="N413" t="n">
        <v>0</v>
      </c>
      <c r="O413" t="n">
        <v>0</v>
      </c>
      <c r="P413" t="n">
        <v>0</v>
      </c>
      <c r="Q413" t="n">
        <v>0</v>
      </c>
      <c r="R413" s="2" t="inlineStr"/>
    </row>
    <row r="414" ht="15" customHeight="1">
      <c r="A414" t="inlineStr">
        <is>
          <t>A 41158-2022</t>
        </is>
      </c>
      <c r="B414" s="1" t="n">
        <v>44825</v>
      </c>
      <c r="C414" s="1" t="n">
        <v>45362</v>
      </c>
      <c r="D414" t="inlineStr">
        <is>
          <t>DALARNAS LÄN</t>
        </is>
      </c>
      <c r="E414" t="inlineStr">
        <is>
          <t>LUDVIKA</t>
        </is>
      </c>
      <c r="G414" t="n">
        <v>2.1</v>
      </c>
      <c r="H414" t="n">
        <v>0</v>
      </c>
      <c r="I414" t="n">
        <v>0</v>
      </c>
      <c r="J414" t="n">
        <v>0</v>
      </c>
      <c r="K414" t="n">
        <v>0</v>
      </c>
      <c r="L414" t="n">
        <v>0</v>
      </c>
      <c r="M414" t="n">
        <v>0</v>
      </c>
      <c r="N414" t="n">
        <v>0</v>
      </c>
      <c r="O414" t="n">
        <v>0</v>
      </c>
      <c r="P414" t="n">
        <v>0</v>
      </c>
      <c r="Q414" t="n">
        <v>0</v>
      </c>
      <c r="R414" s="2" t="inlineStr"/>
    </row>
    <row r="415" ht="15" customHeight="1">
      <c r="A415" t="inlineStr">
        <is>
          <t>A 41123-2022</t>
        </is>
      </c>
      <c r="B415" s="1" t="n">
        <v>44825</v>
      </c>
      <c r="C415" s="1" t="n">
        <v>45362</v>
      </c>
      <c r="D415" t="inlineStr">
        <is>
          <t>DALARNAS LÄN</t>
        </is>
      </c>
      <c r="E415" t="inlineStr">
        <is>
          <t>LUDVIKA</t>
        </is>
      </c>
      <c r="F415" t="inlineStr">
        <is>
          <t>Naturvårdsverket</t>
        </is>
      </c>
      <c r="G415" t="n">
        <v>1</v>
      </c>
      <c r="H415" t="n">
        <v>0</v>
      </c>
      <c r="I415" t="n">
        <v>0</v>
      </c>
      <c r="J415" t="n">
        <v>0</v>
      </c>
      <c r="K415" t="n">
        <v>0</v>
      </c>
      <c r="L415" t="n">
        <v>0</v>
      </c>
      <c r="M415" t="n">
        <v>0</v>
      </c>
      <c r="N415" t="n">
        <v>0</v>
      </c>
      <c r="O415" t="n">
        <v>0</v>
      </c>
      <c r="P415" t="n">
        <v>0</v>
      </c>
      <c r="Q415" t="n">
        <v>0</v>
      </c>
      <c r="R415" s="2" t="inlineStr"/>
    </row>
    <row r="416" ht="15" customHeight="1">
      <c r="A416" t="inlineStr">
        <is>
          <t>A 41400-2022</t>
        </is>
      </c>
      <c r="B416" s="1" t="n">
        <v>44826</v>
      </c>
      <c r="C416" s="1" t="n">
        <v>45362</v>
      </c>
      <c r="D416" t="inlineStr">
        <is>
          <t>DALARNAS LÄN</t>
        </is>
      </c>
      <c r="E416" t="inlineStr">
        <is>
          <t>LUDVIKA</t>
        </is>
      </c>
      <c r="F416" t="inlineStr">
        <is>
          <t>Bergvik skog väst AB</t>
        </is>
      </c>
      <c r="G416" t="n">
        <v>3.5</v>
      </c>
      <c r="H416" t="n">
        <v>0</v>
      </c>
      <c r="I416" t="n">
        <v>0</v>
      </c>
      <c r="J416" t="n">
        <v>0</v>
      </c>
      <c r="K416" t="n">
        <v>0</v>
      </c>
      <c r="L416" t="n">
        <v>0</v>
      </c>
      <c r="M416" t="n">
        <v>0</v>
      </c>
      <c r="N416" t="n">
        <v>0</v>
      </c>
      <c r="O416" t="n">
        <v>0</v>
      </c>
      <c r="P416" t="n">
        <v>0</v>
      </c>
      <c r="Q416" t="n">
        <v>0</v>
      </c>
      <c r="R416" s="2" t="inlineStr"/>
    </row>
    <row r="417" ht="15" customHeight="1">
      <c r="A417" t="inlineStr">
        <is>
          <t>A 41328-2022</t>
        </is>
      </c>
      <c r="B417" s="1" t="n">
        <v>44826</v>
      </c>
      <c r="C417" s="1" t="n">
        <v>45362</v>
      </c>
      <c r="D417" t="inlineStr">
        <is>
          <t>DALARNAS LÄN</t>
        </is>
      </c>
      <c r="E417" t="inlineStr">
        <is>
          <t>LUDVIKA</t>
        </is>
      </c>
      <c r="F417" t="inlineStr">
        <is>
          <t>Bergvik skog väst AB</t>
        </is>
      </c>
      <c r="G417" t="n">
        <v>6.1</v>
      </c>
      <c r="H417" t="n">
        <v>0</v>
      </c>
      <c r="I417" t="n">
        <v>0</v>
      </c>
      <c r="J417" t="n">
        <v>0</v>
      </c>
      <c r="K417" t="n">
        <v>0</v>
      </c>
      <c r="L417" t="n">
        <v>0</v>
      </c>
      <c r="M417" t="n">
        <v>0</v>
      </c>
      <c r="N417" t="n">
        <v>0</v>
      </c>
      <c r="O417" t="n">
        <v>0</v>
      </c>
      <c r="P417" t="n">
        <v>0</v>
      </c>
      <c r="Q417" t="n">
        <v>0</v>
      </c>
      <c r="R417" s="2" t="inlineStr"/>
    </row>
    <row r="418" ht="15" customHeight="1">
      <c r="A418" t="inlineStr">
        <is>
          <t>A 41712-2022</t>
        </is>
      </c>
      <c r="B418" s="1" t="n">
        <v>44827</v>
      </c>
      <c r="C418" s="1" t="n">
        <v>45362</v>
      </c>
      <c r="D418" t="inlineStr">
        <is>
          <t>DALARNAS LÄN</t>
        </is>
      </c>
      <c r="E418" t="inlineStr">
        <is>
          <t>LUDVIKA</t>
        </is>
      </c>
      <c r="G418" t="n">
        <v>1.5</v>
      </c>
      <c r="H418" t="n">
        <v>0</v>
      </c>
      <c r="I418" t="n">
        <v>0</v>
      </c>
      <c r="J418" t="n">
        <v>0</v>
      </c>
      <c r="K418" t="n">
        <v>0</v>
      </c>
      <c r="L418" t="n">
        <v>0</v>
      </c>
      <c r="M418" t="n">
        <v>0</v>
      </c>
      <c r="N418" t="n">
        <v>0</v>
      </c>
      <c r="O418" t="n">
        <v>0</v>
      </c>
      <c r="P418" t="n">
        <v>0</v>
      </c>
      <c r="Q418" t="n">
        <v>0</v>
      </c>
      <c r="R418" s="2" t="inlineStr"/>
    </row>
    <row r="419" ht="15" customHeight="1">
      <c r="A419" t="inlineStr">
        <is>
          <t>A 41594-2022</t>
        </is>
      </c>
      <c r="B419" s="1" t="n">
        <v>44827</v>
      </c>
      <c r="C419" s="1" t="n">
        <v>45362</v>
      </c>
      <c r="D419" t="inlineStr">
        <is>
          <t>DALARNAS LÄN</t>
        </is>
      </c>
      <c r="E419" t="inlineStr">
        <is>
          <t>LUDVIKA</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41796-2022</t>
        </is>
      </c>
      <c r="B420" s="1" t="n">
        <v>44827</v>
      </c>
      <c r="C420" s="1" t="n">
        <v>45362</v>
      </c>
      <c r="D420" t="inlineStr">
        <is>
          <t>DALARNAS LÄN</t>
        </is>
      </c>
      <c r="E420" t="inlineStr">
        <is>
          <t>LUDVIKA</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41797-2022</t>
        </is>
      </c>
      <c r="B421" s="1" t="n">
        <v>44827</v>
      </c>
      <c r="C421" s="1" t="n">
        <v>45362</v>
      </c>
      <c r="D421" t="inlineStr">
        <is>
          <t>DALARNAS LÄN</t>
        </is>
      </c>
      <c r="E421" t="inlineStr">
        <is>
          <t>LUDVIKA</t>
        </is>
      </c>
      <c r="F421" t="inlineStr">
        <is>
          <t>Bergvik skog väst AB</t>
        </is>
      </c>
      <c r="G421" t="n">
        <v>1.4</v>
      </c>
      <c r="H421" t="n">
        <v>0</v>
      </c>
      <c r="I421" t="n">
        <v>0</v>
      </c>
      <c r="J421" t="n">
        <v>0</v>
      </c>
      <c r="K421" t="n">
        <v>0</v>
      </c>
      <c r="L421" t="n">
        <v>0</v>
      </c>
      <c r="M421" t="n">
        <v>0</v>
      </c>
      <c r="N421" t="n">
        <v>0</v>
      </c>
      <c r="O421" t="n">
        <v>0</v>
      </c>
      <c r="P421" t="n">
        <v>0</v>
      </c>
      <c r="Q421" t="n">
        <v>0</v>
      </c>
      <c r="R421" s="2" t="inlineStr"/>
    </row>
    <row r="422" ht="15" customHeight="1">
      <c r="A422" t="inlineStr">
        <is>
          <t>A 42140-2022</t>
        </is>
      </c>
      <c r="B422" s="1" t="n">
        <v>44830</v>
      </c>
      <c r="C422" s="1" t="n">
        <v>45362</v>
      </c>
      <c r="D422" t="inlineStr">
        <is>
          <t>DALARNAS LÄN</t>
        </is>
      </c>
      <c r="E422" t="inlineStr">
        <is>
          <t>LUDVIKA</t>
        </is>
      </c>
      <c r="F422" t="inlineStr">
        <is>
          <t>Bergvik skog väst AB</t>
        </is>
      </c>
      <c r="G422" t="n">
        <v>1.8</v>
      </c>
      <c r="H422" t="n">
        <v>0</v>
      </c>
      <c r="I422" t="n">
        <v>0</v>
      </c>
      <c r="J422" t="n">
        <v>0</v>
      </c>
      <c r="K422" t="n">
        <v>0</v>
      </c>
      <c r="L422" t="n">
        <v>0</v>
      </c>
      <c r="M422" t="n">
        <v>0</v>
      </c>
      <c r="N422" t="n">
        <v>0</v>
      </c>
      <c r="O422" t="n">
        <v>0</v>
      </c>
      <c r="P422" t="n">
        <v>0</v>
      </c>
      <c r="Q422" t="n">
        <v>0</v>
      </c>
      <c r="R422" s="2" t="inlineStr"/>
    </row>
    <row r="423" ht="15" customHeight="1">
      <c r="A423" t="inlineStr">
        <is>
          <t>A 42329-2022</t>
        </is>
      </c>
      <c r="B423" s="1" t="n">
        <v>44831</v>
      </c>
      <c r="C423" s="1" t="n">
        <v>45362</v>
      </c>
      <c r="D423" t="inlineStr">
        <is>
          <t>DALARNAS LÄN</t>
        </is>
      </c>
      <c r="E423" t="inlineStr">
        <is>
          <t>LUDVIKA</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42440-2022</t>
        </is>
      </c>
      <c r="B424" s="1" t="n">
        <v>44831</v>
      </c>
      <c r="C424" s="1" t="n">
        <v>45362</v>
      </c>
      <c r="D424" t="inlineStr">
        <is>
          <t>DALARNAS LÄN</t>
        </is>
      </c>
      <c r="E424" t="inlineStr">
        <is>
          <t>LUDVIKA</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42572-2022</t>
        </is>
      </c>
      <c r="B425" s="1" t="n">
        <v>44831</v>
      </c>
      <c r="C425" s="1" t="n">
        <v>45362</v>
      </c>
      <c r="D425" t="inlineStr">
        <is>
          <t>DALARNAS LÄN</t>
        </is>
      </c>
      <c r="E425" t="inlineStr">
        <is>
          <t>LUDVIKA</t>
        </is>
      </c>
      <c r="F425" t="inlineStr">
        <is>
          <t>Bergvik skog väst AB</t>
        </is>
      </c>
      <c r="G425" t="n">
        <v>9.1</v>
      </c>
      <c r="H425" t="n">
        <v>0</v>
      </c>
      <c r="I425" t="n">
        <v>0</v>
      </c>
      <c r="J425" t="n">
        <v>0</v>
      </c>
      <c r="K425" t="n">
        <v>0</v>
      </c>
      <c r="L425" t="n">
        <v>0</v>
      </c>
      <c r="M425" t="n">
        <v>0</v>
      </c>
      <c r="N425" t="n">
        <v>0</v>
      </c>
      <c r="O425" t="n">
        <v>0</v>
      </c>
      <c r="P425" t="n">
        <v>0</v>
      </c>
      <c r="Q425" t="n">
        <v>0</v>
      </c>
      <c r="R425" s="2" t="inlineStr"/>
    </row>
    <row r="426" ht="15" customHeight="1">
      <c r="A426" t="inlineStr">
        <is>
          <t>A 42709-2022</t>
        </is>
      </c>
      <c r="B426" s="1" t="n">
        <v>44832</v>
      </c>
      <c r="C426" s="1" t="n">
        <v>45362</v>
      </c>
      <c r="D426" t="inlineStr">
        <is>
          <t>DALARNAS LÄN</t>
        </is>
      </c>
      <c r="E426" t="inlineStr">
        <is>
          <t>LUDVIKA</t>
        </is>
      </c>
      <c r="F426" t="inlineStr">
        <is>
          <t>Naturvårdsverket</t>
        </is>
      </c>
      <c r="G426" t="n">
        <v>4.5</v>
      </c>
      <c r="H426" t="n">
        <v>0</v>
      </c>
      <c r="I426" t="n">
        <v>0</v>
      </c>
      <c r="J426" t="n">
        <v>0</v>
      </c>
      <c r="K426" t="n">
        <v>0</v>
      </c>
      <c r="L426" t="n">
        <v>0</v>
      </c>
      <c r="M426" t="n">
        <v>0</v>
      </c>
      <c r="N426" t="n">
        <v>0</v>
      </c>
      <c r="O426" t="n">
        <v>0</v>
      </c>
      <c r="P426" t="n">
        <v>0</v>
      </c>
      <c r="Q426" t="n">
        <v>0</v>
      </c>
      <c r="R426" s="2" t="inlineStr"/>
    </row>
    <row r="427" ht="15" customHeight="1">
      <c r="A427" t="inlineStr">
        <is>
          <t>A 43008-2022</t>
        </is>
      </c>
      <c r="B427" s="1" t="n">
        <v>44833</v>
      </c>
      <c r="C427" s="1" t="n">
        <v>45362</v>
      </c>
      <c r="D427" t="inlineStr">
        <is>
          <t>DALARNAS LÄN</t>
        </is>
      </c>
      <c r="E427" t="inlineStr">
        <is>
          <t>LUDVIKA</t>
        </is>
      </c>
      <c r="G427" t="n">
        <v>0.8</v>
      </c>
      <c r="H427" t="n">
        <v>0</v>
      </c>
      <c r="I427" t="n">
        <v>0</v>
      </c>
      <c r="J427" t="n">
        <v>0</v>
      </c>
      <c r="K427" t="n">
        <v>0</v>
      </c>
      <c r="L427" t="n">
        <v>0</v>
      </c>
      <c r="M427" t="n">
        <v>0</v>
      </c>
      <c r="N427" t="n">
        <v>0</v>
      </c>
      <c r="O427" t="n">
        <v>0</v>
      </c>
      <c r="P427" t="n">
        <v>0</v>
      </c>
      <c r="Q427" t="n">
        <v>0</v>
      </c>
      <c r="R427" s="2" t="inlineStr"/>
    </row>
    <row r="428" ht="15" customHeight="1">
      <c r="A428" t="inlineStr">
        <is>
          <t>A 43047-2022</t>
        </is>
      </c>
      <c r="B428" s="1" t="n">
        <v>44833</v>
      </c>
      <c r="C428" s="1" t="n">
        <v>45362</v>
      </c>
      <c r="D428" t="inlineStr">
        <is>
          <t>DALARNAS LÄN</t>
        </is>
      </c>
      <c r="E428" t="inlineStr">
        <is>
          <t>LUDVIKA</t>
        </is>
      </c>
      <c r="F428" t="inlineStr">
        <is>
          <t>Bergvik skog väst AB</t>
        </is>
      </c>
      <c r="G428" t="n">
        <v>9.5</v>
      </c>
      <c r="H428" t="n">
        <v>0</v>
      </c>
      <c r="I428" t="n">
        <v>0</v>
      </c>
      <c r="J428" t="n">
        <v>0</v>
      </c>
      <c r="K428" t="n">
        <v>0</v>
      </c>
      <c r="L428" t="n">
        <v>0</v>
      </c>
      <c r="M428" t="n">
        <v>0</v>
      </c>
      <c r="N428" t="n">
        <v>0</v>
      </c>
      <c r="O428" t="n">
        <v>0</v>
      </c>
      <c r="P428" t="n">
        <v>0</v>
      </c>
      <c r="Q428" t="n">
        <v>0</v>
      </c>
      <c r="R428" s="2" t="inlineStr"/>
    </row>
    <row r="429" ht="15" customHeight="1">
      <c r="A429" t="inlineStr">
        <is>
          <t>A 45060-2022</t>
        </is>
      </c>
      <c r="B429" s="1" t="n">
        <v>44841</v>
      </c>
      <c r="C429" s="1" t="n">
        <v>45362</v>
      </c>
      <c r="D429" t="inlineStr">
        <is>
          <t>DALARNAS LÄN</t>
        </is>
      </c>
      <c r="E429" t="inlineStr">
        <is>
          <t>LUDVIKA</t>
        </is>
      </c>
      <c r="G429" t="n">
        <v>1.1</v>
      </c>
      <c r="H429" t="n">
        <v>0</v>
      </c>
      <c r="I429" t="n">
        <v>0</v>
      </c>
      <c r="J429" t="n">
        <v>0</v>
      </c>
      <c r="K429" t="n">
        <v>0</v>
      </c>
      <c r="L429" t="n">
        <v>0</v>
      </c>
      <c r="M429" t="n">
        <v>0</v>
      </c>
      <c r="N429" t="n">
        <v>0</v>
      </c>
      <c r="O429" t="n">
        <v>0</v>
      </c>
      <c r="P429" t="n">
        <v>0</v>
      </c>
      <c r="Q429" t="n">
        <v>0</v>
      </c>
      <c r="R429" s="2" t="inlineStr"/>
    </row>
    <row r="430" ht="15" customHeight="1">
      <c r="A430" t="inlineStr">
        <is>
          <t>A 45235-2022</t>
        </is>
      </c>
      <c r="B430" s="1" t="n">
        <v>44844</v>
      </c>
      <c r="C430" s="1" t="n">
        <v>45362</v>
      </c>
      <c r="D430" t="inlineStr">
        <is>
          <t>DALARNAS LÄN</t>
        </is>
      </c>
      <c r="E430" t="inlineStr">
        <is>
          <t>LUDVIKA</t>
        </is>
      </c>
      <c r="F430" t="inlineStr">
        <is>
          <t>Naturvårdsverket</t>
        </is>
      </c>
      <c r="G430" t="n">
        <v>4.1</v>
      </c>
      <c r="H430" t="n">
        <v>0</v>
      </c>
      <c r="I430" t="n">
        <v>0</v>
      </c>
      <c r="J430" t="n">
        <v>0</v>
      </c>
      <c r="K430" t="n">
        <v>0</v>
      </c>
      <c r="L430" t="n">
        <v>0</v>
      </c>
      <c r="M430" t="n">
        <v>0</v>
      </c>
      <c r="N430" t="n">
        <v>0</v>
      </c>
      <c r="O430" t="n">
        <v>0</v>
      </c>
      <c r="P430" t="n">
        <v>0</v>
      </c>
      <c r="Q430" t="n">
        <v>0</v>
      </c>
      <c r="R430" s="2" t="inlineStr"/>
    </row>
    <row r="431" ht="15" customHeight="1">
      <c r="A431" t="inlineStr">
        <is>
          <t>A 45179-2022</t>
        </is>
      </c>
      <c r="B431" s="1" t="n">
        <v>44844</v>
      </c>
      <c r="C431" s="1" t="n">
        <v>45362</v>
      </c>
      <c r="D431" t="inlineStr">
        <is>
          <t>DALARNAS LÄN</t>
        </is>
      </c>
      <c r="E431" t="inlineStr">
        <is>
          <t>LUDVIKA</t>
        </is>
      </c>
      <c r="F431" t="inlineStr">
        <is>
          <t>Naturvårdsverket</t>
        </is>
      </c>
      <c r="G431" t="n">
        <v>4.3</v>
      </c>
      <c r="H431" t="n">
        <v>0</v>
      </c>
      <c r="I431" t="n">
        <v>0</v>
      </c>
      <c r="J431" t="n">
        <v>0</v>
      </c>
      <c r="K431" t="n">
        <v>0</v>
      </c>
      <c r="L431" t="n">
        <v>0</v>
      </c>
      <c r="M431" t="n">
        <v>0</v>
      </c>
      <c r="N431" t="n">
        <v>0</v>
      </c>
      <c r="O431" t="n">
        <v>0</v>
      </c>
      <c r="P431" t="n">
        <v>0</v>
      </c>
      <c r="Q431" t="n">
        <v>0</v>
      </c>
      <c r="R431" s="2" t="inlineStr"/>
    </row>
    <row r="432" ht="15" customHeight="1">
      <c r="A432" t="inlineStr">
        <is>
          <t>A 45230-2022</t>
        </is>
      </c>
      <c r="B432" s="1" t="n">
        <v>44844</v>
      </c>
      <c r="C432" s="1" t="n">
        <v>45362</v>
      </c>
      <c r="D432" t="inlineStr">
        <is>
          <t>DALARNAS LÄN</t>
        </is>
      </c>
      <c r="E432" t="inlineStr">
        <is>
          <t>LUDVIKA</t>
        </is>
      </c>
      <c r="F432" t="inlineStr">
        <is>
          <t>Bergvik skog väst AB</t>
        </is>
      </c>
      <c r="G432" t="n">
        <v>2</v>
      </c>
      <c r="H432" t="n">
        <v>0</v>
      </c>
      <c r="I432" t="n">
        <v>0</v>
      </c>
      <c r="J432" t="n">
        <v>0</v>
      </c>
      <c r="K432" t="n">
        <v>0</v>
      </c>
      <c r="L432" t="n">
        <v>0</v>
      </c>
      <c r="M432" t="n">
        <v>0</v>
      </c>
      <c r="N432" t="n">
        <v>0</v>
      </c>
      <c r="O432" t="n">
        <v>0</v>
      </c>
      <c r="P432" t="n">
        <v>0</v>
      </c>
      <c r="Q432" t="n">
        <v>0</v>
      </c>
      <c r="R432" s="2" t="inlineStr"/>
    </row>
    <row r="433" ht="15" customHeight="1">
      <c r="A433" t="inlineStr">
        <is>
          <t>A 45268-2022</t>
        </is>
      </c>
      <c r="B433" s="1" t="n">
        <v>44844</v>
      </c>
      <c r="C433" s="1" t="n">
        <v>45362</v>
      </c>
      <c r="D433" t="inlineStr">
        <is>
          <t>DALARNAS LÄN</t>
        </is>
      </c>
      <c r="E433" t="inlineStr">
        <is>
          <t>LUDVIKA</t>
        </is>
      </c>
      <c r="F433" t="inlineStr">
        <is>
          <t>Naturvårdsverket</t>
        </is>
      </c>
      <c r="G433" t="n">
        <v>2.3</v>
      </c>
      <c r="H433" t="n">
        <v>0</v>
      </c>
      <c r="I433" t="n">
        <v>0</v>
      </c>
      <c r="J433" t="n">
        <v>0</v>
      </c>
      <c r="K433" t="n">
        <v>0</v>
      </c>
      <c r="L433" t="n">
        <v>0</v>
      </c>
      <c r="M433" t="n">
        <v>0</v>
      </c>
      <c r="N433" t="n">
        <v>0</v>
      </c>
      <c r="O433" t="n">
        <v>0</v>
      </c>
      <c r="P433" t="n">
        <v>0</v>
      </c>
      <c r="Q433" t="n">
        <v>0</v>
      </c>
      <c r="R433" s="2" t="inlineStr"/>
    </row>
    <row r="434" ht="15" customHeight="1">
      <c r="A434" t="inlineStr">
        <is>
          <t>A 45361-2022</t>
        </is>
      </c>
      <c r="B434" s="1" t="n">
        <v>44844</v>
      </c>
      <c r="C434" s="1" t="n">
        <v>45362</v>
      </c>
      <c r="D434" t="inlineStr">
        <is>
          <t>DALARNAS LÄN</t>
        </is>
      </c>
      <c r="E434" t="inlineStr">
        <is>
          <t>LUDVIKA</t>
        </is>
      </c>
      <c r="F434" t="inlineStr">
        <is>
          <t>Bergvik skog väst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45458-2022</t>
        </is>
      </c>
      <c r="B435" s="1" t="n">
        <v>44845</v>
      </c>
      <c r="C435" s="1" t="n">
        <v>45362</v>
      </c>
      <c r="D435" t="inlineStr">
        <is>
          <t>DALARNAS LÄN</t>
        </is>
      </c>
      <c r="E435" t="inlineStr">
        <is>
          <t>LUDVIKA</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46878-2022</t>
        </is>
      </c>
      <c r="B436" s="1" t="n">
        <v>44848</v>
      </c>
      <c r="C436" s="1" t="n">
        <v>45362</v>
      </c>
      <c r="D436" t="inlineStr">
        <is>
          <t>DALARNAS LÄN</t>
        </is>
      </c>
      <c r="E436" t="inlineStr">
        <is>
          <t>LUDVIKA</t>
        </is>
      </c>
      <c r="G436" t="n">
        <v>4</v>
      </c>
      <c r="H436" t="n">
        <v>0</v>
      </c>
      <c r="I436" t="n">
        <v>0</v>
      </c>
      <c r="J436" t="n">
        <v>0</v>
      </c>
      <c r="K436" t="n">
        <v>0</v>
      </c>
      <c r="L436" t="n">
        <v>0</v>
      </c>
      <c r="M436" t="n">
        <v>0</v>
      </c>
      <c r="N436" t="n">
        <v>0</v>
      </c>
      <c r="O436" t="n">
        <v>0</v>
      </c>
      <c r="P436" t="n">
        <v>0</v>
      </c>
      <c r="Q436" t="n">
        <v>0</v>
      </c>
      <c r="R436" s="2" t="inlineStr"/>
    </row>
    <row r="437" ht="15" customHeight="1">
      <c r="A437" t="inlineStr">
        <is>
          <t>A 46680-2022</t>
        </is>
      </c>
      <c r="B437" s="1" t="n">
        <v>44851</v>
      </c>
      <c r="C437" s="1" t="n">
        <v>45362</v>
      </c>
      <c r="D437" t="inlineStr">
        <is>
          <t>DALARNAS LÄN</t>
        </is>
      </c>
      <c r="E437" t="inlineStr">
        <is>
          <t>LUDVIKA</t>
        </is>
      </c>
      <c r="G437" t="n">
        <v>2.6</v>
      </c>
      <c r="H437" t="n">
        <v>0</v>
      </c>
      <c r="I437" t="n">
        <v>0</v>
      </c>
      <c r="J437" t="n">
        <v>0</v>
      </c>
      <c r="K437" t="n">
        <v>0</v>
      </c>
      <c r="L437" t="n">
        <v>0</v>
      </c>
      <c r="M437" t="n">
        <v>0</v>
      </c>
      <c r="N437" t="n">
        <v>0</v>
      </c>
      <c r="O437" t="n">
        <v>0</v>
      </c>
      <c r="P437" t="n">
        <v>0</v>
      </c>
      <c r="Q437" t="n">
        <v>0</v>
      </c>
      <c r="R437" s="2" t="inlineStr"/>
    </row>
    <row r="438" ht="15" customHeight="1">
      <c r="A438" t="inlineStr">
        <is>
          <t>A 46905-2022</t>
        </is>
      </c>
      <c r="B438" s="1" t="n">
        <v>44851</v>
      </c>
      <c r="C438" s="1" t="n">
        <v>45362</v>
      </c>
      <c r="D438" t="inlineStr">
        <is>
          <t>DALARNAS LÄN</t>
        </is>
      </c>
      <c r="E438" t="inlineStr">
        <is>
          <t>LUDVIKA</t>
        </is>
      </c>
      <c r="F438" t="inlineStr">
        <is>
          <t>Naturvårdsverket</t>
        </is>
      </c>
      <c r="G438" t="n">
        <v>0.6</v>
      </c>
      <c r="H438" t="n">
        <v>0</v>
      </c>
      <c r="I438" t="n">
        <v>0</v>
      </c>
      <c r="J438" t="n">
        <v>0</v>
      </c>
      <c r="K438" t="n">
        <v>0</v>
      </c>
      <c r="L438" t="n">
        <v>0</v>
      </c>
      <c r="M438" t="n">
        <v>0</v>
      </c>
      <c r="N438" t="n">
        <v>0</v>
      </c>
      <c r="O438" t="n">
        <v>0</v>
      </c>
      <c r="P438" t="n">
        <v>0</v>
      </c>
      <c r="Q438" t="n">
        <v>0</v>
      </c>
      <c r="R438" s="2" t="inlineStr"/>
    </row>
    <row r="439" ht="15" customHeight="1">
      <c r="A439" t="inlineStr">
        <is>
          <t>A 47071-2022</t>
        </is>
      </c>
      <c r="B439" s="1" t="n">
        <v>44852</v>
      </c>
      <c r="C439" s="1" t="n">
        <v>45362</v>
      </c>
      <c r="D439" t="inlineStr">
        <is>
          <t>DALARNAS LÄN</t>
        </is>
      </c>
      <c r="E439" t="inlineStr">
        <is>
          <t>LUDVIKA</t>
        </is>
      </c>
      <c r="G439" t="n">
        <v>1.2</v>
      </c>
      <c r="H439" t="n">
        <v>0</v>
      </c>
      <c r="I439" t="n">
        <v>0</v>
      </c>
      <c r="J439" t="n">
        <v>0</v>
      </c>
      <c r="K439" t="n">
        <v>0</v>
      </c>
      <c r="L439" t="n">
        <v>0</v>
      </c>
      <c r="M439" t="n">
        <v>0</v>
      </c>
      <c r="N439" t="n">
        <v>0</v>
      </c>
      <c r="O439" t="n">
        <v>0</v>
      </c>
      <c r="P439" t="n">
        <v>0</v>
      </c>
      <c r="Q439" t="n">
        <v>0</v>
      </c>
      <c r="R439" s="2" t="inlineStr"/>
    </row>
    <row r="440" ht="15" customHeight="1">
      <c r="A440" t="inlineStr">
        <is>
          <t>A 47496-2022</t>
        </is>
      </c>
      <c r="B440" s="1" t="n">
        <v>44853</v>
      </c>
      <c r="C440" s="1" t="n">
        <v>45362</v>
      </c>
      <c r="D440" t="inlineStr">
        <is>
          <t>DALARNAS LÄN</t>
        </is>
      </c>
      <c r="E440" t="inlineStr">
        <is>
          <t>LUDVIKA</t>
        </is>
      </c>
      <c r="F440" t="inlineStr">
        <is>
          <t>Bergvik skog väst AB</t>
        </is>
      </c>
      <c r="G440" t="n">
        <v>0.4</v>
      </c>
      <c r="H440" t="n">
        <v>0</v>
      </c>
      <c r="I440" t="n">
        <v>0</v>
      </c>
      <c r="J440" t="n">
        <v>0</v>
      </c>
      <c r="K440" t="n">
        <v>0</v>
      </c>
      <c r="L440" t="n">
        <v>0</v>
      </c>
      <c r="M440" t="n">
        <v>0</v>
      </c>
      <c r="N440" t="n">
        <v>0</v>
      </c>
      <c r="O440" t="n">
        <v>0</v>
      </c>
      <c r="P440" t="n">
        <v>0</v>
      </c>
      <c r="Q440" t="n">
        <v>0</v>
      </c>
      <c r="R440" s="2" t="inlineStr"/>
    </row>
    <row r="441" ht="15" customHeight="1">
      <c r="A441" t="inlineStr">
        <is>
          <t>A 47731-2022</t>
        </is>
      </c>
      <c r="B441" s="1" t="n">
        <v>44854</v>
      </c>
      <c r="C441" s="1" t="n">
        <v>45362</v>
      </c>
      <c r="D441" t="inlineStr">
        <is>
          <t>DALARNAS LÄN</t>
        </is>
      </c>
      <c r="E441" t="inlineStr">
        <is>
          <t>LUDVIKA</t>
        </is>
      </c>
      <c r="F441" t="inlineStr">
        <is>
          <t>Naturvårdsverket</t>
        </is>
      </c>
      <c r="G441" t="n">
        <v>2.1</v>
      </c>
      <c r="H441" t="n">
        <v>0</v>
      </c>
      <c r="I441" t="n">
        <v>0</v>
      </c>
      <c r="J441" t="n">
        <v>0</v>
      </c>
      <c r="K441" t="n">
        <v>0</v>
      </c>
      <c r="L441" t="n">
        <v>0</v>
      </c>
      <c r="M441" t="n">
        <v>0</v>
      </c>
      <c r="N441" t="n">
        <v>0</v>
      </c>
      <c r="O441" t="n">
        <v>0</v>
      </c>
      <c r="P441" t="n">
        <v>0</v>
      </c>
      <c r="Q441" t="n">
        <v>0</v>
      </c>
      <c r="R441" s="2" t="inlineStr"/>
    </row>
    <row r="442" ht="15" customHeight="1">
      <c r="A442" t="inlineStr">
        <is>
          <t>A 48740-2022</t>
        </is>
      </c>
      <c r="B442" s="1" t="n">
        <v>44859</v>
      </c>
      <c r="C442" s="1" t="n">
        <v>45362</v>
      </c>
      <c r="D442" t="inlineStr">
        <is>
          <t>DALARNAS LÄN</t>
        </is>
      </c>
      <c r="E442" t="inlineStr">
        <is>
          <t>LUDVIKA</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48804-2022</t>
        </is>
      </c>
      <c r="B443" s="1" t="n">
        <v>44859</v>
      </c>
      <c r="C443" s="1" t="n">
        <v>45362</v>
      </c>
      <c r="D443" t="inlineStr">
        <is>
          <t>DALARNAS LÄN</t>
        </is>
      </c>
      <c r="E443" t="inlineStr">
        <is>
          <t>LUDVIKA</t>
        </is>
      </c>
      <c r="F443" t="inlineStr">
        <is>
          <t>Naturvårdsverket</t>
        </is>
      </c>
      <c r="G443" t="n">
        <v>5.1</v>
      </c>
      <c r="H443" t="n">
        <v>0</v>
      </c>
      <c r="I443" t="n">
        <v>0</v>
      </c>
      <c r="J443" t="n">
        <v>0</v>
      </c>
      <c r="K443" t="n">
        <v>0</v>
      </c>
      <c r="L443" t="n">
        <v>0</v>
      </c>
      <c r="M443" t="n">
        <v>0</v>
      </c>
      <c r="N443" t="n">
        <v>0</v>
      </c>
      <c r="O443" t="n">
        <v>0</v>
      </c>
      <c r="P443" t="n">
        <v>0</v>
      </c>
      <c r="Q443" t="n">
        <v>0</v>
      </c>
      <c r="R443" s="2" t="inlineStr"/>
    </row>
    <row r="444" ht="15" customHeight="1">
      <c r="A444" t="inlineStr">
        <is>
          <t>A 48642-2022</t>
        </is>
      </c>
      <c r="B444" s="1" t="n">
        <v>44859</v>
      </c>
      <c r="C444" s="1" t="n">
        <v>45362</v>
      </c>
      <c r="D444" t="inlineStr">
        <is>
          <t>DALARNAS LÄN</t>
        </is>
      </c>
      <c r="E444" t="inlineStr">
        <is>
          <t>LUDVIKA</t>
        </is>
      </c>
      <c r="F444" t="inlineStr">
        <is>
          <t>Naturvårdsverket</t>
        </is>
      </c>
      <c r="G444" t="n">
        <v>1.5</v>
      </c>
      <c r="H444" t="n">
        <v>0</v>
      </c>
      <c r="I444" t="n">
        <v>0</v>
      </c>
      <c r="J444" t="n">
        <v>0</v>
      </c>
      <c r="K444" t="n">
        <v>0</v>
      </c>
      <c r="L444" t="n">
        <v>0</v>
      </c>
      <c r="M444" t="n">
        <v>0</v>
      </c>
      <c r="N444" t="n">
        <v>0</v>
      </c>
      <c r="O444" t="n">
        <v>0</v>
      </c>
      <c r="P444" t="n">
        <v>0</v>
      </c>
      <c r="Q444" t="n">
        <v>0</v>
      </c>
      <c r="R444" s="2" t="inlineStr"/>
    </row>
    <row r="445" ht="15" customHeight="1">
      <c r="A445" t="inlineStr">
        <is>
          <t>A 48715-2022</t>
        </is>
      </c>
      <c r="B445" s="1" t="n">
        <v>44859</v>
      </c>
      <c r="C445" s="1" t="n">
        <v>45362</v>
      </c>
      <c r="D445" t="inlineStr">
        <is>
          <t>DALARNAS LÄN</t>
        </is>
      </c>
      <c r="E445" t="inlineStr">
        <is>
          <t>LUDVIKA</t>
        </is>
      </c>
      <c r="F445" t="inlineStr">
        <is>
          <t>Naturvårdsverket</t>
        </is>
      </c>
      <c r="G445" t="n">
        <v>1.2</v>
      </c>
      <c r="H445" t="n">
        <v>0</v>
      </c>
      <c r="I445" t="n">
        <v>0</v>
      </c>
      <c r="J445" t="n">
        <v>0</v>
      </c>
      <c r="K445" t="n">
        <v>0</v>
      </c>
      <c r="L445" t="n">
        <v>0</v>
      </c>
      <c r="M445" t="n">
        <v>0</v>
      </c>
      <c r="N445" t="n">
        <v>0</v>
      </c>
      <c r="O445" t="n">
        <v>0</v>
      </c>
      <c r="P445" t="n">
        <v>0</v>
      </c>
      <c r="Q445" t="n">
        <v>0</v>
      </c>
      <c r="R445" s="2" t="inlineStr"/>
    </row>
    <row r="446" ht="15" customHeight="1">
      <c r="A446" t="inlineStr">
        <is>
          <t>A 48748-2022</t>
        </is>
      </c>
      <c r="B446" s="1" t="n">
        <v>44859</v>
      </c>
      <c r="C446" s="1" t="n">
        <v>45362</v>
      </c>
      <c r="D446" t="inlineStr">
        <is>
          <t>DALARNAS LÄN</t>
        </is>
      </c>
      <c r="E446" t="inlineStr">
        <is>
          <t>LUDVIKA</t>
        </is>
      </c>
      <c r="F446" t="inlineStr">
        <is>
          <t>Naturvårdsverket</t>
        </is>
      </c>
      <c r="G446" t="n">
        <v>1.2</v>
      </c>
      <c r="H446" t="n">
        <v>0</v>
      </c>
      <c r="I446" t="n">
        <v>0</v>
      </c>
      <c r="J446" t="n">
        <v>0</v>
      </c>
      <c r="K446" t="n">
        <v>0</v>
      </c>
      <c r="L446" t="n">
        <v>0</v>
      </c>
      <c r="M446" t="n">
        <v>0</v>
      </c>
      <c r="N446" t="n">
        <v>0</v>
      </c>
      <c r="O446" t="n">
        <v>0</v>
      </c>
      <c r="P446" t="n">
        <v>0</v>
      </c>
      <c r="Q446" t="n">
        <v>0</v>
      </c>
      <c r="R446" s="2" t="inlineStr"/>
    </row>
    <row r="447" ht="15" customHeight="1">
      <c r="A447" t="inlineStr">
        <is>
          <t>A 48857-2022</t>
        </is>
      </c>
      <c r="B447" s="1" t="n">
        <v>44859</v>
      </c>
      <c r="C447" s="1" t="n">
        <v>45362</v>
      </c>
      <c r="D447" t="inlineStr">
        <is>
          <t>DALARNAS LÄN</t>
        </is>
      </c>
      <c r="E447" t="inlineStr">
        <is>
          <t>LUDVIKA</t>
        </is>
      </c>
      <c r="G447" t="n">
        <v>1.8</v>
      </c>
      <c r="H447" t="n">
        <v>0</v>
      </c>
      <c r="I447" t="n">
        <v>0</v>
      </c>
      <c r="J447" t="n">
        <v>0</v>
      </c>
      <c r="K447" t="n">
        <v>0</v>
      </c>
      <c r="L447" t="n">
        <v>0</v>
      </c>
      <c r="M447" t="n">
        <v>0</v>
      </c>
      <c r="N447" t="n">
        <v>0</v>
      </c>
      <c r="O447" t="n">
        <v>0</v>
      </c>
      <c r="P447" t="n">
        <v>0</v>
      </c>
      <c r="Q447" t="n">
        <v>0</v>
      </c>
      <c r="R447" s="2" t="inlineStr"/>
    </row>
    <row r="448" ht="15" customHeight="1">
      <c r="A448" t="inlineStr">
        <is>
          <t>A 48673-2022</t>
        </is>
      </c>
      <c r="B448" s="1" t="n">
        <v>44859</v>
      </c>
      <c r="C448" s="1" t="n">
        <v>45362</v>
      </c>
      <c r="D448" t="inlineStr">
        <is>
          <t>DALARNAS LÄN</t>
        </is>
      </c>
      <c r="E448" t="inlineStr">
        <is>
          <t>LUDVIKA</t>
        </is>
      </c>
      <c r="F448" t="inlineStr">
        <is>
          <t>Naturvårdsverket</t>
        </is>
      </c>
      <c r="G448" t="n">
        <v>1.4</v>
      </c>
      <c r="H448" t="n">
        <v>0</v>
      </c>
      <c r="I448" t="n">
        <v>0</v>
      </c>
      <c r="J448" t="n">
        <v>0</v>
      </c>
      <c r="K448" t="n">
        <v>0</v>
      </c>
      <c r="L448" t="n">
        <v>0</v>
      </c>
      <c r="M448" t="n">
        <v>0</v>
      </c>
      <c r="N448" t="n">
        <v>0</v>
      </c>
      <c r="O448" t="n">
        <v>0</v>
      </c>
      <c r="P448" t="n">
        <v>0</v>
      </c>
      <c r="Q448" t="n">
        <v>0</v>
      </c>
      <c r="R448" s="2" t="inlineStr"/>
    </row>
    <row r="449" ht="15" customHeight="1">
      <c r="A449" t="inlineStr">
        <is>
          <t>A 48759-2022</t>
        </is>
      </c>
      <c r="B449" s="1" t="n">
        <v>44859</v>
      </c>
      <c r="C449" s="1" t="n">
        <v>45362</v>
      </c>
      <c r="D449" t="inlineStr">
        <is>
          <t>DALARNAS LÄN</t>
        </is>
      </c>
      <c r="E449" t="inlineStr">
        <is>
          <t>LUDVIKA</t>
        </is>
      </c>
      <c r="F449" t="inlineStr">
        <is>
          <t>Naturvårdsverket</t>
        </is>
      </c>
      <c r="G449" t="n">
        <v>4.2</v>
      </c>
      <c r="H449" t="n">
        <v>0</v>
      </c>
      <c r="I449" t="n">
        <v>0</v>
      </c>
      <c r="J449" t="n">
        <v>0</v>
      </c>
      <c r="K449" t="n">
        <v>0</v>
      </c>
      <c r="L449" t="n">
        <v>0</v>
      </c>
      <c r="M449" t="n">
        <v>0</v>
      </c>
      <c r="N449" t="n">
        <v>0</v>
      </c>
      <c r="O449" t="n">
        <v>0</v>
      </c>
      <c r="P449" t="n">
        <v>0</v>
      </c>
      <c r="Q449" t="n">
        <v>0</v>
      </c>
      <c r="R449" s="2" t="inlineStr"/>
    </row>
    <row r="450" ht="15" customHeight="1">
      <c r="A450" t="inlineStr">
        <is>
          <t>A 49371-2022</t>
        </is>
      </c>
      <c r="B450" s="1" t="n">
        <v>44861</v>
      </c>
      <c r="C450" s="1" t="n">
        <v>45362</v>
      </c>
      <c r="D450" t="inlineStr">
        <is>
          <t>DALARNAS LÄN</t>
        </is>
      </c>
      <c r="E450" t="inlineStr">
        <is>
          <t>LUDVIKA</t>
        </is>
      </c>
      <c r="F450" t="inlineStr">
        <is>
          <t>Bergvik skog väst AB</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49564-2022</t>
        </is>
      </c>
      <c r="B451" s="1" t="n">
        <v>44862</v>
      </c>
      <c r="C451" s="1" t="n">
        <v>45362</v>
      </c>
      <c r="D451" t="inlineStr">
        <is>
          <t>DALARNAS LÄN</t>
        </is>
      </c>
      <c r="E451" t="inlineStr">
        <is>
          <t>LUDVIKA</t>
        </is>
      </c>
      <c r="F451" t="inlineStr">
        <is>
          <t>Bergvik skog väst AB</t>
        </is>
      </c>
      <c r="G451" t="n">
        <v>5.1</v>
      </c>
      <c r="H451" t="n">
        <v>0</v>
      </c>
      <c r="I451" t="n">
        <v>0</v>
      </c>
      <c r="J451" t="n">
        <v>0</v>
      </c>
      <c r="K451" t="n">
        <v>0</v>
      </c>
      <c r="L451" t="n">
        <v>0</v>
      </c>
      <c r="M451" t="n">
        <v>0</v>
      </c>
      <c r="N451" t="n">
        <v>0</v>
      </c>
      <c r="O451" t="n">
        <v>0</v>
      </c>
      <c r="P451" t="n">
        <v>0</v>
      </c>
      <c r="Q451" t="n">
        <v>0</v>
      </c>
      <c r="R451" s="2" t="inlineStr"/>
    </row>
    <row r="452" ht="15" customHeight="1">
      <c r="A452" t="inlineStr">
        <is>
          <t>A 50078-2022</t>
        </is>
      </c>
      <c r="B452" s="1" t="n">
        <v>44865</v>
      </c>
      <c r="C452" s="1" t="n">
        <v>45362</v>
      </c>
      <c r="D452" t="inlineStr">
        <is>
          <t>DALARNAS LÄN</t>
        </is>
      </c>
      <c r="E452" t="inlineStr">
        <is>
          <t>LUDVIKA</t>
        </is>
      </c>
      <c r="F452" t="inlineStr">
        <is>
          <t>Naturvårdsverket</t>
        </is>
      </c>
      <c r="G452" t="n">
        <v>0.7</v>
      </c>
      <c r="H452" t="n">
        <v>0</v>
      </c>
      <c r="I452" t="n">
        <v>0</v>
      </c>
      <c r="J452" t="n">
        <v>0</v>
      </c>
      <c r="K452" t="n">
        <v>0</v>
      </c>
      <c r="L452" t="n">
        <v>0</v>
      </c>
      <c r="M452" t="n">
        <v>0</v>
      </c>
      <c r="N452" t="n">
        <v>0</v>
      </c>
      <c r="O452" t="n">
        <v>0</v>
      </c>
      <c r="P452" t="n">
        <v>0</v>
      </c>
      <c r="Q452" t="n">
        <v>0</v>
      </c>
      <c r="R452" s="2" t="inlineStr"/>
    </row>
    <row r="453" ht="15" customHeight="1">
      <c r="A453" t="inlineStr">
        <is>
          <t>A 49951-2022</t>
        </is>
      </c>
      <c r="B453" s="1" t="n">
        <v>44865</v>
      </c>
      <c r="C453" s="1" t="n">
        <v>45362</v>
      </c>
      <c r="D453" t="inlineStr">
        <is>
          <t>DALARNAS LÄN</t>
        </is>
      </c>
      <c r="E453" t="inlineStr">
        <is>
          <t>LUDVIKA</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50057-2022</t>
        </is>
      </c>
      <c r="B454" s="1" t="n">
        <v>44865</v>
      </c>
      <c r="C454" s="1" t="n">
        <v>45362</v>
      </c>
      <c r="D454" t="inlineStr">
        <is>
          <t>DALARNAS LÄN</t>
        </is>
      </c>
      <c r="E454" t="inlineStr">
        <is>
          <t>LUDVIKA</t>
        </is>
      </c>
      <c r="F454" t="inlineStr">
        <is>
          <t>Naturvårdsverket</t>
        </is>
      </c>
      <c r="G454" t="n">
        <v>2.3</v>
      </c>
      <c r="H454" t="n">
        <v>0</v>
      </c>
      <c r="I454" t="n">
        <v>0</v>
      </c>
      <c r="J454" t="n">
        <v>0</v>
      </c>
      <c r="K454" t="n">
        <v>0</v>
      </c>
      <c r="L454" t="n">
        <v>0</v>
      </c>
      <c r="M454" t="n">
        <v>0</v>
      </c>
      <c r="N454" t="n">
        <v>0</v>
      </c>
      <c r="O454" t="n">
        <v>0</v>
      </c>
      <c r="P454" t="n">
        <v>0</v>
      </c>
      <c r="Q454" t="n">
        <v>0</v>
      </c>
      <c r="R454" s="2" t="inlineStr"/>
    </row>
    <row r="455" ht="15" customHeight="1">
      <c r="A455" t="inlineStr">
        <is>
          <t>A 50814-2022</t>
        </is>
      </c>
      <c r="B455" s="1" t="n">
        <v>44867</v>
      </c>
      <c r="C455" s="1" t="n">
        <v>45362</v>
      </c>
      <c r="D455" t="inlineStr">
        <is>
          <t>DALARNAS LÄN</t>
        </is>
      </c>
      <c r="E455" t="inlineStr">
        <is>
          <t>LUDVIKA</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50862-2022</t>
        </is>
      </c>
      <c r="B456" s="1" t="n">
        <v>44867</v>
      </c>
      <c r="C456" s="1" t="n">
        <v>45362</v>
      </c>
      <c r="D456" t="inlineStr">
        <is>
          <t>DALARNAS LÄN</t>
        </is>
      </c>
      <c r="E456" t="inlineStr">
        <is>
          <t>LUDVIKA</t>
        </is>
      </c>
      <c r="F456" t="inlineStr">
        <is>
          <t>Naturvårdsverket</t>
        </is>
      </c>
      <c r="G456" t="n">
        <v>14</v>
      </c>
      <c r="H456" t="n">
        <v>0</v>
      </c>
      <c r="I456" t="n">
        <v>0</v>
      </c>
      <c r="J456" t="n">
        <v>0</v>
      </c>
      <c r="K456" t="n">
        <v>0</v>
      </c>
      <c r="L456" t="n">
        <v>0</v>
      </c>
      <c r="M456" t="n">
        <v>0</v>
      </c>
      <c r="N456" t="n">
        <v>0</v>
      </c>
      <c r="O456" t="n">
        <v>0</v>
      </c>
      <c r="P456" t="n">
        <v>0</v>
      </c>
      <c r="Q456" t="n">
        <v>0</v>
      </c>
      <c r="R456" s="2" t="inlineStr"/>
    </row>
    <row r="457" ht="15" customHeight="1">
      <c r="A457" t="inlineStr">
        <is>
          <t>A 51386-2022</t>
        </is>
      </c>
      <c r="B457" s="1" t="n">
        <v>44869</v>
      </c>
      <c r="C457" s="1" t="n">
        <v>45362</v>
      </c>
      <c r="D457" t="inlineStr">
        <is>
          <t>DALARNAS LÄN</t>
        </is>
      </c>
      <c r="E457" t="inlineStr">
        <is>
          <t>LUDVIKA</t>
        </is>
      </c>
      <c r="F457" t="inlineStr">
        <is>
          <t>Bergvik skog väst AB</t>
        </is>
      </c>
      <c r="G457" t="n">
        <v>5.2</v>
      </c>
      <c r="H457" t="n">
        <v>0</v>
      </c>
      <c r="I457" t="n">
        <v>0</v>
      </c>
      <c r="J457" t="n">
        <v>0</v>
      </c>
      <c r="K457" t="n">
        <v>0</v>
      </c>
      <c r="L457" t="n">
        <v>0</v>
      </c>
      <c r="M457" t="n">
        <v>0</v>
      </c>
      <c r="N457" t="n">
        <v>0</v>
      </c>
      <c r="O457" t="n">
        <v>0</v>
      </c>
      <c r="P457" t="n">
        <v>0</v>
      </c>
      <c r="Q457" t="n">
        <v>0</v>
      </c>
      <c r="R457" s="2" t="inlineStr"/>
    </row>
    <row r="458" ht="15" customHeight="1">
      <c r="A458" t="inlineStr">
        <is>
          <t>A 51453-2022</t>
        </is>
      </c>
      <c r="B458" s="1" t="n">
        <v>44869</v>
      </c>
      <c r="C458" s="1" t="n">
        <v>45362</v>
      </c>
      <c r="D458" t="inlineStr">
        <is>
          <t>DALARNAS LÄN</t>
        </is>
      </c>
      <c r="E458" t="inlineStr">
        <is>
          <t>LUDVIKA</t>
        </is>
      </c>
      <c r="F458" t="inlineStr">
        <is>
          <t>Bergvik skog väst AB</t>
        </is>
      </c>
      <c r="G458" t="n">
        <v>8</v>
      </c>
      <c r="H458" t="n">
        <v>0</v>
      </c>
      <c r="I458" t="n">
        <v>0</v>
      </c>
      <c r="J458" t="n">
        <v>0</v>
      </c>
      <c r="K458" t="n">
        <v>0</v>
      </c>
      <c r="L458" t="n">
        <v>0</v>
      </c>
      <c r="M458" t="n">
        <v>0</v>
      </c>
      <c r="N458" t="n">
        <v>0</v>
      </c>
      <c r="O458" t="n">
        <v>0</v>
      </c>
      <c r="P458" t="n">
        <v>0</v>
      </c>
      <c r="Q458" t="n">
        <v>0</v>
      </c>
      <c r="R458" s="2" t="inlineStr"/>
    </row>
    <row r="459" ht="15" customHeight="1">
      <c r="A459" t="inlineStr">
        <is>
          <t>A 52303-2022</t>
        </is>
      </c>
      <c r="B459" s="1" t="n">
        <v>44869</v>
      </c>
      <c r="C459" s="1" t="n">
        <v>45362</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51713-2022</t>
        </is>
      </c>
      <c r="B460" s="1" t="n">
        <v>44872</v>
      </c>
      <c r="C460" s="1" t="n">
        <v>45362</v>
      </c>
      <c r="D460" t="inlineStr">
        <is>
          <t>DALARNAS LÄN</t>
        </is>
      </c>
      <c r="E460" t="inlineStr">
        <is>
          <t>LUDVIKA</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51659-2022</t>
        </is>
      </c>
      <c r="B461" s="1" t="n">
        <v>44872</v>
      </c>
      <c r="C461" s="1" t="n">
        <v>45362</v>
      </c>
      <c r="D461" t="inlineStr">
        <is>
          <t>DALARNAS LÄN</t>
        </is>
      </c>
      <c r="E461" t="inlineStr">
        <is>
          <t>LUDVIKA</t>
        </is>
      </c>
      <c r="G461" t="n">
        <v>0.7</v>
      </c>
      <c r="H461" t="n">
        <v>0</v>
      </c>
      <c r="I461" t="n">
        <v>0</v>
      </c>
      <c r="J461" t="n">
        <v>0</v>
      </c>
      <c r="K461" t="n">
        <v>0</v>
      </c>
      <c r="L461" t="n">
        <v>0</v>
      </c>
      <c r="M461" t="n">
        <v>0</v>
      </c>
      <c r="N461" t="n">
        <v>0</v>
      </c>
      <c r="O461" t="n">
        <v>0</v>
      </c>
      <c r="P461" t="n">
        <v>0</v>
      </c>
      <c r="Q461" t="n">
        <v>0</v>
      </c>
      <c r="R461" s="2" t="inlineStr"/>
    </row>
    <row r="462" ht="15" customHeight="1">
      <c r="A462" t="inlineStr">
        <is>
          <t>A 51709-2022</t>
        </is>
      </c>
      <c r="B462" s="1" t="n">
        <v>44872</v>
      </c>
      <c r="C462" s="1" t="n">
        <v>45362</v>
      </c>
      <c r="D462" t="inlineStr">
        <is>
          <t>DALARNAS LÄN</t>
        </is>
      </c>
      <c r="E462" t="inlineStr">
        <is>
          <t>LUDVIKA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51886-2022</t>
        </is>
      </c>
      <c r="B463" s="1" t="n">
        <v>44872</v>
      </c>
      <c r="C463" s="1" t="n">
        <v>45362</v>
      </c>
      <c r="D463" t="inlineStr">
        <is>
          <t>DALARNAS LÄN</t>
        </is>
      </c>
      <c r="E463" t="inlineStr">
        <is>
          <t>LUDVIKA</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52432-2022</t>
        </is>
      </c>
      <c r="B464" s="1" t="n">
        <v>44874</v>
      </c>
      <c r="C464" s="1" t="n">
        <v>45362</v>
      </c>
      <c r="D464" t="inlineStr">
        <is>
          <t>DALARNAS LÄN</t>
        </is>
      </c>
      <c r="E464" t="inlineStr">
        <is>
          <t>LUDVIKA</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53509-2022</t>
        </is>
      </c>
      <c r="B465" s="1" t="n">
        <v>44879</v>
      </c>
      <c r="C465" s="1" t="n">
        <v>45362</v>
      </c>
      <c r="D465" t="inlineStr">
        <is>
          <t>DALARNAS LÄN</t>
        </is>
      </c>
      <c r="E465" t="inlineStr">
        <is>
          <t>LUDVIKA</t>
        </is>
      </c>
      <c r="F465" t="inlineStr">
        <is>
          <t>Naturvårdsverket</t>
        </is>
      </c>
      <c r="G465" t="n">
        <v>4.9</v>
      </c>
      <c r="H465" t="n">
        <v>0</v>
      </c>
      <c r="I465" t="n">
        <v>0</v>
      </c>
      <c r="J465" t="n">
        <v>0</v>
      </c>
      <c r="K465" t="n">
        <v>0</v>
      </c>
      <c r="L465" t="n">
        <v>0</v>
      </c>
      <c r="M465" t="n">
        <v>0</v>
      </c>
      <c r="N465" t="n">
        <v>0</v>
      </c>
      <c r="O465" t="n">
        <v>0</v>
      </c>
      <c r="P465" t="n">
        <v>0</v>
      </c>
      <c r="Q465" t="n">
        <v>0</v>
      </c>
      <c r="R465" s="2" t="inlineStr"/>
    </row>
    <row r="466" ht="15" customHeight="1">
      <c r="A466" t="inlineStr">
        <is>
          <t>A 53619-2022</t>
        </is>
      </c>
      <c r="B466" s="1" t="n">
        <v>44879</v>
      </c>
      <c r="C466" s="1" t="n">
        <v>45362</v>
      </c>
      <c r="D466" t="inlineStr">
        <is>
          <t>DALARNAS LÄN</t>
        </is>
      </c>
      <c r="E466" t="inlineStr">
        <is>
          <t>LUDVIKA</t>
        </is>
      </c>
      <c r="G466" t="n">
        <v>1</v>
      </c>
      <c r="H466" t="n">
        <v>0</v>
      </c>
      <c r="I466" t="n">
        <v>0</v>
      </c>
      <c r="J466" t="n">
        <v>0</v>
      </c>
      <c r="K466" t="n">
        <v>0</v>
      </c>
      <c r="L466" t="n">
        <v>0</v>
      </c>
      <c r="M466" t="n">
        <v>0</v>
      </c>
      <c r="N466" t="n">
        <v>0</v>
      </c>
      <c r="O466" t="n">
        <v>0</v>
      </c>
      <c r="P466" t="n">
        <v>0</v>
      </c>
      <c r="Q466" t="n">
        <v>0</v>
      </c>
      <c r="R466" s="2" t="inlineStr"/>
    </row>
    <row r="467" ht="15" customHeight="1">
      <c r="A467" t="inlineStr">
        <is>
          <t>A 53620-2022</t>
        </is>
      </c>
      <c r="B467" s="1" t="n">
        <v>44879</v>
      </c>
      <c r="C467" s="1" t="n">
        <v>45362</v>
      </c>
      <c r="D467" t="inlineStr">
        <is>
          <t>DALARNAS LÄN</t>
        </is>
      </c>
      <c r="E467" t="inlineStr">
        <is>
          <t>LUDVIKA</t>
        </is>
      </c>
      <c r="G467" t="n">
        <v>3.7</v>
      </c>
      <c r="H467" t="n">
        <v>0</v>
      </c>
      <c r="I467" t="n">
        <v>0</v>
      </c>
      <c r="J467" t="n">
        <v>0</v>
      </c>
      <c r="K467" t="n">
        <v>0</v>
      </c>
      <c r="L467" t="n">
        <v>0</v>
      </c>
      <c r="M467" t="n">
        <v>0</v>
      </c>
      <c r="N467" t="n">
        <v>0</v>
      </c>
      <c r="O467" t="n">
        <v>0</v>
      </c>
      <c r="P467" t="n">
        <v>0</v>
      </c>
      <c r="Q467" t="n">
        <v>0</v>
      </c>
      <c r="R467" s="2" t="inlineStr"/>
    </row>
    <row r="468" ht="15" customHeight="1">
      <c r="A468" t="inlineStr">
        <is>
          <t>A 53705-2022</t>
        </is>
      </c>
      <c r="B468" s="1" t="n">
        <v>44880</v>
      </c>
      <c r="C468" s="1" t="n">
        <v>45362</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54730-2022</t>
        </is>
      </c>
      <c r="B469" s="1" t="n">
        <v>44883</v>
      </c>
      <c r="C469" s="1" t="n">
        <v>45362</v>
      </c>
      <c r="D469" t="inlineStr">
        <is>
          <t>DALARNAS LÄN</t>
        </is>
      </c>
      <c r="E469" t="inlineStr">
        <is>
          <t>LUDVIKA</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54767-2022</t>
        </is>
      </c>
      <c r="B470" s="1" t="n">
        <v>44883</v>
      </c>
      <c r="C470" s="1" t="n">
        <v>45362</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54914-2022</t>
        </is>
      </c>
      <c r="B471" s="1" t="n">
        <v>44886</v>
      </c>
      <c r="C471" s="1" t="n">
        <v>45362</v>
      </c>
      <c r="D471" t="inlineStr">
        <is>
          <t>DALARNAS LÄN</t>
        </is>
      </c>
      <c r="E471" t="inlineStr">
        <is>
          <t>LUDVIKA</t>
        </is>
      </c>
      <c r="F471" t="inlineStr">
        <is>
          <t>Naturvårdsverket</t>
        </is>
      </c>
      <c r="G471" t="n">
        <v>0.6</v>
      </c>
      <c r="H471" t="n">
        <v>0</v>
      </c>
      <c r="I471" t="n">
        <v>0</v>
      </c>
      <c r="J471" t="n">
        <v>0</v>
      </c>
      <c r="K471" t="n">
        <v>0</v>
      </c>
      <c r="L471" t="n">
        <v>0</v>
      </c>
      <c r="M471" t="n">
        <v>0</v>
      </c>
      <c r="N471" t="n">
        <v>0</v>
      </c>
      <c r="O471" t="n">
        <v>0</v>
      </c>
      <c r="P471" t="n">
        <v>0</v>
      </c>
      <c r="Q471" t="n">
        <v>0</v>
      </c>
      <c r="R471" s="2" t="inlineStr"/>
    </row>
    <row r="472" ht="15" customHeight="1">
      <c r="A472" t="inlineStr">
        <is>
          <t>A 55262-2022</t>
        </is>
      </c>
      <c r="B472" s="1" t="n">
        <v>44887</v>
      </c>
      <c r="C472" s="1" t="n">
        <v>45362</v>
      </c>
      <c r="D472" t="inlineStr">
        <is>
          <t>DALARNAS LÄN</t>
        </is>
      </c>
      <c r="E472" t="inlineStr">
        <is>
          <t>LUDVIKA</t>
        </is>
      </c>
      <c r="F472" t="inlineStr">
        <is>
          <t>Bergvik skog väst AB</t>
        </is>
      </c>
      <c r="G472" t="n">
        <v>4.4</v>
      </c>
      <c r="H472" t="n">
        <v>0</v>
      </c>
      <c r="I472" t="n">
        <v>0</v>
      </c>
      <c r="J472" t="n">
        <v>0</v>
      </c>
      <c r="K472" t="n">
        <v>0</v>
      </c>
      <c r="L472" t="n">
        <v>0</v>
      </c>
      <c r="M472" t="n">
        <v>0</v>
      </c>
      <c r="N472" t="n">
        <v>0</v>
      </c>
      <c r="O472" t="n">
        <v>0</v>
      </c>
      <c r="P472" t="n">
        <v>0</v>
      </c>
      <c r="Q472" t="n">
        <v>0</v>
      </c>
      <c r="R472" s="2" t="inlineStr"/>
    </row>
    <row r="473" ht="15" customHeight="1">
      <c r="A473" t="inlineStr">
        <is>
          <t>A 56346-2022</t>
        </is>
      </c>
      <c r="B473" s="1" t="n">
        <v>44890</v>
      </c>
      <c r="C473" s="1" t="n">
        <v>45362</v>
      </c>
      <c r="D473" t="inlineStr">
        <is>
          <t>DALARNAS LÄN</t>
        </is>
      </c>
      <c r="E473" t="inlineStr">
        <is>
          <t>LUDVIKA</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56347-2022</t>
        </is>
      </c>
      <c r="B474" s="1" t="n">
        <v>44890</v>
      </c>
      <c r="C474" s="1" t="n">
        <v>45362</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56680-2022</t>
        </is>
      </c>
      <c r="B475" s="1" t="n">
        <v>44893</v>
      </c>
      <c r="C475" s="1" t="n">
        <v>45362</v>
      </c>
      <c r="D475" t="inlineStr">
        <is>
          <t>DALARNAS LÄN</t>
        </is>
      </c>
      <c r="E475" t="inlineStr">
        <is>
          <t>LUDVIKA</t>
        </is>
      </c>
      <c r="G475" t="n">
        <v>0.4</v>
      </c>
      <c r="H475" t="n">
        <v>0</v>
      </c>
      <c r="I475" t="n">
        <v>0</v>
      </c>
      <c r="J475" t="n">
        <v>0</v>
      </c>
      <c r="K475" t="n">
        <v>0</v>
      </c>
      <c r="L475" t="n">
        <v>0</v>
      </c>
      <c r="M475" t="n">
        <v>0</v>
      </c>
      <c r="N475" t="n">
        <v>0</v>
      </c>
      <c r="O475" t="n">
        <v>0</v>
      </c>
      <c r="P475" t="n">
        <v>0</v>
      </c>
      <c r="Q475" t="n">
        <v>0</v>
      </c>
      <c r="R475" s="2" t="inlineStr"/>
    </row>
    <row r="476" ht="15" customHeight="1">
      <c r="A476" t="inlineStr">
        <is>
          <t>A 56686-2022</t>
        </is>
      </c>
      <c r="B476" s="1" t="n">
        <v>44893</v>
      </c>
      <c r="C476" s="1" t="n">
        <v>45362</v>
      </c>
      <c r="D476" t="inlineStr">
        <is>
          <t>DALARNAS LÄN</t>
        </is>
      </c>
      <c r="E476" t="inlineStr">
        <is>
          <t>LUDVIKA</t>
        </is>
      </c>
      <c r="G476" t="n">
        <v>0.7</v>
      </c>
      <c r="H476" t="n">
        <v>0</v>
      </c>
      <c r="I476" t="n">
        <v>0</v>
      </c>
      <c r="J476" t="n">
        <v>0</v>
      </c>
      <c r="K476" t="n">
        <v>0</v>
      </c>
      <c r="L476" t="n">
        <v>0</v>
      </c>
      <c r="M476" t="n">
        <v>0</v>
      </c>
      <c r="N476" t="n">
        <v>0</v>
      </c>
      <c r="O476" t="n">
        <v>0</v>
      </c>
      <c r="P476" t="n">
        <v>0</v>
      </c>
      <c r="Q476" t="n">
        <v>0</v>
      </c>
      <c r="R476" s="2" t="inlineStr"/>
    </row>
    <row r="477" ht="15" customHeight="1">
      <c r="A477" t="inlineStr">
        <is>
          <t>A 56685-2022</t>
        </is>
      </c>
      <c r="B477" s="1" t="n">
        <v>44893</v>
      </c>
      <c r="C477" s="1" t="n">
        <v>45362</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57193-2022</t>
        </is>
      </c>
      <c r="B478" s="1" t="n">
        <v>44895</v>
      </c>
      <c r="C478" s="1" t="n">
        <v>45362</v>
      </c>
      <c r="D478" t="inlineStr">
        <is>
          <t>DALARNAS LÄN</t>
        </is>
      </c>
      <c r="E478" t="inlineStr">
        <is>
          <t>LUDVIKA</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58021-2022</t>
        </is>
      </c>
      <c r="B479" s="1" t="n">
        <v>44900</v>
      </c>
      <c r="C479" s="1" t="n">
        <v>45362</v>
      </c>
      <c r="D479" t="inlineStr">
        <is>
          <t>DALARNAS LÄN</t>
        </is>
      </c>
      <c r="E479" t="inlineStr">
        <is>
          <t>LUDVIKA</t>
        </is>
      </c>
      <c r="F479" t="inlineStr">
        <is>
          <t>Bergvik skog väst AB</t>
        </is>
      </c>
      <c r="G479" t="n">
        <v>22.3</v>
      </c>
      <c r="H479" t="n">
        <v>0</v>
      </c>
      <c r="I479" t="n">
        <v>0</v>
      </c>
      <c r="J479" t="n">
        <v>0</v>
      </c>
      <c r="K479" t="n">
        <v>0</v>
      </c>
      <c r="L479" t="n">
        <v>0</v>
      </c>
      <c r="M479" t="n">
        <v>0</v>
      </c>
      <c r="N479" t="n">
        <v>0</v>
      </c>
      <c r="O479" t="n">
        <v>0</v>
      </c>
      <c r="P479" t="n">
        <v>0</v>
      </c>
      <c r="Q479" t="n">
        <v>0</v>
      </c>
      <c r="R479" s="2" t="inlineStr"/>
    </row>
    <row r="480" ht="15" customHeight="1">
      <c r="A480" t="inlineStr">
        <is>
          <t>A 59050-2022</t>
        </is>
      </c>
      <c r="B480" s="1" t="n">
        <v>44903</v>
      </c>
      <c r="C480" s="1" t="n">
        <v>45362</v>
      </c>
      <c r="D480" t="inlineStr">
        <is>
          <t>DALARNAS LÄN</t>
        </is>
      </c>
      <c r="E480" t="inlineStr">
        <is>
          <t>LUDVIKA</t>
        </is>
      </c>
      <c r="G480" t="n">
        <v>2.8</v>
      </c>
      <c r="H480" t="n">
        <v>0</v>
      </c>
      <c r="I480" t="n">
        <v>0</v>
      </c>
      <c r="J480" t="n">
        <v>0</v>
      </c>
      <c r="K480" t="n">
        <v>0</v>
      </c>
      <c r="L480" t="n">
        <v>0</v>
      </c>
      <c r="M480" t="n">
        <v>0</v>
      </c>
      <c r="N480" t="n">
        <v>0</v>
      </c>
      <c r="O480" t="n">
        <v>0</v>
      </c>
      <c r="P480" t="n">
        <v>0</v>
      </c>
      <c r="Q480" t="n">
        <v>0</v>
      </c>
      <c r="R480" s="2" t="inlineStr"/>
    </row>
    <row r="481" ht="15" customHeight="1">
      <c r="A481" t="inlineStr">
        <is>
          <t>A 59415-2022</t>
        </is>
      </c>
      <c r="B481" s="1" t="n">
        <v>44907</v>
      </c>
      <c r="C481" s="1" t="n">
        <v>45362</v>
      </c>
      <c r="D481" t="inlineStr">
        <is>
          <t>DALARNAS LÄN</t>
        </is>
      </c>
      <c r="E481" t="inlineStr">
        <is>
          <t>LUDVIKA</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59413-2022</t>
        </is>
      </c>
      <c r="B482" s="1" t="n">
        <v>44907</v>
      </c>
      <c r="C482" s="1" t="n">
        <v>45362</v>
      </c>
      <c r="D482" t="inlineStr">
        <is>
          <t>DALARNAS LÄN</t>
        </is>
      </c>
      <c r="E482" t="inlineStr">
        <is>
          <t>LUDVIKA</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61050-2022</t>
        </is>
      </c>
      <c r="B483" s="1" t="n">
        <v>44915</v>
      </c>
      <c r="C483" s="1" t="n">
        <v>45362</v>
      </c>
      <c r="D483" t="inlineStr">
        <is>
          <t>DALARNAS LÄN</t>
        </is>
      </c>
      <c r="E483" t="inlineStr">
        <is>
          <t>LUDVIKA</t>
        </is>
      </c>
      <c r="G483" t="n">
        <v>2.4</v>
      </c>
      <c r="H483" t="n">
        <v>0</v>
      </c>
      <c r="I483" t="n">
        <v>0</v>
      </c>
      <c r="J483" t="n">
        <v>0</v>
      </c>
      <c r="K483" t="n">
        <v>0</v>
      </c>
      <c r="L483" t="n">
        <v>0</v>
      </c>
      <c r="M483" t="n">
        <v>0</v>
      </c>
      <c r="N483" t="n">
        <v>0</v>
      </c>
      <c r="O483" t="n">
        <v>0</v>
      </c>
      <c r="P483" t="n">
        <v>0</v>
      </c>
      <c r="Q483" t="n">
        <v>0</v>
      </c>
      <c r="R483" s="2" t="inlineStr"/>
    </row>
    <row r="484" ht="15" customHeight="1">
      <c r="A484" t="inlineStr">
        <is>
          <t>A 61309-2022</t>
        </is>
      </c>
      <c r="B484" s="1" t="n">
        <v>44915</v>
      </c>
      <c r="C484" s="1" t="n">
        <v>45362</v>
      </c>
      <c r="D484" t="inlineStr">
        <is>
          <t>DALARNAS LÄN</t>
        </is>
      </c>
      <c r="E484" t="inlineStr">
        <is>
          <t>LUDVIKA</t>
        </is>
      </c>
      <c r="F484" t="inlineStr">
        <is>
          <t>Bergvik skog väst AB</t>
        </is>
      </c>
      <c r="G484" t="n">
        <v>2.3</v>
      </c>
      <c r="H484" t="n">
        <v>0</v>
      </c>
      <c r="I484" t="n">
        <v>0</v>
      </c>
      <c r="J484" t="n">
        <v>0</v>
      </c>
      <c r="K484" t="n">
        <v>0</v>
      </c>
      <c r="L484" t="n">
        <v>0</v>
      </c>
      <c r="M484" t="n">
        <v>0</v>
      </c>
      <c r="N484" t="n">
        <v>0</v>
      </c>
      <c r="O484" t="n">
        <v>0</v>
      </c>
      <c r="P484" t="n">
        <v>0</v>
      </c>
      <c r="Q484" t="n">
        <v>0</v>
      </c>
      <c r="R484" s="2" t="inlineStr"/>
    </row>
    <row r="485" ht="15" customHeight="1">
      <c r="A485" t="inlineStr">
        <is>
          <t>A 61278-2022</t>
        </is>
      </c>
      <c r="B485" s="1" t="n">
        <v>44915</v>
      </c>
      <c r="C485" s="1" t="n">
        <v>45362</v>
      </c>
      <c r="D485" t="inlineStr">
        <is>
          <t>DALARNAS LÄN</t>
        </is>
      </c>
      <c r="E485" t="inlineStr">
        <is>
          <t>LUDVIKA</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61621-2022</t>
        </is>
      </c>
      <c r="B486" s="1" t="n">
        <v>44916</v>
      </c>
      <c r="C486" s="1" t="n">
        <v>45362</v>
      </c>
      <c r="D486" t="inlineStr">
        <is>
          <t>DALARNAS LÄN</t>
        </is>
      </c>
      <c r="E486" t="inlineStr">
        <is>
          <t>LUDVIKA</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62275-2022</t>
        </is>
      </c>
      <c r="B487" s="1" t="n">
        <v>44923</v>
      </c>
      <c r="C487" s="1" t="n">
        <v>45362</v>
      </c>
      <c r="D487" t="inlineStr">
        <is>
          <t>DALARNAS LÄN</t>
        </is>
      </c>
      <c r="E487" t="inlineStr">
        <is>
          <t>LUDVIKA</t>
        </is>
      </c>
      <c r="G487" t="n">
        <v>4.6</v>
      </c>
      <c r="H487" t="n">
        <v>0</v>
      </c>
      <c r="I487" t="n">
        <v>0</v>
      </c>
      <c r="J487" t="n">
        <v>0</v>
      </c>
      <c r="K487" t="n">
        <v>0</v>
      </c>
      <c r="L487" t="n">
        <v>0</v>
      </c>
      <c r="M487" t="n">
        <v>0</v>
      </c>
      <c r="N487" t="n">
        <v>0</v>
      </c>
      <c r="O487" t="n">
        <v>0</v>
      </c>
      <c r="P487" t="n">
        <v>0</v>
      </c>
      <c r="Q487" t="n">
        <v>0</v>
      </c>
      <c r="R487" s="2" t="inlineStr"/>
    </row>
    <row r="488" ht="15" customHeight="1">
      <c r="A488" t="inlineStr">
        <is>
          <t>A 400-2023</t>
        </is>
      </c>
      <c r="B488" s="1" t="n">
        <v>44929</v>
      </c>
      <c r="C488" s="1" t="n">
        <v>45362</v>
      </c>
      <c r="D488" t="inlineStr">
        <is>
          <t>DALARNAS LÄN</t>
        </is>
      </c>
      <c r="E488" t="inlineStr">
        <is>
          <t>LUDVIKA</t>
        </is>
      </c>
      <c r="G488" t="n">
        <v>3.6</v>
      </c>
      <c r="H488" t="n">
        <v>0</v>
      </c>
      <c r="I488" t="n">
        <v>0</v>
      </c>
      <c r="J488" t="n">
        <v>0</v>
      </c>
      <c r="K488" t="n">
        <v>0</v>
      </c>
      <c r="L488" t="n">
        <v>0</v>
      </c>
      <c r="M488" t="n">
        <v>0</v>
      </c>
      <c r="N488" t="n">
        <v>0</v>
      </c>
      <c r="O488" t="n">
        <v>0</v>
      </c>
      <c r="P488" t="n">
        <v>0</v>
      </c>
      <c r="Q488" t="n">
        <v>0</v>
      </c>
      <c r="R488" s="2" t="inlineStr"/>
    </row>
    <row r="489" ht="15" customHeight="1">
      <c r="A489" t="inlineStr">
        <is>
          <t>A 381-2023</t>
        </is>
      </c>
      <c r="B489" s="1" t="n">
        <v>44929</v>
      </c>
      <c r="C489" s="1" t="n">
        <v>45362</v>
      </c>
      <c r="D489" t="inlineStr">
        <is>
          <t>DALARNAS LÄN</t>
        </is>
      </c>
      <c r="E489" t="inlineStr">
        <is>
          <t>LUDVIKA</t>
        </is>
      </c>
      <c r="G489" t="n">
        <v>7.9</v>
      </c>
      <c r="H489" t="n">
        <v>0</v>
      </c>
      <c r="I489" t="n">
        <v>0</v>
      </c>
      <c r="J489" t="n">
        <v>0</v>
      </c>
      <c r="K489" t="n">
        <v>0</v>
      </c>
      <c r="L489" t="n">
        <v>0</v>
      </c>
      <c r="M489" t="n">
        <v>0</v>
      </c>
      <c r="N489" t="n">
        <v>0</v>
      </c>
      <c r="O489" t="n">
        <v>0</v>
      </c>
      <c r="P489" t="n">
        <v>0</v>
      </c>
      <c r="Q489" t="n">
        <v>0</v>
      </c>
      <c r="R489" s="2" t="inlineStr"/>
    </row>
    <row r="490" ht="15" customHeight="1">
      <c r="A490" t="inlineStr">
        <is>
          <t>A 1047-2023</t>
        </is>
      </c>
      <c r="B490" s="1" t="n">
        <v>44929</v>
      </c>
      <c r="C490" s="1" t="n">
        <v>45362</v>
      </c>
      <c r="D490" t="inlineStr">
        <is>
          <t>DALARNAS LÄN</t>
        </is>
      </c>
      <c r="E490" t="inlineStr">
        <is>
          <t>LUDVIKA</t>
        </is>
      </c>
      <c r="F490" t="inlineStr">
        <is>
          <t>Kommuner</t>
        </is>
      </c>
      <c r="G490" t="n">
        <v>3.2</v>
      </c>
      <c r="H490" t="n">
        <v>0</v>
      </c>
      <c r="I490" t="n">
        <v>0</v>
      </c>
      <c r="J490" t="n">
        <v>0</v>
      </c>
      <c r="K490" t="n">
        <v>0</v>
      </c>
      <c r="L490" t="n">
        <v>0</v>
      </c>
      <c r="M490" t="n">
        <v>0</v>
      </c>
      <c r="N490" t="n">
        <v>0</v>
      </c>
      <c r="O490" t="n">
        <v>0</v>
      </c>
      <c r="P490" t="n">
        <v>0</v>
      </c>
      <c r="Q490" t="n">
        <v>0</v>
      </c>
      <c r="R490" s="2" t="inlineStr"/>
    </row>
    <row r="491" ht="15" customHeight="1">
      <c r="A491" t="inlineStr">
        <is>
          <t>A 1647-2023</t>
        </is>
      </c>
      <c r="B491" s="1" t="n">
        <v>44937</v>
      </c>
      <c r="C491" s="1" t="n">
        <v>45362</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1852-2023</t>
        </is>
      </c>
      <c r="B492" s="1" t="n">
        <v>44938</v>
      </c>
      <c r="C492" s="1" t="n">
        <v>45362</v>
      </c>
      <c r="D492" t="inlineStr">
        <is>
          <t>DALARNAS LÄN</t>
        </is>
      </c>
      <c r="E492" t="inlineStr">
        <is>
          <t>LUDVIKA</t>
        </is>
      </c>
      <c r="G492" t="n">
        <v>4</v>
      </c>
      <c r="H492" t="n">
        <v>0</v>
      </c>
      <c r="I492" t="n">
        <v>0</v>
      </c>
      <c r="J492" t="n">
        <v>0</v>
      </c>
      <c r="K492" t="n">
        <v>0</v>
      </c>
      <c r="L492" t="n">
        <v>0</v>
      </c>
      <c r="M492" t="n">
        <v>0</v>
      </c>
      <c r="N492" t="n">
        <v>0</v>
      </c>
      <c r="O492" t="n">
        <v>0</v>
      </c>
      <c r="P492" t="n">
        <v>0</v>
      </c>
      <c r="Q492" t="n">
        <v>0</v>
      </c>
      <c r="R492" s="2" t="inlineStr"/>
    </row>
    <row r="493" ht="15" customHeight="1">
      <c r="A493" t="inlineStr">
        <is>
          <t>A 1878-2023</t>
        </is>
      </c>
      <c r="B493" s="1" t="n">
        <v>44939</v>
      </c>
      <c r="C493" s="1" t="n">
        <v>45362</v>
      </c>
      <c r="D493" t="inlineStr">
        <is>
          <t>DALARNAS LÄN</t>
        </is>
      </c>
      <c r="E493" t="inlineStr">
        <is>
          <t>LUDVIKA</t>
        </is>
      </c>
      <c r="G493" t="n">
        <v>1.5</v>
      </c>
      <c r="H493" t="n">
        <v>0</v>
      </c>
      <c r="I493" t="n">
        <v>0</v>
      </c>
      <c r="J493" t="n">
        <v>0</v>
      </c>
      <c r="K493" t="n">
        <v>0</v>
      </c>
      <c r="L493" t="n">
        <v>0</v>
      </c>
      <c r="M493" t="n">
        <v>0</v>
      </c>
      <c r="N493" t="n">
        <v>0</v>
      </c>
      <c r="O493" t="n">
        <v>0</v>
      </c>
      <c r="P493" t="n">
        <v>0</v>
      </c>
      <c r="Q493" t="n">
        <v>0</v>
      </c>
      <c r="R493" s="2" t="inlineStr"/>
    </row>
    <row r="494" ht="15" customHeight="1">
      <c r="A494" t="inlineStr">
        <is>
          <t>A 2614-2023</t>
        </is>
      </c>
      <c r="B494" s="1" t="n">
        <v>44942</v>
      </c>
      <c r="C494" s="1" t="n">
        <v>45362</v>
      </c>
      <c r="D494" t="inlineStr">
        <is>
          <t>DALARNAS LÄN</t>
        </is>
      </c>
      <c r="E494" t="inlineStr">
        <is>
          <t>LUDVIKA</t>
        </is>
      </c>
      <c r="G494" t="n">
        <v>13.1</v>
      </c>
      <c r="H494" t="n">
        <v>0</v>
      </c>
      <c r="I494" t="n">
        <v>0</v>
      </c>
      <c r="J494" t="n">
        <v>0</v>
      </c>
      <c r="K494" t="n">
        <v>0</v>
      </c>
      <c r="L494" t="n">
        <v>0</v>
      </c>
      <c r="M494" t="n">
        <v>0</v>
      </c>
      <c r="N494" t="n">
        <v>0</v>
      </c>
      <c r="O494" t="n">
        <v>0</v>
      </c>
      <c r="P494" t="n">
        <v>0</v>
      </c>
      <c r="Q494" t="n">
        <v>0</v>
      </c>
      <c r="R494" s="2" t="inlineStr"/>
    </row>
    <row r="495" ht="15" customHeight="1">
      <c r="A495" t="inlineStr">
        <is>
          <t>A 3509-2023</t>
        </is>
      </c>
      <c r="B495" s="1" t="n">
        <v>44950</v>
      </c>
      <c r="C495" s="1" t="n">
        <v>45362</v>
      </c>
      <c r="D495" t="inlineStr">
        <is>
          <t>DALARNAS LÄN</t>
        </is>
      </c>
      <c r="E495" t="inlineStr">
        <is>
          <t>LUDVIKA</t>
        </is>
      </c>
      <c r="F495" t="inlineStr">
        <is>
          <t>Naturvårdsverket</t>
        </is>
      </c>
      <c r="G495" t="n">
        <v>5.1</v>
      </c>
      <c r="H495" t="n">
        <v>0</v>
      </c>
      <c r="I495" t="n">
        <v>0</v>
      </c>
      <c r="J495" t="n">
        <v>0</v>
      </c>
      <c r="K495" t="n">
        <v>0</v>
      </c>
      <c r="L495" t="n">
        <v>0</v>
      </c>
      <c r="M495" t="n">
        <v>0</v>
      </c>
      <c r="N495" t="n">
        <v>0</v>
      </c>
      <c r="O495" t="n">
        <v>0</v>
      </c>
      <c r="P495" t="n">
        <v>0</v>
      </c>
      <c r="Q495" t="n">
        <v>0</v>
      </c>
      <c r="R495" s="2" t="inlineStr"/>
    </row>
    <row r="496" ht="15" customHeight="1">
      <c r="A496" t="inlineStr">
        <is>
          <t>A 4705-2023</t>
        </is>
      </c>
      <c r="B496" s="1" t="n">
        <v>44957</v>
      </c>
      <c r="C496" s="1" t="n">
        <v>45362</v>
      </c>
      <c r="D496" t="inlineStr">
        <is>
          <t>DALARNAS LÄN</t>
        </is>
      </c>
      <c r="E496" t="inlineStr">
        <is>
          <t>LUDVIKA</t>
        </is>
      </c>
      <c r="F496" t="inlineStr">
        <is>
          <t>Bergvik skog väst AB</t>
        </is>
      </c>
      <c r="G496" t="n">
        <v>2.8</v>
      </c>
      <c r="H496" t="n">
        <v>0</v>
      </c>
      <c r="I496" t="n">
        <v>0</v>
      </c>
      <c r="J496" t="n">
        <v>0</v>
      </c>
      <c r="K496" t="n">
        <v>0</v>
      </c>
      <c r="L496" t="n">
        <v>0</v>
      </c>
      <c r="M496" t="n">
        <v>0</v>
      </c>
      <c r="N496" t="n">
        <v>0</v>
      </c>
      <c r="O496" t="n">
        <v>0</v>
      </c>
      <c r="P496" t="n">
        <v>0</v>
      </c>
      <c r="Q496" t="n">
        <v>0</v>
      </c>
      <c r="R496" s="2" t="inlineStr"/>
    </row>
    <row r="497" ht="15" customHeight="1">
      <c r="A497" t="inlineStr">
        <is>
          <t>A 4703-2023</t>
        </is>
      </c>
      <c r="B497" s="1" t="n">
        <v>44957</v>
      </c>
      <c r="C497" s="1" t="n">
        <v>45362</v>
      </c>
      <c r="D497" t="inlineStr">
        <is>
          <t>DALARNAS LÄN</t>
        </is>
      </c>
      <c r="E497" t="inlineStr">
        <is>
          <t>LUDVIKA</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4903-2023</t>
        </is>
      </c>
      <c r="B498" s="1" t="n">
        <v>44958</v>
      </c>
      <c r="C498" s="1" t="n">
        <v>45362</v>
      </c>
      <c r="D498" t="inlineStr">
        <is>
          <t>DALARNAS LÄN</t>
        </is>
      </c>
      <c r="E498" t="inlineStr">
        <is>
          <t>LUDVIKA</t>
        </is>
      </c>
      <c r="F498" t="inlineStr">
        <is>
          <t>Bergvik skog väst AB</t>
        </is>
      </c>
      <c r="G498" t="n">
        <v>2.5</v>
      </c>
      <c r="H498" t="n">
        <v>0</v>
      </c>
      <c r="I498" t="n">
        <v>0</v>
      </c>
      <c r="J498" t="n">
        <v>0</v>
      </c>
      <c r="K498" t="n">
        <v>0</v>
      </c>
      <c r="L498" t="n">
        <v>0</v>
      </c>
      <c r="M498" t="n">
        <v>0</v>
      </c>
      <c r="N498" t="n">
        <v>0</v>
      </c>
      <c r="O498" t="n">
        <v>0</v>
      </c>
      <c r="P498" t="n">
        <v>0</v>
      </c>
      <c r="Q498" t="n">
        <v>0</v>
      </c>
      <c r="R498" s="2" t="inlineStr"/>
    </row>
    <row r="499" ht="15" customHeight="1">
      <c r="A499" t="inlineStr">
        <is>
          <t>A 4890-2023</t>
        </is>
      </c>
      <c r="B499" s="1" t="n">
        <v>44958</v>
      </c>
      <c r="C499" s="1" t="n">
        <v>45362</v>
      </c>
      <c r="D499" t="inlineStr">
        <is>
          <t>DALARNAS LÄN</t>
        </is>
      </c>
      <c r="E499" t="inlineStr">
        <is>
          <t>LUDVIKA</t>
        </is>
      </c>
      <c r="F499" t="inlineStr">
        <is>
          <t>Bergvik skog väst AB</t>
        </is>
      </c>
      <c r="G499" t="n">
        <v>3.9</v>
      </c>
      <c r="H499" t="n">
        <v>0</v>
      </c>
      <c r="I499" t="n">
        <v>0</v>
      </c>
      <c r="J499" t="n">
        <v>0</v>
      </c>
      <c r="K499" t="n">
        <v>0</v>
      </c>
      <c r="L499" t="n">
        <v>0</v>
      </c>
      <c r="M499" t="n">
        <v>0</v>
      </c>
      <c r="N499" t="n">
        <v>0</v>
      </c>
      <c r="O499" t="n">
        <v>0</v>
      </c>
      <c r="P499" t="n">
        <v>0</v>
      </c>
      <c r="Q499" t="n">
        <v>0</v>
      </c>
      <c r="R499" s="2" t="inlineStr"/>
    </row>
    <row r="500" ht="15" customHeight="1">
      <c r="A500" t="inlineStr">
        <is>
          <t>A 5672-2023</t>
        </is>
      </c>
      <c r="B500" s="1" t="n">
        <v>44960</v>
      </c>
      <c r="C500" s="1" t="n">
        <v>45362</v>
      </c>
      <c r="D500" t="inlineStr">
        <is>
          <t>DALARNAS LÄN</t>
        </is>
      </c>
      <c r="E500" t="inlineStr">
        <is>
          <t>LUDVIKA</t>
        </is>
      </c>
      <c r="F500" t="inlineStr">
        <is>
          <t>Naturvårdsverket</t>
        </is>
      </c>
      <c r="G500" t="n">
        <v>2.7</v>
      </c>
      <c r="H500" t="n">
        <v>0</v>
      </c>
      <c r="I500" t="n">
        <v>0</v>
      </c>
      <c r="J500" t="n">
        <v>0</v>
      </c>
      <c r="K500" t="n">
        <v>0</v>
      </c>
      <c r="L500" t="n">
        <v>0</v>
      </c>
      <c r="M500" t="n">
        <v>0</v>
      </c>
      <c r="N500" t="n">
        <v>0</v>
      </c>
      <c r="O500" t="n">
        <v>0</v>
      </c>
      <c r="P500" t="n">
        <v>0</v>
      </c>
      <c r="Q500" t="n">
        <v>0</v>
      </c>
      <c r="R500" s="2" t="inlineStr"/>
    </row>
    <row r="501" ht="15" customHeight="1">
      <c r="A501" t="inlineStr">
        <is>
          <t>A 5673-2023</t>
        </is>
      </c>
      <c r="B501" s="1" t="n">
        <v>44960</v>
      </c>
      <c r="C501" s="1" t="n">
        <v>45362</v>
      </c>
      <c r="D501" t="inlineStr">
        <is>
          <t>DALARNAS LÄN</t>
        </is>
      </c>
      <c r="E501" t="inlineStr">
        <is>
          <t>LUDVIKA</t>
        </is>
      </c>
      <c r="F501" t="inlineStr">
        <is>
          <t>Naturvårdsverket</t>
        </is>
      </c>
      <c r="G501" t="n">
        <v>0.7</v>
      </c>
      <c r="H501" t="n">
        <v>0</v>
      </c>
      <c r="I501" t="n">
        <v>0</v>
      </c>
      <c r="J501" t="n">
        <v>0</v>
      </c>
      <c r="K501" t="n">
        <v>0</v>
      </c>
      <c r="L501" t="n">
        <v>0</v>
      </c>
      <c r="M501" t="n">
        <v>0</v>
      </c>
      <c r="N501" t="n">
        <v>0</v>
      </c>
      <c r="O501" t="n">
        <v>0</v>
      </c>
      <c r="P501" t="n">
        <v>0</v>
      </c>
      <c r="Q501" t="n">
        <v>0</v>
      </c>
      <c r="R501" s="2" t="inlineStr"/>
    </row>
    <row r="502" ht="15" customHeight="1">
      <c r="A502" t="inlineStr">
        <is>
          <t>A 6579-2023</t>
        </is>
      </c>
      <c r="B502" s="1" t="n">
        <v>44960</v>
      </c>
      <c r="C502" s="1" t="n">
        <v>45362</v>
      </c>
      <c r="D502" t="inlineStr">
        <is>
          <t>DALARNAS LÄN</t>
        </is>
      </c>
      <c r="E502" t="inlineStr">
        <is>
          <t>LUDVIKA</t>
        </is>
      </c>
      <c r="G502" t="n">
        <v>3.4</v>
      </c>
      <c r="H502" t="n">
        <v>0</v>
      </c>
      <c r="I502" t="n">
        <v>0</v>
      </c>
      <c r="J502" t="n">
        <v>0</v>
      </c>
      <c r="K502" t="n">
        <v>0</v>
      </c>
      <c r="L502" t="n">
        <v>0</v>
      </c>
      <c r="M502" t="n">
        <v>0</v>
      </c>
      <c r="N502" t="n">
        <v>0</v>
      </c>
      <c r="O502" t="n">
        <v>0</v>
      </c>
      <c r="P502" t="n">
        <v>0</v>
      </c>
      <c r="Q502" t="n">
        <v>0</v>
      </c>
      <c r="R502" s="2" t="inlineStr"/>
    </row>
    <row r="503" ht="15" customHeight="1">
      <c r="A503" t="inlineStr">
        <is>
          <t>A 6593-2023</t>
        </is>
      </c>
      <c r="B503" s="1" t="n">
        <v>44960</v>
      </c>
      <c r="C503" s="1" t="n">
        <v>45362</v>
      </c>
      <c r="D503" t="inlineStr">
        <is>
          <t>DALARNAS LÄN</t>
        </is>
      </c>
      <c r="E503" t="inlineStr">
        <is>
          <t>LUDVIKA</t>
        </is>
      </c>
      <c r="G503" t="n">
        <v>3.8</v>
      </c>
      <c r="H503" t="n">
        <v>0</v>
      </c>
      <c r="I503" t="n">
        <v>0</v>
      </c>
      <c r="J503" t="n">
        <v>0</v>
      </c>
      <c r="K503" t="n">
        <v>0</v>
      </c>
      <c r="L503" t="n">
        <v>0</v>
      </c>
      <c r="M503" t="n">
        <v>0</v>
      </c>
      <c r="N503" t="n">
        <v>0</v>
      </c>
      <c r="O503" t="n">
        <v>0</v>
      </c>
      <c r="P503" t="n">
        <v>0</v>
      </c>
      <c r="Q503" t="n">
        <v>0</v>
      </c>
      <c r="R503" s="2" t="inlineStr"/>
    </row>
    <row r="504" ht="15" customHeight="1">
      <c r="A504" t="inlineStr">
        <is>
          <t>A 5599-2023</t>
        </is>
      </c>
      <c r="B504" s="1" t="n">
        <v>44960</v>
      </c>
      <c r="C504" s="1" t="n">
        <v>45362</v>
      </c>
      <c r="D504" t="inlineStr">
        <is>
          <t>DALARNAS LÄN</t>
        </is>
      </c>
      <c r="E504" t="inlineStr">
        <is>
          <t>LUDVIKA</t>
        </is>
      </c>
      <c r="F504" t="inlineStr">
        <is>
          <t>Bergvik skog väst AB</t>
        </is>
      </c>
      <c r="G504" t="n">
        <v>3.5</v>
      </c>
      <c r="H504" t="n">
        <v>0</v>
      </c>
      <c r="I504" t="n">
        <v>0</v>
      </c>
      <c r="J504" t="n">
        <v>0</v>
      </c>
      <c r="K504" t="n">
        <v>0</v>
      </c>
      <c r="L504" t="n">
        <v>0</v>
      </c>
      <c r="M504" t="n">
        <v>0</v>
      </c>
      <c r="N504" t="n">
        <v>0</v>
      </c>
      <c r="O504" t="n">
        <v>0</v>
      </c>
      <c r="P504" t="n">
        <v>0</v>
      </c>
      <c r="Q504" t="n">
        <v>0</v>
      </c>
      <c r="R504" s="2" t="inlineStr"/>
    </row>
    <row r="505" ht="15" customHeight="1">
      <c r="A505" t="inlineStr">
        <is>
          <t>A 5752-2023</t>
        </is>
      </c>
      <c r="B505" s="1" t="n">
        <v>44963</v>
      </c>
      <c r="C505" s="1" t="n">
        <v>45362</v>
      </c>
      <c r="D505" t="inlineStr">
        <is>
          <t>DALARNAS LÄN</t>
        </is>
      </c>
      <c r="E505" t="inlineStr">
        <is>
          <t>LUDVIKA</t>
        </is>
      </c>
      <c r="F505" t="inlineStr">
        <is>
          <t>Bergvik skog väst AB</t>
        </is>
      </c>
      <c r="G505" t="n">
        <v>7.7</v>
      </c>
      <c r="H505" t="n">
        <v>0</v>
      </c>
      <c r="I505" t="n">
        <v>0</v>
      </c>
      <c r="J505" t="n">
        <v>0</v>
      </c>
      <c r="K505" t="n">
        <v>0</v>
      </c>
      <c r="L505" t="n">
        <v>0</v>
      </c>
      <c r="M505" t="n">
        <v>0</v>
      </c>
      <c r="N505" t="n">
        <v>0</v>
      </c>
      <c r="O505" t="n">
        <v>0</v>
      </c>
      <c r="P505" t="n">
        <v>0</v>
      </c>
      <c r="Q505" t="n">
        <v>0</v>
      </c>
      <c r="R505" s="2" t="inlineStr"/>
    </row>
    <row r="506" ht="15" customHeight="1">
      <c r="A506" t="inlineStr">
        <is>
          <t>A 6010-2023</t>
        </is>
      </c>
      <c r="B506" s="1" t="n">
        <v>44964</v>
      </c>
      <c r="C506" s="1" t="n">
        <v>45362</v>
      </c>
      <c r="D506" t="inlineStr">
        <is>
          <t>DALARNAS LÄN</t>
        </is>
      </c>
      <c r="E506" t="inlineStr">
        <is>
          <t>LUDVIKA</t>
        </is>
      </c>
      <c r="G506" t="n">
        <v>0.5</v>
      </c>
      <c r="H506" t="n">
        <v>0</v>
      </c>
      <c r="I506" t="n">
        <v>0</v>
      </c>
      <c r="J506" t="n">
        <v>0</v>
      </c>
      <c r="K506" t="n">
        <v>0</v>
      </c>
      <c r="L506" t="n">
        <v>0</v>
      </c>
      <c r="M506" t="n">
        <v>0</v>
      </c>
      <c r="N506" t="n">
        <v>0</v>
      </c>
      <c r="O506" t="n">
        <v>0</v>
      </c>
      <c r="P506" t="n">
        <v>0</v>
      </c>
      <c r="Q506" t="n">
        <v>0</v>
      </c>
      <c r="R506" s="2" t="inlineStr"/>
    </row>
    <row r="507" ht="15" customHeight="1">
      <c r="A507" t="inlineStr">
        <is>
          <t>A 6281-2023</t>
        </is>
      </c>
      <c r="B507" s="1" t="n">
        <v>44965</v>
      </c>
      <c r="C507" s="1" t="n">
        <v>45362</v>
      </c>
      <c r="D507" t="inlineStr">
        <is>
          <t>DALARNAS LÄN</t>
        </is>
      </c>
      <c r="E507" t="inlineStr">
        <is>
          <t>LUDVIKA</t>
        </is>
      </c>
      <c r="G507" t="n">
        <v>7.7</v>
      </c>
      <c r="H507" t="n">
        <v>0</v>
      </c>
      <c r="I507" t="n">
        <v>0</v>
      </c>
      <c r="J507" t="n">
        <v>0</v>
      </c>
      <c r="K507" t="n">
        <v>0</v>
      </c>
      <c r="L507" t="n">
        <v>0</v>
      </c>
      <c r="M507" t="n">
        <v>0</v>
      </c>
      <c r="N507" t="n">
        <v>0</v>
      </c>
      <c r="O507" t="n">
        <v>0</v>
      </c>
      <c r="P507" t="n">
        <v>0</v>
      </c>
      <c r="Q507" t="n">
        <v>0</v>
      </c>
      <c r="R507" s="2" t="inlineStr"/>
    </row>
    <row r="508" ht="15" customHeight="1">
      <c r="A508" t="inlineStr">
        <is>
          <t>A 6564-2023</t>
        </is>
      </c>
      <c r="B508" s="1" t="n">
        <v>44966</v>
      </c>
      <c r="C508" s="1" t="n">
        <v>45362</v>
      </c>
      <c r="D508" t="inlineStr">
        <is>
          <t>DALARNAS LÄN</t>
        </is>
      </c>
      <c r="E508" t="inlineStr">
        <is>
          <t>LUDVIKA</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6975-2023</t>
        </is>
      </c>
      <c r="B509" s="1" t="n">
        <v>44967</v>
      </c>
      <c r="C509" s="1" t="n">
        <v>45362</v>
      </c>
      <c r="D509" t="inlineStr">
        <is>
          <t>DALARNAS LÄN</t>
        </is>
      </c>
      <c r="E509" t="inlineStr">
        <is>
          <t>LUDVIKA</t>
        </is>
      </c>
      <c r="G509" t="n">
        <v>2.1</v>
      </c>
      <c r="H509" t="n">
        <v>0</v>
      </c>
      <c r="I509" t="n">
        <v>0</v>
      </c>
      <c r="J509" t="n">
        <v>0</v>
      </c>
      <c r="K509" t="n">
        <v>0</v>
      </c>
      <c r="L509" t="n">
        <v>0</v>
      </c>
      <c r="M509" t="n">
        <v>0</v>
      </c>
      <c r="N509" t="n">
        <v>0</v>
      </c>
      <c r="O509" t="n">
        <v>0</v>
      </c>
      <c r="P509" t="n">
        <v>0</v>
      </c>
      <c r="Q509" t="n">
        <v>0</v>
      </c>
      <c r="R509" s="2" t="inlineStr"/>
    </row>
    <row r="510" ht="15" customHeight="1">
      <c r="A510" t="inlineStr">
        <is>
          <t>A 7243-2023</t>
        </is>
      </c>
      <c r="B510" s="1" t="n">
        <v>44970</v>
      </c>
      <c r="C510" s="1" t="n">
        <v>45362</v>
      </c>
      <c r="D510" t="inlineStr">
        <is>
          <t>DALARNAS LÄN</t>
        </is>
      </c>
      <c r="E510" t="inlineStr">
        <is>
          <t>LUDVIKA</t>
        </is>
      </c>
      <c r="F510" t="inlineStr">
        <is>
          <t>Övriga Aktiebolag</t>
        </is>
      </c>
      <c r="G510" t="n">
        <v>0.5</v>
      </c>
      <c r="H510" t="n">
        <v>0</v>
      </c>
      <c r="I510" t="n">
        <v>0</v>
      </c>
      <c r="J510" t="n">
        <v>0</v>
      </c>
      <c r="K510" t="n">
        <v>0</v>
      </c>
      <c r="L510" t="n">
        <v>0</v>
      </c>
      <c r="M510" t="n">
        <v>0</v>
      </c>
      <c r="N510" t="n">
        <v>0</v>
      </c>
      <c r="O510" t="n">
        <v>0</v>
      </c>
      <c r="P510" t="n">
        <v>0</v>
      </c>
      <c r="Q510" t="n">
        <v>0</v>
      </c>
      <c r="R510" s="2" t="inlineStr"/>
    </row>
    <row r="511" ht="15" customHeight="1">
      <c r="A511" t="inlineStr">
        <is>
          <t>A 7238-2023</t>
        </is>
      </c>
      <c r="B511" s="1" t="n">
        <v>44970</v>
      </c>
      <c r="C511" s="1" t="n">
        <v>45362</v>
      </c>
      <c r="D511" t="inlineStr">
        <is>
          <t>DALARNAS LÄN</t>
        </is>
      </c>
      <c r="E511" t="inlineStr">
        <is>
          <t>LUDVIKA</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7173-2023</t>
        </is>
      </c>
      <c r="B512" s="1" t="n">
        <v>44970</v>
      </c>
      <c r="C512" s="1" t="n">
        <v>45362</v>
      </c>
      <c r="D512" t="inlineStr">
        <is>
          <t>DALARNAS LÄN</t>
        </is>
      </c>
      <c r="E512" t="inlineStr">
        <is>
          <t>LUDVIKA</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7435-2023</t>
        </is>
      </c>
      <c r="B513" s="1" t="n">
        <v>44971</v>
      </c>
      <c r="C513" s="1" t="n">
        <v>45362</v>
      </c>
      <c r="D513" t="inlineStr">
        <is>
          <t>DALARNAS LÄN</t>
        </is>
      </c>
      <c r="E513" t="inlineStr">
        <is>
          <t>LUDVIKA</t>
        </is>
      </c>
      <c r="F513" t="inlineStr">
        <is>
          <t>Naturvårdsverket</t>
        </is>
      </c>
      <c r="G513" t="n">
        <v>0.8</v>
      </c>
      <c r="H513" t="n">
        <v>0</v>
      </c>
      <c r="I513" t="n">
        <v>0</v>
      </c>
      <c r="J513" t="n">
        <v>0</v>
      </c>
      <c r="K513" t="n">
        <v>0</v>
      </c>
      <c r="L513" t="n">
        <v>0</v>
      </c>
      <c r="M513" t="n">
        <v>0</v>
      </c>
      <c r="N513" t="n">
        <v>0</v>
      </c>
      <c r="O513" t="n">
        <v>0</v>
      </c>
      <c r="P513" t="n">
        <v>0</v>
      </c>
      <c r="Q513" t="n">
        <v>0</v>
      </c>
      <c r="R513" s="2" t="inlineStr"/>
    </row>
    <row r="514" ht="15" customHeight="1">
      <c r="A514" t="inlineStr">
        <is>
          <t>A 7539-2023</t>
        </is>
      </c>
      <c r="B514" s="1" t="n">
        <v>44972</v>
      </c>
      <c r="C514" s="1" t="n">
        <v>45362</v>
      </c>
      <c r="D514" t="inlineStr">
        <is>
          <t>DALARNAS LÄN</t>
        </is>
      </c>
      <c r="E514" t="inlineStr">
        <is>
          <t>LUDVIKA</t>
        </is>
      </c>
      <c r="G514" t="n">
        <v>0.6</v>
      </c>
      <c r="H514" t="n">
        <v>0</v>
      </c>
      <c r="I514" t="n">
        <v>0</v>
      </c>
      <c r="J514" t="n">
        <v>0</v>
      </c>
      <c r="K514" t="n">
        <v>0</v>
      </c>
      <c r="L514" t="n">
        <v>0</v>
      </c>
      <c r="M514" t="n">
        <v>0</v>
      </c>
      <c r="N514" t="n">
        <v>0</v>
      </c>
      <c r="O514" t="n">
        <v>0</v>
      </c>
      <c r="P514" t="n">
        <v>0</v>
      </c>
      <c r="Q514" t="n">
        <v>0</v>
      </c>
      <c r="R514" s="2" t="inlineStr"/>
    </row>
    <row r="515" ht="15" customHeight="1">
      <c r="A515" t="inlineStr">
        <is>
          <t>A 8076-2023</t>
        </is>
      </c>
      <c r="B515" s="1" t="n">
        <v>44974</v>
      </c>
      <c r="C515" s="1" t="n">
        <v>45362</v>
      </c>
      <c r="D515" t="inlineStr">
        <is>
          <t>DALARNAS LÄN</t>
        </is>
      </c>
      <c r="E515" t="inlineStr">
        <is>
          <t>LUDVIKA</t>
        </is>
      </c>
      <c r="F515" t="inlineStr">
        <is>
          <t>Bergvik skog väst AB</t>
        </is>
      </c>
      <c r="G515" t="n">
        <v>2</v>
      </c>
      <c r="H515" t="n">
        <v>0</v>
      </c>
      <c r="I515" t="n">
        <v>0</v>
      </c>
      <c r="J515" t="n">
        <v>0</v>
      </c>
      <c r="K515" t="n">
        <v>0</v>
      </c>
      <c r="L515" t="n">
        <v>0</v>
      </c>
      <c r="M515" t="n">
        <v>0</v>
      </c>
      <c r="N515" t="n">
        <v>0</v>
      </c>
      <c r="O515" t="n">
        <v>0</v>
      </c>
      <c r="P515" t="n">
        <v>0</v>
      </c>
      <c r="Q515" t="n">
        <v>0</v>
      </c>
      <c r="R515" s="2" t="inlineStr"/>
    </row>
    <row r="516" ht="15" customHeight="1">
      <c r="A516" t="inlineStr">
        <is>
          <t>A 8703-2023</t>
        </is>
      </c>
      <c r="B516" s="1" t="n">
        <v>44978</v>
      </c>
      <c r="C516" s="1" t="n">
        <v>45362</v>
      </c>
      <c r="D516" t="inlineStr">
        <is>
          <t>DALARNAS LÄN</t>
        </is>
      </c>
      <c r="E516" t="inlineStr">
        <is>
          <t>LUDVIKA</t>
        </is>
      </c>
      <c r="G516" t="n">
        <v>0.5</v>
      </c>
      <c r="H516" t="n">
        <v>0</v>
      </c>
      <c r="I516" t="n">
        <v>0</v>
      </c>
      <c r="J516" t="n">
        <v>0</v>
      </c>
      <c r="K516" t="n">
        <v>0</v>
      </c>
      <c r="L516" t="n">
        <v>0</v>
      </c>
      <c r="M516" t="n">
        <v>0</v>
      </c>
      <c r="N516" t="n">
        <v>0</v>
      </c>
      <c r="O516" t="n">
        <v>0</v>
      </c>
      <c r="P516" t="n">
        <v>0</v>
      </c>
      <c r="Q516" t="n">
        <v>0</v>
      </c>
      <c r="R516" s="2" t="inlineStr"/>
    </row>
    <row r="517" ht="15" customHeight="1">
      <c r="A517" t="inlineStr">
        <is>
          <t>A 9386-2023</t>
        </is>
      </c>
      <c r="B517" s="1" t="n">
        <v>44981</v>
      </c>
      <c r="C517" s="1" t="n">
        <v>45362</v>
      </c>
      <c r="D517" t="inlineStr">
        <is>
          <t>DALARNAS LÄN</t>
        </is>
      </c>
      <c r="E517" t="inlineStr">
        <is>
          <t>LUDVIKA</t>
        </is>
      </c>
      <c r="G517" t="n">
        <v>6.2</v>
      </c>
      <c r="H517" t="n">
        <v>0</v>
      </c>
      <c r="I517" t="n">
        <v>0</v>
      </c>
      <c r="J517" t="n">
        <v>0</v>
      </c>
      <c r="K517" t="n">
        <v>0</v>
      </c>
      <c r="L517" t="n">
        <v>0</v>
      </c>
      <c r="M517" t="n">
        <v>0</v>
      </c>
      <c r="N517" t="n">
        <v>0</v>
      </c>
      <c r="O517" t="n">
        <v>0</v>
      </c>
      <c r="P517" t="n">
        <v>0</v>
      </c>
      <c r="Q517" t="n">
        <v>0</v>
      </c>
      <c r="R517" s="2" t="inlineStr"/>
    </row>
    <row r="518" ht="15" customHeight="1">
      <c r="A518" t="inlineStr">
        <is>
          <t>A 11797-2023</t>
        </is>
      </c>
      <c r="B518" s="1" t="n">
        <v>44994</v>
      </c>
      <c r="C518" s="1" t="n">
        <v>45362</v>
      </c>
      <c r="D518" t="inlineStr">
        <is>
          <t>DALARNAS LÄN</t>
        </is>
      </c>
      <c r="E518" t="inlineStr">
        <is>
          <t>LUDVIKA</t>
        </is>
      </c>
      <c r="G518" t="n">
        <v>0.7</v>
      </c>
      <c r="H518" t="n">
        <v>0</v>
      </c>
      <c r="I518" t="n">
        <v>0</v>
      </c>
      <c r="J518" t="n">
        <v>0</v>
      </c>
      <c r="K518" t="n">
        <v>0</v>
      </c>
      <c r="L518" t="n">
        <v>0</v>
      </c>
      <c r="M518" t="n">
        <v>0</v>
      </c>
      <c r="N518" t="n">
        <v>0</v>
      </c>
      <c r="O518" t="n">
        <v>0</v>
      </c>
      <c r="P518" t="n">
        <v>0</v>
      </c>
      <c r="Q518" t="n">
        <v>0</v>
      </c>
      <c r="R518" s="2" t="inlineStr"/>
    </row>
    <row r="519" ht="15" customHeight="1">
      <c r="A519" t="inlineStr">
        <is>
          <t>A 11755-2023</t>
        </is>
      </c>
      <c r="B519" s="1" t="n">
        <v>44994</v>
      </c>
      <c r="C519" s="1" t="n">
        <v>45362</v>
      </c>
      <c r="D519" t="inlineStr">
        <is>
          <t>DALARNAS LÄN</t>
        </is>
      </c>
      <c r="E519" t="inlineStr">
        <is>
          <t>LUDVIKA</t>
        </is>
      </c>
      <c r="F519" t="inlineStr">
        <is>
          <t>Övriga Aktiebolag</t>
        </is>
      </c>
      <c r="G519" t="n">
        <v>7</v>
      </c>
      <c r="H519" t="n">
        <v>0</v>
      </c>
      <c r="I519" t="n">
        <v>0</v>
      </c>
      <c r="J519" t="n">
        <v>0</v>
      </c>
      <c r="K519" t="n">
        <v>0</v>
      </c>
      <c r="L519" t="n">
        <v>0</v>
      </c>
      <c r="M519" t="n">
        <v>0</v>
      </c>
      <c r="N519" t="n">
        <v>0</v>
      </c>
      <c r="O519" t="n">
        <v>0</v>
      </c>
      <c r="P519" t="n">
        <v>0</v>
      </c>
      <c r="Q519" t="n">
        <v>0</v>
      </c>
      <c r="R519" s="2" t="inlineStr"/>
    </row>
    <row r="520" ht="15" customHeight="1">
      <c r="A520" t="inlineStr">
        <is>
          <t>A 12096-2023</t>
        </is>
      </c>
      <c r="B520" s="1" t="n">
        <v>44998</v>
      </c>
      <c r="C520" s="1" t="n">
        <v>45362</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13180-2023</t>
        </is>
      </c>
      <c r="B521" s="1" t="n">
        <v>45002</v>
      </c>
      <c r="C521" s="1" t="n">
        <v>45362</v>
      </c>
      <c r="D521" t="inlineStr">
        <is>
          <t>DALARNAS LÄN</t>
        </is>
      </c>
      <c r="E521" t="inlineStr">
        <is>
          <t>LUDVIKA</t>
        </is>
      </c>
      <c r="F521" t="inlineStr">
        <is>
          <t>Bergvik skog väst AB</t>
        </is>
      </c>
      <c r="G521" t="n">
        <v>1.7</v>
      </c>
      <c r="H521" t="n">
        <v>0</v>
      </c>
      <c r="I521" t="n">
        <v>0</v>
      </c>
      <c r="J521" t="n">
        <v>0</v>
      </c>
      <c r="K521" t="n">
        <v>0</v>
      </c>
      <c r="L521" t="n">
        <v>0</v>
      </c>
      <c r="M521" t="n">
        <v>0</v>
      </c>
      <c r="N521" t="n">
        <v>0</v>
      </c>
      <c r="O521" t="n">
        <v>0</v>
      </c>
      <c r="P521" t="n">
        <v>0</v>
      </c>
      <c r="Q521" t="n">
        <v>0</v>
      </c>
      <c r="R521" s="2" t="inlineStr"/>
    </row>
    <row r="522" ht="15" customHeight="1">
      <c r="A522" t="inlineStr">
        <is>
          <t>A 13215-2023</t>
        </is>
      </c>
      <c r="B522" s="1" t="n">
        <v>45002</v>
      </c>
      <c r="C522" s="1" t="n">
        <v>45362</v>
      </c>
      <c r="D522" t="inlineStr">
        <is>
          <t>DALARNAS LÄN</t>
        </is>
      </c>
      <c r="E522" t="inlineStr">
        <is>
          <t>LUDVIKA</t>
        </is>
      </c>
      <c r="G522" t="n">
        <v>1.2</v>
      </c>
      <c r="H522" t="n">
        <v>0</v>
      </c>
      <c r="I522" t="n">
        <v>0</v>
      </c>
      <c r="J522" t="n">
        <v>0</v>
      </c>
      <c r="K522" t="n">
        <v>0</v>
      </c>
      <c r="L522" t="n">
        <v>0</v>
      </c>
      <c r="M522" t="n">
        <v>0</v>
      </c>
      <c r="N522" t="n">
        <v>0</v>
      </c>
      <c r="O522" t="n">
        <v>0</v>
      </c>
      <c r="P522" t="n">
        <v>0</v>
      </c>
      <c r="Q522" t="n">
        <v>0</v>
      </c>
      <c r="R522" s="2" t="inlineStr"/>
    </row>
    <row r="523" ht="15" customHeight="1">
      <c r="A523" t="inlineStr">
        <is>
          <t>A 13217-2023</t>
        </is>
      </c>
      <c r="B523" s="1" t="n">
        <v>45002</v>
      </c>
      <c r="C523" s="1" t="n">
        <v>45362</v>
      </c>
      <c r="D523" t="inlineStr">
        <is>
          <t>DALARNAS LÄN</t>
        </is>
      </c>
      <c r="E523" t="inlineStr">
        <is>
          <t>LUDVIKA</t>
        </is>
      </c>
      <c r="G523" t="n">
        <v>0.8</v>
      </c>
      <c r="H523" t="n">
        <v>0</v>
      </c>
      <c r="I523" t="n">
        <v>0</v>
      </c>
      <c r="J523" t="n">
        <v>0</v>
      </c>
      <c r="K523" t="n">
        <v>0</v>
      </c>
      <c r="L523" t="n">
        <v>0</v>
      </c>
      <c r="M523" t="n">
        <v>0</v>
      </c>
      <c r="N523" t="n">
        <v>0</v>
      </c>
      <c r="O523" t="n">
        <v>0</v>
      </c>
      <c r="P523" t="n">
        <v>0</v>
      </c>
      <c r="Q523" t="n">
        <v>0</v>
      </c>
      <c r="R523" s="2" t="inlineStr"/>
    </row>
    <row r="524" ht="15" customHeight="1">
      <c r="A524" t="inlineStr">
        <is>
          <t>A 14632-2023</t>
        </is>
      </c>
      <c r="B524" s="1" t="n">
        <v>45013</v>
      </c>
      <c r="C524" s="1" t="n">
        <v>45362</v>
      </c>
      <c r="D524" t="inlineStr">
        <is>
          <t>DALARNAS LÄN</t>
        </is>
      </c>
      <c r="E524" t="inlineStr">
        <is>
          <t>LUDVIKA</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15754-2023</t>
        </is>
      </c>
      <c r="B525" s="1" t="n">
        <v>45021</v>
      </c>
      <c r="C525" s="1" t="n">
        <v>45362</v>
      </c>
      <c r="D525" t="inlineStr">
        <is>
          <t>DALARNAS LÄN</t>
        </is>
      </c>
      <c r="E525" t="inlineStr">
        <is>
          <t>LUDVIKA</t>
        </is>
      </c>
      <c r="F525" t="inlineStr">
        <is>
          <t>Naturvårdsverket</t>
        </is>
      </c>
      <c r="G525" t="n">
        <v>1.2</v>
      </c>
      <c r="H525" t="n">
        <v>0</v>
      </c>
      <c r="I525" t="n">
        <v>0</v>
      </c>
      <c r="J525" t="n">
        <v>0</v>
      </c>
      <c r="K525" t="n">
        <v>0</v>
      </c>
      <c r="L525" t="n">
        <v>0</v>
      </c>
      <c r="M525" t="n">
        <v>0</v>
      </c>
      <c r="N525" t="n">
        <v>0</v>
      </c>
      <c r="O525" t="n">
        <v>0</v>
      </c>
      <c r="P525" t="n">
        <v>0</v>
      </c>
      <c r="Q525" t="n">
        <v>0</v>
      </c>
      <c r="R525" s="2" t="inlineStr"/>
    </row>
    <row r="526" ht="15" customHeight="1">
      <c r="A526" t="inlineStr">
        <is>
          <t>A 16630-2023</t>
        </is>
      </c>
      <c r="B526" s="1" t="n">
        <v>45030</v>
      </c>
      <c r="C526" s="1" t="n">
        <v>45362</v>
      </c>
      <c r="D526" t="inlineStr">
        <is>
          <t>DALARNAS LÄN</t>
        </is>
      </c>
      <c r="E526" t="inlineStr">
        <is>
          <t>LUDVIKA</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17032-2023</t>
        </is>
      </c>
      <c r="B527" s="1" t="n">
        <v>45034</v>
      </c>
      <c r="C527" s="1" t="n">
        <v>45362</v>
      </c>
      <c r="D527" t="inlineStr">
        <is>
          <t>DALARNAS LÄN</t>
        </is>
      </c>
      <c r="E527" t="inlineStr">
        <is>
          <t>LUDVIKA</t>
        </is>
      </c>
      <c r="F527" t="inlineStr">
        <is>
          <t>Naturvårdsverket</t>
        </is>
      </c>
      <c r="G527" t="n">
        <v>1</v>
      </c>
      <c r="H527" t="n">
        <v>0</v>
      </c>
      <c r="I527" t="n">
        <v>0</v>
      </c>
      <c r="J527" t="n">
        <v>0</v>
      </c>
      <c r="K527" t="n">
        <v>0</v>
      </c>
      <c r="L527" t="n">
        <v>0</v>
      </c>
      <c r="M527" t="n">
        <v>0</v>
      </c>
      <c r="N527" t="n">
        <v>0</v>
      </c>
      <c r="O527" t="n">
        <v>0</v>
      </c>
      <c r="P527" t="n">
        <v>0</v>
      </c>
      <c r="Q527" t="n">
        <v>0</v>
      </c>
      <c r="R527" s="2" t="inlineStr"/>
    </row>
    <row r="528" ht="15" customHeight="1">
      <c r="A528" t="inlineStr">
        <is>
          <t>A 17037-2023</t>
        </is>
      </c>
      <c r="B528" s="1" t="n">
        <v>45034</v>
      </c>
      <c r="C528" s="1" t="n">
        <v>45362</v>
      </c>
      <c r="D528" t="inlineStr">
        <is>
          <t>DALARNAS LÄN</t>
        </is>
      </c>
      <c r="E528" t="inlineStr">
        <is>
          <t>LUDVIKA</t>
        </is>
      </c>
      <c r="F528" t="inlineStr">
        <is>
          <t>Naturvårdsverket</t>
        </is>
      </c>
      <c r="G528" t="n">
        <v>1.4</v>
      </c>
      <c r="H528" t="n">
        <v>0</v>
      </c>
      <c r="I528" t="n">
        <v>0</v>
      </c>
      <c r="J528" t="n">
        <v>0</v>
      </c>
      <c r="K528" t="n">
        <v>0</v>
      </c>
      <c r="L528" t="n">
        <v>0</v>
      </c>
      <c r="M528" t="n">
        <v>0</v>
      </c>
      <c r="N528" t="n">
        <v>0</v>
      </c>
      <c r="O528" t="n">
        <v>0</v>
      </c>
      <c r="P528" t="n">
        <v>0</v>
      </c>
      <c r="Q528" t="n">
        <v>0</v>
      </c>
      <c r="R528" s="2" t="inlineStr"/>
    </row>
    <row r="529" ht="15" customHeight="1">
      <c r="A529" t="inlineStr">
        <is>
          <t>A 17035-2023</t>
        </is>
      </c>
      <c r="B529" s="1" t="n">
        <v>45034</v>
      </c>
      <c r="C529" s="1" t="n">
        <v>45362</v>
      </c>
      <c r="D529" t="inlineStr">
        <is>
          <t>DALARNAS LÄN</t>
        </is>
      </c>
      <c r="E529" t="inlineStr">
        <is>
          <t>LUDVIKA</t>
        </is>
      </c>
      <c r="F529" t="inlineStr">
        <is>
          <t>Naturvårdsverket</t>
        </is>
      </c>
      <c r="G529" t="n">
        <v>1.7</v>
      </c>
      <c r="H529" t="n">
        <v>0</v>
      </c>
      <c r="I529" t="n">
        <v>0</v>
      </c>
      <c r="J529" t="n">
        <v>0</v>
      </c>
      <c r="K529" t="n">
        <v>0</v>
      </c>
      <c r="L529" t="n">
        <v>0</v>
      </c>
      <c r="M529" t="n">
        <v>0</v>
      </c>
      <c r="N529" t="n">
        <v>0</v>
      </c>
      <c r="O529" t="n">
        <v>0</v>
      </c>
      <c r="P529" t="n">
        <v>0</v>
      </c>
      <c r="Q529" t="n">
        <v>0</v>
      </c>
      <c r="R529" s="2" t="inlineStr"/>
    </row>
    <row r="530" ht="15" customHeight="1">
      <c r="A530" t="inlineStr">
        <is>
          <t>A 17138-2023</t>
        </is>
      </c>
      <c r="B530" s="1" t="n">
        <v>45034</v>
      </c>
      <c r="C530" s="1" t="n">
        <v>45362</v>
      </c>
      <c r="D530" t="inlineStr">
        <is>
          <t>DALARNAS LÄN</t>
        </is>
      </c>
      <c r="E530" t="inlineStr">
        <is>
          <t>LUDVIKA</t>
        </is>
      </c>
      <c r="F530" t="inlineStr">
        <is>
          <t>Naturvårdsverket</t>
        </is>
      </c>
      <c r="G530" t="n">
        <v>2.7</v>
      </c>
      <c r="H530" t="n">
        <v>0</v>
      </c>
      <c r="I530" t="n">
        <v>0</v>
      </c>
      <c r="J530" t="n">
        <v>0</v>
      </c>
      <c r="K530" t="n">
        <v>0</v>
      </c>
      <c r="L530" t="n">
        <v>0</v>
      </c>
      <c r="M530" t="n">
        <v>0</v>
      </c>
      <c r="N530" t="n">
        <v>0</v>
      </c>
      <c r="O530" t="n">
        <v>0</v>
      </c>
      <c r="P530" t="n">
        <v>0</v>
      </c>
      <c r="Q530" t="n">
        <v>0</v>
      </c>
      <c r="R530" s="2" t="inlineStr"/>
    </row>
    <row r="531" ht="15" customHeight="1">
      <c r="A531" t="inlineStr">
        <is>
          <t>A 18585-2023</t>
        </is>
      </c>
      <c r="B531" s="1" t="n">
        <v>45043</v>
      </c>
      <c r="C531" s="1" t="n">
        <v>45362</v>
      </c>
      <c r="D531" t="inlineStr">
        <is>
          <t>DALARNAS LÄN</t>
        </is>
      </c>
      <c r="E531" t="inlineStr">
        <is>
          <t>LUDVIKA</t>
        </is>
      </c>
      <c r="F531" t="inlineStr">
        <is>
          <t>Bergvik skog väst AB</t>
        </is>
      </c>
      <c r="G531" t="n">
        <v>4.8</v>
      </c>
      <c r="H531" t="n">
        <v>0</v>
      </c>
      <c r="I531" t="n">
        <v>0</v>
      </c>
      <c r="J531" t="n">
        <v>0</v>
      </c>
      <c r="K531" t="n">
        <v>0</v>
      </c>
      <c r="L531" t="n">
        <v>0</v>
      </c>
      <c r="M531" t="n">
        <v>0</v>
      </c>
      <c r="N531" t="n">
        <v>0</v>
      </c>
      <c r="O531" t="n">
        <v>0</v>
      </c>
      <c r="P531" t="n">
        <v>0</v>
      </c>
      <c r="Q531" t="n">
        <v>0</v>
      </c>
      <c r="R531" s="2" t="inlineStr"/>
    </row>
    <row r="532" ht="15" customHeight="1">
      <c r="A532" t="inlineStr">
        <is>
          <t>A 18708-2023</t>
        </is>
      </c>
      <c r="B532" s="1" t="n">
        <v>45043</v>
      </c>
      <c r="C532" s="1" t="n">
        <v>45362</v>
      </c>
      <c r="D532" t="inlineStr">
        <is>
          <t>DALARNAS LÄN</t>
        </is>
      </c>
      <c r="E532" t="inlineStr">
        <is>
          <t>LUDVIKA</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18660-2023</t>
        </is>
      </c>
      <c r="B533" s="1" t="n">
        <v>45043</v>
      </c>
      <c r="C533" s="1" t="n">
        <v>45362</v>
      </c>
      <c r="D533" t="inlineStr">
        <is>
          <t>DALARNAS LÄN</t>
        </is>
      </c>
      <c r="E533" t="inlineStr">
        <is>
          <t>LUDVIKA</t>
        </is>
      </c>
      <c r="F533" t="inlineStr">
        <is>
          <t>Bergvik skog väst AB</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18936-2023</t>
        </is>
      </c>
      <c r="B534" s="1" t="n">
        <v>45044</v>
      </c>
      <c r="C534" s="1" t="n">
        <v>45362</v>
      </c>
      <c r="D534" t="inlineStr">
        <is>
          <t>DALARNAS LÄN</t>
        </is>
      </c>
      <c r="E534" t="inlineStr">
        <is>
          <t>LUDVIKA</t>
        </is>
      </c>
      <c r="F534" t="inlineStr">
        <is>
          <t>Bergvik skog väst AB</t>
        </is>
      </c>
      <c r="G534" t="n">
        <v>7.2</v>
      </c>
      <c r="H534" t="n">
        <v>0</v>
      </c>
      <c r="I534" t="n">
        <v>0</v>
      </c>
      <c r="J534" t="n">
        <v>0</v>
      </c>
      <c r="K534" t="n">
        <v>0</v>
      </c>
      <c r="L534" t="n">
        <v>0</v>
      </c>
      <c r="M534" t="n">
        <v>0</v>
      </c>
      <c r="N534" t="n">
        <v>0</v>
      </c>
      <c r="O534" t="n">
        <v>0</v>
      </c>
      <c r="P534" t="n">
        <v>0</v>
      </c>
      <c r="Q534" t="n">
        <v>0</v>
      </c>
      <c r="R534" s="2" t="inlineStr"/>
    </row>
    <row r="535" ht="15" customHeight="1">
      <c r="A535" t="inlineStr">
        <is>
          <t>A 18850-2023</t>
        </is>
      </c>
      <c r="B535" s="1" t="n">
        <v>45044</v>
      </c>
      <c r="C535" s="1" t="n">
        <v>45362</v>
      </c>
      <c r="D535" t="inlineStr">
        <is>
          <t>DALARNAS LÄN</t>
        </is>
      </c>
      <c r="E535" t="inlineStr">
        <is>
          <t>LUDVIKA</t>
        </is>
      </c>
      <c r="F535" t="inlineStr">
        <is>
          <t>Naturvårdsverket</t>
        </is>
      </c>
      <c r="G535" t="n">
        <v>1.2</v>
      </c>
      <c r="H535" t="n">
        <v>0</v>
      </c>
      <c r="I535" t="n">
        <v>0</v>
      </c>
      <c r="J535" t="n">
        <v>0</v>
      </c>
      <c r="K535" t="n">
        <v>0</v>
      </c>
      <c r="L535" t="n">
        <v>0</v>
      </c>
      <c r="M535" t="n">
        <v>0</v>
      </c>
      <c r="N535" t="n">
        <v>0</v>
      </c>
      <c r="O535" t="n">
        <v>0</v>
      </c>
      <c r="P535" t="n">
        <v>0</v>
      </c>
      <c r="Q535" t="n">
        <v>0</v>
      </c>
      <c r="R535" s="2" t="inlineStr"/>
    </row>
    <row r="536" ht="15" customHeight="1">
      <c r="A536" t="inlineStr">
        <is>
          <t>A 18864-2023</t>
        </is>
      </c>
      <c r="B536" s="1" t="n">
        <v>45044</v>
      </c>
      <c r="C536" s="1" t="n">
        <v>45362</v>
      </c>
      <c r="D536" t="inlineStr">
        <is>
          <t>DALARNAS LÄN</t>
        </is>
      </c>
      <c r="E536" t="inlineStr">
        <is>
          <t>LUDVIKA</t>
        </is>
      </c>
      <c r="F536" t="inlineStr">
        <is>
          <t>Naturvårdsverket</t>
        </is>
      </c>
      <c r="G536" t="n">
        <v>0.5</v>
      </c>
      <c r="H536" t="n">
        <v>0</v>
      </c>
      <c r="I536" t="n">
        <v>0</v>
      </c>
      <c r="J536" t="n">
        <v>0</v>
      </c>
      <c r="K536" t="n">
        <v>0</v>
      </c>
      <c r="L536" t="n">
        <v>0</v>
      </c>
      <c r="M536" t="n">
        <v>0</v>
      </c>
      <c r="N536" t="n">
        <v>0</v>
      </c>
      <c r="O536" t="n">
        <v>0</v>
      </c>
      <c r="P536" t="n">
        <v>0</v>
      </c>
      <c r="Q536" t="n">
        <v>0</v>
      </c>
      <c r="R536" s="2" t="inlineStr"/>
    </row>
    <row r="537" ht="15" customHeight="1">
      <c r="A537" t="inlineStr">
        <is>
          <t>A 19449-2023</t>
        </is>
      </c>
      <c r="B537" s="1" t="n">
        <v>45050</v>
      </c>
      <c r="C537" s="1" t="n">
        <v>45362</v>
      </c>
      <c r="D537" t="inlineStr">
        <is>
          <t>DALARNAS LÄN</t>
        </is>
      </c>
      <c r="E537" t="inlineStr">
        <is>
          <t>LUDVIKA</t>
        </is>
      </c>
      <c r="F537" t="inlineStr">
        <is>
          <t>Bergvik skog väst AB</t>
        </is>
      </c>
      <c r="G537" t="n">
        <v>5.6</v>
      </c>
      <c r="H537" t="n">
        <v>0</v>
      </c>
      <c r="I537" t="n">
        <v>0</v>
      </c>
      <c r="J537" t="n">
        <v>0</v>
      </c>
      <c r="K537" t="n">
        <v>0</v>
      </c>
      <c r="L537" t="n">
        <v>0</v>
      </c>
      <c r="M537" t="n">
        <v>0</v>
      </c>
      <c r="N537" t="n">
        <v>0</v>
      </c>
      <c r="O537" t="n">
        <v>0</v>
      </c>
      <c r="P537" t="n">
        <v>0</v>
      </c>
      <c r="Q537" t="n">
        <v>0</v>
      </c>
      <c r="R537" s="2" t="inlineStr"/>
    </row>
    <row r="538" ht="15" customHeight="1">
      <c r="A538" t="inlineStr">
        <is>
          <t>A 19643-2023</t>
        </is>
      </c>
      <c r="B538" s="1" t="n">
        <v>45051</v>
      </c>
      <c r="C538" s="1" t="n">
        <v>45362</v>
      </c>
      <c r="D538" t="inlineStr">
        <is>
          <t>DALARNAS LÄN</t>
        </is>
      </c>
      <c r="E538" t="inlineStr">
        <is>
          <t>LUDVIKA</t>
        </is>
      </c>
      <c r="F538" t="inlineStr">
        <is>
          <t>Naturvårdsverket</t>
        </is>
      </c>
      <c r="G538" t="n">
        <v>25</v>
      </c>
      <c r="H538" t="n">
        <v>0</v>
      </c>
      <c r="I538" t="n">
        <v>0</v>
      </c>
      <c r="J538" t="n">
        <v>0</v>
      </c>
      <c r="K538" t="n">
        <v>0</v>
      </c>
      <c r="L538" t="n">
        <v>0</v>
      </c>
      <c r="M538" t="n">
        <v>0</v>
      </c>
      <c r="N538" t="n">
        <v>0</v>
      </c>
      <c r="O538" t="n">
        <v>0</v>
      </c>
      <c r="P538" t="n">
        <v>0</v>
      </c>
      <c r="Q538" t="n">
        <v>0</v>
      </c>
      <c r="R538" s="2" t="inlineStr"/>
    </row>
    <row r="539" ht="15" customHeight="1">
      <c r="A539" t="inlineStr">
        <is>
          <t>A 19651-2023</t>
        </is>
      </c>
      <c r="B539" s="1" t="n">
        <v>45051</v>
      </c>
      <c r="C539" s="1" t="n">
        <v>45362</v>
      </c>
      <c r="D539" t="inlineStr">
        <is>
          <t>DALARNAS LÄN</t>
        </is>
      </c>
      <c r="E539" t="inlineStr">
        <is>
          <t>LUDVIKA</t>
        </is>
      </c>
      <c r="F539" t="inlineStr">
        <is>
          <t>Bergvik skog väst AB</t>
        </is>
      </c>
      <c r="G539" t="n">
        <v>7.4</v>
      </c>
      <c r="H539" t="n">
        <v>0</v>
      </c>
      <c r="I539" t="n">
        <v>0</v>
      </c>
      <c r="J539" t="n">
        <v>0</v>
      </c>
      <c r="K539" t="n">
        <v>0</v>
      </c>
      <c r="L539" t="n">
        <v>0</v>
      </c>
      <c r="M539" t="n">
        <v>0</v>
      </c>
      <c r="N539" t="n">
        <v>0</v>
      </c>
      <c r="O539" t="n">
        <v>0</v>
      </c>
      <c r="P539" t="n">
        <v>0</v>
      </c>
      <c r="Q539" t="n">
        <v>0</v>
      </c>
      <c r="R539" s="2" t="inlineStr"/>
    </row>
    <row r="540" ht="15" customHeight="1">
      <c r="A540" t="inlineStr">
        <is>
          <t>A 20225-2023</t>
        </is>
      </c>
      <c r="B540" s="1" t="n">
        <v>45054</v>
      </c>
      <c r="C540" s="1" t="n">
        <v>45362</v>
      </c>
      <c r="D540" t="inlineStr">
        <is>
          <t>DALARNAS LÄN</t>
        </is>
      </c>
      <c r="E540" t="inlineStr">
        <is>
          <t>LUDVIKA</t>
        </is>
      </c>
      <c r="G540" t="n">
        <v>4.7</v>
      </c>
      <c r="H540" t="n">
        <v>0</v>
      </c>
      <c r="I540" t="n">
        <v>0</v>
      </c>
      <c r="J540" t="n">
        <v>0</v>
      </c>
      <c r="K540" t="n">
        <v>0</v>
      </c>
      <c r="L540" t="n">
        <v>0</v>
      </c>
      <c r="M540" t="n">
        <v>0</v>
      </c>
      <c r="N540" t="n">
        <v>0</v>
      </c>
      <c r="O540" t="n">
        <v>0</v>
      </c>
      <c r="P540" t="n">
        <v>0</v>
      </c>
      <c r="Q540" t="n">
        <v>0</v>
      </c>
      <c r="R540" s="2" t="inlineStr"/>
    </row>
    <row r="541" ht="15" customHeight="1">
      <c r="A541" t="inlineStr">
        <is>
          <t>A 20202-2023</t>
        </is>
      </c>
      <c r="B541" s="1" t="n">
        <v>45055</v>
      </c>
      <c r="C541" s="1" t="n">
        <v>45362</v>
      </c>
      <c r="D541" t="inlineStr">
        <is>
          <t>DALARNAS LÄN</t>
        </is>
      </c>
      <c r="E541" t="inlineStr">
        <is>
          <t>LUDVIKA</t>
        </is>
      </c>
      <c r="G541" t="n">
        <v>2.2</v>
      </c>
      <c r="H541" t="n">
        <v>0</v>
      </c>
      <c r="I541" t="n">
        <v>0</v>
      </c>
      <c r="J541" t="n">
        <v>0</v>
      </c>
      <c r="K541" t="n">
        <v>0</v>
      </c>
      <c r="L541" t="n">
        <v>0</v>
      </c>
      <c r="M541" t="n">
        <v>0</v>
      </c>
      <c r="N541" t="n">
        <v>0</v>
      </c>
      <c r="O541" t="n">
        <v>0</v>
      </c>
      <c r="P541" t="n">
        <v>0</v>
      </c>
      <c r="Q541" t="n">
        <v>0</v>
      </c>
      <c r="R541" s="2" t="inlineStr"/>
    </row>
    <row r="542" ht="15" customHeight="1">
      <c r="A542" t="inlineStr">
        <is>
          <t>A 20559-2023</t>
        </is>
      </c>
      <c r="B542" s="1" t="n">
        <v>45055</v>
      </c>
      <c r="C542" s="1" t="n">
        <v>45362</v>
      </c>
      <c r="D542" t="inlineStr">
        <is>
          <t>DALARNAS LÄN</t>
        </is>
      </c>
      <c r="E542" t="inlineStr">
        <is>
          <t>LUDVIKA</t>
        </is>
      </c>
      <c r="G542" t="n">
        <v>3.8</v>
      </c>
      <c r="H542" t="n">
        <v>0</v>
      </c>
      <c r="I542" t="n">
        <v>0</v>
      </c>
      <c r="J542" t="n">
        <v>0</v>
      </c>
      <c r="K542" t="n">
        <v>0</v>
      </c>
      <c r="L542" t="n">
        <v>0</v>
      </c>
      <c r="M542" t="n">
        <v>0</v>
      </c>
      <c r="N542" t="n">
        <v>0</v>
      </c>
      <c r="O542" t="n">
        <v>0</v>
      </c>
      <c r="P542" t="n">
        <v>0</v>
      </c>
      <c r="Q542" t="n">
        <v>0</v>
      </c>
      <c r="R542" s="2" t="inlineStr"/>
    </row>
    <row r="543" ht="15" customHeight="1">
      <c r="A543" t="inlineStr">
        <is>
          <t>A 20411-2023</t>
        </is>
      </c>
      <c r="B543" s="1" t="n">
        <v>45056</v>
      </c>
      <c r="C543" s="1" t="n">
        <v>45362</v>
      </c>
      <c r="D543" t="inlineStr">
        <is>
          <t>DALARNAS LÄN</t>
        </is>
      </c>
      <c r="E543" t="inlineStr">
        <is>
          <t>LUDVIKA</t>
        </is>
      </c>
      <c r="F543" t="inlineStr">
        <is>
          <t>Bergvik skog väst AB</t>
        </is>
      </c>
      <c r="G543" t="n">
        <v>1.9</v>
      </c>
      <c r="H543" t="n">
        <v>0</v>
      </c>
      <c r="I543" t="n">
        <v>0</v>
      </c>
      <c r="J543" t="n">
        <v>0</v>
      </c>
      <c r="K543" t="n">
        <v>0</v>
      </c>
      <c r="L543" t="n">
        <v>0</v>
      </c>
      <c r="M543" t="n">
        <v>0</v>
      </c>
      <c r="N543" t="n">
        <v>0</v>
      </c>
      <c r="O543" t="n">
        <v>0</v>
      </c>
      <c r="P543" t="n">
        <v>0</v>
      </c>
      <c r="Q543" t="n">
        <v>0</v>
      </c>
      <c r="R543" s="2" t="inlineStr"/>
    </row>
    <row r="544" ht="15" customHeight="1">
      <c r="A544" t="inlineStr">
        <is>
          <t>A 20688-2023</t>
        </is>
      </c>
      <c r="B544" s="1" t="n">
        <v>45058</v>
      </c>
      <c r="C544" s="1" t="n">
        <v>45362</v>
      </c>
      <c r="D544" t="inlineStr">
        <is>
          <t>DALARNAS LÄN</t>
        </is>
      </c>
      <c r="E544" t="inlineStr">
        <is>
          <t>LUDVIKA</t>
        </is>
      </c>
      <c r="F544" t="inlineStr">
        <is>
          <t>Bergvik skog väst AB</t>
        </is>
      </c>
      <c r="G544" t="n">
        <v>2.5</v>
      </c>
      <c r="H544" t="n">
        <v>0</v>
      </c>
      <c r="I544" t="n">
        <v>0</v>
      </c>
      <c r="J544" t="n">
        <v>0</v>
      </c>
      <c r="K544" t="n">
        <v>0</v>
      </c>
      <c r="L544" t="n">
        <v>0</v>
      </c>
      <c r="M544" t="n">
        <v>0</v>
      </c>
      <c r="N544" t="n">
        <v>0</v>
      </c>
      <c r="O544" t="n">
        <v>0</v>
      </c>
      <c r="P544" t="n">
        <v>0</v>
      </c>
      <c r="Q544" t="n">
        <v>0</v>
      </c>
      <c r="R544" s="2" t="inlineStr"/>
    </row>
    <row r="545" ht="15" customHeight="1">
      <c r="A545" t="inlineStr">
        <is>
          <t>A 20826-2023</t>
        </is>
      </c>
      <c r="B545" s="1" t="n">
        <v>45058</v>
      </c>
      <c r="C545" s="1" t="n">
        <v>45362</v>
      </c>
      <c r="D545" t="inlineStr">
        <is>
          <t>DALARNAS LÄN</t>
        </is>
      </c>
      <c r="E545" t="inlineStr">
        <is>
          <t>LUDVIKA</t>
        </is>
      </c>
      <c r="F545" t="inlineStr">
        <is>
          <t>Bergvik skog väst AB</t>
        </is>
      </c>
      <c r="G545" t="n">
        <v>10</v>
      </c>
      <c r="H545" t="n">
        <v>0</v>
      </c>
      <c r="I545" t="n">
        <v>0</v>
      </c>
      <c r="J545" t="n">
        <v>0</v>
      </c>
      <c r="K545" t="n">
        <v>0</v>
      </c>
      <c r="L545" t="n">
        <v>0</v>
      </c>
      <c r="M545" t="n">
        <v>0</v>
      </c>
      <c r="N545" t="n">
        <v>0</v>
      </c>
      <c r="O545" t="n">
        <v>0</v>
      </c>
      <c r="P545" t="n">
        <v>0</v>
      </c>
      <c r="Q545" t="n">
        <v>0</v>
      </c>
      <c r="R545" s="2" t="inlineStr"/>
    </row>
    <row r="546" ht="15" customHeight="1">
      <c r="A546" t="inlineStr">
        <is>
          <t>A 20764-2023</t>
        </is>
      </c>
      <c r="B546" s="1" t="n">
        <v>45058</v>
      </c>
      <c r="C546" s="1" t="n">
        <v>45362</v>
      </c>
      <c r="D546" t="inlineStr">
        <is>
          <t>DALARNAS LÄN</t>
        </is>
      </c>
      <c r="E546" t="inlineStr">
        <is>
          <t>LUDVIKA</t>
        </is>
      </c>
      <c r="F546" t="inlineStr">
        <is>
          <t>Bergvik skog väst AB</t>
        </is>
      </c>
      <c r="G546" t="n">
        <v>3.3</v>
      </c>
      <c r="H546" t="n">
        <v>0</v>
      </c>
      <c r="I546" t="n">
        <v>0</v>
      </c>
      <c r="J546" t="n">
        <v>0</v>
      </c>
      <c r="K546" t="n">
        <v>0</v>
      </c>
      <c r="L546" t="n">
        <v>0</v>
      </c>
      <c r="M546" t="n">
        <v>0</v>
      </c>
      <c r="N546" t="n">
        <v>0</v>
      </c>
      <c r="O546" t="n">
        <v>0</v>
      </c>
      <c r="P546" t="n">
        <v>0</v>
      </c>
      <c r="Q546" t="n">
        <v>0</v>
      </c>
      <c r="R546" s="2" t="inlineStr"/>
    </row>
    <row r="547" ht="15" customHeight="1">
      <c r="A547" t="inlineStr">
        <is>
          <t>A 21145-2023</t>
        </is>
      </c>
      <c r="B547" s="1" t="n">
        <v>45062</v>
      </c>
      <c r="C547" s="1" t="n">
        <v>45362</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21152-2023</t>
        </is>
      </c>
      <c r="B548" s="1" t="n">
        <v>45062</v>
      </c>
      <c r="C548" s="1" t="n">
        <v>45362</v>
      </c>
      <c r="D548" t="inlineStr">
        <is>
          <t>DALARNAS LÄN</t>
        </is>
      </c>
      <c r="E548" t="inlineStr">
        <is>
          <t>LUDVIKA</t>
        </is>
      </c>
      <c r="F548" t="inlineStr">
        <is>
          <t>Bergvik skog väst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21297-2023</t>
        </is>
      </c>
      <c r="B549" s="1" t="n">
        <v>45062</v>
      </c>
      <c r="C549" s="1" t="n">
        <v>45362</v>
      </c>
      <c r="D549" t="inlineStr">
        <is>
          <t>DALARNAS LÄN</t>
        </is>
      </c>
      <c r="E549" t="inlineStr">
        <is>
          <t>LUDVIKA</t>
        </is>
      </c>
      <c r="F549" t="inlineStr">
        <is>
          <t>Bergvik skog väst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21247-2023</t>
        </is>
      </c>
      <c r="B550" s="1" t="n">
        <v>45062</v>
      </c>
      <c r="C550" s="1" t="n">
        <v>45362</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21539-2023</t>
        </is>
      </c>
      <c r="B551" s="1" t="n">
        <v>45063</v>
      </c>
      <c r="C551" s="1" t="n">
        <v>45362</v>
      </c>
      <c r="D551" t="inlineStr">
        <is>
          <t>DALARNAS LÄN</t>
        </is>
      </c>
      <c r="E551" t="inlineStr">
        <is>
          <t>LUDVIKA</t>
        </is>
      </c>
      <c r="F551" t="inlineStr">
        <is>
          <t>Bergvik skog väst AB</t>
        </is>
      </c>
      <c r="G551" t="n">
        <v>7.4</v>
      </c>
      <c r="H551" t="n">
        <v>0</v>
      </c>
      <c r="I551" t="n">
        <v>0</v>
      </c>
      <c r="J551" t="n">
        <v>0</v>
      </c>
      <c r="K551" t="n">
        <v>0</v>
      </c>
      <c r="L551" t="n">
        <v>0</v>
      </c>
      <c r="M551" t="n">
        <v>0</v>
      </c>
      <c r="N551" t="n">
        <v>0</v>
      </c>
      <c r="O551" t="n">
        <v>0</v>
      </c>
      <c r="P551" t="n">
        <v>0</v>
      </c>
      <c r="Q551" t="n">
        <v>0</v>
      </c>
      <c r="R551" s="2" t="inlineStr"/>
    </row>
    <row r="552" ht="15" customHeight="1">
      <c r="A552" t="inlineStr">
        <is>
          <t>A 21370-2023</t>
        </is>
      </c>
      <c r="B552" s="1" t="n">
        <v>45063</v>
      </c>
      <c r="C552" s="1" t="n">
        <v>45362</v>
      </c>
      <c r="D552" t="inlineStr">
        <is>
          <t>DALARNAS LÄN</t>
        </is>
      </c>
      <c r="E552" t="inlineStr">
        <is>
          <t>LUDVIKA</t>
        </is>
      </c>
      <c r="F552" t="inlineStr">
        <is>
          <t>Bergvik skog väst AB</t>
        </is>
      </c>
      <c r="G552" t="n">
        <v>1.6</v>
      </c>
      <c r="H552" t="n">
        <v>0</v>
      </c>
      <c r="I552" t="n">
        <v>0</v>
      </c>
      <c r="J552" t="n">
        <v>0</v>
      </c>
      <c r="K552" t="n">
        <v>0</v>
      </c>
      <c r="L552" t="n">
        <v>0</v>
      </c>
      <c r="M552" t="n">
        <v>0</v>
      </c>
      <c r="N552" t="n">
        <v>0</v>
      </c>
      <c r="O552" t="n">
        <v>0</v>
      </c>
      <c r="P552" t="n">
        <v>0</v>
      </c>
      <c r="Q552" t="n">
        <v>0</v>
      </c>
      <c r="R552" s="2" t="inlineStr"/>
    </row>
    <row r="553" ht="15" customHeight="1">
      <c r="A553" t="inlineStr">
        <is>
          <t>A 21369-2023</t>
        </is>
      </c>
      <c r="B553" s="1" t="n">
        <v>45063</v>
      </c>
      <c r="C553" s="1" t="n">
        <v>45362</v>
      </c>
      <c r="D553" t="inlineStr">
        <is>
          <t>DALARNAS LÄN</t>
        </is>
      </c>
      <c r="E553" t="inlineStr">
        <is>
          <t>LUDVIKA</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21554-2023</t>
        </is>
      </c>
      <c r="B554" s="1" t="n">
        <v>45063</v>
      </c>
      <c r="C554" s="1" t="n">
        <v>45362</v>
      </c>
      <c r="D554" t="inlineStr">
        <is>
          <t>DALARNAS LÄN</t>
        </is>
      </c>
      <c r="E554" t="inlineStr">
        <is>
          <t>LUDVIKA</t>
        </is>
      </c>
      <c r="F554" t="inlineStr">
        <is>
          <t>Bergvik skog väst AB</t>
        </is>
      </c>
      <c r="G554" t="n">
        <v>2.3</v>
      </c>
      <c r="H554" t="n">
        <v>0</v>
      </c>
      <c r="I554" t="n">
        <v>0</v>
      </c>
      <c r="J554" t="n">
        <v>0</v>
      </c>
      <c r="K554" t="n">
        <v>0</v>
      </c>
      <c r="L554" t="n">
        <v>0</v>
      </c>
      <c r="M554" t="n">
        <v>0</v>
      </c>
      <c r="N554" t="n">
        <v>0</v>
      </c>
      <c r="O554" t="n">
        <v>0</v>
      </c>
      <c r="P554" t="n">
        <v>0</v>
      </c>
      <c r="Q554" t="n">
        <v>0</v>
      </c>
      <c r="R554" s="2" t="inlineStr"/>
    </row>
    <row r="555" ht="15" customHeight="1">
      <c r="A555" t="inlineStr">
        <is>
          <t>A 21548-2023</t>
        </is>
      </c>
      <c r="B555" s="1" t="n">
        <v>45063</v>
      </c>
      <c r="C555" s="1" t="n">
        <v>45362</v>
      </c>
      <c r="D555" t="inlineStr">
        <is>
          <t>DALARNAS LÄN</t>
        </is>
      </c>
      <c r="E555" t="inlineStr">
        <is>
          <t>LUDVIKA</t>
        </is>
      </c>
      <c r="F555" t="inlineStr">
        <is>
          <t>Bergvik skog väst AB</t>
        </is>
      </c>
      <c r="G555" t="n">
        <v>6</v>
      </c>
      <c r="H555" t="n">
        <v>0</v>
      </c>
      <c r="I555" t="n">
        <v>0</v>
      </c>
      <c r="J555" t="n">
        <v>0</v>
      </c>
      <c r="K555" t="n">
        <v>0</v>
      </c>
      <c r="L555" t="n">
        <v>0</v>
      </c>
      <c r="M555" t="n">
        <v>0</v>
      </c>
      <c r="N555" t="n">
        <v>0</v>
      </c>
      <c r="O555" t="n">
        <v>0</v>
      </c>
      <c r="P555" t="n">
        <v>0</v>
      </c>
      <c r="Q555" t="n">
        <v>0</v>
      </c>
      <c r="R555" s="2" t="inlineStr"/>
    </row>
    <row r="556" ht="15" customHeight="1">
      <c r="A556" t="inlineStr">
        <is>
          <t>A 21551-2023</t>
        </is>
      </c>
      <c r="B556" s="1" t="n">
        <v>45063</v>
      </c>
      <c r="C556" s="1" t="n">
        <v>45362</v>
      </c>
      <c r="D556" t="inlineStr">
        <is>
          <t>DALARNAS LÄN</t>
        </is>
      </c>
      <c r="E556" t="inlineStr">
        <is>
          <t>LUDVIKA</t>
        </is>
      </c>
      <c r="G556" t="n">
        <v>8.4</v>
      </c>
      <c r="H556" t="n">
        <v>0</v>
      </c>
      <c r="I556" t="n">
        <v>0</v>
      </c>
      <c r="J556" t="n">
        <v>0</v>
      </c>
      <c r="K556" t="n">
        <v>0</v>
      </c>
      <c r="L556" t="n">
        <v>0</v>
      </c>
      <c r="M556" t="n">
        <v>0</v>
      </c>
      <c r="N556" t="n">
        <v>0</v>
      </c>
      <c r="O556" t="n">
        <v>0</v>
      </c>
      <c r="P556" t="n">
        <v>0</v>
      </c>
      <c r="Q556" t="n">
        <v>0</v>
      </c>
      <c r="R556" s="2" t="inlineStr"/>
    </row>
    <row r="557" ht="15" customHeight="1">
      <c r="A557" t="inlineStr">
        <is>
          <t>A 21598-2023</t>
        </is>
      </c>
      <c r="B557" s="1" t="n">
        <v>45063</v>
      </c>
      <c r="C557" s="1" t="n">
        <v>45362</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21649-2023</t>
        </is>
      </c>
      <c r="B558" s="1" t="n">
        <v>45063</v>
      </c>
      <c r="C558" s="1" t="n">
        <v>45362</v>
      </c>
      <c r="D558" t="inlineStr">
        <is>
          <t>DALARNAS LÄN</t>
        </is>
      </c>
      <c r="E558" t="inlineStr">
        <is>
          <t>LUDVIKA</t>
        </is>
      </c>
      <c r="F558" t="inlineStr">
        <is>
          <t>Bergvik skog väst AB</t>
        </is>
      </c>
      <c r="G558" t="n">
        <v>10.3</v>
      </c>
      <c r="H558" t="n">
        <v>0</v>
      </c>
      <c r="I558" t="n">
        <v>0</v>
      </c>
      <c r="J558" t="n">
        <v>0</v>
      </c>
      <c r="K558" t="n">
        <v>0</v>
      </c>
      <c r="L558" t="n">
        <v>0</v>
      </c>
      <c r="M558" t="n">
        <v>0</v>
      </c>
      <c r="N558" t="n">
        <v>0</v>
      </c>
      <c r="O558" t="n">
        <v>0</v>
      </c>
      <c r="P558" t="n">
        <v>0</v>
      </c>
      <c r="Q558" t="n">
        <v>0</v>
      </c>
      <c r="R558" s="2" t="inlineStr"/>
    </row>
    <row r="559" ht="15" customHeight="1">
      <c r="A559" t="inlineStr">
        <is>
          <t>A 21843-2023</t>
        </is>
      </c>
      <c r="B559" s="1" t="n">
        <v>45068</v>
      </c>
      <c r="C559" s="1" t="n">
        <v>45362</v>
      </c>
      <c r="D559" t="inlineStr">
        <is>
          <t>DALARNAS LÄN</t>
        </is>
      </c>
      <c r="E559" t="inlineStr">
        <is>
          <t>LUDVIKA</t>
        </is>
      </c>
      <c r="G559" t="n">
        <v>4.3</v>
      </c>
      <c r="H559" t="n">
        <v>0</v>
      </c>
      <c r="I559" t="n">
        <v>0</v>
      </c>
      <c r="J559" t="n">
        <v>0</v>
      </c>
      <c r="K559" t="n">
        <v>0</v>
      </c>
      <c r="L559" t="n">
        <v>0</v>
      </c>
      <c r="M559" t="n">
        <v>0</v>
      </c>
      <c r="N559" t="n">
        <v>0</v>
      </c>
      <c r="O559" t="n">
        <v>0</v>
      </c>
      <c r="P559" t="n">
        <v>0</v>
      </c>
      <c r="Q559" t="n">
        <v>0</v>
      </c>
      <c r="R559" s="2" t="inlineStr"/>
    </row>
    <row r="560" ht="15" customHeight="1">
      <c r="A560" t="inlineStr">
        <is>
          <t>A 21842-2023</t>
        </is>
      </c>
      <c r="B560" s="1" t="n">
        <v>45068</v>
      </c>
      <c r="C560" s="1" t="n">
        <v>45362</v>
      </c>
      <c r="D560" t="inlineStr">
        <is>
          <t>DALARNAS LÄN</t>
        </is>
      </c>
      <c r="E560" t="inlineStr">
        <is>
          <t>LUDVIKA</t>
        </is>
      </c>
      <c r="G560" t="n">
        <v>3.5</v>
      </c>
      <c r="H560" t="n">
        <v>0</v>
      </c>
      <c r="I560" t="n">
        <v>0</v>
      </c>
      <c r="J560" t="n">
        <v>0</v>
      </c>
      <c r="K560" t="n">
        <v>0</v>
      </c>
      <c r="L560" t="n">
        <v>0</v>
      </c>
      <c r="M560" t="n">
        <v>0</v>
      </c>
      <c r="N560" t="n">
        <v>0</v>
      </c>
      <c r="O560" t="n">
        <v>0</v>
      </c>
      <c r="P560" t="n">
        <v>0</v>
      </c>
      <c r="Q560" t="n">
        <v>0</v>
      </c>
      <c r="R560" s="2" t="inlineStr"/>
    </row>
    <row r="561" ht="15" customHeight="1">
      <c r="A561" t="inlineStr">
        <is>
          <t>A 21870-2023</t>
        </is>
      </c>
      <c r="B561" s="1" t="n">
        <v>45068</v>
      </c>
      <c r="C561" s="1" t="n">
        <v>45362</v>
      </c>
      <c r="D561" t="inlineStr">
        <is>
          <t>DALARNAS LÄN</t>
        </is>
      </c>
      <c r="E561" t="inlineStr">
        <is>
          <t>LUDVIKA</t>
        </is>
      </c>
      <c r="F561" t="inlineStr">
        <is>
          <t>Bergvik skog väst AB</t>
        </is>
      </c>
      <c r="G561" t="n">
        <v>2.7</v>
      </c>
      <c r="H561" t="n">
        <v>0</v>
      </c>
      <c r="I561" t="n">
        <v>0</v>
      </c>
      <c r="J561" t="n">
        <v>0</v>
      </c>
      <c r="K561" t="n">
        <v>0</v>
      </c>
      <c r="L561" t="n">
        <v>0</v>
      </c>
      <c r="M561" t="n">
        <v>0</v>
      </c>
      <c r="N561" t="n">
        <v>0</v>
      </c>
      <c r="O561" t="n">
        <v>0</v>
      </c>
      <c r="P561" t="n">
        <v>0</v>
      </c>
      <c r="Q561" t="n">
        <v>0</v>
      </c>
      <c r="R561" s="2" t="inlineStr"/>
    </row>
    <row r="562" ht="15" customHeight="1">
      <c r="A562" t="inlineStr">
        <is>
          <t>A 21841-2023</t>
        </is>
      </c>
      <c r="B562" s="1" t="n">
        <v>45068</v>
      </c>
      <c r="C562" s="1" t="n">
        <v>45362</v>
      </c>
      <c r="D562" t="inlineStr">
        <is>
          <t>DALARNAS LÄN</t>
        </is>
      </c>
      <c r="E562" t="inlineStr">
        <is>
          <t>LUDVIKA</t>
        </is>
      </c>
      <c r="G562" t="n">
        <v>4.5</v>
      </c>
      <c r="H562" t="n">
        <v>0</v>
      </c>
      <c r="I562" t="n">
        <v>0</v>
      </c>
      <c r="J562" t="n">
        <v>0</v>
      </c>
      <c r="K562" t="n">
        <v>0</v>
      </c>
      <c r="L562" t="n">
        <v>0</v>
      </c>
      <c r="M562" t="n">
        <v>0</v>
      </c>
      <c r="N562" t="n">
        <v>0</v>
      </c>
      <c r="O562" t="n">
        <v>0</v>
      </c>
      <c r="P562" t="n">
        <v>0</v>
      </c>
      <c r="Q562" t="n">
        <v>0</v>
      </c>
      <c r="R562" s="2" t="inlineStr"/>
    </row>
    <row r="563" ht="15" customHeight="1">
      <c r="A563" t="inlineStr">
        <is>
          <t>A 21933-2023</t>
        </is>
      </c>
      <c r="B563" s="1" t="n">
        <v>45068</v>
      </c>
      <c r="C563" s="1" t="n">
        <v>45362</v>
      </c>
      <c r="D563" t="inlineStr">
        <is>
          <t>DALARNAS LÄN</t>
        </is>
      </c>
      <c r="E563" t="inlineStr">
        <is>
          <t>LUDVIKA</t>
        </is>
      </c>
      <c r="F563" t="inlineStr">
        <is>
          <t>Bergvik skog väst AB</t>
        </is>
      </c>
      <c r="G563" t="n">
        <v>12.5</v>
      </c>
      <c r="H563" t="n">
        <v>0</v>
      </c>
      <c r="I563" t="n">
        <v>0</v>
      </c>
      <c r="J563" t="n">
        <v>0</v>
      </c>
      <c r="K563" t="n">
        <v>0</v>
      </c>
      <c r="L563" t="n">
        <v>0</v>
      </c>
      <c r="M563" t="n">
        <v>0</v>
      </c>
      <c r="N563" t="n">
        <v>0</v>
      </c>
      <c r="O563" t="n">
        <v>0</v>
      </c>
      <c r="P563" t="n">
        <v>0</v>
      </c>
      <c r="Q563" t="n">
        <v>0</v>
      </c>
      <c r="R563" s="2" t="inlineStr"/>
    </row>
    <row r="564" ht="15" customHeight="1">
      <c r="A564" t="inlineStr">
        <is>
          <t>A 22149-2023</t>
        </is>
      </c>
      <c r="B564" s="1" t="n">
        <v>45069</v>
      </c>
      <c r="C564" s="1" t="n">
        <v>45362</v>
      </c>
      <c r="D564" t="inlineStr">
        <is>
          <t>DALARNAS LÄN</t>
        </is>
      </c>
      <c r="E564" t="inlineStr">
        <is>
          <t>LUDVIKA</t>
        </is>
      </c>
      <c r="F564" t="inlineStr">
        <is>
          <t>Bergvik skog väst AB</t>
        </is>
      </c>
      <c r="G564" t="n">
        <v>12.9</v>
      </c>
      <c r="H564" t="n">
        <v>0</v>
      </c>
      <c r="I564" t="n">
        <v>0</v>
      </c>
      <c r="J564" t="n">
        <v>0</v>
      </c>
      <c r="K564" t="n">
        <v>0</v>
      </c>
      <c r="L564" t="n">
        <v>0</v>
      </c>
      <c r="M564" t="n">
        <v>0</v>
      </c>
      <c r="N564" t="n">
        <v>0</v>
      </c>
      <c r="O564" t="n">
        <v>0</v>
      </c>
      <c r="P564" t="n">
        <v>0</v>
      </c>
      <c r="Q564" t="n">
        <v>0</v>
      </c>
      <c r="R564" s="2" t="inlineStr"/>
    </row>
    <row r="565" ht="15" customHeight="1">
      <c r="A565" t="inlineStr">
        <is>
          <t>A 22151-2023</t>
        </is>
      </c>
      <c r="B565" s="1" t="n">
        <v>45069</v>
      </c>
      <c r="C565" s="1" t="n">
        <v>45362</v>
      </c>
      <c r="D565" t="inlineStr">
        <is>
          <t>DALARNAS LÄN</t>
        </is>
      </c>
      <c r="E565" t="inlineStr">
        <is>
          <t>LUDVIKA</t>
        </is>
      </c>
      <c r="F565" t="inlineStr">
        <is>
          <t>Bergvik skog väst AB</t>
        </is>
      </c>
      <c r="G565" t="n">
        <v>1.1</v>
      </c>
      <c r="H565" t="n">
        <v>0</v>
      </c>
      <c r="I565" t="n">
        <v>0</v>
      </c>
      <c r="J565" t="n">
        <v>0</v>
      </c>
      <c r="K565" t="n">
        <v>0</v>
      </c>
      <c r="L565" t="n">
        <v>0</v>
      </c>
      <c r="M565" t="n">
        <v>0</v>
      </c>
      <c r="N565" t="n">
        <v>0</v>
      </c>
      <c r="O565" t="n">
        <v>0</v>
      </c>
      <c r="P565" t="n">
        <v>0</v>
      </c>
      <c r="Q565" t="n">
        <v>0</v>
      </c>
      <c r="R565" s="2" t="inlineStr"/>
    </row>
    <row r="566" ht="15" customHeight="1">
      <c r="A566" t="inlineStr">
        <is>
          <t>A 22286-2023</t>
        </is>
      </c>
      <c r="B566" s="1" t="n">
        <v>45070</v>
      </c>
      <c r="C566" s="1" t="n">
        <v>45362</v>
      </c>
      <c r="D566" t="inlineStr">
        <is>
          <t>DALARNAS LÄN</t>
        </is>
      </c>
      <c r="E566" t="inlineStr">
        <is>
          <t>LUDVIKA</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22306-2023</t>
        </is>
      </c>
      <c r="B567" s="1" t="n">
        <v>45070</v>
      </c>
      <c r="C567" s="1" t="n">
        <v>45362</v>
      </c>
      <c r="D567" t="inlineStr">
        <is>
          <t>DALARNAS LÄN</t>
        </is>
      </c>
      <c r="E567" t="inlineStr">
        <is>
          <t>LUDVIKA</t>
        </is>
      </c>
      <c r="F567" t="inlineStr">
        <is>
          <t>Bergvik skog väst AB</t>
        </is>
      </c>
      <c r="G567" t="n">
        <v>2.4</v>
      </c>
      <c r="H567" t="n">
        <v>0</v>
      </c>
      <c r="I567" t="n">
        <v>0</v>
      </c>
      <c r="J567" t="n">
        <v>0</v>
      </c>
      <c r="K567" t="n">
        <v>0</v>
      </c>
      <c r="L567" t="n">
        <v>0</v>
      </c>
      <c r="M567" t="n">
        <v>0</v>
      </c>
      <c r="N567" t="n">
        <v>0</v>
      </c>
      <c r="O567" t="n">
        <v>0</v>
      </c>
      <c r="P567" t="n">
        <v>0</v>
      </c>
      <c r="Q567" t="n">
        <v>0</v>
      </c>
      <c r="R567" s="2" t="inlineStr"/>
    </row>
    <row r="568" ht="15" customHeight="1">
      <c r="A568" t="inlineStr">
        <is>
          <t>A 22375-2023</t>
        </is>
      </c>
      <c r="B568" s="1" t="n">
        <v>45070</v>
      </c>
      <c r="C568" s="1" t="n">
        <v>45362</v>
      </c>
      <c r="D568" t="inlineStr">
        <is>
          <t>DALARNAS LÄN</t>
        </is>
      </c>
      <c r="E568" t="inlineStr">
        <is>
          <t>LUDVIKA</t>
        </is>
      </c>
      <c r="F568" t="inlineStr">
        <is>
          <t>Bergvik skog väst AB</t>
        </is>
      </c>
      <c r="G568" t="n">
        <v>18.4</v>
      </c>
      <c r="H568" t="n">
        <v>0</v>
      </c>
      <c r="I568" t="n">
        <v>0</v>
      </c>
      <c r="J568" t="n">
        <v>0</v>
      </c>
      <c r="K568" t="n">
        <v>0</v>
      </c>
      <c r="L568" t="n">
        <v>0</v>
      </c>
      <c r="M568" t="n">
        <v>0</v>
      </c>
      <c r="N568" t="n">
        <v>0</v>
      </c>
      <c r="O568" t="n">
        <v>0</v>
      </c>
      <c r="P568" t="n">
        <v>0</v>
      </c>
      <c r="Q568" t="n">
        <v>0</v>
      </c>
      <c r="R568" s="2" t="inlineStr"/>
    </row>
    <row r="569" ht="15" customHeight="1">
      <c r="A569" t="inlineStr">
        <is>
          <t>A 22420-2023</t>
        </is>
      </c>
      <c r="B569" s="1" t="n">
        <v>45070</v>
      </c>
      <c r="C569" s="1" t="n">
        <v>45362</v>
      </c>
      <c r="D569" t="inlineStr">
        <is>
          <t>DALARNAS LÄN</t>
        </is>
      </c>
      <c r="E569" t="inlineStr">
        <is>
          <t>LUDVIKA</t>
        </is>
      </c>
      <c r="F569" t="inlineStr">
        <is>
          <t>Bergvik skog väst AB</t>
        </is>
      </c>
      <c r="G569" t="n">
        <v>6.5</v>
      </c>
      <c r="H569" t="n">
        <v>0</v>
      </c>
      <c r="I569" t="n">
        <v>0</v>
      </c>
      <c r="J569" t="n">
        <v>0</v>
      </c>
      <c r="K569" t="n">
        <v>0</v>
      </c>
      <c r="L569" t="n">
        <v>0</v>
      </c>
      <c r="M569" t="n">
        <v>0</v>
      </c>
      <c r="N569" t="n">
        <v>0</v>
      </c>
      <c r="O569" t="n">
        <v>0</v>
      </c>
      <c r="P569" t="n">
        <v>0</v>
      </c>
      <c r="Q569" t="n">
        <v>0</v>
      </c>
      <c r="R569" s="2" t="inlineStr"/>
    </row>
    <row r="570" ht="15" customHeight="1">
      <c r="A570" t="inlineStr">
        <is>
          <t>A 22555-2023</t>
        </is>
      </c>
      <c r="B570" s="1" t="n">
        <v>45071</v>
      </c>
      <c r="C570" s="1" t="n">
        <v>45362</v>
      </c>
      <c r="D570" t="inlineStr">
        <is>
          <t>DALARNAS LÄN</t>
        </is>
      </c>
      <c r="E570" t="inlineStr">
        <is>
          <t>LUDVIKA</t>
        </is>
      </c>
      <c r="F570" t="inlineStr">
        <is>
          <t>Bergvik skog väst AB</t>
        </is>
      </c>
      <c r="G570" t="n">
        <v>6</v>
      </c>
      <c r="H570" t="n">
        <v>0</v>
      </c>
      <c r="I570" t="n">
        <v>0</v>
      </c>
      <c r="J570" t="n">
        <v>0</v>
      </c>
      <c r="K570" t="n">
        <v>0</v>
      </c>
      <c r="L570" t="n">
        <v>0</v>
      </c>
      <c r="M570" t="n">
        <v>0</v>
      </c>
      <c r="N570" t="n">
        <v>0</v>
      </c>
      <c r="O570" t="n">
        <v>0</v>
      </c>
      <c r="P570" t="n">
        <v>0</v>
      </c>
      <c r="Q570" t="n">
        <v>0</v>
      </c>
      <c r="R570" s="2" t="inlineStr"/>
    </row>
    <row r="571" ht="15" customHeight="1">
      <c r="A571" t="inlineStr">
        <is>
          <t>A 23999-2023</t>
        </is>
      </c>
      <c r="B571" s="1" t="n">
        <v>45078</v>
      </c>
      <c r="C571" s="1" t="n">
        <v>45362</v>
      </c>
      <c r="D571" t="inlineStr">
        <is>
          <t>DALARNAS LÄN</t>
        </is>
      </c>
      <c r="E571" t="inlineStr">
        <is>
          <t>LUDVIKA</t>
        </is>
      </c>
      <c r="F571" t="inlineStr">
        <is>
          <t>Bergvik skog väst AB</t>
        </is>
      </c>
      <c r="G571" t="n">
        <v>0.9</v>
      </c>
      <c r="H571" t="n">
        <v>0</v>
      </c>
      <c r="I571" t="n">
        <v>0</v>
      </c>
      <c r="J571" t="n">
        <v>0</v>
      </c>
      <c r="K571" t="n">
        <v>0</v>
      </c>
      <c r="L571" t="n">
        <v>0</v>
      </c>
      <c r="M571" t="n">
        <v>0</v>
      </c>
      <c r="N571" t="n">
        <v>0</v>
      </c>
      <c r="O571" t="n">
        <v>0</v>
      </c>
      <c r="P571" t="n">
        <v>0</v>
      </c>
      <c r="Q571" t="n">
        <v>0</v>
      </c>
      <c r="R571" s="2" t="inlineStr"/>
    </row>
    <row r="572" ht="15" customHeight="1">
      <c r="A572" t="inlineStr">
        <is>
          <t>A 24224-2023</t>
        </is>
      </c>
      <c r="B572" s="1" t="n">
        <v>45079</v>
      </c>
      <c r="C572" s="1" t="n">
        <v>45362</v>
      </c>
      <c r="D572" t="inlineStr">
        <is>
          <t>DALARNAS LÄN</t>
        </is>
      </c>
      <c r="E572" t="inlineStr">
        <is>
          <t>LUDVIKA</t>
        </is>
      </c>
      <c r="F572" t="inlineStr">
        <is>
          <t>Bergvik skog väst AB</t>
        </is>
      </c>
      <c r="G572" t="n">
        <v>12.1</v>
      </c>
      <c r="H572" t="n">
        <v>0</v>
      </c>
      <c r="I572" t="n">
        <v>0</v>
      </c>
      <c r="J572" t="n">
        <v>0</v>
      </c>
      <c r="K572" t="n">
        <v>0</v>
      </c>
      <c r="L572" t="n">
        <v>0</v>
      </c>
      <c r="M572" t="n">
        <v>0</v>
      </c>
      <c r="N572" t="n">
        <v>0</v>
      </c>
      <c r="O572" t="n">
        <v>0</v>
      </c>
      <c r="P572" t="n">
        <v>0</v>
      </c>
      <c r="Q572" t="n">
        <v>0</v>
      </c>
      <c r="R572" s="2" t="inlineStr"/>
    </row>
    <row r="573" ht="15" customHeight="1">
      <c r="A573" t="inlineStr">
        <is>
          <t>A 24256-2023</t>
        </is>
      </c>
      <c r="B573" s="1" t="n">
        <v>45079</v>
      </c>
      <c r="C573" s="1" t="n">
        <v>45362</v>
      </c>
      <c r="D573" t="inlineStr">
        <is>
          <t>DALARNAS LÄN</t>
        </is>
      </c>
      <c r="E573" t="inlineStr">
        <is>
          <t>LUDVIKA</t>
        </is>
      </c>
      <c r="F573" t="inlineStr">
        <is>
          <t>Bergvik skog väst AB</t>
        </is>
      </c>
      <c r="G573" t="n">
        <v>10.9</v>
      </c>
      <c r="H573" t="n">
        <v>0</v>
      </c>
      <c r="I573" t="n">
        <v>0</v>
      </c>
      <c r="J573" t="n">
        <v>0</v>
      </c>
      <c r="K573" t="n">
        <v>0</v>
      </c>
      <c r="L573" t="n">
        <v>0</v>
      </c>
      <c r="M573" t="n">
        <v>0</v>
      </c>
      <c r="N573" t="n">
        <v>0</v>
      </c>
      <c r="O573" t="n">
        <v>0</v>
      </c>
      <c r="P573" t="n">
        <v>0</v>
      </c>
      <c r="Q573" t="n">
        <v>0</v>
      </c>
      <c r="R573" s="2" t="inlineStr"/>
    </row>
    <row r="574" ht="15" customHeight="1">
      <c r="A574" t="inlineStr">
        <is>
          <t>A 24379-2023</t>
        </is>
      </c>
      <c r="B574" s="1" t="n">
        <v>45082</v>
      </c>
      <c r="C574" s="1" t="n">
        <v>45362</v>
      </c>
      <c r="D574" t="inlineStr">
        <is>
          <t>DALARNAS LÄN</t>
        </is>
      </c>
      <c r="E574" t="inlineStr">
        <is>
          <t>LUDVIKA</t>
        </is>
      </c>
      <c r="F574" t="inlineStr">
        <is>
          <t>Naturvårdsverket</t>
        </is>
      </c>
      <c r="G574" t="n">
        <v>2.1</v>
      </c>
      <c r="H574" t="n">
        <v>0</v>
      </c>
      <c r="I574" t="n">
        <v>0</v>
      </c>
      <c r="J574" t="n">
        <v>0</v>
      </c>
      <c r="K574" t="n">
        <v>0</v>
      </c>
      <c r="L574" t="n">
        <v>0</v>
      </c>
      <c r="M574" t="n">
        <v>0</v>
      </c>
      <c r="N574" t="n">
        <v>0</v>
      </c>
      <c r="O574" t="n">
        <v>0</v>
      </c>
      <c r="P574" t="n">
        <v>0</v>
      </c>
      <c r="Q574" t="n">
        <v>0</v>
      </c>
      <c r="R574" s="2" t="inlineStr"/>
    </row>
    <row r="575" ht="15" customHeight="1">
      <c r="A575" t="inlineStr">
        <is>
          <t>A 24469-2023</t>
        </is>
      </c>
      <c r="B575" s="1" t="n">
        <v>45082</v>
      </c>
      <c r="C575" s="1" t="n">
        <v>45362</v>
      </c>
      <c r="D575" t="inlineStr">
        <is>
          <t>DALARNAS LÄN</t>
        </is>
      </c>
      <c r="E575" t="inlineStr">
        <is>
          <t>LUDVIKA</t>
        </is>
      </c>
      <c r="F575" t="inlineStr">
        <is>
          <t>Naturvårdsverket</t>
        </is>
      </c>
      <c r="G575" t="n">
        <v>4</v>
      </c>
      <c r="H575" t="n">
        <v>0</v>
      </c>
      <c r="I575" t="n">
        <v>0</v>
      </c>
      <c r="J575" t="n">
        <v>0</v>
      </c>
      <c r="K575" t="n">
        <v>0</v>
      </c>
      <c r="L575" t="n">
        <v>0</v>
      </c>
      <c r="M575" t="n">
        <v>0</v>
      </c>
      <c r="N575" t="n">
        <v>0</v>
      </c>
      <c r="O575" t="n">
        <v>0</v>
      </c>
      <c r="P575" t="n">
        <v>0</v>
      </c>
      <c r="Q575" t="n">
        <v>0</v>
      </c>
      <c r="R575" s="2" t="inlineStr"/>
    </row>
    <row r="576" ht="15" customHeight="1">
      <c r="A576" t="inlineStr">
        <is>
          <t>A 24612-2023</t>
        </is>
      </c>
      <c r="B576" s="1" t="n">
        <v>45084</v>
      </c>
      <c r="C576" s="1" t="n">
        <v>45362</v>
      </c>
      <c r="D576" t="inlineStr">
        <is>
          <t>DALARNAS LÄN</t>
        </is>
      </c>
      <c r="E576" t="inlineStr">
        <is>
          <t>LUDVIKA</t>
        </is>
      </c>
      <c r="F576" t="inlineStr">
        <is>
          <t>Bergvik skog väst AB</t>
        </is>
      </c>
      <c r="G576" t="n">
        <v>11.7</v>
      </c>
      <c r="H576" t="n">
        <v>0</v>
      </c>
      <c r="I576" t="n">
        <v>0</v>
      </c>
      <c r="J576" t="n">
        <v>0</v>
      </c>
      <c r="K576" t="n">
        <v>0</v>
      </c>
      <c r="L576" t="n">
        <v>0</v>
      </c>
      <c r="M576" t="n">
        <v>0</v>
      </c>
      <c r="N576" t="n">
        <v>0</v>
      </c>
      <c r="O576" t="n">
        <v>0</v>
      </c>
      <c r="P576" t="n">
        <v>0</v>
      </c>
      <c r="Q576" t="n">
        <v>0</v>
      </c>
      <c r="R576" s="2" t="inlineStr"/>
    </row>
    <row r="577" ht="15" customHeight="1">
      <c r="A577" t="inlineStr">
        <is>
          <t>A 25077-2023</t>
        </is>
      </c>
      <c r="B577" s="1" t="n">
        <v>45086</v>
      </c>
      <c r="C577" s="1" t="n">
        <v>45362</v>
      </c>
      <c r="D577" t="inlineStr">
        <is>
          <t>DALARNAS LÄN</t>
        </is>
      </c>
      <c r="E577" t="inlineStr">
        <is>
          <t>LUDVIKA</t>
        </is>
      </c>
      <c r="F577" t="inlineStr">
        <is>
          <t>Bergvik skog väst AB</t>
        </is>
      </c>
      <c r="G577" t="n">
        <v>0.7</v>
      </c>
      <c r="H577" t="n">
        <v>0</v>
      </c>
      <c r="I577" t="n">
        <v>0</v>
      </c>
      <c r="J577" t="n">
        <v>0</v>
      </c>
      <c r="K577" t="n">
        <v>0</v>
      </c>
      <c r="L577" t="n">
        <v>0</v>
      </c>
      <c r="M577" t="n">
        <v>0</v>
      </c>
      <c r="N577" t="n">
        <v>0</v>
      </c>
      <c r="O577" t="n">
        <v>0</v>
      </c>
      <c r="P577" t="n">
        <v>0</v>
      </c>
      <c r="Q577" t="n">
        <v>0</v>
      </c>
      <c r="R577" s="2" t="inlineStr"/>
    </row>
    <row r="578" ht="15" customHeight="1">
      <c r="A578" t="inlineStr">
        <is>
          <t>A 25099-2023</t>
        </is>
      </c>
      <c r="B578" s="1" t="n">
        <v>45086</v>
      </c>
      <c r="C578" s="1" t="n">
        <v>45362</v>
      </c>
      <c r="D578" t="inlineStr">
        <is>
          <t>DALARNAS LÄN</t>
        </is>
      </c>
      <c r="E578" t="inlineStr">
        <is>
          <t>LUDVIKA</t>
        </is>
      </c>
      <c r="F578" t="inlineStr">
        <is>
          <t>Bergvik skog väst AB</t>
        </is>
      </c>
      <c r="G578" t="n">
        <v>4.6</v>
      </c>
      <c r="H578" t="n">
        <v>0</v>
      </c>
      <c r="I578" t="n">
        <v>0</v>
      </c>
      <c r="J578" t="n">
        <v>0</v>
      </c>
      <c r="K578" t="n">
        <v>0</v>
      </c>
      <c r="L578" t="n">
        <v>0</v>
      </c>
      <c r="M578" t="n">
        <v>0</v>
      </c>
      <c r="N578" t="n">
        <v>0</v>
      </c>
      <c r="O578" t="n">
        <v>0</v>
      </c>
      <c r="P578" t="n">
        <v>0</v>
      </c>
      <c r="Q578" t="n">
        <v>0</v>
      </c>
      <c r="R578" s="2" t="inlineStr"/>
    </row>
    <row r="579" ht="15" customHeight="1">
      <c r="A579" t="inlineStr">
        <is>
          <t>A 25624-2023</t>
        </is>
      </c>
      <c r="B579" s="1" t="n">
        <v>45089</v>
      </c>
      <c r="C579" s="1" t="n">
        <v>45362</v>
      </c>
      <c r="D579" t="inlineStr">
        <is>
          <t>DALARNAS LÄN</t>
        </is>
      </c>
      <c r="E579" t="inlineStr">
        <is>
          <t>LUDVIKA</t>
        </is>
      </c>
      <c r="F579" t="inlineStr">
        <is>
          <t>Bergvik skog väst AB</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26147-2023</t>
        </is>
      </c>
      <c r="B580" s="1" t="n">
        <v>45091</v>
      </c>
      <c r="C580" s="1" t="n">
        <v>45362</v>
      </c>
      <c r="D580" t="inlineStr">
        <is>
          <t>DALARNAS LÄN</t>
        </is>
      </c>
      <c r="E580" t="inlineStr">
        <is>
          <t>LUDVIKA</t>
        </is>
      </c>
      <c r="F580" t="inlineStr">
        <is>
          <t>Naturvårdsverket</t>
        </is>
      </c>
      <c r="G580" t="n">
        <v>4.1</v>
      </c>
      <c r="H580" t="n">
        <v>0</v>
      </c>
      <c r="I580" t="n">
        <v>0</v>
      </c>
      <c r="J580" t="n">
        <v>0</v>
      </c>
      <c r="K580" t="n">
        <v>0</v>
      </c>
      <c r="L580" t="n">
        <v>0</v>
      </c>
      <c r="M580" t="n">
        <v>0</v>
      </c>
      <c r="N580" t="n">
        <v>0</v>
      </c>
      <c r="O580" t="n">
        <v>0</v>
      </c>
      <c r="P580" t="n">
        <v>0</v>
      </c>
      <c r="Q580" t="n">
        <v>0</v>
      </c>
      <c r="R580" s="2" t="inlineStr"/>
    </row>
    <row r="581" ht="15" customHeight="1">
      <c r="A581" t="inlineStr">
        <is>
          <t>A 26766-2023</t>
        </is>
      </c>
      <c r="B581" s="1" t="n">
        <v>45093</v>
      </c>
      <c r="C581" s="1" t="n">
        <v>45362</v>
      </c>
      <c r="D581" t="inlineStr">
        <is>
          <t>DALARNAS LÄN</t>
        </is>
      </c>
      <c r="E581" t="inlineStr">
        <is>
          <t>LUDVIKA</t>
        </is>
      </c>
      <c r="F581" t="inlineStr">
        <is>
          <t>Naturvårdsverket</t>
        </is>
      </c>
      <c r="G581" t="n">
        <v>1.6</v>
      </c>
      <c r="H581" t="n">
        <v>0</v>
      </c>
      <c r="I581" t="n">
        <v>0</v>
      </c>
      <c r="J581" t="n">
        <v>0</v>
      </c>
      <c r="K581" t="n">
        <v>0</v>
      </c>
      <c r="L581" t="n">
        <v>0</v>
      </c>
      <c r="M581" t="n">
        <v>0</v>
      </c>
      <c r="N581" t="n">
        <v>0</v>
      </c>
      <c r="O581" t="n">
        <v>0</v>
      </c>
      <c r="P581" t="n">
        <v>0</v>
      </c>
      <c r="Q581" t="n">
        <v>0</v>
      </c>
      <c r="R581" s="2" t="inlineStr"/>
    </row>
    <row r="582" ht="15" customHeight="1">
      <c r="A582" t="inlineStr">
        <is>
          <t>A 26884-2023</t>
        </is>
      </c>
      <c r="B582" s="1" t="n">
        <v>45093</v>
      </c>
      <c r="C582" s="1" t="n">
        <v>45362</v>
      </c>
      <c r="D582" t="inlineStr">
        <is>
          <t>DALARNAS LÄN</t>
        </is>
      </c>
      <c r="E582" t="inlineStr">
        <is>
          <t>LUDVIKA</t>
        </is>
      </c>
      <c r="F582" t="inlineStr">
        <is>
          <t>Naturvårdsverket</t>
        </is>
      </c>
      <c r="G582" t="n">
        <v>3.5</v>
      </c>
      <c r="H582" t="n">
        <v>0</v>
      </c>
      <c r="I582" t="n">
        <v>0</v>
      </c>
      <c r="J582" t="n">
        <v>0</v>
      </c>
      <c r="K582" t="n">
        <v>0</v>
      </c>
      <c r="L582" t="n">
        <v>0</v>
      </c>
      <c r="M582" t="n">
        <v>0</v>
      </c>
      <c r="N582" t="n">
        <v>0</v>
      </c>
      <c r="O582" t="n">
        <v>0</v>
      </c>
      <c r="P582" t="n">
        <v>0</v>
      </c>
      <c r="Q582" t="n">
        <v>0</v>
      </c>
      <c r="R582" s="2" t="inlineStr"/>
    </row>
    <row r="583" ht="15" customHeight="1">
      <c r="A583" t="inlineStr">
        <is>
          <t>A 26789-2023</t>
        </is>
      </c>
      <c r="B583" s="1" t="n">
        <v>45093</v>
      </c>
      <c r="C583" s="1" t="n">
        <v>45362</v>
      </c>
      <c r="D583" t="inlineStr">
        <is>
          <t>DALARNAS LÄN</t>
        </is>
      </c>
      <c r="E583" t="inlineStr">
        <is>
          <t>LUDVIKA</t>
        </is>
      </c>
      <c r="F583" t="inlineStr">
        <is>
          <t>Bergvik skog väst AB</t>
        </is>
      </c>
      <c r="G583" t="n">
        <v>3.2</v>
      </c>
      <c r="H583" t="n">
        <v>0</v>
      </c>
      <c r="I583" t="n">
        <v>0</v>
      </c>
      <c r="J583" t="n">
        <v>0</v>
      </c>
      <c r="K583" t="n">
        <v>0</v>
      </c>
      <c r="L583" t="n">
        <v>0</v>
      </c>
      <c r="M583" t="n">
        <v>0</v>
      </c>
      <c r="N583" t="n">
        <v>0</v>
      </c>
      <c r="O583" t="n">
        <v>0</v>
      </c>
      <c r="P583" t="n">
        <v>0</v>
      </c>
      <c r="Q583" t="n">
        <v>0</v>
      </c>
      <c r="R583" s="2" t="inlineStr"/>
    </row>
    <row r="584" ht="15" customHeight="1">
      <c r="A584" t="inlineStr">
        <is>
          <t>A 27870-2023</t>
        </is>
      </c>
      <c r="B584" s="1" t="n">
        <v>45098</v>
      </c>
      <c r="C584" s="1" t="n">
        <v>45362</v>
      </c>
      <c r="D584" t="inlineStr">
        <is>
          <t>DALARNAS LÄN</t>
        </is>
      </c>
      <c r="E584" t="inlineStr">
        <is>
          <t>LUDVIKA</t>
        </is>
      </c>
      <c r="F584" t="inlineStr">
        <is>
          <t>Bergvik skog väst AB</t>
        </is>
      </c>
      <c r="G584" t="n">
        <v>24.7</v>
      </c>
      <c r="H584" t="n">
        <v>0</v>
      </c>
      <c r="I584" t="n">
        <v>0</v>
      </c>
      <c r="J584" t="n">
        <v>0</v>
      </c>
      <c r="K584" t="n">
        <v>0</v>
      </c>
      <c r="L584" t="n">
        <v>0</v>
      </c>
      <c r="M584" t="n">
        <v>0</v>
      </c>
      <c r="N584" t="n">
        <v>0</v>
      </c>
      <c r="O584" t="n">
        <v>0</v>
      </c>
      <c r="P584" t="n">
        <v>0</v>
      </c>
      <c r="Q584" t="n">
        <v>0</v>
      </c>
      <c r="R584" s="2" t="inlineStr"/>
    </row>
    <row r="585" ht="15" customHeight="1">
      <c r="A585" t="inlineStr">
        <is>
          <t>A 27917-2023</t>
        </is>
      </c>
      <c r="B585" s="1" t="n">
        <v>45098</v>
      </c>
      <c r="C585" s="1" t="n">
        <v>45362</v>
      </c>
      <c r="D585" t="inlineStr">
        <is>
          <t>DALARNAS LÄN</t>
        </is>
      </c>
      <c r="E585" t="inlineStr">
        <is>
          <t>LUDVIKA</t>
        </is>
      </c>
      <c r="F585" t="inlineStr">
        <is>
          <t>Bergvik skog väst AB</t>
        </is>
      </c>
      <c r="G585" t="n">
        <v>10.4</v>
      </c>
      <c r="H585" t="n">
        <v>0</v>
      </c>
      <c r="I585" t="n">
        <v>0</v>
      </c>
      <c r="J585" t="n">
        <v>0</v>
      </c>
      <c r="K585" t="n">
        <v>0</v>
      </c>
      <c r="L585" t="n">
        <v>0</v>
      </c>
      <c r="M585" t="n">
        <v>0</v>
      </c>
      <c r="N585" t="n">
        <v>0</v>
      </c>
      <c r="O585" t="n">
        <v>0</v>
      </c>
      <c r="P585" t="n">
        <v>0</v>
      </c>
      <c r="Q585" t="n">
        <v>0</v>
      </c>
      <c r="R585" s="2" t="inlineStr"/>
    </row>
    <row r="586" ht="15" customHeight="1">
      <c r="A586" t="inlineStr">
        <is>
          <t>A 27954-2023</t>
        </is>
      </c>
      <c r="B586" s="1" t="n">
        <v>45098</v>
      </c>
      <c r="C586" s="1" t="n">
        <v>45362</v>
      </c>
      <c r="D586" t="inlineStr">
        <is>
          <t>DALARNAS LÄN</t>
        </is>
      </c>
      <c r="E586" t="inlineStr">
        <is>
          <t>LUDVIKA</t>
        </is>
      </c>
      <c r="F586" t="inlineStr">
        <is>
          <t>Bergvik skog väst AB</t>
        </is>
      </c>
      <c r="G586" t="n">
        <v>6.2</v>
      </c>
      <c r="H586" t="n">
        <v>0</v>
      </c>
      <c r="I586" t="n">
        <v>0</v>
      </c>
      <c r="J586" t="n">
        <v>0</v>
      </c>
      <c r="K586" t="n">
        <v>0</v>
      </c>
      <c r="L586" t="n">
        <v>0</v>
      </c>
      <c r="M586" t="n">
        <v>0</v>
      </c>
      <c r="N586" t="n">
        <v>0</v>
      </c>
      <c r="O586" t="n">
        <v>0</v>
      </c>
      <c r="P586" t="n">
        <v>0</v>
      </c>
      <c r="Q586" t="n">
        <v>0</v>
      </c>
      <c r="R586" s="2" t="inlineStr"/>
    </row>
    <row r="587" ht="15" customHeight="1">
      <c r="A587" t="inlineStr">
        <is>
          <t>A 27929-2023</t>
        </is>
      </c>
      <c r="B587" s="1" t="n">
        <v>45098</v>
      </c>
      <c r="C587" s="1" t="n">
        <v>45362</v>
      </c>
      <c r="D587" t="inlineStr">
        <is>
          <t>DALARNAS LÄN</t>
        </is>
      </c>
      <c r="E587" t="inlineStr">
        <is>
          <t>LUDVIKA</t>
        </is>
      </c>
      <c r="F587" t="inlineStr">
        <is>
          <t>Bergvik skog väst AB</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28144-2023</t>
        </is>
      </c>
      <c r="B588" s="1" t="n">
        <v>45099</v>
      </c>
      <c r="C588" s="1" t="n">
        <v>45362</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28134-2023</t>
        </is>
      </c>
      <c r="B589" s="1" t="n">
        <v>45099</v>
      </c>
      <c r="C589" s="1" t="n">
        <v>45362</v>
      </c>
      <c r="D589" t="inlineStr">
        <is>
          <t>DALARNAS LÄN</t>
        </is>
      </c>
      <c r="E589" t="inlineStr">
        <is>
          <t>LUDVIKA</t>
        </is>
      </c>
      <c r="F589" t="inlineStr">
        <is>
          <t>Bergvik skog väst AB</t>
        </is>
      </c>
      <c r="G589" t="n">
        <v>0.7</v>
      </c>
      <c r="H589" t="n">
        <v>0</v>
      </c>
      <c r="I589" t="n">
        <v>0</v>
      </c>
      <c r="J589" t="n">
        <v>0</v>
      </c>
      <c r="K589" t="n">
        <v>0</v>
      </c>
      <c r="L589" t="n">
        <v>0</v>
      </c>
      <c r="M589" t="n">
        <v>0</v>
      </c>
      <c r="N589" t="n">
        <v>0</v>
      </c>
      <c r="O589" t="n">
        <v>0</v>
      </c>
      <c r="P589" t="n">
        <v>0</v>
      </c>
      <c r="Q589" t="n">
        <v>0</v>
      </c>
      <c r="R589" s="2" t="inlineStr"/>
    </row>
    <row r="590" ht="15" customHeight="1">
      <c r="A590" t="inlineStr">
        <is>
          <t>A 28125-2023</t>
        </is>
      </c>
      <c r="B590" s="1" t="n">
        <v>45099</v>
      </c>
      <c r="C590" s="1" t="n">
        <v>45362</v>
      </c>
      <c r="D590" t="inlineStr">
        <is>
          <t>DALARNAS LÄN</t>
        </is>
      </c>
      <c r="E590" t="inlineStr">
        <is>
          <t>LUDVIKA</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28138-2023</t>
        </is>
      </c>
      <c r="B591" s="1" t="n">
        <v>45099</v>
      </c>
      <c r="C591" s="1" t="n">
        <v>45362</v>
      </c>
      <c r="D591" t="inlineStr">
        <is>
          <t>DALARNAS LÄN</t>
        </is>
      </c>
      <c r="E591" t="inlineStr">
        <is>
          <t>LUDVIKA</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28157-2023</t>
        </is>
      </c>
      <c r="B592" s="1" t="n">
        <v>45099</v>
      </c>
      <c r="C592" s="1" t="n">
        <v>45362</v>
      </c>
      <c r="D592" t="inlineStr">
        <is>
          <t>DALARNAS LÄN</t>
        </is>
      </c>
      <c r="E592" t="inlineStr">
        <is>
          <t>LUDVIKA</t>
        </is>
      </c>
      <c r="F592" t="inlineStr">
        <is>
          <t>Bergvik skog väst AB</t>
        </is>
      </c>
      <c r="G592" t="n">
        <v>0.8</v>
      </c>
      <c r="H592" t="n">
        <v>0</v>
      </c>
      <c r="I592" t="n">
        <v>0</v>
      </c>
      <c r="J592" t="n">
        <v>0</v>
      </c>
      <c r="K592" t="n">
        <v>0</v>
      </c>
      <c r="L592" t="n">
        <v>0</v>
      </c>
      <c r="M592" t="n">
        <v>0</v>
      </c>
      <c r="N592" t="n">
        <v>0</v>
      </c>
      <c r="O592" t="n">
        <v>0</v>
      </c>
      <c r="P592" t="n">
        <v>0</v>
      </c>
      <c r="Q592" t="n">
        <v>0</v>
      </c>
      <c r="R592" s="2" t="inlineStr"/>
    </row>
    <row r="593" ht="15" customHeight="1">
      <c r="A593" t="inlineStr">
        <is>
          <t>A 28141-2023</t>
        </is>
      </c>
      <c r="B593" s="1" t="n">
        <v>45099</v>
      </c>
      <c r="C593" s="1" t="n">
        <v>45362</v>
      </c>
      <c r="D593" t="inlineStr">
        <is>
          <t>DALARNAS LÄN</t>
        </is>
      </c>
      <c r="E593" t="inlineStr">
        <is>
          <t>LUDVIKA</t>
        </is>
      </c>
      <c r="F593" t="inlineStr">
        <is>
          <t>Bergvik skog väst AB</t>
        </is>
      </c>
      <c r="G593" t="n">
        <v>2.3</v>
      </c>
      <c r="H593" t="n">
        <v>0</v>
      </c>
      <c r="I593" t="n">
        <v>0</v>
      </c>
      <c r="J593" t="n">
        <v>0</v>
      </c>
      <c r="K593" t="n">
        <v>0</v>
      </c>
      <c r="L593" t="n">
        <v>0</v>
      </c>
      <c r="M593" t="n">
        <v>0</v>
      </c>
      <c r="N593" t="n">
        <v>0</v>
      </c>
      <c r="O593" t="n">
        <v>0</v>
      </c>
      <c r="P593" t="n">
        <v>0</v>
      </c>
      <c r="Q593" t="n">
        <v>0</v>
      </c>
      <c r="R593" s="2" t="inlineStr"/>
    </row>
    <row r="594" ht="15" customHeight="1">
      <c r="A594" t="inlineStr">
        <is>
          <t>A 28150-2023</t>
        </is>
      </c>
      <c r="B594" s="1" t="n">
        <v>45099</v>
      </c>
      <c r="C594" s="1" t="n">
        <v>45362</v>
      </c>
      <c r="D594" t="inlineStr">
        <is>
          <t>DALARNAS LÄN</t>
        </is>
      </c>
      <c r="E594" t="inlineStr">
        <is>
          <t>LUDVIKA</t>
        </is>
      </c>
      <c r="F594" t="inlineStr">
        <is>
          <t>Bergvik skog väst AB</t>
        </is>
      </c>
      <c r="G594" t="n">
        <v>2.2</v>
      </c>
      <c r="H594" t="n">
        <v>0</v>
      </c>
      <c r="I594" t="n">
        <v>0</v>
      </c>
      <c r="J594" t="n">
        <v>0</v>
      </c>
      <c r="K594" t="n">
        <v>0</v>
      </c>
      <c r="L594" t="n">
        <v>0</v>
      </c>
      <c r="M594" t="n">
        <v>0</v>
      </c>
      <c r="N594" t="n">
        <v>0</v>
      </c>
      <c r="O594" t="n">
        <v>0</v>
      </c>
      <c r="P594" t="n">
        <v>0</v>
      </c>
      <c r="Q594" t="n">
        <v>0</v>
      </c>
      <c r="R594" s="2" t="inlineStr"/>
    </row>
    <row r="595" ht="15" customHeight="1">
      <c r="A595" t="inlineStr">
        <is>
          <t>A 28507-2023</t>
        </is>
      </c>
      <c r="B595" s="1" t="n">
        <v>45103</v>
      </c>
      <c r="C595" s="1" t="n">
        <v>45362</v>
      </c>
      <c r="D595" t="inlineStr">
        <is>
          <t>DALARNAS LÄN</t>
        </is>
      </c>
      <c r="E595" t="inlineStr">
        <is>
          <t>LUDVIKA</t>
        </is>
      </c>
      <c r="G595" t="n">
        <v>2.4</v>
      </c>
      <c r="H595" t="n">
        <v>0</v>
      </c>
      <c r="I595" t="n">
        <v>0</v>
      </c>
      <c r="J595" t="n">
        <v>0</v>
      </c>
      <c r="K595" t="n">
        <v>0</v>
      </c>
      <c r="L595" t="n">
        <v>0</v>
      </c>
      <c r="M595" t="n">
        <v>0</v>
      </c>
      <c r="N595" t="n">
        <v>0</v>
      </c>
      <c r="O595" t="n">
        <v>0</v>
      </c>
      <c r="P595" t="n">
        <v>0</v>
      </c>
      <c r="Q595" t="n">
        <v>0</v>
      </c>
      <c r="R595" s="2" t="inlineStr"/>
    </row>
    <row r="596" ht="15" customHeight="1">
      <c r="A596" t="inlineStr">
        <is>
          <t>A 29242-2023</t>
        </is>
      </c>
      <c r="B596" s="1" t="n">
        <v>45105</v>
      </c>
      <c r="C596" s="1" t="n">
        <v>45362</v>
      </c>
      <c r="D596" t="inlineStr">
        <is>
          <t>DALARNAS LÄN</t>
        </is>
      </c>
      <c r="E596" t="inlineStr">
        <is>
          <t>LUDVIKA</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31702-2023</t>
        </is>
      </c>
      <c r="B597" s="1" t="n">
        <v>45105</v>
      </c>
      <c r="C597" s="1" t="n">
        <v>45362</v>
      </c>
      <c r="D597" t="inlineStr">
        <is>
          <t>DALARNAS LÄN</t>
        </is>
      </c>
      <c r="E597" t="inlineStr">
        <is>
          <t>LUDVIKA</t>
        </is>
      </c>
      <c r="G597" t="n">
        <v>2.3</v>
      </c>
      <c r="H597" t="n">
        <v>0</v>
      </c>
      <c r="I597" t="n">
        <v>0</v>
      </c>
      <c r="J597" t="n">
        <v>0</v>
      </c>
      <c r="K597" t="n">
        <v>0</v>
      </c>
      <c r="L597" t="n">
        <v>0</v>
      </c>
      <c r="M597" t="n">
        <v>0</v>
      </c>
      <c r="N597" t="n">
        <v>0</v>
      </c>
      <c r="O597" t="n">
        <v>0</v>
      </c>
      <c r="P597" t="n">
        <v>0</v>
      </c>
      <c r="Q597" t="n">
        <v>0</v>
      </c>
      <c r="R597" s="2" t="inlineStr"/>
    </row>
    <row r="598" ht="15" customHeight="1">
      <c r="A598" t="inlineStr">
        <is>
          <t>A 29535-2023</t>
        </is>
      </c>
      <c r="B598" s="1" t="n">
        <v>45106</v>
      </c>
      <c r="C598" s="1" t="n">
        <v>45362</v>
      </c>
      <c r="D598" t="inlineStr">
        <is>
          <t>DALARNAS LÄN</t>
        </is>
      </c>
      <c r="E598" t="inlineStr">
        <is>
          <t>LUDVIKA</t>
        </is>
      </c>
      <c r="G598" t="n">
        <v>2.8</v>
      </c>
      <c r="H598" t="n">
        <v>0</v>
      </c>
      <c r="I598" t="n">
        <v>0</v>
      </c>
      <c r="J598" t="n">
        <v>0</v>
      </c>
      <c r="K598" t="n">
        <v>0</v>
      </c>
      <c r="L598" t="n">
        <v>0</v>
      </c>
      <c r="M598" t="n">
        <v>0</v>
      </c>
      <c r="N598" t="n">
        <v>0</v>
      </c>
      <c r="O598" t="n">
        <v>0</v>
      </c>
      <c r="P598" t="n">
        <v>0</v>
      </c>
      <c r="Q598" t="n">
        <v>0</v>
      </c>
      <c r="R598" s="2" t="inlineStr"/>
    </row>
    <row r="599" ht="15" customHeight="1">
      <c r="A599" t="inlineStr">
        <is>
          <t>A 29666-2023</t>
        </is>
      </c>
      <c r="B599" s="1" t="n">
        <v>45107</v>
      </c>
      <c r="C599" s="1" t="n">
        <v>45362</v>
      </c>
      <c r="D599" t="inlineStr">
        <is>
          <t>DALARNAS LÄN</t>
        </is>
      </c>
      <c r="E599" t="inlineStr">
        <is>
          <t>LUDVIKA</t>
        </is>
      </c>
      <c r="F599" t="inlineStr">
        <is>
          <t>Bergvik skog väst AB</t>
        </is>
      </c>
      <c r="G599" t="n">
        <v>1.5</v>
      </c>
      <c r="H599" t="n">
        <v>0</v>
      </c>
      <c r="I599" t="n">
        <v>0</v>
      </c>
      <c r="J599" t="n">
        <v>0</v>
      </c>
      <c r="K599" t="n">
        <v>0</v>
      </c>
      <c r="L599" t="n">
        <v>0</v>
      </c>
      <c r="M599" t="n">
        <v>0</v>
      </c>
      <c r="N599" t="n">
        <v>0</v>
      </c>
      <c r="O599" t="n">
        <v>0</v>
      </c>
      <c r="P599" t="n">
        <v>0</v>
      </c>
      <c r="Q599" t="n">
        <v>0</v>
      </c>
      <c r="R599" s="2" t="inlineStr"/>
    </row>
    <row r="600" ht="15" customHeight="1">
      <c r="A600" t="inlineStr">
        <is>
          <t>A 29698-2023</t>
        </is>
      </c>
      <c r="B600" s="1" t="n">
        <v>45107</v>
      </c>
      <c r="C600" s="1" t="n">
        <v>45362</v>
      </c>
      <c r="D600" t="inlineStr">
        <is>
          <t>DALARNAS LÄN</t>
        </is>
      </c>
      <c r="E600" t="inlineStr">
        <is>
          <t>LUDVIKA</t>
        </is>
      </c>
      <c r="G600" t="n">
        <v>2.7</v>
      </c>
      <c r="H600" t="n">
        <v>0</v>
      </c>
      <c r="I600" t="n">
        <v>0</v>
      </c>
      <c r="J600" t="n">
        <v>0</v>
      </c>
      <c r="K600" t="n">
        <v>0</v>
      </c>
      <c r="L600" t="n">
        <v>0</v>
      </c>
      <c r="M600" t="n">
        <v>0</v>
      </c>
      <c r="N600" t="n">
        <v>0</v>
      </c>
      <c r="O600" t="n">
        <v>0</v>
      </c>
      <c r="P600" t="n">
        <v>0</v>
      </c>
      <c r="Q600" t="n">
        <v>0</v>
      </c>
      <c r="R600" s="2" t="inlineStr"/>
    </row>
    <row r="601" ht="15" customHeight="1">
      <c r="A601" t="inlineStr">
        <is>
          <t>A 30113-2023</t>
        </is>
      </c>
      <c r="B601" s="1" t="n">
        <v>45110</v>
      </c>
      <c r="C601" s="1" t="n">
        <v>45362</v>
      </c>
      <c r="D601" t="inlineStr">
        <is>
          <t>DALARNAS LÄN</t>
        </is>
      </c>
      <c r="E601" t="inlineStr">
        <is>
          <t>LUDVIKA</t>
        </is>
      </c>
      <c r="G601" t="n">
        <v>3.3</v>
      </c>
      <c r="H601" t="n">
        <v>0</v>
      </c>
      <c r="I601" t="n">
        <v>0</v>
      </c>
      <c r="J601" t="n">
        <v>0</v>
      </c>
      <c r="K601" t="n">
        <v>0</v>
      </c>
      <c r="L601" t="n">
        <v>0</v>
      </c>
      <c r="M601" t="n">
        <v>0</v>
      </c>
      <c r="N601" t="n">
        <v>0</v>
      </c>
      <c r="O601" t="n">
        <v>0</v>
      </c>
      <c r="P601" t="n">
        <v>0</v>
      </c>
      <c r="Q601" t="n">
        <v>0</v>
      </c>
      <c r="R601" s="2" t="inlineStr"/>
    </row>
    <row r="602" ht="15" customHeight="1">
      <c r="A602" t="inlineStr">
        <is>
          <t>A 30123-2023</t>
        </is>
      </c>
      <c r="B602" s="1" t="n">
        <v>45110</v>
      </c>
      <c r="C602" s="1" t="n">
        <v>45362</v>
      </c>
      <c r="D602" t="inlineStr">
        <is>
          <t>DALARNAS LÄN</t>
        </is>
      </c>
      <c r="E602" t="inlineStr">
        <is>
          <t>LUDVIKA</t>
        </is>
      </c>
      <c r="G602" t="n">
        <v>1.9</v>
      </c>
      <c r="H602" t="n">
        <v>0</v>
      </c>
      <c r="I602" t="n">
        <v>0</v>
      </c>
      <c r="J602" t="n">
        <v>0</v>
      </c>
      <c r="K602" t="n">
        <v>0</v>
      </c>
      <c r="L602" t="n">
        <v>0</v>
      </c>
      <c r="M602" t="n">
        <v>0</v>
      </c>
      <c r="N602" t="n">
        <v>0</v>
      </c>
      <c r="O602" t="n">
        <v>0</v>
      </c>
      <c r="P602" t="n">
        <v>0</v>
      </c>
      <c r="Q602" t="n">
        <v>0</v>
      </c>
      <c r="R602" s="2" t="inlineStr"/>
    </row>
    <row r="603" ht="15" customHeight="1">
      <c r="A603" t="inlineStr">
        <is>
          <t>A 30127-2023</t>
        </is>
      </c>
      <c r="B603" s="1" t="n">
        <v>45110</v>
      </c>
      <c r="C603" s="1" t="n">
        <v>45362</v>
      </c>
      <c r="D603" t="inlineStr">
        <is>
          <t>DALARNAS LÄN</t>
        </is>
      </c>
      <c r="E603" t="inlineStr">
        <is>
          <t>LUDVIKA</t>
        </is>
      </c>
      <c r="G603" t="n">
        <v>1.1</v>
      </c>
      <c r="H603" t="n">
        <v>0</v>
      </c>
      <c r="I603" t="n">
        <v>0</v>
      </c>
      <c r="J603" t="n">
        <v>0</v>
      </c>
      <c r="K603" t="n">
        <v>0</v>
      </c>
      <c r="L603" t="n">
        <v>0</v>
      </c>
      <c r="M603" t="n">
        <v>0</v>
      </c>
      <c r="N603" t="n">
        <v>0</v>
      </c>
      <c r="O603" t="n">
        <v>0</v>
      </c>
      <c r="P603" t="n">
        <v>0</v>
      </c>
      <c r="Q603" t="n">
        <v>0</v>
      </c>
      <c r="R603" s="2" t="inlineStr"/>
    </row>
    <row r="604" ht="15" customHeight="1">
      <c r="A604" t="inlineStr">
        <is>
          <t>A 30581-2023</t>
        </is>
      </c>
      <c r="B604" s="1" t="n">
        <v>45112</v>
      </c>
      <c r="C604" s="1" t="n">
        <v>45362</v>
      </c>
      <c r="D604" t="inlineStr">
        <is>
          <t>DALARNAS LÄN</t>
        </is>
      </c>
      <c r="E604" t="inlineStr">
        <is>
          <t>LUDVIKA</t>
        </is>
      </c>
      <c r="F604" t="inlineStr">
        <is>
          <t>Bergvik skog väst AB</t>
        </is>
      </c>
      <c r="G604" t="n">
        <v>14.4</v>
      </c>
      <c r="H604" t="n">
        <v>0</v>
      </c>
      <c r="I604" t="n">
        <v>0</v>
      </c>
      <c r="J604" t="n">
        <v>0</v>
      </c>
      <c r="K604" t="n">
        <v>0</v>
      </c>
      <c r="L604" t="n">
        <v>0</v>
      </c>
      <c r="M604" t="n">
        <v>0</v>
      </c>
      <c r="N604" t="n">
        <v>0</v>
      </c>
      <c r="O604" t="n">
        <v>0</v>
      </c>
      <c r="P604" t="n">
        <v>0</v>
      </c>
      <c r="Q604" t="n">
        <v>0</v>
      </c>
      <c r="R604" s="2" t="inlineStr"/>
    </row>
    <row r="605" ht="15" customHeight="1">
      <c r="A605" t="inlineStr">
        <is>
          <t>A 32852-2023</t>
        </is>
      </c>
      <c r="B605" s="1" t="n">
        <v>45112</v>
      </c>
      <c r="C605" s="1" t="n">
        <v>45362</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32854-2023</t>
        </is>
      </c>
      <c r="B606" s="1" t="n">
        <v>45112</v>
      </c>
      <c r="C606" s="1" t="n">
        <v>45362</v>
      </c>
      <c r="D606" t="inlineStr">
        <is>
          <t>DALARNAS LÄN</t>
        </is>
      </c>
      <c r="E606" t="inlineStr">
        <is>
          <t>LUDVIKA</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30892-2023</t>
        </is>
      </c>
      <c r="B607" s="1" t="n">
        <v>45113</v>
      </c>
      <c r="C607" s="1" t="n">
        <v>45362</v>
      </c>
      <c r="D607" t="inlineStr">
        <is>
          <t>DALARNAS LÄN</t>
        </is>
      </c>
      <c r="E607" t="inlineStr">
        <is>
          <t>LUDVIKA</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32995-2023</t>
        </is>
      </c>
      <c r="B608" s="1" t="n">
        <v>45113</v>
      </c>
      <c r="C608" s="1" t="n">
        <v>45362</v>
      </c>
      <c r="D608" t="inlineStr">
        <is>
          <t>DALARNAS LÄN</t>
        </is>
      </c>
      <c r="E608" t="inlineStr">
        <is>
          <t>LUDVIKA</t>
        </is>
      </c>
      <c r="F608" t="inlineStr">
        <is>
          <t>Kommuner</t>
        </is>
      </c>
      <c r="G608" t="n">
        <v>5.8</v>
      </c>
      <c r="H608" t="n">
        <v>0</v>
      </c>
      <c r="I608" t="n">
        <v>0</v>
      </c>
      <c r="J608" t="n">
        <v>0</v>
      </c>
      <c r="K608" t="n">
        <v>0</v>
      </c>
      <c r="L608" t="n">
        <v>0</v>
      </c>
      <c r="M608" t="n">
        <v>0</v>
      </c>
      <c r="N608" t="n">
        <v>0</v>
      </c>
      <c r="O608" t="n">
        <v>0</v>
      </c>
      <c r="P608" t="n">
        <v>0</v>
      </c>
      <c r="Q608" t="n">
        <v>0</v>
      </c>
      <c r="R608" s="2" t="inlineStr"/>
    </row>
    <row r="609" ht="15" customHeight="1">
      <c r="A609" t="inlineStr">
        <is>
          <t>A 31353-2023</t>
        </is>
      </c>
      <c r="B609" s="1" t="n">
        <v>45114</v>
      </c>
      <c r="C609" s="1" t="n">
        <v>45362</v>
      </c>
      <c r="D609" t="inlineStr">
        <is>
          <t>DALARNAS LÄN</t>
        </is>
      </c>
      <c r="E609" t="inlineStr">
        <is>
          <t>LUDVIKA</t>
        </is>
      </c>
      <c r="F609" t="inlineStr">
        <is>
          <t>Naturvårdsverket</t>
        </is>
      </c>
      <c r="G609" t="n">
        <v>2.5</v>
      </c>
      <c r="H609" t="n">
        <v>0</v>
      </c>
      <c r="I609" t="n">
        <v>0</v>
      </c>
      <c r="J609" t="n">
        <v>0</v>
      </c>
      <c r="K609" t="n">
        <v>0</v>
      </c>
      <c r="L609" t="n">
        <v>0</v>
      </c>
      <c r="M609" t="n">
        <v>0</v>
      </c>
      <c r="N609" t="n">
        <v>0</v>
      </c>
      <c r="O609" t="n">
        <v>0</v>
      </c>
      <c r="P609" t="n">
        <v>0</v>
      </c>
      <c r="Q609" t="n">
        <v>0</v>
      </c>
      <c r="R609" s="2" t="inlineStr"/>
    </row>
    <row r="610" ht="15" customHeight="1">
      <c r="A610" t="inlineStr">
        <is>
          <t>A 31478-2023</t>
        </is>
      </c>
      <c r="B610" s="1" t="n">
        <v>45114</v>
      </c>
      <c r="C610" s="1" t="n">
        <v>45362</v>
      </c>
      <c r="D610" t="inlineStr">
        <is>
          <t>DALARNAS LÄN</t>
        </is>
      </c>
      <c r="E610" t="inlineStr">
        <is>
          <t>LUDVIKA</t>
        </is>
      </c>
      <c r="G610" t="n">
        <v>6.2</v>
      </c>
      <c r="H610" t="n">
        <v>0</v>
      </c>
      <c r="I610" t="n">
        <v>0</v>
      </c>
      <c r="J610" t="n">
        <v>0</v>
      </c>
      <c r="K610" t="n">
        <v>0</v>
      </c>
      <c r="L610" t="n">
        <v>0</v>
      </c>
      <c r="M610" t="n">
        <v>0</v>
      </c>
      <c r="N610" t="n">
        <v>0</v>
      </c>
      <c r="O610" t="n">
        <v>0</v>
      </c>
      <c r="P610" t="n">
        <v>0</v>
      </c>
      <c r="Q610" t="n">
        <v>0</v>
      </c>
      <c r="R610" s="2" t="inlineStr"/>
    </row>
    <row r="611" ht="15" customHeight="1">
      <c r="A611" t="inlineStr">
        <is>
          <t>A 31341-2023</t>
        </is>
      </c>
      <c r="B611" s="1" t="n">
        <v>45114</v>
      </c>
      <c r="C611" s="1" t="n">
        <v>45362</v>
      </c>
      <c r="D611" t="inlineStr">
        <is>
          <t>DALARNAS LÄN</t>
        </is>
      </c>
      <c r="E611" t="inlineStr">
        <is>
          <t>LUDVIKA</t>
        </is>
      </c>
      <c r="F611" t="inlineStr">
        <is>
          <t>Naturvårdsverket</t>
        </is>
      </c>
      <c r="G611" t="n">
        <v>2.4</v>
      </c>
      <c r="H611" t="n">
        <v>0</v>
      </c>
      <c r="I611" t="n">
        <v>0</v>
      </c>
      <c r="J611" t="n">
        <v>0</v>
      </c>
      <c r="K611" t="n">
        <v>0</v>
      </c>
      <c r="L611" t="n">
        <v>0</v>
      </c>
      <c r="M611" t="n">
        <v>0</v>
      </c>
      <c r="N611" t="n">
        <v>0</v>
      </c>
      <c r="O611" t="n">
        <v>0</v>
      </c>
      <c r="P611" t="n">
        <v>0</v>
      </c>
      <c r="Q611" t="n">
        <v>0</v>
      </c>
      <c r="R611" s="2" t="inlineStr"/>
    </row>
    <row r="612" ht="15" customHeight="1">
      <c r="A612" t="inlineStr">
        <is>
          <t>A 31477-2023</t>
        </is>
      </c>
      <c r="B612" s="1" t="n">
        <v>45114</v>
      </c>
      <c r="C612" s="1" t="n">
        <v>45362</v>
      </c>
      <c r="D612" t="inlineStr">
        <is>
          <t>DALARNAS LÄN</t>
        </is>
      </c>
      <c r="E612" t="inlineStr">
        <is>
          <t>LUDVIKA</t>
        </is>
      </c>
      <c r="G612" t="n">
        <v>3.4</v>
      </c>
      <c r="H612" t="n">
        <v>0</v>
      </c>
      <c r="I612" t="n">
        <v>0</v>
      </c>
      <c r="J612" t="n">
        <v>0</v>
      </c>
      <c r="K612" t="n">
        <v>0</v>
      </c>
      <c r="L612" t="n">
        <v>0</v>
      </c>
      <c r="M612" t="n">
        <v>0</v>
      </c>
      <c r="N612" t="n">
        <v>0</v>
      </c>
      <c r="O612" t="n">
        <v>0</v>
      </c>
      <c r="P612" t="n">
        <v>0</v>
      </c>
      <c r="Q612" t="n">
        <v>0</v>
      </c>
      <c r="R612" s="2" t="inlineStr"/>
    </row>
    <row r="613" ht="15" customHeight="1">
      <c r="A613" t="inlineStr">
        <is>
          <t>A 31625-2023</t>
        </is>
      </c>
      <c r="B613" s="1" t="n">
        <v>45117</v>
      </c>
      <c r="C613" s="1" t="n">
        <v>45362</v>
      </c>
      <c r="D613" t="inlineStr">
        <is>
          <t>DALARNAS LÄN</t>
        </is>
      </c>
      <c r="E613" t="inlineStr">
        <is>
          <t>LUDVIKA</t>
        </is>
      </c>
      <c r="G613" t="n">
        <v>4.1</v>
      </c>
      <c r="H613" t="n">
        <v>0</v>
      </c>
      <c r="I613" t="n">
        <v>0</v>
      </c>
      <c r="J613" t="n">
        <v>0</v>
      </c>
      <c r="K613" t="n">
        <v>0</v>
      </c>
      <c r="L613" t="n">
        <v>0</v>
      </c>
      <c r="M613" t="n">
        <v>0</v>
      </c>
      <c r="N613" t="n">
        <v>0</v>
      </c>
      <c r="O613" t="n">
        <v>0</v>
      </c>
      <c r="P613" t="n">
        <v>0</v>
      </c>
      <c r="Q613" t="n">
        <v>0</v>
      </c>
      <c r="R613" s="2" t="inlineStr"/>
    </row>
    <row r="614" ht="15" customHeight="1">
      <c r="A614" t="inlineStr">
        <is>
          <t>A 33535-2023</t>
        </is>
      </c>
      <c r="B614" s="1" t="n">
        <v>45118</v>
      </c>
      <c r="C614" s="1" t="n">
        <v>45362</v>
      </c>
      <c r="D614" t="inlineStr">
        <is>
          <t>DALARNAS LÄN</t>
        </is>
      </c>
      <c r="E614" t="inlineStr">
        <is>
          <t>LUDVIKA</t>
        </is>
      </c>
      <c r="F614" t="inlineStr">
        <is>
          <t>Kommuner</t>
        </is>
      </c>
      <c r="G614" t="n">
        <v>0.6</v>
      </c>
      <c r="H614" t="n">
        <v>0</v>
      </c>
      <c r="I614" t="n">
        <v>0</v>
      </c>
      <c r="J614" t="n">
        <v>0</v>
      </c>
      <c r="K614" t="n">
        <v>0</v>
      </c>
      <c r="L614" t="n">
        <v>0</v>
      </c>
      <c r="M614" t="n">
        <v>0</v>
      </c>
      <c r="N614" t="n">
        <v>0</v>
      </c>
      <c r="O614" t="n">
        <v>0</v>
      </c>
      <c r="P614" t="n">
        <v>0</v>
      </c>
      <c r="Q614" t="n">
        <v>0</v>
      </c>
      <c r="R614" s="2" t="inlineStr"/>
    </row>
    <row r="615" ht="15" customHeight="1">
      <c r="A615" t="inlineStr">
        <is>
          <t>A 32119-2023</t>
        </is>
      </c>
      <c r="B615" s="1" t="n">
        <v>45119</v>
      </c>
      <c r="C615" s="1" t="n">
        <v>45362</v>
      </c>
      <c r="D615" t="inlineStr">
        <is>
          <t>DALARNAS LÄN</t>
        </is>
      </c>
      <c r="E615" t="inlineStr">
        <is>
          <t>LUDVIKA</t>
        </is>
      </c>
      <c r="F615" t="inlineStr">
        <is>
          <t>Naturvårdsverket</t>
        </is>
      </c>
      <c r="G615" t="n">
        <v>1</v>
      </c>
      <c r="H615" t="n">
        <v>0</v>
      </c>
      <c r="I615" t="n">
        <v>0</v>
      </c>
      <c r="J615" t="n">
        <v>0</v>
      </c>
      <c r="K615" t="n">
        <v>0</v>
      </c>
      <c r="L615" t="n">
        <v>0</v>
      </c>
      <c r="M615" t="n">
        <v>0</v>
      </c>
      <c r="N615" t="n">
        <v>0</v>
      </c>
      <c r="O615" t="n">
        <v>0</v>
      </c>
      <c r="P615" t="n">
        <v>0</v>
      </c>
      <c r="Q615" t="n">
        <v>0</v>
      </c>
      <c r="R615" s="2" t="inlineStr"/>
    </row>
    <row r="616" ht="15" customHeight="1">
      <c r="A616" t="inlineStr">
        <is>
          <t>A 32091-2023</t>
        </is>
      </c>
      <c r="B616" s="1" t="n">
        <v>45119</v>
      </c>
      <c r="C616" s="1" t="n">
        <v>45362</v>
      </c>
      <c r="D616" t="inlineStr">
        <is>
          <t>DALARNAS LÄN</t>
        </is>
      </c>
      <c r="E616" t="inlineStr">
        <is>
          <t>LUDVIKA</t>
        </is>
      </c>
      <c r="F616" t="inlineStr">
        <is>
          <t>Bergvik skog väst AB</t>
        </is>
      </c>
      <c r="G616" t="n">
        <v>7.3</v>
      </c>
      <c r="H616" t="n">
        <v>0</v>
      </c>
      <c r="I616" t="n">
        <v>0</v>
      </c>
      <c r="J616" t="n">
        <v>0</v>
      </c>
      <c r="K616" t="n">
        <v>0</v>
      </c>
      <c r="L616" t="n">
        <v>0</v>
      </c>
      <c r="M616" t="n">
        <v>0</v>
      </c>
      <c r="N616" t="n">
        <v>0</v>
      </c>
      <c r="O616" t="n">
        <v>0</v>
      </c>
      <c r="P616" t="n">
        <v>0</v>
      </c>
      <c r="Q616" t="n">
        <v>0</v>
      </c>
      <c r="R616" s="2" t="inlineStr"/>
    </row>
    <row r="617" ht="15" customHeight="1">
      <c r="A617" t="inlineStr">
        <is>
          <t>A 32124-2023</t>
        </is>
      </c>
      <c r="B617" s="1" t="n">
        <v>45119</v>
      </c>
      <c r="C617" s="1" t="n">
        <v>45362</v>
      </c>
      <c r="D617" t="inlineStr">
        <is>
          <t>DALARNAS LÄN</t>
        </is>
      </c>
      <c r="E617" t="inlineStr">
        <is>
          <t>LUDVIKA</t>
        </is>
      </c>
      <c r="F617" t="inlineStr">
        <is>
          <t>Naturvårdsverket</t>
        </is>
      </c>
      <c r="G617" t="n">
        <v>1.5</v>
      </c>
      <c r="H617" t="n">
        <v>0</v>
      </c>
      <c r="I617" t="n">
        <v>0</v>
      </c>
      <c r="J617" t="n">
        <v>0</v>
      </c>
      <c r="K617" t="n">
        <v>0</v>
      </c>
      <c r="L617" t="n">
        <v>0</v>
      </c>
      <c r="M617" t="n">
        <v>0</v>
      </c>
      <c r="N617" t="n">
        <v>0</v>
      </c>
      <c r="O617" t="n">
        <v>0</v>
      </c>
      <c r="P617" t="n">
        <v>0</v>
      </c>
      <c r="Q617" t="n">
        <v>0</v>
      </c>
      <c r="R617" s="2" t="inlineStr"/>
    </row>
    <row r="618" ht="15" customHeight="1">
      <c r="A618" t="inlineStr">
        <is>
          <t>A 32526-2023</t>
        </is>
      </c>
      <c r="B618" s="1" t="n">
        <v>45121</v>
      </c>
      <c r="C618" s="1" t="n">
        <v>45362</v>
      </c>
      <c r="D618" t="inlineStr">
        <is>
          <t>DALARNAS LÄN</t>
        </is>
      </c>
      <c r="E618" t="inlineStr">
        <is>
          <t>LUDVIKA</t>
        </is>
      </c>
      <c r="F618" t="inlineStr">
        <is>
          <t>Bergvik skog väst AB</t>
        </is>
      </c>
      <c r="G618" t="n">
        <v>5.1</v>
      </c>
      <c r="H618" t="n">
        <v>0</v>
      </c>
      <c r="I618" t="n">
        <v>0</v>
      </c>
      <c r="J618" t="n">
        <v>0</v>
      </c>
      <c r="K618" t="n">
        <v>0</v>
      </c>
      <c r="L618" t="n">
        <v>0</v>
      </c>
      <c r="M618" t="n">
        <v>0</v>
      </c>
      <c r="N618" t="n">
        <v>0</v>
      </c>
      <c r="O618" t="n">
        <v>0</v>
      </c>
      <c r="P618" t="n">
        <v>0</v>
      </c>
      <c r="Q618" t="n">
        <v>0</v>
      </c>
      <c r="R618" s="2" t="inlineStr"/>
    </row>
    <row r="619" ht="15" customHeight="1">
      <c r="A619" t="inlineStr">
        <is>
          <t>A 32527-2023</t>
        </is>
      </c>
      <c r="B619" s="1" t="n">
        <v>45121</v>
      </c>
      <c r="C619" s="1" t="n">
        <v>45362</v>
      </c>
      <c r="D619" t="inlineStr">
        <is>
          <t>DALARNAS LÄN</t>
        </is>
      </c>
      <c r="E619" t="inlineStr">
        <is>
          <t>LUDVIKA</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32927-2023</t>
        </is>
      </c>
      <c r="B620" s="1" t="n">
        <v>45125</v>
      </c>
      <c r="C620" s="1" t="n">
        <v>45362</v>
      </c>
      <c r="D620" t="inlineStr">
        <is>
          <t>DALARNAS LÄN</t>
        </is>
      </c>
      <c r="E620" t="inlineStr">
        <is>
          <t>LUDVIKA</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32930-2023</t>
        </is>
      </c>
      <c r="B621" s="1" t="n">
        <v>45125</v>
      </c>
      <c r="C621" s="1" t="n">
        <v>45362</v>
      </c>
      <c r="D621" t="inlineStr">
        <is>
          <t>DALARNAS LÄN</t>
        </is>
      </c>
      <c r="E621" t="inlineStr">
        <is>
          <t>LUDVIKA</t>
        </is>
      </c>
      <c r="F621" t="inlineStr">
        <is>
          <t>Bergvik skog väst AB</t>
        </is>
      </c>
      <c r="G621" t="n">
        <v>2.6</v>
      </c>
      <c r="H621" t="n">
        <v>0</v>
      </c>
      <c r="I621" t="n">
        <v>0</v>
      </c>
      <c r="J621" t="n">
        <v>0</v>
      </c>
      <c r="K621" t="n">
        <v>0</v>
      </c>
      <c r="L621" t="n">
        <v>0</v>
      </c>
      <c r="M621" t="n">
        <v>0</v>
      </c>
      <c r="N621" t="n">
        <v>0</v>
      </c>
      <c r="O621" t="n">
        <v>0</v>
      </c>
      <c r="P621" t="n">
        <v>0</v>
      </c>
      <c r="Q621" t="n">
        <v>0</v>
      </c>
      <c r="R621" s="2" t="inlineStr"/>
    </row>
    <row r="622" ht="15" customHeight="1">
      <c r="A622" t="inlineStr">
        <is>
          <t>A 34041-2023</t>
        </is>
      </c>
      <c r="B622" s="1" t="n">
        <v>45125</v>
      </c>
      <c r="C622" s="1" t="n">
        <v>45362</v>
      </c>
      <c r="D622" t="inlineStr">
        <is>
          <t>DALARNAS LÄN</t>
        </is>
      </c>
      <c r="E622" t="inlineStr">
        <is>
          <t>LUDVIKA</t>
        </is>
      </c>
      <c r="G622" t="n">
        <v>4.2</v>
      </c>
      <c r="H622" t="n">
        <v>0</v>
      </c>
      <c r="I622" t="n">
        <v>0</v>
      </c>
      <c r="J622" t="n">
        <v>0</v>
      </c>
      <c r="K622" t="n">
        <v>0</v>
      </c>
      <c r="L622" t="n">
        <v>0</v>
      </c>
      <c r="M622" t="n">
        <v>0</v>
      </c>
      <c r="N622" t="n">
        <v>0</v>
      </c>
      <c r="O622" t="n">
        <v>0</v>
      </c>
      <c r="P622" t="n">
        <v>0</v>
      </c>
      <c r="Q622" t="n">
        <v>0</v>
      </c>
      <c r="R622" s="2" t="inlineStr"/>
    </row>
    <row r="623" ht="15" customHeight="1">
      <c r="A623" t="inlineStr">
        <is>
          <t>A 33063-2023</t>
        </is>
      </c>
      <c r="B623" s="1" t="n">
        <v>45126</v>
      </c>
      <c r="C623" s="1" t="n">
        <v>45362</v>
      </c>
      <c r="D623" t="inlineStr">
        <is>
          <t>DALARNAS LÄN</t>
        </is>
      </c>
      <c r="E623" t="inlineStr">
        <is>
          <t>LUDVIKA</t>
        </is>
      </c>
      <c r="F623" t="inlineStr">
        <is>
          <t>Bergvik skog väst AB</t>
        </is>
      </c>
      <c r="G623" t="n">
        <v>1.2</v>
      </c>
      <c r="H623" t="n">
        <v>0</v>
      </c>
      <c r="I623" t="n">
        <v>0</v>
      </c>
      <c r="J623" t="n">
        <v>0</v>
      </c>
      <c r="K623" t="n">
        <v>0</v>
      </c>
      <c r="L623" t="n">
        <v>0</v>
      </c>
      <c r="M623" t="n">
        <v>0</v>
      </c>
      <c r="N623" t="n">
        <v>0</v>
      </c>
      <c r="O623" t="n">
        <v>0</v>
      </c>
      <c r="P623" t="n">
        <v>0</v>
      </c>
      <c r="Q623" t="n">
        <v>0</v>
      </c>
      <c r="R623" s="2" t="inlineStr"/>
    </row>
    <row r="624" ht="15" customHeight="1">
      <c r="A624" t="inlineStr">
        <is>
          <t>A 33275-2023</t>
        </is>
      </c>
      <c r="B624" s="1" t="n">
        <v>45127</v>
      </c>
      <c r="C624" s="1" t="n">
        <v>45362</v>
      </c>
      <c r="D624" t="inlineStr">
        <is>
          <t>DALARNAS LÄN</t>
        </is>
      </c>
      <c r="E624" t="inlineStr">
        <is>
          <t>LUDVIKA</t>
        </is>
      </c>
      <c r="F624" t="inlineStr">
        <is>
          <t>Naturvårdsverket</t>
        </is>
      </c>
      <c r="G624" t="n">
        <v>3.2</v>
      </c>
      <c r="H624" t="n">
        <v>0</v>
      </c>
      <c r="I624" t="n">
        <v>0</v>
      </c>
      <c r="J624" t="n">
        <v>0</v>
      </c>
      <c r="K624" t="n">
        <v>0</v>
      </c>
      <c r="L624" t="n">
        <v>0</v>
      </c>
      <c r="M624" t="n">
        <v>0</v>
      </c>
      <c r="N624" t="n">
        <v>0</v>
      </c>
      <c r="O624" t="n">
        <v>0</v>
      </c>
      <c r="P624" t="n">
        <v>0</v>
      </c>
      <c r="Q624" t="n">
        <v>0</v>
      </c>
      <c r="R624" s="2" t="inlineStr"/>
    </row>
    <row r="625" ht="15" customHeight="1">
      <c r="A625" t="inlineStr">
        <is>
          <t>A 33347-2023</t>
        </is>
      </c>
      <c r="B625" s="1" t="n">
        <v>45128</v>
      </c>
      <c r="C625" s="1" t="n">
        <v>45362</v>
      </c>
      <c r="D625" t="inlineStr">
        <is>
          <t>DALARNAS LÄN</t>
        </is>
      </c>
      <c r="E625" t="inlineStr">
        <is>
          <t>LUDVIKA</t>
        </is>
      </c>
      <c r="F625" t="inlineStr">
        <is>
          <t>Bergvik skog väst AB</t>
        </is>
      </c>
      <c r="G625" t="n">
        <v>3</v>
      </c>
      <c r="H625" t="n">
        <v>0</v>
      </c>
      <c r="I625" t="n">
        <v>0</v>
      </c>
      <c r="J625" t="n">
        <v>0</v>
      </c>
      <c r="K625" t="n">
        <v>0</v>
      </c>
      <c r="L625" t="n">
        <v>0</v>
      </c>
      <c r="M625" t="n">
        <v>0</v>
      </c>
      <c r="N625" t="n">
        <v>0</v>
      </c>
      <c r="O625" t="n">
        <v>0</v>
      </c>
      <c r="P625" t="n">
        <v>0</v>
      </c>
      <c r="Q625" t="n">
        <v>0</v>
      </c>
      <c r="R625" s="2" t="inlineStr"/>
    </row>
    <row r="626" ht="15" customHeight="1">
      <c r="A626" t="inlineStr">
        <is>
          <t>A 33344-2023</t>
        </is>
      </c>
      <c r="B626" s="1" t="n">
        <v>45128</v>
      </c>
      <c r="C626" s="1" t="n">
        <v>45362</v>
      </c>
      <c r="D626" t="inlineStr">
        <is>
          <t>DALARNAS LÄN</t>
        </is>
      </c>
      <c r="E626" t="inlineStr">
        <is>
          <t>LUDVIKA</t>
        </is>
      </c>
      <c r="F626" t="inlineStr">
        <is>
          <t>Bergvik skog väst AB</t>
        </is>
      </c>
      <c r="G626" t="n">
        <v>2.7</v>
      </c>
      <c r="H626" t="n">
        <v>0</v>
      </c>
      <c r="I626" t="n">
        <v>0</v>
      </c>
      <c r="J626" t="n">
        <v>0</v>
      </c>
      <c r="K626" t="n">
        <v>0</v>
      </c>
      <c r="L626" t="n">
        <v>0</v>
      </c>
      <c r="M626" t="n">
        <v>0</v>
      </c>
      <c r="N626" t="n">
        <v>0</v>
      </c>
      <c r="O626" t="n">
        <v>0</v>
      </c>
      <c r="P626" t="n">
        <v>0</v>
      </c>
      <c r="Q626" t="n">
        <v>0</v>
      </c>
      <c r="R626" s="2" t="inlineStr"/>
    </row>
    <row r="627" ht="15" customHeight="1">
      <c r="A627" t="inlineStr">
        <is>
          <t>A 33361-2023</t>
        </is>
      </c>
      <c r="B627" s="1" t="n">
        <v>45128</v>
      </c>
      <c r="C627" s="1" t="n">
        <v>45362</v>
      </c>
      <c r="D627" t="inlineStr">
        <is>
          <t>DALARNAS LÄN</t>
        </is>
      </c>
      <c r="E627" t="inlineStr">
        <is>
          <t>LUDVIKA</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33560-2023</t>
        </is>
      </c>
      <c r="B628" s="1" t="n">
        <v>45131</v>
      </c>
      <c r="C628" s="1" t="n">
        <v>45362</v>
      </c>
      <c r="D628" t="inlineStr">
        <is>
          <t>DALARNAS LÄN</t>
        </is>
      </c>
      <c r="E628" t="inlineStr">
        <is>
          <t>LUDVIKA</t>
        </is>
      </c>
      <c r="G628" t="n">
        <v>7</v>
      </c>
      <c r="H628" t="n">
        <v>0</v>
      </c>
      <c r="I628" t="n">
        <v>0</v>
      </c>
      <c r="J628" t="n">
        <v>0</v>
      </c>
      <c r="K628" t="n">
        <v>0</v>
      </c>
      <c r="L628" t="n">
        <v>0</v>
      </c>
      <c r="M628" t="n">
        <v>0</v>
      </c>
      <c r="N628" t="n">
        <v>0</v>
      </c>
      <c r="O628" t="n">
        <v>0</v>
      </c>
      <c r="P628" t="n">
        <v>0</v>
      </c>
      <c r="Q628" t="n">
        <v>0</v>
      </c>
      <c r="R628" s="2" t="inlineStr"/>
    </row>
    <row r="629" ht="15" customHeight="1">
      <c r="A629" t="inlineStr">
        <is>
          <t>A 34341-2023</t>
        </is>
      </c>
      <c r="B629" s="1" t="n">
        <v>45131</v>
      </c>
      <c r="C629" s="1" t="n">
        <v>45362</v>
      </c>
      <c r="D629" t="inlineStr">
        <is>
          <t>DALARNAS LÄN</t>
        </is>
      </c>
      <c r="E629" t="inlineStr">
        <is>
          <t>LUDVIKA</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33620-2023</t>
        </is>
      </c>
      <c r="B630" s="1" t="n">
        <v>45132</v>
      </c>
      <c r="C630" s="1" t="n">
        <v>45362</v>
      </c>
      <c r="D630" t="inlineStr">
        <is>
          <t>DALARNAS LÄN</t>
        </is>
      </c>
      <c r="E630" t="inlineStr">
        <is>
          <t>LUDVIKA</t>
        </is>
      </c>
      <c r="F630" t="inlineStr">
        <is>
          <t>Bergvik skog väst AB</t>
        </is>
      </c>
      <c r="G630" t="n">
        <v>7.4</v>
      </c>
      <c r="H630" t="n">
        <v>0</v>
      </c>
      <c r="I630" t="n">
        <v>0</v>
      </c>
      <c r="J630" t="n">
        <v>0</v>
      </c>
      <c r="K630" t="n">
        <v>0</v>
      </c>
      <c r="L630" t="n">
        <v>0</v>
      </c>
      <c r="M630" t="n">
        <v>0</v>
      </c>
      <c r="N630" t="n">
        <v>0</v>
      </c>
      <c r="O630" t="n">
        <v>0</v>
      </c>
      <c r="P630" t="n">
        <v>0</v>
      </c>
      <c r="Q630" t="n">
        <v>0</v>
      </c>
      <c r="R630" s="2" t="inlineStr"/>
    </row>
    <row r="631" ht="15" customHeight="1">
      <c r="A631" t="inlineStr">
        <is>
          <t>A 33914-2023</t>
        </is>
      </c>
      <c r="B631" s="1" t="n">
        <v>45134</v>
      </c>
      <c r="C631" s="1" t="n">
        <v>45362</v>
      </c>
      <c r="D631" t="inlineStr">
        <is>
          <t>DALARNAS LÄN</t>
        </is>
      </c>
      <c r="E631" t="inlineStr">
        <is>
          <t>LUDVIKA</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33933-2023</t>
        </is>
      </c>
      <c r="B632" s="1" t="n">
        <v>45134</v>
      </c>
      <c r="C632" s="1" t="n">
        <v>45362</v>
      </c>
      <c r="D632" t="inlineStr">
        <is>
          <t>DALARNAS LÄN</t>
        </is>
      </c>
      <c r="E632" t="inlineStr">
        <is>
          <t>LUDVIKA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33916-2023</t>
        </is>
      </c>
      <c r="B633" s="1" t="n">
        <v>45134</v>
      </c>
      <c r="C633" s="1" t="n">
        <v>45362</v>
      </c>
      <c r="D633" t="inlineStr">
        <is>
          <t>DALARNAS LÄN</t>
        </is>
      </c>
      <c r="E633" t="inlineStr">
        <is>
          <t>LUDVIKA</t>
        </is>
      </c>
      <c r="F633" t="inlineStr">
        <is>
          <t>Bergvik skog väst AB</t>
        </is>
      </c>
      <c r="G633" t="n">
        <v>4.9</v>
      </c>
      <c r="H633" t="n">
        <v>0</v>
      </c>
      <c r="I633" t="n">
        <v>0</v>
      </c>
      <c r="J633" t="n">
        <v>0</v>
      </c>
      <c r="K633" t="n">
        <v>0</v>
      </c>
      <c r="L633" t="n">
        <v>0</v>
      </c>
      <c r="M633" t="n">
        <v>0</v>
      </c>
      <c r="N633" t="n">
        <v>0</v>
      </c>
      <c r="O633" t="n">
        <v>0</v>
      </c>
      <c r="P633" t="n">
        <v>0</v>
      </c>
      <c r="Q633" t="n">
        <v>0</v>
      </c>
      <c r="R633" s="2" t="inlineStr"/>
    </row>
    <row r="634" ht="15" customHeight="1">
      <c r="A634" t="inlineStr">
        <is>
          <t>A 33917-2023</t>
        </is>
      </c>
      <c r="B634" s="1" t="n">
        <v>45134</v>
      </c>
      <c r="C634" s="1" t="n">
        <v>45362</v>
      </c>
      <c r="D634" t="inlineStr">
        <is>
          <t>DALARNAS LÄN</t>
        </is>
      </c>
      <c r="E634" t="inlineStr">
        <is>
          <t>LUDVIKA</t>
        </is>
      </c>
      <c r="F634" t="inlineStr">
        <is>
          <t>Bergvik skog väst AB</t>
        </is>
      </c>
      <c r="G634" t="n">
        <v>3.2</v>
      </c>
      <c r="H634" t="n">
        <v>0</v>
      </c>
      <c r="I634" t="n">
        <v>0</v>
      </c>
      <c r="J634" t="n">
        <v>0</v>
      </c>
      <c r="K634" t="n">
        <v>0</v>
      </c>
      <c r="L634" t="n">
        <v>0</v>
      </c>
      <c r="M634" t="n">
        <v>0</v>
      </c>
      <c r="N634" t="n">
        <v>0</v>
      </c>
      <c r="O634" t="n">
        <v>0</v>
      </c>
      <c r="P634" t="n">
        <v>0</v>
      </c>
      <c r="Q634" t="n">
        <v>0</v>
      </c>
      <c r="R634" s="2" t="inlineStr"/>
    </row>
    <row r="635" ht="15" customHeight="1">
      <c r="A635" t="inlineStr">
        <is>
          <t>A 33947-2023</t>
        </is>
      </c>
      <c r="B635" s="1" t="n">
        <v>45134</v>
      </c>
      <c r="C635" s="1" t="n">
        <v>45362</v>
      </c>
      <c r="D635" t="inlineStr">
        <is>
          <t>DALARNAS LÄN</t>
        </is>
      </c>
      <c r="E635" t="inlineStr">
        <is>
          <t>LUDVIKA</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34024-2023</t>
        </is>
      </c>
      <c r="B636" s="1" t="n">
        <v>45135</v>
      </c>
      <c r="C636" s="1" t="n">
        <v>45362</v>
      </c>
      <c r="D636" t="inlineStr">
        <is>
          <t>DALARNAS LÄN</t>
        </is>
      </c>
      <c r="E636" t="inlineStr">
        <is>
          <t>LUDVIKA</t>
        </is>
      </c>
      <c r="F636" t="inlineStr">
        <is>
          <t>Bergvik skog väst AB</t>
        </is>
      </c>
      <c r="G636" t="n">
        <v>18.3</v>
      </c>
      <c r="H636" t="n">
        <v>0</v>
      </c>
      <c r="I636" t="n">
        <v>0</v>
      </c>
      <c r="J636" t="n">
        <v>0</v>
      </c>
      <c r="K636" t="n">
        <v>0</v>
      </c>
      <c r="L636" t="n">
        <v>0</v>
      </c>
      <c r="M636" t="n">
        <v>0</v>
      </c>
      <c r="N636" t="n">
        <v>0</v>
      </c>
      <c r="O636" t="n">
        <v>0</v>
      </c>
      <c r="P636" t="n">
        <v>0</v>
      </c>
      <c r="Q636" t="n">
        <v>0</v>
      </c>
      <c r="R636" s="2" t="inlineStr"/>
    </row>
    <row r="637" ht="15" customHeight="1">
      <c r="A637" t="inlineStr">
        <is>
          <t>A 34503-2023</t>
        </is>
      </c>
      <c r="B637" s="1" t="n">
        <v>45140</v>
      </c>
      <c r="C637" s="1" t="n">
        <v>45362</v>
      </c>
      <c r="D637" t="inlineStr">
        <is>
          <t>DALARNAS LÄN</t>
        </is>
      </c>
      <c r="E637" t="inlineStr">
        <is>
          <t>LUDVIKA</t>
        </is>
      </c>
      <c r="F637" t="inlineStr">
        <is>
          <t>Bergvik skog väst AB</t>
        </is>
      </c>
      <c r="G637" t="n">
        <v>7.4</v>
      </c>
      <c r="H637" t="n">
        <v>0</v>
      </c>
      <c r="I637" t="n">
        <v>0</v>
      </c>
      <c r="J637" t="n">
        <v>0</v>
      </c>
      <c r="K637" t="n">
        <v>0</v>
      </c>
      <c r="L637" t="n">
        <v>0</v>
      </c>
      <c r="M637" t="n">
        <v>0</v>
      </c>
      <c r="N637" t="n">
        <v>0</v>
      </c>
      <c r="O637" t="n">
        <v>0</v>
      </c>
      <c r="P637" t="n">
        <v>0</v>
      </c>
      <c r="Q637" t="n">
        <v>0</v>
      </c>
      <c r="R637" s="2" t="inlineStr"/>
    </row>
    <row r="638" ht="15" customHeight="1">
      <c r="A638" t="inlineStr">
        <is>
          <t>A 34555-2023</t>
        </is>
      </c>
      <c r="B638" s="1" t="n">
        <v>45140</v>
      </c>
      <c r="C638" s="1" t="n">
        <v>45362</v>
      </c>
      <c r="D638" t="inlineStr">
        <is>
          <t>DALARNAS LÄN</t>
        </is>
      </c>
      <c r="E638" t="inlineStr">
        <is>
          <t>LUDVIKA</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34895-2023</t>
        </is>
      </c>
      <c r="B639" s="1" t="n">
        <v>45142</v>
      </c>
      <c r="C639" s="1" t="n">
        <v>45362</v>
      </c>
      <c r="D639" t="inlineStr">
        <is>
          <t>DALARNAS LÄN</t>
        </is>
      </c>
      <c r="E639" t="inlineStr">
        <is>
          <t>LUDVIKA</t>
        </is>
      </c>
      <c r="F639" t="inlineStr">
        <is>
          <t>Bergvik skog väst AB</t>
        </is>
      </c>
      <c r="G639" t="n">
        <v>2.2</v>
      </c>
      <c r="H639" t="n">
        <v>0</v>
      </c>
      <c r="I639" t="n">
        <v>0</v>
      </c>
      <c r="J639" t="n">
        <v>0</v>
      </c>
      <c r="K639" t="n">
        <v>0</v>
      </c>
      <c r="L639" t="n">
        <v>0</v>
      </c>
      <c r="M639" t="n">
        <v>0</v>
      </c>
      <c r="N639" t="n">
        <v>0</v>
      </c>
      <c r="O639" t="n">
        <v>0</v>
      </c>
      <c r="P639" t="n">
        <v>0</v>
      </c>
      <c r="Q639" t="n">
        <v>0</v>
      </c>
      <c r="R639" s="2" t="inlineStr"/>
    </row>
    <row r="640" ht="15" customHeight="1">
      <c r="A640" t="inlineStr">
        <is>
          <t>A 35791-2023</t>
        </is>
      </c>
      <c r="B640" s="1" t="n">
        <v>45148</v>
      </c>
      <c r="C640" s="1" t="n">
        <v>45362</v>
      </c>
      <c r="D640" t="inlineStr">
        <is>
          <t>DALARNAS LÄN</t>
        </is>
      </c>
      <c r="E640" t="inlineStr">
        <is>
          <t>LUDVIKA</t>
        </is>
      </c>
      <c r="F640" t="inlineStr">
        <is>
          <t>Bergvik skog väst AB</t>
        </is>
      </c>
      <c r="G640" t="n">
        <v>9.4</v>
      </c>
      <c r="H640" t="n">
        <v>0</v>
      </c>
      <c r="I640" t="n">
        <v>0</v>
      </c>
      <c r="J640" t="n">
        <v>0</v>
      </c>
      <c r="K640" t="n">
        <v>0</v>
      </c>
      <c r="L640" t="n">
        <v>0</v>
      </c>
      <c r="M640" t="n">
        <v>0</v>
      </c>
      <c r="N640" t="n">
        <v>0</v>
      </c>
      <c r="O640" t="n">
        <v>0</v>
      </c>
      <c r="P640" t="n">
        <v>0</v>
      </c>
      <c r="Q640" t="n">
        <v>0</v>
      </c>
      <c r="R640" s="2" t="inlineStr"/>
    </row>
    <row r="641" ht="15" customHeight="1">
      <c r="A641" t="inlineStr">
        <is>
          <t>A 35789-2023</t>
        </is>
      </c>
      <c r="B641" s="1" t="n">
        <v>45148</v>
      </c>
      <c r="C641" s="1" t="n">
        <v>45362</v>
      </c>
      <c r="D641" t="inlineStr">
        <is>
          <t>DALARNAS LÄN</t>
        </is>
      </c>
      <c r="E641" t="inlineStr">
        <is>
          <t>LUDVIKA</t>
        </is>
      </c>
      <c r="G641" t="n">
        <v>2.1</v>
      </c>
      <c r="H641" t="n">
        <v>0</v>
      </c>
      <c r="I641" t="n">
        <v>0</v>
      </c>
      <c r="J641" t="n">
        <v>0</v>
      </c>
      <c r="K641" t="n">
        <v>0</v>
      </c>
      <c r="L641" t="n">
        <v>0</v>
      </c>
      <c r="M641" t="n">
        <v>0</v>
      </c>
      <c r="N641" t="n">
        <v>0</v>
      </c>
      <c r="O641" t="n">
        <v>0</v>
      </c>
      <c r="P641" t="n">
        <v>0</v>
      </c>
      <c r="Q641" t="n">
        <v>0</v>
      </c>
      <c r="R641" s="2" t="inlineStr"/>
    </row>
    <row r="642" ht="15" customHeight="1">
      <c r="A642" t="inlineStr">
        <is>
          <t>A 36079-2023</t>
        </is>
      </c>
      <c r="B642" s="1" t="n">
        <v>45149</v>
      </c>
      <c r="C642" s="1" t="n">
        <v>45362</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36083-2023</t>
        </is>
      </c>
      <c r="B643" s="1" t="n">
        <v>45149</v>
      </c>
      <c r="C643" s="1" t="n">
        <v>45362</v>
      </c>
      <c r="D643" t="inlineStr">
        <is>
          <t>DALARNAS LÄN</t>
        </is>
      </c>
      <c r="E643" t="inlineStr">
        <is>
          <t>LUDVIKA</t>
        </is>
      </c>
      <c r="F643" t="inlineStr">
        <is>
          <t>Bergvik skog väst AB</t>
        </is>
      </c>
      <c r="G643" t="n">
        <v>12.1</v>
      </c>
      <c r="H643" t="n">
        <v>0</v>
      </c>
      <c r="I643" t="n">
        <v>0</v>
      </c>
      <c r="J643" t="n">
        <v>0</v>
      </c>
      <c r="K643" t="n">
        <v>0</v>
      </c>
      <c r="L643" t="n">
        <v>0</v>
      </c>
      <c r="M643" t="n">
        <v>0</v>
      </c>
      <c r="N643" t="n">
        <v>0</v>
      </c>
      <c r="O643" t="n">
        <v>0</v>
      </c>
      <c r="P643" t="n">
        <v>0</v>
      </c>
      <c r="Q643" t="n">
        <v>0</v>
      </c>
      <c r="R643" s="2" t="inlineStr"/>
    </row>
    <row r="644" ht="15" customHeight="1">
      <c r="A644" t="inlineStr">
        <is>
          <t>A 36073-2023</t>
        </is>
      </c>
      <c r="B644" s="1" t="n">
        <v>45149</v>
      </c>
      <c r="C644" s="1" t="n">
        <v>45362</v>
      </c>
      <c r="D644" t="inlineStr">
        <is>
          <t>DALARNAS LÄN</t>
        </is>
      </c>
      <c r="E644" t="inlineStr">
        <is>
          <t>LUDVIKA</t>
        </is>
      </c>
      <c r="F644" t="inlineStr">
        <is>
          <t>Bergvik skog väst AB</t>
        </is>
      </c>
      <c r="G644" t="n">
        <v>1.8</v>
      </c>
      <c r="H644" t="n">
        <v>0</v>
      </c>
      <c r="I644" t="n">
        <v>0</v>
      </c>
      <c r="J644" t="n">
        <v>0</v>
      </c>
      <c r="K644" t="n">
        <v>0</v>
      </c>
      <c r="L644" t="n">
        <v>0</v>
      </c>
      <c r="M644" t="n">
        <v>0</v>
      </c>
      <c r="N644" t="n">
        <v>0</v>
      </c>
      <c r="O644" t="n">
        <v>0</v>
      </c>
      <c r="P644" t="n">
        <v>0</v>
      </c>
      <c r="Q644" t="n">
        <v>0</v>
      </c>
      <c r="R644" s="2" t="inlineStr"/>
    </row>
    <row r="645" ht="15" customHeight="1">
      <c r="A645" t="inlineStr">
        <is>
          <t>A 36296-2023</t>
        </is>
      </c>
      <c r="B645" s="1" t="n">
        <v>45152</v>
      </c>
      <c r="C645" s="1" t="n">
        <v>45362</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36294-2023</t>
        </is>
      </c>
      <c r="B646" s="1" t="n">
        <v>45152</v>
      </c>
      <c r="C646" s="1" t="n">
        <v>45362</v>
      </c>
      <c r="D646" t="inlineStr">
        <is>
          <t>DALARNAS LÄN</t>
        </is>
      </c>
      <c r="E646" t="inlineStr">
        <is>
          <t>LUDVIKA</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36297-2023</t>
        </is>
      </c>
      <c r="B647" s="1" t="n">
        <v>45152</v>
      </c>
      <c r="C647" s="1" t="n">
        <v>45362</v>
      </c>
      <c r="D647" t="inlineStr">
        <is>
          <t>DALARNAS LÄN</t>
        </is>
      </c>
      <c r="E647" t="inlineStr">
        <is>
          <t>LUDVIKA</t>
        </is>
      </c>
      <c r="F647" t="inlineStr">
        <is>
          <t>Bergvik skog väst AB</t>
        </is>
      </c>
      <c r="G647" t="n">
        <v>3</v>
      </c>
      <c r="H647" t="n">
        <v>0</v>
      </c>
      <c r="I647" t="n">
        <v>0</v>
      </c>
      <c r="J647" t="n">
        <v>0</v>
      </c>
      <c r="K647" t="n">
        <v>0</v>
      </c>
      <c r="L647" t="n">
        <v>0</v>
      </c>
      <c r="M647" t="n">
        <v>0</v>
      </c>
      <c r="N647" t="n">
        <v>0</v>
      </c>
      <c r="O647" t="n">
        <v>0</v>
      </c>
      <c r="P647" t="n">
        <v>0</v>
      </c>
      <c r="Q647" t="n">
        <v>0</v>
      </c>
      <c r="R647" s="2" t="inlineStr"/>
    </row>
    <row r="648" ht="15" customHeight="1">
      <c r="A648" t="inlineStr">
        <is>
          <t>A 37008-2023</t>
        </is>
      </c>
      <c r="B648" s="1" t="n">
        <v>45155</v>
      </c>
      <c r="C648" s="1" t="n">
        <v>45362</v>
      </c>
      <c r="D648" t="inlineStr">
        <is>
          <t>DALARNAS LÄN</t>
        </is>
      </c>
      <c r="E648" t="inlineStr">
        <is>
          <t>LUDVIKA</t>
        </is>
      </c>
      <c r="G648" t="n">
        <v>3</v>
      </c>
      <c r="H648" t="n">
        <v>0</v>
      </c>
      <c r="I648" t="n">
        <v>0</v>
      </c>
      <c r="J648" t="n">
        <v>0</v>
      </c>
      <c r="K648" t="n">
        <v>0</v>
      </c>
      <c r="L648" t="n">
        <v>0</v>
      </c>
      <c r="M648" t="n">
        <v>0</v>
      </c>
      <c r="N648" t="n">
        <v>0</v>
      </c>
      <c r="O648" t="n">
        <v>0</v>
      </c>
      <c r="P648" t="n">
        <v>0</v>
      </c>
      <c r="Q648" t="n">
        <v>0</v>
      </c>
      <c r="R648" s="2" t="inlineStr"/>
    </row>
    <row r="649" ht="15" customHeight="1">
      <c r="A649" t="inlineStr">
        <is>
          <t>A 37273-2023</t>
        </is>
      </c>
      <c r="B649" s="1" t="n">
        <v>45156</v>
      </c>
      <c r="C649" s="1" t="n">
        <v>45362</v>
      </c>
      <c r="D649" t="inlineStr">
        <is>
          <t>DALARNAS LÄN</t>
        </is>
      </c>
      <c r="E649" t="inlineStr">
        <is>
          <t>LUDVIKA</t>
        </is>
      </c>
      <c r="G649" t="n">
        <v>4</v>
      </c>
      <c r="H649" t="n">
        <v>0</v>
      </c>
      <c r="I649" t="n">
        <v>0</v>
      </c>
      <c r="J649" t="n">
        <v>0</v>
      </c>
      <c r="K649" t="n">
        <v>0</v>
      </c>
      <c r="L649" t="n">
        <v>0</v>
      </c>
      <c r="M649" t="n">
        <v>0</v>
      </c>
      <c r="N649" t="n">
        <v>0</v>
      </c>
      <c r="O649" t="n">
        <v>0</v>
      </c>
      <c r="P649" t="n">
        <v>0</v>
      </c>
      <c r="Q649" t="n">
        <v>0</v>
      </c>
      <c r="R649" s="2" t="inlineStr"/>
    </row>
    <row r="650" ht="15" customHeight="1">
      <c r="A650" t="inlineStr">
        <is>
          <t>A 37272-2023</t>
        </is>
      </c>
      <c r="B650" s="1" t="n">
        <v>45156</v>
      </c>
      <c r="C650" s="1" t="n">
        <v>45362</v>
      </c>
      <c r="D650" t="inlineStr">
        <is>
          <t>DALARNAS LÄN</t>
        </is>
      </c>
      <c r="E650" t="inlineStr">
        <is>
          <t>LUDVIKA</t>
        </is>
      </c>
      <c r="G650" t="n">
        <v>6</v>
      </c>
      <c r="H650" t="n">
        <v>0</v>
      </c>
      <c r="I650" t="n">
        <v>0</v>
      </c>
      <c r="J650" t="n">
        <v>0</v>
      </c>
      <c r="K650" t="n">
        <v>0</v>
      </c>
      <c r="L650" t="n">
        <v>0</v>
      </c>
      <c r="M650" t="n">
        <v>0</v>
      </c>
      <c r="N650" t="n">
        <v>0</v>
      </c>
      <c r="O650" t="n">
        <v>0</v>
      </c>
      <c r="P650" t="n">
        <v>0</v>
      </c>
      <c r="Q650" t="n">
        <v>0</v>
      </c>
      <c r="R650" s="2" t="inlineStr"/>
    </row>
    <row r="651" ht="15" customHeight="1">
      <c r="A651" t="inlineStr">
        <is>
          <t>A 37333-2023</t>
        </is>
      </c>
      <c r="B651" s="1" t="n">
        <v>45156</v>
      </c>
      <c r="C651" s="1" t="n">
        <v>45362</v>
      </c>
      <c r="D651" t="inlineStr">
        <is>
          <t>DALARNAS LÄN</t>
        </is>
      </c>
      <c r="E651" t="inlineStr">
        <is>
          <t>LUDVIKA</t>
        </is>
      </c>
      <c r="F651" t="inlineStr">
        <is>
          <t>Bergvik skog väst AB</t>
        </is>
      </c>
      <c r="G651" t="n">
        <v>5</v>
      </c>
      <c r="H651" t="n">
        <v>0</v>
      </c>
      <c r="I651" t="n">
        <v>0</v>
      </c>
      <c r="J651" t="n">
        <v>0</v>
      </c>
      <c r="K651" t="n">
        <v>0</v>
      </c>
      <c r="L651" t="n">
        <v>0</v>
      </c>
      <c r="M651" t="n">
        <v>0</v>
      </c>
      <c r="N651" t="n">
        <v>0</v>
      </c>
      <c r="O651" t="n">
        <v>0</v>
      </c>
      <c r="P651" t="n">
        <v>0</v>
      </c>
      <c r="Q651" t="n">
        <v>0</v>
      </c>
      <c r="R651" s="2" t="inlineStr"/>
    </row>
    <row r="652" ht="15" customHeight="1">
      <c r="A652" t="inlineStr">
        <is>
          <t>A 37366-2023</t>
        </is>
      </c>
      <c r="B652" s="1" t="n">
        <v>45156</v>
      </c>
      <c r="C652" s="1" t="n">
        <v>45362</v>
      </c>
      <c r="D652" t="inlineStr">
        <is>
          <t>DALARNAS LÄN</t>
        </is>
      </c>
      <c r="E652" t="inlineStr">
        <is>
          <t>LUDVIKA</t>
        </is>
      </c>
      <c r="F652" t="inlineStr">
        <is>
          <t>Bergvik skog väst AB</t>
        </is>
      </c>
      <c r="G652" t="n">
        <v>6.7</v>
      </c>
      <c r="H652" t="n">
        <v>0</v>
      </c>
      <c r="I652" t="n">
        <v>0</v>
      </c>
      <c r="J652" t="n">
        <v>0</v>
      </c>
      <c r="K652" t="n">
        <v>0</v>
      </c>
      <c r="L652" t="n">
        <v>0</v>
      </c>
      <c r="M652" t="n">
        <v>0</v>
      </c>
      <c r="N652" t="n">
        <v>0</v>
      </c>
      <c r="O652" t="n">
        <v>0</v>
      </c>
      <c r="P652" t="n">
        <v>0</v>
      </c>
      <c r="Q652" t="n">
        <v>0</v>
      </c>
      <c r="R652" s="2" t="inlineStr"/>
    </row>
    <row r="653" ht="15" customHeight="1">
      <c r="A653" t="inlineStr">
        <is>
          <t>A 37392-2023</t>
        </is>
      </c>
      <c r="B653" s="1" t="n">
        <v>45156</v>
      </c>
      <c r="C653" s="1" t="n">
        <v>45362</v>
      </c>
      <c r="D653" t="inlineStr">
        <is>
          <t>DALARNAS LÄN</t>
        </is>
      </c>
      <c r="E653" t="inlineStr">
        <is>
          <t>LUDVIKA</t>
        </is>
      </c>
      <c r="G653" t="n">
        <v>0.5</v>
      </c>
      <c r="H653" t="n">
        <v>0</v>
      </c>
      <c r="I653" t="n">
        <v>0</v>
      </c>
      <c r="J653" t="n">
        <v>0</v>
      </c>
      <c r="K653" t="n">
        <v>0</v>
      </c>
      <c r="L653" t="n">
        <v>0</v>
      </c>
      <c r="M653" t="n">
        <v>0</v>
      </c>
      <c r="N653" t="n">
        <v>0</v>
      </c>
      <c r="O653" t="n">
        <v>0</v>
      </c>
      <c r="P653" t="n">
        <v>0</v>
      </c>
      <c r="Q653" t="n">
        <v>0</v>
      </c>
      <c r="R653" s="2" t="inlineStr"/>
    </row>
    <row r="654" ht="15" customHeight="1">
      <c r="A654" t="inlineStr">
        <is>
          <t>A 38170-2023</t>
        </is>
      </c>
      <c r="B654" s="1" t="n">
        <v>45161</v>
      </c>
      <c r="C654" s="1" t="n">
        <v>45362</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38138-2023</t>
        </is>
      </c>
      <c r="B655" s="1" t="n">
        <v>45161</v>
      </c>
      <c r="C655" s="1" t="n">
        <v>45362</v>
      </c>
      <c r="D655" t="inlineStr">
        <is>
          <t>DALARNAS LÄN</t>
        </is>
      </c>
      <c r="E655" t="inlineStr">
        <is>
          <t>LUDVIKA</t>
        </is>
      </c>
      <c r="G655" t="n">
        <v>2.5</v>
      </c>
      <c r="H655" t="n">
        <v>0</v>
      </c>
      <c r="I655" t="n">
        <v>0</v>
      </c>
      <c r="J655" t="n">
        <v>0</v>
      </c>
      <c r="K655" t="n">
        <v>0</v>
      </c>
      <c r="L655" t="n">
        <v>0</v>
      </c>
      <c r="M655" t="n">
        <v>0</v>
      </c>
      <c r="N655" t="n">
        <v>0</v>
      </c>
      <c r="O655" t="n">
        <v>0</v>
      </c>
      <c r="P655" t="n">
        <v>0</v>
      </c>
      <c r="Q655" t="n">
        <v>0</v>
      </c>
      <c r="R655" s="2" t="inlineStr"/>
    </row>
    <row r="656" ht="15" customHeight="1">
      <c r="A656" t="inlineStr">
        <is>
          <t>A 38279-2023</t>
        </is>
      </c>
      <c r="B656" s="1" t="n">
        <v>45161</v>
      </c>
      <c r="C656" s="1" t="n">
        <v>45362</v>
      </c>
      <c r="D656" t="inlineStr">
        <is>
          <t>DALARNAS LÄN</t>
        </is>
      </c>
      <c r="E656" t="inlineStr">
        <is>
          <t>LUDVIKA</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38168-2023</t>
        </is>
      </c>
      <c r="B657" s="1" t="n">
        <v>45161</v>
      </c>
      <c r="C657" s="1" t="n">
        <v>45362</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38197-2023</t>
        </is>
      </c>
      <c r="B658" s="1" t="n">
        <v>45161</v>
      </c>
      <c r="C658" s="1" t="n">
        <v>45362</v>
      </c>
      <c r="D658" t="inlineStr">
        <is>
          <t>DALARNAS LÄN</t>
        </is>
      </c>
      <c r="E658" t="inlineStr">
        <is>
          <t>LUDVIKA</t>
        </is>
      </c>
      <c r="F658" t="inlineStr">
        <is>
          <t>Bergvik skog väst AB</t>
        </is>
      </c>
      <c r="G658" t="n">
        <v>2.4</v>
      </c>
      <c r="H658" t="n">
        <v>0</v>
      </c>
      <c r="I658" t="n">
        <v>0</v>
      </c>
      <c r="J658" t="n">
        <v>0</v>
      </c>
      <c r="K658" t="n">
        <v>0</v>
      </c>
      <c r="L658" t="n">
        <v>0</v>
      </c>
      <c r="M658" t="n">
        <v>0</v>
      </c>
      <c r="N658" t="n">
        <v>0</v>
      </c>
      <c r="O658" t="n">
        <v>0</v>
      </c>
      <c r="P658" t="n">
        <v>0</v>
      </c>
      <c r="Q658" t="n">
        <v>0</v>
      </c>
      <c r="R658" s="2" t="inlineStr"/>
    </row>
    <row r="659" ht="15" customHeight="1">
      <c r="A659" t="inlineStr">
        <is>
          <t>A 38243-2023</t>
        </is>
      </c>
      <c r="B659" s="1" t="n">
        <v>45161</v>
      </c>
      <c r="C659" s="1" t="n">
        <v>45362</v>
      </c>
      <c r="D659" t="inlineStr">
        <is>
          <t>DALARNAS LÄN</t>
        </is>
      </c>
      <c r="E659" t="inlineStr">
        <is>
          <t>LUDVIKA</t>
        </is>
      </c>
      <c r="G659" t="n">
        <v>1.2</v>
      </c>
      <c r="H659" t="n">
        <v>0</v>
      </c>
      <c r="I659" t="n">
        <v>0</v>
      </c>
      <c r="J659" t="n">
        <v>0</v>
      </c>
      <c r="K659" t="n">
        <v>0</v>
      </c>
      <c r="L659" t="n">
        <v>0</v>
      </c>
      <c r="M659" t="n">
        <v>0</v>
      </c>
      <c r="N659" t="n">
        <v>0</v>
      </c>
      <c r="O659" t="n">
        <v>0</v>
      </c>
      <c r="P659" t="n">
        <v>0</v>
      </c>
      <c r="Q659" t="n">
        <v>0</v>
      </c>
      <c r="R659" s="2" t="inlineStr"/>
    </row>
    <row r="660" ht="15" customHeight="1">
      <c r="A660" t="inlineStr">
        <is>
          <t>A 38280-2023</t>
        </is>
      </c>
      <c r="B660" s="1" t="n">
        <v>45161</v>
      </c>
      <c r="C660" s="1" t="n">
        <v>45362</v>
      </c>
      <c r="D660" t="inlineStr">
        <is>
          <t>DALARNAS LÄN</t>
        </is>
      </c>
      <c r="E660" t="inlineStr">
        <is>
          <t>LUDVIKA</t>
        </is>
      </c>
      <c r="F660" t="inlineStr">
        <is>
          <t>Bergvik skog väst AB</t>
        </is>
      </c>
      <c r="G660" t="n">
        <v>2.9</v>
      </c>
      <c r="H660" t="n">
        <v>0</v>
      </c>
      <c r="I660" t="n">
        <v>0</v>
      </c>
      <c r="J660" t="n">
        <v>0</v>
      </c>
      <c r="K660" t="n">
        <v>0</v>
      </c>
      <c r="L660" t="n">
        <v>0</v>
      </c>
      <c r="M660" t="n">
        <v>0</v>
      </c>
      <c r="N660" t="n">
        <v>0</v>
      </c>
      <c r="O660" t="n">
        <v>0</v>
      </c>
      <c r="P660" t="n">
        <v>0</v>
      </c>
      <c r="Q660" t="n">
        <v>0</v>
      </c>
      <c r="R660" s="2" t="inlineStr"/>
    </row>
    <row r="661" ht="15" customHeight="1">
      <c r="A661" t="inlineStr">
        <is>
          <t>A 38963-2023</t>
        </is>
      </c>
      <c r="B661" s="1" t="n">
        <v>45163</v>
      </c>
      <c r="C661" s="1" t="n">
        <v>45362</v>
      </c>
      <c r="D661" t="inlineStr">
        <is>
          <t>DALARNAS LÄN</t>
        </is>
      </c>
      <c r="E661" t="inlineStr">
        <is>
          <t>LUDVIKA</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38925-2023</t>
        </is>
      </c>
      <c r="B662" s="1" t="n">
        <v>45163</v>
      </c>
      <c r="C662" s="1" t="n">
        <v>45362</v>
      </c>
      <c r="D662" t="inlineStr">
        <is>
          <t>DALARNAS LÄN</t>
        </is>
      </c>
      <c r="E662" t="inlineStr">
        <is>
          <t>LUDVIKA</t>
        </is>
      </c>
      <c r="G662" t="n">
        <v>3</v>
      </c>
      <c r="H662" t="n">
        <v>0</v>
      </c>
      <c r="I662" t="n">
        <v>0</v>
      </c>
      <c r="J662" t="n">
        <v>0</v>
      </c>
      <c r="K662" t="n">
        <v>0</v>
      </c>
      <c r="L662" t="n">
        <v>0</v>
      </c>
      <c r="M662" t="n">
        <v>0</v>
      </c>
      <c r="N662" t="n">
        <v>0</v>
      </c>
      <c r="O662" t="n">
        <v>0</v>
      </c>
      <c r="P662" t="n">
        <v>0</v>
      </c>
      <c r="Q662" t="n">
        <v>0</v>
      </c>
      <c r="R662" s="2" t="inlineStr"/>
    </row>
    <row r="663" ht="15" customHeight="1">
      <c r="A663" t="inlineStr">
        <is>
          <t>A 39400-2023</t>
        </is>
      </c>
      <c r="B663" s="1" t="n">
        <v>45166</v>
      </c>
      <c r="C663" s="1" t="n">
        <v>45362</v>
      </c>
      <c r="D663" t="inlineStr">
        <is>
          <t>DALARNAS LÄN</t>
        </is>
      </c>
      <c r="E663" t="inlineStr">
        <is>
          <t>LUDVIKA</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39437-2023</t>
        </is>
      </c>
      <c r="B664" s="1" t="n">
        <v>45166</v>
      </c>
      <c r="C664" s="1" t="n">
        <v>45362</v>
      </c>
      <c r="D664" t="inlineStr">
        <is>
          <t>DALARNAS LÄN</t>
        </is>
      </c>
      <c r="E664" t="inlineStr">
        <is>
          <t>LUDVIKA</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39405-2023</t>
        </is>
      </c>
      <c r="B665" s="1" t="n">
        <v>45166</v>
      </c>
      <c r="C665" s="1" t="n">
        <v>45362</v>
      </c>
      <c r="D665" t="inlineStr">
        <is>
          <t>DALARNAS LÄN</t>
        </is>
      </c>
      <c r="E665" t="inlineStr">
        <is>
          <t>LUDVIKA</t>
        </is>
      </c>
      <c r="F665" t="inlineStr">
        <is>
          <t>Bergvik skog väst AB</t>
        </is>
      </c>
      <c r="G665" t="n">
        <v>2.4</v>
      </c>
      <c r="H665" t="n">
        <v>0</v>
      </c>
      <c r="I665" t="n">
        <v>0</v>
      </c>
      <c r="J665" t="n">
        <v>0</v>
      </c>
      <c r="K665" t="n">
        <v>0</v>
      </c>
      <c r="L665" t="n">
        <v>0</v>
      </c>
      <c r="M665" t="n">
        <v>0</v>
      </c>
      <c r="N665" t="n">
        <v>0</v>
      </c>
      <c r="O665" t="n">
        <v>0</v>
      </c>
      <c r="P665" t="n">
        <v>0</v>
      </c>
      <c r="Q665" t="n">
        <v>0</v>
      </c>
      <c r="R665" s="2" t="inlineStr"/>
    </row>
    <row r="666" ht="15" customHeight="1">
      <c r="A666" t="inlineStr">
        <is>
          <t>A 39417-2023</t>
        </is>
      </c>
      <c r="B666" s="1" t="n">
        <v>45166</v>
      </c>
      <c r="C666" s="1" t="n">
        <v>45362</v>
      </c>
      <c r="D666" t="inlineStr">
        <is>
          <t>DALARNAS LÄN</t>
        </is>
      </c>
      <c r="E666" t="inlineStr">
        <is>
          <t>LUDVIKA</t>
        </is>
      </c>
      <c r="F666" t="inlineStr">
        <is>
          <t>Bergvik skog väst AB</t>
        </is>
      </c>
      <c r="G666" t="n">
        <v>0.8</v>
      </c>
      <c r="H666" t="n">
        <v>0</v>
      </c>
      <c r="I666" t="n">
        <v>0</v>
      </c>
      <c r="J666" t="n">
        <v>0</v>
      </c>
      <c r="K666" t="n">
        <v>0</v>
      </c>
      <c r="L666" t="n">
        <v>0</v>
      </c>
      <c r="M666" t="n">
        <v>0</v>
      </c>
      <c r="N666" t="n">
        <v>0</v>
      </c>
      <c r="O666" t="n">
        <v>0</v>
      </c>
      <c r="P666" t="n">
        <v>0</v>
      </c>
      <c r="Q666" t="n">
        <v>0</v>
      </c>
      <c r="R666" s="2" t="inlineStr"/>
    </row>
    <row r="667" ht="15" customHeight="1">
      <c r="A667" t="inlineStr">
        <is>
          <t>A 39438-2023</t>
        </is>
      </c>
      <c r="B667" s="1" t="n">
        <v>45166</v>
      </c>
      <c r="C667" s="1" t="n">
        <v>45362</v>
      </c>
      <c r="D667" t="inlineStr">
        <is>
          <t>DALARNAS LÄN</t>
        </is>
      </c>
      <c r="E667" t="inlineStr">
        <is>
          <t>LUDVIKA</t>
        </is>
      </c>
      <c r="F667" t="inlineStr">
        <is>
          <t>Bergvik skog väst AB</t>
        </is>
      </c>
      <c r="G667" t="n">
        <v>3.2</v>
      </c>
      <c r="H667" t="n">
        <v>0</v>
      </c>
      <c r="I667" t="n">
        <v>0</v>
      </c>
      <c r="J667" t="n">
        <v>0</v>
      </c>
      <c r="K667" t="n">
        <v>0</v>
      </c>
      <c r="L667" t="n">
        <v>0</v>
      </c>
      <c r="M667" t="n">
        <v>0</v>
      </c>
      <c r="N667" t="n">
        <v>0</v>
      </c>
      <c r="O667" t="n">
        <v>0</v>
      </c>
      <c r="P667" t="n">
        <v>0</v>
      </c>
      <c r="Q667" t="n">
        <v>0</v>
      </c>
      <c r="R667" s="2" t="inlineStr"/>
    </row>
    <row r="668" ht="15" customHeight="1">
      <c r="A668" t="inlineStr">
        <is>
          <t>A 39441-2023</t>
        </is>
      </c>
      <c r="B668" s="1" t="n">
        <v>45166</v>
      </c>
      <c r="C668" s="1" t="n">
        <v>45362</v>
      </c>
      <c r="D668" t="inlineStr">
        <is>
          <t>DALARNAS LÄN</t>
        </is>
      </c>
      <c r="E668" t="inlineStr">
        <is>
          <t>LUDVIKA</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39447-2023</t>
        </is>
      </c>
      <c r="B669" s="1" t="n">
        <v>45166</v>
      </c>
      <c r="C669" s="1" t="n">
        <v>45362</v>
      </c>
      <c r="D669" t="inlineStr">
        <is>
          <t>DALARNAS LÄN</t>
        </is>
      </c>
      <c r="E669" t="inlineStr">
        <is>
          <t>LUDVIKA</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39675-2023</t>
        </is>
      </c>
      <c r="B670" s="1" t="n">
        <v>45167</v>
      </c>
      <c r="C670" s="1" t="n">
        <v>45362</v>
      </c>
      <c r="D670" t="inlineStr">
        <is>
          <t>DALARNAS LÄN</t>
        </is>
      </c>
      <c r="E670" t="inlineStr">
        <is>
          <t>LUDVIKA</t>
        </is>
      </c>
      <c r="F670" t="inlineStr">
        <is>
          <t>Naturvårdsverket</t>
        </is>
      </c>
      <c r="G670" t="n">
        <v>0.9</v>
      </c>
      <c r="H670" t="n">
        <v>0</v>
      </c>
      <c r="I670" t="n">
        <v>0</v>
      </c>
      <c r="J670" t="n">
        <v>0</v>
      </c>
      <c r="K670" t="n">
        <v>0</v>
      </c>
      <c r="L670" t="n">
        <v>0</v>
      </c>
      <c r="M670" t="n">
        <v>0</v>
      </c>
      <c r="N670" t="n">
        <v>0</v>
      </c>
      <c r="O670" t="n">
        <v>0</v>
      </c>
      <c r="P670" t="n">
        <v>0</v>
      </c>
      <c r="Q670" t="n">
        <v>0</v>
      </c>
      <c r="R670" s="2" t="inlineStr"/>
    </row>
    <row r="671" ht="15" customHeight="1">
      <c r="A671" t="inlineStr">
        <is>
          <t>A 39673-2023</t>
        </is>
      </c>
      <c r="B671" s="1" t="n">
        <v>45167</v>
      </c>
      <c r="C671" s="1" t="n">
        <v>45362</v>
      </c>
      <c r="D671" t="inlineStr">
        <is>
          <t>DALARNAS LÄN</t>
        </is>
      </c>
      <c r="E671" t="inlineStr">
        <is>
          <t>LUDVIKA</t>
        </is>
      </c>
      <c r="F671" t="inlineStr">
        <is>
          <t>Naturvårdsverket</t>
        </is>
      </c>
      <c r="G671" t="n">
        <v>1.1</v>
      </c>
      <c r="H671" t="n">
        <v>0</v>
      </c>
      <c r="I671" t="n">
        <v>0</v>
      </c>
      <c r="J671" t="n">
        <v>0</v>
      </c>
      <c r="K671" t="n">
        <v>0</v>
      </c>
      <c r="L671" t="n">
        <v>0</v>
      </c>
      <c r="M671" t="n">
        <v>0</v>
      </c>
      <c r="N671" t="n">
        <v>0</v>
      </c>
      <c r="O671" t="n">
        <v>0</v>
      </c>
      <c r="P671" t="n">
        <v>0</v>
      </c>
      <c r="Q671" t="n">
        <v>0</v>
      </c>
      <c r="R671" s="2" t="inlineStr"/>
    </row>
    <row r="672" ht="15" customHeight="1">
      <c r="A672" t="inlineStr">
        <is>
          <t>A 39678-2023</t>
        </is>
      </c>
      <c r="B672" s="1" t="n">
        <v>45167</v>
      </c>
      <c r="C672" s="1" t="n">
        <v>45362</v>
      </c>
      <c r="D672" t="inlineStr">
        <is>
          <t>DALARNAS LÄN</t>
        </is>
      </c>
      <c r="E672" t="inlineStr">
        <is>
          <t>LUDVIKA</t>
        </is>
      </c>
      <c r="F672" t="inlineStr">
        <is>
          <t>Naturvårdsverket</t>
        </is>
      </c>
      <c r="G672" t="n">
        <v>1</v>
      </c>
      <c r="H672" t="n">
        <v>0</v>
      </c>
      <c r="I672" t="n">
        <v>0</v>
      </c>
      <c r="J672" t="n">
        <v>0</v>
      </c>
      <c r="K672" t="n">
        <v>0</v>
      </c>
      <c r="L672" t="n">
        <v>0</v>
      </c>
      <c r="M672" t="n">
        <v>0</v>
      </c>
      <c r="N672" t="n">
        <v>0</v>
      </c>
      <c r="O672" t="n">
        <v>0</v>
      </c>
      <c r="P672" t="n">
        <v>0</v>
      </c>
      <c r="Q672" t="n">
        <v>0</v>
      </c>
      <c r="R672" s="2" t="inlineStr"/>
    </row>
    <row r="673" ht="15" customHeight="1">
      <c r="A673" t="inlineStr">
        <is>
          <t>A 39670-2023</t>
        </is>
      </c>
      <c r="B673" s="1" t="n">
        <v>45167</v>
      </c>
      <c r="C673" s="1" t="n">
        <v>45362</v>
      </c>
      <c r="D673" t="inlineStr">
        <is>
          <t>DALARNAS LÄN</t>
        </is>
      </c>
      <c r="E673" t="inlineStr">
        <is>
          <t>LUDVIKA</t>
        </is>
      </c>
      <c r="F673" t="inlineStr">
        <is>
          <t>Naturvårdsverket</t>
        </is>
      </c>
      <c r="G673" t="n">
        <v>3.9</v>
      </c>
      <c r="H673" t="n">
        <v>0</v>
      </c>
      <c r="I673" t="n">
        <v>0</v>
      </c>
      <c r="J673" t="n">
        <v>0</v>
      </c>
      <c r="K673" t="n">
        <v>0</v>
      </c>
      <c r="L673" t="n">
        <v>0</v>
      </c>
      <c r="M673" t="n">
        <v>0</v>
      </c>
      <c r="N673" t="n">
        <v>0</v>
      </c>
      <c r="O673" t="n">
        <v>0</v>
      </c>
      <c r="P673" t="n">
        <v>0</v>
      </c>
      <c r="Q673" t="n">
        <v>0</v>
      </c>
      <c r="R673" s="2" t="inlineStr"/>
    </row>
    <row r="674" ht="15" customHeight="1">
      <c r="A674" t="inlineStr">
        <is>
          <t>A 39849-2023</t>
        </is>
      </c>
      <c r="B674" s="1" t="n">
        <v>45168</v>
      </c>
      <c r="C674" s="1" t="n">
        <v>45362</v>
      </c>
      <c r="D674" t="inlineStr">
        <is>
          <t>DALARNAS LÄN</t>
        </is>
      </c>
      <c r="E674" t="inlineStr">
        <is>
          <t>LUDVIKA</t>
        </is>
      </c>
      <c r="F674" t="inlineStr">
        <is>
          <t>Bergvik skog väst AB</t>
        </is>
      </c>
      <c r="G674" t="n">
        <v>0.7</v>
      </c>
      <c r="H674" t="n">
        <v>0</v>
      </c>
      <c r="I674" t="n">
        <v>0</v>
      </c>
      <c r="J674" t="n">
        <v>0</v>
      </c>
      <c r="K674" t="n">
        <v>0</v>
      </c>
      <c r="L674" t="n">
        <v>0</v>
      </c>
      <c r="M674" t="n">
        <v>0</v>
      </c>
      <c r="N674" t="n">
        <v>0</v>
      </c>
      <c r="O674" t="n">
        <v>0</v>
      </c>
      <c r="P674" t="n">
        <v>0</v>
      </c>
      <c r="Q674" t="n">
        <v>0</v>
      </c>
      <c r="R674" s="2" t="inlineStr"/>
    </row>
    <row r="675" ht="15" customHeight="1">
      <c r="A675" t="inlineStr">
        <is>
          <t>A 39878-2023</t>
        </is>
      </c>
      <c r="B675" s="1" t="n">
        <v>45168</v>
      </c>
      <c r="C675" s="1" t="n">
        <v>45362</v>
      </c>
      <c r="D675" t="inlineStr">
        <is>
          <t>DALARNAS LÄN</t>
        </is>
      </c>
      <c r="E675" t="inlineStr">
        <is>
          <t>LUDVIKA</t>
        </is>
      </c>
      <c r="F675" t="inlineStr">
        <is>
          <t>Bergvik skog väst AB</t>
        </is>
      </c>
      <c r="G675" t="n">
        <v>2.7</v>
      </c>
      <c r="H675" t="n">
        <v>0</v>
      </c>
      <c r="I675" t="n">
        <v>0</v>
      </c>
      <c r="J675" t="n">
        <v>0</v>
      </c>
      <c r="K675" t="n">
        <v>0</v>
      </c>
      <c r="L675" t="n">
        <v>0</v>
      </c>
      <c r="M675" t="n">
        <v>0</v>
      </c>
      <c r="N675" t="n">
        <v>0</v>
      </c>
      <c r="O675" t="n">
        <v>0</v>
      </c>
      <c r="P675" t="n">
        <v>0</v>
      </c>
      <c r="Q675" t="n">
        <v>0</v>
      </c>
      <c r="R675" s="2" t="inlineStr"/>
    </row>
    <row r="676" ht="15" customHeight="1">
      <c r="A676" t="inlineStr">
        <is>
          <t>A 40016-2023</t>
        </is>
      </c>
      <c r="B676" s="1" t="n">
        <v>45168</v>
      </c>
      <c r="C676" s="1" t="n">
        <v>45362</v>
      </c>
      <c r="D676" t="inlineStr">
        <is>
          <t>DALARNAS LÄN</t>
        </is>
      </c>
      <c r="E676" t="inlineStr">
        <is>
          <t>LUDVIKA</t>
        </is>
      </c>
      <c r="F676" t="inlineStr">
        <is>
          <t>Bergvik skog väst AB</t>
        </is>
      </c>
      <c r="G676" t="n">
        <v>7.6</v>
      </c>
      <c r="H676" t="n">
        <v>0</v>
      </c>
      <c r="I676" t="n">
        <v>0</v>
      </c>
      <c r="J676" t="n">
        <v>0</v>
      </c>
      <c r="K676" t="n">
        <v>0</v>
      </c>
      <c r="L676" t="n">
        <v>0</v>
      </c>
      <c r="M676" t="n">
        <v>0</v>
      </c>
      <c r="N676" t="n">
        <v>0</v>
      </c>
      <c r="O676" t="n">
        <v>0</v>
      </c>
      <c r="P676" t="n">
        <v>0</v>
      </c>
      <c r="Q676" t="n">
        <v>0</v>
      </c>
      <c r="R676" s="2" t="inlineStr"/>
    </row>
    <row r="677" ht="15" customHeight="1">
      <c r="A677" t="inlineStr">
        <is>
          <t>A 39971-2023</t>
        </is>
      </c>
      <c r="B677" s="1" t="n">
        <v>45168</v>
      </c>
      <c r="C677" s="1" t="n">
        <v>45362</v>
      </c>
      <c r="D677" t="inlineStr">
        <is>
          <t>DALARNAS LÄN</t>
        </is>
      </c>
      <c r="E677" t="inlineStr">
        <is>
          <t>LUDVIKA</t>
        </is>
      </c>
      <c r="F677" t="inlineStr">
        <is>
          <t>Bergvik skog väst AB</t>
        </is>
      </c>
      <c r="G677" t="n">
        <v>4.4</v>
      </c>
      <c r="H677" t="n">
        <v>0</v>
      </c>
      <c r="I677" t="n">
        <v>0</v>
      </c>
      <c r="J677" t="n">
        <v>0</v>
      </c>
      <c r="K677" t="n">
        <v>0</v>
      </c>
      <c r="L677" t="n">
        <v>0</v>
      </c>
      <c r="M677" t="n">
        <v>0</v>
      </c>
      <c r="N677" t="n">
        <v>0</v>
      </c>
      <c r="O677" t="n">
        <v>0</v>
      </c>
      <c r="P677" t="n">
        <v>0</v>
      </c>
      <c r="Q677" t="n">
        <v>0</v>
      </c>
      <c r="R677" s="2" t="inlineStr"/>
    </row>
    <row r="678" ht="15" customHeight="1">
      <c r="A678" t="inlineStr">
        <is>
          <t>A 39886-2023</t>
        </is>
      </c>
      <c r="B678" s="1" t="n">
        <v>45168</v>
      </c>
      <c r="C678" s="1" t="n">
        <v>45362</v>
      </c>
      <c r="D678" t="inlineStr">
        <is>
          <t>DALARNAS LÄN</t>
        </is>
      </c>
      <c r="E678" t="inlineStr">
        <is>
          <t>LUDVIKA</t>
        </is>
      </c>
      <c r="F678" t="inlineStr">
        <is>
          <t>Bergvik skog väst AB</t>
        </is>
      </c>
      <c r="G678" t="n">
        <v>28.4</v>
      </c>
      <c r="H678" t="n">
        <v>0</v>
      </c>
      <c r="I678" t="n">
        <v>0</v>
      </c>
      <c r="J678" t="n">
        <v>0</v>
      </c>
      <c r="K678" t="n">
        <v>0</v>
      </c>
      <c r="L678" t="n">
        <v>0</v>
      </c>
      <c r="M678" t="n">
        <v>0</v>
      </c>
      <c r="N678" t="n">
        <v>0</v>
      </c>
      <c r="O678" t="n">
        <v>0</v>
      </c>
      <c r="P678" t="n">
        <v>0</v>
      </c>
      <c r="Q678" t="n">
        <v>0</v>
      </c>
      <c r="R678" s="2" t="inlineStr"/>
    </row>
    <row r="679" ht="15" customHeight="1">
      <c r="A679" t="inlineStr">
        <is>
          <t>A 40020-2023</t>
        </is>
      </c>
      <c r="B679" s="1" t="n">
        <v>45168</v>
      </c>
      <c r="C679" s="1" t="n">
        <v>45362</v>
      </c>
      <c r="D679" t="inlineStr">
        <is>
          <t>DALARNAS LÄN</t>
        </is>
      </c>
      <c r="E679" t="inlineStr">
        <is>
          <t>LUDVIKA</t>
        </is>
      </c>
      <c r="F679" t="inlineStr">
        <is>
          <t>Bergvik skog väst AB</t>
        </is>
      </c>
      <c r="G679" t="n">
        <v>8.4</v>
      </c>
      <c r="H679" t="n">
        <v>0</v>
      </c>
      <c r="I679" t="n">
        <v>0</v>
      </c>
      <c r="J679" t="n">
        <v>0</v>
      </c>
      <c r="K679" t="n">
        <v>0</v>
      </c>
      <c r="L679" t="n">
        <v>0</v>
      </c>
      <c r="M679" t="n">
        <v>0</v>
      </c>
      <c r="N679" t="n">
        <v>0</v>
      </c>
      <c r="O679" t="n">
        <v>0</v>
      </c>
      <c r="P679" t="n">
        <v>0</v>
      </c>
      <c r="Q679" t="n">
        <v>0</v>
      </c>
      <c r="R679" s="2" t="inlineStr"/>
    </row>
    <row r="680" ht="15" customHeight="1">
      <c r="A680" t="inlineStr">
        <is>
          <t>A 40489-2023</t>
        </is>
      </c>
      <c r="B680" s="1" t="n">
        <v>45170</v>
      </c>
      <c r="C680" s="1" t="n">
        <v>45362</v>
      </c>
      <c r="D680" t="inlineStr">
        <is>
          <t>DALARNAS LÄN</t>
        </is>
      </c>
      <c r="E680" t="inlineStr">
        <is>
          <t>LUDVIKA</t>
        </is>
      </c>
      <c r="F680" t="inlineStr">
        <is>
          <t>Sveaskog</t>
        </is>
      </c>
      <c r="G680" t="n">
        <v>22.5</v>
      </c>
      <c r="H680" t="n">
        <v>0</v>
      </c>
      <c r="I680" t="n">
        <v>0</v>
      </c>
      <c r="J680" t="n">
        <v>0</v>
      </c>
      <c r="K680" t="n">
        <v>0</v>
      </c>
      <c r="L680" t="n">
        <v>0</v>
      </c>
      <c r="M680" t="n">
        <v>0</v>
      </c>
      <c r="N680" t="n">
        <v>0</v>
      </c>
      <c r="O680" t="n">
        <v>0</v>
      </c>
      <c r="P680" t="n">
        <v>0</v>
      </c>
      <c r="Q680" t="n">
        <v>0</v>
      </c>
      <c r="R680" s="2" t="inlineStr"/>
    </row>
    <row r="681" ht="15" customHeight="1">
      <c r="A681" t="inlineStr">
        <is>
          <t>A 40499-2023</t>
        </is>
      </c>
      <c r="B681" s="1" t="n">
        <v>45170</v>
      </c>
      <c r="C681" s="1" t="n">
        <v>45362</v>
      </c>
      <c r="D681" t="inlineStr">
        <is>
          <t>DALARNAS LÄN</t>
        </is>
      </c>
      <c r="E681" t="inlineStr">
        <is>
          <t>LUDVIKA</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40672-2023</t>
        </is>
      </c>
      <c r="B682" s="1" t="n">
        <v>45170</v>
      </c>
      <c r="C682" s="1" t="n">
        <v>45362</v>
      </c>
      <c r="D682" t="inlineStr">
        <is>
          <t>DALARNAS LÄN</t>
        </is>
      </c>
      <c r="E682" t="inlineStr">
        <is>
          <t>LUDVIKA</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40646-2023</t>
        </is>
      </c>
      <c r="B683" s="1" t="n">
        <v>45170</v>
      </c>
      <c r="C683" s="1" t="n">
        <v>45362</v>
      </c>
      <c r="D683" t="inlineStr">
        <is>
          <t>DALARNAS LÄN</t>
        </is>
      </c>
      <c r="E683" t="inlineStr">
        <is>
          <t>LUDVIKA</t>
        </is>
      </c>
      <c r="F683" t="inlineStr">
        <is>
          <t>Bergvik skog väst AB</t>
        </is>
      </c>
      <c r="G683" t="n">
        <v>2.3</v>
      </c>
      <c r="H683" t="n">
        <v>0</v>
      </c>
      <c r="I683" t="n">
        <v>0</v>
      </c>
      <c r="J683" t="n">
        <v>0</v>
      </c>
      <c r="K683" t="n">
        <v>0</v>
      </c>
      <c r="L683" t="n">
        <v>0</v>
      </c>
      <c r="M683" t="n">
        <v>0</v>
      </c>
      <c r="N683" t="n">
        <v>0</v>
      </c>
      <c r="O683" t="n">
        <v>0</v>
      </c>
      <c r="P683" t="n">
        <v>0</v>
      </c>
      <c r="Q683" t="n">
        <v>0</v>
      </c>
      <c r="R683" s="2" t="inlineStr"/>
    </row>
    <row r="684" ht="15" customHeight="1">
      <c r="A684" t="inlineStr">
        <is>
          <t>A 40473-2023</t>
        </is>
      </c>
      <c r="B684" s="1" t="n">
        <v>45170</v>
      </c>
      <c r="C684" s="1" t="n">
        <v>45362</v>
      </c>
      <c r="D684" t="inlineStr">
        <is>
          <t>DALARNAS LÄN</t>
        </is>
      </c>
      <c r="E684" t="inlineStr">
        <is>
          <t>LUDVIKA</t>
        </is>
      </c>
      <c r="F684" t="inlineStr">
        <is>
          <t>Sveaskog</t>
        </is>
      </c>
      <c r="G684" t="n">
        <v>2.1</v>
      </c>
      <c r="H684" t="n">
        <v>0</v>
      </c>
      <c r="I684" t="n">
        <v>0</v>
      </c>
      <c r="J684" t="n">
        <v>0</v>
      </c>
      <c r="K684" t="n">
        <v>0</v>
      </c>
      <c r="L684" t="n">
        <v>0</v>
      </c>
      <c r="M684" t="n">
        <v>0</v>
      </c>
      <c r="N684" t="n">
        <v>0</v>
      </c>
      <c r="O684" t="n">
        <v>0</v>
      </c>
      <c r="P684" t="n">
        <v>0</v>
      </c>
      <c r="Q684" t="n">
        <v>0</v>
      </c>
      <c r="R684" s="2" t="inlineStr"/>
    </row>
    <row r="685" ht="15" customHeight="1">
      <c r="A685" t="inlineStr">
        <is>
          <t>A 40687-2023</t>
        </is>
      </c>
      <c r="B685" s="1" t="n">
        <v>45170</v>
      </c>
      <c r="C685" s="1" t="n">
        <v>45362</v>
      </c>
      <c r="D685" t="inlineStr">
        <is>
          <t>DALARNAS LÄN</t>
        </is>
      </c>
      <c r="E685" t="inlineStr">
        <is>
          <t>LUDVIKA</t>
        </is>
      </c>
      <c r="F685" t="inlineStr">
        <is>
          <t>Bergvik skog väst AB</t>
        </is>
      </c>
      <c r="G685" t="n">
        <v>0.7</v>
      </c>
      <c r="H685" t="n">
        <v>0</v>
      </c>
      <c r="I685" t="n">
        <v>0</v>
      </c>
      <c r="J685" t="n">
        <v>0</v>
      </c>
      <c r="K685" t="n">
        <v>0</v>
      </c>
      <c r="L685" t="n">
        <v>0</v>
      </c>
      <c r="M685" t="n">
        <v>0</v>
      </c>
      <c r="N685" t="n">
        <v>0</v>
      </c>
      <c r="O685" t="n">
        <v>0</v>
      </c>
      <c r="P685" t="n">
        <v>0</v>
      </c>
      <c r="Q685" t="n">
        <v>0</v>
      </c>
      <c r="R685" s="2" t="inlineStr"/>
    </row>
    <row r="686" ht="15" customHeight="1">
      <c r="A686" t="inlineStr">
        <is>
          <t>A 40869-2023</t>
        </is>
      </c>
      <c r="B686" s="1" t="n">
        <v>45173</v>
      </c>
      <c r="C686" s="1" t="n">
        <v>45362</v>
      </c>
      <c r="D686" t="inlineStr">
        <is>
          <t>DALARNAS LÄN</t>
        </is>
      </c>
      <c r="E686" t="inlineStr">
        <is>
          <t>LUDVIKA</t>
        </is>
      </c>
      <c r="F686" t="inlineStr">
        <is>
          <t>Bergvik skog väst AB</t>
        </is>
      </c>
      <c r="G686" t="n">
        <v>1</v>
      </c>
      <c r="H686" t="n">
        <v>0</v>
      </c>
      <c r="I686" t="n">
        <v>0</v>
      </c>
      <c r="J686" t="n">
        <v>0</v>
      </c>
      <c r="K686" t="n">
        <v>0</v>
      </c>
      <c r="L686" t="n">
        <v>0</v>
      </c>
      <c r="M686" t="n">
        <v>0</v>
      </c>
      <c r="N686" t="n">
        <v>0</v>
      </c>
      <c r="O686" t="n">
        <v>0</v>
      </c>
      <c r="P686" t="n">
        <v>0</v>
      </c>
      <c r="Q686" t="n">
        <v>0</v>
      </c>
      <c r="R686" s="2" t="inlineStr"/>
    </row>
    <row r="687" ht="15" customHeight="1">
      <c r="A687" t="inlineStr">
        <is>
          <t>A 41177-2023</t>
        </is>
      </c>
      <c r="B687" s="1" t="n">
        <v>45174</v>
      </c>
      <c r="C687" s="1" t="n">
        <v>45362</v>
      </c>
      <c r="D687" t="inlineStr">
        <is>
          <t>DALARNAS LÄN</t>
        </is>
      </c>
      <c r="E687" t="inlineStr">
        <is>
          <t>LUDVIKA</t>
        </is>
      </c>
      <c r="F687" t="inlineStr">
        <is>
          <t>Övriga Aktiebolag</t>
        </is>
      </c>
      <c r="G687" t="n">
        <v>6.7</v>
      </c>
      <c r="H687" t="n">
        <v>0</v>
      </c>
      <c r="I687" t="n">
        <v>0</v>
      </c>
      <c r="J687" t="n">
        <v>0</v>
      </c>
      <c r="K687" t="n">
        <v>0</v>
      </c>
      <c r="L687" t="n">
        <v>0</v>
      </c>
      <c r="M687" t="n">
        <v>0</v>
      </c>
      <c r="N687" t="n">
        <v>0</v>
      </c>
      <c r="O687" t="n">
        <v>0</v>
      </c>
      <c r="P687" t="n">
        <v>0</v>
      </c>
      <c r="Q687" t="n">
        <v>0</v>
      </c>
      <c r="R687" s="2" t="inlineStr"/>
    </row>
    <row r="688" ht="15" customHeight="1">
      <c r="A688" t="inlineStr">
        <is>
          <t>A 41628-2023</t>
        </is>
      </c>
      <c r="B688" s="1" t="n">
        <v>45175</v>
      </c>
      <c r="C688" s="1" t="n">
        <v>45362</v>
      </c>
      <c r="D688" t="inlineStr">
        <is>
          <t>DALARNAS LÄN</t>
        </is>
      </c>
      <c r="E688" t="inlineStr">
        <is>
          <t>LUDVIKA</t>
        </is>
      </c>
      <c r="F688" t="inlineStr">
        <is>
          <t>Bergvik skog väst AB</t>
        </is>
      </c>
      <c r="G688" t="n">
        <v>1.4</v>
      </c>
      <c r="H688" t="n">
        <v>0</v>
      </c>
      <c r="I688" t="n">
        <v>0</v>
      </c>
      <c r="J688" t="n">
        <v>0</v>
      </c>
      <c r="K688" t="n">
        <v>0</v>
      </c>
      <c r="L688" t="n">
        <v>0</v>
      </c>
      <c r="M688" t="n">
        <v>0</v>
      </c>
      <c r="N688" t="n">
        <v>0</v>
      </c>
      <c r="O688" t="n">
        <v>0</v>
      </c>
      <c r="P688" t="n">
        <v>0</v>
      </c>
      <c r="Q688" t="n">
        <v>0</v>
      </c>
      <c r="R688" s="2" t="inlineStr"/>
    </row>
    <row r="689" ht="15" customHeight="1">
      <c r="A689" t="inlineStr">
        <is>
          <t>A 41627-2023</t>
        </is>
      </c>
      <c r="B689" s="1" t="n">
        <v>45175</v>
      </c>
      <c r="C689" s="1" t="n">
        <v>45362</v>
      </c>
      <c r="D689" t="inlineStr">
        <is>
          <t>DALARNAS LÄN</t>
        </is>
      </c>
      <c r="E689" t="inlineStr">
        <is>
          <t>LUDVIKA</t>
        </is>
      </c>
      <c r="F689" t="inlineStr">
        <is>
          <t>Bergvik skog väst AB</t>
        </is>
      </c>
      <c r="G689" t="n">
        <v>2.5</v>
      </c>
      <c r="H689" t="n">
        <v>0</v>
      </c>
      <c r="I689" t="n">
        <v>0</v>
      </c>
      <c r="J689" t="n">
        <v>0</v>
      </c>
      <c r="K689" t="n">
        <v>0</v>
      </c>
      <c r="L689" t="n">
        <v>0</v>
      </c>
      <c r="M689" t="n">
        <v>0</v>
      </c>
      <c r="N689" t="n">
        <v>0</v>
      </c>
      <c r="O689" t="n">
        <v>0</v>
      </c>
      <c r="P689" t="n">
        <v>0</v>
      </c>
      <c r="Q689" t="n">
        <v>0</v>
      </c>
      <c r="R689" s="2" t="inlineStr"/>
    </row>
    <row r="690" ht="15" customHeight="1">
      <c r="A690" t="inlineStr">
        <is>
          <t>A 41631-2023</t>
        </is>
      </c>
      <c r="B690" s="1" t="n">
        <v>45175</v>
      </c>
      <c r="C690" s="1" t="n">
        <v>45362</v>
      </c>
      <c r="D690" t="inlineStr">
        <is>
          <t>DALARNAS LÄN</t>
        </is>
      </c>
      <c r="E690" t="inlineStr">
        <is>
          <t>LUDVIKA</t>
        </is>
      </c>
      <c r="F690" t="inlineStr">
        <is>
          <t>Bergvik skog väst AB</t>
        </is>
      </c>
      <c r="G690" t="n">
        <v>3.8</v>
      </c>
      <c r="H690" t="n">
        <v>0</v>
      </c>
      <c r="I690" t="n">
        <v>0</v>
      </c>
      <c r="J690" t="n">
        <v>0</v>
      </c>
      <c r="K690" t="n">
        <v>0</v>
      </c>
      <c r="L690" t="n">
        <v>0</v>
      </c>
      <c r="M690" t="n">
        <v>0</v>
      </c>
      <c r="N690" t="n">
        <v>0</v>
      </c>
      <c r="O690" t="n">
        <v>0</v>
      </c>
      <c r="P690" t="n">
        <v>0</v>
      </c>
      <c r="Q690" t="n">
        <v>0</v>
      </c>
      <c r="R690" s="2" t="inlineStr"/>
    </row>
    <row r="691" ht="15" customHeight="1">
      <c r="A691" t="inlineStr">
        <is>
          <t>A 41668-2023</t>
        </is>
      </c>
      <c r="B691" s="1" t="n">
        <v>45176</v>
      </c>
      <c r="C691" s="1" t="n">
        <v>45362</v>
      </c>
      <c r="D691" t="inlineStr">
        <is>
          <t>DALARNAS LÄN</t>
        </is>
      </c>
      <c r="E691" t="inlineStr">
        <is>
          <t>LUDVIKA</t>
        </is>
      </c>
      <c r="G691" t="n">
        <v>1.4</v>
      </c>
      <c r="H691" t="n">
        <v>0</v>
      </c>
      <c r="I691" t="n">
        <v>0</v>
      </c>
      <c r="J691" t="n">
        <v>0</v>
      </c>
      <c r="K691" t="n">
        <v>0</v>
      </c>
      <c r="L691" t="n">
        <v>0</v>
      </c>
      <c r="M691" t="n">
        <v>0</v>
      </c>
      <c r="N691" t="n">
        <v>0</v>
      </c>
      <c r="O691" t="n">
        <v>0</v>
      </c>
      <c r="P691" t="n">
        <v>0</v>
      </c>
      <c r="Q691" t="n">
        <v>0</v>
      </c>
      <c r="R691" s="2" t="inlineStr"/>
    </row>
    <row r="692" ht="15" customHeight="1">
      <c r="A692" t="inlineStr">
        <is>
          <t>A 41993-2023</t>
        </is>
      </c>
      <c r="B692" s="1" t="n">
        <v>45177</v>
      </c>
      <c r="C692" s="1" t="n">
        <v>45362</v>
      </c>
      <c r="D692" t="inlineStr">
        <is>
          <t>DALARNAS LÄN</t>
        </is>
      </c>
      <c r="E692" t="inlineStr">
        <is>
          <t>LUDVIKA</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41988-2023</t>
        </is>
      </c>
      <c r="B693" s="1" t="n">
        <v>45177</v>
      </c>
      <c r="C693" s="1" t="n">
        <v>45362</v>
      </c>
      <c r="D693" t="inlineStr">
        <is>
          <t>DALARNAS LÄN</t>
        </is>
      </c>
      <c r="E693" t="inlineStr">
        <is>
          <t>LUDVIKA</t>
        </is>
      </c>
      <c r="F693" t="inlineStr">
        <is>
          <t>Sveaskog</t>
        </is>
      </c>
      <c r="G693" t="n">
        <v>22.2</v>
      </c>
      <c r="H693" t="n">
        <v>0</v>
      </c>
      <c r="I693" t="n">
        <v>0</v>
      </c>
      <c r="J693" t="n">
        <v>0</v>
      </c>
      <c r="K693" t="n">
        <v>0</v>
      </c>
      <c r="L693" t="n">
        <v>0</v>
      </c>
      <c r="M693" t="n">
        <v>0</v>
      </c>
      <c r="N693" t="n">
        <v>0</v>
      </c>
      <c r="O693" t="n">
        <v>0</v>
      </c>
      <c r="P693" t="n">
        <v>0</v>
      </c>
      <c r="Q693" t="n">
        <v>0</v>
      </c>
      <c r="R693" s="2" t="inlineStr"/>
    </row>
    <row r="694" ht="15" customHeight="1">
      <c r="A694" t="inlineStr">
        <is>
          <t>A 42022-2023</t>
        </is>
      </c>
      <c r="B694" s="1" t="n">
        <v>45177</v>
      </c>
      <c r="C694" s="1" t="n">
        <v>45362</v>
      </c>
      <c r="D694" t="inlineStr">
        <is>
          <t>DALARNAS LÄN</t>
        </is>
      </c>
      <c r="E694" t="inlineStr">
        <is>
          <t>LUDVIKA</t>
        </is>
      </c>
      <c r="F694" t="inlineStr">
        <is>
          <t>Bergvik skog väst AB</t>
        </is>
      </c>
      <c r="G694" t="n">
        <v>1.3</v>
      </c>
      <c r="H694" t="n">
        <v>0</v>
      </c>
      <c r="I694" t="n">
        <v>0</v>
      </c>
      <c r="J694" t="n">
        <v>0</v>
      </c>
      <c r="K694" t="n">
        <v>0</v>
      </c>
      <c r="L694" t="n">
        <v>0</v>
      </c>
      <c r="M694" t="n">
        <v>0</v>
      </c>
      <c r="N694" t="n">
        <v>0</v>
      </c>
      <c r="O694" t="n">
        <v>0</v>
      </c>
      <c r="P694" t="n">
        <v>0</v>
      </c>
      <c r="Q694" t="n">
        <v>0</v>
      </c>
      <c r="R694" s="2" t="inlineStr"/>
    </row>
    <row r="695" ht="15" customHeight="1">
      <c r="A695" t="inlineStr">
        <is>
          <t>A 41991-2023</t>
        </is>
      </c>
      <c r="B695" s="1" t="n">
        <v>45177</v>
      </c>
      <c r="C695" s="1" t="n">
        <v>45362</v>
      </c>
      <c r="D695" t="inlineStr">
        <is>
          <t>DALARNAS LÄN</t>
        </is>
      </c>
      <c r="E695" t="inlineStr">
        <is>
          <t>LUDVIKA</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45362</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45362</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45362</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45362</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45362</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45362</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45362</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45362</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45362</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45362</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45362</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45362</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45362</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45362</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45362</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45362</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45362</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45362</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45362</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45362</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45362</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45362</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45362</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45362</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45362</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45362</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45362</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45362</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45362</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45362</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45362</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45362</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45362</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45362</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45362</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45362</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45362</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45362</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45362</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45362</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45362</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45362</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45362</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45362</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45362</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45362</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45362</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47429-2023</t>
        </is>
      </c>
      <c r="B743" s="1" t="n">
        <v>45202</v>
      </c>
      <c r="C743" s="1" t="n">
        <v>45362</v>
      </c>
      <c r="D743" t="inlineStr">
        <is>
          <t>DALARNAS LÄN</t>
        </is>
      </c>
      <c r="E743" t="inlineStr">
        <is>
          <t>LUDVIKA</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45362</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45362</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45362</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45362</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45362</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45362</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45362</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45362</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45362</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45362</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45362</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45362</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45362</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45362</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45362</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45362</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45362</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45362</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45362</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45362</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45362</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45362</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45362</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45362</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45362</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45362</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45362</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45362</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45362</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45362</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45362</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45362</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45362</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45362</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45362</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45362</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45362</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45362</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45362</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45362</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45362</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45362</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45362</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45362</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45362</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45362</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45362</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45362</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45362</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45362</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45362</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45362</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45362</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45362</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45362</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45362</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45362</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45362</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45362</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45362</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45362</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45362</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45362</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45362</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45362</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45362</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45362</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45362</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45362</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45362</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45362</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45362</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45362</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45362</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45362</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45362</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45362</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45362</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45362</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45362</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45362</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45362</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45362</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45362</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45362</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45362</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45362</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45362</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45362</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3809-2024</t>
        </is>
      </c>
      <c r="B833" s="1" t="n">
        <v>45321</v>
      </c>
      <c r="C833" s="1" t="n">
        <v>45362</v>
      </c>
      <c r="D833" t="inlineStr">
        <is>
          <t>DALARNAS LÄN</t>
        </is>
      </c>
      <c r="E833" t="inlineStr">
        <is>
          <t>LUDVIKA</t>
        </is>
      </c>
      <c r="G833" t="n">
        <v>0.5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45362</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45362</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45362</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45362</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ht="15" customHeight="1">
      <c r="A838" t="inlineStr">
        <is>
          <t>A 7317-2024</t>
        </is>
      </c>
      <c r="B838" s="1" t="n">
        <v>45345</v>
      </c>
      <c r="C838" s="1" t="n">
        <v>45362</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row r="839" ht="15" customHeight="1">
      <c r="A839" t="inlineStr">
        <is>
          <t>A 8172-2024</t>
        </is>
      </c>
      <c r="B839" s="1" t="n">
        <v>45349</v>
      </c>
      <c r="C839" s="1" t="n">
        <v>45362</v>
      </c>
      <c r="D839" t="inlineStr">
        <is>
          <t>DALARNAS LÄN</t>
        </is>
      </c>
      <c r="E839" t="inlineStr">
        <is>
          <t>LUDVIKA</t>
        </is>
      </c>
      <c r="F839" t="inlineStr">
        <is>
          <t>Allmännings- och besparingsskogar</t>
        </is>
      </c>
      <c r="G839" t="n">
        <v>2</v>
      </c>
      <c r="H839" t="n">
        <v>0</v>
      </c>
      <c r="I839" t="n">
        <v>0</v>
      </c>
      <c r="J839" t="n">
        <v>0</v>
      </c>
      <c r="K839" t="n">
        <v>0</v>
      </c>
      <c r="L839" t="n">
        <v>0</v>
      </c>
      <c r="M839" t="n">
        <v>0</v>
      </c>
      <c r="N839" t="n">
        <v>0</v>
      </c>
      <c r="O839" t="n">
        <v>0</v>
      </c>
      <c r="P839" t="n">
        <v>0</v>
      </c>
      <c r="Q839" t="n">
        <v>0</v>
      </c>
      <c r="R839" s="2" t="inlineStr"/>
    </row>
    <row r="840" ht="15" customHeight="1">
      <c r="A840" t="inlineStr">
        <is>
          <t>A 8162-2024</t>
        </is>
      </c>
      <c r="B840" s="1" t="n">
        <v>45349</v>
      </c>
      <c r="C840" s="1" t="n">
        <v>45362</v>
      </c>
      <c r="D840" t="inlineStr">
        <is>
          <t>DALARNAS LÄN</t>
        </is>
      </c>
      <c r="E840" t="inlineStr">
        <is>
          <t>LUDVIKA</t>
        </is>
      </c>
      <c r="F840" t="inlineStr">
        <is>
          <t>Allmännings- och besparingsskogar</t>
        </is>
      </c>
      <c r="G840" t="n">
        <v>6.9</v>
      </c>
      <c r="H840" t="n">
        <v>0</v>
      </c>
      <c r="I840" t="n">
        <v>0</v>
      </c>
      <c r="J840" t="n">
        <v>0</v>
      </c>
      <c r="K840" t="n">
        <v>0</v>
      </c>
      <c r="L840" t="n">
        <v>0</v>
      </c>
      <c r="M840" t="n">
        <v>0</v>
      </c>
      <c r="N840" t="n">
        <v>0</v>
      </c>
      <c r="O840" t="n">
        <v>0</v>
      </c>
      <c r="P840" t="n">
        <v>0</v>
      </c>
      <c r="Q840" t="n">
        <v>0</v>
      </c>
      <c r="R840" s="2" t="inlineStr"/>
      <c r="U840">
        <f>HYPERLINK("https://klasma.github.io/Logging_2085/knärot/A 8162-2024 karta knärot.png", "A 8162-2024")</f>
        <v/>
      </c>
      <c r="V840">
        <f>HYPERLINK("https://klasma.github.io/Logging_2085/klagomål/A 8162-2024 FSC-klagomål.docx", "A 8162-2024")</f>
        <v/>
      </c>
      <c r="W840">
        <f>HYPERLINK("https://klasma.github.io/Logging_2085/klagomålsmail/A 8162-2024 FSC-klagomål mail.docx", "A 8162-2024")</f>
        <v/>
      </c>
      <c r="X840">
        <f>HYPERLINK("https://klasma.github.io/Logging_2085/tillsyn/A 8162-2024 tillsynsbegäran.docx", "A 8162-2024")</f>
        <v/>
      </c>
      <c r="Y840">
        <f>HYPERLINK("https://klasma.github.io/Logging_2085/tillsynsmail/A 8162-2024 tillsynsbegäran mail.docx", "A 8162-2024")</f>
        <v/>
      </c>
    </row>
    <row r="841" ht="15" customHeight="1">
      <c r="A841" t="inlineStr">
        <is>
          <t>A 8175-2024</t>
        </is>
      </c>
      <c r="B841" s="1" t="n">
        <v>45349</v>
      </c>
      <c r="C841" s="1" t="n">
        <v>45362</v>
      </c>
      <c r="D841" t="inlineStr">
        <is>
          <t>DALARNAS LÄN</t>
        </is>
      </c>
      <c r="E841" t="inlineStr">
        <is>
          <t>LUDVIKA</t>
        </is>
      </c>
      <c r="F841" t="inlineStr">
        <is>
          <t>Allmännings- och besparingsskogar</t>
        </is>
      </c>
      <c r="G841" t="n">
        <v>3.8</v>
      </c>
      <c r="H841" t="n">
        <v>0</v>
      </c>
      <c r="I841" t="n">
        <v>0</v>
      </c>
      <c r="J841" t="n">
        <v>0</v>
      </c>
      <c r="K841" t="n">
        <v>0</v>
      </c>
      <c r="L841" t="n">
        <v>0</v>
      </c>
      <c r="M841" t="n">
        <v>0</v>
      </c>
      <c r="N841" t="n">
        <v>0</v>
      </c>
      <c r="O841" t="n">
        <v>0</v>
      </c>
      <c r="P841" t="n">
        <v>0</v>
      </c>
      <c r="Q841" t="n">
        <v>0</v>
      </c>
      <c r="R841" s="2" t="inlineStr"/>
    </row>
    <row r="842" ht="15" customHeight="1">
      <c r="A842" t="inlineStr">
        <is>
          <t>A 8170-2024</t>
        </is>
      </c>
      <c r="B842" s="1" t="n">
        <v>45349</v>
      </c>
      <c r="C842" s="1" t="n">
        <v>45362</v>
      </c>
      <c r="D842" t="inlineStr">
        <is>
          <t>DALARNAS LÄN</t>
        </is>
      </c>
      <c r="E842" t="inlineStr">
        <is>
          <t>LUDVIKA</t>
        </is>
      </c>
      <c r="F842" t="inlineStr">
        <is>
          <t>Allmännings- och besparingsskogar</t>
        </is>
      </c>
      <c r="G842" t="n">
        <v>5.7</v>
      </c>
      <c r="H842" t="n">
        <v>0</v>
      </c>
      <c r="I842" t="n">
        <v>0</v>
      </c>
      <c r="J842" t="n">
        <v>0</v>
      </c>
      <c r="K842" t="n">
        <v>0</v>
      </c>
      <c r="L842" t="n">
        <v>0</v>
      </c>
      <c r="M842" t="n">
        <v>0</v>
      </c>
      <c r="N842" t="n">
        <v>0</v>
      </c>
      <c r="O842" t="n">
        <v>0</v>
      </c>
      <c r="P842" t="n">
        <v>0</v>
      </c>
      <c r="Q842" t="n">
        <v>0</v>
      </c>
      <c r="R842" s="2" t="inlineStr"/>
    </row>
    <row r="843">
      <c r="A843" t="inlineStr">
        <is>
          <t>A 7996-2024</t>
        </is>
      </c>
      <c r="B843" s="1" t="n">
        <v>45350</v>
      </c>
      <c r="C843" s="1" t="n">
        <v>45362</v>
      </c>
      <c r="D843" t="inlineStr">
        <is>
          <t>DALARNAS LÄN</t>
        </is>
      </c>
      <c r="E843" t="inlineStr">
        <is>
          <t>LUDVIKA</t>
        </is>
      </c>
      <c r="G843" t="n">
        <v>1</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2024-03-11T13:53:46Z</dcterms:created>
  <dcterms:modified xmlns:dcterms="http://purl.org/dc/terms/" xmlns:xsi="http://www.w3.org/2001/XMLSchema-instance" xsi:type="dcterms:W3CDTF">2024-03-11T13:53:46Z</dcterms:modified>
</cp:coreProperties>
</file>
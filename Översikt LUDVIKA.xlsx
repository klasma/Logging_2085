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46279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46279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46279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46279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46279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46279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46279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46279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46279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46279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46279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46279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46279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46279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46279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46279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46279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46279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46279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46279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46279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46279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46279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46279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46279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46279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46279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46279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46279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46279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46279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46279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46279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46279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46279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46279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46279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7</v>
      </c>
      <c r="V38" s="2" t="inlineStr">
        <is>
          <t>Garnlav
Rosenticka
Tretåig hackspett
Ullticka
Spillkråka</t>
        </is>
      </c>
      <c r="W38">
        <f>HYPERLINK("https://klasma.github.io/Logging_2085/artfynd/A 23714-2026 artfynd.xlsx", "A 23714-2026")</f>
        <v/>
      </c>
      <c r="X38">
        <f>HYPERLINK("https://klasma.github.io/Logging_2085/kartor/A 23714-2026 karta.png", "A 23714-2026")</f>
        <v/>
      </c>
      <c r="Y38">
        <f>HYPERLINK("https://klasma.github.io/Logging_2085/kartor_geotiff/A 23714-2026 georefererad karta.tif", "A 23714-2026")</f>
        <v/>
      </c>
      <c r="AA38">
        <f>HYPERLINK("https://klasma.github.io/Logging_2085/klagomål/A 23714-2026 FSC-klagomål.docx", "A 23714-2026")</f>
        <v/>
      </c>
      <c r="AB38">
        <f>HYPERLINK("https://klasma.github.io/Logging_2085/klagomålsmail/A 23714-2026 FSC-klagomål mail.docx", "A 23714-2026")</f>
        <v/>
      </c>
      <c r="AC38">
        <f>HYPERLINK("https://klasma.github.io/Logging_2085/tillsyn/A 23714-2026 tillsynsbegäran.docx", "A 23714-2026")</f>
        <v/>
      </c>
      <c r="AD38">
        <f>HYPERLINK("https://klasma.github.io/Logging_2085/tillsynsmail/A 23714-2026 tillsynsbegäran mail.docx", "A 23714-2026")</f>
        <v/>
      </c>
      <c r="AE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46279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34144-2026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46279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4.6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5</v>
      </c>
      <c r="U40" t="n">
        <v>5</v>
      </c>
      <c r="V40" s="2" t="inlineStr">
        <is>
          <t>Garnlav
Dropptaggsvamp
Korallblylav
Järpe
Spillkråka</t>
        </is>
      </c>
      <c r="W40">
        <f>HYPERLINK("https://klasma.github.io/Logging_2085/artfynd/A 34144-2026 artfynd.xlsx", "A 34144-2026")</f>
        <v/>
      </c>
      <c r="X40">
        <f>HYPERLINK("https://klasma.github.io/Logging_2085/kartor/A 34144-2026 karta.png", "A 34144-2026")</f>
        <v/>
      </c>
      <c r="Y40">
        <f>HYPERLINK("https://klasma.github.io/Logging_2085/kartor_geotiff/A 34144-2026 georefererad karta.tif", "A 34144-2026")</f>
        <v/>
      </c>
      <c r="AA40">
        <f>HYPERLINK("https://klasma.github.io/Logging_2085/klagomål/A 34144-2026 FSC-klagomål.docx", "A 34144-2026")</f>
        <v/>
      </c>
      <c r="AB40">
        <f>HYPERLINK("https://klasma.github.io/Logging_2085/klagomålsmail/A 34144-2026 FSC-klagomål mail.docx", "A 34144-2026")</f>
        <v/>
      </c>
      <c r="AC40">
        <f>HYPERLINK("https://klasma.github.io/Logging_2085/tillsyn/A 34144-2026 tillsynsbegäran.docx", "A 34144-2026")</f>
        <v/>
      </c>
      <c r="AD40">
        <f>HYPERLINK("https://klasma.github.io/Logging_2085/tillsynsmail/A 34144-2026 tillsynsbegäran mail.docx", "A 34144-2026")</f>
        <v/>
      </c>
      <c r="AE40">
        <f>HYPERLINK("https://klasma.github.io/Logging_2085/fåglar/A 34144-2026 prioriterade fågelarter.docx", "A 34144-2026")</f>
        <v/>
      </c>
    </row>
    <row r="41" ht="15" customHeight="1">
      <c r="A41" t="inlineStr">
        <is>
          <t>A 37639-2024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45541</v>
      </c>
      <c r="E41" s="1" t="n">
        <v>46279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0</v>
      </c>
      <c r="V41" s="2" t="inlineStr">
        <is>
          <t>Garnlav
Lunglav
Violettgrå tagellav
Gulnål
Korallblylav</t>
        </is>
      </c>
      <c r="W41">
        <f>HYPERLINK("https://klasma.github.io/Logging_2085/artfynd/A 37639-2024 artfynd.xlsx", "A 37639-2024")</f>
        <v/>
      </c>
      <c r="X41">
        <f>HYPERLINK("https://klasma.github.io/Logging_2085/kartor/A 37639-2024 karta.png", "A 37639-2024")</f>
        <v/>
      </c>
      <c r="Y41">
        <f>HYPERLINK("https://klasma.github.io/Logging_2085/kartor_geotiff/A 37639-2024 georefererad karta.tif", "A 37639-2024")</f>
        <v/>
      </c>
      <c r="AA41">
        <f>HYPERLINK("https://klasma.github.io/Logging_2085/klagomål/A 37639-2024 FSC-klagomål.docx", "A 37639-2024")</f>
        <v/>
      </c>
      <c r="AB41">
        <f>HYPERLINK("https://klasma.github.io/Logging_2085/klagomålsmail/A 37639-2024 FSC-klagomål mail.docx", "A 37639-2024")</f>
        <v/>
      </c>
      <c r="AC41">
        <f>HYPERLINK("https://klasma.github.io/Logging_2085/tillsyn/A 37639-2024 tillsynsbegäran.docx", "A 37639-2024")</f>
        <v/>
      </c>
      <c r="AD41">
        <f>HYPERLINK("https://klasma.github.io/Logging_2085/tillsynsmail/A 37639-2024 tillsynsbegäran mail.docx", "A 37639-2024")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46279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46279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46279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4</v>
      </c>
      <c r="V44" s="2" t="inlineStr">
        <is>
          <t>Talltita
Tretåig hackspett
Vedskivlav
Järpe</t>
        </is>
      </c>
      <c r="W44">
        <f>HYPERLINK("https://klasma.github.io/Logging_2085/artfynd/A 46721-2025 artfynd.xlsx", "A 46721-2025")</f>
        <v/>
      </c>
      <c r="X44">
        <f>HYPERLINK("https://klasma.github.io/Logging_2085/kartor/A 46721-2025 karta.png", "A 46721-2025")</f>
        <v/>
      </c>
      <c r="Y44">
        <f>HYPERLINK("https://klasma.github.io/Logging_2085/kartor_geotiff/A 46721-2025 georefererad karta.tif", "A 46721-2025")</f>
        <v/>
      </c>
      <c r="AA44">
        <f>HYPERLINK("https://klasma.github.io/Logging_2085/klagomål/A 46721-2025 FSC-klagomål.docx", "A 46721-2025")</f>
        <v/>
      </c>
      <c r="AB44">
        <f>HYPERLINK("https://klasma.github.io/Logging_2085/klagomålsmail/A 46721-2025 FSC-klagomål mail.docx", "A 46721-2025")</f>
        <v/>
      </c>
      <c r="AC44">
        <f>HYPERLINK("https://klasma.github.io/Logging_2085/tillsyn/A 46721-2025 tillsynsbegäran.docx", "A 46721-2025")</f>
        <v/>
      </c>
      <c r="AD44">
        <f>HYPERLINK("https://klasma.github.io/Logging_2085/tillsynsmail/A 46721-2025 tillsynsbegäran mail.docx", "A 46721-2025")</f>
        <v/>
      </c>
      <c r="AE44">
        <f>HYPERLINK("https://klasma.github.io/Logging_2085/fåglar/A 46721-2025 prioriterade fågelarter.docx", "A 46721-2025")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46279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46279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46279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22589-2026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46279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3.7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Järpe
Spillkråka
Tjäder</t>
        </is>
      </c>
      <c r="W48">
        <f>HYPERLINK("https://klasma.github.io/Logging_2085/artfynd/A 22589-2026 artfynd.xlsx", "A 22589-2026")</f>
        <v/>
      </c>
      <c r="X48">
        <f>HYPERLINK("https://klasma.github.io/Logging_2085/kartor/A 22589-2026 karta.png", "A 22589-2026")</f>
        <v/>
      </c>
      <c r="Y48">
        <f>HYPERLINK("https://klasma.github.io/Logging_2085/kartor_geotiff/A 22589-2026 georefererad karta.tif", "A 22589-2026")</f>
        <v/>
      </c>
      <c r="AA48">
        <f>HYPERLINK("https://klasma.github.io/Logging_2085/klagomål/A 22589-2026 FSC-klagomål.docx", "A 22589-2026")</f>
        <v/>
      </c>
      <c r="AB48">
        <f>HYPERLINK("https://klasma.github.io/Logging_2085/klagomålsmail/A 22589-2026 FSC-klagomål mail.docx", "A 22589-2026")</f>
        <v/>
      </c>
      <c r="AC48">
        <f>HYPERLINK("https://klasma.github.io/Logging_2085/tillsyn/A 22589-2026 tillsynsbegäran.docx", "A 22589-2026")</f>
        <v/>
      </c>
      <c r="AD48">
        <f>HYPERLINK("https://klasma.github.io/Logging_2085/tillsynsmail/A 22589-2026 tillsynsbegäran mail.docx", "A 22589-2026")</f>
        <v/>
      </c>
      <c r="AE48">
        <f>HYPERLINK("https://klasma.github.io/Logging_2085/fåglar/A 22589-2026 prioriterade fågelarter.docx", "A 22589-2026")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46279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57803-2023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46279</v>
      </c>
      <c r="F50" t="inlineStr">
        <is>
          <t>DALARNAS LÄN</t>
        </is>
      </c>
      <c r="G50" t="inlineStr">
        <is>
          <t>LUDVIKA</t>
        </is>
      </c>
      <c r="I50" t="n">
        <v>3.3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t="n">
        <v>5</v>
      </c>
      <c r="V50" s="2" t="inlineStr">
        <is>
          <t>Garnlav
Spillkråka
Tjäder
Gröngöling</t>
        </is>
      </c>
      <c r="W50">
        <f>HYPERLINK("https://klasma.github.io/Logging_2085/artfynd/A 57803-2023 artfynd.xlsx", "A 57803-2023")</f>
        <v/>
      </c>
      <c r="X50">
        <f>HYPERLINK("https://klasma.github.io/Logging_2085/kartor/A 57803-2023 karta.png", "A 57803-2023")</f>
        <v/>
      </c>
      <c r="Y50">
        <f>HYPERLINK("https://klasma.github.io/Logging_2085/kartor_geotiff/A 57803-2023 georefererad karta.tif", "A 57803-2023")</f>
        <v/>
      </c>
      <c r="AA50">
        <f>HYPERLINK("https://klasma.github.io/Logging_2085/klagomål/A 57803-2023 FSC-klagomål.docx", "A 57803-2023")</f>
        <v/>
      </c>
      <c r="AB50">
        <f>HYPERLINK("https://klasma.github.io/Logging_2085/klagomålsmail/A 57803-2023 FSC-klagomål mail.docx", "A 57803-2023")</f>
        <v/>
      </c>
      <c r="AC50">
        <f>HYPERLINK("https://klasma.github.io/Logging_2085/tillsyn/A 57803-2023 tillsynsbegäran.docx", "A 57803-2023")</f>
        <v/>
      </c>
      <c r="AD50">
        <f>HYPERLINK("https://klasma.github.io/Logging_2085/tillsynsmail/A 57803-2023 tillsynsbegäran mail.docx", "A 57803-2023")</f>
        <v/>
      </c>
      <c r="AE50">
        <f>HYPERLINK("https://klasma.github.io/Logging_2085/fåglar/A 57803-2023 prioriterade fågelarter.docx", "A 57803-2023")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46279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46279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46279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46279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46279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46279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Spillkråka
Gröngöling
Kungsfågel</t>
        </is>
      </c>
      <c r="W56">
        <f>HYPERLINK("https://klasma.github.io/Logging_2085/artfynd/A 74432-2021 artfynd.xlsx", "A 74432-2021")</f>
        <v/>
      </c>
      <c r="X56">
        <f>HYPERLINK("https://klasma.github.io/Logging_2085/kartor/A 74432-2021 karta.png", "A 74432-2021")</f>
        <v/>
      </c>
      <c r="Y56">
        <f>HYPERLINK("https://klasma.github.io/Logging_2085/kartor_geotiff/A 74432-2021 georefererad karta.tif", "A 74432-2021")</f>
        <v/>
      </c>
      <c r="AA56">
        <f>HYPERLINK("https://klasma.github.io/Logging_2085/klagomål/A 74432-2021 FSC-klagomål.docx", "A 74432-2021")</f>
        <v/>
      </c>
      <c r="AB56">
        <f>HYPERLINK("https://klasma.github.io/Logging_2085/klagomålsmail/A 74432-2021 FSC-klagomål mail.docx", "A 74432-2021")</f>
        <v/>
      </c>
      <c r="AC56">
        <f>HYPERLINK("https://klasma.github.io/Logging_2085/tillsyn/A 74432-2021 tillsynsbegäran.docx", "A 74432-2021")</f>
        <v/>
      </c>
      <c r="AD56">
        <f>HYPERLINK("https://klasma.github.io/Logging_2085/tillsynsmail/A 74432-2021 tillsynsbegäran mail.docx", "A 74432-2021")</f>
        <v/>
      </c>
      <c r="AE56">
        <f>HYPERLINK("https://klasma.github.io/Logging_2085/fåglar/A 74432-2021 prioriterade fågelarter.docx", "A 74432-2021")</f>
        <v/>
      </c>
    </row>
    <row r="57" ht="15" customHeight="1">
      <c r="A57" t="inlineStr">
        <is>
          <t>A 41456-2025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46279</v>
      </c>
      <c r="F57" t="inlineStr">
        <is>
          <t>DALARNAS LÄN</t>
        </is>
      </c>
      <c r="G57" t="inlineStr">
        <is>
          <t>LUDVIKA</t>
        </is>
      </c>
      <c r="I57" t="n">
        <v>1.9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Aspgelélav
Lunglav
Järpe</t>
        </is>
      </c>
      <c r="W57">
        <f>HYPERLINK("https://klasma.github.io/Logging_2085/artfynd/A 41456-2025 artfynd.xlsx", "A 41456-2025")</f>
        <v/>
      </c>
      <c r="X57">
        <f>HYPERLINK("https://klasma.github.io/Logging_2085/kartor/A 41456-2025 karta.png", "A 41456-2025")</f>
        <v/>
      </c>
      <c r="Y57">
        <f>HYPERLINK("https://klasma.github.io/Logging_2085/kartor_geotiff/A 41456-2025 georefererad karta.tif", "A 41456-2025")</f>
        <v/>
      </c>
      <c r="AA57">
        <f>HYPERLINK("https://klasma.github.io/Logging_2085/klagomål/A 41456-2025 FSC-klagomål.docx", "A 41456-2025")</f>
        <v/>
      </c>
      <c r="AB57">
        <f>HYPERLINK("https://klasma.github.io/Logging_2085/klagomålsmail/A 41456-2025 FSC-klagomål mail.docx", "A 41456-2025")</f>
        <v/>
      </c>
      <c r="AC57">
        <f>HYPERLINK("https://klasma.github.io/Logging_2085/tillsyn/A 41456-2025 tillsynsbegäran.docx", "A 41456-2025")</f>
        <v/>
      </c>
      <c r="AD57">
        <f>HYPERLINK("https://klasma.github.io/Logging_2085/tillsynsmail/A 41456-2025 tillsynsbegäran mail.docx", "A 41456-2025")</f>
        <v/>
      </c>
      <c r="AE57">
        <f>HYPERLINK("https://klasma.github.io/Logging_2085/fåglar/A 41456-2025 prioriterade fågelarter.docx", "A 41456-2025")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46279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46279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46279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A 43226-2025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46279</v>
      </c>
      <c r="F61" t="inlineStr">
        <is>
          <t>DALARNAS LÄN</t>
        </is>
      </c>
      <c r="G61" t="inlineStr">
        <is>
          <t>LUDVIKA</t>
        </is>
      </c>
      <c r="I61" t="n">
        <v>1.1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4</v>
      </c>
      <c r="V61" s="2" t="inlineStr">
        <is>
          <t>Tretåig hackspett
Rävticka
Rödgul trumpetsvamp</t>
        </is>
      </c>
      <c r="W61">
        <f>HYPERLINK("https://klasma.github.io/Logging_2085/artfynd/A 43226-2025 artfynd.xlsx", "A 43226-2025")</f>
        <v/>
      </c>
      <c r="X61">
        <f>HYPERLINK("https://klasma.github.io/Logging_2085/kartor/A 43226-2025 karta.png", "A 43226-2025")</f>
        <v/>
      </c>
      <c r="Y61">
        <f>HYPERLINK("https://klasma.github.io/Logging_2085/kartor_geotiff/A 43226-2025 georefererad karta.tif", "A 43226-2025")</f>
        <v/>
      </c>
      <c r="AA61">
        <f>HYPERLINK("https://klasma.github.io/Logging_2085/klagomål/A 43226-2025 FSC-klagomål.docx", "A 43226-2025")</f>
        <v/>
      </c>
      <c r="AB61">
        <f>HYPERLINK("https://klasma.github.io/Logging_2085/klagomålsmail/A 43226-2025 FSC-klagomål mail.docx", "A 43226-2025")</f>
        <v/>
      </c>
      <c r="AC61">
        <f>HYPERLINK("https://klasma.github.io/Logging_2085/tillsyn/A 43226-2025 tillsynsbegäran.docx", "A 43226-2025")</f>
        <v/>
      </c>
      <c r="AD61">
        <f>HYPERLINK("https://klasma.github.io/Logging_2085/tillsynsmail/A 43226-2025 tillsynsbegäran mail.docx", "A 43226-2025")</f>
        <v/>
      </c>
      <c r="AE61">
        <f>HYPERLINK("https://klasma.github.io/Logging_2085/fåglar/A 43226-2025 prioriterade fågelarter.docx", "A 43226-2025")</f>
        <v/>
      </c>
    </row>
    <row r="62" ht="15" customHeight="1">
      <c r="A62" t="inlineStr">
        <is>
          <t>A 23087-2025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46279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0.9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Dropptaggsvamp
Motaggsvamp
Orange taggsvamp</t>
        </is>
      </c>
      <c r="W62">
        <f>HYPERLINK("https://klasma.github.io/Logging_2085/artfynd/A 23087-2025 artfynd.xlsx", "A 23087-2025")</f>
        <v/>
      </c>
      <c r="X62">
        <f>HYPERLINK("https://klasma.github.io/Logging_2085/kartor/A 23087-2025 karta.png", "A 23087-2025")</f>
        <v/>
      </c>
      <c r="Y62">
        <f>HYPERLINK("https://klasma.github.io/Logging_2085/kartor_geotiff/A 23087-2025 georefererad karta.tif", "A 23087-2025")</f>
        <v/>
      </c>
      <c r="AA62">
        <f>HYPERLINK("https://klasma.github.io/Logging_2085/klagomål/A 23087-2025 FSC-klagomål.docx", "A 23087-2025")</f>
        <v/>
      </c>
      <c r="AB62">
        <f>HYPERLINK("https://klasma.github.io/Logging_2085/klagomålsmail/A 23087-2025 FSC-klagomål mail.docx", "A 23087-2025")</f>
        <v/>
      </c>
      <c r="AC62">
        <f>HYPERLINK("https://klasma.github.io/Logging_2085/tillsyn/A 23087-2025 tillsynsbegäran.docx", "A 23087-2025")</f>
        <v/>
      </c>
      <c r="AD62">
        <f>HYPERLINK("https://klasma.github.io/Logging_2085/tillsynsmail/A 23087-2025 tillsynsbegäran mail.docx", "A 23087-2025")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46279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46279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Skogsalm
Tibast</t>
        </is>
      </c>
      <c r="W64">
        <f>HYPERLINK("https://klasma.github.io/Logging_2085/artfynd/A 21369-2023 artfynd.xlsx", "A 21369-2023")</f>
        <v/>
      </c>
      <c r="X64">
        <f>HYPERLINK("https://klasma.github.io/Logging_2085/kartor/A 21369-2023 karta.png", "A 21369-2023")</f>
        <v/>
      </c>
      <c r="Y64">
        <f>HYPERLINK("https://klasma.github.io/Logging_2085/kartor_geotiff/A 21369-2023 georefererad karta.tif", "A 21369-2023")</f>
        <v/>
      </c>
      <c r="AA64">
        <f>HYPERLINK("https://klasma.github.io/Logging_2085/klagomål/A 21369-2023 FSC-klagomål.docx", "A 21369-2023")</f>
        <v/>
      </c>
      <c r="AB64">
        <f>HYPERLINK("https://klasma.github.io/Logging_2085/klagomålsmail/A 21369-2023 FSC-klagomål mail.docx", "A 21369-2023")</f>
        <v/>
      </c>
      <c r="AC64">
        <f>HYPERLINK("https://klasma.github.io/Logging_2085/tillsyn/A 21369-2023 tillsynsbegäran.docx", "A 21369-2023")</f>
        <v/>
      </c>
      <c r="AD64">
        <f>HYPERLINK("https://klasma.github.io/Logging_2085/tillsynsmail/A 21369-2023 tillsynsbegäran mail.docx", "A 21369-2023")</f>
        <v/>
      </c>
    </row>
    <row r="65" ht="15" customHeight="1">
      <c r="A65" t="inlineStr">
        <is>
          <t>A 11755-2023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46279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Spillkråka</t>
        </is>
      </c>
      <c r="W65">
        <f>HYPERLINK("https://klasma.github.io/Logging_2085/artfynd/A 11755-2023 artfynd.xlsx", "A 11755-2023")</f>
        <v/>
      </c>
      <c r="X65">
        <f>HYPERLINK("https://klasma.github.io/Logging_2085/kartor/A 11755-2023 karta.png", "A 11755-2023")</f>
        <v/>
      </c>
      <c r="Y65">
        <f>HYPERLINK("https://klasma.github.io/Logging_2085/kartor_geotiff/A 11755-2023 georefererad karta.tif", "A 11755-2023")</f>
        <v/>
      </c>
      <c r="AA65">
        <f>HYPERLINK("https://klasma.github.io/Logging_2085/klagomål/A 11755-2023 FSC-klagomål.docx", "A 11755-2023")</f>
        <v/>
      </c>
      <c r="AB65">
        <f>HYPERLINK("https://klasma.github.io/Logging_2085/klagomålsmail/A 11755-2023 FSC-klagomål mail.docx", "A 11755-2023")</f>
        <v/>
      </c>
      <c r="AC65">
        <f>HYPERLINK("https://klasma.github.io/Logging_2085/tillsyn/A 11755-2023 tillsynsbegäran.docx", "A 11755-2023")</f>
        <v/>
      </c>
      <c r="AD65">
        <f>HYPERLINK("https://klasma.github.io/Logging_2085/tillsynsmail/A 11755-2023 tillsynsbegäran mail.docx", "A 11755-2023")</f>
        <v/>
      </c>
      <c r="AE65">
        <f>HYPERLINK("https://klasma.github.io/Logging_2085/fåglar/A 11755-2023 prioriterade fågelarter.docx", "A 11755-2023")</f>
        <v/>
      </c>
    </row>
    <row r="66" ht="15" customHeight="1">
      <c r="A66" t="inlineStr">
        <is>
          <t>A 45225-2024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45575</v>
      </c>
      <c r="E66" s="1" t="n">
        <v>46279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Ärtsångare</t>
        </is>
      </c>
      <c r="W66">
        <f>HYPERLINK("https://klasma.github.io/Logging_2085/artfynd/A 45225-2024 artfynd.xlsx", "A 45225-2024")</f>
        <v/>
      </c>
      <c r="X66">
        <f>HYPERLINK("https://klasma.github.io/Logging_2085/kartor/A 45225-2024 karta.png", "A 45225-2024")</f>
        <v/>
      </c>
      <c r="Y66">
        <f>HYPERLINK("https://klasma.github.io/Logging_2085/kartor_geotiff/A 45225-2024 georefererad karta.tif", "A 45225-2024")</f>
        <v/>
      </c>
      <c r="AA66">
        <f>HYPERLINK("https://klasma.github.io/Logging_2085/klagomål/A 45225-2024 FSC-klagomål.docx", "A 45225-2024")</f>
        <v/>
      </c>
      <c r="AB66">
        <f>HYPERLINK("https://klasma.github.io/Logging_2085/klagomålsmail/A 45225-2024 FSC-klagomål mail.docx", "A 45225-2024")</f>
        <v/>
      </c>
      <c r="AC66">
        <f>HYPERLINK("https://klasma.github.io/Logging_2085/tillsyn/A 45225-2024 tillsynsbegäran.docx", "A 45225-2024")</f>
        <v/>
      </c>
      <c r="AD66">
        <f>HYPERLINK("https://klasma.github.io/Logging_2085/tillsynsmail/A 45225-2024 tillsynsbegäran mail.docx", "A 45225-2024")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46279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t="n">
        <v>0</v>
      </c>
      <c r="V67" s="2" t="inlineStr">
        <is>
          <t>Nordfladdermus
Fläcknycklar</t>
        </is>
      </c>
      <c r="W67">
        <f>HYPERLINK("https://klasma.github.io/Logging_2085/artfynd/A 44262-2025 artfynd.xlsx", "A 44262-2025")</f>
        <v/>
      </c>
      <c r="X67">
        <f>HYPERLINK("https://klasma.github.io/Logging_2085/kartor/A 44262-2025 karta.png", "A 44262-2025")</f>
        <v/>
      </c>
      <c r="Y67">
        <f>HYPERLINK("https://klasma.github.io/Logging_2085/kartor_geotiff/A 44262-2025 georefererad karta.tif", "A 44262-2025")</f>
        <v/>
      </c>
      <c r="AA67">
        <f>HYPERLINK("https://klasma.github.io/Logging_2085/klagomål/A 44262-2025 FSC-klagomål.docx", "A 44262-2025")</f>
        <v/>
      </c>
      <c r="AB67">
        <f>HYPERLINK("https://klasma.github.io/Logging_2085/klagomålsmail/A 44262-2025 FSC-klagomål mail.docx", "A 44262-2025")</f>
        <v/>
      </c>
      <c r="AC67">
        <f>HYPERLINK("https://klasma.github.io/Logging_2085/tillsyn/A 44262-2025 tillsynsbegäran.docx", "A 44262-2025")</f>
        <v/>
      </c>
      <c r="AD67">
        <f>HYPERLINK("https://klasma.github.io/Logging_2085/tillsynsmail/A 44262-2025 tillsynsbegäran mail.docx", "A 44262-2025")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46279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Garnlav
Tretåig hackspett</t>
        </is>
      </c>
      <c r="W68">
        <f>HYPERLINK("https://klasma.github.io/Logging_2085/artfynd/A 49767-2025 artfynd.xlsx", "A 49767-2025")</f>
        <v/>
      </c>
      <c r="X68">
        <f>HYPERLINK("https://klasma.github.io/Logging_2085/kartor/A 49767-2025 karta.png", "A 49767-2025")</f>
        <v/>
      </c>
      <c r="Y68">
        <f>HYPERLINK("https://klasma.github.io/Logging_2085/kartor_geotiff/A 49767-2025 georefererad karta.tif", "A 49767-2025")</f>
        <v/>
      </c>
      <c r="AA68">
        <f>HYPERLINK("https://klasma.github.io/Logging_2085/klagomål/A 49767-2025 FSC-klagomål.docx", "A 49767-2025")</f>
        <v/>
      </c>
      <c r="AB68">
        <f>HYPERLINK("https://klasma.github.io/Logging_2085/klagomålsmail/A 49767-2025 FSC-klagomål mail.docx", "A 49767-2025")</f>
        <v/>
      </c>
      <c r="AC68">
        <f>HYPERLINK("https://klasma.github.io/Logging_2085/tillsyn/A 49767-2025 tillsynsbegäran.docx", "A 49767-2025")</f>
        <v/>
      </c>
      <c r="AD68">
        <f>HYPERLINK("https://klasma.github.io/Logging_2085/tillsynsmail/A 49767-2025 tillsynsbegäran mail.docx", "A 49767-2025")</f>
        <v/>
      </c>
      <c r="AE68">
        <f>HYPERLINK("https://klasma.github.io/Logging_2085/fåglar/A 49767-2025 prioriterade fågelarter.docx", "A 49767-2025")</f>
        <v/>
      </c>
    </row>
    <row r="69" ht="15" customHeight="1">
      <c r="A69" t="inlineStr">
        <is>
          <t>A 56879-2025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46279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3</v>
      </c>
      <c r="U69" t="n">
        <v>3</v>
      </c>
      <c r="V69" s="2" t="inlineStr">
        <is>
          <t>Garnlav
Tjäder</t>
        </is>
      </c>
      <c r="W69">
        <f>HYPERLINK("https://klasma.github.io/Logging_2085/artfynd/A 56879-2025 artfynd.xlsx", "A 56879-2025")</f>
        <v/>
      </c>
      <c r="X69">
        <f>HYPERLINK("https://klasma.github.io/Logging_2085/kartor/A 56879-2025 karta.png", "A 56879-2025")</f>
        <v/>
      </c>
      <c r="Y69">
        <f>HYPERLINK("https://klasma.github.io/Logging_2085/kartor_geotiff/A 56879-2025 georefererad karta.tif", "A 56879-2025")</f>
        <v/>
      </c>
      <c r="AA69">
        <f>HYPERLINK("https://klasma.github.io/Logging_2085/klagomål/A 56879-2025 FSC-klagomål.docx", "A 56879-2025")</f>
        <v/>
      </c>
      <c r="AB69">
        <f>HYPERLINK("https://klasma.github.io/Logging_2085/klagomålsmail/A 56879-2025 FSC-klagomål mail.docx", "A 56879-2025")</f>
        <v/>
      </c>
      <c r="AC69">
        <f>HYPERLINK("https://klasma.github.io/Logging_2085/tillsyn/A 56879-2025 tillsynsbegäran.docx", "A 56879-2025")</f>
        <v/>
      </c>
      <c r="AD69">
        <f>HYPERLINK("https://klasma.github.io/Logging_2085/tillsynsmail/A 56879-2025 tillsynsbegäran mail.docx", "A 56879-2025")</f>
        <v/>
      </c>
      <c r="AE69">
        <f>HYPERLINK("https://klasma.github.io/Logging_2085/fåglar/A 56879-2025 prioriterade fågelarter.docx", "A 56879-2025")</f>
        <v/>
      </c>
    </row>
    <row r="70" ht="15" customHeight="1">
      <c r="A70" t="inlineStr">
        <is>
          <t>A 50170-2025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46279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2.5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Labyrintlav
Gulnål</t>
        </is>
      </c>
      <c r="W70">
        <f>HYPERLINK("https://klasma.github.io/Logging_2085/artfynd/A 50170-2025 artfynd.xlsx", "A 50170-2025")</f>
        <v/>
      </c>
      <c r="X70">
        <f>HYPERLINK("https://klasma.github.io/Logging_2085/kartor/A 50170-2025 karta.png", "A 50170-2025")</f>
        <v/>
      </c>
      <c r="Y70">
        <f>HYPERLINK("https://klasma.github.io/Logging_2085/kartor_geotiff/A 50170-2025 georefererad karta.tif", "A 50170-2025")</f>
        <v/>
      </c>
      <c r="AA70">
        <f>HYPERLINK("https://klasma.github.io/Logging_2085/klagomål/A 50170-2025 FSC-klagomål.docx", "A 50170-2025")</f>
        <v/>
      </c>
      <c r="AB70">
        <f>HYPERLINK("https://klasma.github.io/Logging_2085/klagomålsmail/A 50170-2025 FSC-klagomål mail.docx", "A 50170-2025")</f>
        <v/>
      </c>
      <c r="AC70">
        <f>HYPERLINK("https://klasma.github.io/Logging_2085/tillsyn/A 50170-2025 tillsynsbegäran.docx", "A 50170-2025")</f>
        <v/>
      </c>
      <c r="AD70">
        <f>HYPERLINK("https://klasma.github.io/Logging_2085/tillsynsmail/A 50170-2025 tillsynsbegäran mail.docx", "A 50170-2025")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46279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Gultoppig fingersvamp
Kortskaftad ärgspik</t>
        </is>
      </c>
      <c r="W71">
        <f>HYPERLINK("https://klasma.github.io/Logging_2085/artfynd/A 56179-2025 artfynd.xlsx", "A 56179-2025")</f>
        <v/>
      </c>
      <c r="X71">
        <f>HYPERLINK("https://klasma.github.io/Logging_2085/kartor/A 56179-2025 karta.png", "A 56179-2025")</f>
        <v/>
      </c>
      <c r="Y71">
        <f>HYPERLINK("https://klasma.github.io/Logging_2085/kartor_geotiff/A 56179-2025 georefererad karta.tif", "A 56179-2025")</f>
        <v/>
      </c>
      <c r="Z71">
        <f>HYPERLINK("https://klasma.github.io/Logging_2085/knärot/A 56179-2025 karta knärot.png", "A 56179-2025")</f>
        <v/>
      </c>
      <c r="AA71">
        <f>HYPERLINK("https://klasma.github.io/Logging_2085/klagomål/A 56179-2025 FSC-klagomål.docx", "A 56179-2025")</f>
        <v/>
      </c>
      <c r="AB71">
        <f>HYPERLINK("https://klasma.github.io/Logging_2085/klagomålsmail/A 56179-2025 FSC-klagomål mail.docx", "A 56179-2025")</f>
        <v/>
      </c>
      <c r="AC71">
        <f>HYPERLINK("https://klasma.github.io/Logging_2085/tillsyn/A 56179-2025 tillsynsbegäran.docx", "A 56179-2025")</f>
        <v/>
      </c>
      <c r="AD71">
        <f>HYPERLINK("https://klasma.github.io/Logging_2085/tillsynsmail/A 56179-2025 tillsynsbegäran mail.docx", "A 56179-2025")</f>
        <v/>
      </c>
    </row>
    <row r="72" ht="15" customHeight="1">
      <c r="A72" t="inlineStr">
        <is>
          <t>A 33155-2024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45518</v>
      </c>
      <c r="E72" s="1" t="n">
        <v>46279</v>
      </c>
      <c r="F72" t="inlineStr">
        <is>
          <t>DALARNAS LÄN</t>
        </is>
      </c>
      <c r="G72" t="inlineStr">
        <is>
          <t>LUDVIKA</t>
        </is>
      </c>
      <c r="I72" t="n">
        <v>2.9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Brunpudrad nållav
Tretåig hackspett</t>
        </is>
      </c>
      <c r="W72">
        <f>HYPERLINK("https://klasma.github.io/Logging_2085/artfynd/A 33155-2024 artfynd.xlsx", "A 33155-2024")</f>
        <v/>
      </c>
      <c r="X72">
        <f>HYPERLINK("https://klasma.github.io/Logging_2085/kartor/A 33155-2024 karta.png", "A 33155-2024")</f>
        <v/>
      </c>
      <c r="Y72">
        <f>HYPERLINK("https://klasma.github.io/Logging_2085/kartor_geotiff/A 33155-2024 georefererad karta.tif", "A 33155-2024")</f>
        <v/>
      </c>
      <c r="AA72">
        <f>HYPERLINK("https://klasma.github.io/Logging_2085/klagomål/A 33155-2024 FSC-klagomål.docx", "A 33155-2024")</f>
        <v/>
      </c>
      <c r="AB72">
        <f>HYPERLINK("https://klasma.github.io/Logging_2085/klagomålsmail/A 33155-2024 FSC-klagomål mail.docx", "A 33155-2024")</f>
        <v/>
      </c>
      <c r="AC72">
        <f>HYPERLINK("https://klasma.github.io/Logging_2085/tillsyn/A 33155-2024 tillsynsbegäran.docx", "A 33155-2024")</f>
        <v/>
      </c>
      <c r="AD72">
        <f>HYPERLINK("https://klasma.github.io/Logging_2085/tillsynsmail/A 33155-2024 tillsynsbegäran mail.docx", "A 33155-2024")</f>
        <v/>
      </c>
      <c r="AE72">
        <f>HYPERLINK("https://klasma.github.io/Logging_2085/fåglar/A 33155-2024 prioriterade fågelarter.docx", "A 33155-2024")</f>
        <v/>
      </c>
    </row>
    <row r="73" ht="15" customHeight="1">
      <c r="A73" t="inlineStr">
        <is>
          <t>A 21876-2026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46279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Tretåig hackspett</t>
        </is>
      </c>
      <c r="W73">
        <f>HYPERLINK("https://klasma.github.io/Logging_2085/artfynd/A 21876-2026 artfynd.xlsx", "A 21876-2026")</f>
        <v/>
      </c>
      <c r="X73">
        <f>HYPERLINK("https://klasma.github.io/Logging_2085/kartor/A 21876-2026 karta.png", "A 21876-2026")</f>
        <v/>
      </c>
      <c r="Y73">
        <f>HYPERLINK("https://klasma.github.io/Logging_2085/kartor_geotiff/A 21876-2026 georefererad karta.tif", "A 21876-2026")</f>
        <v/>
      </c>
      <c r="AA73">
        <f>HYPERLINK("https://klasma.github.io/Logging_2085/klagomål/A 21876-2026 FSC-klagomål.docx", "A 21876-2026")</f>
        <v/>
      </c>
      <c r="AB73">
        <f>HYPERLINK("https://klasma.github.io/Logging_2085/klagomålsmail/A 21876-2026 FSC-klagomål mail.docx", "A 21876-2026")</f>
        <v/>
      </c>
      <c r="AC73">
        <f>HYPERLINK("https://klasma.github.io/Logging_2085/tillsyn/A 21876-2026 tillsynsbegäran.docx", "A 21876-2026")</f>
        <v/>
      </c>
      <c r="AD73">
        <f>HYPERLINK("https://klasma.github.io/Logging_2085/tillsynsmail/A 21876-2026 tillsynsbegäran mail.docx", "A 21876-2026")</f>
        <v/>
      </c>
      <c r="AE73">
        <f>HYPERLINK("https://klasma.github.io/Logging_2085/fåglar/A 21876-2026 prioriterade fågelarter.docx", "A 21876-2026")</f>
        <v/>
      </c>
    </row>
    <row r="74" ht="15" customHeight="1">
      <c r="A74" t="inlineStr">
        <is>
          <t>A 49051-2024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46279</v>
      </c>
      <c r="F74" t="inlineStr">
        <is>
          <t>DALARNAS LÄN</t>
        </is>
      </c>
      <c r="G74" t="inlineStr">
        <is>
          <t>LUDVIKA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2</v>
      </c>
      <c r="O74" t="n">
        <v>0</v>
      </c>
      <c r="P74" t="n">
        <v>0</v>
      </c>
      <c r="Q74" t="n">
        <v>2</v>
      </c>
      <c r="R74" t="n">
        <v>2</v>
      </c>
      <c r="S74" t="n">
        <v>2</v>
      </c>
      <c r="T74" t="n">
        <v>2</v>
      </c>
      <c r="U74" t="n">
        <v>0</v>
      </c>
      <c r="V74" s="2" t="inlineStr">
        <is>
          <t>Ladparasitspik
Vedkastanjelav</t>
        </is>
      </c>
      <c r="W74">
        <f>HYPERLINK("https://klasma.github.io/Logging_2085/artfynd/A 49051-2024 artfynd.xlsx", "A 49051-2024")</f>
        <v/>
      </c>
      <c r="X74">
        <f>HYPERLINK("https://klasma.github.io/Logging_2085/kartor/A 49051-2024 karta.png", "A 49051-2024")</f>
        <v/>
      </c>
      <c r="Y74">
        <f>HYPERLINK("https://klasma.github.io/Logging_2085/kartor_geotiff/A 49051-2024 georefererad karta.tif", "A 49051-2024")</f>
        <v/>
      </c>
      <c r="AA74">
        <f>HYPERLINK("https://klasma.github.io/Logging_2085/klagomål/A 49051-2024 FSC-klagomål.docx", "A 49051-2024")</f>
        <v/>
      </c>
      <c r="AB74">
        <f>HYPERLINK("https://klasma.github.io/Logging_2085/klagomålsmail/A 49051-2024 FSC-klagomål mail.docx", "A 49051-2024")</f>
        <v/>
      </c>
      <c r="AC74">
        <f>HYPERLINK("https://klasma.github.io/Logging_2085/tillsyn/A 49051-2024 tillsynsbegäran.docx", "A 49051-2024")</f>
        <v/>
      </c>
      <c r="AD74">
        <f>HYPERLINK("https://klasma.github.io/Logging_2085/tillsynsmail/A 49051-2024 tillsynsbegäran mail.docx", "A 49051-2024")</f>
        <v/>
      </c>
    </row>
    <row r="75" ht="15" customHeight="1">
      <c r="A75" t="inlineStr">
        <is>
          <t>A 19512-2022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46279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2.8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Tretåig hackspett
Nästlav</t>
        </is>
      </c>
      <c r="W75">
        <f>HYPERLINK("https://klasma.github.io/Logging_2085/artfynd/A 19512-2022 artfynd.xlsx", "A 19512-2022")</f>
        <v/>
      </c>
      <c r="X75">
        <f>HYPERLINK("https://klasma.github.io/Logging_2085/kartor/A 19512-2022 karta.png", "A 19512-2022")</f>
        <v/>
      </c>
      <c r="Y75">
        <f>HYPERLINK("https://klasma.github.io/Logging_2085/kartor_geotiff/A 19512-2022 georefererad karta.tif", "A 19512-2022")</f>
        <v/>
      </c>
      <c r="AA75">
        <f>HYPERLINK("https://klasma.github.io/Logging_2085/klagomål/A 19512-2022 FSC-klagomål.docx", "A 19512-2022")</f>
        <v/>
      </c>
      <c r="AB75">
        <f>HYPERLINK("https://klasma.github.io/Logging_2085/klagomålsmail/A 19512-2022 FSC-klagomål mail.docx", "A 19512-2022")</f>
        <v/>
      </c>
      <c r="AC75">
        <f>HYPERLINK("https://klasma.github.io/Logging_2085/tillsyn/A 19512-2022 tillsynsbegäran.docx", "A 19512-2022")</f>
        <v/>
      </c>
      <c r="AD75">
        <f>HYPERLINK("https://klasma.github.io/Logging_2085/tillsynsmail/A 19512-2022 tillsynsbegäran mail.docx", "A 19512-2022")</f>
        <v/>
      </c>
      <c r="AE75">
        <f>HYPERLINK("https://klasma.github.io/Logging_2085/fåglar/A 19512-2022 prioriterade fågelarter.docx", "A 19512-2022")</f>
        <v/>
      </c>
    </row>
    <row r="76" ht="15" customHeight="1">
      <c r="A76" t="inlineStr">
        <is>
          <t>A 18024-2026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46125</v>
      </c>
      <c r="E76" s="1" t="n">
        <v>46279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Skinnlav
Svavelriska</t>
        </is>
      </c>
      <c r="W76">
        <f>HYPERLINK("https://klasma.github.io/Logging_2085/artfynd/A 18024-2026 artfynd.xlsx", "A 18024-2026")</f>
        <v/>
      </c>
      <c r="X76">
        <f>HYPERLINK("https://klasma.github.io/Logging_2085/kartor/A 18024-2026 karta.png", "A 18024-2026")</f>
        <v/>
      </c>
      <c r="Y76">
        <f>HYPERLINK("https://klasma.github.io/Logging_2085/kartor_geotiff/A 18024-2026 georefererad karta.tif", "A 18024-2026")</f>
        <v/>
      </c>
      <c r="AA76">
        <f>HYPERLINK("https://klasma.github.io/Logging_2085/klagomål/A 18024-2026 FSC-klagomål.docx", "A 18024-2026")</f>
        <v/>
      </c>
      <c r="AB76">
        <f>HYPERLINK("https://klasma.github.io/Logging_2085/klagomålsmail/A 18024-2026 FSC-klagomål mail.docx", "A 18024-2026")</f>
        <v/>
      </c>
      <c r="AC76">
        <f>HYPERLINK("https://klasma.github.io/Logging_2085/tillsyn/A 18024-2026 tillsynsbegäran.docx", "A 18024-2026")</f>
        <v/>
      </c>
      <c r="AD76">
        <f>HYPERLINK("https://klasma.github.io/Logging_2085/tillsynsmail/A 18024-2026 tillsynsbegäran mail.docx", "A 18024-2026")</f>
        <v/>
      </c>
    </row>
    <row r="77" ht="15" customHeight="1">
      <c r="A77" t="inlineStr">
        <is>
          <t>A 3809-2024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46279</v>
      </c>
      <c r="F77" t="inlineStr">
        <is>
          <t>DALARNAS LÄN</t>
        </is>
      </c>
      <c r="G77" t="inlineStr">
        <is>
          <t>LUDVIKA</t>
        </is>
      </c>
      <c r="I77" t="n">
        <v>0.5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8</v>
      </c>
      <c r="U77" t="n">
        <v>8</v>
      </c>
      <c r="V77" s="2" t="inlineStr">
        <is>
          <t>Nordfladdermus
Fläcknycklar</t>
        </is>
      </c>
      <c r="W77">
        <f>HYPERLINK("https://klasma.github.io/Logging_2085/artfynd/A 3809-2024 artfynd.xlsx", "A 3809-2024")</f>
        <v/>
      </c>
      <c r="X77">
        <f>HYPERLINK("https://klasma.github.io/Logging_2085/kartor/A 3809-2024 karta.png", "A 3809-2024")</f>
        <v/>
      </c>
      <c r="Y77">
        <f>HYPERLINK("https://klasma.github.io/Logging_2085/kartor_geotiff/A 3809-2024 georefererad karta.tif", "A 3809-2024")</f>
        <v/>
      </c>
      <c r="AA77">
        <f>HYPERLINK("https://klasma.github.io/Logging_2085/klagomål/A 3809-2024 FSC-klagomål.docx", "A 3809-2024")</f>
        <v/>
      </c>
      <c r="AB77">
        <f>HYPERLINK("https://klasma.github.io/Logging_2085/klagomålsmail/A 3809-2024 FSC-klagomål mail.docx", "A 3809-2024")</f>
        <v/>
      </c>
      <c r="AC77">
        <f>HYPERLINK("https://klasma.github.io/Logging_2085/tillsyn/A 3809-2024 tillsynsbegäran.docx", "A 3809-2024")</f>
        <v/>
      </c>
      <c r="AD77">
        <f>HYPERLINK("https://klasma.github.io/Logging_2085/tillsynsmail/A 3809-2024 tillsynsbegäran mail.docx", "A 3809-2024")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46279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56826-2025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46279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4.5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8</v>
      </c>
      <c r="U79" t="n">
        <v>8</v>
      </c>
      <c r="V79" s="2" t="inlineStr">
        <is>
          <t>Garnlav
Tretåig hackspett</t>
        </is>
      </c>
      <c r="W79">
        <f>HYPERLINK("https://klasma.github.io/Logging_2085/artfynd/A 56826-2025 artfynd.xlsx", "A 56826-2025")</f>
        <v/>
      </c>
      <c r="X79">
        <f>HYPERLINK("https://klasma.github.io/Logging_2085/kartor/A 56826-2025 karta.png", "A 56826-2025")</f>
        <v/>
      </c>
      <c r="Y79">
        <f>HYPERLINK("https://klasma.github.io/Logging_2085/kartor_geotiff/A 56826-2025 georefererad karta.tif", "A 56826-2025")</f>
        <v/>
      </c>
      <c r="AA79">
        <f>HYPERLINK("https://klasma.github.io/Logging_2085/klagomål/A 56826-2025 FSC-klagomål.docx", "A 56826-2025")</f>
        <v/>
      </c>
      <c r="AB79">
        <f>HYPERLINK("https://klasma.github.io/Logging_2085/klagomålsmail/A 56826-2025 FSC-klagomål mail.docx", "A 56826-2025")</f>
        <v/>
      </c>
      <c r="AC79">
        <f>HYPERLINK("https://klasma.github.io/Logging_2085/tillsyn/A 56826-2025 tillsynsbegäran.docx", "A 56826-2025")</f>
        <v/>
      </c>
      <c r="AD79">
        <f>HYPERLINK("https://klasma.github.io/Logging_2085/tillsynsmail/A 56826-2025 tillsynsbegäran mail.docx", "A 56826-2025")</f>
        <v/>
      </c>
      <c r="AE79">
        <f>HYPERLINK("https://klasma.github.io/Logging_2085/fåglar/A 56826-2025 prioriterade fågelarter.docx", "A 56826-2025")</f>
        <v/>
      </c>
    </row>
    <row r="80" ht="15" customHeight="1">
      <c r="A80" t="inlineStr">
        <is>
          <t>A 55399-2025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46279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11.5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HYPERLINK("https://klasma.github.io/Logging_2085/artfynd/A 55399-2025 artfynd.xlsx", "A 55399-2025")</f>
        <v/>
      </c>
      <c r="X80">
        <f>HYPERLINK("https://klasma.github.io/Logging_2085/kartor/A 55399-2025 karta.png", "A 55399-2025")</f>
        <v/>
      </c>
      <c r="Y80">
        <f>HYPERLINK("https://klasma.github.io/Logging_2085/kartor_geotiff/A 55399-2025 georefererad karta.tif", "A 55399-2025")</f>
        <v/>
      </c>
      <c r="AA80">
        <f>HYPERLINK("https://klasma.github.io/Logging_2085/klagomål/A 55399-2025 FSC-klagomål.docx", "A 55399-2025")</f>
        <v/>
      </c>
      <c r="AB80">
        <f>HYPERLINK("https://klasma.github.io/Logging_2085/klagomålsmail/A 55399-2025 FSC-klagomål mail.docx", "A 55399-2025")</f>
        <v/>
      </c>
      <c r="AC80">
        <f>HYPERLINK("https://klasma.github.io/Logging_2085/tillsyn/A 55399-2025 tillsynsbegäran.docx", "A 55399-2025")</f>
        <v/>
      </c>
      <c r="AD80">
        <f>HYPERLINK("https://klasma.github.io/Logging_2085/tillsynsmail/A 55399-2025 tillsynsbegäran mail.docx", "A 55399-2025")</f>
        <v/>
      </c>
      <c r="AE80">
        <f>HYPERLINK("https://klasma.github.io/Logging_2085/fåglar/A 55399-2025 prioriterade fågelarter.docx", "A 55399-2025")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46279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46279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46279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46279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49763-2025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46279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6.9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Dvärgbägarlav
Vedticka</t>
        </is>
      </c>
      <c r="W85">
        <f>HYPERLINK("https://klasma.github.io/Logging_2085/artfynd/A 49763-2025 artfynd.xlsx", "A 49763-2025")</f>
        <v/>
      </c>
      <c r="X85">
        <f>HYPERLINK("https://klasma.github.io/Logging_2085/kartor/A 49763-2025 karta.png", "A 49763-2025")</f>
        <v/>
      </c>
      <c r="Y85">
        <f>HYPERLINK("https://klasma.github.io/Logging_2085/kartor_geotiff/A 49763-2025 georefererad karta.tif", "A 49763-2025")</f>
        <v/>
      </c>
      <c r="AA85">
        <f>HYPERLINK("https://klasma.github.io/Logging_2085/klagomål/A 49763-2025 FSC-klagomål.docx", "A 49763-2025")</f>
        <v/>
      </c>
      <c r="AB85">
        <f>HYPERLINK("https://klasma.github.io/Logging_2085/klagomålsmail/A 49763-2025 FSC-klagomål mail.docx", "A 49763-2025")</f>
        <v/>
      </c>
      <c r="AC85">
        <f>HYPERLINK("https://klasma.github.io/Logging_2085/tillsyn/A 49763-2025 tillsynsbegäran.docx", "A 49763-2025")</f>
        <v/>
      </c>
      <c r="AD85">
        <f>HYPERLINK("https://klasma.github.io/Logging_2085/tillsynsmail/A 49763-2025 tillsynsbegäran mail.docx", "A 49763-2025")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46279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46279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46279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46279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46279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46279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46279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25448-2024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45463</v>
      </c>
      <c r="E93" s="1" t="n">
        <v>46279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24.7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Blåsippa</t>
        </is>
      </c>
      <c r="W93">
        <f>HYPERLINK("https://klasma.github.io/Logging_2085/artfynd/A 25448-2024 artfynd.xlsx", "A 25448-2024")</f>
        <v/>
      </c>
      <c r="X93">
        <f>HYPERLINK("https://klasma.github.io/Logging_2085/kartor/A 25448-2024 karta.png", "A 25448-2024")</f>
        <v/>
      </c>
      <c r="Y93">
        <f>HYPERLINK("https://klasma.github.io/Logging_2085/kartor_geotiff/A 25448-2024 georefererad karta.tif", "A 25448-2024")</f>
        <v/>
      </c>
      <c r="AA93">
        <f>HYPERLINK("https://klasma.github.io/Logging_2085/klagomål/A 25448-2024 FSC-klagomål.docx", "A 25448-2024")</f>
        <v/>
      </c>
      <c r="AB93">
        <f>HYPERLINK("https://klasma.github.io/Logging_2085/klagomålsmail/A 25448-2024 FSC-klagomål mail.docx", "A 25448-2024")</f>
        <v/>
      </c>
      <c r="AC93">
        <f>HYPERLINK("https://klasma.github.io/Logging_2085/tillsyn/A 25448-2024 tillsynsbegäran.docx", "A 25448-2024")</f>
        <v/>
      </c>
      <c r="AD93">
        <f>HYPERLINK("https://klasma.github.io/Logging_2085/tillsynsmail/A 25448-2024 tillsynsbegäran mail.docx", "A 25448-2024")</f>
        <v/>
      </c>
    </row>
    <row r="94" ht="15" customHeight="1">
      <c r="A94" t="inlineStr">
        <is>
          <t>A 55550-2022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44888</v>
      </c>
      <c r="E94" s="1" t="n">
        <v>46279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Ögonpyrola</t>
        </is>
      </c>
      <c r="W94">
        <f>HYPERLINK("https://klasma.github.io/Logging_2085/artfynd/A 55550-2022 artfynd.xlsx", "A 55550-2022")</f>
        <v/>
      </c>
      <c r="X94">
        <f>HYPERLINK("https://klasma.github.io/Logging_2085/kartor/A 55550-2022 karta.png", "A 55550-2022")</f>
        <v/>
      </c>
      <c r="Y94">
        <f>HYPERLINK("https://klasma.github.io/Logging_2085/kartor_geotiff/A 55550-2022 georefererad karta.tif", "A 55550-2022")</f>
        <v/>
      </c>
      <c r="AA94">
        <f>HYPERLINK("https://klasma.github.io/Logging_2085/klagomål/A 55550-2022 FSC-klagomål.docx", "A 55550-2022")</f>
        <v/>
      </c>
      <c r="AB94">
        <f>HYPERLINK("https://klasma.github.io/Logging_2085/klagomålsmail/A 55550-2022 FSC-klagomål mail.docx", "A 55550-2022")</f>
        <v/>
      </c>
      <c r="AC94">
        <f>HYPERLINK("https://klasma.github.io/Logging_2085/tillsyn/A 55550-2022 tillsynsbegäran.docx", "A 55550-2022")</f>
        <v/>
      </c>
      <c r="AD94">
        <f>HYPERLINK("https://klasma.github.io/Logging_2085/tillsynsmail/A 55550-2022 tillsynsbegäran mail.docx", "A 55550-2022")</f>
        <v/>
      </c>
    </row>
    <row r="95" ht="15" customHeight="1">
      <c r="A95" t="inlineStr">
        <is>
          <t>A 26850-2023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46279</v>
      </c>
      <c r="F95" t="inlineStr">
        <is>
          <t>DALARNAS LÄN</t>
        </is>
      </c>
      <c r="G95" t="inlineStr">
        <is>
          <t>LUDVIKA</t>
        </is>
      </c>
      <c r="H95" t="inlineStr">
        <is>
          <t>Naturvårdsverket</t>
        </is>
      </c>
      <c r="I95" t="n">
        <v>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Motaggsvamp</t>
        </is>
      </c>
      <c r="W95">
        <f>HYPERLINK("https://klasma.github.io/Logging_2085/artfynd/A 26850-2023 artfynd.xlsx", "A 26850-2023")</f>
        <v/>
      </c>
      <c r="X95">
        <f>HYPERLINK("https://klasma.github.io/Logging_2085/kartor/A 26850-2023 karta.png", "A 26850-2023")</f>
        <v/>
      </c>
      <c r="Y95">
        <f>HYPERLINK("https://klasma.github.io/Logging_2085/kartor_geotiff/A 26850-2023 georefererad karta.tif", "A 26850-2023")</f>
        <v/>
      </c>
      <c r="AA95">
        <f>HYPERLINK("https://klasma.github.io/Logging_2085/klagomål/A 26850-2023 FSC-klagomål.docx", "A 26850-2023")</f>
        <v/>
      </c>
      <c r="AB95">
        <f>HYPERLINK("https://klasma.github.io/Logging_2085/klagomålsmail/A 26850-2023 FSC-klagomål mail.docx", "A 26850-2023")</f>
        <v/>
      </c>
      <c r="AC95">
        <f>HYPERLINK("https://klasma.github.io/Logging_2085/tillsyn/A 26850-2023 tillsynsbegäran.docx", "A 26850-2023")</f>
        <v/>
      </c>
      <c r="AD95">
        <f>HYPERLINK("https://klasma.github.io/Logging_2085/tillsynsmail/A 26850-2023 tillsynsbegäran mail.docx", "A 26850-2023")</f>
        <v/>
      </c>
    </row>
    <row r="96" ht="15" customHeight="1">
      <c r="A96" t="inlineStr">
        <is>
          <t>A 29733-2025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46279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10.4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Stuplav</t>
        </is>
      </c>
      <c r="W96">
        <f>HYPERLINK("https://klasma.github.io/Logging_2085/artfynd/A 29733-2025 artfynd.xlsx", "A 29733-2025")</f>
        <v/>
      </c>
      <c r="X96">
        <f>HYPERLINK("https://klasma.github.io/Logging_2085/kartor/A 29733-2025 karta.png", "A 29733-2025")</f>
        <v/>
      </c>
      <c r="Y96">
        <f>HYPERLINK("https://klasma.github.io/Logging_2085/kartor_geotiff/A 29733-2025 georefererad karta.tif", "A 29733-2025")</f>
        <v/>
      </c>
      <c r="AA96">
        <f>HYPERLINK("https://klasma.github.io/Logging_2085/klagomål/A 29733-2025 FSC-klagomål.docx", "A 29733-2025")</f>
        <v/>
      </c>
      <c r="AB96">
        <f>HYPERLINK("https://klasma.github.io/Logging_2085/klagomålsmail/A 29733-2025 FSC-klagomål mail.docx", "A 29733-2025")</f>
        <v/>
      </c>
      <c r="AC96">
        <f>HYPERLINK("https://klasma.github.io/Logging_2085/tillsyn/A 29733-2025 tillsynsbegäran.docx", "A 29733-2025")</f>
        <v/>
      </c>
      <c r="AD96">
        <f>HYPERLINK("https://klasma.github.io/Logging_2085/tillsynsmail/A 29733-2025 tillsynsbegäran mail.docx", "A 29733-2025")</f>
        <v/>
      </c>
    </row>
    <row r="97" ht="15" customHeight="1">
      <c r="A97" t="inlineStr">
        <is>
          <t>A 400-2023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44929</v>
      </c>
      <c r="E97" s="1" t="n">
        <v>46279</v>
      </c>
      <c r="F97" t="inlineStr">
        <is>
          <t>DALARNAS LÄN</t>
        </is>
      </c>
      <c r="G97" t="inlineStr">
        <is>
          <t>LUDVIKA</t>
        </is>
      </c>
      <c r="I97" t="n">
        <v>3.6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Nordfladdermus</t>
        </is>
      </c>
      <c r="W97">
        <f>HYPERLINK("https://klasma.github.io/Logging_2085/artfynd/A 400-2023 artfynd.xlsx", "A 400-2023")</f>
        <v/>
      </c>
      <c r="X97">
        <f>HYPERLINK("https://klasma.github.io/Logging_2085/kartor/A 400-2023 karta.png", "A 400-2023")</f>
        <v/>
      </c>
      <c r="Y97">
        <f>HYPERLINK("https://klasma.github.io/Logging_2085/kartor_geotiff/A 400-2023 georefererad karta.tif", "A 400-2023")</f>
        <v/>
      </c>
      <c r="AA97">
        <f>HYPERLINK("https://klasma.github.io/Logging_2085/klagomål/A 400-2023 FSC-klagomål.docx", "A 400-2023")</f>
        <v/>
      </c>
      <c r="AB97">
        <f>HYPERLINK("https://klasma.github.io/Logging_2085/klagomålsmail/A 400-2023 FSC-klagomål mail.docx", "A 400-2023")</f>
        <v/>
      </c>
      <c r="AC97">
        <f>HYPERLINK("https://klasma.github.io/Logging_2085/tillsyn/A 400-2023 tillsynsbegäran.docx", "A 400-2023")</f>
        <v/>
      </c>
      <c r="AD97">
        <f>HYPERLINK("https://klasma.github.io/Logging_2085/tillsynsmail/A 400-2023 tillsynsbegäran mail.docx", "A 400-2023")</f>
        <v/>
      </c>
    </row>
    <row r="98" ht="15" customHeight="1">
      <c r="A98" t="inlineStr">
        <is>
          <t>A 31478-2023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45114</v>
      </c>
      <c r="E98" s="1" t="n">
        <v>46279</v>
      </c>
      <c r="F98" t="inlineStr">
        <is>
          <t>DALARNAS LÄN</t>
        </is>
      </c>
      <c r="G98" t="inlineStr">
        <is>
          <t>LUDVIKA</t>
        </is>
      </c>
      <c r="I98" t="n">
        <v>6.2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HYPERLINK("https://klasma.github.io/Logging_2085/artfynd/A 31478-2023 artfynd.xlsx", "A 31478-2023")</f>
        <v/>
      </c>
      <c r="X98">
        <f>HYPERLINK("https://klasma.github.io/Logging_2085/kartor/A 31478-2023 karta.png", "A 31478-2023")</f>
        <v/>
      </c>
      <c r="Y98">
        <f>HYPERLINK("https://klasma.github.io/Logging_2085/kartor_geotiff/A 31478-2023 georefererad karta.tif", "A 31478-2023")</f>
        <v/>
      </c>
      <c r="AA98">
        <f>HYPERLINK("https://klasma.github.io/Logging_2085/klagomål/A 31478-2023 FSC-klagomål.docx", "A 31478-2023")</f>
        <v/>
      </c>
      <c r="AB98">
        <f>HYPERLINK("https://klasma.github.io/Logging_2085/klagomålsmail/A 31478-2023 FSC-klagomål mail.docx", "A 31478-2023")</f>
        <v/>
      </c>
      <c r="AC98">
        <f>HYPERLINK("https://klasma.github.io/Logging_2085/tillsyn/A 31478-2023 tillsynsbegäran.docx", "A 31478-2023")</f>
        <v/>
      </c>
      <c r="AD98">
        <f>HYPERLINK("https://klasma.github.io/Logging_2085/tillsynsmail/A 31478-2023 tillsynsbegäran mail.docx", "A 31478-2023")</f>
        <v/>
      </c>
    </row>
    <row r="99" ht="15" customHeight="1">
      <c r="A99" t="inlineStr">
        <is>
          <t>A 74401-2021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44560</v>
      </c>
      <c r="E99" s="1" t="n">
        <v>46279</v>
      </c>
      <c r="F99" t="inlineStr">
        <is>
          <t>DALARNAS LÄN</t>
        </is>
      </c>
      <c r="G99" t="inlineStr">
        <is>
          <t>LUDVIKA</t>
        </is>
      </c>
      <c r="H99" t="inlineStr">
        <is>
          <t>Kommuner</t>
        </is>
      </c>
      <c r="I99" t="n">
        <v>0.6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Gullgröppa</t>
        </is>
      </c>
      <c r="W99">
        <f>HYPERLINK("https://klasma.github.io/Logging_2085/artfynd/A 74401-2021 artfynd.xlsx", "A 74401-2021")</f>
        <v/>
      </c>
      <c r="X99">
        <f>HYPERLINK("https://klasma.github.io/Logging_2085/kartor/A 74401-2021 karta.png", "A 74401-2021")</f>
        <v/>
      </c>
      <c r="Y99">
        <f>HYPERLINK("https://klasma.github.io/Logging_2085/kartor_geotiff/A 74401-2021 georefererad karta.tif", "A 74401-2021")</f>
        <v/>
      </c>
      <c r="AA99">
        <f>HYPERLINK("https://klasma.github.io/Logging_2085/klagomål/A 74401-2021 FSC-klagomål.docx", "A 74401-2021")</f>
        <v/>
      </c>
      <c r="AB99">
        <f>HYPERLINK("https://klasma.github.io/Logging_2085/klagomålsmail/A 74401-2021 FSC-klagomål mail.docx", "A 74401-2021")</f>
        <v/>
      </c>
      <c r="AC99">
        <f>HYPERLINK("https://klasma.github.io/Logging_2085/tillsyn/A 74401-2021 tillsynsbegäran.docx", "A 74401-2021")</f>
        <v/>
      </c>
      <c r="AD99">
        <f>HYPERLINK("https://klasma.github.io/Logging_2085/tillsynsmail/A 74401-2021 tillsynsbegäran mail.docx", "A 74401-2021")</f>
        <v/>
      </c>
    </row>
    <row r="100" ht="15" customHeight="1">
      <c r="A100" t="inlineStr">
        <is>
          <t>A 45791-2025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46279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Vitfläckig guldvinge</t>
        </is>
      </c>
      <c r="W100">
        <f>HYPERLINK("https://klasma.github.io/Logging_2085/artfynd/A 45791-2025 artfynd.xlsx", "A 45791-2025")</f>
        <v/>
      </c>
      <c r="X100">
        <f>HYPERLINK("https://klasma.github.io/Logging_2085/kartor/A 45791-2025 karta.png", "A 45791-2025")</f>
        <v/>
      </c>
      <c r="Y100">
        <f>HYPERLINK("https://klasma.github.io/Logging_2085/kartor_geotiff/A 45791-2025 georefererad karta.tif", "A 45791-2025")</f>
        <v/>
      </c>
      <c r="AA100">
        <f>HYPERLINK("https://klasma.github.io/Logging_2085/klagomål/A 45791-2025 FSC-klagomål.docx", "A 45791-2025")</f>
        <v/>
      </c>
      <c r="AB100">
        <f>HYPERLINK("https://klasma.github.io/Logging_2085/klagomålsmail/A 45791-2025 FSC-klagomål mail.docx", "A 45791-2025")</f>
        <v/>
      </c>
      <c r="AC100">
        <f>HYPERLINK("https://klasma.github.io/Logging_2085/tillsyn/A 45791-2025 tillsynsbegäran.docx", "A 45791-2025")</f>
        <v/>
      </c>
      <c r="AD100">
        <f>HYPERLINK("https://klasma.github.io/Logging_2085/tillsynsmail/A 45791-2025 tillsynsbegäran mail.docx", "A 45791-2025")</f>
        <v/>
      </c>
    </row>
    <row r="101" ht="15" customHeight="1">
      <c r="A101" t="inlineStr">
        <is>
          <t>A 45858-2025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46279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1.3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Granbarkgnagare</t>
        </is>
      </c>
      <c r="W101">
        <f>HYPERLINK("https://klasma.github.io/Logging_2085/artfynd/A 45858-2025 artfynd.xlsx", "A 45858-2025")</f>
        <v/>
      </c>
      <c r="X101">
        <f>HYPERLINK("https://klasma.github.io/Logging_2085/kartor/A 45858-2025 karta.png", "A 45858-2025")</f>
        <v/>
      </c>
      <c r="Y101">
        <f>HYPERLINK("https://klasma.github.io/Logging_2085/kartor_geotiff/A 45858-2025 georefererad karta.tif", "A 45858-2025")</f>
        <v/>
      </c>
      <c r="AA101">
        <f>HYPERLINK("https://klasma.github.io/Logging_2085/klagomål/A 45858-2025 FSC-klagomål.docx", "A 45858-2025")</f>
        <v/>
      </c>
      <c r="AB101">
        <f>HYPERLINK("https://klasma.github.io/Logging_2085/klagomålsmail/A 45858-2025 FSC-klagomål mail.docx", "A 45858-2025")</f>
        <v/>
      </c>
      <c r="AC101">
        <f>HYPERLINK("https://klasma.github.io/Logging_2085/tillsyn/A 45858-2025 tillsynsbegäran.docx", "A 45858-2025")</f>
        <v/>
      </c>
      <c r="AD101">
        <f>HYPERLINK("https://klasma.github.io/Logging_2085/tillsynsmail/A 45858-2025 tillsynsbegäran mail.docx", "A 45858-2025")</f>
        <v/>
      </c>
    </row>
    <row r="102" ht="15" customHeight="1">
      <c r="A102" t="inlineStr">
        <is>
          <t>A 6579-2023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44960</v>
      </c>
      <c r="E102" s="1" t="n">
        <v>46279</v>
      </c>
      <c r="F102" t="inlineStr">
        <is>
          <t>DALARNAS LÄN</t>
        </is>
      </c>
      <c r="G102" t="inlineStr">
        <is>
          <t>LUDVIKA</t>
        </is>
      </c>
      <c r="I102" t="n">
        <v>3.4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Blomkålssvamp</t>
        </is>
      </c>
      <c r="W102">
        <f>HYPERLINK("https://klasma.github.io/Logging_2085/artfynd/A 6579-2023 artfynd.xlsx", "A 6579-2023")</f>
        <v/>
      </c>
      <c r="X102">
        <f>HYPERLINK("https://klasma.github.io/Logging_2085/kartor/A 6579-2023 karta.png", "A 6579-2023")</f>
        <v/>
      </c>
      <c r="Y102">
        <f>HYPERLINK("https://klasma.github.io/Logging_2085/kartor_geotiff/A 6579-2023 georefererad karta.tif", "A 6579-2023")</f>
        <v/>
      </c>
      <c r="AA102">
        <f>HYPERLINK("https://klasma.github.io/Logging_2085/klagomål/A 6579-2023 FSC-klagomål.docx", "A 6579-2023")</f>
        <v/>
      </c>
      <c r="AB102">
        <f>HYPERLINK("https://klasma.github.io/Logging_2085/klagomålsmail/A 6579-2023 FSC-klagomål mail.docx", "A 6579-2023")</f>
        <v/>
      </c>
      <c r="AC102">
        <f>HYPERLINK("https://klasma.github.io/Logging_2085/tillsyn/A 6579-2023 tillsynsbegäran.docx", "A 6579-2023")</f>
        <v/>
      </c>
      <c r="AD102">
        <f>HYPERLINK("https://klasma.github.io/Logging_2085/tillsynsmail/A 6579-2023 tillsynsbegäran mail.docx", "A 6579-2023")</f>
        <v/>
      </c>
    </row>
    <row r="103" ht="15" customHeight="1">
      <c r="A103" t="inlineStr">
        <is>
          <t>A 44578-2023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46279</v>
      </c>
      <c r="F103" t="inlineStr">
        <is>
          <t>DALARNAS LÄN</t>
        </is>
      </c>
      <c r="G103" t="inlineStr">
        <is>
          <t>LUDVIKA</t>
        </is>
      </c>
      <c r="H103" t="inlineStr">
        <is>
          <t>Övriga Aktiebolag</t>
        </is>
      </c>
      <c r="I103" t="n">
        <v>12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Dofttaggsvamp</t>
        </is>
      </c>
      <c r="W103">
        <f>HYPERLINK("https://klasma.github.io/Logging_2085/artfynd/A 44578-2023 artfynd.xlsx", "A 44578-2023")</f>
        <v/>
      </c>
      <c r="X103">
        <f>HYPERLINK("https://klasma.github.io/Logging_2085/kartor/A 44578-2023 karta.png", "A 44578-2023")</f>
        <v/>
      </c>
      <c r="Y103">
        <f>HYPERLINK("https://klasma.github.io/Logging_2085/kartor_geotiff/A 44578-2023 georefererad karta.tif", "A 44578-2023")</f>
        <v/>
      </c>
      <c r="AA103">
        <f>HYPERLINK("https://klasma.github.io/Logging_2085/klagomål/A 44578-2023 FSC-klagomål.docx", "A 44578-2023")</f>
        <v/>
      </c>
      <c r="AB103">
        <f>HYPERLINK("https://klasma.github.io/Logging_2085/klagomålsmail/A 44578-2023 FSC-klagomål mail.docx", "A 44578-2023")</f>
        <v/>
      </c>
      <c r="AC103">
        <f>HYPERLINK("https://klasma.github.io/Logging_2085/tillsyn/A 44578-2023 tillsynsbegäran.docx", "A 44578-2023")</f>
        <v/>
      </c>
      <c r="AD103">
        <f>HYPERLINK("https://klasma.github.io/Logging_2085/tillsynsmail/A 44578-2023 tillsynsbegäran mail.docx", "A 44578-2023")</f>
        <v/>
      </c>
    </row>
    <row r="104" ht="15" customHeight="1">
      <c r="A104" t="inlineStr">
        <is>
          <t>A 36050-2025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45866</v>
      </c>
      <c r="E104" s="1" t="n">
        <v>46279</v>
      </c>
      <c r="F104" t="inlineStr">
        <is>
          <t>DALARNAS LÄN</t>
        </is>
      </c>
      <c r="G104" t="inlineStr">
        <is>
          <t>LUDVIKA</t>
        </is>
      </c>
      <c r="I104" t="n">
        <v>1.4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Mindre hackspett</t>
        </is>
      </c>
      <c r="W104">
        <f>HYPERLINK("https://klasma.github.io/Logging_2085/artfynd/A 36050-2025 artfynd.xlsx", "A 36050-2025")</f>
        <v/>
      </c>
      <c r="X104">
        <f>HYPERLINK("https://klasma.github.io/Logging_2085/kartor/A 36050-2025 karta.png", "A 36050-2025")</f>
        <v/>
      </c>
      <c r="Y104">
        <f>HYPERLINK("https://klasma.github.io/Logging_2085/kartor_geotiff/A 36050-2025 georefererad karta.tif", "A 36050-2025")</f>
        <v/>
      </c>
      <c r="AA104">
        <f>HYPERLINK("https://klasma.github.io/Logging_2085/klagomål/A 36050-2025 FSC-klagomål.docx", "A 36050-2025")</f>
        <v/>
      </c>
      <c r="AB104">
        <f>HYPERLINK("https://klasma.github.io/Logging_2085/klagomålsmail/A 36050-2025 FSC-klagomål mail.docx", "A 36050-2025")</f>
        <v/>
      </c>
      <c r="AC104">
        <f>HYPERLINK("https://klasma.github.io/Logging_2085/tillsyn/A 36050-2025 tillsynsbegäran.docx", "A 36050-2025")</f>
        <v/>
      </c>
      <c r="AD104">
        <f>HYPERLINK("https://klasma.github.io/Logging_2085/tillsynsmail/A 36050-2025 tillsynsbegäran mail.docx", "A 36050-2025")</f>
        <v/>
      </c>
      <c r="AE104">
        <f>HYPERLINK("https://klasma.github.io/Logging_2085/fåglar/A 36050-2025 prioriterade fågelarter.docx", "A 36050-2025")</f>
        <v/>
      </c>
    </row>
    <row r="105" ht="15" customHeight="1">
      <c r="A105" t="inlineStr">
        <is>
          <t>A 62275-2022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46279</v>
      </c>
      <c r="F105" t="inlineStr">
        <is>
          <t>DALARNAS LÄN</t>
        </is>
      </c>
      <c r="G105" t="inlineStr">
        <is>
          <t>LUDVIKA</t>
        </is>
      </c>
      <c r="I105" t="n">
        <v>4.6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HYPERLINK("https://klasma.github.io/Logging_2085/artfynd/A 62275-2022 artfynd.xlsx", "A 62275-2022")</f>
        <v/>
      </c>
      <c r="X105">
        <f>HYPERLINK("https://klasma.github.io/Logging_2085/kartor/A 62275-2022 karta.png", "A 62275-2022")</f>
        <v/>
      </c>
      <c r="Y105">
        <f>HYPERLINK("https://klasma.github.io/Logging_2085/kartor_geotiff/A 62275-2022 georefererad karta.tif", "A 62275-2022")</f>
        <v/>
      </c>
      <c r="Z105">
        <f>HYPERLINK("https://klasma.github.io/Logging_2085/knärot/A 62275-2022 karta knärot.png", "A 62275-2022")</f>
        <v/>
      </c>
      <c r="AA105">
        <f>HYPERLINK("https://klasma.github.io/Logging_2085/klagomål/A 62275-2022 FSC-klagomål.docx", "A 62275-2022")</f>
        <v/>
      </c>
      <c r="AB105">
        <f>HYPERLINK("https://klasma.github.io/Logging_2085/klagomålsmail/A 62275-2022 FSC-klagomål mail.docx", "A 62275-2022")</f>
        <v/>
      </c>
      <c r="AC105">
        <f>HYPERLINK("https://klasma.github.io/Logging_2085/tillsyn/A 62275-2022 tillsynsbegäran.docx", "A 62275-2022")</f>
        <v/>
      </c>
      <c r="AD105">
        <f>HYPERLINK("https://klasma.github.io/Logging_2085/tillsynsmail/A 62275-2022 tillsynsbegäran mail.docx", "A 62275-2022")</f>
        <v/>
      </c>
    </row>
    <row r="106" ht="15" customHeight="1">
      <c r="A106" t="inlineStr">
        <is>
          <t>A 59873-2025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45992</v>
      </c>
      <c r="E106" s="1" t="n">
        <v>46279</v>
      </c>
      <c r="F106" t="inlineStr">
        <is>
          <t>DALARNAS LÄN</t>
        </is>
      </c>
      <c r="G106" t="inlineStr">
        <is>
          <t>LUDVIKA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Lateritticka</t>
        </is>
      </c>
      <c r="W106">
        <f>HYPERLINK("https://klasma.github.io/Logging_2085/artfynd/A 59873-2025 artfynd.xlsx", "A 59873-2025")</f>
        <v/>
      </c>
      <c r="X106">
        <f>HYPERLINK("https://klasma.github.io/Logging_2085/kartor/A 59873-2025 karta.png", "A 59873-2025")</f>
        <v/>
      </c>
      <c r="Y106">
        <f>HYPERLINK("https://klasma.github.io/Logging_2085/kartor_geotiff/A 59873-2025 georefererad karta.tif", "A 59873-2025")</f>
        <v/>
      </c>
      <c r="AA106">
        <f>HYPERLINK("https://klasma.github.io/Logging_2085/klagomål/A 59873-2025 FSC-klagomål.docx", "A 59873-2025")</f>
        <v/>
      </c>
      <c r="AB106">
        <f>HYPERLINK("https://klasma.github.io/Logging_2085/klagomålsmail/A 59873-2025 FSC-klagomål mail.docx", "A 59873-2025")</f>
        <v/>
      </c>
      <c r="AC106">
        <f>HYPERLINK("https://klasma.github.io/Logging_2085/tillsyn/A 59873-2025 tillsynsbegäran.docx", "A 59873-2025")</f>
        <v/>
      </c>
      <c r="AD106">
        <f>HYPERLINK("https://klasma.github.io/Logging_2085/tillsynsmail/A 59873-2025 tillsynsbegäran mail.docx", "A 59873-2025")</f>
        <v/>
      </c>
    </row>
    <row r="107" ht="15" customHeight="1">
      <c r="A107" t="inlineStr">
        <is>
          <t>A 17987-2025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46279</v>
      </c>
      <c r="F107" t="inlineStr">
        <is>
          <t>DALARNAS LÄN</t>
        </is>
      </c>
      <c r="G107" t="inlineStr">
        <is>
          <t>LUDVIKA</t>
        </is>
      </c>
      <c r="I107" t="n">
        <v>0.5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HYPERLINK("https://klasma.github.io/Logging_2085/artfynd/A 17987-2025 artfynd.xlsx", "A 17987-2025")</f>
        <v/>
      </c>
      <c r="X107">
        <f>HYPERLINK("https://klasma.github.io/Logging_2085/kartor/A 17987-2025 karta.png", "A 17987-2025")</f>
        <v/>
      </c>
      <c r="Y107">
        <f>HYPERLINK("https://klasma.github.io/Logging_2085/kartor_geotiff/A 17987-2025 georefererad karta.tif", "A 17987-2025")</f>
        <v/>
      </c>
      <c r="AA107">
        <f>HYPERLINK("https://klasma.github.io/Logging_2085/klagomål/A 17987-2025 FSC-klagomål.docx", "A 17987-2025")</f>
        <v/>
      </c>
      <c r="AB107">
        <f>HYPERLINK("https://klasma.github.io/Logging_2085/klagomålsmail/A 17987-2025 FSC-klagomål mail.docx", "A 17987-2025")</f>
        <v/>
      </c>
      <c r="AC107">
        <f>HYPERLINK("https://klasma.github.io/Logging_2085/tillsyn/A 17987-2025 tillsynsbegäran.docx", "A 17987-2025")</f>
        <v/>
      </c>
      <c r="AD107">
        <f>HYPERLINK("https://klasma.github.io/Logging_2085/tillsynsmail/A 17987-2025 tillsynsbegäran mail.docx", "A 17987-2025")</f>
        <v/>
      </c>
      <c r="AE107">
        <f>HYPERLINK("https://klasma.github.io/Logging_2085/fåglar/A 17987-2025 prioriterade fågelarter.docx", "A 17987-2025")</f>
        <v/>
      </c>
    </row>
    <row r="108" ht="15" customHeight="1">
      <c r="A108" t="inlineStr">
        <is>
          <t>A 25588-2023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45089</v>
      </c>
      <c r="E108" s="1" t="n">
        <v>46279</v>
      </c>
      <c r="F108" t="inlineStr">
        <is>
          <t>DALARNAS LÄN</t>
        </is>
      </c>
      <c r="G108" t="inlineStr">
        <is>
          <t>LUDVIKA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Garnlav</t>
        </is>
      </c>
      <c r="W108">
        <f>HYPERLINK("https://klasma.github.io/Logging_2085/artfynd/A 25588-2023 artfynd.xlsx", "A 25588-2023")</f>
        <v/>
      </c>
      <c r="X108">
        <f>HYPERLINK("https://klasma.github.io/Logging_2085/kartor/A 25588-2023 karta.png", "A 25588-2023")</f>
        <v/>
      </c>
      <c r="Y108">
        <f>HYPERLINK("https://klasma.github.io/Logging_2085/kartor_geotiff/A 25588-2023 georefererad karta.tif", "A 25588-2023")</f>
        <v/>
      </c>
      <c r="AA108">
        <f>HYPERLINK("https://klasma.github.io/Logging_2085/klagomål/A 25588-2023 FSC-klagomål.docx", "A 25588-2023")</f>
        <v/>
      </c>
      <c r="AB108">
        <f>HYPERLINK("https://klasma.github.io/Logging_2085/klagomålsmail/A 25588-2023 FSC-klagomål mail.docx", "A 25588-2023")</f>
        <v/>
      </c>
      <c r="AC108">
        <f>HYPERLINK("https://klasma.github.io/Logging_2085/tillsyn/A 25588-2023 tillsynsbegäran.docx", "A 25588-2023")</f>
        <v/>
      </c>
      <c r="AD108">
        <f>HYPERLINK("https://klasma.github.io/Logging_2085/tillsynsmail/A 25588-2023 tillsynsbegäran mail.docx", "A 25588-2023")</f>
        <v/>
      </c>
    </row>
    <row r="109" ht="15" customHeight="1">
      <c r="A109" t="inlineStr">
        <is>
          <t>A 62676-2025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46279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4.2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Kolflarnlav</t>
        </is>
      </c>
      <c r="W109">
        <f>HYPERLINK("https://klasma.github.io/Logging_2085/artfynd/A 62676-2025 artfynd.xlsx", "A 62676-2025")</f>
        <v/>
      </c>
      <c r="X109">
        <f>HYPERLINK("https://klasma.github.io/Logging_2085/kartor/A 62676-2025 karta.png", "A 62676-2025")</f>
        <v/>
      </c>
      <c r="Y109">
        <f>HYPERLINK("https://klasma.github.io/Logging_2085/kartor_geotiff/A 62676-2025 georefererad karta.tif", "A 62676-2025")</f>
        <v/>
      </c>
      <c r="AA109">
        <f>HYPERLINK("https://klasma.github.io/Logging_2085/klagomål/A 62676-2025 FSC-klagomål.docx", "A 62676-2025")</f>
        <v/>
      </c>
      <c r="AB109">
        <f>HYPERLINK("https://klasma.github.io/Logging_2085/klagomålsmail/A 62676-2025 FSC-klagomål mail.docx", "A 62676-2025")</f>
        <v/>
      </c>
      <c r="AC109">
        <f>HYPERLINK("https://klasma.github.io/Logging_2085/tillsyn/A 62676-2025 tillsynsbegäran.docx", "A 62676-2025")</f>
        <v/>
      </c>
      <c r="AD109">
        <f>HYPERLINK("https://klasma.github.io/Logging_2085/tillsynsmail/A 62676-2025 tillsynsbegäran mail.docx", "A 62676-2025")</f>
        <v/>
      </c>
    </row>
    <row r="110" ht="15" customHeight="1">
      <c r="A110" t="inlineStr">
        <is>
          <t>A 12093-2023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46279</v>
      </c>
      <c r="F110" t="inlineStr">
        <is>
          <t>DALARNAS LÄN</t>
        </is>
      </c>
      <c r="G110" t="inlineStr">
        <is>
          <t>LUDVIKA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Bitter taggsvamp</t>
        </is>
      </c>
      <c r="W110">
        <f>HYPERLINK("https://klasma.github.io/Logging_2085/artfynd/A 12093-2023 artfynd.xlsx", "A 12093-2023")</f>
        <v/>
      </c>
      <c r="X110">
        <f>HYPERLINK("https://klasma.github.io/Logging_2085/kartor/A 12093-2023 karta.png", "A 12093-2023")</f>
        <v/>
      </c>
      <c r="Y110">
        <f>HYPERLINK("https://klasma.github.io/Logging_2085/kartor_geotiff/A 12093-2023 georefererad karta.tif", "A 12093-2023")</f>
        <v/>
      </c>
      <c r="AA110">
        <f>HYPERLINK("https://klasma.github.io/Logging_2085/klagomål/A 12093-2023 FSC-klagomål.docx", "A 12093-2023")</f>
        <v/>
      </c>
      <c r="AB110">
        <f>HYPERLINK("https://klasma.github.io/Logging_2085/klagomålsmail/A 12093-2023 FSC-klagomål mail.docx", "A 12093-2023")</f>
        <v/>
      </c>
      <c r="AC110">
        <f>HYPERLINK("https://klasma.github.io/Logging_2085/tillsyn/A 12093-2023 tillsynsbegäran.docx", "A 12093-2023")</f>
        <v/>
      </c>
      <c r="AD110">
        <f>HYPERLINK("https://klasma.github.io/Logging_2085/tillsynsmail/A 12093-2023 tillsynsbegäran mail.docx", "A 12093-2023")</f>
        <v/>
      </c>
    </row>
    <row r="111" ht="15" customHeight="1">
      <c r="A111" t="inlineStr">
        <is>
          <t>A 33560-2023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46279</v>
      </c>
      <c r="F111" t="inlineStr">
        <is>
          <t>DALARNAS LÄN</t>
        </is>
      </c>
      <c r="G111" t="inlineStr">
        <is>
          <t>LUDVIKA</t>
        </is>
      </c>
      <c r="I111" t="n">
        <v>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vattensalamander</t>
        </is>
      </c>
      <c r="W111">
        <f>HYPERLINK("https://klasma.github.io/Logging_2085/artfynd/A 33560-2023 artfynd.xlsx", "A 33560-2023")</f>
        <v/>
      </c>
      <c r="X111">
        <f>HYPERLINK("https://klasma.github.io/Logging_2085/kartor/A 33560-2023 karta.png", "A 33560-2023")</f>
        <v/>
      </c>
      <c r="Y111">
        <f>HYPERLINK("https://klasma.github.io/Logging_2085/kartor_geotiff/A 33560-2023 georefererad karta.tif", "A 33560-2023")</f>
        <v/>
      </c>
      <c r="AA111">
        <f>HYPERLINK("https://klasma.github.io/Logging_2085/klagomål/A 33560-2023 FSC-klagomål.docx", "A 33560-2023")</f>
        <v/>
      </c>
      <c r="AB111">
        <f>HYPERLINK("https://klasma.github.io/Logging_2085/klagomålsmail/A 33560-2023 FSC-klagomål mail.docx", "A 33560-2023")</f>
        <v/>
      </c>
      <c r="AC111">
        <f>HYPERLINK("https://klasma.github.io/Logging_2085/tillsyn/A 33560-2023 tillsynsbegäran.docx", "A 33560-2023")</f>
        <v/>
      </c>
      <c r="AD111">
        <f>HYPERLINK("https://klasma.github.io/Logging_2085/tillsynsmail/A 33560-2023 tillsynsbegäran mail.docx", "A 33560-2023")</f>
        <v/>
      </c>
    </row>
    <row r="112" ht="15" customHeight="1">
      <c r="A112" t="inlineStr">
        <is>
          <t>A 3687-2024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46279</v>
      </c>
      <c r="F112" t="inlineStr">
        <is>
          <t>DALARNAS LÄN</t>
        </is>
      </c>
      <c r="G112" t="inlineStr">
        <is>
          <t>LUDVIKA</t>
        </is>
      </c>
      <c r="I112" t="n">
        <v>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Nordfladdermus</t>
        </is>
      </c>
      <c r="W112">
        <f>HYPERLINK("https://klasma.github.io/Logging_2085/artfynd/A 3687-2024 artfynd.xlsx", "A 3687-2024")</f>
        <v/>
      </c>
      <c r="X112">
        <f>HYPERLINK("https://klasma.github.io/Logging_2085/kartor/A 3687-2024 karta.png", "A 3687-2024")</f>
        <v/>
      </c>
      <c r="Y112">
        <f>HYPERLINK("https://klasma.github.io/Logging_2085/kartor_geotiff/A 3687-2024 georefererad karta.tif", "A 3687-2024")</f>
        <v/>
      </c>
      <c r="AA112">
        <f>HYPERLINK("https://klasma.github.io/Logging_2085/klagomål/A 3687-2024 FSC-klagomål.docx", "A 3687-2024")</f>
        <v/>
      </c>
      <c r="AB112">
        <f>HYPERLINK("https://klasma.github.io/Logging_2085/klagomålsmail/A 3687-2024 FSC-klagomål mail.docx", "A 3687-2024")</f>
        <v/>
      </c>
      <c r="AC112">
        <f>HYPERLINK("https://klasma.github.io/Logging_2085/tillsyn/A 3687-2024 tillsynsbegäran.docx", "A 3687-2024")</f>
        <v/>
      </c>
      <c r="AD112">
        <f>HYPERLINK("https://klasma.github.io/Logging_2085/tillsynsmail/A 3687-2024 tillsynsbegäran mail.docx", "A 3687-2024")</f>
        <v/>
      </c>
    </row>
    <row r="113" ht="15" customHeight="1">
      <c r="A113" t="inlineStr">
        <is>
          <t>A 56119-2021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44477</v>
      </c>
      <c r="E113" s="1" t="n">
        <v>46279</v>
      </c>
      <c r="F113" t="inlineStr">
        <is>
          <t>DALARNAS LÄN</t>
        </is>
      </c>
      <c r="G113" t="inlineStr">
        <is>
          <t>LUDVIKA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HYPERLINK("https://klasma.github.io/Logging_2085/artfynd/A 56119-2021 artfynd.xlsx", "A 56119-2021")</f>
        <v/>
      </c>
      <c r="X113">
        <f>HYPERLINK("https://klasma.github.io/Logging_2085/kartor/A 56119-2021 karta.png", "A 56119-2021")</f>
        <v/>
      </c>
      <c r="Y113">
        <f>HYPERLINK("https://klasma.github.io/Logging_2085/kartor_geotiff/A 56119-2021 georefererad karta.tif", "A 56119-2021")</f>
        <v/>
      </c>
      <c r="AA113">
        <f>HYPERLINK("https://klasma.github.io/Logging_2085/klagomål/A 56119-2021 FSC-klagomål.docx", "A 56119-2021")</f>
        <v/>
      </c>
      <c r="AB113">
        <f>HYPERLINK("https://klasma.github.io/Logging_2085/klagomålsmail/A 56119-2021 FSC-klagomål mail.docx", "A 56119-2021")</f>
        <v/>
      </c>
      <c r="AC113">
        <f>HYPERLINK("https://klasma.github.io/Logging_2085/tillsyn/A 56119-2021 tillsynsbegäran.docx", "A 56119-2021")</f>
        <v/>
      </c>
      <c r="AD113">
        <f>HYPERLINK("https://klasma.github.io/Logging_2085/tillsynsmail/A 56119-2021 tillsynsbegäran mail.docx", "A 56119-2021")</f>
        <v/>
      </c>
    </row>
    <row r="114" ht="15" customHeight="1">
      <c r="A114" t="inlineStr">
        <is>
          <t>A 59947-2025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46279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HYPERLINK("https://klasma.github.io/Logging_2085/artfynd/A 59947-2025 artfynd.xlsx", "A 59947-2025")</f>
        <v/>
      </c>
      <c r="X114">
        <f>HYPERLINK("https://klasma.github.io/Logging_2085/kartor/A 59947-2025 karta.png", "A 59947-2025")</f>
        <v/>
      </c>
      <c r="Y114">
        <f>HYPERLINK("https://klasma.github.io/Logging_2085/kartor_geotiff/A 59947-2025 georefererad karta.tif", "A 59947-2025")</f>
        <v/>
      </c>
      <c r="AA114">
        <f>HYPERLINK("https://klasma.github.io/Logging_2085/klagomål/A 59947-2025 FSC-klagomål.docx", "A 59947-2025")</f>
        <v/>
      </c>
      <c r="AB114">
        <f>HYPERLINK("https://klasma.github.io/Logging_2085/klagomålsmail/A 59947-2025 FSC-klagomål mail.docx", "A 59947-2025")</f>
        <v/>
      </c>
      <c r="AC114">
        <f>HYPERLINK("https://klasma.github.io/Logging_2085/tillsyn/A 59947-2025 tillsynsbegäran.docx", "A 59947-2025")</f>
        <v/>
      </c>
      <c r="AD114">
        <f>HYPERLINK("https://klasma.github.io/Logging_2085/tillsynsmail/A 59947-2025 tillsynsbegäran mail.docx", "A 59947-2025")</f>
        <v/>
      </c>
      <c r="AE114">
        <f>HYPERLINK("https://klasma.github.io/Logging_2085/fåglar/A 59947-2025 prioriterade fågelarter.docx", "A 59947-2025")</f>
        <v/>
      </c>
    </row>
    <row r="115" ht="15" customHeight="1">
      <c r="A115" t="inlineStr">
        <is>
          <t>A 21880-2026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46279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3.2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21880-2026 artfynd.xlsx", "A 21880-2026")</f>
        <v/>
      </c>
      <c r="X115">
        <f>HYPERLINK("https://klasma.github.io/Logging_2085/kartor/A 21880-2026 karta.png", "A 21880-2026")</f>
        <v/>
      </c>
      <c r="Y115">
        <f>HYPERLINK("https://klasma.github.io/Logging_2085/kartor_geotiff/A 21880-2026 georefererad karta.tif", "A 21880-2026")</f>
        <v/>
      </c>
      <c r="AA115">
        <f>HYPERLINK("https://klasma.github.io/Logging_2085/klagomål/A 21880-2026 FSC-klagomål.docx", "A 21880-2026")</f>
        <v/>
      </c>
      <c r="AB115">
        <f>HYPERLINK("https://klasma.github.io/Logging_2085/klagomålsmail/A 21880-2026 FSC-klagomål mail.docx", "A 21880-2026")</f>
        <v/>
      </c>
      <c r="AC115">
        <f>HYPERLINK("https://klasma.github.io/Logging_2085/tillsyn/A 21880-2026 tillsynsbegäran.docx", "A 21880-2026")</f>
        <v/>
      </c>
      <c r="AD115">
        <f>HYPERLINK("https://klasma.github.io/Logging_2085/tillsynsmail/A 21880-2026 tillsynsbegäran mail.docx", "A 21880-2026")</f>
        <v/>
      </c>
      <c r="AE115">
        <f>HYPERLINK("https://klasma.github.io/Logging_2085/fåglar/A 21880-2026 prioriterade fågelarter.docx", "A 21880-2026")</f>
        <v/>
      </c>
    </row>
    <row r="116" ht="15" customHeight="1">
      <c r="A116" t="inlineStr">
        <is>
          <t>A 23720-2026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46163</v>
      </c>
      <c r="E116" s="1" t="n">
        <v>46279</v>
      </c>
      <c r="F116" t="inlineStr">
        <is>
          <t>DALARNAS LÄN</t>
        </is>
      </c>
      <c r="G116" t="inlineStr">
        <is>
          <t>LUDVIKA</t>
        </is>
      </c>
      <c r="I116" t="n">
        <v>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Tretåig hackspett</t>
        </is>
      </c>
      <c r="W116">
        <f>HYPERLINK("https://klasma.github.io/Logging_2085/artfynd/A 23720-2026 artfynd.xlsx", "A 23720-2026")</f>
        <v/>
      </c>
      <c r="X116">
        <f>HYPERLINK("https://klasma.github.io/Logging_2085/kartor/A 23720-2026 karta.png", "A 23720-2026")</f>
        <v/>
      </c>
      <c r="Y116">
        <f>HYPERLINK("https://klasma.github.io/Logging_2085/kartor_geotiff/A 23720-2026 georefererad karta.tif", "A 23720-2026")</f>
        <v/>
      </c>
      <c r="AA116">
        <f>HYPERLINK("https://klasma.github.io/Logging_2085/klagomål/A 23720-2026 FSC-klagomål.docx", "A 23720-2026")</f>
        <v/>
      </c>
      <c r="AB116">
        <f>HYPERLINK("https://klasma.github.io/Logging_2085/klagomålsmail/A 23720-2026 FSC-klagomål mail.docx", "A 23720-2026")</f>
        <v/>
      </c>
      <c r="AC116">
        <f>HYPERLINK("https://klasma.github.io/Logging_2085/tillsyn/A 23720-2026 tillsynsbegäran.docx", "A 23720-2026")</f>
        <v/>
      </c>
      <c r="AD116">
        <f>HYPERLINK("https://klasma.github.io/Logging_2085/tillsynsmail/A 23720-2026 tillsynsbegäran mail.docx", "A 23720-2026")</f>
        <v/>
      </c>
      <c r="AE116">
        <f>HYPERLINK("https://klasma.github.io/Logging_2085/fåglar/A 23720-2026 prioriterade fågelarter.docx", "A 23720-2026")</f>
        <v/>
      </c>
    </row>
    <row r="117" ht="15" customHeight="1">
      <c r="A117" t="inlineStr">
        <is>
          <t>A 23778-2026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46164</v>
      </c>
      <c r="E117" s="1" t="n">
        <v>46279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23778-2026 artfynd.xlsx", "A 23778-2026")</f>
        <v/>
      </c>
      <c r="X117">
        <f>HYPERLINK("https://klasma.github.io/Logging_2085/kartor/A 23778-2026 karta.png", "A 23778-2026")</f>
        <v/>
      </c>
      <c r="Y117">
        <f>HYPERLINK("https://klasma.github.io/Logging_2085/kartor_geotiff/A 23778-2026 georefererad karta.tif", "A 23778-2026")</f>
        <v/>
      </c>
      <c r="AA117">
        <f>HYPERLINK("https://klasma.github.io/Logging_2085/klagomål/A 23778-2026 FSC-klagomål.docx", "A 23778-2026")</f>
        <v/>
      </c>
      <c r="AB117">
        <f>HYPERLINK("https://klasma.github.io/Logging_2085/klagomålsmail/A 23778-2026 FSC-klagomål mail.docx", "A 23778-2026")</f>
        <v/>
      </c>
      <c r="AC117">
        <f>HYPERLINK("https://klasma.github.io/Logging_2085/tillsyn/A 23778-2026 tillsynsbegäran.docx", "A 23778-2026")</f>
        <v/>
      </c>
      <c r="AD117">
        <f>HYPERLINK("https://klasma.github.io/Logging_2085/tillsynsmail/A 23778-2026 tillsynsbegäran mail.docx", "A 23778-2026")</f>
        <v/>
      </c>
      <c r="AE117">
        <f>HYPERLINK("https://klasma.github.io/Logging_2085/fåglar/A 23778-2026 prioriterade fågelarter.docx", "A 23778-2026")</f>
        <v/>
      </c>
    </row>
    <row r="118" ht="15" customHeight="1">
      <c r="A118" t="inlineStr">
        <is>
          <t>A 21499-2022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46279</v>
      </c>
      <c r="F118" t="inlineStr">
        <is>
          <t>DALARNAS LÄN</t>
        </is>
      </c>
      <c r="G118" t="inlineStr">
        <is>
          <t>LUDVIKA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Strimspindling</t>
        </is>
      </c>
      <c r="W118">
        <f>HYPERLINK("https://klasma.github.io/Logging_2085/artfynd/A 21499-2022 artfynd.xlsx", "A 21499-2022")</f>
        <v/>
      </c>
      <c r="X118">
        <f>HYPERLINK("https://klasma.github.io/Logging_2085/kartor/A 21499-2022 karta.png", "A 21499-2022")</f>
        <v/>
      </c>
      <c r="Y118">
        <f>HYPERLINK("https://klasma.github.io/Logging_2085/kartor_geotiff/A 21499-2022 georefererad karta.tif", "A 21499-2022")</f>
        <v/>
      </c>
      <c r="AA118">
        <f>HYPERLINK("https://klasma.github.io/Logging_2085/klagomål/A 21499-2022 FSC-klagomål.docx", "A 21499-2022")</f>
        <v/>
      </c>
      <c r="AB118">
        <f>HYPERLINK("https://klasma.github.io/Logging_2085/klagomålsmail/A 21499-2022 FSC-klagomål mail.docx", "A 21499-2022")</f>
        <v/>
      </c>
      <c r="AC118">
        <f>HYPERLINK("https://klasma.github.io/Logging_2085/tillsyn/A 21499-2022 tillsynsbegäran.docx", "A 21499-2022")</f>
        <v/>
      </c>
      <c r="AD118">
        <f>HYPERLINK("https://klasma.github.io/Logging_2085/tillsynsmail/A 21499-2022 tillsynsbegäran mail.docx", "A 21499-2022")</f>
        <v/>
      </c>
    </row>
    <row r="119" ht="15" customHeight="1">
      <c r="A119" t="inlineStr">
        <is>
          <t>A 63005-2025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46279</v>
      </c>
      <c r="F119" t="inlineStr">
        <is>
          <t>DALARNAS LÄN</t>
        </is>
      </c>
      <c r="G119" t="inlineStr">
        <is>
          <t>LUDVIKA</t>
        </is>
      </c>
      <c r="I119" t="n">
        <v>4.4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63005-2025 artfynd.xlsx", "A 63005-2025")</f>
        <v/>
      </c>
      <c r="X119">
        <f>HYPERLINK("https://klasma.github.io/Logging_2085/kartor/A 63005-2025 karta.png", "A 63005-2025")</f>
        <v/>
      </c>
      <c r="Y119">
        <f>HYPERLINK("https://klasma.github.io/Logging_2085/kartor_geotiff/A 63005-2025 georefererad karta.tif", "A 63005-2025")</f>
        <v/>
      </c>
      <c r="AA119">
        <f>HYPERLINK("https://klasma.github.io/Logging_2085/klagomål/A 63005-2025 FSC-klagomål.docx", "A 63005-2025")</f>
        <v/>
      </c>
      <c r="AB119">
        <f>HYPERLINK("https://klasma.github.io/Logging_2085/klagomålsmail/A 63005-2025 FSC-klagomål mail.docx", "A 63005-2025")</f>
        <v/>
      </c>
      <c r="AC119">
        <f>HYPERLINK("https://klasma.github.io/Logging_2085/tillsyn/A 63005-2025 tillsynsbegäran.docx", "A 63005-2025")</f>
        <v/>
      </c>
      <c r="AD119">
        <f>HYPERLINK("https://klasma.github.io/Logging_2085/tillsynsmail/A 63005-2025 tillsynsbegäran mail.docx", "A 63005-2025")</f>
        <v/>
      </c>
      <c r="AE119">
        <f>HYPERLINK("https://klasma.github.io/Logging_2085/fåglar/A 63005-2025 prioriterade fågelarter.docx", "A 63005-2025")</f>
        <v/>
      </c>
    </row>
    <row r="120" ht="15" customHeight="1">
      <c r="A120" t="inlineStr">
        <is>
          <t>A 25159-2026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46175</v>
      </c>
      <c r="E120" s="1" t="n">
        <v>46279</v>
      </c>
      <c r="F120" t="inlineStr">
        <is>
          <t>DALARNAS LÄN</t>
        </is>
      </c>
      <c r="G120" t="inlineStr">
        <is>
          <t>LUDVIKA</t>
        </is>
      </c>
      <c r="I120" t="n">
        <v>2.3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Tibast</t>
        </is>
      </c>
      <c r="W120">
        <f>HYPERLINK("https://klasma.github.io/Logging_2085/artfynd/A 25159-2026 artfynd.xlsx", "A 25159-2026")</f>
        <v/>
      </c>
      <c r="X120">
        <f>HYPERLINK("https://klasma.github.io/Logging_2085/kartor/A 25159-2026 karta.png", "A 25159-2026")</f>
        <v/>
      </c>
      <c r="Y120">
        <f>HYPERLINK("https://klasma.github.io/Logging_2085/kartor_geotiff/A 25159-2026 georefererad karta.tif", "A 25159-2026")</f>
        <v/>
      </c>
      <c r="AA120">
        <f>HYPERLINK("https://klasma.github.io/Logging_2085/klagomål/A 25159-2026 FSC-klagomål.docx", "A 25159-2026")</f>
        <v/>
      </c>
      <c r="AB120">
        <f>HYPERLINK("https://klasma.github.io/Logging_2085/klagomålsmail/A 25159-2026 FSC-klagomål mail.docx", "A 25159-2026")</f>
        <v/>
      </c>
      <c r="AC120">
        <f>HYPERLINK("https://klasma.github.io/Logging_2085/tillsyn/A 25159-2026 tillsynsbegäran.docx", "A 25159-2026")</f>
        <v/>
      </c>
      <c r="AD120">
        <f>HYPERLINK("https://klasma.github.io/Logging_2085/tillsynsmail/A 25159-2026 tillsynsbegäran mail.docx", "A 25159-2026")</f>
        <v/>
      </c>
    </row>
    <row r="121" ht="15" customHeight="1">
      <c r="A121" t="inlineStr">
        <is>
          <t>A 56655-2025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46279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8.5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56655-2025 artfynd.xlsx", "A 56655-2025")</f>
        <v/>
      </c>
      <c r="X121">
        <f>HYPERLINK("https://klasma.github.io/Logging_2085/kartor/A 56655-2025 karta.png", "A 56655-2025")</f>
        <v/>
      </c>
      <c r="Y121">
        <f>HYPERLINK("https://klasma.github.io/Logging_2085/kartor_geotiff/A 56655-2025 georefererad karta.tif", "A 56655-2025")</f>
        <v/>
      </c>
      <c r="AA121">
        <f>HYPERLINK("https://klasma.github.io/Logging_2085/klagomål/A 56655-2025 FSC-klagomål.docx", "A 56655-2025")</f>
        <v/>
      </c>
      <c r="AB121">
        <f>HYPERLINK("https://klasma.github.io/Logging_2085/klagomålsmail/A 56655-2025 FSC-klagomål mail.docx", "A 56655-2025")</f>
        <v/>
      </c>
      <c r="AC121">
        <f>HYPERLINK("https://klasma.github.io/Logging_2085/tillsyn/A 56655-2025 tillsynsbegäran.docx", "A 56655-2025")</f>
        <v/>
      </c>
      <c r="AD121">
        <f>HYPERLINK("https://klasma.github.io/Logging_2085/tillsynsmail/A 56655-2025 tillsynsbegäran mail.docx", "A 56655-2025")</f>
        <v/>
      </c>
      <c r="AE121">
        <f>HYPERLINK("https://klasma.github.io/Logging_2085/fåglar/A 56655-2025 prioriterade fågelarter.docx", "A 56655-2025")</f>
        <v/>
      </c>
    </row>
    <row r="122" ht="15" customHeight="1">
      <c r="A122" t="inlineStr">
        <is>
          <t>A 18189-2025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45761</v>
      </c>
      <c r="E122" s="1" t="n">
        <v>46279</v>
      </c>
      <c r="F122" t="inlineStr">
        <is>
          <t>DALARNAS LÄN</t>
        </is>
      </c>
      <c r="G122" t="inlineStr">
        <is>
          <t>LUDVIKA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HYPERLINK("https://klasma.github.io/Logging_2085/artfynd/A 18189-2025 artfynd.xlsx", "A 18189-2025")</f>
        <v/>
      </c>
      <c r="X122">
        <f>HYPERLINK("https://klasma.github.io/Logging_2085/kartor/A 18189-2025 karta.png", "A 18189-2025")</f>
        <v/>
      </c>
      <c r="Y122">
        <f>HYPERLINK("https://klasma.github.io/Logging_2085/kartor_geotiff/A 18189-2025 georefererad karta.tif", "A 18189-2025")</f>
        <v/>
      </c>
      <c r="AA122">
        <f>HYPERLINK("https://klasma.github.io/Logging_2085/klagomål/A 18189-2025 FSC-klagomål.docx", "A 18189-2025")</f>
        <v/>
      </c>
      <c r="AB122">
        <f>HYPERLINK("https://klasma.github.io/Logging_2085/klagomålsmail/A 18189-2025 FSC-klagomål mail.docx", "A 18189-2025")</f>
        <v/>
      </c>
      <c r="AC122">
        <f>HYPERLINK("https://klasma.github.io/Logging_2085/tillsyn/A 18189-2025 tillsynsbegäran.docx", "A 18189-2025")</f>
        <v/>
      </c>
      <c r="AD122">
        <f>HYPERLINK("https://klasma.github.io/Logging_2085/tillsynsmail/A 18189-2025 tillsynsbegäran mail.docx", "A 18189-2025")</f>
        <v/>
      </c>
    </row>
    <row r="123" ht="15" customHeight="1">
      <c r="A123" t="inlineStr">
        <is>
          <t>A 49660-2024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45596</v>
      </c>
      <c r="E123" s="1" t="n">
        <v>46279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0.9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Mörk husmossa</t>
        </is>
      </c>
      <c r="W123">
        <f>HYPERLINK("https://klasma.github.io/Logging_2085/artfynd/A 49660-2024 artfynd.xlsx", "A 49660-2024")</f>
        <v/>
      </c>
      <c r="X123">
        <f>HYPERLINK("https://klasma.github.io/Logging_2085/kartor/A 49660-2024 karta.png", "A 49660-2024")</f>
        <v/>
      </c>
      <c r="Y123">
        <f>HYPERLINK("https://klasma.github.io/Logging_2085/kartor_geotiff/A 49660-2024 georefererad karta.tif", "A 49660-2024")</f>
        <v/>
      </c>
      <c r="AA123">
        <f>HYPERLINK("https://klasma.github.io/Logging_2085/klagomål/A 49660-2024 FSC-klagomål.docx", "A 49660-2024")</f>
        <v/>
      </c>
      <c r="AB123">
        <f>HYPERLINK("https://klasma.github.io/Logging_2085/klagomålsmail/A 49660-2024 FSC-klagomål mail.docx", "A 49660-2024")</f>
        <v/>
      </c>
      <c r="AC123">
        <f>HYPERLINK("https://klasma.github.io/Logging_2085/tillsyn/A 49660-2024 tillsynsbegäran.docx", "A 49660-2024")</f>
        <v/>
      </c>
      <c r="AD123">
        <f>HYPERLINK("https://klasma.github.io/Logging_2085/tillsynsmail/A 49660-2024 tillsynsbegäran mail.docx", "A 49660-2024")</f>
        <v/>
      </c>
    </row>
    <row r="124" ht="15" customHeight="1">
      <c r="A124" t="inlineStr">
        <is>
          <t>A 60787-2024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45644</v>
      </c>
      <c r="E124" s="1" t="n">
        <v>46279</v>
      </c>
      <c r="F124" t="inlineStr">
        <is>
          <t>DALARNAS LÄN</t>
        </is>
      </c>
      <c r="G124" t="inlineStr">
        <is>
          <t>LUDVIKA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HYPERLINK("https://klasma.github.io/Logging_2085/artfynd/A 60787-2024 artfynd.xlsx", "A 60787-2024")</f>
        <v/>
      </c>
      <c r="X124">
        <f>HYPERLINK("https://klasma.github.io/Logging_2085/kartor/A 60787-2024 karta.png", "A 60787-2024")</f>
        <v/>
      </c>
      <c r="Y124">
        <f>HYPERLINK("https://klasma.github.io/Logging_2085/kartor_geotiff/A 60787-2024 georefererad karta.tif", "A 60787-2024")</f>
        <v/>
      </c>
      <c r="AA124">
        <f>HYPERLINK("https://klasma.github.io/Logging_2085/klagomål/A 60787-2024 FSC-klagomål.docx", "A 60787-2024")</f>
        <v/>
      </c>
      <c r="AB124">
        <f>HYPERLINK("https://klasma.github.io/Logging_2085/klagomålsmail/A 60787-2024 FSC-klagomål mail.docx", "A 60787-2024")</f>
        <v/>
      </c>
      <c r="AC124">
        <f>HYPERLINK("https://klasma.github.io/Logging_2085/tillsyn/A 60787-2024 tillsynsbegäran.docx", "A 60787-2024")</f>
        <v/>
      </c>
      <c r="AD124">
        <f>HYPERLINK("https://klasma.github.io/Logging_2085/tillsynsmail/A 60787-2024 tillsynsbegäran mail.docx", "A 60787-2024")</f>
        <v/>
      </c>
      <c r="AE124">
        <f>HYPERLINK("https://klasma.github.io/Logging_2085/fåglar/A 60787-2024 prioriterade fågelarter.docx", "A 60787-2024")</f>
        <v/>
      </c>
    </row>
    <row r="125" ht="15" customHeight="1">
      <c r="A125" t="inlineStr">
        <is>
          <t>A 33399-2026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46247</v>
      </c>
      <c r="E125" s="1" t="n">
        <v>46279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Järpe</t>
        </is>
      </c>
      <c r="W125">
        <f>HYPERLINK("https://klasma.github.io/Logging_2085/artfynd/A 33399-2026 artfynd.xlsx", "A 33399-2026")</f>
        <v/>
      </c>
      <c r="X125">
        <f>HYPERLINK("https://klasma.github.io/Logging_2085/kartor/A 33399-2026 karta.png", "A 33399-2026")</f>
        <v/>
      </c>
      <c r="Y125">
        <f>HYPERLINK("https://klasma.github.io/Logging_2085/kartor_geotiff/A 33399-2026 georefererad karta.tif", "A 33399-2026")</f>
        <v/>
      </c>
      <c r="AA125">
        <f>HYPERLINK("https://klasma.github.io/Logging_2085/klagomål/A 33399-2026 FSC-klagomål.docx", "A 33399-2026")</f>
        <v/>
      </c>
      <c r="AB125">
        <f>HYPERLINK("https://klasma.github.io/Logging_2085/klagomålsmail/A 33399-2026 FSC-klagomål mail.docx", "A 33399-2026")</f>
        <v/>
      </c>
      <c r="AC125">
        <f>HYPERLINK("https://klasma.github.io/Logging_2085/tillsyn/A 33399-2026 tillsynsbegäran.docx", "A 33399-2026")</f>
        <v/>
      </c>
      <c r="AD125">
        <f>HYPERLINK("https://klasma.github.io/Logging_2085/tillsynsmail/A 33399-2026 tillsynsbegäran mail.docx", "A 33399-2026")</f>
        <v/>
      </c>
      <c r="AE125">
        <f>HYPERLINK("https://klasma.github.io/Logging_2085/fåglar/A 33399-2026 prioriterade fågelarter.docx", "A 33399-2026")</f>
        <v/>
      </c>
    </row>
    <row r="126" ht="15" customHeight="1">
      <c r="A126" t="inlineStr">
        <is>
          <t>A 51886-2022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44872</v>
      </c>
      <c r="E126" s="1" t="n">
        <v>46279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1.8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Brun gräsfjäril</t>
        </is>
      </c>
      <c r="W126">
        <f>HYPERLINK("https://klasma.github.io/Logging_2085/artfynd/A 51886-2022 artfynd.xlsx", "A 51886-2022")</f>
        <v/>
      </c>
      <c r="X126">
        <f>HYPERLINK("https://klasma.github.io/Logging_2085/kartor/A 51886-2022 karta.png", "A 51886-2022")</f>
        <v/>
      </c>
      <c r="Y126">
        <f>HYPERLINK("https://klasma.github.io/Logging_2085/kartor_geotiff/A 51886-2022 georefererad karta.tif", "A 51886-2022")</f>
        <v/>
      </c>
      <c r="AA126">
        <f>HYPERLINK("https://klasma.github.io/Logging_2085/klagomål/A 51886-2022 FSC-klagomål.docx", "A 51886-2022")</f>
        <v/>
      </c>
      <c r="AB126">
        <f>HYPERLINK("https://klasma.github.io/Logging_2085/klagomålsmail/A 51886-2022 FSC-klagomål mail.docx", "A 51886-2022")</f>
        <v/>
      </c>
      <c r="AC126">
        <f>HYPERLINK("https://klasma.github.io/Logging_2085/tillsyn/A 51886-2022 tillsynsbegäran.docx", "A 51886-2022")</f>
        <v/>
      </c>
      <c r="AD126">
        <f>HYPERLINK("https://klasma.github.io/Logging_2085/tillsynsmail/A 51886-2022 tillsynsbegäran mail.docx", "A 51886-2022")</f>
        <v/>
      </c>
    </row>
    <row r="127" ht="15" customHeight="1">
      <c r="A127" t="inlineStr">
        <is>
          <t>A 31352-2026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46219</v>
      </c>
      <c r="E127" s="1" t="n">
        <v>46279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HYPERLINK("https://klasma.github.io/Logging_2085/artfynd/A 31352-2026 artfynd.xlsx", "A 31352-2026")</f>
        <v/>
      </c>
      <c r="X127">
        <f>HYPERLINK("https://klasma.github.io/Logging_2085/kartor/A 31352-2026 karta.png", "A 31352-2026")</f>
        <v/>
      </c>
      <c r="Y127">
        <f>HYPERLINK("https://klasma.github.io/Logging_2085/kartor_geotiff/A 31352-2026 georefererad karta.tif", "A 31352-2026")</f>
        <v/>
      </c>
      <c r="AA127">
        <f>HYPERLINK("https://klasma.github.io/Logging_2085/klagomål/A 31352-2026 FSC-klagomål.docx", "A 31352-2026")</f>
        <v/>
      </c>
      <c r="AB127">
        <f>HYPERLINK("https://klasma.github.io/Logging_2085/klagomålsmail/A 31352-2026 FSC-klagomål mail.docx", "A 31352-2026")</f>
        <v/>
      </c>
      <c r="AC127">
        <f>HYPERLINK("https://klasma.github.io/Logging_2085/tillsyn/A 31352-2026 tillsynsbegäran.docx", "A 31352-2026")</f>
        <v/>
      </c>
      <c r="AD127">
        <f>HYPERLINK("https://klasma.github.io/Logging_2085/tillsynsmail/A 31352-2026 tillsynsbegäran mail.docx", "A 31352-2026")</f>
        <v/>
      </c>
    </row>
    <row r="128" ht="15" customHeight="1">
      <c r="A128" t="inlineStr">
        <is>
          <t>A 35652-2026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46265</v>
      </c>
      <c r="E128" s="1" t="n">
        <v>46279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Garnlav</t>
        </is>
      </c>
      <c r="W128">
        <f>HYPERLINK("https://klasma.github.io/Logging_2085/artfynd/A 35652-2026 artfynd.xlsx", "A 35652-2026")</f>
        <v/>
      </c>
      <c r="X128">
        <f>HYPERLINK("https://klasma.github.io/Logging_2085/kartor/A 35652-2026 karta.png", "A 35652-2026")</f>
        <v/>
      </c>
      <c r="Y128">
        <f>HYPERLINK("https://klasma.github.io/Logging_2085/kartor_geotiff/A 35652-2026 georefererad karta.tif", "A 35652-2026")</f>
        <v/>
      </c>
      <c r="AA128">
        <f>HYPERLINK("https://klasma.github.io/Logging_2085/klagomål/A 35652-2026 FSC-klagomål.docx", "A 35652-2026")</f>
        <v/>
      </c>
      <c r="AB128">
        <f>HYPERLINK("https://klasma.github.io/Logging_2085/klagomålsmail/A 35652-2026 FSC-klagomål mail.docx", "A 35652-2026")</f>
        <v/>
      </c>
      <c r="AC128">
        <f>HYPERLINK("https://klasma.github.io/Logging_2085/tillsyn/A 35652-2026 tillsynsbegäran.docx", "A 35652-2026")</f>
        <v/>
      </c>
      <c r="AD128">
        <f>HYPERLINK("https://klasma.github.io/Logging_2085/tillsynsmail/A 35652-2026 tillsynsbegäran mail.docx", "A 35652-2026")</f>
        <v/>
      </c>
    </row>
    <row r="129" ht="15" customHeight="1">
      <c r="A129" t="inlineStr">
        <is>
          <t>A 1047-2023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44929</v>
      </c>
      <c r="E129" s="1" t="n">
        <v>46279</v>
      </c>
      <c r="F129" t="inlineStr">
        <is>
          <t>DALARNAS LÄN</t>
        </is>
      </c>
      <c r="G129" t="inlineStr">
        <is>
          <t>LUDVIKA</t>
        </is>
      </c>
      <c r="H129" t="inlineStr">
        <is>
          <t>Kommuner</t>
        </is>
      </c>
      <c r="I129" t="n">
        <v>3.2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Ullticka</t>
        </is>
      </c>
      <c r="W129">
        <f>HYPERLINK("https://klasma.github.io/Logging_2085/artfynd/A 1047-2023 artfynd.xlsx", "A 1047-2023")</f>
        <v/>
      </c>
      <c r="X129">
        <f>HYPERLINK("https://klasma.github.io/Logging_2085/kartor/A 1047-2023 karta.png", "A 1047-2023")</f>
        <v/>
      </c>
      <c r="Y129">
        <f>HYPERLINK("https://klasma.github.io/Logging_2085/kartor_geotiff/A 1047-2023 georefererad karta.tif", "A 1047-2023")</f>
        <v/>
      </c>
      <c r="AA129">
        <f>HYPERLINK("https://klasma.github.io/Logging_2085/klagomål/A 1047-2023 FSC-klagomål.docx", "A 1047-2023")</f>
        <v/>
      </c>
      <c r="AB129">
        <f>HYPERLINK("https://klasma.github.io/Logging_2085/klagomålsmail/A 1047-2023 FSC-klagomål mail.docx", "A 1047-2023")</f>
        <v/>
      </c>
      <c r="AC129">
        <f>HYPERLINK("https://klasma.github.io/Logging_2085/tillsyn/A 1047-2023 tillsynsbegäran.docx", "A 1047-2023")</f>
        <v/>
      </c>
      <c r="AD129">
        <f>HYPERLINK("https://klasma.github.io/Logging_2085/tillsynsmail/A 1047-2023 tillsynsbegäran mail.docx", "A 1047-2023")</f>
        <v/>
      </c>
    </row>
    <row r="130" ht="15" customHeight="1">
      <c r="A130" t="inlineStr">
        <is>
          <t>A 36478-2026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46269</v>
      </c>
      <c r="E130" s="1" t="n">
        <v>46279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Skogsalm</t>
        </is>
      </c>
      <c r="W130">
        <f>HYPERLINK("https://klasma.github.io/Logging_2085/artfynd/A 36478-2026 artfynd.xlsx", "A 36478-2026")</f>
        <v/>
      </c>
      <c r="X130">
        <f>HYPERLINK("https://klasma.github.io/Logging_2085/kartor/A 36478-2026 karta.png", "A 36478-2026")</f>
        <v/>
      </c>
      <c r="Y130">
        <f>HYPERLINK("https://klasma.github.io/Logging_2085/kartor_geotiff/A 36478-2026 georefererad karta.tif", "A 36478-2026")</f>
        <v/>
      </c>
      <c r="AA130">
        <f>HYPERLINK("https://klasma.github.io/Logging_2085/klagomål/A 36478-2026 FSC-klagomål.docx", "A 36478-2026")</f>
        <v/>
      </c>
      <c r="AB130">
        <f>HYPERLINK("https://klasma.github.io/Logging_2085/klagomålsmail/A 36478-2026 FSC-klagomål mail.docx", "A 36478-2026")</f>
        <v/>
      </c>
      <c r="AC130">
        <f>HYPERLINK("https://klasma.github.io/Logging_2085/tillsyn/A 36478-2026 tillsynsbegäran.docx", "A 36478-2026")</f>
        <v/>
      </c>
      <c r="AD130">
        <f>HYPERLINK("https://klasma.github.io/Logging_2085/tillsynsmail/A 36478-2026 tillsynsbegäran mail.docx", "A 36478-2026")</f>
        <v/>
      </c>
    </row>
    <row r="131" ht="15" customHeight="1">
      <c r="A131" t="inlineStr">
        <is>
          <t>A 37560-2026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46276</v>
      </c>
      <c r="E131" s="1" t="n">
        <v>46279</v>
      </c>
      <c r="F131" t="inlineStr">
        <is>
          <t>DALARNAS LÄN</t>
        </is>
      </c>
      <c r="G131" t="inlineStr">
        <is>
          <t>LUDVIKA</t>
        </is>
      </c>
      <c r="H131" t="inlineStr">
        <is>
          <t>Naturvårdsverket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Motaggsvamp</t>
        </is>
      </c>
      <c r="W131">
        <f>HYPERLINK("https://klasma.github.io/Logging_2085/artfynd/A 37560-2026 artfynd.xlsx", "A 37560-2026")</f>
        <v/>
      </c>
      <c r="X131">
        <f>HYPERLINK("https://klasma.github.io/Logging_2085/kartor/A 37560-2026 karta.png", "A 37560-2026")</f>
        <v/>
      </c>
      <c r="Y131">
        <f>HYPERLINK("https://klasma.github.io/Logging_2085/kartor_geotiff/A 37560-2026 georefererad karta.tif", "A 37560-2026")</f>
        <v/>
      </c>
      <c r="AA131">
        <f>HYPERLINK("https://klasma.github.io/Logging_2085/klagomål/A 37560-2026 FSC-klagomål.docx", "A 37560-2026")</f>
        <v/>
      </c>
      <c r="AB131">
        <f>HYPERLINK("https://klasma.github.io/Logging_2085/klagomålsmail/A 37560-2026 FSC-klagomål mail.docx", "A 37560-2026")</f>
        <v/>
      </c>
      <c r="AC131">
        <f>HYPERLINK("https://klasma.github.io/Logging_2085/tillsyn/A 37560-2026 tillsynsbegäran.docx", "A 37560-2026")</f>
        <v/>
      </c>
      <c r="AD131">
        <f>HYPERLINK("https://klasma.github.io/Logging_2085/tillsynsmail/A 37560-2026 tillsynsbegäran mail.docx", "A 37560-2026")</f>
        <v/>
      </c>
    </row>
    <row r="132" ht="15" customHeight="1">
      <c r="A132" t="inlineStr">
        <is>
          <t>A 29882-2024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45486</v>
      </c>
      <c r="E132" s="1" t="n">
        <v>46279</v>
      </c>
      <c r="F132" t="inlineStr">
        <is>
          <t>DALARNAS LÄN</t>
        </is>
      </c>
      <c r="G132" t="inlineStr">
        <is>
          <t>LUDVIKA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Spillkråka</t>
        </is>
      </c>
      <c r="W132">
        <f>HYPERLINK("https://klasma.github.io/Logging_2085/artfynd/A 29882-2024 artfynd.xlsx", "A 29882-2024")</f>
        <v/>
      </c>
      <c r="X132">
        <f>HYPERLINK("https://klasma.github.io/Logging_2085/kartor/A 29882-2024 karta.png", "A 29882-2024")</f>
        <v/>
      </c>
      <c r="Y132">
        <f>HYPERLINK("https://klasma.github.io/Logging_2085/kartor_geotiff/A 29882-2024 georefererad karta.tif", "A 29882-2024")</f>
        <v/>
      </c>
      <c r="AA132">
        <f>HYPERLINK("https://klasma.github.io/Logging_2085/klagomål/A 29882-2024 FSC-klagomål.docx", "A 29882-2024")</f>
        <v/>
      </c>
      <c r="AB132">
        <f>HYPERLINK("https://klasma.github.io/Logging_2085/klagomålsmail/A 29882-2024 FSC-klagomål mail.docx", "A 29882-2024")</f>
        <v/>
      </c>
      <c r="AC132">
        <f>HYPERLINK("https://klasma.github.io/Logging_2085/tillsyn/A 29882-2024 tillsynsbegäran.docx", "A 29882-2024")</f>
        <v/>
      </c>
      <c r="AD132">
        <f>HYPERLINK("https://klasma.github.io/Logging_2085/tillsynsmail/A 29882-2024 tillsynsbegäran mail.docx", "A 29882-2024")</f>
        <v/>
      </c>
      <c r="AE132">
        <f>HYPERLINK("https://klasma.github.io/Logging_2085/fåglar/A 29882-2024 prioriterade fågelarter.docx", "A 29882-2024")</f>
        <v/>
      </c>
    </row>
    <row r="133" ht="15" customHeight="1">
      <c r="A133" t="inlineStr">
        <is>
          <t>A 23102-2025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46279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Vanlig groda</t>
        </is>
      </c>
      <c r="W133">
        <f>HYPERLINK("https://klasma.github.io/Logging_2085/artfynd/A 23102-2025 artfynd.xlsx", "A 23102-2025")</f>
        <v/>
      </c>
      <c r="X133">
        <f>HYPERLINK("https://klasma.github.io/Logging_2085/kartor/A 23102-2025 karta.png", "A 23102-2025")</f>
        <v/>
      </c>
      <c r="Y133">
        <f>HYPERLINK("https://klasma.github.io/Logging_2085/kartor_geotiff/A 23102-2025 georefererad karta.tif", "A 23102-2025")</f>
        <v/>
      </c>
      <c r="AA133">
        <f>HYPERLINK("https://klasma.github.io/Logging_2085/klagomål/A 23102-2025 FSC-klagomål.docx", "A 23102-2025")</f>
        <v/>
      </c>
      <c r="AB133">
        <f>HYPERLINK("https://klasma.github.io/Logging_2085/klagomålsmail/A 23102-2025 FSC-klagomål mail.docx", "A 23102-2025")</f>
        <v/>
      </c>
      <c r="AC133">
        <f>HYPERLINK("https://klasma.github.io/Logging_2085/tillsyn/A 23102-2025 tillsynsbegäran.docx", "A 23102-2025")</f>
        <v/>
      </c>
      <c r="AD133">
        <f>HYPERLINK("https://klasma.github.io/Logging_2085/tillsynsmail/A 23102-2025 tillsynsbegäran mail.docx", "A 23102-2025")</f>
        <v/>
      </c>
    </row>
    <row r="134" ht="15" customHeight="1">
      <c r="A134" t="inlineStr">
        <is>
          <t>A 31273-2022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46279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46279</v>
      </c>
      <c r="F135" t="inlineStr">
        <is>
          <t>DALARNAS LÄN</t>
        </is>
      </c>
      <c r="G135" t="inlineStr">
        <is>
          <t>LUDVIKA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46279</v>
      </c>
      <c r="F136" t="inlineStr">
        <is>
          <t>DALARNAS LÄN</t>
        </is>
      </c>
      <c r="G136" t="inlineStr">
        <is>
          <t>LUDVIKA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46279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46279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44456</v>
      </c>
      <c r="E139" s="1" t="n">
        <v>46279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46279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46279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46279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46279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46279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46279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46279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46279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46279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46279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46279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46279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46279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46279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46279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54279-2021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44470</v>
      </c>
      <c r="E155" s="1" t="n">
        <v>46279</v>
      </c>
      <c r="F155" t="inlineStr">
        <is>
          <t>DALARNAS LÄN</t>
        </is>
      </c>
      <c r="G155" t="inlineStr">
        <is>
          <t>LUDVIKA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63267-2021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44508</v>
      </c>
      <c r="E156" s="1" t="n">
        <v>46279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46279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39761-2022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44819</v>
      </c>
      <c r="E158" s="1" t="n">
        <v>46279</v>
      </c>
      <c r="F158" t="inlineStr">
        <is>
          <t>DALARNAS LÄN</t>
        </is>
      </c>
      <c r="G158" t="inlineStr">
        <is>
          <t>LUDVIKA</t>
        </is>
      </c>
      <c r="H158" t="inlineStr">
        <is>
          <t>Naturvårdsverket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7526-2025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45705</v>
      </c>
      <c r="E159" s="1" t="n">
        <v>46279</v>
      </c>
      <c r="F159" t="inlineStr">
        <is>
          <t>DALARNAS LÄN</t>
        </is>
      </c>
      <c r="G159" t="inlineStr">
        <is>
          <t>LUDVIKA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45335</v>
      </c>
      <c r="E160" s="1" t="n">
        <v>46279</v>
      </c>
      <c r="F160" t="inlineStr">
        <is>
          <t>DALARNAS LÄN</t>
        </is>
      </c>
      <c r="G160" t="inlineStr">
        <is>
          <t>LUDVIKA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46279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45202</v>
      </c>
      <c r="E162" s="1" t="n">
        <v>46279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46279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22555-2023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46279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41400-2022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44826</v>
      </c>
      <c r="E165" s="1" t="n">
        <v>46279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11436-2024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45372</v>
      </c>
      <c r="E166" s="1" t="n">
        <v>46279</v>
      </c>
      <c r="F166" t="inlineStr">
        <is>
          <t>DALARNAS LÄN</t>
        </is>
      </c>
      <c r="G166" t="inlineStr">
        <is>
          <t>LUDVIKA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48522-2023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45208</v>
      </c>
      <c r="E167" s="1" t="n">
        <v>46279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23103-2024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45450</v>
      </c>
      <c r="E168" s="1" t="n">
        <v>46279</v>
      </c>
      <c r="F168" t="inlineStr">
        <is>
          <t>DALARNAS LÄN</t>
        </is>
      </c>
      <c r="G168" t="inlineStr">
        <is>
          <t>LUDVIKA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34845-2024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45526</v>
      </c>
      <c r="E169" s="1" t="n">
        <v>46279</v>
      </c>
      <c r="F169" t="inlineStr">
        <is>
          <t>DALARNAS LÄN</t>
        </is>
      </c>
      <c r="G169" t="inlineStr">
        <is>
          <t>LUDVIKA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41158-2022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44825</v>
      </c>
      <c r="E170" s="1" t="n">
        <v>46279</v>
      </c>
      <c r="F170" t="inlineStr">
        <is>
          <t>DALARNAS LÄN</t>
        </is>
      </c>
      <c r="G170" t="inlineStr">
        <is>
          <t>LUDVIKA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48715-2022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44859</v>
      </c>
      <c r="E171" s="1" t="n">
        <v>46279</v>
      </c>
      <c r="F171" t="inlineStr">
        <is>
          <t>DALARNAS LÄN</t>
        </is>
      </c>
      <c r="G171" t="inlineStr">
        <is>
          <t>LUDVIKA</t>
        </is>
      </c>
      <c r="H171" t="inlineStr">
        <is>
          <t>Naturvårdsverket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31702-2023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45105</v>
      </c>
      <c r="E172" s="1" t="n">
        <v>46279</v>
      </c>
      <c r="F172" t="inlineStr">
        <is>
          <t>DALARNAS LÄN</t>
        </is>
      </c>
      <c r="G172" t="inlineStr">
        <is>
          <t>LUDVIKA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32119-2023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46279</v>
      </c>
      <c r="F173" t="inlineStr">
        <is>
          <t>DALARNAS LÄN</t>
        </is>
      </c>
      <c r="G173" t="inlineStr">
        <is>
          <t>LUDVIKA</t>
        </is>
      </c>
      <c r="H173" t="inlineStr">
        <is>
          <t>Naturvårdsverket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32277-2024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45512</v>
      </c>
      <c r="E174" s="1" t="n">
        <v>46279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47496-2022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44853</v>
      </c>
      <c r="E175" s="1" t="n">
        <v>46279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46279</v>
      </c>
      <c r="F176" t="inlineStr">
        <is>
          <t>DALARNAS LÄN</t>
        </is>
      </c>
      <c r="G176" t="inlineStr">
        <is>
          <t>LUDVIKA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44883</v>
      </c>
      <c r="E177" s="1" t="n">
        <v>46279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31100-2024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45502</v>
      </c>
      <c r="E178" s="1" t="n">
        <v>46279</v>
      </c>
      <c r="F178" t="inlineStr">
        <is>
          <t>DALARNAS LÄN</t>
        </is>
      </c>
      <c r="G178" t="inlineStr">
        <is>
          <t>LUDVIKA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55034-2024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46279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45474</v>
      </c>
      <c r="E180" s="1" t="n">
        <v>46279</v>
      </c>
      <c r="F180" t="inlineStr">
        <is>
          <t>DALARNAS LÄN</t>
        </is>
      </c>
      <c r="G180" t="inlineStr">
        <is>
          <t>LUDVIKA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45361-2022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44844</v>
      </c>
      <c r="E181" s="1" t="n">
        <v>46279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46279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46279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46279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46279</v>
      </c>
      <c r="F185" t="inlineStr">
        <is>
          <t>DALARNAS LÄN</t>
        </is>
      </c>
      <c r="G185" t="inlineStr">
        <is>
          <t>LUDVIKA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46279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65195-2021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44515</v>
      </c>
      <c r="E187" s="1" t="n">
        <v>46279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33330-2024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45519</v>
      </c>
      <c r="E188" s="1" t="n">
        <v>46279</v>
      </c>
      <c r="F188" t="inlineStr">
        <is>
          <t>DALARNAS LÄN</t>
        </is>
      </c>
      <c r="G188" t="inlineStr">
        <is>
          <t>LUDVIKA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56680-2022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46279</v>
      </c>
      <c r="F189" t="inlineStr">
        <is>
          <t>DALARNAS LÄN</t>
        </is>
      </c>
      <c r="G189" t="inlineStr">
        <is>
          <t>LUDVIKA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56685-2022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44893</v>
      </c>
      <c r="E190" s="1" t="n">
        <v>46279</v>
      </c>
      <c r="F190" t="inlineStr">
        <is>
          <t>DALARNAS LÄN</t>
        </is>
      </c>
      <c r="G190" t="inlineStr">
        <is>
          <t>LUDVIKA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51029-2024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46279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46279</v>
      </c>
      <c r="F192" t="inlineStr">
        <is>
          <t>DALARNAS LÄN</t>
        </is>
      </c>
      <c r="G192" t="inlineStr">
        <is>
          <t>LUDVIKA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41616-2024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46279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46279</v>
      </c>
      <c r="F194" t="inlineStr">
        <is>
          <t>DALARNAS LÄN</t>
        </is>
      </c>
      <c r="G194" t="inlineStr">
        <is>
          <t>LUDVIKA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46279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46279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45827</v>
      </c>
      <c r="E197" s="1" t="n">
        <v>46279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21152-2023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45062</v>
      </c>
      <c r="E198" s="1" t="n">
        <v>46279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56615-2025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45975</v>
      </c>
      <c r="E199" s="1" t="n">
        <v>46279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46279</v>
      </c>
      <c r="F200" t="inlineStr">
        <is>
          <t>DALARNAS LÄN</t>
        </is>
      </c>
      <c r="G200" t="inlineStr">
        <is>
          <t>LUDVIKA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52230-2023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45224</v>
      </c>
      <c r="E201" s="1" t="n">
        <v>46279</v>
      </c>
      <c r="F201" t="inlineStr">
        <is>
          <t>DALARNAS LÄN</t>
        </is>
      </c>
      <c r="G201" t="inlineStr">
        <is>
          <t>LUDVIKA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62368-2025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46007</v>
      </c>
      <c r="E202" s="1" t="n">
        <v>46279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46279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46279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46279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48003-2024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45589</v>
      </c>
      <c r="E206" s="1" t="n">
        <v>46279</v>
      </c>
      <c r="F206" t="inlineStr">
        <is>
          <t>DALARNAS LÄN</t>
        </is>
      </c>
      <c r="G206" t="inlineStr">
        <is>
          <t>LUDVIKA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45622</v>
      </c>
      <c r="E207" s="1" t="n">
        <v>46279</v>
      </c>
      <c r="F207" t="inlineStr">
        <is>
          <t>DALARNAS LÄN</t>
        </is>
      </c>
      <c r="G207" t="inlineStr">
        <is>
          <t>LUDVIKA</t>
        </is>
      </c>
      <c r="H207" t="inlineStr">
        <is>
          <t>Naturvårdsverket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55485-2024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45622</v>
      </c>
      <c r="E208" s="1" t="n">
        <v>46279</v>
      </c>
      <c r="F208" t="inlineStr">
        <is>
          <t>DALARNAS LÄN</t>
        </is>
      </c>
      <c r="G208" t="inlineStr">
        <is>
          <t>LUDVIKA</t>
        </is>
      </c>
      <c r="H208" t="inlineStr">
        <is>
          <t>Naturvårdsverket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46279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46279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45799</v>
      </c>
      <c r="E211" s="1" t="n">
        <v>46279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32019-2025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45835</v>
      </c>
      <c r="E212" s="1" t="n">
        <v>46279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36527-2024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45537</v>
      </c>
      <c r="E213" s="1" t="n">
        <v>46279</v>
      </c>
      <c r="F213" t="inlineStr">
        <is>
          <t>DALARNAS LÄN</t>
        </is>
      </c>
      <c r="G213" t="inlineStr">
        <is>
          <t>LUDVIKA</t>
        </is>
      </c>
      <c r="H213" t="inlineStr">
        <is>
          <t>Övriga Aktiebolag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17998-2025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46279</v>
      </c>
      <c r="F214" t="inlineStr">
        <is>
          <t>DALARNAS LÄN</t>
        </is>
      </c>
      <c r="G214" t="inlineStr">
        <is>
          <t>LUDVIKA</t>
        </is>
      </c>
      <c r="H214" t="inlineStr">
        <is>
          <t>Naturvårdsverket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45607</v>
      </c>
      <c r="E215" s="1" t="n">
        <v>46279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33244-2025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45840</v>
      </c>
      <c r="E216" s="1" t="n">
        <v>46279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46279</v>
      </c>
      <c r="F217" t="inlineStr">
        <is>
          <t>DALARNAS LÄN</t>
        </is>
      </c>
      <c r="G217" t="inlineStr">
        <is>
          <t>LUDVIKA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45579</v>
      </c>
      <c r="E218" s="1" t="n">
        <v>46279</v>
      </c>
      <c r="F218" t="inlineStr">
        <is>
          <t>DALARNAS LÄN</t>
        </is>
      </c>
      <c r="G218" t="inlineStr">
        <is>
          <t>LUDVIKA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39754-2025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45891</v>
      </c>
      <c r="E219" s="1" t="n">
        <v>46279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40246-2025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46279</v>
      </c>
      <c r="F220" t="inlineStr">
        <is>
          <t>DALARNAS LÄN</t>
        </is>
      </c>
      <c r="G220" t="inlineStr">
        <is>
          <t>LUDVIKA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34067-2025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45845</v>
      </c>
      <c r="E221" s="1" t="n">
        <v>46279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46279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45502</v>
      </c>
      <c r="E223" s="1" t="n">
        <v>46279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46279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45849</v>
      </c>
      <c r="E225" s="1" t="n">
        <v>46279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34455-2024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45525</v>
      </c>
      <c r="E226" s="1" t="n">
        <v>46279</v>
      </c>
      <c r="F226" t="inlineStr">
        <is>
          <t>DALARNAS LÄN</t>
        </is>
      </c>
      <c r="G226" t="inlineStr">
        <is>
          <t>LUDVIKA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8703-2023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44978</v>
      </c>
      <c r="E227" s="1" t="n">
        <v>46279</v>
      </c>
      <c r="F227" t="inlineStr">
        <is>
          <t>DALARNAS LÄN</t>
        </is>
      </c>
      <c r="G227" t="inlineStr">
        <is>
          <t>LUDVIKA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45740</v>
      </c>
      <c r="E228" s="1" t="n">
        <v>46279</v>
      </c>
      <c r="F228" t="inlineStr">
        <is>
          <t>DALARNAS LÄN</t>
        </is>
      </c>
      <c r="G228" t="inlineStr">
        <is>
          <t>LUDVIKA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45187</v>
      </c>
      <c r="E229" s="1" t="n">
        <v>46279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41731-2025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45902</v>
      </c>
      <c r="E230" s="1" t="n">
        <v>46279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29654-2025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46279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41866-2025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46279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41916-2025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46279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42005-2025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46279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55961-2024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45623</v>
      </c>
      <c r="E235" s="1" t="n">
        <v>46279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36338-2025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45868</v>
      </c>
      <c r="E236" s="1" t="n">
        <v>46279</v>
      </c>
      <c r="F236" t="inlineStr">
        <is>
          <t>DALARNAS LÄN</t>
        </is>
      </c>
      <c r="G236" t="inlineStr">
        <is>
          <t>LUDVIKA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46279</v>
      </c>
      <c r="F237" t="inlineStr">
        <is>
          <t>DALARNAS LÄN</t>
        </is>
      </c>
      <c r="G237" t="inlineStr">
        <is>
          <t>LUDVIKA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46279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32329-2024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45512</v>
      </c>
      <c r="E239" s="1" t="n">
        <v>46279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45832</v>
      </c>
      <c r="E240" s="1" t="n">
        <v>46279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45832</v>
      </c>
      <c r="E241" s="1" t="n">
        <v>46279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45840</v>
      </c>
      <c r="E242" s="1" t="n">
        <v>46279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45832</v>
      </c>
      <c r="E243" s="1" t="n">
        <v>46279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46279</v>
      </c>
      <c r="F244" t="inlineStr">
        <is>
          <t>DALARNAS LÄN</t>
        </is>
      </c>
      <c r="G244" t="inlineStr">
        <is>
          <t>LUDVIKA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45911</v>
      </c>
      <c r="E245" s="1" t="n">
        <v>46279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46279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45567</v>
      </c>
      <c r="E247" s="1" t="n">
        <v>46279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44970</v>
      </c>
      <c r="E248" s="1" t="n">
        <v>46279</v>
      </c>
      <c r="F248" t="inlineStr">
        <is>
          <t>DALARNAS LÄN</t>
        </is>
      </c>
      <c r="G248" t="inlineStr">
        <is>
          <t>LUDVIKA</t>
        </is>
      </c>
      <c r="H248" t="inlineStr">
        <is>
          <t>Övriga Aktiebolag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46279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46279</v>
      </c>
      <c r="F250" t="inlineStr">
        <is>
          <t>DALARNAS LÄN</t>
        </is>
      </c>
      <c r="G250" t="inlineStr">
        <is>
          <t>LUDVIKA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17677-2022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44680</v>
      </c>
      <c r="E251" s="1" t="n">
        <v>46279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36437-2025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45869</v>
      </c>
      <c r="E252" s="1" t="n">
        <v>46279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46279</v>
      </c>
      <c r="F253" t="inlineStr">
        <is>
          <t>DALARNAS LÄN</t>
        </is>
      </c>
      <c r="G253" t="inlineStr">
        <is>
          <t>LUDVIKA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22000-2022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44711</v>
      </c>
      <c r="E254" s="1" t="n">
        <v>46279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45337</v>
      </c>
      <c r="E255" s="1" t="n">
        <v>46279</v>
      </c>
      <c r="F255" t="inlineStr">
        <is>
          <t>DALARNAS LÄN</t>
        </is>
      </c>
      <c r="G255" t="inlineStr">
        <is>
          <t>LUDVIKA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44960</v>
      </c>
      <c r="E256" s="1" t="n">
        <v>46279</v>
      </c>
      <c r="F256" t="inlineStr">
        <is>
          <t>DALARNAS LÄN</t>
        </is>
      </c>
      <c r="G256" t="inlineStr">
        <is>
          <t>LUDVIKA</t>
        </is>
      </c>
      <c r="H256" t="inlineStr">
        <is>
          <t>Naturvårdsverket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45624</v>
      </c>
      <c r="E257" s="1" t="n">
        <v>46279</v>
      </c>
      <c r="F257" t="inlineStr">
        <is>
          <t>DALARNAS LÄN</t>
        </is>
      </c>
      <c r="G257" t="inlineStr">
        <is>
          <t>LUDVIKA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44690-2025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46279</v>
      </c>
      <c r="F258" t="inlineStr">
        <is>
          <t>DALARNAS LÄN</t>
        </is>
      </c>
      <c r="G258" t="inlineStr">
        <is>
          <t>LUDVIKA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45761</v>
      </c>
      <c r="E259" s="1" t="n">
        <v>46279</v>
      </c>
      <c r="F259" t="inlineStr">
        <is>
          <t>DALARNAS LÄN</t>
        </is>
      </c>
      <c r="G259" t="inlineStr">
        <is>
          <t>LUDVIKA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51043-2024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46279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46279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45875</v>
      </c>
      <c r="E262" s="1" t="n">
        <v>46279</v>
      </c>
      <c r="F262" t="inlineStr">
        <is>
          <t>DALARNAS LÄN</t>
        </is>
      </c>
      <c r="G262" t="inlineStr">
        <is>
          <t>LUDVIKA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46279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56445-2024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45625</v>
      </c>
      <c r="E264" s="1" t="n">
        <v>46279</v>
      </c>
      <c r="F264" t="inlineStr">
        <is>
          <t>DALARNAS LÄN</t>
        </is>
      </c>
      <c r="G264" t="inlineStr">
        <is>
          <t>LUDVIKA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43762-2025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45912</v>
      </c>
      <c r="E265" s="1" t="n">
        <v>46279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46279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46279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46279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46279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41737-2025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45902</v>
      </c>
      <c r="E270" s="1" t="n">
        <v>46279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45940-2025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46279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45301</v>
      </c>
      <c r="E272" s="1" t="n">
        <v>46279</v>
      </c>
      <c r="F272" t="inlineStr">
        <is>
          <t>DALARNAS LÄN</t>
        </is>
      </c>
      <c r="G272" t="inlineStr">
        <is>
          <t>LUDVIKA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46317-2025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45925</v>
      </c>
      <c r="E273" s="1" t="n">
        <v>46279</v>
      </c>
      <c r="F273" t="inlineStr">
        <is>
          <t>DALARNAS LÄN</t>
        </is>
      </c>
      <c r="G273" t="inlineStr">
        <is>
          <t>LUDVIKA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46279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46517-2025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46279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33345-2024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45519</v>
      </c>
      <c r="E276" s="1" t="n">
        <v>46279</v>
      </c>
      <c r="F276" t="inlineStr">
        <is>
          <t>DALARNAS LÄN</t>
        </is>
      </c>
      <c r="G276" t="inlineStr">
        <is>
          <t>LUDVIKA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46279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48774-2024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45593</v>
      </c>
      <c r="E278" s="1" t="n">
        <v>46279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21145-2023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45062</v>
      </c>
      <c r="E279" s="1" t="n">
        <v>46279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46279</v>
      </c>
      <c r="F280" t="inlineStr">
        <is>
          <t>DALARNAS LÄN</t>
        </is>
      </c>
      <c r="G280" t="inlineStr">
        <is>
          <t>LUDVIKA</t>
        </is>
      </c>
      <c r="H280" t="inlineStr">
        <is>
          <t>Naturvårdsverket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45638</v>
      </c>
      <c r="E281" s="1" t="n">
        <v>46279</v>
      </c>
      <c r="F281" t="inlineStr">
        <is>
          <t>DALARNAS LÄN</t>
        </is>
      </c>
      <c r="G281" t="inlineStr">
        <is>
          <t>LUDVIKA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60843-2024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45644</v>
      </c>
      <c r="E282" s="1" t="n">
        <v>46279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45940</v>
      </c>
      <c r="E283" s="1" t="n">
        <v>46279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46279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46279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43240-2024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45568</v>
      </c>
      <c r="E286" s="1" t="n">
        <v>46279</v>
      </c>
      <c r="F286" t="inlineStr">
        <is>
          <t>DALARNAS LÄN</t>
        </is>
      </c>
      <c r="G286" t="inlineStr">
        <is>
          <t>LUDVIKA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50444-2025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45944</v>
      </c>
      <c r="E287" s="1" t="n">
        <v>46279</v>
      </c>
      <c r="F287" t="inlineStr">
        <is>
          <t>DALARNAS LÄN</t>
        </is>
      </c>
      <c r="G287" t="inlineStr">
        <is>
          <t>LUDVIKA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25273-2022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44729</v>
      </c>
      <c r="E288" s="1" t="n">
        <v>46279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46279</v>
      </c>
      <c r="F289" t="inlineStr">
        <is>
          <t>DALARNAS LÄN</t>
        </is>
      </c>
      <c r="G289" t="inlineStr">
        <is>
          <t>LUDVIKA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52552-2025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45954</v>
      </c>
      <c r="E290" s="1" t="n">
        <v>46279</v>
      </c>
      <c r="F290" t="inlineStr">
        <is>
          <t>DALARNAS LÄN</t>
        </is>
      </c>
      <c r="G290" t="inlineStr">
        <is>
          <t>LUDVIKA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52484-2025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46279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46279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9.300000000000001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52459-2025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45954</v>
      </c>
      <c r="E293" s="1" t="n">
        <v>46279</v>
      </c>
      <c r="F293" t="inlineStr">
        <is>
          <t>DALARNAS LÄN</t>
        </is>
      </c>
      <c r="G293" t="inlineStr">
        <is>
          <t>LUDVIKA</t>
        </is>
      </c>
      <c r="H293" t="inlineStr">
        <is>
          <t>Övriga Aktiebolag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52491-2025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46279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46279</v>
      </c>
      <c r="F295" t="inlineStr">
        <is>
          <t>DALARNAS LÄN</t>
        </is>
      </c>
      <c r="G295" t="inlineStr">
        <is>
          <t>LUDVIKA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52530-2025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45954</v>
      </c>
      <c r="E296" s="1" t="n">
        <v>46279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52427-2025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45954</v>
      </c>
      <c r="E297" s="1" t="n">
        <v>46279</v>
      </c>
      <c r="F297" t="inlineStr">
        <is>
          <t>DALARNAS LÄN</t>
        </is>
      </c>
      <c r="G297" t="inlineStr">
        <is>
          <t>LUDVIKA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2838-2022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44581</v>
      </c>
      <c r="E298" s="1" t="n">
        <v>46279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45957</v>
      </c>
      <c r="E299" s="1" t="n">
        <v>46279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52556-2025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46279</v>
      </c>
      <c r="F300" t="inlineStr">
        <is>
          <t>DALARNAS LÄN</t>
        </is>
      </c>
      <c r="G300" t="inlineStr">
        <is>
          <t>LUDVIKA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40142-2022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44820</v>
      </c>
      <c r="E301" s="1" t="n">
        <v>46279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40151-2022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44820</v>
      </c>
      <c r="E302" s="1" t="n">
        <v>46279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52832-2025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46279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52838-2025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45957</v>
      </c>
      <c r="E304" s="1" t="n">
        <v>46279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39828-2025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46279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45891</v>
      </c>
      <c r="E306" s="1" t="n">
        <v>46279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54035-2025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45963</v>
      </c>
      <c r="E307" s="1" t="n">
        <v>46279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46029-2025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46279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45687</v>
      </c>
      <c r="E309" s="1" t="n">
        <v>46279</v>
      </c>
      <c r="F309" t="inlineStr">
        <is>
          <t>DALARNAS LÄN</t>
        </is>
      </c>
      <c r="G309" t="inlineStr">
        <is>
          <t>LUDVIKA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45904</v>
      </c>
      <c r="E310" s="1" t="n">
        <v>46279</v>
      </c>
      <c r="F310" t="inlineStr">
        <is>
          <t>DALARNAS LÄN</t>
        </is>
      </c>
      <c r="G310" t="inlineStr">
        <is>
          <t>LUDVIKA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18421-2025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46279</v>
      </c>
      <c r="F311" t="inlineStr">
        <is>
          <t>DALARNAS LÄN</t>
        </is>
      </c>
      <c r="G311" t="inlineStr">
        <is>
          <t>LUDVIKA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45966</v>
      </c>
      <c r="E312" s="1" t="n">
        <v>46279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46279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54341-2025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45965</v>
      </c>
      <c r="E314" s="1" t="n">
        <v>46279</v>
      </c>
      <c r="F314" t="inlineStr">
        <is>
          <t>DALARNAS LÄN</t>
        </is>
      </c>
      <c r="G314" t="inlineStr">
        <is>
          <t>LUDVIKA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45968</v>
      </c>
      <c r="E315" s="1" t="n">
        <v>46279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45972</v>
      </c>
      <c r="E316" s="1" t="n">
        <v>46279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17054-2026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46114</v>
      </c>
      <c r="E317" s="1" t="n">
        <v>46279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46279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46279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46279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46279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56249-2025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45974</v>
      </c>
      <c r="E322" s="1" t="n">
        <v>46279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56178-2025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45974</v>
      </c>
      <c r="E323" s="1" t="n">
        <v>46279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56002-2025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46279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56219-2025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45974</v>
      </c>
      <c r="E325" s="1" t="n">
        <v>46279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55944-2025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46279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45765</v>
      </c>
      <c r="E327" s="1" t="n">
        <v>46279</v>
      </c>
      <c r="F327" t="inlineStr">
        <is>
          <t>DALARNAS LÄN</t>
        </is>
      </c>
      <c r="G327" t="inlineStr">
        <is>
          <t>LUDVIKA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46279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46119</v>
      </c>
      <c r="E329" s="1" t="n">
        <v>46279</v>
      </c>
      <c r="F329" t="inlineStr">
        <is>
          <t>DALARNAS LÄN</t>
        </is>
      </c>
      <c r="G329" t="inlineStr">
        <is>
          <t>LUDVIKA</t>
        </is>
      </c>
      <c r="H329" t="inlineStr">
        <is>
          <t>Naturvårdsverket</t>
        </is>
      </c>
      <c r="I329" t="n">
        <v>19.8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46279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56316-2025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46279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46279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46279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61621-2022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44916</v>
      </c>
      <c r="E334" s="1" t="n">
        <v>46279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17879-2026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46122</v>
      </c>
      <c r="E335" s="1" t="n">
        <v>46279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17915-2026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46122</v>
      </c>
      <c r="E336" s="1" t="n">
        <v>46279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17913-2026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46122</v>
      </c>
      <c r="E337" s="1" t="n">
        <v>46279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57870-2025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46279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46122</v>
      </c>
      <c r="E339" s="1" t="n">
        <v>46279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17787-2026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46122</v>
      </c>
      <c r="E340" s="1" t="n">
        <v>46279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30844-2024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45497</v>
      </c>
      <c r="E341" s="1" t="n">
        <v>46279</v>
      </c>
      <c r="F341" t="inlineStr">
        <is>
          <t>DALARNAS LÄN</t>
        </is>
      </c>
      <c r="G341" t="inlineStr">
        <is>
          <t>LUDVIKA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29535-2023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45106</v>
      </c>
      <c r="E342" s="1" t="n">
        <v>46279</v>
      </c>
      <c r="F342" t="inlineStr">
        <is>
          <t>DALARNAS LÄN</t>
        </is>
      </c>
      <c r="G342" t="inlineStr">
        <is>
          <t>LUDVIKA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46126</v>
      </c>
      <c r="E343" s="1" t="n">
        <v>46279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38921-2025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45887</v>
      </c>
      <c r="E344" s="1" t="n">
        <v>46279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39833-2025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45891</v>
      </c>
      <c r="E345" s="1" t="n">
        <v>46279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45929</v>
      </c>
      <c r="E346" s="1" t="n">
        <v>46279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47032-2025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45929</v>
      </c>
      <c r="E347" s="1" t="n">
        <v>46279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18355-2026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46126</v>
      </c>
      <c r="E348" s="1" t="n">
        <v>46279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18362-2026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46126</v>
      </c>
      <c r="E349" s="1" t="n">
        <v>46279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59171-2025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45988</v>
      </c>
      <c r="E350" s="1" t="n">
        <v>46279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45988</v>
      </c>
      <c r="E351" s="1" t="n">
        <v>46279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45909</v>
      </c>
      <c r="E352" s="1" t="n">
        <v>46279</v>
      </c>
      <c r="F352" t="inlineStr">
        <is>
          <t>DALARNAS LÄN</t>
        </is>
      </c>
      <c r="G352" t="inlineStr">
        <is>
          <t>LUDVIKA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46279</v>
      </c>
      <c r="F353" t="inlineStr">
        <is>
          <t>DALARNAS LÄN</t>
        </is>
      </c>
      <c r="G353" t="inlineStr">
        <is>
          <t>LUDVIKA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18829-2026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46128</v>
      </c>
      <c r="E354" s="1" t="n">
        <v>46279</v>
      </c>
      <c r="F354" t="inlineStr">
        <is>
          <t>DALARNAS LÄN</t>
        </is>
      </c>
      <c r="G354" t="inlineStr">
        <is>
          <t>LUDVIKA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59444-2025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46279</v>
      </c>
      <c r="F355" t="inlineStr">
        <is>
          <t>DALARNAS LÄN</t>
        </is>
      </c>
      <c r="G355" t="inlineStr">
        <is>
          <t>LUDVIKA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59530-2025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46279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45989</v>
      </c>
      <c r="E357" s="1" t="n">
        <v>46279</v>
      </c>
      <c r="F357" t="inlineStr">
        <is>
          <t>DALARNAS LÄN</t>
        </is>
      </c>
      <c r="G357" t="inlineStr">
        <is>
          <t>LUDVIKA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16814-2024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45411</v>
      </c>
      <c r="E358" s="1" t="n">
        <v>46279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19610-2026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46134</v>
      </c>
      <c r="E359" s="1" t="n">
        <v>46279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50273-2021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44459</v>
      </c>
      <c r="E360" s="1" t="n">
        <v>46279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46279</v>
      </c>
      <c r="F361" t="inlineStr">
        <is>
          <t>DALARNAS LÄN</t>
        </is>
      </c>
      <c r="G361" t="inlineStr">
        <is>
          <t>LUDVIKA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46279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60455-2025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45995</v>
      </c>
      <c r="E363" s="1" t="n">
        <v>46279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44942</v>
      </c>
      <c r="E364" s="1" t="n">
        <v>46279</v>
      </c>
      <c r="F364" t="inlineStr">
        <is>
          <t>DALARNAS LÄN</t>
        </is>
      </c>
      <c r="G364" t="inlineStr">
        <is>
          <t>LUDVIKA</t>
        </is>
      </c>
      <c r="I364" t="n">
        <v>13.1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51080-2024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46279</v>
      </c>
      <c r="F365" t="inlineStr">
        <is>
          <t>DALARNAS LÄN</t>
        </is>
      </c>
      <c r="G365" t="inlineStr">
        <is>
          <t>LUDVIKA</t>
        </is>
      </c>
      <c r="H365" t="inlineStr">
        <is>
          <t>Naturvårdsverket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25296-2022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44730</v>
      </c>
      <c r="E366" s="1" t="n">
        <v>46279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59346-2024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45637</v>
      </c>
      <c r="E367" s="1" t="n">
        <v>46279</v>
      </c>
      <c r="F367" t="inlineStr">
        <is>
          <t>DALARNAS LÄN</t>
        </is>
      </c>
      <c r="G367" t="inlineStr">
        <is>
          <t>LUDVIKA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46279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61505-2025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46001</v>
      </c>
      <c r="E369" s="1" t="n">
        <v>46279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62561-2025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46007</v>
      </c>
      <c r="E370" s="1" t="n">
        <v>46279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62704-2025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46008</v>
      </c>
      <c r="E371" s="1" t="n">
        <v>46279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62367-2025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46007</v>
      </c>
      <c r="E372" s="1" t="n">
        <v>46279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62842-2025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46279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45099</v>
      </c>
      <c r="E374" s="1" t="n">
        <v>46279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62824-2025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46279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62695-2025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46279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62838-2025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46008</v>
      </c>
      <c r="E377" s="1" t="n">
        <v>46279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62688-2025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46279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62706-2025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46279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62845-2025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46279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19834-2026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46279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61507-2023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45265</v>
      </c>
      <c r="E382" s="1" t="n">
        <v>46279</v>
      </c>
      <c r="F382" t="inlineStr">
        <is>
          <t>DALARNAS LÄN</t>
        </is>
      </c>
      <c r="G382" t="inlineStr">
        <is>
          <t>LUDVIKA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34868-2025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45849</v>
      </c>
      <c r="E383" s="1" t="n">
        <v>46279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46010</v>
      </c>
      <c r="E384" s="1" t="n">
        <v>46279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46279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62930-2025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46279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62945-2025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46009</v>
      </c>
      <c r="E387" s="1" t="n">
        <v>46279</v>
      </c>
      <c r="F387" t="inlineStr">
        <is>
          <t>DALARNAS LÄN</t>
        </is>
      </c>
      <c r="G387" t="inlineStr">
        <is>
          <t>LUDVIKA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17999-2025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45761</v>
      </c>
      <c r="E388" s="1" t="n">
        <v>46279</v>
      </c>
      <c r="F388" t="inlineStr">
        <is>
          <t>DALARNAS LÄN</t>
        </is>
      </c>
      <c r="G388" t="inlineStr">
        <is>
          <t>LUDVIKA</t>
        </is>
      </c>
      <c r="H388" t="inlineStr">
        <is>
          <t>Naturvårdsverket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53554-2025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45960</v>
      </c>
      <c r="E389" s="1" t="n">
        <v>46279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20106-2026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46136</v>
      </c>
      <c r="E390" s="1" t="n">
        <v>46279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46279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46136</v>
      </c>
      <c r="E392" s="1" t="n">
        <v>46279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29578-2025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45825</v>
      </c>
      <c r="E393" s="1" t="n">
        <v>46279</v>
      </c>
      <c r="F393" t="inlineStr">
        <is>
          <t>DALARNAS LÄN</t>
        </is>
      </c>
      <c r="G393" t="inlineStr">
        <is>
          <t>LUDVIKA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34875-2025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45849</v>
      </c>
      <c r="E394" s="1" t="n">
        <v>46279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45845</v>
      </c>
      <c r="E395" s="1" t="n">
        <v>46279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65104-2023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45288</v>
      </c>
      <c r="E396" s="1" t="n">
        <v>46279</v>
      </c>
      <c r="F396" t="inlineStr">
        <is>
          <t>DALARNAS LÄN</t>
        </is>
      </c>
      <c r="G396" t="inlineStr">
        <is>
          <t>LUDVIKA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46029</v>
      </c>
      <c r="E397" s="1" t="n">
        <v>46279</v>
      </c>
      <c r="F397" t="inlineStr">
        <is>
          <t>DALARNAS LÄN</t>
        </is>
      </c>
      <c r="G397" t="inlineStr">
        <is>
          <t>LUDVIKA</t>
        </is>
      </c>
      <c r="H397" t="inlineStr">
        <is>
          <t>Övriga Aktiebolag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46279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45827</v>
      </c>
      <c r="E399" s="1" t="n">
        <v>46279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55151-2025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45968</v>
      </c>
      <c r="E400" s="1" t="n">
        <v>46279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49951-2022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44865</v>
      </c>
      <c r="E401" s="1" t="n">
        <v>46279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45225</v>
      </c>
      <c r="E402" s="1" t="n">
        <v>46279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14986-2024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45399</v>
      </c>
      <c r="E403" s="1" t="n">
        <v>46279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52912-2025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45954</v>
      </c>
      <c r="E404" s="1" t="n">
        <v>46279</v>
      </c>
      <c r="F404" t="inlineStr">
        <is>
          <t>DALARNAS LÄN</t>
        </is>
      </c>
      <c r="G404" t="inlineStr">
        <is>
          <t>LUDVIKA</t>
        </is>
      </c>
      <c r="I404" t="n">
        <v>9.800000000000001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46279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20.5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55323-2025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45971</v>
      </c>
      <c r="E406" s="1" t="n">
        <v>46279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32224-2025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45835</v>
      </c>
      <c r="E407" s="1" t="n">
        <v>46279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46002</v>
      </c>
      <c r="E408" s="1" t="n">
        <v>46279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45961</v>
      </c>
      <c r="E409" s="1" t="n">
        <v>46279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53979-2025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45961</v>
      </c>
      <c r="E410" s="1" t="n">
        <v>46279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43694-2024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45569</v>
      </c>
      <c r="E411" s="1" t="n">
        <v>46279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35353-2024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45531</v>
      </c>
      <c r="E412" s="1" t="n">
        <v>46279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55633-2021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44476</v>
      </c>
      <c r="E413" s="1" t="n">
        <v>46279</v>
      </c>
      <c r="F413" t="inlineStr">
        <is>
          <t>DALARNAS LÄN</t>
        </is>
      </c>
      <c r="G413" t="inlineStr">
        <is>
          <t>LUDVIKA</t>
        </is>
      </c>
      <c r="H413" t="inlineStr">
        <is>
          <t>Övriga Aktiebolag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42106-2024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45562</v>
      </c>
      <c r="E414" s="1" t="n">
        <v>46279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35708-2025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45860</v>
      </c>
      <c r="E415" s="1" t="n">
        <v>46279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60138-2023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45258</v>
      </c>
      <c r="E416" s="1" t="n">
        <v>46279</v>
      </c>
      <c r="F416" t="inlineStr">
        <is>
          <t>DALARNAS LÄN</t>
        </is>
      </c>
      <c r="G416" t="inlineStr">
        <is>
          <t>LUDVIKA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15851-2024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45404</v>
      </c>
      <c r="E417" s="1" t="n">
        <v>46279</v>
      </c>
      <c r="F417" t="inlineStr">
        <is>
          <t>DALARNAS LÄN</t>
        </is>
      </c>
      <c r="G417" t="inlineStr">
        <is>
          <t>LUDVIKA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41828-2025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45902</v>
      </c>
      <c r="E418" s="1" t="n">
        <v>46279</v>
      </c>
      <c r="F418" t="inlineStr">
        <is>
          <t>DALARNAS LÄN</t>
        </is>
      </c>
      <c r="G418" t="inlineStr">
        <is>
          <t>LUDVIKA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30123-2023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46279</v>
      </c>
      <c r="F419" t="inlineStr">
        <is>
          <t>DALARNAS LÄN</t>
        </is>
      </c>
      <c r="G419" t="inlineStr">
        <is>
          <t>LUDVIKA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44537-2024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45574</v>
      </c>
      <c r="E420" s="1" t="n">
        <v>46279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70046-2021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44533</v>
      </c>
      <c r="E421" s="1" t="n">
        <v>46279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46279</v>
      </c>
      <c r="F422" t="inlineStr">
        <is>
          <t>DALARNAS LÄN</t>
        </is>
      </c>
      <c r="G422" t="inlineStr">
        <is>
          <t>LUDVIKA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47671-2024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45588</v>
      </c>
      <c r="E423" s="1" t="n">
        <v>46279</v>
      </c>
      <c r="F423" t="inlineStr">
        <is>
          <t>DALARNAS LÄN</t>
        </is>
      </c>
      <c r="G423" t="inlineStr">
        <is>
          <t>LUDVIKA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20789-2026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46279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20778-2026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46141</v>
      </c>
      <c r="E425" s="1" t="n">
        <v>46279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46185-2024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45581</v>
      </c>
      <c r="E426" s="1" t="n">
        <v>46279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46279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45572</v>
      </c>
      <c r="E428" s="1" t="n">
        <v>46279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20888-2026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46142</v>
      </c>
      <c r="E429" s="1" t="n">
        <v>46279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30039-2024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45488</v>
      </c>
      <c r="E430" s="1" t="n">
        <v>46279</v>
      </c>
      <c r="F430" t="inlineStr">
        <is>
          <t>DALARNAS LÄN</t>
        </is>
      </c>
      <c r="G430" t="inlineStr">
        <is>
          <t>LUDVIKA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20882-2026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46142</v>
      </c>
      <c r="E431" s="1" t="n">
        <v>46279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46062</v>
      </c>
      <c r="E432" s="1" t="n">
        <v>46279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32995-2023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46279</v>
      </c>
      <c r="F433" t="inlineStr">
        <is>
          <t>DALARNAS LÄN</t>
        </is>
      </c>
      <c r="G433" t="inlineStr">
        <is>
          <t>LUDVIKA</t>
        </is>
      </c>
      <c r="H433" t="inlineStr">
        <is>
          <t>Kommuner</t>
        </is>
      </c>
      <c r="I433" t="n">
        <v>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50714-2024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45602</v>
      </c>
      <c r="E434" s="1" t="n">
        <v>46279</v>
      </c>
      <c r="F434" t="inlineStr">
        <is>
          <t>DALARNAS LÄN</t>
        </is>
      </c>
      <c r="G434" t="inlineStr">
        <is>
          <t>LUDVIKA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32854-2023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45112</v>
      </c>
      <c r="E435" s="1" t="n">
        <v>46279</v>
      </c>
      <c r="F435" t="inlineStr">
        <is>
          <t>DALARNAS LÄN</t>
        </is>
      </c>
      <c r="G435" t="inlineStr">
        <is>
          <t>LUDVIKA</t>
        </is>
      </c>
      <c r="H435" t="inlineStr">
        <is>
          <t>Kommuner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21472-2026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46148</v>
      </c>
      <c r="E436" s="1" t="n">
        <v>46279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60788-2024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45644</v>
      </c>
      <c r="E437" s="1" t="n">
        <v>46279</v>
      </c>
      <c r="F437" t="inlineStr">
        <is>
          <t>DALARNAS LÄN</t>
        </is>
      </c>
      <c r="G437" t="inlineStr">
        <is>
          <t>LUDVIKA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21345-2026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46147</v>
      </c>
      <c r="E438" s="1" t="n">
        <v>46279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59667-2024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45639</v>
      </c>
      <c r="E439" s="1" t="n">
        <v>46279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21798-2026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46150</v>
      </c>
      <c r="E440" s="1" t="n">
        <v>46279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43704-2024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45569</v>
      </c>
      <c r="E441" s="1" t="n">
        <v>46279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21872-2026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46150</v>
      </c>
      <c r="E442" s="1" t="n">
        <v>46279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46148</v>
      </c>
      <c r="E443" s="1" t="n">
        <v>46279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37586-2024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45541</v>
      </c>
      <c r="E444" s="1" t="n">
        <v>46279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55551-2024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45622</v>
      </c>
      <c r="E445" s="1" t="n">
        <v>46279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44520-2023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45189</v>
      </c>
      <c r="E446" s="1" t="n">
        <v>46279</v>
      </c>
      <c r="F446" t="inlineStr">
        <is>
          <t>DALARNAS LÄN</t>
        </is>
      </c>
      <c r="G446" t="inlineStr">
        <is>
          <t>LUDVIKA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55972-2025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45973</v>
      </c>
      <c r="E447" s="1" t="n">
        <v>46279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38446-2025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45883</v>
      </c>
      <c r="E448" s="1" t="n">
        <v>46279</v>
      </c>
      <c r="F448" t="inlineStr">
        <is>
          <t>DALARNAS LÄN</t>
        </is>
      </c>
      <c r="G448" t="inlineStr">
        <is>
          <t>LUDVIKA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45045-2023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45191</v>
      </c>
      <c r="E449" s="1" t="n">
        <v>46279</v>
      </c>
      <c r="F449" t="inlineStr">
        <is>
          <t>DALARNAS LÄN</t>
        </is>
      </c>
      <c r="G449" t="inlineStr">
        <is>
          <t>LUDVIKA</t>
        </is>
      </c>
      <c r="H449" t="inlineStr">
        <is>
          <t>Sveaskog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55510-2024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45622</v>
      </c>
      <c r="E450" s="1" t="n">
        <v>46279</v>
      </c>
      <c r="F450" t="inlineStr">
        <is>
          <t>DALARNAS LÄN</t>
        </is>
      </c>
      <c r="G450" t="inlineStr">
        <is>
          <t>LUDVIKA</t>
        </is>
      </c>
      <c r="H450" t="inlineStr">
        <is>
          <t>Naturvårdsverket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45594</v>
      </c>
      <c r="E451" s="1" t="n">
        <v>46279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46620-2023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45198</v>
      </c>
      <c r="E452" s="1" t="n">
        <v>46279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46142</v>
      </c>
      <c r="E453" s="1" t="n">
        <v>46279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8.9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46155</v>
      </c>
      <c r="E454" s="1" t="n">
        <v>46279</v>
      </c>
      <c r="F454" t="inlineStr">
        <is>
          <t>DALARNAS LÄN</t>
        </is>
      </c>
      <c r="G454" t="inlineStr">
        <is>
          <t>LUDVIKA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45679</v>
      </c>
      <c r="E455" s="1" t="n">
        <v>46279</v>
      </c>
      <c r="F455" t="inlineStr">
        <is>
          <t>DALARNAS LÄN</t>
        </is>
      </c>
      <c r="G455" t="inlineStr">
        <is>
          <t>LUDVIKA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22558-2026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46279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46279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46279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9.800000000000001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22538-2026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46279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16843-2026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46113</v>
      </c>
      <c r="E460" s="1" t="n">
        <v>46279</v>
      </c>
      <c r="F460" t="inlineStr">
        <is>
          <t>DALARNAS LÄN</t>
        </is>
      </c>
      <c r="G460" t="inlineStr">
        <is>
          <t>LUDVIKA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46279</v>
      </c>
      <c r="F461" t="inlineStr">
        <is>
          <t>DALARNAS LÄN</t>
        </is>
      </c>
      <c r="G461" t="inlineStr">
        <is>
          <t>LUDVIKA</t>
        </is>
      </c>
      <c r="H461" t="inlineStr">
        <is>
          <t>Naturvårdsverket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32301-2024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45512</v>
      </c>
      <c r="E462" s="1" t="n">
        <v>46279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22830-2026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46160</v>
      </c>
      <c r="E463" s="1" t="n">
        <v>46279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55462-2024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45622</v>
      </c>
      <c r="E464" s="1" t="n">
        <v>46279</v>
      </c>
      <c r="F464" t="inlineStr">
        <is>
          <t>DALARNAS LÄN</t>
        </is>
      </c>
      <c r="G464" t="inlineStr">
        <is>
          <t>LUDVIKA</t>
        </is>
      </c>
      <c r="H464" t="inlineStr">
        <is>
          <t>Naturvårdsverket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55474-2024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45622</v>
      </c>
      <c r="E465" s="1" t="n">
        <v>46279</v>
      </c>
      <c r="F465" t="inlineStr">
        <is>
          <t>DALARNAS LÄN</t>
        </is>
      </c>
      <c r="G465" t="inlineStr">
        <is>
          <t>LUDVIKA</t>
        </is>
      </c>
      <c r="H465" t="inlineStr">
        <is>
          <t>Naturvårdsverket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28134-2023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45099</v>
      </c>
      <c r="E466" s="1" t="n">
        <v>46279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46279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4550-2025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45687</v>
      </c>
      <c r="E468" s="1" t="n">
        <v>46279</v>
      </c>
      <c r="F468" t="inlineStr">
        <is>
          <t>DALARNAS LÄN</t>
        </is>
      </c>
      <c r="G468" t="inlineStr">
        <is>
          <t>LUDVIKA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39849-2023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45168</v>
      </c>
      <c r="E469" s="1" t="n">
        <v>46279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48589-2023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45208</v>
      </c>
      <c r="E470" s="1" t="n">
        <v>46279</v>
      </c>
      <c r="F470" t="inlineStr">
        <is>
          <t>DALARNAS LÄN</t>
        </is>
      </c>
      <c r="G470" t="inlineStr">
        <is>
          <t>LUDVIKA</t>
        </is>
      </c>
      <c r="H470" t="inlineStr">
        <is>
          <t>Naturvårdsverket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33673-2022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44789</v>
      </c>
      <c r="E471" s="1" t="n">
        <v>46279</v>
      </c>
      <c r="F471" t="inlineStr">
        <is>
          <t>DALARNAS LÄN</t>
        </is>
      </c>
      <c r="G471" t="inlineStr">
        <is>
          <t>LUDVIKA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39437-2023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45166</v>
      </c>
      <c r="E472" s="1" t="n">
        <v>46279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21741-2022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44708</v>
      </c>
      <c r="E473" s="1" t="n">
        <v>46279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18724-2022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44687</v>
      </c>
      <c r="E474" s="1" t="n">
        <v>46279</v>
      </c>
      <c r="F474" t="inlineStr">
        <is>
          <t>DALARNAS LÄN</t>
        </is>
      </c>
      <c r="G474" t="inlineStr">
        <is>
          <t>LUDVIKA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49114-2023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45210</v>
      </c>
      <c r="E475" s="1" t="n">
        <v>46279</v>
      </c>
      <c r="F475" t="inlineStr">
        <is>
          <t>DALARNAS LÄN</t>
        </is>
      </c>
      <c r="G475" t="inlineStr">
        <is>
          <t>LUDVIKA</t>
        </is>
      </c>
      <c r="H475" t="inlineStr">
        <is>
          <t>Naturvårdsverket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45060-2022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44841</v>
      </c>
      <c r="E476" s="1" t="n">
        <v>46279</v>
      </c>
      <c r="F476" t="inlineStr">
        <is>
          <t>DALARNAS LÄN</t>
        </is>
      </c>
      <c r="G476" t="inlineStr">
        <is>
          <t>LUDVIKA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16768-2025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45754</v>
      </c>
      <c r="E477" s="1" t="n">
        <v>46279</v>
      </c>
      <c r="F477" t="inlineStr">
        <is>
          <t>DALARNAS LÄN</t>
        </is>
      </c>
      <c r="G477" t="inlineStr">
        <is>
          <t>LUDVIKA</t>
        </is>
      </c>
      <c r="H477" t="inlineStr">
        <is>
          <t>Naturvårdsverket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23097-2025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45791</v>
      </c>
      <c r="E478" s="1" t="n">
        <v>46279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61054-2024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45645</v>
      </c>
      <c r="E479" s="1" t="n">
        <v>46279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46167</v>
      </c>
      <c r="E480" s="1" t="n">
        <v>46279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31380-2025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45833</v>
      </c>
      <c r="E481" s="1" t="n">
        <v>46279</v>
      </c>
      <c r="F481" t="inlineStr">
        <is>
          <t>DALARNAS LÄN</t>
        </is>
      </c>
      <c r="G481" t="inlineStr">
        <is>
          <t>LUDVIKA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56818-2023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45244</v>
      </c>
      <c r="E482" s="1" t="n">
        <v>46279</v>
      </c>
      <c r="F482" t="inlineStr">
        <is>
          <t>DALARNAS LÄN</t>
        </is>
      </c>
      <c r="G482" t="inlineStr">
        <is>
          <t>LUDVIKA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31818-2025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45834</v>
      </c>
      <c r="E483" s="1" t="n">
        <v>46279</v>
      </c>
      <c r="F483" t="inlineStr">
        <is>
          <t>DALARNAS LÄN</t>
        </is>
      </c>
      <c r="G483" t="inlineStr">
        <is>
          <t>LUDVIKA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46038</v>
      </c>
      <c r="E484" s="1" t="n">
        <v>46279</v>
      </c>
      <c r="F484" t="inlineStr">
        <is>
          <t>DALARNAS LÄN</t>
        </is>
      </c>
      <c r="G484" t="inlineStr">
        <is>
          <t>LUDVIKA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46171</v>
      </c>
      <c r="E485" s="1" t="n">
        <v>46279</v>
      </c>
      <c r="F485" t="inlineStr">
        <is>
          <t>DALARNAS LÄN</t>
        </is>
      </c>
      <c r="G485" t="inlineStr">
        <is>
          <t>LUDVIKA</t>
        </is>
      </c>
      <c r="H485" t="inlineStr">
        <is>
          <t>Naturvårdsverket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37392-2023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45156</v>
      </c>
      <c r="E486" s="1" t="n">
        <v>46279</v>
      </c>
      <c r="F486" t="inlineStr">
        <is>
          <t>DALARNAS LÄN</t>
        </is>
      </c>
      <c r="G486" t="inlineStr">
        <is>
          <t>LUDVIKA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24776-2026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46171</v>
      </c>
      <c r="E487" s="1" t="n">
        <v>46279</v>
      </c>
      <c r="F487" t="inlineStr">
        <is>
          <t>DALARNAS LÄN</t>
        </is>
      </c>
      <c r="G487" t="inlineStr">
        <is>
          <t>LUDVIKA</t>
        </is>
      </c>
      <c r="H487" t="inlineStr">
        <is>
          <t>Naturvårdsverket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51208-2023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45219</v>
      </c>
      <c r="E488" s="1" t="n">
        <v>46279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59206-2023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45253</v>
      </c>
      <c r="E489" s="1" t="n">
        <v>46279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24682-2026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46171</v>
      </c>
      <c r="E490" s="1" t="n">
        <v>46279</v>
      </c>
      <c r="F490" t="inlineStr">
        <is>
          <t>DALARNAS LÄN</t>
        </is>
      </c>
      <c r="G490" t="inlineStr">
        <is>
          <t>LUDVIKA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59351-2023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45253</v>
      </c>
      <c r="E491" s="1" t="n">
        <v>46279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46279</v>
      </c>
      <c r="F492" t="inlineStr">
        <is>
          <t>DALARNAS LÄN</t>
        </is>
      </c>
      <c r="G492" t="inlineStr">
        <is>
          <t>LUDVIKA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46656-2023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45198</v>
      </c>
      <c r="E493" s="1" t="n">
        <v>46279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48683-2023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45208</v>
      </c>
      <c r="E494" s="1" t="n">
        <v>46279</v>
      </c>
      <c r="F494" t="inlineStr">
        <is>
          <t>DALARNAS LÄN</t>
        </is>
      </c>
      <c r="G494" t="inlineStr">
        <is>
          <t>LUDVIKA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24670-2026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46171</v>
      </c>
      <c r="E495" s="1" t="n">
        <v>46279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24687-2026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46279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24609-2026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46171</v>
      </c>
      <c r="E497" s="1" t="n">
        <v>46279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24678-2026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46171</v>
      </c>
      <c r="E498" s="1" t="n">
        <v>46279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46163</v>
      </c>
      <c r="E499" s="1" t="n">
        <v>46279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24673-2026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46171</v>
      </c>
      <c r="E500" s="1" t="n">
        <v>46279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25320-2026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46176</v>
      </c>
      <c r="E501" s="1" t="n">
        <v>46279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8.1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23917-2026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46279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49166-2025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45938</v>
      </c>
      <c r="E503" s="1" t="n">
        <v>46279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20104-2026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46136</v>
      </c>
      <c r="E504" s="1" t="n">
        <v>46279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14.8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57557-2023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45246</v>
      </c>
      <c r="E505" s="1" t="n">
        <v>46279</v>
      </c>
      <c r="F505" t="inlineStr">
        <is>
          <t>DALARNAS LÄN</t>
        </is>
      </c>
      <c r="G505" t="inlineStr">
        <is>
          <t>LUDVIKA</t>
        </is>
      </c>
      <c r="I505" t="n">
        <v>12.7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16807-2025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45754</v>
      </c>
      <c r="E506" s="1" t="n">
        <v>46279</v>
      </c>
      <c r="F506" t="inlineStr">
        <is>
          <t>DALARNAS LÄN</t>
        </is>
      </c>
      <c r="G506" t="inlineStr">
        <is>
          <t>LUDVIKA</t>
        </is>
      </c>
      <c r="H506" t="inlineStr">
        <is>
          <t>Naturvårdsverket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15128-2025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45744</v>
      </c>
      <c r="E507" s="1" t="n">
        <v>46279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46142</v>
      </c>
      <c r="E508" s="1" t="n">
        <v>46279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46183</v>
      </c>
      <c r="E509" s="1" t="n">
        <v>46279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46279</v>
      </c>
      <c r="F510" t="inlineStr">
        <is>
          <t>DALARNAS LÄN</t>
        </is>
      </c>
      <c r="G510" t="inlineStr">
        <is>
          <t>LUDVIKA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31270-2022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44771</v>
      </c>
      <c r="E511" s="1" t="n">
        <v>46279</v>
      </c>
      <c r="F511" t="inlineStr">
        <is>
          <t>DALARNAS LÄN</t>
        </is>
      </c>
      <c r="G511" t="inlineStr">
        <is>
          <t>LUDVIKA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26888-2026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46185</v>
      </c>
      <c r="E512" s="1" t="n">
        <v>46279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17.5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26902-2026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46185</v>
      </c>
      <c r="E513" s="1" t="n">
        <v>46279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61309-2022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44915</v>
      </c>
      <c r="E514" s="1" t="n">
        <v>46279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50347-2021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44459</v>
      </c>
      <c r="E515" s="1" t="n">
        <v>46279</v>
      </c>
      <c r="F515" t="inlineStr">
        <is>
          <t>DALARNAS LÄN</t>
        </is>
      </c>
      <c r="G515" t="inlineStr">
        <is>
          <t>LUDVIKA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48740-2022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44859</v>
      </c>
      <c r="E516" s="1" t="n">
        <v>46279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49669-2024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45596</v>
      </c>
      <c r="E517" s="1" t="n">
        <v>46279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26727-2026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46184</v>
      </c>
      <c r="E518" s="1" t="n">
        <v>46279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46279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56621-2023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45243</v>
      </c>
      <c r="E520" s="1" t="n">
        <v>46279</v>
      </c>
      <c r="F520" t="inlineStr">
        <is>
          <t>DALARNAS LÄN</t>
        </is>
      </c>
      <c r="G520" t="inlineStr">
        <is>
          <t>LUDVIKA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27611-2026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46279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46279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26574-2026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46279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27554-2026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46279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53996-2024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46279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27853-2026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46191</v>
      </c>
      <c r="E526" s="1" t="n">
        <v>46279</v>
      </c>
      <c r="F526" t="inlineStr">
        <is>
          <t>DALARNAS LÄN</t>
        </is>
      </c>
      <c r="G526" t="inlineStr">
        <is>
          <t>LUDVIKA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64171-2023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45279</v>
      </c>
      <c r="E527" s="1" t="n">
        <v>46279</v>
      </c>
      <c r="F527" t="inlineStr">
        <is>
          <t>DALARNAS LÄN</t>
        </is>
      </c>
      <c r="G527" t="inlineStr">
        <is>
          <t>LUDVIKA</t>
        </is>
      </c>
      <c r="I527" t="n">
        <v>8.6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923-2024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45301</v>
      </c>
      <c r="E528" s="1" t="n">
        <v>46279</v>
      </c>
      <c r="F528" t="inlineStr">
        <is>
          <t>DALARNAS LÄN</t>
        </is>
      </c>
      <c r="G528" t="inlineStr">
        <is>
          <t>LUDVIKA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20427-2025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45775</v>
      </c>
      <c r="E529" s="1" t="n">
        <v>46279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53620-2022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44879</v>
      </c>
      <c r="E530" s="1" t="n">
        <v>46279</v>
      </c>
      <c r="F530" t="inlineStr">
        <is>
          <t>DALARNAS LÄN</t>
        </is>
      </c>
      <c r="G530" t="inlineStr">
        <is>
          <t>LUDVIKA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46279</v>
      </c>
      <c r="F531" t="inlineStr">
        <is>
          <t>DALARNAS LÄN</t>
        </is>
      </c>
      <c r="G531" t="inlineStr">
        <is>
          <t>LUDVIKA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46160</v>
      </c>
      <c r="E532" s="1" t="n">
        <v>46279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46146</v>
      </c>
      <c r="E533" s="1" t="n">
        <v>46279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21034-2026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46146</v>
      </c>
      <c r="E534" s="1" t="n">
        <v>46279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22824-2026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46160</v>
      </c>
      <c r="E535" s="1" t="n">
        <v>46279</v>
      </c>
      <c r="F535" t="inlineStr">
        <is>
          <t>DALARNAS LÄN</t>
        </is>
      </c>
      <c r="G535" t="inlineStr">
        <is>
          <t>LUDVIKA</t>
        </is>
      </c>
      <c r="H535" t="inlineStr">
        <is>
          <t>Naturvårdsverket</t>
        </is>
      </c>
      <c r="I535" t="n">
        <v>9.9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7238-2023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46279</v>
      </c>
      <c r="F536" t="inlineStr">
        <is>
          <t>DALARNAS LÄN</t>
        </is>
      </c>
      <c r="G536" t="inlineStr">
        <is>
          <t>LUDVIKA</t>
        </is>
      </c>
      <c r="H536" t="inlineStr">
        <is>
          <t>Övriga Aktiebolag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22806-2026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46160</v>
      </c>
      <c r="E537" s="1" t="n">
        <v>46279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22821-2026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46160</v>
      </c>
      <c r="E538" s="1" t="n">
        <v>46279</v>
      </c>
      <c r="F538" t="inlineStr">
        <is>
          <t>DALARNAS LÄN</t>
        </is>
      </c>
      <c r="G538" t="inlineStr">
        <is>
          <t>LUDVIKA</t>
        </is>
      </c>
      <c r="H538" t="inlineStr">
        <is>
          <t>Naturvårdsverket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73703-2021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44552</v>
      </c>
      <c r="E539" s="1" t="n">
        <v>46279</v>
      </c>
      <c r="F539" t="inlineStr">
        <is>
          <t>DALARNAS LÄN</t>
        </is>
      </c>
      <c r="G539" t="inlineStr">
        <is>
          <t>LUDVIKA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28714-2026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46279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46241</v>
      </c>
      <c r="E541" s="1" t="n">
        <v>46279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32757-2026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46241</v>
      </c>
      <c r="E542" s="1" t="n">
        <v>46279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32780-2026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46241</v>
      </c>
      <c r="E543" s="1" t="n">
        <v>46279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25299-2022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44730</v>
      </c>
      <c r="E544" s="1" t="n">
        <v>46279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5970-2022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44599</v>
      </c>
      <c r="E545" s="1" t="n">
        <v>46279</v>
      </c>
      <c r="F545" t="inlineStr">
        <is>
          <t>DALARNAS LÄN</t>
        </is>
      </c>
      <c r="G545" t="inlineStr">
        <is>
          <t>LUDVIKA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32749-2026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46241</v>
      </c>
      <c r="E546" s="1" t="n">
        <v>46279</v>
      </c>
      <c r="F546" t="inlineStr">
        <is>
          <t>DALARNAS LÄN</t>
        </is>
      </c>
      <c r="G546" t="inlineStr">
        <is>
          <t>LUDVIKA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32752-2026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46241</v>
      </c>
      <c r="E547" s="1" t="n">
        <v>46279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48642-2022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44859</v>
      </c>
      <c r="E548" s="1" t="n">
        <v>46279</v>
      </c>
      <c r="F548" t="inlineStr">
        <is>
          <t>DALARNAS LÄN</t>
        </is>
      </c>
      <c r="G548" t="inlineStr">
        <is>
          <t>LUDVIKA</t>
        </is>
      </c>
      <c r="H548" t="inlineStr">
        <is>
          <t>Naturvårdsverket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24693-2026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46171</v>
      </c>
      <c r="E549" s="1" t="n">
        <v>46279</v>
      </c>
      <c r="F549" t="inlineStr">
        <is>
          <t>DALARNAS LÄN</t>
        </is>
      </c>
      <c r="G549" t="inlineStr">
        <is>
          <t>LUDVIKA</t>
        </is>
      </c>
      <c r="H549" t="inlineStr">
        <is>
          <t>Naturvårdsverket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5672-2023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44960</v>
      </c>
      <c r="E550" s="1" t="n">
        <v>46279</v>
      </c>
      <c r="F550" t="inlineStr">
        <is>
          <t>DALARNAS LÄN</t>
        </is>
      </c>
      <c r="G550" t="inlineStr">
        <is>
          <t>LUDVIKA</t>
        </is>
      </c>
      <c r="H550" t="inlineStr">
        <is>
          <t>Naturvårdsverket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22611-2026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46279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46074-2023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45196</v>
      </c>
      <c r="E552" s="1" t="n">
        <v>46279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48288-2023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45205</v>
      </c>
      <c r="E553" s="1" t="n">
        <v>46279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27608-2026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46279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46205</v>
      </c>
      <c r="E555" s="1" t="n">
        <v>46279</v>
      </c>
      <c r="F555" t="inlineStr">
        <is>
          <t>DALARNAS LÄN</t>
        </is>
      </c>
      <c r="G555" t="inlineStr">
        <is>
          <t>LUDVIKA</t>
        </is>
      </c>
      <c r="H555" t="inlineStr">
        <is>
          <t>Naturvårdsverket</t>
        </is>
      </c>
      <c r="I555" t="n">
        <v>8.300000000000001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33419-2026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46247</v>
      </c>
      <c r="E556" s="1" t="n">
        <v>46279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29734-2026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46279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49035-2024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45594</v>
      </c>
      <c r="E558" s="1" t="n">
        <v>46279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49043-2024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45594</v>
      </c>
      <c r="E559" s="1" t="n">
        <v>46279</v>
      </c>
      <c r="F559" t="inlineStr">
        <is>
          <t>DALARNAS LÄN</t>
        </is>
      </c>
      <c r="G559" t="inlineStr">
        <is>
          <t>LUDVIKA</t>
        </is>
      </c>
      <c r="H559" t="inlineStr">
        <is>
          <t>Naturvårdsverket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18708-2023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45043</v>
      </c>
      <c r="E560" s="1" t="n">
        <v>46279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33397-2026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46247</v>
      </c>
      <c r="E561" s="1" t="n">
        <v>46279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46247</v>
      </c>
      <c r="E562" s="1" t="n">
        <v>46279</v>
      </c>
      <c r="F562" t="inlineStr">
        <is>
          <t>DALARNAS LÄN</t>
        </is>
      </c>
      <c r="G562" t="inlineStr">
        <is>
          <t>LUDVIKA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33689-2026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46248</v>
      </c>
      <c r="E563" s="1" t="n">
        <v>46279</v>
      </c>
      <c r="F563" t="inlineStr">
        <is>
          <t>DALARNAS LÄN</t>
        </is>
      </c>
      <c r="G563" t="inlineStr">
        <is>
          <t>LUDVIKA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59050-2022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44903</v>
      </c>
      <c r="E564" s="1" t="n">
        <v>46279</v>
      </c>
      <c r="F564" t="inlineStr">
        <is>
          <t>DALARNAS LÄN</t>
        </is>
      </c>
      <c r="G564" t="inlineStr">
        <is>
          <t>LUDVIKA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20974-2026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46142</v>
      </c>
      <c r="E565" s="1" t="n">
        <v>46279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44970</v>
      </c>
      <c r="E566" s="1" t="n">
        <v>46279</v>
      </c>
      <c r="F566" t="inlineStr">
        <is>
          <t>DALARNAS LÄN</t>
        </is>
      </c>
      <c r="G566" t="inlineStr">
        <is>
          <t>LUDVIKA</t>
        </is>
      </c>
      <c r="H566" t="inlineStr">
        <is>
          <t>Övriga Aktiebolag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23871-2026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46279</v>
      </c>
      <c r="F567" t="inlineStr">
        <is>
          <t>DALARNAS LÄN</t>
        </is>
      </c>
      <c r="G567" t="inlineStr">
        <is>
          <t>LUDVIKA</t>
        </is>
      </c>
      <c r="H567" t="inlineStr">
        <is>
          <t>Kommuner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46206</v>
      </c>
      <c r="E568" s="1" t="n">
        <v>46279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46206</v>
      </c>
      <c r="E569" s="1" t="n">
        <v>46279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38170-2023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45161</v>
      </c>
      <c r="E570" s="1" t="n">
        <v>46279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42128-2024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45562</v>
      </c>
      <c r="E571" s="1" t="n">
        <v>46279</v>
      </c>
      <c r="F571" t="inlineStr">
        <is>
          <t>DALARNAS LÄN</t>
        </is>
      </c>
      <c r="G571" t="inlineStr">
        <is>
          <t>LUDVIKA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56346-2022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44890</v>
      </c>
      <c r="E572" s="1" t="n">
        <v>46279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28062-2026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46195</v>
      </c>
      <c r="E573" s="1" t="n">
        <v>46279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34147-2026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46253</v>
      </c>
      <c r="E574" s="1" t="n">
        <v>46279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11237-2024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45371</v>
      </c>
      <c r="E575" s="1" t="n">
        <v>46279</v>
      </c>
      <c r="F575" t="inlineStr">
        <is>
          <t>DALARNAS LÄN</t>
        </is>
      </c>
      <c r="G575" t="inlineStr">
        <is>
          <t>LUDVIKA</t>
        </is>
      </c>
      <c r="I575" t="n">
        <v>20.8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56672-2023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45243</v>
      </c>
      <c r="E576" s="1" t="n">
        <v>46279</v>
      </c>
      <c r="F576" t="inlineStr">
        <is>
          <t>DALARNAS LÄN</t>
        </is>
      </c>
      <c r="G576" t="inlineStr">
        <is>
          <t>LUDVIKA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34558-2026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46255</v>
      </c>
      <c r="E577" s="1" t="n">
        <v>46279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11632-2024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45373</v>
      </c>
      <c r="E578" s="1" t="n">
        <v>46279</v>
      </c>
      <c r="F578" t="inlineStr">
        <is>
          <t>DALARNAS LÄN</t>
        </is>
      </c>
      <c r="G578" t="inlineStr">
        <is>
          <t>LUDVIKA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46279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46279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57969-2024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45631</v>
      </c>
      <c r="E581" s="1" t="n">
        <v>46279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41668-2023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45176</v>
      </c>
      <c r="E582" s="1" t="n">
        <v>46279</v>
      </c>
      <c r="F582" t="inlineStr">
        <is>
          <t>DALARNAS LÄN</t>
        </is>
      </c>
      <c r="G582" t="inlineStr">
        <is>
          <t>LUDVIKA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34632-2026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46279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46279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20411-2023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45056</v>
      </c>
      <c r="E585" s="1" t="n">
        <v>46279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34638-2026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46279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39400-2023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45166</v>
      </c>
      <c r="E587" s="1" t="n">
        <v>46279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34631-2026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46255</v>
      </c>
      <c r="E588" s="1" t="n">
        <v>46279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28838-2026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46279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28792-2026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46198</v>
      </c>
      <c r="E590" s="1" t="n">
        <v>46279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28132-2026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46279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22276-2026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46154</v>
      </c>
      <c r="E592" s="1" t="n">
        <v>46279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28801-2026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46198</v>
      </c>
      <c r="E593" s="1" t="n">
        <v>46279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35101-2026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46260</v>
      </c>
      <c r="E594" s="1" t="n">
        <v>46279</v>
      </c>
      <c r="F594" t="inlineStr">
        <is>
          <t>DALARNAS LÄN</t>
        </is>
      </c>
      <c r="G594" t="inlineStr">
        <is>
          <t>LUDVIKA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35105-2026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46260</v>
      </c>
      <c r="E595" s="1" t="n">
        <v>46279</v>
      </c>
      <c r="F595" t="inlineStr">
        <is>
          <t>DALARNAS LÄN</t>
        </is>
      </c>
      <c r="G595" t="inlineStr">
        <is>
          <t>LUDVIKA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34780-2026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46258</v>
      </c>
      <c r="E596" s="1" t="n">
        <v>46279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27989-2026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46195</v>
      </c>
      <c r="E597" s="1" t="n">
        <v>46279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28054-2026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46279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46279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30113-2023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45110</v>
      </c>
      <c r="E600" s="1" t="n">
        <v>46279</v>
      </c>
      <c r="F600" t="inlineStr">
        <is>
          <t>DALARNAS LÄN</t>
        </is>
      </c>
      <c r="G600" t="inlineStr">
        <is>
          <t>LUDVIKA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35099-2026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46260</v>
      </c>
      <c r="E601" s="1" t="n">
        <v>46279</v>
      </c>
      <c r="F601" t="inlineStr">
        <is>
          <t>DALARNAS LÄN</t>
        </is>
      </c>
      <c r="G601" t="inlineStr">
        <is>
          <t>LUDVIKA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35100-2026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46260</v>
      </c>
      <c r="E602" s="1" t="n">
        <v>46279</v>
      </c>
      <c r="F602" t="inlineStr">
        <is>
          <t>DALARNAS LÄN</t>
        </is>
      </c>
      <c r="G602" t="inlineStr">
        <is>
          <t>LUDVIKA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46260</v>
      </c>
      <c r="E603" s="1" t="n">
        <v>46279</v>
      </c>
      <c r="F603" t="inlineStr">
        <is>
          <t>DALARNAS LÄN</t>
        </is>
      </c>
      <c r="G603" t="inlineStr">
        <is>
          <t>LUDVIKA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46260</v>
      </c>
      <c r="E604" s="1" t="n">
        <v>46279</v>
      </c>
      <c r="F604" t="inlineStr">
        <is>
          <t>DALARNAS LÄN</t>
        </is>
      </c>
      <c r="G604" t="inlineStr">
        <is>
          <t>LUDVIKA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46260</v>
      </c>
      <c r="E605" s="1" t="n">
        <v>46279</v>
      </c>
      <c r="F605" t="inlineStr">
        <is>
          <t>DALARNAS LÄN</t>
        </is>
      </c>
      <c r="G605" t="inlineStr">
        <is>
          <t>LUDVIKA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39519-2024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45551</v>
      </c>
      <c r="E606" s="1" t="n">
        <v>46279</v>
      </c>
      <c r="F606" t="inlineStr">
        <is>
          <t>DALARNAS LÄN</t>
        </is>
      </c>
      <c r="G606" t="inlineStr">
        <is>
          <t>LUDVIKA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28162-2026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46195</v>
      </c>
      <c r="E607" s="1" t="n">
        <v>46279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20973-2026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46142</v>
      </c>
      <c r="E608" s="1" t="n">
        <v>46279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34796-2026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46258</v>
      </c>
      <c r="E609" s="1" t="n">
        <v>46279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28067-2026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46195</v>
      </c>
      <c r="E610" s="1" t="n">
        <v>46279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28116-2026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46279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28158-2026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46279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6975-2023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44967</v>
      </c>
      <c r="E613" s="1" t="n">
        <v>46279</v>
      </c>
      <c r="F613" t="inlineStr">
        <is>
          <t>DALARNAS LÄN</t>
        </is>
      </c>
      <c r="G613" t="inlineStr">
        <is>
          <t>LUDVIKA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4173-2025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45685</v>
      </c>
      <c r="E614" s="1" t="n">
        <v>46279</v>
      </c>
      <c r="F614" t="inlineStr">
        <is>
          <t>DALARNAS LÄN</t>
        </is>
      </c>
      <c r="G614" t="inlineStr">
        <is>
          <t>LUDVIKA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46279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46195</v>
      </c>
      <c r="E616" s="1" t="n">
        <v>46279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46279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40125-2024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45554</v>
      </c>
      <c r="E618" s="1" t="n">
        <v>46279</v>
      </c>
      <c r="F618" t="inlineStr">
        <is>
          <t>DALARNAS LÄN</t>
        </is>
      </c>
      <c r="G618" t="inlineStr">
        <is>
          <t>LUDVIKA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31299-2026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46218</v>
      </c>
      <c r="E619" s="1" t="n">
        <v>46279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15.8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31350-2026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46219</v>
      </c>
      <c r="E620" s="1" t="n">
        <v>46279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33839-2024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45520</v>
      </c>
      <c r="E621" s="1" t="n">
        <v>46279</v>
      </c>
      <c r="F621" t="inlineStr">
        <is>
          <t>DALARNAS LÄN</t>
        </is>
      </c>
      <c r="G621" t="inlineStr">
        <is>
          <t>LUDVIKA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29114-2024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45481</v>
      </c>
      <c r="E622" s="1" t="n">
        <v>46279</v>
      </c>
      <c r="F622" t="inlineStr">
        <is>
          <t>DALARNAS LÄN</t>
        </is>
      </c>
      <c r="G622" t="inlineStr">
        <is>
          <t>LUDVIKA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45297</v>
      </c>
      <c r="E623" s="1" t="n">
        <v>46279</v>
      </c>
      <c r="F623" t="inlineStr">
        <is>
          <t>DALARNAS LÄN</t>
        </is>
      </c>
      <c r="G623" t="inlineStr">
        <is>
          <t>LUDVIKA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35490-2026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46262</v>
      </c>
      <c r="E624" s="1" t="n">
        <v>46279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19.9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51015-2023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45218</v>
      </c>
      <c r="E625" s="1" t="n">
        <v>46279</v>
      </c>
      <c r="F625" t="inlineStr">
        <is>
          <t>DALARNAS LÄN</t>
        </is>
      </c>
      <c r="G625" t="inlineStr">
        <is>
          <t>LUDVIKA</t>
        </is>
      </c>
      <c r="I625" t="n">
        <v>5.9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60660-2024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45644</v>
      </c>
      <c r="E626" s="1" t="n">
        <v>46279</v>
      </c>
      <c r="F626" t="inlineStr">
        <is>
          <t>DALARNAS LÄN</t>
        </is>
      </c>
      <c r="G626" t="inlineStr">
        <is>
          <t>LUDVIKA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35648-2026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46265</v>
      </c>
      <c r="E627" s="1" t="n">
        <v>46279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35837-2026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46265</v>
      </c>
      <c r="E628" s="1" t="n">
        <v>46279</v>
      </c>
      <c r="F628" t="inlineStr">
        <is>
          <t>DALARNAS LÄN</t>
        </is>
      </c>
      <c r="G628" t="inlineStr">
        <is>
          <t>LUDVIKA</t>
        </is>
      </c>
      <c r="H628" t="inlineStr">
        <is>
          <t>Kyrkan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46220</v>
      </c>
      <c r="E629" s="1" t="n">
        <v>46279</v>
      </c>
      <c r="F629" t="inlineStr">
        <is>
          <t>DALARNAS LÄN</t>
        </is>
      </c>
      <c r="G629" t="inlineStr">
        <is>
          <t>LUDVIKA</t>
        </is>
      </c>
      <c r="H629" t="inlineStr">
        <is>
          <t>Naturvårdsverket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53048-2024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45611</v>
      </c>
      <c r="E630" s="1" t="n">
        <v>46279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50777-2024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45602</v>
      </c>
      <c r="E631" s="1" t="n">
        <v>46279</v>
      </c>
      <c r="F631" t="inlineStr">
        <is>
          <t>DALARNAS LÄN</t>
        </is>
      </c>
      <c r="G631" t="inlineStr">
        <is>
          <t>LUDVIKA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31646-2026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46225</v>
      </c>
      <c r="E632" s="1" t="n">
        <v>46279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36065-2026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46267</v>
      </c>
      <c r="E633" s="1" t="n">
        <v>46279</v>
      </c>
      <c r="F633" t="inlineStr">
        <is>
          <t>DALARNAS LÄN</t>
        </is>
      </c>
      <c r="G633" t="inlineStr">
        <is>
          <t>LUDVIKA</t>
        </is>
      </c>
      <c r="I633" t="n">
        <v>8.5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28507-2023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45103</v>
      </c>
      <c r="E634" s="1" t="n">
        <v>46279</v>
      </c>
      <c r="F634" t="inlineStr">
        <is>
          <t>DALARNAS LÄN</t>
        </is>
      </c>
      <c r="G634" t="inlineStr">
        <is>
          <t>LUDVIKA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3470-2025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45680</v>
      </c>
      <c r="E635" s="1" t="n">
        <v>46279</v>
      </c>
      <c r="F635" t="inlineStr">
        <is>
          <t>DALARNAS LÄN</t>
        </is>
      </c>
      <c r="G635" t="inlineStr">
        <is>
          <t>LUDVIKA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45544-2024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46279</v>
      </c>
      <c r="F636" t="inlineStr">
        <is>
          <t>DALARNAS LÄN</t>
        </is>
      </c>
      <c r="G636" t="inlineStr">
        <is>
          <t>LUDVIKA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45547-2024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45579</v>
      </c>
      <c r="E637" s="1" t="n">
        <v>46279</v>
      </c>
      <c r="F637" t="inlineStr">
        <is>
          <t>DALARNAS LÄN</t>
        </is>
      </c>
      <c r="G637" t="inlineStr">
        <is>
          <t>LUDVIKA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56996-2021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44482</v>
      </c>
      <c r="E638" s="1" t="n">
        <v>46279</v>
      </c>
      <c r="F638" t="inlineStr">
        <is>
          <t>DALARNAS LÄN</t>
        </is>
      </c>
      <c r="G638" t="inlineStr">
        <is>
          <t>LUDVIKA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31776-2026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46230</v>
      </c>
      <c r="E639" s="1" t="n">
        <v>46279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36820-2026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46272</v>
      </c>
      <c r="E640" s="1" t="n">
        <v>46279</v>
      </c>
      <c r="F640" t="inlineStr">
        <is>
          <t>DALARNAS LÄN</t>
        </is>
      </c>
      <c r="G640" t="inlineStr">
        <is>
          <t>LUDVIKA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30210-2026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46206</v>
      </c>
      <c r="E641" s="1" t="n">
        <v>46279</v>
      </c>
      <c r="F641" t="inlineStr">
        <is>
          <t>DALARNAS LÄN</t>
        </is>
      </c>
      <c r="G641" t="inlineStr">
        <is>
          <t>LUDVIKA</t>
        </is>
      </c>
      <c r="H641" t="inlineStr">
        <is>
          <t>Naturvårdsverket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37052-2026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46273</v>
      </c>
      <c r="E642" s="1" t="n">
        <v>46279</v>
      </c>
      <c r="F642" t="inlineStr">
        <is>
          <t>DALARNAS LÄN</t>
        </is>
      </c>
      <c r="G642" t="inlineStr">
        <is>
          <t>LUDVIKA</t>
        </is>
      </c>
      <c r="I642" t="n">
        <v>8.5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31778-2026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46230</v>
      </c>
      <c r="E643" s="1" t="n">
        <v>46279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37015-2026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46273</v>
      </c>
      <c r="E644" s="1" t="n">
        <v>46279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37033-2026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46273</v>
      </c>
      <c r="E645" s="1" t="n">
        <v>46279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37000-2026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46273</v>
      </c>
      <c r="E646" s="1" t="n">
        <v>46279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3277-2024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45317</v>
      </c>
      <c r="E647" s="1" t="n">
        <v>46279</v>
      </c>
      <c r="F647" t="inlineStr">
        <is>
          <t>DALARNAS LÄN</t>
        </is>
      </c>
      <c r="G647" t="inlineStr">
        <is>
          <t>LUDVIKA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12497-2024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45379</v>
      </c>
      <c r="E648" s="1" t="n">
        <v>46279</v>
      </c>
      <c r="F648" t="inlineStr">
        <is>
          <t>DALARNAS LÄN</t>
        </is>
      </c>
      <c r="G648" t="inlineStr">
        <is>
          <t>LUDVIKA</t>
        </is>
      </c>
      <c r="H648" t="inlineStr">
        <is>
          <t>Naturvårdsverket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36126-2026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46267</v>
      </c>
      <c r="E649" s="1" t="n">
        <v>46279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36073-2026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46267</v>
      </c>
      <c r="E650" s="1" t="n">
        <v>46279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37359-2026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46275</v>
      </c>
      <c r="E651" s="1" t="n">
        <v>46279</v>
      </c>
      <c r="F651" t="inlineStr">
        <is>
          <t>DALARNAS LÄN</t>
        </is>
      </c>
      <c r="G651" t="inlineStr">
        <is>
          <t>LUDVIKA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32016-2026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46279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49805-2023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45212</v>
      </c>
      <c r="E653" s="1" t="n">
        <v>46279</v>
      </c>
      <c r="F653" t="inlineStr">
        <is>
          <t>DALARNAS LÄN</t>
        </is>
      </c>
      <c r="G653" t="inlineStr">
        <is>
          <t>LUDVIKA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37350-2026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46275</v>
      </c>
      <c r="E654" s="1" t="n">
        <v>46279</v>
      </c>
      <c r="F654" t="inlineStr">
        <is>
          <t>DALARNAS LÄN</t>
        </is>
      </c>
      <c r="G654" t="inlineStr">
        <is>
          <t>LUDVIKA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37626-2026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46276</v>
      </c>
      <c r="E655" s="1" t="n">
        <v>46279</v>
      </c>
      <c r="F655" t="inlineStr">
        <is>
          <t>DALARNAS LÄN</t>
        </is>
      </c>
      <c r="G655" t="inlineStr">
        <is>
          <t>LUDVIKA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61384-2024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45646</v>
      </c>
      <c r="E656" s="1" t="n">
        <v>46279</v>
      </c>
      <c r="F656" t="inlineStr">
        <is>
          <t>DALARNAS LÄN</t>
        </is>
      </c>
      <c r="G656" t="inlineStr">
        <is>
          <t>LUDVIKA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3280-2024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45317</v>
      </c>
      <c r="E657" s="1" t="n">
        <v>46279</v>
      </c>
      <c r="F657" t="inlineStr">
        <is>
          <t>DALARNAS LÄN</t>
        </is>
      </c>
      <c r="G657" t="inlineStr">
        <is>
          <t>LUDVIKA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29780-2024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45485</v>
      </c>
      <c r="E658" s="1" t="n">
        <v>46279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14881-2025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45743</v>
      </c>
      <c r="E659" s="1" t="n">
        <v>46279</v>
      </c>
      <c r="F659" t="inlineStr">
        <is>
          <t>DALARNAS LÄN</t>
        </is>
      </c>
      <c r="G659" t="inlineStr">
        <is>
          <t>LUDVIKA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21891-2025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45784</v>
      </c>
      <c r="E660" s="1" t="n">
        <v>46279</v>
      </c>
      <c r="F660" t="inlineStr">
        <is>
          <t>DALARNAS LÄN</t>
        </is>
      </c>
      <c r="G660" t="inlineStr">
        <is>
          <t>LUDVIKA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21893-2025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45784</v>
      </c>
      <c r="E661" s="1" t="n">
        <v>46279</v>
      </c>
      <c r="F661" t="inlineStr">
        <is>
          <t>DALARNAS LÄN</t>
        </is>
      </c>
      <c r="G661" t="inlineStr">
        <is>
          <t>LUDVIKA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38359-2024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45545</v>
      </c>
      <c r="E662" s="1" t="n">
        <v>46279</v>
      </c>
      <c r="F662" t="inlineStr">
        <is>
          <t>DALARNAS LÄN</t>
        </is>
      </c>
      <c r="G662" t="inlineStr">
        <is>
          <t>LUDVIKA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42421-2024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45565</v>
      </c>
      <c r="E663" s="1" t="n">
        <v>46279</v>
      </c>
      <c r="F663" t="inlineStr">
        <is>
          <t>DALARNAS LÄN</t>
        </is>
      </c>
      <c r="G663" t="inlineStr">
        <is>
          <t>LUDVIKA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24712-2024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45460</v>
      </c>
      <c r="E664" s="1" t="n">
        <v>46279</v>
      </c>
      <c r="F664" t="inlineStr">
        <is>
          <t>DALARNAS LÄN</t>
        </is>
      </c>
      <c r="G664" t="inlineStr">
        <is>
          <t>LUDVIKA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53602-2023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45230</v>
      </c>
      <c r="E665" s="1" t="n">
        <v>46279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4.9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46095-2024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45581</v>
      </c>
      <c r="E666" s="1" t="n">
        <v>46279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52359-2024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45609</v>
      </c>
      <c r="E667" s="1" t="n">
        <v>46279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46093-2024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45581</v>
      </c>
      <c r="E668" s="1" t="n">
        <v>46279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33914-2023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45134</v>
      </c>
      <c r="E669" s="1" t="n">
        <v>46279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22606-2025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45789</v>
      </c>
      <c r="E670" s="1" t="n">
        <v>46279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22610-2025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45789</v>
      </c>
      <c r="E671" s="1" t="n">
        <v>46279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50240-2024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45600</v>
      </c>
      <c r="E672" s="1" t="n">
        <v>46279</v>
      </c>
      <c r="F672" t="inlineStr">
        <is>
          <t>DALARNAS LÄN</t>
        </is>
      </c>
      <c r="G672" t="inlineStr">
        <is>
          <t>LUDVIKA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36066-2024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45533</v>
      </c>
      <c r="E673" s="1" t="n">
        <v>46279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43702-2024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45569</v>
      </c>
      <c r="E674" s="1" t="n">
        <v>46279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22599-2025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45789</v>
      </c>
      <c r="E675" s="1" t="n">
        <v>46279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22594-2025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45789</v>
      </c>
      <c r="E676" s="1" t="n">
        <v>46279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47233-2024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45586</v>
      </c>
      <c r="E677" s="1" t="n">
        <v>46279</v>
      </c>
      <c r="F677" t="inlineStr">
        <is>
          <t>DALARNAS LÄN</t>
        </is>
      </c>
      <c r="G677" t="inlineStr">
        <is>
          <t>LUDVIKA</t>
        </is>
      </c>
      <c r="I677" t="n">
        <v>9.5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46107-2024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45581</v>
      </c>
      <c r="E678" s="1" t="n">
        <v>46279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41539-2024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45560</v>
      </c>
      <c r="E679" s="1" t="n">
        <v>46279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23088-2025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45791</v>
      </c>
      <c r="E680" s="1" t="n">
        <v>46279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22686-2025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45786</v>
      </c>
      <c r="E681" s="1" t="n">
        <v>46279</v>
      </c>
      <c r="F681" t="inlineStr">
        <is>
          <t>DALARNAS LÄN</t>
        </is>
      </c>
      <c r="G681" t="inlineStr">
        <is>
          <t>LUDVIKA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34280-2024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45524</v>
      </c>
      <c r="E682" s="1" t="n">
        <v>46279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23105-2025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45791</v>
      </c>
      <c r="E683" s="1" t="n">
        <v>46279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23443-2024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45453</v>
      </c>
      <c r="E684" s="1" t="n">
        <v>46279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37549-2024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46279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24027-2025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45796</v>
      </c>
      <c r="E686" s="1" t="n">
        <v>46279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61278-2022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44915</v>
      </c>
      <c r="E687" s="1" t="n">
        <v>46279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30977-2024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45499</v>
      </c>
      <c r="E688" s="1" t="n">
        <v>46279</v>
      </c>
      <c r="F688" t="inlineStr">
        <is>
          <t>DALARNAS LÄN</t>
        </is>
      </c>
      <c r="G688" t="inlineStr">
        <is>
          <t>LUDVIKA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23117-2025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45791</v>
      </c>
      <c r="E689" s="1" t="n">
        <v>46279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20642-2025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45776</v>
      </c>
      <c r="E690" s="1" t="n">
        <v>46279</v>
      </c>
      <c r="F690" t="inlineStr">
        <is>
          <t>DALARNAS LÄN</t>
        </is>
      </c>
      <c r="G690" t="inlineStr">
        <is>
          <t>LUDVIKA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23137-2025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45791</v>
      </c>
      <c r="E691" s="1" t="n">
        <v>46279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23139-2025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45791</v>
      </c>
      <c r="E692" s="1" t="n">
        <v>46279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19677-2025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45770</v>
      </c>
      <c r="E693" s="1" t="n">
        <v>46279</v>
      </c>
      <c r="F693" t="inlineStr">
        <is>
          <t>DALARNAS LÄN</t>
        </is>
      </c>
      <c r="G693" t="inlineStr">
        <is>
          <t>LUDVIKA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25235-2025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45800</v>
      </c>
      <c r="E694" s="1" t="n">
        <v>46279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25004-2025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45799</v>
      </c>
      <c r="E695" s="1" t="n">
        <v>46279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25113-2025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45800</v>
      </c>
      <c r="E696" s="1" t="n">
        <v>46279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26320-2025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45805</v>
      </c>
      <c r="E697" s="1" t="n">
        <v>46279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26698-2025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45810</v>
      </c>
      <c r="E698" s="1" t="n">
        <v>46279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26628-2025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45810</v>
      </c>
      <c r="E699" s="1" t="n">
        <v>46279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26794-2025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45810</v>
      </c>
      <c r="E700" s="1" t="n">
        <v>46279</v>
      </c>
      <c r="F700" t="inlineStr">
        <is>
          <t>DALARNAS LÄN</t>
        </is>
      </c>
      <c r="G700" t="inlineStr">
        <is>
          <t>LUDVIKA</t>
        </is>
      </c>
      <c r="H700" t="inlineStr">
        <is>
          <t>Kommuner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43700-2024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45569</v>
      </c>
      <c r="E701" s="1" t="n">
        <v>46279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27525-2025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45813</v>
      </c>
      <c r="E702" s="1" t="n">
        <v>46279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5.6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27532-2025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45813</v>
      </c>
      <c r="E703" s="1" t="n">
        <v>46279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27506-2025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45813</v>
      </c>
      <c r="E704" s="1" t="n">
        <v>46279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27448-2025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45813</v>
      </c>
      <c r="E705" s="1" t="n">
        <v>46279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2837-2023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45167</v>
      </c>
      <c r="E706" s="1" t="n">
        <v>46279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1122-2023</t>
        </is>
      </c>
      <c r="B707" t="inlineStr">
        <is>
          <t>samrådsanmälan</t>
        </is>
      </c>
      <c r="C707" t="inlineStr">
        <is>
          <t>Skogsgödsling</t>
        </is>
      </c>
      <c r="D707" s="1" t="n">
        <v>45015</v>
      </c>
      <c r="E707" s="1" t="n">
        <v>46279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115.7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3660-2023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45216</v>
      </c>
      <c r="E708" s="1" t="n">
        <v>46279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5.9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1246-2024</t>
        </is>
      </c>
      <c r="B709" t="inlineStr">
        <is>
          <t>samrådsanmälan</t>
        </is>
      </c>
      <c r="C709" t="inlineStr">
        <is>
          <t>Skogsgödsling</t>
        </is>
      </c>
      <c r="D709" s="1" t="n">
        <v>45400</v>
      </c>
      <c r="E709" s="1" t="n">
        <v>46279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35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1096-2024</t>
        </is>
      </c>
      <c r="B710" t="inlineStr">
        <is>
          <t>samrådsanmälan</t>
        </is>
      </c>
      <c r="C710" t="inlineStr">
        <is>
          <t>Skogsgödsling</t>
        </is>
      </c>
      <c r="D710" s="1" t="n">
        <v>45391</v>
      </c>
      <c r="E710" s="1" t="n">
        <v>46279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26.7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4863-2022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44805</v>
      </c>
      <c r="E711" s="1" t="n">
        <v>46279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1113-2023</t>
        </is>
      </c>
      <c r="B712" t="inlineStr">
        <is>
          <t>samrådsanmälan</t>
        </is>
      </c>
      <c r="C712" t="inlineStr">
        <is>
          <t>Skogsgödsling</t>
        </is>
      </c>
      <c r="D712" s="1" t="n">
        <v>45015</v>
      </c>
      <c r="E712" s="1" t="n">
        <v>46279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37.9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>
      <c r="A713" t="inlineStr">
        <is>
          <t>S 1815-2026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46190</v>
      </c>
      <c r="E713" s="1" t="n">
        <v>46279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2026-09-14T02:16:15Z</dcterms:created>
  <dcterms:modified xmlns:dcterms="http://purl.org/dc/terms/" xmlns:xsi="http://www.w3.org/2001/XMLSchema-instance" xsi:type="dcterms:W3CDTF">2026-09-14T02:16:16Z</dcterms:modified>
</cp:coreProperties>
</file>
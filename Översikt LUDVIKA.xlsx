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46258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46258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46258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46258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46258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46258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46258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46258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46258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46258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46258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46258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46258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46258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46258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46258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46258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46258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46258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46258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46258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46258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46258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46258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46258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46258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46258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46258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23862-2026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46258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4.5</v>
      </c>
      <c r="J30" t="n">
        <v>1</v>
      </c>
      <c r="K30" t="n">
        <v>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6</v>
      </c>
      <c r="T30" t="n">
        <v>7</v>
      </c>
      <c r="U30" t="n">
        <v>0</v>
      </c>
      <c r="V30" s="2" t="inlineStr">
        <is>
          <t>Bårdlav
Dvärgtufs
Korallblylav
Skinnlav
Stuplav
Utter</t>
        </is>
      </c>
      <c r="W30">
        <f>HYPERLINK("https://klasma.github.io/Logging_2085/artfynd/A 23862-2026 artfynd.xlsx", "A 23862-2026")</f>
        <v/>
      </c>
      <c r="X30">
        <f>HYPERLINK("https://klasma.github.io/Logging_2085/kartor/A 23862-2026 karta.png", "A 23862-2026")</f>
        <v/>
      </c>
      <c r="Y30">
        <f>HYPERLINK("https://klasma.github.io/Logging_2085/kartor_geotiff/A 23862-2026 georefererad karta.tif", "A 23862-2026")</f>
        <v/>
      </c>
      <c r="AA30">
        <f>HYPERLINK("https://klasma.github.io/Logging_2085/klagomål/A 23862-2026 FSC-klagomål.docx", "A 23862-2026")</f>
        <v/>
      </c>
      <c r="AB30">
        <f>HYPERLINK("https://klasma.github.io/Logging_2085/klagomålsmail/A 23862-2026 FSC-klagomål mail.docx", "A 23862-2026")</f>
        <v/>
      </c>
      <c r="AC30">
        <f>HYPERLINK("https://klasma.github.io/Logging_2085/tillsyn/A 23862-2026 tillsynsbegäran.docx", "A 23862-2026")</f>
        <v/>
      </c>
      <c r="AD30">
        <f>HYPERLINK("https://klasma.github.io/Logging_2085/tillsynsmail/A 23862-2026 tillsynsbegäran mail.docx", "A 23862-2026")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46258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46258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46258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46258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46258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46258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46258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46258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46258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46258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31070-2026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46216</v>
      </c>
      <c r="E41" s="1" t="n">
        <v>46258</v>
      </c>
      <c r="F41" t="inlineStr">
        <is>
          <t>DALARNAS LÄN</t>
        </is>
      </c>
      <c r="G41" t="inlineStr">
        <is>
          <t>LUDVIKA</t>
        </is>
      </c>
      <c r="I41" t="n">
        <v>8.9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13</v>
      </c>
      <c r="U41" t="n">
        <v>11</v>
      </c>
      <c r="V41" s="2" t="inlineStr">
        <is>
          <t>Knärot
Blåsippa
Spillkråka
Sälg
Tjäder</t>
        </is>
      </c>
      <c r="W41">
        <f>HYPERLINK("https://klasma.github.io/Logging_2085/artfynd/A 31070-2026 artfynd.xlsx", "A 31070-2026")</f>
        <v/>
      </c>
      <c r="X41">
        <f>HYPERLINK("https://klasma.github.io/Logging_2085/kartor/A 31070-2026 karta.png", "A 31070-2026")</f>
        <v/>
      </c>
      <c r="Y41">
        <f>HYPERLINK("https://klasma.github.io/Logging_2085/kartor_geotiff/A 31070-2026 georefererad karta.tif", "A 31070-2026")</f>
        <v/>
      </c>
      <c r="Z41">
        <f>HYPERLINK("https://klasma.github.io/Logging_2085/knärot/A 31070-2026 karta knärot.png", "A 31070-2026")</f>
        <v/>
      </c>
      <c r="AA41">
        <f>HYPERLINK("https://klasma.github.io/Logging_2085/klagomål/A 31070-2026 FSC-klagomål.docx", "A 31070-2026")</f>
        <v/>
      </c>
      <c r="AB41">
        <f>HYPERLINK("https://klasma.github.io/Logging_2085/klagomålsmail/A 31070-2026 FSC-klagomål mail.docx", "A 31070-2026")</f>
        <v/>
      </c>
      <c r="AC41">
        <f>HYPERLINK("https://klasma.github.io/Logging_2085/tillsyn/A 31070-2026 tillsynsbegäran.docx", "A 31070-2026")</f>
        <v/>
      </c>
      <c r="AD41">
        <f>HYPERLINK("https://klasma.github.io/Logging_2085/tillsynsmail/A 31070-2026 tillsynsbegäran mail.docx", "A 31070-2026")</f>
        <v/>
      </c>
      <c r="AE41">
        <f>HYPERLINK("https://klasma.github.io/Logging_2085/fåglar/A 31070-2026 prioriterade fågelarter.docx", "A 31070-2026")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46258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46258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46258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46258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57803-2023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45246</v>
      </c>
      <c r="E46" s="1" t="n">
        <v>46258</v>
      </c>
      <c r="F46" t="inlineStr">
        <is>
          <t>DALARNAS LÄN</t>
        </is>
      </c>
      <c r="G46" t="inlineStr">
        <is>
          <t>LUDVIKA</t>
        </is>
      </c>
      <c r="I46" t="n">
        <v>3.3</v>
      </c>
      <c r="J46" t="n">
        <v>3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Spillkråka
Tjäder
Gröngöling</t>
        </is>
      </c>
      <c r="W46">
        <f>HYPERLINK("https://klasma.github.io/Logging_2085/artfynd/A 57803-2023 artfynd.xlsx", "A 57803-2023")</f>
        <v/>
      </c>
      <c r="X46">
        <f>HYPERLINK("https://klasma.github.io/Logging_2085/kartor/A 57803-2023 karta.png", "A 57803-2023")</f>
        <v/>
      </c>
      <c r="Y46">
        <f>HYPERLINK("https://klasma.github.io/Logging_2085/kartor_geotiff/A 57803-2023 georefererad karta.tif", "A 57803-2023")</f>
        <v/>
      </c>
      <c r="AA46">
        <f>HYPERLINK("https://klasma.github.io/Logging_2085/klagomål/A 57803-2023 FSC-klagomål.docx", "A 57803-2023")</f>
        <v/>
      </c>
      <c r="AB46">
        <f>HYPERLINK("https://klasma.github.io/Logging_2085/klagomålsmail/A 57803-2023 FSC-klagomål mail.docx", "A 57803-2023")</f>
        <v/>
      </c>
      <c r="AC46">
        <f>HYPERLINK("https://klasma.github.io/Logging_2085/tillsyn/A 57803-2023 tillsynsbegäran.docx", "A 57803-2023")</f>
        <v/>
      </c>
      <c r="AD46">
        <f>HYPERLINK("https://klasma.github.io/Logging_2085/tillsynsmail/A 57803-2023 tillsynsbegäran mail.docx", "A 57803-2023")</f>
        <v/>
      </c>
      <c r="AE46">
        <f>HYPERLINK("https://klasma.github.io/Logging_2085/fåglar/A 57803-2023 prioriterade fågelarter.docx", "A 57803-2023")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46258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22589-2026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46155</v>
      </c>
      <c r="E48" s="1" t="n">
        <v>46258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3.7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Järpe
Spillkråka
Tjäder</t>
        </is>
      </c>
      <c r="W48">
        <f>HYPERLINK("https://klasma.github.io/Logging_2085/artfynd/A 22589-2026 artfynd.xlsx", "A 22589-2026")</f>
        <v/>
      </c>
      <c r="X48">
        <f>HYPERLINK("https://klasma.github.io/Logging_2085/kartor/A 22589-2026 karta.png", "A 22589-2026")</f>
        <v/>
      </c>
      <c r="Y48">
        <f>HYPERLINK("https://klasma.github.io/Logging_2085/kartor_geotiff/A 22589-2026 georefererad karta.tif", "A 22589-2026")</f>
        <v/>
      </c>
      <c r="AA48">
        <f>HYPERLINK("https://klasma.github.io/Logging_2085/klagomål/A 22589-2026 FSC-klagomål.docx", "A 22589-2026")</f>
        <v/>
      </c>
      <c r="AB48">
        <f>HYPERLINK("https://klasma.github.io/Logging_2085/klagomålsmail/A 22589-2026 FSC-klagomål mail.docx", "A 22589-2026")</f>
        <v/>
      </c>
      <c r="AC48">
        <f>HYPERLINK("https://klasma.github.io/Logging_2085/tillsyn/A 22589-2026 tillsynsbegäran.docx", "A 22589-2026")</f>
        <v/>
      </c>
      <c r="AD48">
        <f>HYPERLINK("https://klasma.github.io/Logging_2085/tillsynsmail/A 22589-2026 tillsynsbegäran mail.docx", "A 22589-2026")</f>
        <v/>
      </c>
      <c r="AE48">
        <f>HYPERLINK("https://klasma.github.io/Logging_2085/fåglar/A 22589-2026 prioriterade fågelarter.docx", "A 22589-2026")</f>
        <v/>
      </c>
    </row>
    <row r="49" ht="15" customHeight="1">
      <c r="A49" t="inlineStr">
        <is>
          <t>A 49676-2024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45596</v>
      </c>
      <c r="E49" s="1" t="n">
        <v>46258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3.5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8</v>
      </c>
      <c r="U49" t="n">
        <v>8</v>
      </c>
      <c r="V49" s="2" t="inlineStr">
        <is>
          <t>Garnlav
Dropptaggsvamp
Järpe
Spillkråka</t>
        </is>
      </c>
      <c r="W49">
        <f>HYPERLINK("https://klasma.github.io/Logging_2085/artfynd/A 49676-2024 artfynd.xlsx", "A 49676-2024")</f>
        <v/>
      </c>
      <c r="X49">
        <f>HYPERLINK("https://klasma.github.io/Logging_2085/kartor/A 49676-2024 karta.png", "A 49676-2024")</f>
        <v/>
      </c>
      <c r="Y49">
        <f>HYPERLINK("https://klasma.github.io/Logging_2085/kartor_geotiff/A 49676-2024 georefererad karta.tif", "A 49676-2024")</f>
        <v/>
      </c>
      <c r="AA49">
        <f>HYPERLINK("https://klasma.github.io/Logging_2085/klagomål/A 49676-2024 FSC-klagomål.docx", "A 49676-2024")</f>
        <v/>
      </c>
      <c r="AB49">
        <f>HYPERLINK("https://klasma.github.io/Logging_2085/klagomålsmail/A 49676-2024 FSC-klagomål mail.docx", "A 49676-2024")</f>
        <v/>
      </c>
      <c r="AC49">
        <f>HYPERLINK("https://klasma.github.io/Logging_2085/tillsyn/A 49676-2024 tillsynsbegäran.docx", "A 49676-2024")</f>
        <v/>
      </c>
      <c r="AD49">
        <f>HYPERLINK("https://klasma.github.io/Logging_2085/tillsynsmail/A 49676-2024 tillsynsbegäran mail.docx", "A 49676-2024")</f>
        <v/>
      </c>
      <c r="AE49">
        <f>HYPERLINK("https://klasma.github.io/Logging_2085/fåglar/A 49676-2024 prioriterade fågelarter.docx", "A 49676-2024")</f>
        <v/>
      </c>
    </row>
    <row r="50" ht="15" customHeight="1">
      <c r="A50" t="inlineStr">
        <is>
          <t>A 11705-2024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46258</v>
      </c>
      <c r="F50" t="inlineStr">
        <is>
          <t>DALARNAS LÄN</t>
        </is>
      </c>
      <c r="G50" t="inlineStr">
        <is>
          <t>LUDVIKA</t>
        </is>
      </c>
      <c r="I50" t="n">
        <v>35.4</v>
      </c>
      <c r="J50" t="n">
        <v>2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45</v>
      </c>
      <c r="U50" t="n">
        <v>45</v>
      </c>
      <c r="V50" s="2" t="inlineStr">
        <is>
          <t>Garnlav
Kortskaftad ärgspik
Tretåig hackspett
Spillkråka</t>
        </is>
      </c>
      <c r="W50">
        <f>HYPERLINK("https://klasma.github.io/Logging_2085/artfynd/A 11705-2024 artfynd.xlsx", "A 11705-2024")</f>
        <v/>
      </c>
      <c r="X50">
        <f>HYPERLINK("https://klasma.github.io/Logging_2085/kartor/A 11705-2024 karta.png", "A 11705-2024")</f>
        <v/>
      </c>
      <c r="Y50">
        <f>HYPERLINK("https://klasma.github.io/Logging_2085/kartor_geotiff/A 11705-2024 georefererad karta.tif", "A 11705-2024")</f>
        <v/>
      </c>
      <c r="AA50">
        <f>HYPERLINK("https://klasma.github.io/Logging_2085/klagomål/A 11705-2024 FSC-klagomål.docx", "A 11705-2024")</f>
        <v/>
      </c>
      <c r="AB50">
        <f>HYPERLINK("https://klasma.github.io/Logging_2085/klagomålsmail/A 11705-2024 FSC-klagomål mail.docx", "A 11705-2024")</f>
        <v/>
      </c>
      <c r="AC50">
        <f>HYPERLINK("https://klasma.github.io/Logging_2085/tillsyn/A 11705-2024 tillsynsbegäran.docx", "A 11705-2024")</f>
        <v/>
      </c>
      <c r="AD50">
        <f>HYPERLINK("https://klasma.github.io/Logging_2085/tillsynsmail/A 11705-2024 tillsynsbegäran mail.docx", "A 11705-2024")</f>
        <v/>
      </c>
      <c r="AE50">
        <f>HYPERLINK("https://klasma.github.io/Logging_2085/fåglar/A 11705-2024 prioriterade fågelarter.docx", "A 11705-2024")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46258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46258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51928-2024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46258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27.9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Brunpudrad nållav
Gulnål
Kornig nållav
Vedticka</t>
        </is>
      </c>
      <c r="W53">
        <f>HYPERLINK("https://klasma.github.io/Logging_2085/artfynd/A 51928-2024 artfynd.xlsx", "A 51928-2024")</f>
        <v/>
      </c>
      <c r="X53">
        <f>HYPERLINK("https://klasma.github.io/Logging_2085/kartor/A 51928-2024 karta.png", "A 51928-2024")</f>
        <v/>
      </c>
      <c r="Y53">
        <f>HYPERLINK("https://klasma.github.io/Logging_2085/kartor_geotiff/A 51928-2024 georefererad karta.tif", "A 51928-2024")</f>
        <v/>
      </c>
      <c r="AA53">
        <f>HYPERLINK("https://klasma.github.io/Logging_2085/klagomål/A 51928-2024 FSC-klagomål.docx", "A 51928-2024")</f>
        <v/>
      </c>
      <c r="AB53">
        <f>HYPERLINK("https://klasma.github.io/Logging_2085/klagomålsmail/A 51928-2024 FSC-klagomål mail.docx", "A 51928-2024")</f>
        <v/>
      </c>
      <c r="AC53">
        <f>HYPERLINK("https://klasma.github.io/Logging_2085/tillsyn/A 51928-2024 tillsynsbegäran.docx", "A 51928-2024")</f>
        <v/>
      </c>
      <c r="AD53">
        <f>HYPERLINK("https://klasma.github.io/Logging_2085/tillsynsmail/A 51928-2024 tillsynsbegäran mail.docx", "A 51928-2024")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46258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46258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46258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29144-2023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45105</v>
      </c>
      <c r="E57" s="1" t="n">
        <v>46258</v>
      </c>
      <c r="F57" t="inlineStr">
        <is>
          <t>DALARNAS LÄN</t>
        </is>
      </c>
      <c r="G57" t="inlineStr">
        <is>
          <t>LUDVIKA</t>
        </is>
      </c>
      <c r="H57" t="inlineStr">
        <is>
          <t>Allmännings- och besparingsskogar</t>
        </is>
      </c>
      <c r="I57" t="n">
        <v>6.2</v>
      </c>
      <c r="J57" t="n">
        <v>1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14</v>
      </c>
      <c r="U57" t="n">
        <v>0</v>
      </c>
      <c r="V57" s="2" t="inlineStr">
        <is>
          <t>Garnlav
Knärot
Brunklöver</t>
        </is>
      </c>
      <c r="W57">
        <f>HYPERLINK("https://klasma.github.io/Logging_2085/artfynd/A 29144-2023 artfynd.xlsx", "A 29144-2023")</f>
        <v/>
      </c>
      <c r="X57">
        <f>HYPERLINK("https://klasma.github.io/Logging_2085/kartor/A 29144-2023 karta.png", "A 29144-2023")</f>
        <v/>
      </c>
      <c r="Y57">
        <f>HYPERLINK("https://klasma.github.io/Logging_2085/kartor_geotiff/A 29144-2023 georefererad karta.tif", "A 29144-2023")</f>
        <v/>
      </c>
      <c r="Z57">
        <f>HYPERLINK("https://klasma.github.io/Logging_2085/knärot/A 29144-2023 karta knärot.png", "A 29144-2023")</f>
        <v/>
      </c>
      <c r="AA57">
        <f>HYPERLINK("https://klasma.github.io/Logging_2085/klagomål/A 29144-2023 FSC-klagomål.docx", "A 29144-2023")</f>
        <v/>
      </c>
      <c r="AB57">
        <f>HYPERLINK("https://klasma.github.io/Logging_2085/klagomålsmail/A 29144-2023 FSC-klagomål mail.docx", "A 29144-2023")</f>
        <v/>
      </c>
      <c r="AC57">
        <f>HYPERLINK("https://klasma.github.io/Logging_2085/tillsyn/A 29144-2023 tillsynsbegäran.docx", "A 29144-2023")</f>
        <v/>
      </c>
      <c r="AD57">
        <f>HYPERLINK("https://klasma.github.io/Logging_2085/tillsynsmail/A 29144-2023 tillsynsbegäran mail.docx", "A 29144-2023")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46258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24425-2026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46168</v>
      </c>
      <c r="E59" s="1" t="n">
        <v>46258</v>
      </c>
      <c r="F59" t="inlineStr">
        <is>
          <t>DALARNAS LÄN</t>
        </is>
      </c>
      <c r="G59" t="inlineStr">
        <is>
          <t>LUDVIKA</t>
        </is>
      </c>
      <c r="H59" t="inlineStr">
        <is>
          <t>Övriga Aktiebolag</t>
        </is>
      </c>
      <c r="I59" t="n">
        <v>5.6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6</v>
      </c>
      <c r="U59" t="n">
        <v>0</v>
      </c>
      <c r="V59" s="2" t="inlineStr">
        <is>
          <t>Tretåig hackspett
Spillkråka
Sälg</t>
        </is>
      </c>
      <c r="W59">
        <f>HYPERLINK("https://klasma.github.io/Logging_2085/artfynd/A 24425-2026 artfynd.xlsx", "A 24425-2026")</f>
        <v/>
      </c>
      <c r="X59">
        <f>HYPERLINK("https://klasma.github.io/Logging_2085/kartor/A 24425-2026 karta.png", "A 24425-2026")</f>
        <v/>
      </c>
      <c r="Y59">
        <f>HYPERLINK("https://klasma.github.io/Logging_2085/kartor_geotiff/A 24425-2026 georefererad karta.tif", "A 24425-2026")</f>
        <v/>
      </c>
      <c r="AA59">
        <f>HYPERLINK("https://klasma.github.io/Logging_2085/klagomål/A 24425-2026 FSC-klagomål.docx", "A 24425-2026")</f>
        <v/>
      </c>
      <c r="AB59">
        <f>HYPERLINK("https://klasma.github.io/Logging_2085/klagomålsmail/A 24425-2026 FSC-klagomål mail.docx", "A 24425-2026")</f>
        <v/>
      </c>
      <c r="AC59">
        <f>HYPERLINK("https://klasma.github.io/Logging_2085/tillsyn/A 24425-2026 tillsynsbegäran.docx", "A 24425-2026")</f>
        <v/>
      </c>
      <c r="AD59">
        <f>HYPERLINK("https://klasma.github.io/Logging_2085/tillsynsmail/A 24425-2026 tillsynsbegäran mail.docx", "A 24425-2026")</f>
        <v/>
      </c>
      <c r="AE59">
        <f>HYPERLINK("https://klasma.github.io/Logging_2085/fåglar/A 24425-2026 prioriterade fågelarter.docx", "A 24425-2026")</f>
        <v/>
      </c>
    </row>
    <row r="60" ht="15" customHeight="1">
      <c r="A60" t="inlineStr">
        <is>
          <t>A 43226-2025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45910</v>
      </c>
      <c r="E60" s="1" t="n">
        <v>46258</v>
      </c>
      <c r="F60" t="inlineStr">
        <is>
          <t>DALARNAS LÄN</t>
        </is>
      </c>
      <c r="G60" t="inlineStr">
        <is>
          <t>LUDVIKA</t>
        </is>
      </c>
      <c r="I60" t="n">
        <v>1.1</v>
      </c>
      <c r="J60" t="n">
        <v>1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4</v>
      </c>
      <c r="V60" s="2" t="inlineStr">
        <is>
          <t>Tretåig hackspett
Rävticka
Rödgul trumpetsvamp</t>
        </is>
      </c>
      <c r="W60">
        <f>HYPERLINK("https://klasma.github.io/Logging_2085/artfynd/A 43226-2025 artfynd.xlsx", "A 43226-2025")</f>
        <v/>
      </c>
      <c r="X60">
        <f>HYPERLINK("https://klasma.github.io/Logging_2085/kartor/A 43226-2025 karta.png", "A 43226-2025")</f>
        <v/>
      </c>
      <c r="Y60">
        <f>HYPERLINK("https://klasma.github.io/Logging_2085/kartor_geotiff/A 43226-2025 georefererad karta.tif", "A 43226-2025")</f>
        <v/>
      </c>
      <c r="AA60">
        <f>HYPERLINK("https://klasma.github.io/Logging_2085/klagomål/A 43226-2025 FSC-klagomål.docx", "A 43226-2025")</f>
        <v/>
      </c>
      <c r="AB60">
        <f>HYPERLINK("https://klasma.github.io/Logging_2085/klagomålsmail/A 43226-2025 FSC-klagomål mail.docx", "A 43226-2025")</f>
        <v/>
      </c>
      <c r="AC60">
        <f>HYPERLINK("https://klasma.github.io/Logging_2085/tillsyn/A 43226-2025 tillsynsbegäran.docx", "A 43226-2025")</f>
        <v/>
      </c>
      <c r="AD60">
        <f>HYPERLINK("https://klasma.github.io/Logging_2085/tillsynsmail/A 43226-2025 tillsynsbegäran mail.docx", "A 43226-2025")</f>
        <v/>
      </c>
      <c r="AE60">
        <f>HYPERLINK("https://klasma.github.io/Logging_2085/fåglar/A 43226-2025 prioriterade fågelarter.docx", "A 43226-2025")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46258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46258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46258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45225-2024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45575</v>
      </c>
      <c r="E64" s="1" t="n">
        <v>46258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Kungsfågel
Ärtsångare</t>
        </is>
      </c>
      <c r="W64">
        <f>HYPERLINK("https://klasma.github.io/Logging_2085/artfynd/A 45225-2024 artfynd.xlsx", "A 45225-2024")</f>
        <v/>
      </c>
      <c r="X64">
        <f>HYPERLINK("https://klasma.github.io/Logging_2085/kartor/A 45225-2024 karta.png", "A 45225-2024")</f>
        <v/>
      </c>
      <c r="Y64">
        <f>HYPERLINK("https://klasma.github.io/Logging_2085/kartor_geotiff/A 45225-2024 georefererad karta.tif", "A 45225-2024")</f>
        <v/>
      </c>
      <c r="AA64">
        <f>HYPERLINK("https://klasma.github.io/Logging_2085/klagomål/A 45225-2024 FSC-klagomål.docx", "A 45225-2024")</f>
        <v/>
      </c>
      <c r="AB64">
        <f>HYPERLINK("https://klasma.github.io/Logging_2085/klagomålsmail/A 45225-2024 FSC-klagomål mail.docx", "A 45225-2024")</f>
        <v/>
      </c>
      <c r="AC64">
        <f>HYPERLINK("https://klasma.github.io/Logging_2085/tillsyn/A 45225-2024 tillsynsbegäran.docx", "A 45225-2024")</f>
        <v/>
      </c>
      <c r="AD64">
        <f>HYPERLINK("https://klasma.github.io/Logging_2085/tillsynsmail/A 45225-2024 tillsynsbegäran mail.docx", "A 45225-2024")</f>
        <v/>
      </c>
    </row>
    <row r="65" ht="15" customHeight="1">
      <c r="A65" t="inlineStr">
        <is>
          <t>A 44262-2025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46258</v>
      </c>
      <c r="F65" t="inlineStr">
        <is>
          <t>DALARNAS LÄN</t>
        </is>
      </c>
      <c r="G65" t="inlineStr">
        <is>
          <t>LUDVIKA</t>
        </is>
      </c>
      <c r="I65" t="n">
        <v>3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6</v>
      </c>
      <c r="U65" t="n">
        <v>0</v>
      </c>
      <c r="V65" s="2" t="inlineStr">
        <is>
          <t>Nordfladdermus
Fläcknycklar</t>
        </is>
      </c>
      <c r="W65">
        <f>HYPERLINK("https://klasma.github.io/Logging_2085/artfynd/A 44262-2025 artfynd.xlsx", "A 44262-2025")</f>
        <v/>
      </c>
      <c r="X65">
        <f>HYPERLINK("https://klasma.github.io/Logging_2085/kartor/A 44262-2025 karta.png", "A 44262-2025")</f>
        <v/>
      </c>
      <c r="Y65">
        <f>HYPERLINK("https://klasma.github.io/Logging_2085/kartor_geotiff/A 44262-2025 georefererad karta.tif", "A 44262-2025")</f>
        <v/>
      </c>
      <c r="AA65">
        <f>HYPERLINK("https://klasma.github.io/Logging_2085/klagomål/A 44262-2025 FSC-klagomål.docx", "A 44262-2025")</f>
        <v/>
      </c>
      <c r="AB65">
        <f>HYPERLINK("https://klasma.github.io/Logging_2085/klagomålsmail/A 44262-2025 FSC-klagomål mail.docx", "A 44262-2025")</f>
        <v/>
      </c>
      <c r="AC65">
        <f>HYPERLINK("https://klasma.github.io/Logging_2085/tillsyn/A 44262-2025 tillsynsbegäran.docx", "A 44262-2025")</f>
        <v/>
      </c>
      <c r="AD65">
        <f>HYPERLINK("https://klasma.github.io/Logging_2085/tillsynsmail/A 44262-2025 tillsynsbegäran mail.docx", "A 44262-2025")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46258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49767-2025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45940</v>
      </c>
      <c r="E67" s="1" t="n">
        <v>46258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4</v>
      </c>
      <c r="U67" t="n">
        <v>4</v>
      </c>
      <c r="V67" s="2" t="inlineStr">
        <is>
          <t>Garnlav
Tretåig hackspett</t>
        </is>
      </c>
      <c r="W67">
        <f>HYPERLINK("https://klasma.github.io/Logging_2085/artfynd/A 49767-2025 artfynd.xlsx", "A 49767-2025")</f>
        <v/>
      </c>
      <c r="X67">
        <f>HYPERLINK("https://klasma.github.io/Logging_2085/kartor/A 49767-2025 karta.png", "A 49767-2025")</f>
        <v/>
      </c>
      <c r="Y67">
        <f>HYPERLINK("https://klasma.github.io/Logging_2085/kartor_geotiff/A 49767-2025 georefererad karta.tif", "A 49767-2025")</f>
        <v/>
      </c>
      <c r="AA67">
        <f>HYPERLINK("https://klasma.github.io/Logging_2085/klagomål/A 49767-2025 FSC-klagomål.docx", "A 49767-2025")</f>
        <v/>
      </c>
      <c r="AB67">
        <f>HYPERLINK("https://klasma.github.io/Logging_2085/klagomålsmail/A 49767-2025 FSC-klagomål mail.docx", "A 49767-2025")</f>
        <v/>
      </c>
      <c r="AC67">
        <f>HYPERLINK("https://klasma.github.io/Logging_2085/tillsyn/A 49767-2025 tillsynsbegäran.docx", "A 49767-2025")</f>
        <v/>
      </c>
      <c r="AD67">
        <f>HYPERLINK("https://klasma.github.io/Logging_2085/tillsynsmail/A 49767-2025 tillsynsbegäran mail.docx", "A 49767-2025")</f>
        <v/>
      </c>
      <c r="AE67">
        <f>HYPERLINK("https://klasma.github.io/Logging_2085/fåglar/A 49767-2025 prioriterade fågelarter.docx", "A 49767-2025")</f>
        <v/>
      </c>
    </row>
    <row r="68" ht="15" customHeight="1">
      <c r="A68" t="inlineStr">
        <is>
          <t>A 3809-2024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46258</v>
      </c>
      <c r="F68" t="inlineStr">
        <is>
          <t>DALARNAS LÄN</t>
        </is>
      </c>
      <c r="G68" t="inlineStr">
        <is>
          <t>LUDVIKA</t>
        </is>
      </c>
      <c r="I68" t="n">
        <v>0.5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8</v>
      </c>
      <c r="U68" t="n">
        <v>8</v>
      </c>
      <c r="V68" s="2" t="inlineStr">
        <is>
          <t>Nordfladdermus
Fläcknycklar</t>
        </is>
      </c>
      <c r="W68">
        <f>HYPERLINK("https://klasma.github.io/Logging_2085/artfynd/A 3809-2024 artfynd.xlsx", "A 3809-2024")</f>
        <v/>
      </c>
      <c r="X68">
        <f>HYPERLINK("https://klasma.github.io/Logging_2085/kartor/A 3809-2024 karta.png", "A 3809-2024")</f>
        <v/>
      </c>
      <c r="Y68">
        <f>HYPERLINK("https://klasma.github.io/Logging_2085/kartor_geotiff/A 3809-2024 georefererad karta.tif", "A 3809-2024")</f>
        <v/>
      </c>
      <c r="AA68">
        <f>HYPERLINK("https://klasma.github.io/Logging_2085/klagomål/A 3809-2024 FSC-klagomål.docx", "A 3809-2024")</f>
        <v/>
      </c>
      <c r="AB68">
        <f>HYPERLINK("https://klasma.github.io/Logging_2085/klagomålsmail/A 3809-2024 FSC-klagomål mail.docx", "A 3809-2024")</f>
        <v/>
      </c>
      <c r="AC68">
        <f>HYPERLINK("https://klasma.github.io/Logging_2085/tillsyn/A 3809-2024 tillsynsbegäran.docx", "A 3809-2024")</f>
        <v/>
      </c>
      <c r="AD68">
        <f>HYPERLINK("https://klasma.github.io/Logging_2085/tillsynsmail/A 3809-2024 tillsynsbegäran mail.docx", "A 3809-2024")</f>
        <v/>
      </c>
    </row>
    <row r="69" ht="15" customHeight="1">
      <c r="A69" t="inlineStr">
        <is>
          <t>A 50170-2025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46258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Labyrintlav
Gulnål</t>
        </is>
      </c>
      <c r="W69">
        <f>HYPERLINK("https://klasma.github.io/Logging_2085/artfynd/A 50170-2025 artfynd.xlsx", "A 50170-2025")</f>
        <v/>
      </c>
      <c r="X69">
        <f>HYPERLINK("https://klasma.github.io/Logging_2085/kartor/A 50170-2025 karta.png", "A 50170-2025")</f>
        <v/>
      </c>
      <c r="Y69">
        <f>HYPERLINK("https://klasma.github.io/Logging_2085/kartor_geotiff/A 50170-2025 georefererad karta.tif", "A 50170-2025")</f>
        <v/>
      </c>
      <c r="AA69">
        <f>HYPERLINK("https://klasma.github.io/Logging_2085/klagomål/A 50170-2025 FSC-klagomål.docx", "A 50170-2025")</f>
        <v/>
      </c>
      <c r="AB69">
        <f>HYPERLINK("https://klasma.github.io/Logging_2085/klagomålsmail/A 50170-2025 FSC-klagomål mail.docx", "A 50170-2025")</f>
        <v/>
      </c>
      <c r="AC69">
        <f>HYPERLINK("https://klasma.github.io/Logging_2085/tillsyn/A 50170-2025 tillsynsbegäran.docx", "A 50170-2025")</f>
        <v/>
      </c>
      <c r="AD69">
        <f>HYPERLINK("https://klasma.github.io/Logging_2085/tillsynsmail/A 50170-2025 tillsynsbegäran mail.docx", "A 50170-2025")</f>
        <v/>
      </c>
    </row>
    <row r="70" ht="15" customHeight="1">
      <c r="A70" t="inlineStr">
        <is>
          <t>A 33155-2024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45518</v>
      </c>
      <c r="E70" s="1" t="n">
        <v>46258</v>
      </c>
      <c r="F70" t="inlineStr">
        <is>
          <t>DALARNAS LÄN</t>
        </is>
      </c>
      <c r="G70" t="inlineStr">
        <is>
          <t>LUDVIKA</t>
        </is>
      </c>
      <c r="I70" t="n">
        <v>2.9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Brunpudrad nållav
Tretåig hackspett</t>
        </is>
      </c>
      <c r="W70">
        <f>HYPERLINK("https://klasma.github.io/Logging_2085/artfynd/A 33155-2024 artfynd.xlsx", "A 33155-2024")</f>
        <v/>
      </c>
      <c r="X70">
        <f>HYPERLINK("https://klasma.github.io/Logging_2085/kartor/A 33155-2024 karta.png", "A 33155-2024")</f>
        <v/>
      </c>
      <c r="Y70">
        <f>HYPERLINK("https://klasma.github.io/Logging_2085/kartor_geotiff/A 33155-2024 georefererad karta.tif", "A 33155-2024")</f>
        <v/>
      </c>
      <c r="AA70">
        <f>HYPERLINK("https://klasma.github.io/Logging_2085/klagomål/A 33155-2024 FSC-klagomål.docx", "A 33155-2024")</f>
        <v/>
      </c>
      <c r="AB70">
        <f>HYPERLINK("https://klasma.github.io/Logging_2085/klagomålsmail/A 33155-2024 FSC-klagomål mail.docx", "A 33155-2024")</f>
        <v/>
      </c>
      <c r="AC70">
        <f>HYPERLINK("https://klasma.github.io/Logging_2085/tillsyn/A 33155-2024 tillsynsbegäran.docx", "A 33155-2024")</f>
        <v/>
      </c>
      <c r="AD70">
        <f>HYPERLINK("https://klasma.github.io/Logging_2085/tillsynsmail/A 33155-2024 tillsynsbegäran mail.docx", "A 33155-2024")</f>
        <v/>
      </c>
      <c r="AE70">
        <f>HYPERLINK("https://klasma.github.io/Logging_2085/fåglar/A 33155-2024 prioriterade fågelarter.docx", "A 33155-2024")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46258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46258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46258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23919-2026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46167</v>
      </c>
      <c r="E74" s="1" t="n">
        <v>46258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Korallblylav
Skinnlav</t>
        </is>
      </c>
      <c r="W74">
        <f>HYPERLINK("https://klasma.github.io/Logging_2085/artfynd/A 23919-2026 artfynd.xlsx", "A 23919-2026")</f>
        <v/>
      </c>
      <c r="X74">
        <f>HYPERLINK("https://klasma.github.io/Logging_2085/kartor/A 23919-2026 karta.png", "A 23919-2026")</f>
        <v/>
      </c>
      <c r="Y74">
        <f>HYPERLINK("https://klasma.github.io/Logging_2085/kartor_geotiff/A 23919-2026 georefererad karta.tif", "A 23919-2026")</f>
        <v/>
      </c>
      <c r="AA74">
        <f>HYPERLINK("https://klasma.github.io/Logging_2085/klagomål/A 23919-2026 FSC-klagomål.docx", "A 23919-2026")</f>
        <v/>
      </c>
      <c r="AB74">
        <f>HYPERLINK("https://klasma.github.io/Logging_2085/klagomålsmail/A 23919-2026 FSC-klagomål mail.docx", "A 23919-2026")</f>
        <v/>
      </c>
      <c r="AC74">
        <f>HYPERLINK("https://klasma.github.io/Logging_2085/tillsyn/A 23919-2026 tillsynsbegäran.docx", "A 23919-2026")</f>
        <v/>
      </c>
      <c r="AD74">
        <f>HYPERLINK("https://klasma.github.io/Logging_2085/tillsynsmail/A 23919-2026 tillsynsbegäran mail.docx", "A 23919-2026")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46258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56879-2025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46258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Tjäder</t>
        </is>
      </c>
      <c r="W76">
        <f>HYPERLINK("https://klasma.github.io/Logging_2085/artfynd/A 56879-2025 artfynd.xlsx", "A 56879-2025")</f>
        <v/>
      </c>
      <c r="X76">
        <f>HYPERLINK("https://klasma.github.io/Logging_2085/kartor/A 56879-2025 karta.png", "A 56879-2025")</f>
        <v/>
      </c>
      <c r="Y76">
        <f>HYPERLINK("https://klasma.github.io/Logging_2085/kartor_geotiff/A 56879-2025 georefererad karta.tif", "A 56879-2025")</f>
        <v/>
      </c>
      <c r="AA76">
        <f>HYPERLINK("https://klasma.github.io/Logging_2085/klagomål/A 56879-2025 FSC-klagomål.docx", "A 56879-2025")</f>
        <v/>
      </c>
      <c r="AB76">
        <f>HYPERLINK("https://klasma.github.io/Logging_2085/klagomålsmail/A 56879-2025 FSC-klagomål mail.docx", "A 56879-2025")</f>
        <v/>
      </c>
      <c r="AC76">
        <f>HYPERLINK("https://klasma.github.io/Logging_2085/tillsyn/A 56879-2025 tillsynsbegäran.docx", "A 56879-2025")</f>
        <v/>
      </c>
      <c r="AD76">
        <f>HYPERLINK("https://klasma.github.io/Logging_2085/tillsynsmail/A 56879-2025 tillsynsbegäran mail.docx", "A 56879-2025")</f>
        <v/>
      </c>
      <c r="AE76">
        <f>HYPERLINK("https://klasma.github.io/Logging_2085/fåglar/A 56879-2025 prioriterade fågelarter.docx", "A 56879-2025")</f>
        <v/>
      </c>
    </row>
    <row r="77" ht="15" customHeight="1">
      <c r="A77" t="inlineStr">
        <is>
          <t>A 28727-2026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46258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14</v>
      </c>
      <c r="J77" t="n">
        <v>0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Mindre märgborre</t>
        </is>
      </c>
      <c r="W77">
        <f>HYPERLINK("https://klasma.github.io/Logging_2085/artfynd/A 28727-2026 artfynd.xlsx", "A 28727-2026")</f>
        <v/>
      </c>
      <c r="X77">
        <f>HYPERLINK("https://klasma.github.io/Logging_2085/kartor/A 28727-2026 karta.png", "A 28727-2026")</f>
        <v/>
      </c>
      <c r="Y77">
        <f>HYPERLINK("https://klasma.github.io/Logging_2085/kartor_geotiff/A 28727-2026 georefererad karta.tif", "A 28727-2026")</f>
        <v/>
      </c>
      <c r="AA77">
        <f>HYPERLINK("https://klasma.github.io/Logging_2085/klagomål/A 28727-2026 FSC-klagomål.docx", "A 28727-2026")</f>
        <v/>
      </c>
      <c r="AB77">
        <f>HYPERLINK("https://klasma.github.io/Logging_2085/klagomålsmail/A 28727-2026 FSC-klagomål mail.docx", "A 28727-2026")</f>
        <v/>
      </c>
      <c r="AC77">
        <f>HYPERLINK("https://klasma.github.io/Logging_2085/tillsyn/A 28727-2026 tillsynsbegäran.docx", "A 28727-2026")</f>
        <v/>
      </c>
      <c r="AD77">
        <f>HYPERLINK("https://klasma.github.io/Logging_2085/tillsynsmail/A 28727-2026 tillsynsbegäran mail.docx", "A 28727-2026")</f>
        <v/>
      </c>
    </row>
    <row r="78" ht="15" customHeight="1">
      <c r="A78" t="inlineStr">
        <is>
          <t>A 55399-2025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46258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11.5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Spillkråka
Revlummer</t>
        </is>
      </c>
      <c r="W78">
        <f>HYPERLINK("https://klasma.github.io/Logging_2085/artfynd/A 55399-2025 artfynd.xlsx", "A 55399-2025")</f>
        <v/>
      </c>
      <c r="X78">
        <f>HYPERLINK("https://klasma.github.io/Logging_2085/kartor/A 55399-2025 karta.png", "A 55399-2025")</f>
        <v/>
      </c>
      <c r="Y78">
        <f>HYPERLINK("https://klasma.github.io/Logging_2085/kartor_geotiff/A 55399-2025 georefererad karta.tif", "A 55399-2025")</f>
        <v/>
      </c>
      <c r="AA78">
        <f>HYPERLINK("https://klasma.github.io/Logging_2085/klagomål/A 55399-2025 FSC-klagomål.docx", "A 55399-2025")</f>
        <v/>
      </c>
      <c r="AB78">
        <f>HYPERLINK("https://klasma.github.io/Logging_2085/klagomålsmail/A 55399-2025 FSC-klagomål mail.docx", "A 55399-2025")</f>
        <v/>
      </c>
      <c r="AC78">
        <f>HYPERLINK("https://klasma.github.io/Logging_2085/tillsyn/A 55399-2025 tillsynsbegäran.docx", "A 55399-2025")</f>
        <v/>
      </c>
      <c r="AD78">
        <f>HYPERLINK("https://klasma.github.io/Logging_2085/tillsynsmail/A 55399-2025 tillsynsbegäran mail.docx", "A 55399-2025")</f>
        <v/>
      </c>
      <c r="AE78">
        <f>HYPERLINK("https://klasma.github.io/Logging_2085/fåglar/A 55399-2025 prioriterade fågelarter.docx", "A 55399-2025")</f>
        <v/>
      </c>
    </row>
    <row r="79" ht="15" customHeight="1">
      <c r="A79" t="inlineStr">
        <is>
          <t>A 28639-2026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46258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Blå taggsvamp
Motaggsvamp</t>
        </is>
      </c>
      <c r="W79">
        <f>HYPERLINK("https://klasma.github.io/Logging_2085/artfynd/A 28639-2026 artfynd.xlsx", "A 28639-2026")</f>
        <v/>
      </c>
      <c r="X79">
        <f>HYPERLINK("https://klasma.github.io/Logging_2085/kartor/A 28639-2026 karta.png", "A 28639-2026")</f>
        <v/>
      </c>
      <c r="Y79">
        <f>HYPERLINK("https://klasma.github.io/Logging_2085/kartor_geotiff/A 28639-2026 georefererad karta.tif", "A 28639-2026")</f>
        <v/>
      </c>
      <c r="AA79">
        <f>HYPERLINK("https://klasma.github.io/Logging_2085/klagomål/A 28639-2026 FSC-klagomål.docx", "A 28639-2026")</f>
        <v/>
      </c>
      <c r="AB79">
        <f>HYPERLINK("https://klasma.github.io/Logging_2085/klagomålsmail/A 28639-2026 FSC-klagomål mail.docx", "A 28639-2026")</f>
        <v/>
      </c>
      <c r="AC79">
        <f>HYPERLINK("https://klasma.github.io/Logging_2085/tillsyn/A 28639-2026 tillsynsbegäran.docx", "A 28639-2026")</f>
        <v/>
      </c>
      <c r="AD79">
        <f>HYPERLINK("https://klasma.github.io/Logging_2085/tillsynsmail/A 28639-2026 tillsynsbegäran mail.docx", "A 28639-2026")</f>
        <v/>
      </c>
    </row>
    <row r="80" ht="15" customHeight="1">
      <c r="A80" t="inlineStr">
        <is>
          <t>A 19538-2026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46134</v>
      </c>
      <c r="E80" s="1" t="n">
        <v>46258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Mörk husmossa
Tibast</t>
        </is>
      </c>
      <c r="W80">
        <f>HYPERLINK("https://klasma.github.io/Logging_2085/artfynd/A 19538-2026 artfynd.xlsx", "A 19538-2026")</f>
        <v/>
      </c>
      <c r="X80">
        <f>HYPERLINK("https://klasma.github.io/Logging_2085/kartor/A 19538-2026 karta.png", "A 19538-2026")</f>
        <v/>
      </c>
      <c r="Y80">
        <f>HYPERLINK("https://klasma.github.io/Logging_2085/kartor_geotiff/A 19538-2026 georefererad karta.tif", "A 19538-2026")</f>
        <v/>
      </c>
      <c r="AA80">
        <f>HYPERLINK("https://klasma.github.io/Logging_2085/klagomål/A 19538-2026 FSC-klagomål.docx", "A 19538-2026")</f>
        <v/>
      </c>
      <c r="AB80">
        <f>HYPERLINK("https://klasma.github.io/Logging_2085/klagomålsmail/A 19538-2026 FSC-klagomål mail.docx", "A 19538-2026")</f>
        <v/>
      </c>
      <c r="AC80">
        <f>HYPERLINK("https://klasma.github.io/Logging_2085/tillsyn/A 19538-2026 tillsynsbegäran.docx", "A 19538-2026")</f>
        <v/>
      </c>
      <c r="AD80">
        <f>HYPERLINK("https://klasma.github.io/Logging_2085/tillsynsmail/A 19538-2026 tillsynsbegäran mail.docx", "A 19538-2026")</f>
        <v/>
      </c>
    </row>
    <row r="81" ht="15" customHeight="1">
      <c r="A81" t="inlineStr">
        <is>
          <t>A 49763-2025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46258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Dvärgbägarlav
Vedticka</t>
        </is>
      </c>
      <c r="W81">
        <f>HYPERLINK("https://klasma.github.io/Logging_2085/artfynd/A 49763-2025 artfynd.xlsx", "A 49763-2025")</f>
        <v/>
      </c>
      <c r="X81">
        <f>HYPERLINK("https://klasma.github.io/Logging_2085/kartor/A 49763-2025 karta.png", "A 49763-2025")</f>
        <v/>
      </c>
      <c r="Y81">
        <f>HYPERLINK("https://klasma.github.io/Logging_2085/kartor_geotiff/A 49763-2025 georefererad karta.tif", "A 49763-2025")</f>
        <v/>
      </c>
      <c r="AA81">
        <f>HYPERLINK("https://klasma.github.io/Logging_2085/klagomål/A 49763-2025 FSC-klagomål.docx", "A 49763-2025")</f>
        <v/>
      </c>
      <c r="AB81">
        <f>HYPERLINK("https://klasma.github.io/Logging_2085/klagomålsmail/A 49763-2025 FSC-klagomål mail.docx", "A 49763-2025")</f>
        <v/>
      </c>
      <c r="AC81">
        <f>HYPERLINK("https://klasma.github.io/Logging_2085/tillsyn/A 49763-2025 tillsynsbegäran.docx", "A 49763-2025")</f>
        <v/>
      </c>
      <c r="AD81">
        <f>HYPERLINK("https://klasma.github.io/Logging_2085/tillsynsmail/A 49763-2025 tillsynsbegäran mail.docx", "A 49763-2025")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46258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46258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21876-2026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46258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Garnlav
Tretåig hackspett</t>
        </is>
      </c>
      <c r="W84">
        <f>HYPERLINK("https://klasma.github.io/Logging_2085/artfynd/A 21876-2026 artfynd.xlsx", "A 21876-2026")</f>
        <v/>
      </c>
      <c r="X84">
        <f>HYPERLINK("https://klasma.github.io/Logging_2085/kartor/A 21876-2026 karta.png", "A 21876-2026")</f>
        <v/>
      </c>
      <c r="Y84">
        <f>HYPERLINK("https://klasma.github.io/Logging_2085/kartor_geotiff/A 21876-2026 georefererad karta.tif", "A 21876-2026")</f>
        <v/>
      </c>
      <c r="AA84">
        <f>HYPERLINK("https://klasma.github.io/Logging_2085/klagomål/A 21876-2026 FSC-klagomål.docx", "A 21876-2026")</f>
        <v/>
      </c>
      <c r="AB84">
        <f>HYPERLINK("https://klasma.github.io/Logging_2085/klagomålsmail/A 21876-2026 FSC-klagomål mail.docx", "A 21876-2026")</f>
        <v/>
      </c>
      <c r="AC84">
        <f>HYPERLINK("https://klasma.github.io/Logging_2085/tillsyn/A 21876-2026 tillsynsbegäran.docx", "A 21876-2026")</f>
        <v/>
      </c>
      <c r="AD84">
        <f>HYPERLINK("https://klasma.github.io/Logging_2085/tillsynsmail/A 21876-2026 tillsynsbegäran mail.docx", "A 21876-2026")</f>
        <v/>
      </c>
      <c r="AE84">
        <f>HYPERLINK("https://klasma.github.io/Logging_2085/fåglar/A 21876-2026 prioriterade fågelarter.docx", "A 21876-2026")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46258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46258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46258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46258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46258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46258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46258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46258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46258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26850-2023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46258</v>
      </c>
      <c r="F94" t="inlineStr">
        <is>
          <t>DALARNAS LÄN</t>
        </is>
      </c>
      <c r="G94" t="inlineStr">
        <is>
          <t>LUDVIKA</t>
        </is>
      </c>
      <c r="H94" t="inlineStr">
        <is>
          <t>Naturvårdsverket</t>
        </is>
      </c>
      <c r="I94" t="n">
        <v>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Motaggsvamp</t>
        </is>
      </c>
      <c r="W94">
        <f>HYPERLINK("https://klasma.github.io/Logging_2085/artfynd/A 26850-2023 artfynd.xlsx", "A 26850-2023")</f>
        <v/>
      </c>
      <c r="X94">
        <f>HYPERLINK("https://klasma.github.io/Logging_2085/kartor/A 26850-2023 karta.png", "A 26850-2023")</f>
        <v/>
      </c>
      <c r="Y94">
        <f>HYPERLINK("https://klasma.github.io/Logging_2085/kartor_geotiff/A 26850-2023 georefererad karta.tif", "A 26850-2023")</f>
        <v/>
      </c>
      <c r="AA94">
        <f>HYPERLINK("https://klasma.github.io/Logging_2085/klagomål/A 26850-2023 FSC-klagomål.docx", "A 26850-2023")</f>
        <v/>
      </c>
      <c r="AB94">
        <f>HYPERLINK("https://klasma.github.io/Logging_2085/klagomålsmail/A 26850-2023 FSC-klagomål mail.docx", "A 26850-2023")</f>
        <v/>
      </c>
      <c r="AC94">
        <f>HYPERLINK("https://klasma.github.io/Logging_2085/tillsyn/A 26850-2023 tillsynsbegäran.docx", "A 26850-2023")</f>
        <v/>
      </c>
      <c r="AD94">
        <f>HYPERLINK("https://klasma.github.io/Logging_2085/tillsynsmail/A 26850-2023 tillsynsbegäran mail.docx", "A 26850-2023")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46258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56119-2021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44477</v>
      </c>
      <c r="E96" s="1" t="n">
        <v>46258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HYPERLINK("https://klasma.github.io/Logging_2085/artfynd/A 56119-2021 artfynd.xlsx", "A 56119-2021")</f>
        <v/>
      </c>
      <c r="X96">
        <f>HYPERLINK("https://klasma.github.io/Logging_2085/kartor/A 56119-2021 karta.png", "A 56119-2021")</f>
        <v/>
      </c>
      <c r="Y96">
        <f>HYPERLINK("https://klasma.github.io/Logging_2085/kartor_geotiff/A 56119-2021 georefererad karta.tif", "A 56119-2021")</f>
        <v/>
      </c>
      <c r="AA96">
        <f>HYPERLINK("https://klasma.github.io/Logging_2085/klagomål/A 56119-2021 FSC-klagomål.docx", "A 56119-2021")</f>
        <v/>
      </c>
      <c r="AB96">
        <f>HYPERLINK("https://klasma.github.io/Logging_2085/klagomålsmail/A 56119-2021 FSC-klagomål mail.docx", "A 56119-2021")</f>
        <v/>
      </c>
      <c r="AC96">
        <f>HYPERLINK("https://klasma.github.io/Logging_2085/tillsyn/A 56119-2021 tillsynsbegäran.docx", "A 56119-2021")</f>
        <v/>
      </c>
      <c r="AD96">
        <f>HYPERLINK("https://klasma.github.io/Logging_2085/tillsynsmail/A 56119-2021 tillsynsbegäran mail.docx", "A 56119-2021")</f>
        <v/>
      </c>
    </row>
    <row r="97" ht="15" customHeight="1">
      <c r="A97" t="inlineStr">
        <is>
          <t>A 62275-2022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44923</v>
      </c>
      <c r="E97" s="1" t="n">
        <v>46258</v>
      </c>
      <c r="F97" t="inlineStr">
        <is>
          <t>DALARNAS LÄN</t>
        </is>
      </c>
      <c r="G97" t="inlineStr">
        <is>
          <t>LUDVIKA</t>
        </is>
      </c>
      <c r="I97" t="n">
        <v>4.6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2</v>
      </c>
      <c r="V97" s="2" t="inlineStr">
        <is>
          <t>Knärot</t>
        </is>
      </c>
      <c r="W97">
        <f>HYPERLINK("https://klasma.github.io/Logging_2085/artfynd/A 62275-2022 artfynd.xlsx", "A 62275-2022")</f>
        <v/>
      </c>
      <c r="X97">
        <f>HYPERLINK("https://klasma.github.io/Logging_2085/kartor/A 62275-2022 karta.png", "A 62275-2022")</f>
        <v/>
      </c>
      <c r="Y97">
        <f>HYPERLINK("https://klasma.github.io/Logging_2085/kartor_geotiff/A 62275-2022 georefererad karta.tif", "A 62275-2022")</f>
        <v/>
      </c>
      <c r="Z97">
        <f>HYPERLINK("https://klasma.github.io/Logging_2085/knärot/A 62275-2022 karta knärot.png", "A 62275-2022")</f>
        <v/>
      </c>
      <c r="AA97">
        <f>HYPERLINK("https://klasma.github.io/Logging_2085/klagomål/A 62275-2022 FSC-klagomål.docx", "A 62275-2022")</f>
        <v/>
      </c>
      <c r="AB97">
        <f>HYPERLINK("https://klasma.github.io/Logging_2085/klagomålsmail/A 62275-2022 FSC-klagomål mail.docx", "A 62275-2022")</f>
        <v/>
      </c>
      <c r="AC97">
        <f>HYPERLINK("https://klasma.github.io/Logging_2085/tillsyn/A 62275-2022 tillsynsbegäran.docx", "A 62275-2022")</f>
        <v/>
      </c>
      <c r="AD97">
        <f>HYPERLINK("https://klasma.github.io/Logging_2085/tillsynsmail/A 62275-2022 tillsynsbegäran mail.docx", "A 62275-2022")</f>
        <v/>
      </c>
    </row>
    <row r="98" ht="15" customHeight="1">
      <c r="A98" t="inlineStr">
        <is>
          <t>A 25588-2023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46258</v>
      </c>
      <c r="F98" t="inlineStr">
        <is>
          <t>DALARNAS LÄN</t>
        </is>
      </c>
      <c r="G98" t="inlineStr">
        <is>
          <t>LUDVIKA</t>
        </is>
      </c>
      <c r="I98" t="n">
        <v>9.4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Garnlav</t>
        </is>
      </c>
      <c r="W98">
        <f>HYPERLINK("https://klasma.github.io/Logging_2085/artfynd/A 25588-2023 artfynd.xlsx", "A 25588-2023")</f>
        <v/>
      </c>
      <c r="X98">
        <f>HYPERLINK("https://klasma.github.io/Logging_2085/kartor/A 25588-2023 karta.png", "A 25588-2023")</f>
        <v/>
      </c>
      <c r="Y98">
        <f>HYPERLINK("https://klasma.github.io/Logging_2085/kartor_geotiff/A 25588-2023 georefererad karta.tif", "A 25588-2023")</f>
        <v/>
      </c>
      <c r="AA98">
        <f>HYPERLINK("https://klasma.github.io/Logging_2085/klagomål/A 25588-2023 FSC-klagomål.docx", "A 25588-2023")</f>
        <v/>
      </c>
      <c r="AB98">
        <f>HYPERLINK("https://klasma.github.io/Logging_2085/klagomålsmail/A 25588-2023 FSC-klagomål mail.docx", "A 25588-2023")</f>
        <v/>
      </c>
      <c r="AC98">
        <f>HYPERLINK("https://klasma.github.io/Logging_2085/tillsyn/A 25588-2023 tillsynsbegäran.docx", "A 25588-2023")</f>
        <v/>
      </c>
      <c r="AD98">
        <f>HYPERLINK("https://klasma.github.io/Logging_2085/tillsynsmail/A 25588-2023 tillsynsbegäran mail.docx", "A 25588-2023")</f>
        <v/>
      </c>
    </row>
    <row r="99" ht="15" customHeight="1">
      <c r="A99" t="inlineStr">
        <is>
          <t>A 45791-2025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46258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Vitfläckig guldvinge</t>
        </is>
      </c>
      <c r="W99">
        <f>HYPERLINK("https://klasma.github.io/Logging_2085/artfynd/A 45791-2025 artfynd.xlsx", "A 45791-2025")</f>
        <v/>
      </c>
      <c r="X99">
        <f>HYPERLINK("https://klasma.github.io/Logging_2085/kartor/A 45791-2025 karta.png", "A 45791-2025")</f>
        <v/>
      </c>
      <c r="Y99">
        <f>HYPERLINK("https://klasma.github.io/Logging_2085/kartor_geotiff/A 45791-2025 georefererad karta.tif", "A 45791-2025")</f>
        <v/>
      </c>
      <c r="AA99">
        <f>HYPERLINK("https://klasma.github.io/Logging_2085/klagomål/A 45791-2025 FSC-klagomål.docx", "A 45791-2025")</f>
        <v/>
      </c>
      <c r="AB99">
        <f>HYPERLINK("https://klasma.github.io/Logging_2085/klagomålsmail/A 45791-2025 FSC-klagomål mail.docx", "A 45791-2025")</f>
        <v/>
      </c>
      <c r="AC99">
        <f>HYPERLINK("https://klasma.github.io/Logging_2085/tillsyn/A 45791-2025 tillsynsbegäran.docx", "A 45791-2025")</f>
        <v/>
      </c>
      <c r="AD99">
        <f>HYPERLINK("https://klasma.github.io/Logging_2085/tillsynsmail/A 45791-2025 tillsynsbegäran mail.docx", "A 45791-2025")</f>
        <v/>
      </c>
    </row>
    <row r="100" ht="15" customHeight="1">
      <c r="A100" t="inlineStr">
        <is>
          <t>A 45858-2025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46258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1.3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Granbarkgnagare</t>
        </is>
      </c>
      <c r="W100">
        <f>HYPERLINK("https://klasma.github.io/Logging_2085/artfynd/A 45858-2025 artfynd.xlsx", "A 45858-2025")</f>
        <v/>
      </c>
      <c r="X100">
        <f>HYPERLINK("https://klasma.github.io/Logging_2085/kartor/A 45858-2025 karta.png", "A 45858-2025")</f>
        <v/>
      </c>
      <c r="Y100">
        <f>HYPERLINK("https://klasma.github.io/Logging_2085/kartor_geotiff/A 45858-2025 georefererad karta.tif", "A 45858-2025")</f>
        <v/>
      </c>
      <c r="AA100">
        <f>HYPERLINK("https://klasma.github.io/Logging_2085/klagomål/A 45858-2025 FSC-klagomål.docx", "A 45858-2025")</f>
        <v/>
      </c>
      <c r="AB100">
        <f>HYPERLINK("https://klasma.github.io/Logging_2085/klagomålsmail/A 45858-2025 FSC-klagomål mail.docx", "A 45858-2025")</f>
        <v/>
      </c>
      <c r="AC100">
        <f>HYPERLINK("https://klasma.github.io/Logging_2085/tillsyn/A 45858-2025 tillsynsbegäran.docx", "A 45858-2025")</f>
        <v/>
      </c>
      <c r="AD100">
        <f>HYPERLINK("https://klasma.github.io/Logging_2085/tillsynsmail/A 45858-2025 tillsynsbegäran mail.docx", "A 45858-2025")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46258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46258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46258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46258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36050-2025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45866</v>
      </c>
      <c r="E105" s="1" t="n">
        <v>46258</v>
      </c>
      <c r="F105" t="inlineStr">
        <is>
          <t>DALARNAS LÄN</t>
        </is>
      </c>
      <c r="G105" t="inlineStr">
        <is>
          <t>LUDVIKA</t>
        </is>
      </c>
      <c r="I105" t="n">
        <v>1.4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hackspett</t>
        </is>
      </c>
      <c r="W105">
        <f>HYPERLINK("https://klasma.github.io/Logging_2085/artfynd/A 36050-2025 artfynd.xlsx", "A 36050-2025")</f>
        <v/>
      </c>
      <c r="X105">
        <f>HYPERLINK("https://klasma.github.io/Logging_2085/kartor/A 36050-2025 karta.png", "A 36050-2025")</f>
        <v/>
      </c>
      <c r="Y105">
        <f>HYPERLINK("https://klasma.github.io/Logging_2085/kartor_geotiff/A 36050-2025 georefererad karta.tif", "A 36050-2025")</f>
        <v/>
      </c>
      <c r="AA105">
        <f>HYPERLINK("https://klasma.github.io/Logging_2085/klagomål/A 36050-2025 FSC-klagomål.docx", "A 36050-2025")</f>
        <v/>
      </c>
      <c r="AB105">
        <f>HYPERLINK("https://klasma.github.io/Logging_2085/klagomålsmail/A 36050-2025 FSC-klagomål mail.docx", "A 36050-2025")</f>
        <v/>
      </c>
      <c r="AC105">
        <f>HYPERLINK("https://klasma.github.io/Logging_2085/tillsyn/A 36050-2025 tillsynsbegäran.docx", "A 36050-2025")</f>
        <v/>
      </c>
      <c r="AD105">
        <f>HYPERLINK("https://klasma.github.io/Logging_2085/tillsynsmail/A 36050-2025 tillsynsbegäran mail.docx", "A 36050-2025")</f>
        <v/>
      </c>
      <c r="AE105">
        <f>HYPERLINK("https://klasma.github.io/Logging_2085/fåglar/A 36050-2025 prioriterade fågelarter.docx", "A 36050-2025")</f>
        <v/>
      </c>
    </row>
    <row r="106" ht="15" customHeight="1">
      <c r="A106" t="inlineStr">
        <is>
          <t>A 17987-2025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45761</v>
      </c>
      <c r="E106" s="1" t="n">
        <v>46258</v>
      </c>
      <c r="F106" t="inlineStr">
        <is>
          <t>DALARNAS LÄN</t>
        </is>
      </c>
      <c r="G106" t="inlineStr">
        <is>
          <t>LUDVIKA</t>
        </is>
      </c>
      <c r="I106" t="n">
        <v>0.5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HYPERLINK("https://klasma.github.io/Logging_2085/artfynd/A 17987-2025 artfynd.xlsx", "A 17987-2025")</f>
        <v/>
      </c>
      <c r="X106">
        <f>HYPERLINK("https://klasma.github.io/Logging_2085/kartor/A 17987-2025 karta.png", "A 17987-2025")</f>
        <v/>
      </c>
      <c r="Y106">
        <f>HYPERLINK("https://klasma.github.io/Logging_2085/kartor_geotiff/A 17987-2025 georefererad karta.tif", "A 17987-2025")</f>
        <v/>
      </c>
      <c r="AA106">
        <f>HYPERLINK("https://klasma.github.io/Logging_2085/klagomål/A 17987-2025 FSC-klagomål.docx", "A 17987-2025")</f>
        <v/>
      </c>
      <c r="AB106">
        <f>HYPERLINK("https://klasma.github.io/Logging_2085/klagomålsmail/A 17987-2025 FSC-klagomål mail.docx", "A 17987-2025")</f>
        <v/>
      </c>
      <c r="AC106">
        <f>HYPERLINK("https://klasma.github.io/Logging_2085/tillsyn/A 17987-2025 tillsynsbegäran.docx", "A 17987-2025")</f>
        <v/>
      </c>
      <c r="AD106">
        <f>HYPERLINK("https://klasma.github.io/Logging_2085/tillsynsmail/A 17987-2025 tillsynsbegäran mail.docx", "A 17987-2025")</f>
        <v/>
      </c>
      <c r="AE106">
        <f>HYPERLINK("https://klasma.github.io/Logging_2085/fåglar/A 17987-2025 prioriterade fågelarter.docx", "A 17987-2025")</f>
        <v/>
      </c>
    </row>
    <row r="107" ht="15" customHeight="1">
      <c r="A107" t="inlineStr">
        <is>
          <t>A 21499-2022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46258</v>
      </c>
      <c r="F107" t="inlineStr">
        <is>
          <t>DALARNAS LÄN</t>
        </is>
      </c>
      <c r="G107" t="inlineStr">
        <is>
          <t>LUDVIKA</t>
        </is>
      </c>
      <c r="I107" t="n">
        <v>4.3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Strimspindling</t>
        </is>
      </c>
      <c r="W107">
        <f>HYPERLINK("https://klasma.github.io/Logging_2085/artfynd/A 21499-2022 artfynd.xlsx", "A 21499-2022")</f>
        <v/>
      </c>
      <c r="X107">
        <f>HYPERLINK("https://klasma.github.io/Logging_2085/kartor/A 21499-2022 karta.png", "A 21499-2022")</f>
        <v/>
      </c>
      <c r="Y107">
        <f>HYPERLINK("https://klasma.github.io/Logging_2085/kartor_geotiff/A 21499-2022 georefererad karta.tif", "A 21499-2022")</f>
        <v/>
      </c>
      <c r="AA107">
        <f>HYPERLINK("https://klasma.github.io/Logging_2085/klagomål/A 21499-2022 FSC-klagomål.docx", "A 21499-2022")</f>
        <v/>
      </c>
      <c r="AB107">
        <f>HYPERLINK("https://klasma.github.io/Logging_2085/klagomålsmail/A 21499-2022 FSC-klagomål mail.docx", "A 21499-2022")</f>
        <v/>
      </c>
      <c r="AC107">
        <f>HYPERLINK("https://klasma.github.io/Logging_2085/tillsyn/A 21499-2022 tillsynsbegäran.docx", "A 21499-2022")</f>
        <v/>
      </c>
      <c r="AD107">
        <f>HYPERLINK("https://klasma.github.io/Logging_2085/tillsynsmail/A 21499-2022 tillsynsbegäran mail.docx", "A 21499-2022")</f>
        <v/>
      </c>
    </row>
    <row r="108" ht="15" customHeight="1">
      <c r="A108" t="inlineStr">
        <is>
          <t>A 1047-2023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44929</v>
      </c>
      <c r="E108" s="1" t="n">
        <v>46258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HYPERLINK("https://klasma.github.io/Logging_2085/artfynd/A 1047-2023 artfynd.xlsx", "A 1047-2023")</f>
        <v/>
      </c>
      <c r="X108">
        <f>HYPERLINK("https://klasma.github.io/Logging_2085/kartor/A 1047-2023 karta.png", "A 1047-2023")</f>
        <v/>
      </c>
      <c r="Y108">
        <f>HYPERLINK("https://klasma.github.io/Logging_2085/kartor_geotiff/A 1047-2023 georefererad karta.tif", "A 1047-2023")</f>
        <v/>
      </c>
      <c r="AA108">
        <f>HYPERLINK("https://klasma.github.io/Logging_2085/klagomål/A 1047-2023 FSC-klagomål.docx", "A 1047-2023")</f>
        <v/>
      </c>
      <c r="AB108">
        <f>HYPERLINK("https://klasma.github.io/Logging_2085/klagomålsmail/A 1047-2023 FSC-klagomål mail.docx", "A 1047-2023")</f>
        <v/>
      </c>
      <c r="AC108">
        <f>HYPERLINK("https://klasma.github.io/Logging_2085/tillsyn/A 1047-2023 tillsynsbegäran.docx", "A 1047-2023")</f>
        <v/>
      </c>
      <c r="AD108">
        <f>HYPERLINK("https://klasma.github.io/Logging_2085/tillsynsmail/A 1047-2023 tillsynsbegäran mail.docx", "A 1047-2023")</f>
        <v/>
      </c>
    </row>
    <row r="109" ht="15" customHeight="1">
      <c r="A109" t="inlineStr">
        <is>
          <t>A 29733-2025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46258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10.4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HYPERLINK("https://klasma.github.io/Logging_2085/artfynd/A 29733-2025 artfynd.xlsx", "A 29733-2025")</f>
        <v/>
      </c>
      <c r="X109">
        <f>HYPERLINK("https://klasma.github.io/Logging_2085/kartor/A 29733-2025 karta.png", "A 29733-2025")</f>
        <v/>
      </c>
      <c r="Y109">
        <f>HYPERLINK("https://klasma.github.io/Logging_2085/kartor_geotiff/A 29733-2025 georefererad karta.tif", "A 29733-2025")</f>
        <v/>
      </c>
      <c r="AA109">
        <f>HYPERLINK("https://klasma.github.io/Logging_2085/klagomål/A 29733-2025 FSC-klagomål.docx", "A 29733-2025")</f>
        <v/>
      </c>
      <c r="AB109">
        <f>HYPERLINK("https://klasma.github.io/Logging_2085/klagomålsmail/A 29733-2025 FSC-klagomål mail.docx", "A 29733-2025")</f>
        <v/>
      </c>
      <c r="AC109">
        <f>HYPERLINK("https://klasma.github.io/Logging_2085/tillsyn/A 29733-2025 tillsynsbegäran.docx", "A 29733-2025")</f>
        <v/>
      </c>
      <c r="AD109">
        <f>HYPERLINK("https://klasma.github.io/Logging_2085/tillsynsmail/A 29733-2025 tillsynsbegäran mail.docx", "A 29733-2025")</f>
        <v/>
      </c>
    </row>
    <row r="110" ht="15" customHeight="1">
      <c r="A110" t="inlineStr">
        <is>
          <t>A 59873-2025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46258</v>
      </c>
      <c r="F110" t="inlineStr">
        <is>
          <t>DALARNAS LÄN</t>
        </is>
      </c>
      <c r="G110" t="inlineStr">
        <is>
          <t>LUDVIKA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Lateritticka</t>
        </is>
      </c>
      <c r="W110">
        <f>HYPERLINK("https://klasma.github.io/Logging_2085/artfynd/A 59873-2025 artfynd.xlsx", "A 59873-2025")</f>
        <v/>
      </c>
      <c r="X110">
        <f>HYPERLINK("https://klasma.github.io/Logging_2085/kartor/A 59873-2025 karta.png", "A 59873-2025")</f>
        <v/>
      </c>
      <c r="Y110">
        <f>HYPERLINK("https://klasma.github.io/Logging_2085/kartor_geotiff/A 59873-2025 georefererad karta.tif", "A 59873-2025")</f>
        <v/>
      </c>
      <c r="AA110">
        <f>HYPERLINK("https://klasma.github.io/Logging_2085/klagomål/A 59873-2025 FSC-klagomål.docx", "A 59873-2025")</f>
        <v/>
      </c>
      <c r="AB110">
        <f>HYPERLINK("https://klasma.github.io/Logging_2085/klagomålsmail/A 59873-2025 FSC-klagomål mail.docx", "A 59873-2025")</f>
        <v/>
      </c>
      <c r="AC110">
        <f>HYPERLINK("https://klasma.github.io/Logging_2085/tillsyn/A 59873-2025 tillsynsbegäran.docx", "A 59873-2025")</f>
        <v/>
      </c>
      <c r="AD110">
        <f>HYPERLINK("https://klasma.github.io/Logging_2085/tillsynsmail/A 59873-2025 tillsynsbegäran mail.docx", "A 59873-2025")</f>
        <v/>
      </c>
    </row>
    <row r="111" ht="15" customHeight="1">
      <c r="A111" t="inlineStr">
        <is>
          <t>A 62676-2025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46258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4.2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HYPERLINK("https://klasma.github.io/Logging_2085/artfynd/A 62676-2025 artfynd.xlsx", "A 62676-2025")</f>
        <v/>
      </c>
      <c r="X111">
        <f>HYPERLINK("https://klasma.github.io/Logging_2085/kartor/A 62676-2025 karta.png", "A 62676-2025")</f>
        <v/>
      </c>
      <c r="Y111">
        <f>HYPERLINK("https://klasma.github.io/Logging_2085/kartor_geotiff/A 62676-2025 georefererad karta.tif", "A 62676-2025")</f>
        <v/>
      </c>
      <c r="AA111">
        <f>HYPERLINK("https://klasma.github.io/Logging_2085/klagomål/A 62676-2025 FSC-klagomål.docx", "A 62676-2025")</f>
        <v/>
      </c>
      <c r="AB111">
        <f>HYPERLINK("https://klasma.github.io/Logging_2085/klagomålsmail/A 62676-2025 FSC-klagomål mail.docx", "A 62676-2025")</f>
        <v/>
      </c>
      <c r="AC111">
        <f>HYPERLINK("https://klasma.github.io/Logging_2085/tillsyn/A 62676-2025 tillsynsbegäran.docx", "A 62676-2025")</f>
        <v/>
      </c>
      <c r="AD111">
        <f>HYPERLINK("https://klasma.github.io/Logging_2085/tillsynsmail/A 62676-2025 tillsynsbegäran mail.docx", "A 62676-2025")</f>
        <v/>
      </c>
    </row>
    <row r="112" ht="15" customHeight="1">
      <c r="A112" t="inlineStr">
        <is>
          <t>A 400-2023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44929</v>
      </c>
      <c r="E112" s="1" t="n">
        <v>46258</v>
      </c>
      <c r="F112" t="inlineStr">
        <is>
          <t>DALARNAS LÄN</t>
        </is>
      </c>
      <c r="G112" t="inlineStr">
        <is>
          <t>LUDVIKA</t>
        </is>
      </c>
      <c r="I112" t="n">
        <v>3.6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400-2023 artfynd.xlsx", "A 400-2023")</f>
        <v/>
      </c>
      <c r="X112">
        <f>HYPERLINK("https://klasma.github.io/Logging_2085/kartor/A 400-2023 karta.png", "A 400-2023")</f>
        <v/>
      </c>
      <c r="Y112">
        <f>HYPERLINK("https://klasma.github.io/Logging_2085/kartor_geotiff/A 400-2023 georefererad karta.tif", "A 400-2023")</f>
        <v/>
      </c>
      <c r="AA112">
        <f>HYPERLINK("https://klasma.github.io/Logging_2085/klagomål/A 400-2023 FSC-klagomål.docx", "A 400-2023")</f>
        <v/>
      </c>
      <c r="AB112">
        <f>HYPERLINK("https://klasma.github.io/Logging_2085/klagomålsmail/A 400-2023 FSC-klagomål mail.docx", "A 400-2023")</f>
        <v/>
      </c>
      <c r="AC112">
        <f>HYPERLINK("https://klasma.github.io/Logging_2085/tillsyn/A 400-2023 tillsynsbegäran.docx", "A 400-2023")</f>
        <v/>
      </c>
      <c r="AD112">
        <f>HYPERLINK("https://klasma.github.io/Logging_2085/tillsynsmail/A 400-2023 tillsynsbegäran mail.docx", "A 400-2023")</f>
        <v/>
      </c>
    </row>
    <row r="113" ht="15" customHeight="1">
      <c r="A113" t="inlineStr">
        <is>
          <t>A 3687-2024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46258</v>
      </c>
      <c r="F113" t="inlineStr">
        <is>
          <t>DALARNAS LÄN</t>
        </is>
      </c>
      <c r="G113" t="inlineStr">
        <is>
          <t>LUDVIKA</t>
        </is>
      </c>
      <c r="I113" t="n">
        <v>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Nordfladdermus</t>
        </is>
      </c>
      <c r="W113">
        <f>HYPERLINK("https://klasma.github.io/Logging_2085/artfynd/A 3687-2024 artfynd.xlsx", "A 3687-2024")</f>
        <v/>
      </c>
      <c r="X113">
        <f>HYPERLINK("https://klasma.github.io/Logging_2085/kartor/A 3687-2024 karta.png", "A 3687-2024")</f>
        <v/>
      </c>
      <c r="Y113">
        <f>HYPERLINK("https://klasma.github.io/Logging_2085/kartor_geotiff/A 3687-2024 georefererad karta.tif", "A 3687-2024")</f>
        <v/>
      </c>
      <c r="AA113">
        <f>HYPERLINK("https://klasma.github.io/Logging_2085/klagomål/A 3687-2024 FSC-klagomål.docx", "A 3687-2024")</f>
        <v/>
      </c>
      <c r="AB113">
        <f>HYPERLINK("https://klasma.github.io/Logging_2085/klagomålsmail/A 3687-2024 FSC-klagomål mail.docx", "A 3687-2024")</f>
        <v/>
      </c>
      <c r="AC113">
        <f>HYPERLINK("https://klasma.github.io/Logging_2085/tillsyn/A 3687-2024 tillsynsbegäran.docx", "A 3687-2024")</f>
        <v/>
      </c>
      <c r="AD113">
        <f>HYPERLINK("https://klasma.github.io/Logging_2085/tillsynsmail/A 3687-2024 tillsynsbegäran mail.docx", "A 3687-2024")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46258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vattensalamander</t>
        </is>
      </c>
      <c r="W114">
        <f>HYPERLINK("https://klasma.github.io/Logging_2085/artfynd/A 33560-2023 artfynd.xlsx", "A 33560-2023")</f>
        <v/>
      </c>
      <c r="X114">
        <f>HYPERLINK("https://klasma.github.io/Logging_2085/kartor/A 33560-2023 karta.png", "A 33560-2023")</f>
        <v/>
      </c>
      <c r="Y114">
        <f>HYPERLINK("https://klasma.github.io/Logging_2085/kartor_geotiff/A 33560-2023 georefererad karta.tif", "A 33560-2023")</f>
        <v/>
      </c>
      <c r="AA114">
        <f>HYPERLINK("https://klasma.github.io/Logging_2085/klagomål/A 33560-2023 FSC-klagomål.docx", "A 33560-2023")</f>
        <v/>
      </c>
      <c r="AB114">
        <f>HYPERLINK("https://klasma.github.io/Logging_2085/klagomålsmail/A 33560-2023 FSC-klagomål mail.docx", "A 33560-2023")</f>
        <v/>
      </c>
      <c r="AC114">
        <f>HYPERLINK("https://klasma.github.io/Logging_2085/tillsyn/A 33560-2023 tillsynsbegäran.docx", "A 33560-2023")</f>
        <v/>
      </c>
      <c r="AD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31478-2023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45114</v>
      </c>
      <c r="E115" s="1" t="n">
        <v>46258</v>
      </c>
      <c r="F115" t="inlineStr">
        <is>
          <t>DALARNAS LÄN</t>
        </is>
      </c>
      <c r="G115" t="inlineStr">
        <is>
          <t>LUDVIKA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HYPERLINK("https://klasma.github.io/Logging_2085/artfynd/A 31478-2023 artfynd.xlsx", "A 31478-2023")</f>
        <v/>
      </c>
      <c r="X115">
        <f>HYPERLINK("https://klasma.github.io/Logging_2085/kartor/A 31478-2023 karta.png", "A 31478-2023")</f>
        <v/>
      </c>
      <c r="Y115">
        <f>HYPERLINK("https://klasma.github.io/Logging_2085/kartor_geotiff/A 31478-2023 georefererad karta.tif", "A 31478-2023")</f>
        <v/>
      </c>
      <c r="AA115">
        <f>HYPERLINK("https://klasma.github.io/Logging_2085/klagomål/A 31478-2023 FSC-klagomål.docx", "A 31478-2023")</f>
        <v/>
      </c>
      <c r="AB115">
        <f>HYPERLINK("https://klasma.github.io/Logging_2085/klagomålsmail/A 31478-2023 FSC-klagomål mail.docx", "A 31478-2023")</f>
        <v/>
      </c>
      <c r="AC115">
        <f>HYPERLINK("https://klasma.github.io/Logging_2085/tillsyn/A 31478-2023 tillsynsbegäran.docx", "A 31478-2023")</f>
        <v/>
      </c>
      <c r="AD115">
        <f>HYPERLINK("https://klasma.github.io/Logging_2085/tillsynsmail/A 31478-2023 tillsynsbegäran mail.docx", "A 31478-2023")</f>
        <v/>
      </c>
    </row>
    <row r="116" ht="15" customHeight="1">
      <c r="A116" t="inlineStr">
        <is>
          <t>A 1237-2026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46258</v>
      </c>
      <c r="F116" t="inlineStr">
        <is>
          <t>DALARNAS LÄN</t>
        </is>
      </c>
      <c r="G116" t="inlineStr">
        <is>
          <t>LUDVIKA</t>
        </is>
      </c>
      <c r="I116" t="n">
        <v>5.9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Fläcknycklar</t>
        </is>
      </c>
      <c r="W116">
        <f>HYPERLINK("https://klasma.github.io/Logging_2085/artfynd/A 1237-2026 artfynd.xlsx", "A 1237-2026")</f>
        <v/>
      </c>
      <c r="X116">
        <f>HYPERLINK("https://klasma.github.io/Logging_2085/kartor/A 1237-2026 karta.png", "A 1237-2026")</f>
        <v/>
      </c>
      <c r="Y116">
        <f>HYPERLINK("https://klasma.github.io/Logging_2085/kartor_geotiff/A 1237-2026 georefererad karta.tif", "A 1237-2026")</f>
        <v/>
      </c>
      <c r="AA116">
        <f>HYPERLINK("https://klasma.github.io/Logging_2085/klagomål/A 1237-2026 FSC-klagomål.docx", "A 1237-2026")</f>
        <v/>
      </c>
      <c r="AB116">
        <f>HYPERLINK("https://klasma.github.io/Logging_2085/klagomålsmail/A 1237-2026 FSC-klagomål mail.docx", "A 1237-2026")</f>
        <v/>
      </c>
      <c r="AC116">
        <f>HYPERLINK("https://klasma.github.io/Logging_2085/tillsyn/A 1237-2026 tillsynsbegäran.docx", "A 1237-2026")</f>
        <v/>
      </c>
      <c r="AD116">
        <f>HYPERLINK("https://klasma.github.io/Logging_2085/tillsynsmail/A 1237-2026 tillsynsbegäran mail.docx", "A 1237-2026")</f>
        <v/>
      </c>
    </row>
    <row r="117" ht="15" customHeight="1">
      <c r="A117" t="inlineStr">
        <is>
          <t>A 25448-2024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45463</v>
      </c>
      <c r="E117" s="1" t="n">
        <v>46258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24.7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Blåsippa</t>
        </is>
      </c>
      <c r="W117">
        <f>HYPERLINK("https://klasma.github.io/Logging_2085/artfynd/A 25448-2024 artfynd.xlsx", "A 25448-2024")</f>
        <v/>
      </c>
      <c r="X117">
        <f>HYPERLINK("https://klasma.github.io/Logging_2085/kartor/A 25448-2024 karta.png", "A 25448-2024")</f>
        <v/>
      </c>
      <c r="Y117">
        <f>HYPERLINK("https://klasma.github.io/Logging_2085/kartor_geotiff/A 25448-2024 georefererad karta.tif", "A 25448-2024")</f>
        <v/>
      </c>
      <c r="AA117">
        <f>HYPERLINK("https://klasma.github.io/Logging_2085/klagomål/A 25448-2024 FSC-klagomål.docx", "A 25448-2024")</f>
        <v/>
      </c>
      <c r="AB117">
        <f>HYPERLINK("https://klasma.github.io/Logging_2085/klagomålsmail/A 25448-2024 FSC-klagomål mail.docx", "A 25448-2024")</f>
        <v/>
      </c>
      <c r="AC117">
        <f>HYPERLINK("https://klasma.github.io/Logging_2085/tillsyn/A 25448-2024 tillsynsbegäran.docx", "A 25448-2024")</f>
        <v/>
      </c>
      <c r="AD117">
        <f>HYPERLINK("https://klasma.github.io/Logging_2085/tillsynsmail/A 25448-2024 tillsynsbegäran mail.docx", "A 25448-2024")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46258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HYPERLINK("https://klasma.github.io/Logging_2085/artfynd/A 59947-2025 artfynd.xlsx", "A 59947-2025")</f>
        <v/>
      </c>
      <c r="X118">
        <f>HYPERLINK("https://klasma.github.io/Logging_2085/kartor/A 59947-2025 karta.png", "A 59947-2025")</f>
        <v/>
      </c>
      <c r="Y118">
        <f>HYPERLINK("https://klasma.github.io/Logging_2085/kartor_geotiff/A 59947-2025 georefererad karta.tif", "A 59947-2025")</f>
        <v/>
      </c>
      <c r="AA118">
        <f>HYPERLINK("https://klasma.github.io/Logging_2085/klagomål/A 59947-2025 FSC-klagomål.docx", "A 59947-2025")</f>
        <v/>
      </c>
      <c r="AB118">
        <f>HYPERLINK("https://klasma.github.io/Logging_2085/klagomålsmail/A 59947-2025 FSC-klagomål mail.docx", "A 59947-2025")</f>
        <v/>
      </c>
      <c r="AC118">
        <f>HYPERLINK("https://klasma.github.io/Logging_2085/tillsyn/A 59947-2025 tillsynsbegäran.docx", "A 59947-2025")</f>
        <v/>
      </c>
      <c r="AD118">
        <f>HYPERLINK("https://klasma.github.io/Logging_2085/tillsynsmail/A 59947-2025 tillsynsbegäran mail.docx", "A 59947-2025")</f>
        <v/>
      </c>
      <c r="AE118">
        <f>HYPERLINK("https://klasma.github.io/Logging_2085/fåglar/A 59947-2025 prioriterade fågelarter.docx", "A 59947-2025")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46258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74401-2021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44560</v>
      </c>
      <c r="E120" s="1" t="n">
        <v>46258</v>
      </c>
      <c r="F120" t="inlineStr">
        <is>
          <t>DALARNAS LÄN</t>
        </is>
      </c>
      <c r="G120" t="inlineStr">
        <is>
          <t>LUDVIKA</t>
        </is>
      </c>
      <c r="H120" t="inlineStr">
        <is>
          <t>Kommuner</t>
        </is>
      </c>
      <c r="I120" t="n">
        <v>0.6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Gullgröppa</t>
        </is>
      </c>
      <c r="W120">
        <f>HYPERLINK("https://klasma.github.io/Logging_2085/artfynd/A 74401-2021 artfynd.xlsx", "A 74401-2021")</f>
        <v/>
      </c>
      <c r="X120">
        <f>HYPERLINK("https://klasma.github.io/Logging_2085/kartor/A 74401-2021 karta.png", "A 74401-2021")</f>
        <v/>
      </c>
      <c r="Y120">
        <f>HYPERLINK("https://klasma.github.io/Logging_2085/kartor_geotiff/A 74401-2021 georefererad karta.tif", "A 74401-2021")</f>
        <v/>
      </c>
      <c r="AA120">
        <f>HYPERLINK("https://klasma.github.io/Logging_2085/klagomål/A 74401-2021 FSC-klagomål.docx", "A 74401-2021")</f>
        <v/>
      </c>
      <c r="AB120">
        <f>HYPERLINK("https://klasma.github.io/Logging_2085/klagomålsmail/A 74401-2021 FSC-klagomål mail.docx", "A 74401-2021")</f>
        <v/>
      </c>
      <c r="AC120">
        <f>HYPERLINK("https://klasma.github.io/Logging_2085/tillsyn/A 74401-2021 tillsynsbegäran.docx", "A 74401-2021")</f>
        <v/>
      </c>
      <c r="AD120">
        <f>HYPERLINK("https://klasma.github.io/Logging_2085/tillsynsmail/A 74401-2021 tillsynsbegäran mail.docx", "A 74401-2021")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46258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46258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12093-2023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44998</v>
      </c>
      <c r="E123" s="1" t="n">
        <v>46258</v>
      </c>
      <c r="F123" t="inlineStr">
        <is>
          <t>DALARNAS LÄN</t>
        </is>
      </c>
      <c r="G123" t="inlineStr">
        <is>
          <t>LUDVIKA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Bitter taggsvamp</t>
        </is>
      </c>
      <c r="W123">
        <f>HYPERLINK("https://klasma.github.io/Logging_2085/artfynd/A 12093-2023 artfynd.xlsx", "A 12093-2023")</f>
        <v/>
      </c>
      <c r="X123">
        <f>HYPERLINK("https://klasma.github.io/Logging_2085/kartor/A 12093-2023 karta.png", "A 12093-2023")</f>
        <v/>
      </c>
      <c r="Y123">
        <f>HYPERLINK("https://klasma.github.io/Logging_2085/kartor_geotiff/A 12093-2023 georefererad karta.tif", "A 12093-2023")</f>
        <v/>
      </c>
      <c r="AA123">
        <f>HYPERLINK("https://klasma.github.io/Logging_2085/klagomål/A 12093-2023 FSC-klagomål.docx", "A 12093-2023")</f>
        <v/>
      </c>
      <c r="AB123">
        <f>HYPERLINK("https://klasma.github.io/Logging_2085/klagomålsmail/A 12093-2023 FSC-klagomål mail.docx", "A 12093-2023")</f>
        <v/>
      </c>
      <c r="AC123">
        <f>HYPERLINK("https://klasma.github.io/Logging_2085/tillsyn/A 12093-2023 tillsynsbegäran.docx", "A 12093-2023")</f>
        <v/>
      </c>
      <c r="AD123">
        <f>HYPERLINK("https://klasma.github.io/Logging_2085/tillsynsmail/A 12093-2023 tillsynsbegäran mail.docx", "A 12093-2023")</f>
        <v/>
      </c>
    </row>
    <row r="124" ht="15" customHeight="1">
      <c r="A124" t="inlineStr">
        <is>
          <t>A 31352-2026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46219</v>
      </c>
      <c r="E124" s="1" t="n">
        <v>46258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1.2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Tvåblad</t>
        </is>
      </c>
      <c r="W124">
        <f>HYPERLINK("https://klasma.github.io/Logging_2085/artfynd/A 31352-2026 artfynd.xlsx", "A 31352-2026")</f>
        <v/>
      </c>
      <c r="X124">
        <f>HYPERLINK("https://klasma.github.io/Logging_2085/kartor/A 31352-2026 karta.png", "A 31352-2026")</f>
        <v/>
      </c>
      <c r="Y124">
        <f>HYPERLINK("https://klasma.github.io/Logging_2085/kartor_geotiff/A 31352-2026 georefererad karta.tif", "A 31352-2026")</f>
        <v/>
      </c>
      <c r="AA124">
        <f>HYPERLINK("https://klasma.github.io/Logging_2085/klagomål/A 31352-2026 FSC-klagomål.docx", "A 31352-2026")</f>
        <v/>
      </c>
      <c r="AB124">
        <f>HYPERLINK("https://klasma.github.io/Logging_2085/klagomålsmail/A 31352-2026 FSC-klagomål mail.docx", "A 31352-2026")</f>
        <v/>
      </c>
      <c r="AC124">
        <f>HYPERLINK("https://klasma.github.io/Logging_2085/tillsyn/A 31352-2026 tillsynsbegäran.docx", "A 31352-2026")</f>
        <v/>
      </c>
      <c r="AD124">
        <f>HYPERLINK("https://klasma.github.io/Logging_2085/tillsynsmail/A 31352-2026 tillsynsbegäran mail.docx", "A 31352-2026")</f>
        <v/>
      </c>
    </row>
    <row r="125" ht="15" customHeight="1">
      <c r="A125" t="inlineStr">
        <is>
          <t>A 56655-2025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46258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8.5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56655-2025 artfynd.xlsx", "A 56655-2025")</f>
        <v/>
      </c>
      <c r="X125">
        <f>HYPERLINK("https://klasma.github.io/Logging_2085/kartor/A 56655-2025 karta.png", "A 56655-2025")</f>
        <v/>
      </c>
      <c r="Y125">
        <f>HYPERLINK("https://klasma.github.io/Logging_2085/kartor_geotiff/A 56655-2025 georefererad karta.tif", "A 56655-2025")</f>
        <v/>
      </c>
      <c r="AA125">
        <f>HYPERLINK("https://klasma.github.io/Logging_2085/klagomål/A 56655-2025 FSC-klagomål.docx", "A 56655-2025")</f>
        <v/>
      </c>
      <c r="AB125">
        <f>HYPERLINK("https://klasma.github.io/Logging_2085/klagomålsmail/A 56655-2025 FSC-klagomål mail.docx", "A 56655-2025")</f>
        <v/>
      </c>
      <c r="AC125">
        <f>HYPERLINK("https://klasma.github.io/Logging_2085/tillsyn/A 56655-2025 tillsynsbegäran.docx", "A 56655-2025")</f>
        <v/>
      </c>
      <c r="AD125">
        <f>HYPERLINK("https://klasma.github.io/Logging_2085/tillsynsmail/A 56655-2025 tillsynsbegäran mail.docx", "A 56655-2025")</f>
        <v/>
      </c>
      <c r="AE125">
        <f>HYPERLINK("https://klasma.github.io/Logging_2085/fåglar/A 56655-2025 prioriterade fågelarter.docx", "A 56655-2025")</f>
        <v/>
      </c>
    </row>
    <row r="126" ht="15" customHeight="1">
      <c r="A126" t="inlineStr">
        <is>
          <t>A 49660-2024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45596</v>
      </c>
      <c r="E126" s="1" t="n">
        <v>46258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Mörk husmossa</t>
        </is>
      </c>
      <c r="W126">
        <f>HYPERLINK("https://klasma.github.io/Logging_2085/artfynd/A 49660-2024 artfynd.xlsx", "A 49660-2024")</f>
        <v/>
      </c>
      <c r="X126">
        <f>HYPERLINK("https://klasma.github.io/Logging_2085/kartor/A 49660-2024 karta.png", "A 49660-2024")</f>
        <v/>
      </c>
      <c r="Y126">
        <f>HYPERLINK("https://klasma.github.io/Logging_2085/kartor_geotiff/A 49660-2024 georefererad karta.tif", "A 49660-2024")</f>
        <v/>
      </c>
      <c r="AA126">
        <f>HYPERLINK("https://klasma.github.io/Logging_2085/klagomål/A 49660-2024 FSC-klagomål.docx", "A 49660-2024")</f>
        <v/>
      </c>
      <c r="AB126">
        <f>HYPERLINK("https://klasma.github.io/Logging_2085/klagomålsmail/A 49660-2024 FSC-klagomål mail.docx", "A 49660-2024")</f>
        <v/>
      </c>
      <c r="AC126">
        <f>HYPERLINK("https://klasma.github.io/Logging_2085/tillsyn/A 49660-2024 tillsynsbegäran.docx", "A 49660-2024")</f>
        <v/>
      </c>
      <c r="AD126">
        <f>HYPERLINK("https://klasma.github.io/Logging_2085/tillsynsmail/A 49660-2024 tillsynsbegäran mail.docx", "A 49660-2024")</f>
        <v/>
      </c>
    </row>
    <row r="127" ht="15" customHeight="1">
      <c r="A127" t="inlineStr">
        <is>
          <t>A 60787-2024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46258</v>
      </c>
      <c r="F127" t="inlineStr">
        <is>
          <t>DALARNAS LÄN</t>
        </is>
      </c>
      <c r="G127" t="inlineStr">
        <is>
          <t>LUDVIKA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HYPERLINK("https://klasma.github.io/Logging_2085/artfynd/A 60787-2024 artfynd.xlsx", "A 60787-2024")</f>
        <v/>
      </c>
      <c r="X127">
        <f>HYPERLINK("https://klasma.github.io/Logging_2085/kartor/A 60787-2024 karta.png", "A 60787-2024")</f>
        <v/>
      </c>
      <c r="Y127">
        <f>HYPERLINK("https://klasma.github.io/Logging_2085/kartor_geotiff/A 60787-2024 georefererad karta.tif", "A 60787-2024")</f>
        <v/>
      </c>
      <c r="AA127">
        <f>HYPERLINK("https://klasma.github.io/Logging_2085/klagomål/A 60787-2024 FSC-klagomål.docx", "A 60787-2024")</f>
        <v/>
      </c>
      <c r="AB127">
        <f>HYPERLINK("https://klasma.github.io/Logging_2085/klagomålsmail/A 60787-2024 FSC-klagomål mail.docx", "A 60787-2024")</f>
        <v/>
      </c>
      <c r="AC127">
        <f>HYPERLINK("https://klasma.github.io/Logging_2085/tillsyn/A 60787-2024 tillsynsbegäran.docx", "A 60787-2024")</f>
        <v/>
      </c>
      <c r="AD127">
        <f>HYPERLINK("https://klasma.github.io/Logging_2085/tillsynsmail/A 60787-2024 tillsynsbegäran mail.docx", "A 60787-2024")</f>
        <v/>
      </c>
      <c r="AE127">
        <f>HYPERLINK("https://klasma.github.io/Logging_2085/fåglar/A 60787-2024 prioriterade fågelarter.docx", "A 60787-2024")</f>
        <v/>
      </c>
    </row>
    <row r="128" ht="15" customHeight="1">
      <c r="A128" t="inlineStr">
        <is>
          <t>A 33399-2026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46247</v>
      </c>
      <c r="E128" s="1" t="n">
        <v>46258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0.8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Järpe</t>
        </is>
      </c>
      <c r="W128">
        <f>HYPERLINK("https://klasma.github.io/Logging_2085/artfynd/A 33399-2026 artfynd.xlsx", "A 33399-2026")</f>
        <v/>
      </c>
      <c r="X128">
        <f>HYPERLINK("https://klasma.github.io/Logging_2085/kartor/A 33399-2026 karta.png", "A 33399-2026")</f>
        <v/>
      </c>
      <c r="Y128">
        <f>HYPERLINK("https://klasma.github.io/Logging_2085/kartor_geotiff/A 33399-2026 georefererad karta.tif", "A 33399-2026")</f>
        <v/>
      </c>
      <c r="AA128">
        <f>HYPERLINK("https://klasma.github.io/Logging_2085/klagomål/A 33399-2026 FSC-klagomål.docx", "A 33399-2026")</f>
        <v/>
      </c>
      <c r="AB128">
        <f>HYPERLINK("https://klasma.github.io/Logging_2085/klagomålsmail/A 33399-2026 FSC-klagomål mail.docx", "A 33399-2026")</f>
        <v/>
      </c>
      <c r="AC128">
        <f>HYPERLINK("https://klasma.github.io/Logging_2085/tillsyn/A 33399-2026 tillsynsbegäran.docx", "A 33399-2026")</f>
        <v/>
      </c>
      <c r="AD128">
        <f>HYPERLINK("https://klasma.github.io/Logging_2085/tillsynsmail/A 33399-2026 tillsynsbegäran mail.docx", "A 33399-2026")</f>
        <v/>
      </c>
      <c r="AE128">
        <f>HYPERLINK("https://klasma.github.io/Logging_2085/fåglar/A 33399-2026 prioriterade fågelarter.docx", "A 33399-2026")</f>
        <v/>
      </c>
    </row>
    <row r="129" ht="15" customHeight="1">
      <c r="A129" t="inlineStr">
        <is>
          <t>A 21880-2026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46258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3.2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21880-2026 artfynd.xlsx", "A 21880-2026")</f>
        <v/>
      </c>
      <c r="X129">
        <f>HYPERLINK("https://klasma.github.io/Logging_2085/kartor/A 21880-2026 karta.png", "A 21880-2026")</f>
        <v/>
      </c>
      <c r="Y129">
        <f>HYPERLINK("https://klasma.github.io/Logging_2085/kartor_geotiff/A 21880-2026 georefererad karta.tif", "A 21880-2026")</f>
        <v/>
      </c>
      <c r="AA129">
        <f>HYPERLINK("https://klasma.github.io/Logging_2085/klagomål/A 21880-2026 FSC-klagomål.docx", "A 21880-2026")</f>
        <v/>
      </c>
      <c r="AB129">
        <f>HYPERLINK("https://klasma.github.io/Logging_2085/klagomålsmail/A 21880-2026 FSC-klagomål mail.docx", "A 21880-2026")</f>
        <v/>
      </c>
      <c r="AC129">
        <f>HYPERLINK("https://klasma.github.io/Logging_2085/tillsyn/A 21880-2026 tillsynsbegäran.docx", "A 21880-2026")</f>
        <v/>
      </c>
      <c r="AD129">
        <f>HYPERLINK("https://klasma.github.io/Logging_2085/tillsynsmail/A 21880-2026 tillsynsbegäran mail.docx", "A 21880-2026")</f>
        <v/>
      </c>
      <c r="AE129">
        <f>HYPERLINK("https://klasma.github.io/Logging_2085/fåglar/A 21880-2026 prioriterade fågelarter.docx", "A 21880-2026")</f>
        <v/>
      </c>
    </row>
    <row r="130" ht="15" customHeight="1">
      <c r="A130" t="inlineStr">
        <is>
          <t>A 29882-2024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45486</v>
      </c>
      <c r="E130" s="1" t="n">
        <v>46258</v>
      </c>
      <c r="F130" t="inlineStr">
        <is>
          <t>DALARNAS LÄN</t>
        </is>
      </c>
      <c r="G130" t="inlineStr">
        <is>
          <t>LUDVIKA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Spillkråka</t>
        </is>
      </c>
      <c r="W130">
        <f>HYPERLINK("https://klasma.github.io/Logging_2085/artfynd/A 29882-2024 artfynd.xlsx", "A 29882-2024")</f>
        <v/>
      </c>
      <c r="X130">
        <f>HYPERLINK("https://klasma.github.io/Logging_2085/kartor/A 29882-2024 karta.png", "A 29882-2024")</f>
        <v/>
      </c>
      <c r="Y130">
        <f>HYPERLINK("https://klasma.github.io/Logging_2085/kartor_geotiff/A 29882-2024 georefererad karta.tif", "A 29882-2024")</f>
        <v/>
      </c>
      <c r="AA130">
        <f>HYPERLINK("https://klasma.github.io/Logging_2085/klagomål/A 29882-2024 FSC-klagomål.docx", "A 29882-2024")</f>
        <v/>
      </c>
      <c r="AB130">
        <f>HYPERLINK("https://klasma.github.io/Logging_2085/klagomålsmail/A 29882-2024 FSC-klagomål mail.docx", "A 29882-2024")</f>
        <v/>
      </c>
      <c r="AC130">
        <f>HYPERLINK("https://klasma.github.io/Logging_2085/tillsyn/A 29882-2024 tillsynsbegäran.docx", "A 29882-2024")</f>
        <v/>
      </c>
      <c r="AD130">
        <f>HYPERLINK("https://klasma.github.io/Logging_2085/tillsynsmail/A 29882-2024 tillsynsbegäran mail.docx", "A 29882-2024")</f>
        <v/>
      </c>
      <c r="AE130">
        <f>HYPERLINK("https://klasma.github.io/Logging_2085/fåglar/A 29882-2024 prioriterade fågelarter.docx", "A 29882-2024")</f>
        <v/>
      </c>
    </row>
    <row r="131" ht="15" customHeight="1">
      <c r="A131" t="inlineStr">
        <is>
          <t>A 23720-2026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46258</v>
      </c>
      <c r="F131" t="inlineStr">
        <is>
          <t>DALARNAS LÄN</t>
        </is>
      </c>
      <c r="G131" t="inlineStr">
        <is>
          <t>LUDVIKA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HYPERLINK("https://klasma.github.io/Logging_2085/artfynd/A 23720-2026 artfynd.xlsx", "A 23720-2026")</f>
        <v/>
      </c>
      <c r="X131">
        <f>HYPERLINK("https://klasma.github.io/Logging_2085/kartor/A 23720-2026 karta.png", "A 23720-2026")</f>
        <v/>
      </c>
      <c r="Y131">
        <f>HYPERLINK("https://klasma.github.io/Logging_2085/kartor_geotiff/A 23720-2026 georefererad karta.tif", "A 23720-2026")</f>
        <v/>
      </c>
      <c r="AA131">
        <f>HYPERLINK("https://klasma.github.io/Logging_2085/klagomål/A 23720-2026 FSC-klagomål.docx", "A 23720-2026")</f>
        <v/>
      </c>
      <c r="AB131">
        <f>HYPERLINK("https://klasma.github.io/Logging_2085/klagomålsmail/A 23720-2026 FSC-klagomål mail.docx", "A 23720-2026")</f>
        <v/>
      </c>
      <c r="AC131">
        <f>HYPERLINK("https://klasma.github.io/Logging_2085/tillsyn/A 23720-2026 tillsynsbegäran.docx", "A 23720-2026")</f>
        <v/>
      </c>
      <c r="AD131">
        <f>HYPERLINK("https://klasma.github.io/Logging_2085/tillsynsmail/A 23720-2026 tillsynsbegäran mail.docx", "A 23720-2026")</f>
        <v/>
      </c>
      <c r="AE131">
        <f>HYPERLINK("https://klasma.github.io/Logging_2085/fåglar/A 23720-2026 prioriterade fågelarter.docx", "A 23720-2026")</f>
        <v/>
      </c>
    </row>
    <row r="132" ht="15" customHeight="1">
      <c r="A132" t="inlineStr">
        <is>
          <t>A 23102-2025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46258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Vanlig groda</t>
        </is>
      </c>
      <c r="W132">
        <f>HYPERLINK("https://klasma.github.io/Logging_2085/artfynd/A 23102-2025 artfynd.xlsx", "A 23102-2025")</f>
        <v/>
      </c>
      <c r="X132">
        <f>HYPERLINK("https://klasma.github.io/Logging_2085/kartor/A 23102-2025 karta.png", "A 23102-2025")</f>
        <v/>
      </c>
      <c r="Y132">
        <f>HYPERLINK("https://klasma.github.io/Logging_2085/kartor_geotiff/A 23102-2025 georefererad karta.tif", "A 23102-2025")</f>
        <v/>
      </c>
      <c r="AA132">
        <f>HYPERLINK("https://klasma.github.io/Logging_2085/klagomål/A 23102-2025 FSC-klagomål.docx", "A 23102-2025")</f>
        <v/>
      </c>
      <c r="AB132">
        <f>HYPERLINK("https://klasma.github.io/Logging_2085/klagomålsmail/A 23102-2025 FSC-klagomål mail.docx", "A 23102-2025")</f>
        <v/>
      </c>
      <c r="AC132">
        <f>HYPERLINK("https://klasma.github.io/Logging_2085/tillsyn/A 23102-2025 tillsynsbegäran.docx", "A 23102-2025")</f>
        <v/>
      </c>
      <c r="AD132">
        <f>HYPERLINK("https://klasma.github.io/Logging_2085/tillsynsmail/A 23102-2025 tillsynsbegäran mail.docx", "A 23102-2025")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46258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46258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46258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46258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46258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46258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46258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46258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46258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46258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46258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46258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46258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46258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46258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46258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46258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46258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46258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46258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46258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46258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46258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45202</v>
      </c>
      <c r="E156" s="1" t="n">
        <v>46258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46258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46258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45800</v>
      </c>
      <c r="E159" s="1" t="n">
        <v>46258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57002-2021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46258</v>
      </c>
      <c r="F160" t="inlineStr">
        <is>
          <t>DALARNAS LÄN</t>
        </is>
      </c>
      <c r="G160" t="inlineStr">
        <is>
          <t>LUDVIKA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63267-2021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44508</v>
      </c>
      <c r="E161" s="1" t="n">
        <v>46258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46258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45805</v>
      </c>
      <c r="E163" s="1" t="n">
        <v>46258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44715</v>
      </c>
      <c r="E164" s="1" t="n">
        <v>46258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46258</v>
      </c>
      <c r="F165" t="inlineStr">
        <is>
          <t>DALARNAS LÄN</t>
        </is>
      </c>
      <c r="G165" t="inlineStr">
        <is>
          <t>LUDVIKA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46258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46258</v>
      </c>
      <c r="F167" t="inlineStr">
        <is>
          <t>DALARNAS LÄN</t>
        </is>
      </c>
      <c r="G167" t="inlineStr">
        <is>
          <t>LUDVIKA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45799</v>
      </c>
      <c r="E168" s="1" t="n">
        <v>46258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26698-2025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45810</v>
      </c>
      <c r="E169" s="1" t="n">
        <v>46258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46258</v>
      </c>
      <c r="F170" t="inlineStr">
        <is>
          <t>DALARNAS LÄN</t>
        </is>
      </c>
      <c r="G170" t="inlineStr">
        <is>
          <t>LUDVIKA</t>
        </is>
      </c>
      <c r="H170" t="inlineStr">
        <is>
          <t>Naturvårdsverket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46258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44687</v>
      </c>
      <c r="E172" s="1" t="n">
        <v>46258</v>
      </c>
      <c r="F172" t="inlineStr">
        <is>
          <t>DALARNAS LÄN</t>
        </is>
      </c>
      <c r="G172" t="inlineStr">
        <is>
          <t>LUDVIKA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26794-2025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45810</v>
      </c>
      <c r="E173" s="1" t="n">
        <v>46258</v>
      </c>
      <c r="F173" t="inlineStr">
        <is>
          <t>DALARNAS LÄN</t>
        </is>
      </c>
      <c r="G173" t="inlineStr">
        <is>
          <t>LUDVIKA</t>
        </is>
      </c>
      <c r="H173" t="inlineStr">
        <is>
          <t>Kommuner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26628-2025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45810</v>
      </c>
      <c r="E174" s="1" t="n">
        <v>46258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46258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51704-2024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46258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45813</v>
      </c>
      <c r="E177" s="1" t="n">
        <v>46258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46258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45813</v>
      </c>
      <c r="E179" s="1" t="n">
        <v>46258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46258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56996-2021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46258</v>
      </c>
      <c r="F181" t="inlineStr">
        <is>
          <t>DALARNAS LÄN</t>
        </is>
      </c>
      <c r="G181" t="inlineStr">
        <is>
          <t>LUDVIKA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46258</v>
      </c>
      <c r="F182" t="inlineStr">
        <is>
          <t>DALARNAS LÄN</t>
        </is>
      </c>
      <c r="G182" t="inlineStr">
        <is>
          <t>LUDVIKA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46258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44789</v>
      </c>
      <c r="E184" s="1" t="n">
        <v>46258</v>
      </c>
      <c r="F184" t="inlineStr">
        <is>
          <t>DALARNAS LÄN</t>
        </is>
      </c>
      <c r="G184" t="inlineStr">
        <is>
          <t>LUDVIKA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46258</v>
      </c>
      <c r="F185" t="inlineStr">
        <is>
          <t>DALARNAS LÄN</t>
        </is>
      </c>
      <c r="G185" t="inlineStr">
        <is>
          <t>LUDVIKA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46258</v>
      </c>
      <c r="F186" t="inlineStr">
        <is>
          <t>DALARNAS LÄN</t>
        </is>
      </c>
      <c r="G186" t="inlineStr">
        <is>
          <t>LUDVIKA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73703-2021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44552</v>
      </c>
      <c r="E187" s="1" t="n">
        <v>46258</v>
      </c>
      <c r="F187" t="inlineStr">
        <is>
          <t>DALARNAS LÄN</t>
        </is>
      </c>
      <c r="G187" t="inlineStr">
        <is>
          <t>LUDVIKA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46258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46258</v>
      </c>
      <c r="F189" t="inlineStr">
        <is>
          <t>DALARNAS LÄN</t>
        </is>
      </c>
      <c r="G189" t="inlineStr">
        <is>
          <t>LUDVIKA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45891</v>
      </c>
      <c r="E190" s="1" t="n">
        <v>46258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46258</v>
      </c>
      <c r="F191" t="inlineStr">
        <is>
          <t>DALARNAS LÄN</t>
        </is>
      </c>
      <c r="G191" t="inlineStr">
        <is>
          <t>LUDVIKA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46258</v>
      </c>
      <c r="F192" t="inlineStr">
        <is>
          <t>DALARNAS LÄN</t>
        </is>
      </c>
      <c r="G192" t="inlineStr">
        <is>
          <t>LUDVIKA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49805-2023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46258</v>
      </c>
      <c r="F193" t="inlineStr">
        <is>
          <t>DALARNAS LÄN</t>
        </is>
      </c>
      <c r="G193" t="inlineStr">
        <is>
          <t>LUDVIKA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46258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46258</v>
      </c>
      <c r="F195" t="inlineStr">
        <is>
          <t>DALARNAS LÄN</t>
        </is>
      </c>
      <c r="G195" t="inlineStr">
        <is>
          <t>LUDVIKA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46258</v>
      </c>
      <c r="F196" t="inlineStr">
        <is>
          <t>DALARNAS LÄN</t>
        </is>
      </c>
      <c r="G196" t="inlineStr">
        <is>
          <t>LUDVIKA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8703-2023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44978</v>
      </c>
      <c r="E197" s="1" t="n">
        <v>46258</v>
      </c>
      <c r="F197" t="inlineStr">
        <is>
          <t>DALARNAS LÄN</t>
        </is>
      </c>
      <c r="G197" t="inlineStr">
        <is>
          <t>LUDVIKA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46258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46258</v>
      </c>
      <c r="F199" t="inlineStr">
        <is>
          <t>DALARNAS LÄN</t>
        </is>
      </c>
      <c r="G199" t="inlineStr">
        <is>
          <t>LUDVIKA</t>
        </is>
      </c>
      <c r="H199" t="inlineStr">
        <is>
          <t>Naturvårdsverket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44825</v>
      </c>
      <c r="E200" s="1" t="n">
        <v>46258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46258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41916-2025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46258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46258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46258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46258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44459</v>
      </c>
      <c r="E206" s="1" t="n">
        <v>46258</v>
      </c>
      <c r="F206" t="inlineStr">
        <is>
          <t>DALARNAS LÄN</t>
        </is>
      </c>
      <c r="G206" t="inlineStr">
        <is>
          <t>LUDVIKA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36338-2025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45868</v>
      </c>
      <c r="E207" s="1" t="n">
        <v>46258</v>
      </c>
      <c r="F207" t="inlineStr">
        <is>
          <t>DALARNAS LÄN</t>
        </is>
      </c>
      <c r="G207" t="inlineStr">
        <is>
          <t>LUDVIKA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45301</v>
      </c>
      <c r="E208" s="1" t="n">
        <v>46258</v>
      </c>
      <c r="F208" t="inlineStr">
        <is>
          <t>DALARNAS LÄN</t>
        </is>
      </c>
      <c r="G208" t="inlineStr">
        <is>
          <t>LUDVIKA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923-2024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45301</v>
      </c>
      <c r="E209" s="1" t="n">
        <v>46258</v>
      </c>
      <c r="F209" t="inlineStr">
        <is>
          <t>DALARNAS LÄN</t>
        </is>
      </c>
      <c r="G209" t="inlineStr">
        <is>
          <t>LUDVIKA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53048-2024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46258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45297</v>
      </c>
      <c r="E211" s="1" t="n">
        <v>46258</v>
      </c>
      <c r="F211" t="inlineStr">
        <is>
          <t>DALARNAS LÄN</t>
        </is>
      </c>
      <c r="G211" t="inlineStr">
        <is>
          <t>LUDVIKA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44711</v>
      </c>
      <c r="E212" s="1" t="n">
        <v>46258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46258</v>
      </c>
      <c r="F213" t="inlineStr">
        <is>
          <t>DALARNAS LÄN</t>
        </is>
      </c>
      <c r="G213" t="inlineStr">
        <is>
          <t>LUDVIKA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43473-2025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46258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46258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46258</v>
      </c>
      <c r="F216" t="inlineStr">
        <is>
          <t>DALARNAS LÄN</t>
        </is>
      </c>
      <c r="G216" t="inlineStr">
        <is>
          <t>LUDVIKA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46258</v>
      </c>
      <c r="F217" t="inlineStr">
        <is>
          <t>DALARNAS LÄN</t>
        </is>
      </c>
      <c r="G217" t="inlineStr">
        <is>
          <t>LUDVIKA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46258</v>
      </c>
      <c r="F218" t="inlineStr">
        <is>
          <t>DALARNAS LÄN</t>
        </is>
      </c>
      <c r="G218" t="inlineStr">
        <is>
          <t>LUDVIKA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46258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46258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46258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45831</v>
      </c>
      <c r="E222" s="1" t="n">
        <v>46258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45831</v>
      </c>
      <c r="E223" s="1" t="n">
        <v>46258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46258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43345-2025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46258</v>
      </c>
      <c r="F225" t="inlineStr">
        <is>
          <t>DALARNAS LÄN</t>
        </is>
      </c>
      <c r="G225" t="inlineStr">
        <is>
          <t>LUDVIKA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45832</v>
      </c>
      <c r="E226" s="1" t="n">
        <v>46258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46258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46258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32277-2024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46258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45196</v>
      </c>
      <c r="E230" s="1" t="n">
        <v>46258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3277-2024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45317</v>
      </c>
      <c r="E231" s="1" t="n">
        <v>46258</v>
      </c>
      <c r="F231" t="inlineStr">
        <is>
          <t>DALARNAS LÄN</t>
        </is>
      </c>
      <c r="G231" t="inlineStr">
        <is>
          <t>LUDVIKA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51160-2023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46258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45572</v>
      </c>
      <c r="E233" s="1" t="n">
        <v>46258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8.199999999999999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44690-2025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46258</v>
      </c>
      <c r="F234" t="inlineStr">
        <is>
          <t>DALARNAS LÄN</t>
        </is>
      </c>
      <c r="G234" t="inlineStr">
        <is>
          <t>LUDVIKA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45915</v>
      </c>
      <c r="E235" s="1" t="n">
        <v>46258</v>
      </c>
      <c r="F235" t="inlineStr">
        <is>
          <t>DALARNAS LÄN</t>
        </is>
      </c>
      <c r="G235" t="inlineStr">
        <is>
          <t>LUDVIKA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46258</v>
      </c>
      <c r="F236" t="inlineStr">
        <is>
          <t>DALARNAS LÄN</t>
        </is>
      </c>
      <c r="G236" t="inlineStr">
        <is>
          <t>LUDVIKA</t>
        </is>
      </c>
      <c r="H236" t="inlineStr">
        <is>
          <t>Naturvårdsverket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46258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45835</v>
      </c>
      <c r="E238" s="1" t="n">
        <v>46258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46258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46258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12497-2024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45379</v>
      </c>
      <c r="E241" s="1" t="n">
        <v>46258</v>
      </c>
      <c r="F241" t="inlineStr">
        <is>
          <t>DALARNAS LÄN</t>
        </is>
      </c>
      <c r="G241" t="inlineStr">
        <is>
          <t>LUDVIKA</t>
        </is>
      </c>
      <c r="H241" t="inlineStr">
        <is>
          <t>Naturvårdsverket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46258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45940-2025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46258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46258</v>
      </c>
      <c r="F244" t="inlineStr">
        <is>
          <t>DALARNAS LÄN</t>
        </is>
      </c>
      <c r="G244" t="inlineStr">
        <is>
          <t>LUDVIKA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45687</v>
      </c>
      <c r="E245" s="1" t="n">
        <v>46258</v>
      </c>
      <c r="F245" t="inlineStr">
        <is>
          <t>DALARNAS LÄN</t>
        </is>
      </c>
      <c r="G245" t="inlineStr">
        <is>
          <t>LUDVIKA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46040-2025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46258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46258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46258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46258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46258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46258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46258</v>
      </c>
      <c r="F252" t="inlineStr">
        <is>
          <t>DALARNAS LÄN</t>
        </is>
      </c>
      <c r="G252" t="inlineStr">
        <is>
          <t>LUDVIKA</t>
        </is>
      </c>
      <c r="H252" t="inlineStr">
        <is>
          <t>Kommuner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46258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46258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45488</v>
      </c>
      <c r="E255" s="1" t="n">
        <v>46258</v>
      </c>
      <c r="F255" t="inlineStr">
        <is>
          <t>DALARNAS LÄN</t>
        </is>
      </c>
      <c r="G255" t="inlineStr">
        <is>
          <t>LUDVIKA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45761</v>
      </c>
      <c r="E256" s="1" t="n">
        <v>46258</v>
      </c>
      <c r="F256" t="inlineStr">
        <is>
          <t>DALARNAS LÄN</t>
        </is>
      </c>
      <c r="G256" t="inlineStr">
        <is>
          <t>LUDVIKA</t>
        </is>
      </c>
      <c r="H256" t="inlineStr">
        <is>
          <t>Naturvårdsverket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44844</v>
      </c>
      <c r="E257" s="1" t="n">
        <v>46258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46258</v>
      </c>
      <c r="F258" t="inlineStr">
        <is>
          <t>DALARNAS LÄN</t>
        </is>
      </c>
      <c r="G258" t="inlineStr">
        <is>
          <t>LUDVIKA</t>
        </is>
      </c>
      <c r="H258" t="inlineStr">
        <is>
          <t>Övriga Aktiebolag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46258</v>
      </c>
      <c r="F259" t="inlineStr">
        <is>
          <t>DALARNAS LÄN</t>
        </is>
      </c>
      <c r="G259" t="inlineStr">
        <is>
          <t>LUDVIKA</t>
        </is>
      </c>
      <c r="H259" t="inlineStr">
        <is>
          <t>Övriga Aktiebolag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46258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45645</v>
      </c>
      <c r="E261" s="1" t="n">
        <v>46258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47071-2022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44852</v>
      </c>
      <c r="E262" s="1" t="n">
        <v>46258</v>
      </c>
      <c r="F262" t="inlineStr">
        <is>
          <t>DALARNAS LÄN</t>
        </is>
      </c>
      <c r="G262" t="inlineStr">
        <is>
          <t>LUDVIKA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46258</v>
      </c>
      <c r="F263" t="inlineStr">
        <is>
          <t>DALARNAS LÄN</t>
        </is>
      </c>
      <c r="G263" t="inlineStr">
        <is>
          <t>LUDVIKA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46258</v>
      </c>
      <c r="F264" t="inlineStr">
        <is>
          <t>DALARNAS LÄN</t>
        </is>
      </c>
      <c r="G264" t="inlineStr">
        <is>
          <t>LUDVIKA</t>
        </is>
      </c>
      <c r="H264" t="inlineStr">
        <is>
          <t>Naturvårdsverket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47496-2022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44853</v>
      </c>
      <c r="E265" s="1" t="n">
        <v>46258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45279</v>
      </c>
      <c r="E266" s="1" t="n">
        <v>46258</v>
      </c>
      <c r="F266" t="inlineStr">
        <is>
          <t>DALARNAS LÄN</t>
        </is>
      </c>
      <c r="G266" t="inlineStr">
        <is>
          <t>LUDVIKA</t>
        </is>
      </c>
      <c r="I266" t="n">
        <v>8.6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28134-2023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45099</v>
      </c>
      <c r="E267" s="1" t="n">
        <v>46258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46258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45940</v>
      </c>
      <c r="E269" s="1" t="n">
        <v>46258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49893-2025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45940</v>
      </c>
      <c r="E270" s="1" t="n">
        <v>46258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45519</v>
      </c>
      <c r="E271" s="1" t="n">
        <v>46258</v>
      </c>
      <c r="F271" t="inlineStr">
        <is>
          <t>DALARNAS LÄN</t>
        </is>
      </c>
      <c r="G271" t="inlineStr">
        <is>
          <t>LUDVIKA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43240-2024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45568</v>
      </c>
      <c r="E272" s="1" t="n">
        <v>46258</v>
      </c>
      <c r="F272" t="inlineStr">
        <is>
          <t>DALARNAS LÄN</t>
        </is>
      </c>
      <c r="G272" t="inlineStr">
        <is>
          <t>LUDVIKA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46258</v>
      </c>
      <c r="F273" t="inlineStr">
        <is>
          <t>DALARNAS LÄN</t>
        </is>
      </c>
      <c r="G273" t="inlineStr">
        <is>
          <t>LUDVIKA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44825</v>
      </c>
      <c r="E274" s="1" t="n">
        <v>46258</v>
      </c>
      <c r="F274" t="inlineStr">
        <is>
          <t>DALARNAS LÄN</t>
        </is>
      </c>
      <c r="G274" t="inlineStr">
        <is>
          <t>LUDVIKA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44730</v>
      </c>
      <c r="E275" s="1" t="n">
        <v>46258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45450</v>
      </c>
      <c r="E276" s="1" t="n">
        <v>46258</v>
      </c>
      <c r="F276" t="inlineStr">
        <is>
          <t>DALARNAS LÄN</t>
        </is>
      </c>
      <c r="G276" t="inlineStr">
        <is>
          <t>LUDVIKA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31702-2023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45105</v>
      </c>
      <c r="E277" s="1" t="n">
        <v>46258</v>
      </c>
      <c r="F277" t="inlineStr">
        <is>
          <t>DALARNAS LÄN</t>
        </is>
      </c>
      <c r="G277" t="inlineStr">
        <is>
          <t>LUDVIKA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18708-2023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45043</v>
      </c>
      <c r="E278" s="1" t="n">
        <v>46258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46258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46258</v>
      </c>
      <c r="F280" t="inlineStr">
        <is>
          <t>DALARNAS LÄN</t>
        </is>
      </c>
      <c r="G280" t="inlineStr">
        <is>
          <t>LUDVIKA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46258</v>
      </c>
      <c r="F281" t="inlineStr">
        <is>
          <t>DALARNAS LÄN</t>
        </is>
      </c>
      <c r="G281" t="inlineStr">
        <is>
          <t>LUDVIKA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45399</v>
      </c>
      <c r="E282" s="1" t="n">
        <v>46258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48740-2022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44859</v>
      </c>
      <c r="E283" s="1" t="n">
        <v>46258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46258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60843-2024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46258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45371</v>
      </c>
      <c r="E286" s="1" t="n">
        <v>46258</v>
      </c>
      <c r="F286" t="inlineStr">
        <is>
          <t>DALARNAS LÄN</t>
        </is>
      </c>
      <c r="G286" t="inlineStr">
        <is>
          <t>LUDVIKA</t>
        </is>
      </c>
      <c r="I286" t="n">
        <v>20.8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46258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46258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52552-2025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45954</v>
      </c>
      <c r="E289" s="1" t="n">
        <v>46258</v>
      </c>
      <c r="F289" t="inlineStr">
        <is>
          <t>DALARNAS LÄN</t>
        </is>
      </c>
      <c r="G289" t="inlineStr">
        <is>
          <t>LUDVIKA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46258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46258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52556-2025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46258</v>
      </c>
      <c r="F292" t="inlineStr">
        <is>
          <t>DALARNAS LÄN</t>
        </is>
      </c>
      <c r="G292" t="inlineStr">
        <is>
          <t>LUDVIKA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52459-2025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45954</v>
      </c>
      <c r="E293" s="1" t="n">
        <v>46258</v>
      </c>
      <c r="F293" t="inlineStr">
        <is>
          <t>DALARNAS LÄN</t>
        </is>
      </c>
      <c r="G293" t="inlineStr">
        <is>
          <t>LUDVIKA</t>
        </is>
      </c>
      <c r="H293" t="inlineStr">
        <is>
          <t>Övriga Aktiebolag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46258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52427-2025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45954</v>
      </c>
      <c r="E295" s="1" t="n">
        <v>46258</v>
      </c>
      <c r="F295" t="inlineStr">
        <is>
          <t>DALARNAS LÄN</t>
        </is>
      </c>
      <c r="G295" t="inlineStr">
        <is>
          <t>LUDVIKA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65104-2023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45288</v>
      </c>
      <c r="E296" s="1" t="n">
        <v>46258</v>
      </c>
      <c r="F296" t="inlineStr">
        <is>
          <t>DALARNAS LÄN</t>
        </is>
      </c>
      <c r="G296" t="inlineStr">
        <is>
          <t>LUDVIKA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46258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45840</v>
      </c>
      <c r="E298" s="1" t="n">
        <v>46258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52900-2025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46258</v>
      </c>
      <c r="F299" t="inlineStr">
        <is>
          <t>DALARNAS LÄN</t>
        </is>
      </c>
      <c r="G299" t="inlineStr">
        <is>
          <t>LUDVIKA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45106</v>
      </c>
      <c r="E300" s="1" t="n">
        <v>46258</v>
      </c>
      <c r="F300" t="inlineStr">
        <is>
          <t>DALARNAS LÄN</t>
        </is>
      </c>
      <c r="G300" t="inlineStr">
        <is>
          <t>LUDVIKA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46258</v>
      </c>
      <c r="F301" t="inlineStr">
        <is>
          <t>DALARNAS LÄN</t>
        </is>
      </c>
      <c r="G301" t="inlineStr">
        <is>
          <t>LUDVIKA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34067-2025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45845</v>
      </c>
      <c r="E302" s="1" t="n">
        <v>46258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45754</v>
      </c>
      <c r="E303" s="1" t="n">
        <v>46258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46258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59050-2022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44903</v>
      </c>
      <c r="E305" s="1" t="n">
        <v>46258</v>
      </c>
      <c r="F305" t="inlineStr">
        <is>
          <t>DALARNAS LÄN</t>
        </is>
      </c>
      <c r="G305" t="inlineStr">
        <is>
          <t>LUDVIKA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45579</v>
      </c>
      <c r="E306" s="1" t="n">
        <v>46258</v>
      </c>
      <c r="F306" t="inlineStr">
        <is>
          <t>DALARNAS LÄN</t>
        </is>
      </c>
      <c r="G306" t="inlineStr">
        <is>
          <t>LUDVIKA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45547-2024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45579</v>
      </c>
      <c r="E307" s="1" t="n">
        <v>46258</v>
      </c>
      <c r="F307" t="inlineStr">
        <is>
          <t>DALARNAS LÄN</t>
        </is>
      </c>
      <c r="G307" t="inlineStr">
        <is>
          <t>LUDVIKA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31043-2024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45502</v>
      </c>
      <c r="E308" s="1" t="n">
        <v>46258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46258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45965</v>
      </c>
      <c r="E310" s="1" t="n">
        <v>46258</v>
      </c>
      <c r="F310" t="inlineStr">
        <is>
          <t>DALARNAS LÄN</t>
        </is>
      </c>
      <c r="G310" t="inlineStr">
        <is>
          <t>LUDVIKA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54375-2025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46258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45622</v>
      </c>
      <c r="E312" s="1" t="n">
        <v>46258</v>
      </c>
      <c r="F312" t="inlineStr">
        <is>
          <t>DALARNAS LÄN</t>
        </is>
      </c>
      <c r="G312" t="inlineStr">
        <is>
          <t>LUDVIKA</t>
        </is>
      </c>
      <c r="H312" t="inlineStr">
        <is>
          <t>Naturvårdsverket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46258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45963</v>
      </c>
      <c r="E314" s="1" t="n">
        <v>46258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46258</v>
      </c>
      <c r="F315" t="inlineStr">
        <is>
          <t>DALARNAS LÄN</t>
        </is>
      </c>
      <c r="G315" t="inlineStr">
        <is>
          <t>LUDVIKA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46258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46258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46258</v>
      </c>
      <c r="F318" t="inlineStr">
        <is>
          <t>DALARNAS LÄN</t>
        </is>
      </c>
      <c r="G318" t="inlineStr">
        <is>
          <t>LUDVIKA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46258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46258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46258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46258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46258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46258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46258</v>
      </c>
      <c r="F325" t="inlineStr">
        <is>
          <t>DALARNAS LÄN</t>
        </is>
      </c>
      <c r="G325" t="inlineStr">
        <is>
          <t>LUDVIKA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46258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46258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55932-2025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46258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46258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46258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46258</v>
      </c>
      <c r="F331" t="inlineStr">
        <is>
          <t>DALARNAS LÄN</t>
        </is>
      </c>
      <c r="G331" t="inlineStr">
        <is>
          <t>LUDVIKA</t>
        </is>
      </c>
      <c r="H331" t="inlineStr">
        <is>
          <t>Naturvårdsverket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46258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46258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7.2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56316-2025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46258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46258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44859</v>
      </c>
      <c r="E336" s="1" t="n">
        <v>46258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45705</v>
      </c>
      <c r="E337" s="1" t="n">
        <v>46258</v>
      </c>
      <c r="F337" t="inlineStr">
        <is>
          <t>DALARNAS LÄN</t>
        </is>
      </c>
      <c r="G337" t="inlineStr">
        <is>
          <t>LUDVIKA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46258</v>
      </c>
      <c r="F338" t="inlineStr">
        <is>
          <t>DALARNAS LÄN</t>
        </is>
      </c>
      <c r="G338" t="inlineStr">
        <is>
          <t>LUDVIKA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45559-2024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46258</v>
      </c>
      <c r="F339" t="inlineStr">
        <is>
          <t>DALARNAS LÄN</t>
        </is>
      </c>
      <c r="G339" t="inlineStr">
        <is>
          <t>LUDVIKA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46258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46258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45974</v>
      </c>
      <c r="E342" s="1" t="n">
        <v>46258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46258</v>
      </c>
      <c r="F343" t="inlineStr">
        <is>
          <t>DALARNAS LÄN</t>
        </is>
      </c>
      <c r="G343" t="inlineStr">
        <is>
          <t>LUDVIKA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46258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34861-2025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45849</v>
      </c>
      <c r="E345" s="1" t="n">
        <v>46258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46258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57435-2025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45980</v>
      </c>
      <c r="E347" s="1" t="n">
        <v>46258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57870-2025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45981</v>
      </c>
      <c r="E348" s="1" t="n">
        <v>46258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46258</v>
      </c>
      <c r="F349" t="inlineStr">
        <is>
          <t>DALARNAS LÄN</t>
        </is>
      </c>
      <c r="G349" t="inlineStr">
        <is>
          <t>LUDVIKA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45481</v>
      </c>
      <c r="E350" s="1" t="n">
        <v>46258</v>
      </c>
      <c r="F350" t="inlineStr">
        <is>
          <t>DALARNAS LÄN</t>
        </is>
      </c>
      <c r="G350" t="inlineStr">
        <is>
          <t>LUDVIKA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45411</v>
      </c>
      <c r="E351" s="1" t="n">
        <v>46258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45909</v>
      </c>
      <c r="E352" s="1" t="n">
        <v>46258</v>
      </c>
      <c r="F352" t="inlineStr">
        <is>
          <t>DALARNAS LÄN</t>
        </is>
      </c>
      <c r="G352" t="inlineStr">
        <is>
          <t>LUDVIKA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46258</v>
      </c>
      <c r="F353" t="inlineStr">
        <is>
          <t>DALARNAS LÄN</t>
        </is>
      </c>
      <c r="G353" t="inlineStr">
        <is>
          <t>LUDVIKA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46258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45929</v>
      </c>
      <c r="E355" s="1" t="n">
        <v>46258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46258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45309-2021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44439</v>
      </c>
      <c r="E357" s="1" t="n">
        <v>46258</v>
      </c>
      <c r="F357" t="inlineStr">
        <is>
          <t>DALARNAS LÄN</t>
        </is>
      </c>
      <c r="G357" t="inlineStr">
        <is>
          <t>LUDVIKA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51080-2024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46258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46258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39833-2025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45891</v>
      </c>
      <c r="E360" s="1" t="n">
        <v>46258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44771</v>
      </c>
      <c r="E361" s="1" t="n">
        <v>46258</v>
      </c>
      <c r="F361" t="inlineStr">
        <is>
          <t>DALARNAS LÄN</t>
        </is>
      </c>
      <c r="G361" t="inlineStr">
        <is>
          <t>LUDVIKA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59176-2025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45988</v>
      </c>
      <c r="E362" s="1" t="n">
        <v>46258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46258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46258</v>
      </c>
      <c r="F364" t="inlineStr">
        <is>
          <t>DALARNAS LÄN</t>
        </is>
      </c>
      <c r="G364" t="inlineStr">
        <is>
          <t>LUDVIKA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46258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46258</v>
      </c>
      <c r="F366" t="inlineStr">
        <is>
          <t>DALARNAS LÄN</t>
        </is>
      </c>
      <c r="G366" t="inlineStr">
        <is>
          <t>LUDVIKA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28507-2023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46258</v>
      </c>
      <c r="F367" t="inlineStr">
        <is>
          <t>DALARNAS LÄN</t>
        </is>
      </c>
      <c r="G367" t="inlineStr">
        <is>
          <t>LUDVIKA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44890</v>
      </c>
      <c r="E368" s="1" t="n">
        <v>46258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46258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46258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46258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46258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45045-2023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46258</v>
      </c>
      <c r="F373" t="inlineStr">
        <is>
          <t>DALARNAS LÄN</t>
        </is>
      </c>
      <c r="G373" t="inlineStr">
        <is>
          <t>LUDVIKA</t>
        </is>
      </c>
      <c r="H373" t="inlineStr">
        <is>
          <t>Sveaskog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46258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46258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46258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45520</v>
      </c>
      <c r="E377" s="1" t="n">
        <v>46258</v>
      </c>
      <c r="F377" t="inlineStr">
        <is>
          <t>DALARNAS LÄN</t>
        </is>
      </c>
      <c r="G377" t="inlineStr">
        <is>
          <t>LUDVIKA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46258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46001</v>
      </c>
      <c r="E379" s="1" t="n">
        <v>46258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46258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15128-2025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45744</v>
      </c>
      <c r="E381" s="1" t="n">
        <v>46258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46258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65195-2021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44515</v>
      </c>
      <c r="E383" s="1" t="n">
        <v>46258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46258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46258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46258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56685-2022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44893</v>
      </c>
      <c r="E387" s="1" t="n">
        <v>46258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32329-2024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46258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53996-2024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45616</v>
      </c>
      <c r="E389" s="1" t="n">
        <v>46258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45765</v>
      </c>
      <c r="E390" s="1" t="n">
        <v>46258</v>
      </c>
      <c r="F390" t="inlineStr">
        <is>
          <t>DALARNAS LÄN</t>
        </is>
      </c>
      <c r="G390" t="inlineStr">
        <is>
          <t>LUDVIKA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49045-2024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45594</v>
      </c>
      <c r="E391" s="1" t="n">
        <v>46258</v>
      </c>
      <c r="F391" t="inlineStr">
        <is>
          <t>DALARNAS LÄN</t>
        </is>
      </c>
      <c r="G391" t="inlineStr">
        <is>
          <t>LUDVIKA</t>
        </is>
      </c>
      <c r="H391" t="inlineStr">
        <is>
          <t>Naturvårdsverket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46258</v>
      </c>
      <c r="F392" t="inlineStr">
        <is>
          <t>DALARNAS LÄN</t>
        </is>
      </c>
      <c r="G392" t="inlineStr">
        <is>
          <t>LUDVIKA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46258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45740</v>
      </c>
      <c r="E394" s="1" t="n">
        <v>46258</v>
      </c>
      <c r="F394" t="inlineStr">
        <is>
          <t>DALARNAS LÄN</t>
        </is>
      </c>
      <c r="G394" t="inlineStr">
        <is>
          <t>LUDVIKA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46258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62706-2025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46258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31100-2024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45502</v>
      </c>
      <c r="E397" s="1" t="n">
        <v>46258</v>
      </c>
      <c r="F397" t="inlineStr">
        <is>
          <t>DALARNAS LÄN</t>
        </is>
      </c>
      <c r="G397" t="inlineStr">
        <is>
          <t>LUDVIKA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46258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62945-2025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46009</v>
      </c>
      <c r="E399" s="1" t="n">
        <v>46258</v>
      </c>
      <c r="F399" t="inlineStr">
        <is>
          <t>DALARNAS LÄN</t>
        </is>
      </c>
      <c r="G399" t="inlineStr">
        <is>
          <t>LUDVIKA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62845-2025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46258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46258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62838-2025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46258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46258</v>
      </c>
      <c r="F403" t="inlineStr">
        <is>
          <t>DALARNAS LÄN</t>
        </is>
      </c>
      <c r="G403" t="inlineStr">
        <is>
          <t>LUDVIKA</t>
        </is>
      </c>
      <c r="H403" t="inlineStr">
        <is>
          <t>Övriga Aktiebolag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45832</v>
      </c>
      <c r="E404" s="1" t="n">
        <v>46258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46258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46258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62842-2025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46258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46258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45832</v>
      </c>
      <c r="E409" s="1" t="n">
        <v>46258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33001-2025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45840</v>
      </c>
      <c r="E410" s="1" t="n">
        <v>46258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46258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46258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44476</v>
      </c>
      <c r="E413" s="1" t="n">
        <v>46258</v>
      </c>
      <c r="F413" t="inlineStr">
        <is>
          <t>DALARNAS LÄN</t>
        </is>
      </c>
      <c r="G413" t="inlineStr">
        <is>
          <t>LUDVIKA</t>
        </is>
      </c>
      <c r="H413" t="inlineStr">
        <is>
          <t>Övriga Aktiebolag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17677-2022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44680</v>
      </c>
      <c r="E414" s="1" t="n">
        <v>46258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70046-2021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44533</v>
      </c>
      <c r="E415" s="1" t="n">
        <v>46258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46258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43055-2024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45567</v>
      </c>
      <c r="E417" s="1" t="n">
        <v>46258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43704-2024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45569</v>
      </c>
      <c r="E418" s="1" t="n">
        <v>46258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45761</v>
      </c>
      <c r="E419" s="1" t="n">
        <v>46258</v>
      </c>
      <c r="F419" t="inlineStr">
        <is>
          <t>DALARNAS LÄN</t>
        </is>
      </c>
      <c r="G419" t="inlineStr">
        <is>
          <t>LUDVIKA</t>
        </is>
      </c>
      <c r="H419" t="inlineStr">
        <is>
          <t>Naturvårdsverket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45589</v>
      </c>
      <c r="E420" s="1" t="n">
        <v>46258</v>
      </c>
      <c r="F420" t="inlineStr">
        <is>
          <t>DALARNAS LÄN</t>
        </is>
      </c>
      <c r="G420" t="inlineStr">
        <is>
          <t>LUDVIKA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46258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46258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45110</v>
      </c>
      <c r="E423" s="1" t="n">
        <v>46258</v>
      </c>
      <c r="F423" t="inlineStr">
        <is>
          <t>DALARNAS LÄN</t>
        </is>
      </c>
      <c r="G423" t="inlineStr">
        <is>
          <t>LUDVIKA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45208</v>
      </c>
      <c r="E424" s="1" t="n">
        <v>46258</v>
      </c>
      <c r="F424" t="inlineStr">
        <is>
          <t>DALARNAS LÄN</t>
        </is>
      </c>
      <c r="G424" t="inlineStr">
        <is>
          <t>LUDVIKA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46258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46258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46258</v>
      </c>
      <c r="F427" t="inlineStr">
        <is>
          <t>DALARNAS LÄN</t>
        </is>
      </c>
      <c r="G427" t="inlineStr">
        <is>
          <t>LUDVIKA</t>
        </is>
      </c>
      <c r="I427" t="n">
        <v>12.7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45119</v>
      </c>
      <c r="E428" s="1" t="n">
        <v>46258</v>
      </c>
      <c r="F428" t="inlineStr">
        <is>
          <t>DALARNAS LÄN</t>
        </is>
      </c>
      <c r="G428" t="inlineStr">
        <is>
          <t>LUDVIKA</t>
        </is>
      </c>
      <c r="H428" t="inlineStr">
        <is>
          <t>Naturvårdsverket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45337</v>
      </c>
      <c r="E429" s="1" t="n">
        <v>46258</v>
      </c>
      <c r="F429" t="inlineStr">
        <is>
          <t>DALARNAS LÄN</t>
        </is>
      </c>
      <c r="G429" t="inlineStr">
        <is>
          <t>LUDVIKA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61799-2025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46258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34845-2024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45526</v>
      </c>
      <c r="E431" s="1" t="n">
        <v>46258</v>
      </c>
      <c r="F431" t="inlineStr">
        <is>
          <t>DALARNAS LÄN</t>
        </is>
      </c>
      <c r="G431" t="inlineStr">
        <is>
          <t>LUDVIKA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25299-2022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44730</v>
      </c>
      <c r="E432" s="1" t="n">
        <v>46258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46258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49035-2024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45594</v>
      </c>
      <c r="E434" s="1" t="n">
        <v>46258</v>
      </c>
      <c r="F434" t="inlineStr">
        <is>
          <t>DALARNAS LÄN</t>
        </is>
      </c>
      <c r="G434" t="inlineStr">
        <is>
          <t>LUDVIKA</t>
        </is>
      </c>
      <c r="H434" t="inlineStr">
        <is>
          <t>Naturvårdsverket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61621-2022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44916</v>
      </c>
      <c r="E435" s="1" t="n">
        <v>46258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11632-2024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45373</v>
      </c>
      <c r="E436" s="1" t="n">
        <v>46258</v>
      </c>
      <c r="F436" t="inlineStr">
        <is>
          <t>DALARNAS LÄN</t>
        </is>
      </c>
      <c r="G436" t="inlineStr">
        <is>
          <t>LUDVIKA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46258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49114-2023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45210</v>
      </c>
      <c r="E438" s="1" t="n">
        <v>46258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56672-2023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46258</v>
      </c>
      <c r="F439" t="inlineStr">
        <is>
          <t>DALARNAS LÄN</t>
        </is>
      </c>
      <c r="G439" t="inlineStr">
        <is>
          <t>LUDVIKA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18187-2025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45761</v>
      </c>
      <c r="E440" s="1" t="n">
        <v>46258</v>
      </c>
      <c r="F440" t="inlineStr">
        <is>
          <t>DALARNAS LÄN</t>
        </is>
      </c>
      <c r="G440" t="inlineStr">
        <is>
          <t>LUDVIKA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32305-2024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45512</v>
      </c>
      <c r="E441" s="1" t="n">
        <v>46258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45961</v>
      </c>
      <c r="E442" s="1" t="n">
        <v>46258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46258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46258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45875</v>
      </c>
      <c r="E445" s="1" t="n">
        <v>46258</v>
      </c>
      <c r="F445" t="inlineStr">
        <is>
          <t>DALARNAS LÄN</t>
        </is>
      </c>
      <c r="G445" t="inlineStr">
        <is>
          <t>LUDVIKA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23097-2025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46258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61309-2022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44915</v>
      </c>
      <c r="E447" s="1" t="n">
        <v>46258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45485</v>
      </c>
      <c r="E448" s="1" t="n">
        <v>46258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46258</v>
      </c>
      <c r="F449" t="inlineStr">
        <is>
          <t>DALARNAS LÄN</t>
        </is>
      </c>
      <c r="G449" t="inlineStr">
        <is>
          <t>LUDVIKA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43115-2021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44431</v>
      </c>
      <c r="E450" s="1" t="n">
        <v>46258</v>
      </c>
      <c r="F450" t="inlineStr">
        <is>
          <t>DALARNAS LÄN</t>
        </is>
      </c>
      <c r="G450" t="inlineStr">
        <is>
          <t>LUDVIKA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51043-2024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46258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17.9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46258</v>
      </c>
      <c r="F452" t="inlineStr">
        <is>
          <t>DALARNAS LÄN</t>
        </is>
      </c>
      <c r="G452" t="inlineStr">
        <is>
          <t>LUDVIKA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45833</v>
      </c>
      <c r="E453" s="1" t="n">
        <v>46258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46258</v>
      </c>
      <c r="F454" t="inlineStr">
        <is>
          <t>DALARNAS LÄN</t>
        </is>
      </c>
      <c r="G454" t="inlineStr">
        <is>
          <t>LUDVIKA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55034-2024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45621</v>
      </c>
      <c r="E455" s="1" t="n">
        <v>46258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44942</v>
      </c>
      <c r="E456" s="1" t="n">
        <v>46258</v>
      </c>
      <c r="F456" t="inlineStr">
        <is>
          <t>DALARNAS LÄN</t>
        </is>
      </c>
      <c r="G456" t="inlineStr">
        <is>
          <t>LUDVIKA</t>
        </is>
      </c>
      <c r="I456" t="n">
        <v>13.1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46258</v>
      </c>
      <c r="F457" t="inlineStr">
        <is>
          <t>DALARNAS LÄN</t>
        </is>
      </c>
      <c r="G457" t="inlineStr">
        <is>
          <t>LUDVIKA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46217</v>
      </c>
      <c r="E458" s="1" t="n">
        <v>46258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46171</v>
      </c>
      <c r="E459" s="1" t="n">
        <v>46258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36527-2024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45537</v>
      </c>
      <c r="E460" s="1" t="n">
        <v>46258</v>
      </c>
      <c r="F460" t="inlineStr">
        <is>
          <t>DALARNAS LÄN</t>
        </is>
      </c>
      <c r="G460" t="inlineStr">
        <is>
          <t>LUDVIKA</t>
        </is>
      </c>
      <c r="H460" t="inlineStr">
        <is>
          <t>Övriga Aktiebolag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46171</v>
      </c>
      <c r="E461" s="1" t="n">
        <v>46258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56615-2025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45975</v>
      </c>
      <c r="E462" s="1" t="n">
        <v>46258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46219</v>
      </c>
      <c r="E463" s="1" t="n">
        <v>46258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46258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46258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46258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25320-2026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46176</v>
      </c>
      <c r="E467" s="1" t="n">
        <v>46258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31299-2026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46218</v>
      </c>
      <c r="E468" s="1" t="n">
        <v>46258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45224</v>
      </c>
      <c r="E469" s="1" t="n">
        <v>46258</v>
      </c>
      <c r="F469" t="inlineStr">
        <is>
          <t>DALARNAS LÄN</t>
        </is>
      </c>
      <c r="G469" t="inlineStr">
        <is>
          <t>LUDVIKA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30813-2025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45831</v>
      </c>
      <c r="E470" s="1" t="n">
        <v>46258</v>
      </c>
      <c r="F470" t="inlineStr">
        <is>
          <t>DALARNAS LÄN</t>
        </is>
      </c>
      <c r="G470" t="inlineStr">
        <is>
          <t>LUDVIKA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24609-2026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46171</v>
      </c>
      <c r="E471" s="1" t="n">
        <v>46258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25193-2026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46175</v>
      </c>
      <c r="E472" s="1" t="n">
        <v>46258</v>
      </c>
      <c r="F472" t="inlineStr">
        <is>
          <t>DALARNAS LÄN</t>
        </is>
      </c>
      <c r="G472" t="inlineStr">
        <is>
          <t>LUDVIKA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46171</v>
      </c>
      <c r="E473" s="1" t="n">
        <v>46258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46171</v>
      </c>
      <c r="E474" s="1" t="n">
        <v>46258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62368-2025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46258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46167</v>
      </c>
      <c r="E476" s="1" t="n">
        <v>46258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46136</v>
      </c>
      <c r="E477" s="1" t="n">
        <v>46258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45754</v>
      </c>
      <c r="E478" s="1" t="n">
        <v>46258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46258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44599</v>
      </c>
      <c r="E480" s="1" t="n">
        <v>46258</v>
      </c>
      <c r="F480" t="inlineStr">
        <is>
          <t>DALARNAS LÄN</t>
        </is>
      </c>
      <c r="G480" t="inlineStr">
        <is>
          <t>LUDVIKA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46220</v>
      </c>
      <c r="E481" s="1" t="n">
        <v>46258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45938</v>
      </c>
      <c r="E482" s="1" t="n">
        <v>46258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46163</v>
      </c>
      <c r="E483" s="1" t="n">
        <v>46258</v>
      </c>
      <c r="F483" t="inlineStr">
        <is>
          <t>DALARNAS LÄN</t>
        </is>
      </c>
      <c r="G483" t="inlineStr">
        <is>
          <t>LUDVIKA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46258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56818-2023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45244</v>
      </c>
      <c r="E485" s="1" t="n">
        <v>46258</v>
      </c>
      <c r="F485" t="inlineStr">
        <is>
          <t>DALARNAS LÄN</t>
        </is>
      </c>
      <c r="G485" t="inlineStr">
        <is>
          <t>LUDVIKA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44970</v>
      </c>
      <c r="E486" s="1" t="n">
        <v>46258</v>
      </c>
      <c r="F486" t="inlineStr">
        <is>
          <t>DALARNAS LÄN</t>
        </is>
      </c>
      <c r="G486" t="inlineStr">
        <is>
          <t>LUDVIKA</t>
        </is>
      </c>
      <c r="H486" t="inlineStr">
        <is>
          <t>Övriga Aktiebolag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45198</v>
      </c>
      <c r="E487" s="1" t="n">
        <v>46258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46183</v>
      </c>
      <c r="E488" s="1" t="n">
        <v>46258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46230</v>
      </c>
      <c r="E489" s="1" t="n">
        <v>46258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46258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26902-2026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46258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53620-2022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44879</v>
      </c>
      <c r="E492" s="1" t="n">
        <v>46258</v>
      </c>
      <c r="F492" t="inlineStr">
        <is>
          <t>DALARNAS LÄN</t>
        </is>
      </c>
      <c r="G492" t="inlineStr">
        <is>
          <t>LUDVIKA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46230</v>
      </c>
      <c r="E493" s="1" t="n">
        <v>46258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46258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57969-2024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45631</v>
      </c>
      <c r="E495" s="1" t="n">
        <v>46258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49669-2024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45596</v>
      </c>
      <c r="E496" s="1" t="n">
        <v>46258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46233</v>
      </c>
      <c r="E497" s="1" t="n">
        <v>46258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39761-2022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44819</v>
      </c>
      <c r="E498" s="1" t="n">
        <v>46258</v>
      </c>
      <c r="F498" t="inlineStr">
        <is>
          <t>DALARNAS LÄN</t>
        </is>
      </c>
      <c r="G498" t="inlineStr">
        <is>
          <t>LUDVIKA</t>
        </is>
      </c>
      <c r="H498" t="inlineStr">
        <is>
          <t>Naturvårdsverket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46258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46258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46258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27989-2026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46258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46258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46258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46258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46258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28061-2026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46258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46258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27853-2026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46258</v>
      </c>
      <c r="F509" t="inlineStr">
        <is>
          <t>DALARNAS LÄN</t>
        </is>
      </c>
      <c r="G509" t="inlineStr">
        <is>
          <t>LUDVIKA</t>
        </is>
      </c>
      <c r="I509" t="n">
        <v>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46258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26727-2026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46258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46190</v>
      </c>
      <c r="E512" s="1" t="n">
        <v>46258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45062</v>
      </c>
      <c r="E513" s="1" t="n">
        <v>46258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27609-2026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46190</v>
      </c>
      <c r="E514" s="1" t="n">
        <v>46258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46190</v>
      </c>
      <c r="E515" s="1" t="n">
        <v>46258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45404</v>
      </c>
      <c r="E516" s="1" t="n">
        <v>46258</v>
      </c>
      <c r="F516" t="inlineStr">
        <is>
          <t>DALARNAS LÄN</t>
        </is>
      </c>
      <c r="G516" t="inlineStr">
        <is>
          <t>LUDVIKA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41400-2022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44826</v>
      </c>
      <c r="E517" s="1" t="n">
        <v>46258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46114</v>
      </c>
      <c r="E518" s="1" t="n">
        <v>46258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46241</v>
      </c>
      <c r="E519" s="1" t="n">
        <v>46258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46241</v>
      </c>
      <c r="E520" s="1" t="n">
        <v>46258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46241</v>
      </c>
      <c r="E521" s="1" t="n">
        <v>46258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46258</v>
      </c>
      <c r="F522" t="inlineStr">
        <is>
          <t>DALARNAS LÄN</t>
        </is>
      </c>
      <c r="G522" t="inlineStr">
        <is>
          <t>LUDVIKA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45593</v>
      </c>
      <c r="E523" s="1" t="n">
        <v>46258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46160</v>
      </c>
      <c r="E524" s="1" t="n">
        <v>46258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46119</v>
      </c>
      <c r="E525" s="1" t="n">
        <v>46258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19.8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46160</v>
      </c>
      <c r="E526" s="1" t="n">
        <v>46258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46258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46258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46258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46122</v>
      </c>
      <c r="E530" s="1" t="n">
        <v>46258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46258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45156</v>
      </c>
      <c r="E532" s="1" t="n">
        <v>46258</v>
      </c>
      <c r="F532" t="inlineStr">
        <is>
          <t>DALARNAS LÄN</t>
        </is>
      </c>
      <c r="G532" t="inlineStr">
        <is>
          <t>LUDVIKA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46258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46241</v>
      </c>
      <c r="E534" s="1" t="n">
        <v>46258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46258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46258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46160</v>
      </c>
      <c r="E537" s="1" t="n">
        <v>46258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9.9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28838-2026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46258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46241</v>
      </c>
      <c r="E539" s="1" t="n">
        <v>46258</v>
      </c>
      <c r="F539" t="inlineStr">
        <is>
          <t>DALARNAS LÄN</t>
        </is>
      </c>
      <c r="G539" t="inlineStr">
        <is>
          <t>LUDVIKA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28792-2026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46198</v>
      </c>
      <c r="E540" s="1" t="n">
        <v>46258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46146</v>
      </c>
      <c r="E541" s="1" t="n">
        <v>46258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46258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46258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46258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46258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11436-2024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45372</v>
      </c>
      <c r="E546" s="1" t="n">
        <v>46258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46258</v>
      </c>
      <c r="F547" t="inlineStr">
        <is>
          <t>DALARNAS LÄN</t>
        </is>
      </c>
      <c r="G547" t="inlineStr">
        <is>
          <t>LUDVIKA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44820</v>
      </c>
      <c r="E548" s="1" t="n">
        <v>46258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40151-2022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44820</v>
      </c>
      <c r="E549" s="1" t="n">
        <v>46258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21741-2022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44708</v>
      </c>
      <c r="E550" s="1" t="n">
        <v>46258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46258</v>
      </c>
      <c r="F551" t="inlineStr">
        <is>
          <t>DALARNAS LÄN</t>
        </is>
      </c>
      <c r="G551" t="inlineStr">
        <is>
          <t>LUDVIKA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46258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46258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44459</v>
      </c>
      <c r="E554" s="1" t="n">
        <v>46258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53554-2025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45960</v>
      </c>
      <c r="E555" s="1" t="n">
        <v>46258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22611-2026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46258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10.1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59186-2025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46258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46258</v>
      </c>
      <c r="F558" t="inlineStr">
        <is>
          <t>DALARNAS LÄN</t>
        </is>
      </c>
      <c r="G558" t="inlineStr">
        <is>
          <t>LUDVIKA</t>
        </is>
      </c>
      <c r="H558" t="inlineStr">
        <is>
          <t>Naturvårdsverket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7714-2026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46062</v>
      </c>
      <c r="E559" s="1" t="n">
        <v>46258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46258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45835</v>
      </c>
      <c r="E561" s="1" t="n">
        <v>46258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33419-2026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46247</v>
      </c>
      <c r="E562" s="1" t="n">
        <v>46258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46258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33373-2026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46258</v>
      </c>
      <c r="F564" t="inlineStr">
        <is>
          <t>DALARNAS LÄN</t>
        </is>
      </c>
      <c r="G564" t="inlineStr">
        <is>
          <t>LUDVIKA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46258</v>
      </c>
      <c r="F565" t="inlineStr">
        <is>
          <t>DALARNAS LÄN</t>
        </is>
      </c>
      <c r="G565" t="inlineStr">
        <is>
          <t>LUDVIKA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46136</v>
      </c>
      <c r="E566" s="1" t="n">
        <v>46258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41616-2024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46258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33345-2024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45519</v>
      </c>
      <c r="E568" s="1" t="n">
        <v>46258</v>
      </c>
      <c r="F568" t="inlineStr">
        <is>
          <t>DALARNAS LÄN</t>
        </is>
      </c>
      <c r="G568" t="inlineStr">
        <is>
          <t>LUDVIKA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46258</v>
      </c>
      <c r="F569" t="inlineStr">
        <is>
          <t>DALARNAS LÄN</t>
        </is>
      </c>
      <c r="G569" t="inlineStr">
        <is>
          <t>LUDVIKA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46258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55151-2025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46258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46258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46258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45531</v>
      </c>
      <c r="E574" s="1" t="n">
        <v>46258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46258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3280-2024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45317</v>
      </c>
      <c r="E576" s="1" t="n">
        <v>46258</v>
      </c>
      <c r="F576" t="inlineStr">
        <is>
          <t>DALARNAS LÄN</t>
        </is>
      </c>
      <c r="G576" t="inlineStr">
        <is>
          <t>LUDVIKA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46258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3470-2025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45680</v>
      </c>
      <c r="E578" s="1" t="n">
        <v>46258</v>
      </c>
      <c r="F578" t="inlineStr">
        <is>
          <t>DALARNAS LÄN</t>
        </is>
      </c>
      <c r="G578" t="inlineStr">
        <is>
          <t>LUDVIKA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46258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48288-2023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45205</v>
      </c>
      <c r="E580" s="1" t="n">
        <v>46258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52912-2025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45954</v>
      </c>
      <c r="E581" s="1" t="n">
        <v>46258</v>
      </c>
      <c r="F581" t="inlineStr">
        <is>
          <t>DALARNAS LÄN</t>
        </is>
      </c>
      <c r="G581" t="inlineStr">
        <is>
          <t>LUDVIKA</t>
        </is>
      </c>
      <c r="I581" t="n">
        <v>9.800000000000001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46258</v>
      </c>
      <c r="F582" t="inlineStr">
        <is>
          <t>DALARNAS LÄN</t>
        </is>
      </c>
      <c r="G582" t="inlineStr">
        <is>
          <t>LUDVIKA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2838-2022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44581</v>
      </c>
      <c r="E583" s="1" t="n">
        <v>46258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46258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46258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20106-2026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46136</v>
      </c>
      <c r="E586" s="1" t="n">
        <v>46258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40125-2024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45554</v>
      </c>
      <c r="E587" s="1" t="n">
        <v>46258</v>
      </c>
      <c r="F587" t="inlineStr">
        <is>
          <t>DALARNAS LÄN</t>
        </is>
      </c>
      <c r="G587" t="inlineStr">
        <is>
          <t>LUDVIKA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45253</v>
      </c>
      <c r="E588" s="1" t="n">
        <v>46258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45827</v>
      </c>
      <c r="E589" s="1" t="n">
        <v>46258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46253</v>
      </c>
      <c r="E590" s="1" t="n">
        <v>46258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43839-2023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46258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41828-2025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46258</v>
      </c>
      <c r="F592" t="inlineStr">
        <is>
          <t>DALARNAS LÄN</t>
        </is>
      </c>
      <c r="G592" t="inlineStr">
        <is>
          <t>LUDVIKA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30113-2023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45110</v>
      </c>
      <c r="E593" s="1" t="n">
        <v>46258</v>
      </c>
      <c r="F593" t="inlineStr">
        <is>
          <t>DALARNAS LÄN</t>
        </is>
      </c>
      <c r="G593" t="inlineStr">
        <is>
          <t>LUDVIKA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45860</v>
      </c>
      <c r="E594" s="1" t="n">
        <v>46258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25273-2022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44729</v>
      </c>
      <c r="E595" s="1" t="n">
        <v>46258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34875-2025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45849</v>
      </c>
      <c r="E596" s="1" t="n">
        <v>46258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23871-2026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46258</v>
      </c>
      <c r="F597" t="inlineStr">
        <is>
          <t>DALARNAS LÄN</t>
        </is>
      </c>
      <c r="G597" t="inlineStr">
        <is>
          <t>LUDVIKA</t>
        </is>
      </c>
      <c r="H597" t="inlineStr">
        <is>
          <t>Kommuner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46195</v>
      </c>
      <c r="E598" s="1" t="n">
        <v>46258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55323-2025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45971</v>
      </c>
      <c r="E599" s="1" t="n">
        <v>46258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46258</v>
      </c>
      <c r="F600" t="inlineStr">
        <is>
          <t>DALARNAS LÄN</t>
        </is>
      </c>
      <c r="G600" t="inlineStr">
        <is>
          <t>LUDVIKA</t>
        </is>
      </c>
      <c r="H600" t="inlineStr">
        <is>
          <t>Naturvårdsverket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20974-2026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46258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46253</v>
      </c>
      <c r="E602" s="1" t="n">
        <v>46258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42106-2024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45562</v>
      </c>
      <c r="E603" s="1" t="n">
        <v>46258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46258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47671-2024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46258</v>
      </c>
      <c r="F605" t="inlineStr">
        <is>
          <t>DALARNAS LÄN</t>
        </is>
      </c>
      <c r="G605" t="inlineStr">
        <is>
          <t>LUDVIKA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46258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46037</v>
      </c>
      <c r="E607" s="1" t="n">
        <v>46258</v>
      </c>
      <c r="F607" t="inlineStr">
        <is>
          <t>DALARNAS LÄN</t>
        </is>
      </c>
      <c r="G607" t="inlineStr">
        <is>
          <t>LUDVIKA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6975-2023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44967</v>
      </c>
      <c r="E608" s="1" t="n">
        <v>46258</v>
      </c>
      <c r="F608" t="inlineStr">
        <is>
          <t>DALARNAS LÄN</t>
        </is>
      </c>
      <c r="G608" t="inlineStr">
        <is>
          <t>LUDVIKA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34558-2026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46258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46258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34550-2026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46258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52466-2023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45225</v>
      </c>
      <c r="E612" s="1" t="n">
        <v>46258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34584-2026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46258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34638-2026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46258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44537-2024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46258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46258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46258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20789-2026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46141</v>
      </c>
      <c r="E618" s="1" t="n">
        <v>46258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46258</v>
      </c>
      <c r="F619" t="inlineStr">
        <is>
          <t>DALARNAS LÄN</t>
        </is>
      </c>
      <c r="G619" t="inlineStr">
        <is>
          <t>LUDVIKA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20666-2026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46141</v>
      </c>
      <c r="E620" s="1" t="n">
        <v>46258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46185-2024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45581</v>
      </c>
      <c r="E621" s="1" t="n">
        <v>46258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37586-2024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45541</v>
      </c>
      <c r="E622" s="1" t="n">
        <v>46258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46258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20778-2026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46258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30844-2024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45497</v>
      </c>
      <c r="E625" s="1" t="n">
        <v>46258</v>
      </c>
      <c r="F625" t="inlineStr">
        <is>
          <t>DALARNAS LÄN</t>
        </is>
      </c>
      <c r="G625" t="inlineStr">
        <is>
          <t>LUDVIKA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20411-2023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45056</v>
      </c>
      <c r="E626" s="1" t="n">
        <v>46258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8728-2026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46258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59347-2024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45638</v>
      </c>
      <c r="E628" s="1" t="n">
        <v>46258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46258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46258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46258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21345-2026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46147</v>
      </c>
      <c r="E632" s="1" t="n">
        <v>46258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50777-2024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46258</v>
      </c>
      <c r="F633" t="inlineStr">
        <is>
          <t>DALARNAS LÄN</t>
        </is>
      </c>
      <c r="G633" t="inlineStr">
        <is>
          <t>LUDVIKA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41668-2023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46258</v>
      </c>
      <c r="F634" t="inlineStr">
        <is>
          <t>DALARNAS LÄN</t>
        </is>
      </c>
      <c r="G634" t="inlineStr">
        <is>
          <t>LUDVIKA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55462-2024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45622</v>
      </c>
      <c r="E635" s="1" t="n">
        <v>46258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55474-2024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46258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55510-2024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45622</v>
      </c>
      <c r="E637" s="1" t="n">
        <v>46258</v>
      </c>
      <c r="F637" t="inlineStr">
        <is>
          <t>DALARNAS LÄN</t>
        </is>
      </c>
      <c r="G637" t="inlineStr">
        <is>
          <t>LUDVIKA</t>
        </is>
      </c>
      <c r="H637" t="inlineStr">
        <is>
          <t>Naturvårdsverket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21472-2026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46148</v>
      </c>
      <c r="E638" s="1" t="n">
        <v>46258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38446-2025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45883</v>
      </c>
      <c r="E639" s="1" t="n">
        <v>46258</v>
      </c>
      <c r="F639" t="inlineStr">
        <is>
          <t>DALARNAS LÄN</t>
        </is>
      </c>
      <c r="G639" t="inlineStr">
        <is>
          <t>LUDVIKA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46148</v>
      </c>
      <c r="E640" s="1" t="n">
        <v>46258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4550-2025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45687</v>
      </c>
      <c r="E641" s="1" t="n">
        <v>46258</v>
      </c>
      <c r="F641" t="inlineStr">
        <is>
          <t>DALARNAS LÄN</t>
        </is>
      </c>
      <c r="G641" t="inlineStr">
        <is>
          <t>LUDVIKA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18421-2025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45762</v>
      </c>
      <c r="E642" s="1" t="n">
        <v>46258</v>
      </c>
      <c r="F642" t="inlineStr">
        <is>
          <t>DALARNAS LÄN</t>
        </is>
      </c>
      <c r="G642" t="inlineStr">
        <is>
          <t>LUDVIKA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50714-2024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45602</v>
      </c>
      <c r="E643" s="1" t="n">
        <v>46258</v>
      </c>
      <c r="F643" t="inlineStr">
        <is>
          <t>DALARNAS LÄN</t>
        </is>
      </c>
      <c r="G643" t="inlineStr">
        <is>
          <t>LUDVIKA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21872-2026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46258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21798-2026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46258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22276-2026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46258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46258</v>
      </c>
      <c r="F647" t="inlineStr">
        <is>
          <t>DALARNAS LÄN</t>
        </is>
      </c>
      <c r="G647" t="inlineStr">
        <is>
          <t>LUDVIKA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46258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22558-2026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46155</v>
      </c>
      <c r="E649" s="1" t="n">
        <v>46258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45973</v>
      </c>
      <c r="E650" s="1" t="n">
        <v>46258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22580-2026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46155</v>
      </c>
      <c r="E651" s="1" t="n">
        <v>46258</v>
      </c>
      <c r="F651" t="inlineStr">
        <is>
          <t>DALARNAS LÄN</t>
        </is>
      </c>
      <c r="G651" t="inlineStr">
        <is>
          <t>LUDVIKA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46258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9.800000000000001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46258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45679</v>
      </c>
      <c r="E654" s="1" t="n">
        <v>46258</v>
      </c>
      <c r="F654" t="inlineStr">
        <is>
          <t>DALARNAS LÄN</t>
        </is>
      </c>
      <c r="G654" t="inlineStr">
        <is>
          <t>LUDVIKA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16843-2026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46113</v>
      </c>
      <c r="E655" s="1" t="n">
        <v>46258</v>
      </c>
      <c r="F655" t="inlineStr">
        <is>
          <t>DALARNAS LÄN</t>
        </is>
      </c>
      <c r="G655" t="inlineStr">
        <is>
          <t>LUDVIKA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46258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38359-2024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45545</v>
      </c>
      <c r="E657" s="1" t="n">
        <v>46258</v>
      </c>
      <c r="F657" t="inlineStr">
        <is>
          <t>DALARNAS LÄN</t>
        </is>
      </c>
      <c r="G657" t="inlineStr">
        <is>
          <t>LUDVIKA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46258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23082-2026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46161</v>
      </c>
      <c r="E659" s="1" t="n">
        <v>46258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21893-2025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45784</v>
      </c>
      <c r="E660" s="1" t="n">
        <v>46258</v>
      </c>
      <c r="F660" t="inlineStr">
        <is>
          <t>DALARNAS LÄN</t>
        </is>
      </c>
      <c r="G660" t="inlineStr">
        <is>
          <t>LUDVIKA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46258</v>
      </c>
      <c r="F661" t="inlineStr">
        <is>
          <t>DALARNAS LÄN</t>
        </is>
      </c>
      <c r="G661" t="inlineStr">
        <is>
          <t>LUDVIKA</t>
        </is>
      </c>
      <c r="H661" t="inlineStr">
        <is>
          <t>Naturvårdsverket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42421-2024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45565</v>
      </c>
      <c r="E662" s="1" t="n">
        <v>46258</v>
      </c>
      <c r="F662" t="inlineStr">
        <is>
          <t>DALARNAS LÄN</t>
        </is>
      </c>
      <c r="G662" t="inlineStr">
        <is>
          <t>LUDVIKA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53602-2023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45230</v>
      </c>
      <c r="E663" s="1" t="n">
        <v>46258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52359-2024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46258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21891-2025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46258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45134</v>
      </c>
      <c r="E666" s="1" t="n">
        <v>46258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46095-2024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45581</v>
      </c>
      <c r="E667" s="1" t="n">
        <v>46258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41539-2024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45560</v>
      </c>
      <c r="E668" s="1" t="n">
        <v>46258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45789</v>
      </c>
      <c r="E669" s="1" t="n">
        <v>46258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45789</v>
      </c>
      <c r="E670" s="1" t="n">
        <v>46258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22610-2025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45789</v>
      </c>
      <c r="E671" s="1" t="n">
        <v>46258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46093-2024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45581</v>
      </c>
      <c r="E672" s="1" t="n">
        <v>46258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46107-2024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45581</v>
      </c>
      <c r="E673" s="1" t="n">
        <v>46258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50240-2024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45600</v>
      </c>
      <c r="E674" s="1" t="n">
        <v>46258</v>
      </c>
      <c r="F674" t="inlineStr">
        <is>
          <t>DALARNAS LÄN</t>
        </is>
      </c>
      <c r="G674" t="inlineStr">
        <is>
          <t>LUDVIKA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46258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45460</v>
      </c>
      <c r="E676" s="1" t="n">
        <v>46258</v>
      </c>
      <c r="F676" t="inlineStr">
        <is>
          <t>DALARNAS LÄN</t>
        </is>
      </c>
      <c r="G676" t="inlineStr">
        <is>
          <t>LUDVIKA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22599-2025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46258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23088-2025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45791</v>
      </c>
      <c r="E678" s="1" t="n">
        <v>46258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23105-2025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45791</v>
      </c>
      <c r="E679" s="1" t="n">
        <v>46258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45524</v>
      </c>
      <c r="E680" s="1" t="n">
        <v>46258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36066-2024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45533</v>
      </c>
      <c r="E681" s="1" t="n">
        <v>46258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22850-2025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45790</v>
      </c>
      <c r="E682" s="1" t="n">
        <v>46258</v>
      </c>
      <c r="F682" t="inlineStr">
        <is>
          <t>DALARNAS LÄN</t>
        </is>
      </c>
      <c r="G682" t="inlineStr">
        <is>
          <t>LUDVIKA</t>
        </is>
      </c>
      <c r="H682" t="inlineStr">
        <is>
          <t>Övriga Aktiebolag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46258</v>
      </c>
      <c r="F683" t="inlineStr">
        <is>
          <t>DALARNAS LÄN</t>
        </is>
      </c>
      <c r="G683" t="inlineStr">
        <is>
          <t>LUDVIKA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22686-2025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46258</v>
      </c>
      <c r="F684" t="inlineStr">
        <is>
          <t>DALARNAS LÄN</t>
        </is>
      </c>
      <c r="G684" t="inlineStr">
        <is>
          <t>LUDVIKA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61278-2022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44915</v>
      </c>
      <c r="E685" s="1" t="n">
        <v>46258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46258</v>
      </c>
      <c r="F686" t="inlineStr">
        <is>
          <t>DALARNAS LÄN</t>
        </is>
      </c>
      <c r="G686" t="inlineStr">
        <is>
          <t>LUDVIKA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23137-2025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45791</v>
      </c>
      <c r="E687" s="1" t="n">
        <v>46258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45453</v>
      </c>
      <c r="E688" s="1" t="n">
        <v>46258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37549-2024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45541</v>
      </c>
      <c r="E689" s="1" t="n">
        <v>46258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20642-2025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45776</v>
      </c>
      <c r="E690" s="1" t="n">
        <v>46258</v>
      </c>
      <c r="F690" t="inlineStr">
        <is>
          <t>DALARNAS LÄN</t>
        </is>
      </c>
      <c r="G690" t="inlineStr">
        <is>
          <t>LUDVIKA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24027-2025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45796</v>
      </c>
      <c r="E691" s="1" t="n">
        <v>46258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23117-2025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45791</v>
      </c>
      <c r="E692" s="1" t="n">
        <v>46258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23139-2025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45791</v>
      </c>
      <c r="E693" s="1" t="n">
        <v>46258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45499</v>
      </c>
      <c r="E694" s="1" t="n">
        <v>46258</v>
      </c>
      <c r="F694" t="inlineStr">
        <is>
          <t>DALARNAS LÄN</t>
        </is>
      </c>
      <c r="G694" t="inlineStr">
        <is>
          <t>LUDVIKA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2837-2023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45167</v>
      </c>
      <c r="E695" s="1" t="n">
        <v>46258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1122-2023</t>
        </is>
      </c>
      <c r="B696" t="inlineStr">
        <is>
          <t>samrådsanmälan</t>
        </is>
      </c>
      <c r="C696" t="inlineStr">
        <is>
          <t>Skogsgödsling</t>
        </is>
      </c>
      <c r="D696" s="1" t="n">
        <v>45015</v>
      </c>
      <c r="E696" s="1" t="n">
        <v>46258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115.7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3660-2023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45216</v>
      </c>
      <c r="E697" s="1" t="n">
        <v>46258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1246-2024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45400</v>
      </c>
      <c r="E698" s="1" t="n">
        <v>46258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35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1096-2024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45391</v>
      </c>
      <c r="E699" s="1" t="n">
        <v>46258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26.7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4863-2022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44805</v>
      </c>
      <c r="E700" s="1" t="n">
        <v>46258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1113-2023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45015</v>
      </c>
      <c r="E701" s="1" t="n">
        <v>46258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37.9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>
      <c r="A702" t="inlineStr">
        <is>
          <t>S 1815-2026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46190</v>
      </c>
      <c r="E702" s="1" t="n">
        <v>46258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2026-08-24T01:50:46Z</dcterms:created>
  <dcterms:modified xmlns:dcterms="http://purl.org/dc/terms/" xmlns:xsi="http://www.w3.org/2001/XMLSchema-instance" xsi:type="dcterms:W3CDTF">2026-08-24T01:50:46Z</dcterms:modified>
</cp:coreProperties>
</file>
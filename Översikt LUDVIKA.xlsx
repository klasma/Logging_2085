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46221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V2">
        <f>HYPERLINK("https://klasma.github.io/Logging_2085/artfynd/A 32085-2025 artfynd.xlsx", "A 32085-2025")</f>
        <v/>
      </c>
      <c r="W2">
        <f>HYPERLINK("https://klasma.github.io/Logging_2085/kartor/A 32085-2025 karta.png", "A 32085-2025")</f>
        <v/>
      </c>
      <c r="X2">
        <f>HYPERLINK("https://klasma.github.io/Logging_2085/knärot/A 32085-2025 karta knärot.png", "A 32085-2025")</f>
        <v/>
      </c>
      <c r="Y2">
        <f>HYPERLINK("https://klasma.github.io/Logging_2085/klagomål/A 32085-2025 FSC-klagomål.docx", "A 32085-2025")</f>
        <v/>
      </c>
      <c r="Z2">
        <f>HYPERLINK("https://klasma.github.io/Logging_2085/klagomålsmail/A 32085-2025 FSC-klagomål mail.docx", "A 32085-2025")</f>
        <v/>
      </c>
      <c r="AA2">
        <f>HYPERLINK("https://klasma.github.io/Logging_2085/tillsyn/A 32085-2025 tillsynsbegäran.docx", "A 32085-2025")</f>
        <v/>
      </c>
      <c r="AB2">
        <f>HYPERLINK("https://klasma.github.io/Logging_2085/tillsynsmail/A 32085-2025 tillsynsbegäran mail.docx", "A 32085-2025")</f>
        <v/>
      </c>
      <c r="AC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46221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V3">
        <f>HYPERLINK("https://klasma.github.io/Logging_2085/artfynd/A 23094-2025 artfynd.xlsx", "A 23094-2025")</f>
        <v/>
      </c>
      <c r="W3">
        <f>HYPERLINK("https://klasma.github.io/Logging_2085/kartor/A 23094-2025 karta.png", "A 23094-2025")</f>
        <v/>
      </c>
      <c r="Y3">
        <f>HYPERLINK("https://klasma.github.io/Logging_2085/klagomål/A 23094-2025 FSC-klagomål.docx", "A 23094-2025")</f>
        <v/>
      </c>
      <c r="Z3">
        <f>HYPERLINK("https://klasma.github.io/Logging_2085/klagomålsmail/A 23094-2025 FSC-klagomål mail.docx", "A 23094-2025")</f>
        <v/>
      </c>
      <c r="AA3">
        <f>HYPERLINK("https://klasma.github.io/Logging_2085/tillsyn/A 23094-2025 tillsynsbegäran.docx", "A 23094-2025")</f>
        <v/>
      </c>
      <c r="AB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46221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V4">
        <f>HYPERLINK("https://klasma.github.io/Logging_2085/artfynd/S 4522-2023 artfynd.xlsx", "S 4522-2023")</f>
        <v/>
      </c>
      <c r="W4">
        <f>HYPERLINK("https://klasma.github.io/Logging_2085/kartor/S 4522-2023 karta.png", "S 4522-2023")</f>
        <v/>
      </c>
      <c r="X4">
        <f>HYPERLINK("https://klasma.github.io/Logging_2085/knärot/S 4522-2023 karta knärot.png", "S 4522-2023")</f>
        <v/>
      </c>
      <c r="Y4">
        <f>HYPERLINK("https://klasma.github.io/Logging_2085/klagomål/S 4522-2023 FSC-klagomål.docx", "S 4522-2023")</f>
        <v/>
      </c>
      <c r="Z4">
        <f>HYPERLINK("https://klasma.github.io/Logging_2085/klagomålsmail/S 4522-2023 FSC-klagomål mail.docx", "S 4522-2023")</f>
        <v/>
      </c>
      <c r="AA4">
        <f>HYPERLINK("https://klasma.github.io/Logging_2085/tillsyn/S 4522-2023 tillsynsbegäran.docx", "S 4522-2023")</f>
        <v/>
      </c>
      <c r="AB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46221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V5">
        <f>HYPERLINK("https://klasma.github.io/Logging_2085/artfynd/A 49804-2025 artfynd.xlsx", "A 49804-2025")</f>
        <v/>
      </c>
      <c r="W5">
        <f>HYPERLINK("https://klasma.github.io/Logging_2085/kartor/A 49804-2025 karta.png", "A 49804-2025")</f>
        <v/>
      </c>
      <c r="Y5">
        <f>HYPERLINK("https://klasma.github.io/Logging_2085/klagomål/A 49804-2025 FSC-klagomål.docx", "A 49804-2025")</f>
        <v/>
      </c>
      <c r="Z5">
        <f>HYPERLINK("https://klasma.github.io/Logging_2085/klagomålsmail/A 49804-2025 FSC-klagomål mail.docx", "A 49804-2025")</f>
        <v/>
      </c>
      <c r="AA5">
        <f>HYPERLINK("https://klasma.github.io/Logging_2085/tillsyn/A 49804-2025 tillsynsbegäran.docx", "A 49804-2025")</f>
        <v/>
      </c>
      <c r="AB5">
        <f>HYPERLINK("https://klasma.github.io/Logging_2085/tillsynsmail/A 49804-2025 tillsynsbegäran mail.docx", "A 49804-2025")</f>
        <v/>
      </c>
      <c r="AC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46221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V6">
        <f>HYPERLINK("https://klasma.github.io/Logging_2085/artfynd/A 53931-2025 artfynd.xlsx", "A 53931-2025")</f>
        <v/>
      </c>
      <c r="W6">
        <f>HYPERLINK("https://klasma.github.io/Logging_2085/kartor/A 53931-2025 karta.png", "A 53931-2025")</f>
        <v/>
      </c>
      <c r="Y6">
        <f>HYPERLINK("https://klasma.github.io/Logging_2085/klagomål/A 53931-2025 FSC-klagomål.docx", "A 53931-2025")</f>
        <v/>
      </c>
      <c r="Z6">
        <f>HYPERLINK("https://klasma.github.io/Logging_2085/klagomålsmail/A 53931-2025 FSC-klagomål mail.docx", "A 53931-2025")</f>
        <v/>
      </c>
      <c r="AA6">
        <f>HYPERLINK("https://klasma.github.io/Logging_2085/tillsyn/A 53931-2025 tillsynsbegäran.docx", "A 53931-2025")</f>
        <v/>
      </c>
      <c r="AB6">
        <f>HYPERLINK("https://klasma.github.io/Logging_2085/tillsynsmail/A 53931-2025 tillsynsbegäran mail.docx", "A 53931-2025")</f>
        <v/>
      </c>
      <c r="AC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46221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s="2" t="inlineStr">
        <is>
          <t>Garnlav
Knärot
Dropptaggsvamp
Lunglav
Skogshare
Tretåig hackspett
Korallblylav
Mindre märgborre
Norrlandslav
Rävticka
Skinnlav
Järpe
Spillkråka</t>
        </is>
      </c>
      <c r="V7">
        <f>HYPERLINK("https://klasma.github.io/Logging_2085/artfynd/A 59950-2025 artfynd.xlsx", "A 59950-2025")</f>
        <v/>
      </c>
      <c r="W7">
        <f>HYPERLINK("https://klasma.github.io/Logging_2085/kartor/A 59950-2025 karta.png", "A 59950-2025")</f>
        <v/>
      </c>
      <c r="X7">
        <f>HYPERLINK("https://klasma.github.io/Logging_2085/knärot/A 59950-2025 karta knärot.png", "A 59950-2025")</f>
        <v/>
      </c>
      <c r="Y7">
        <f>HYPERLINK("https://klasma.github.io/Logging_2085/klagomål/A 59950-2025 FSC-klagomål.docx", "A 59950-2025")</f>
        <v/>
      </c>
      <c r="Z7">
        <f>HYPERLINK("https://klasma.github.io/Logging_2085/klagomålsmail/A 59950-2025 FSC-klagomål mail.docx", "A 59950-2025")</f>
        <v/>
      </c>
      <c r="AA7">
        <f>HYPERLINK("https://klasma.github.io/Logging_2085/tillsyn/A 59950-2025 tillsynsbegäran.docx", "A 59950-2025")</f>
        <v/>
      </c>
      <c r="AB7">
        <f>HYPERLINK("https://klasma.github.io/Logging_2085/tillsynsmail/A 59950-2025 tillsynsbegäran mail.docx", "A 59950-2025")</f>
        <v/>
      </c>
      <c r="AC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46221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s="2" t="inlineStr">
        <is>
          <t>Garnlav
Knärot
Lappuggla
Kortskaftad ärgspik
Rynkskinn
Tretåig hackspett
Vedskivlav
Vedtrappmossa
Bronshjon
Mindre märgborre
Thomsons trägnagare
Spillkråka
Tjäder</t>
        </is>
      </c>
      <c r="V8">
        <f>HYPERLINK("https://klasma.github.io/Logging_2085/artfynd/A 7204-2026 artfynd.xlsx", "A 7204-2026")</f>
        <v/>
      </c>
      <c r="W8">
        <f>HYPERLINK("https://klasma.github.io/Logging_2085/kartor/A 7204-2026 karta.png", "A 7204-2026")</f>
        <v/>
      </c>
      <c r="X8">
        <f>HYPERLINK("https://klasma.github.io/Logging_2085/knärot/A 7204-2026 karta knärot.png", "A 7204-2026")</f>
        <v/>
      </c>
      <c r="Y8">
        <f>HYPERLINK("https://klasma.github.io/Logging_2085/klagomål/A 7204-2026 FSC-klagomål.docx", "A 7204-2026")</f>
        <v/>
      </c>
      <c r="Z8">
        <f>HYPERLINK("https://klasma.github.io/Logging_2085/klagomålsmail/A 7204-2026 FSC-klagomål mail.docx", "A 7204-2026")</f>
        <v/>
      </c>
      <c r="AA8">
        <f>HYPERLINK("https://klasma.github.io/Logging_2085/tillsyn/A 7204-2026 tillsynsbegäran.docx", "A 7204-2026")</f>
        <v/>
      </c>
      <c r="AB8">
        <f>HYPERLINK("https://klasma.github.io/Logging_2085/tillsynsmail/A 7204-2026 tillsynsbegäran mail.docx", "A 7204-2026")</f>
        <v/>
      </c>
      <c r="AC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46221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V9">
        <f>HYPERLINK("https://klasma.github.io/Logging_2085/artfynd/S 1407-2022 artfynd.xlsx", "S 1407-2022")</f>
        <v/>
      </c>
      <c r="W9">
        <f>HYPERLINK("https://klasma.github.io/Logging_2085/kartor/S 1407-2022 karta.png", "S 1407-2022")</f>
        <v/>
      </c>
      <c r="Y9">
        <f>HYPERLINK("https://klasma.github.io/Logging_2085/klagomål/S 1407-2022 FSC-klagomål.docx", "S 1407-2022")</f>
        <v/>
      </c>
      <c r="Z9">
        <f>HYPERLINK("https://klasma.github.io/Logging_2085/klagomålsmail/S 1407-2022 FSC-klagomål mail.docx", "S 1407-2022")</f>
        <v/>
      </c>
      <c r="AA9">
        <f>HYPERLINK("https://klasma.github.io/Logging_2085/tillsyn/S 1407-2022 tillsynsbegäran.docx", "S 1407-2022")</f>
        <v/>
      </c>
      <c r="AB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46221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s="2" t="inlineStr">
        <is>
          <t>Mjölig dropplav
Fjällig taggsvamp s.str.
Gammelgransskål
Kådvaxskinn
Mindre träfjäril
Rynkskinn
Aspvedborre
Barkticka
Kamjordstjärna
Mörk husmossa
Svavelriska
Vedticka</t>
        </is>
      </c>
      <c r="V10">
        <f>HYPERLINK("https://klasma.github.io/Logging_2085/artfynd/A 1912-2023 artfynd.xlsx", "A 1912-2023")</f>
        <v/>
      </c>
      <c r="W10">
        <f>HYPERLINK("https://klasma.github.io/Logging_2085/kartor/A 1912-2023 karta.png", "A 1912-2023")</f>
        <v/>
      </c>
      <c r="Y10">
        <f>HYPERLINK("https://klasma.github.io/Logging_2085/klagomål/A 1912-2023 FSC-klagomål.docx", "A 1912-2023")</f>
        <v/>
      </c>
      <c r="Z10">
        <f>HYPERLINK("https://klasma.github.io/Logging_2085/klagomålsmail/A 1912-2023 FSC-klagomål mail.docx", "A 1912-2023")</f>
        <v/>
      </c>
      <c r="AA10">
        <f>HYPERLINK("https://klasma.github.io/Logging_2085/tillsyn/A 1912-2023 tillsynsbegäran.docx", "A 1912-2023")</f>
        <v/>
      </c>
      <c r="AB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46221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s="2" t="inlineStr">
        <is>
          <t>Kötticka
Rynkskinn
Tallticka
Ullticka
Violettgrå tagellav
Vågticka
Bronshjon
Mindre märgborre
Sotriska
Trådticka
Vanlig flatbagge
Vågbandad barkbock</t>
        </is>
      </c>
      <c r="V11">
        <f>HYPERLINK("https://klasma.github.io/Logging_2085/artfynd/S 2084-2022 artfynd.xlsx", "S 2084-2022")</f>
        <v/>
      </c>
      <c r="W11">
        <f>HYPERLINK("https://klasma.github.io/Logging_2085/kartor/S 2084-2022 karta.png", "S 2084-2022")</f>
        <v/>
      </c>
      <c r="Y11">
        <f>HYPERLINK("https://klasma.github.io/Logging_2085/klagomål/S 2084-2022 FSC-klagomål.docx", "S 2084-2022")</f>
        <v/>
      </c>
      <c r="Z11">
        <f>HYPERLINK("https://klasma.github.io/Logging_2085/klagomålsmail/S 2084-2022 FSC-klagomål mail.docx", "S 2084-2022")</f>
        <v/>
      </c>
      <c r="AA11">
        <f>HYPERLINK("https://klasma.github.io/Logging_2085/tillsyn/S 2084-2022 tillsynsbegäran.docx", "S 2084-2022")</f>
        <v/>
      </c>
      <c r="AB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46221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s="2" t="inlineStr">
        <is>
          <t>Garnlav
Knärot
Skrovlig taggsvamp
Dropptaggsvamp
Dvärgbägarlav
Orange taggsvamp
Skarp dropptaggsvamp
Ullticka
Björksplintborre
Bollvitmossa
Mindre märgborre</t>
        </is>
      </c>
      <c r="V12">
        <f>HYPERLINK("https://klasma.github.io/Logging_2085/artfynd/A 57277-2024 artfynd.xlsx", "A 57277-2024")</f>
        <v/>
      </c>
      <c r="W12">
        <f>HYPERLINK("https://klasma.github.io/Logging_2085/kartor/A 57277-2024 karta.png", "A 57277-2024")</f>
        <v/>
      </c>
      <c r="X12">
        <f>HYPERLINK("https://klasma.github.io/Logging_2085/knärot/A 57277-2024 karta knärot.png", "A 57277-2024")</f>
        <v/>
      </c>
      <c r="Y12">
        <f>HYPERLINK("https://klasma.github.io/Logging_2085/klagomål/A 57277-2024 FSC-klagomål.docx", "A 57277-2024")</f>
        <v/>
      </c>
      <c r="Z12">
        <f>HYPERLINK("https://klasma.github.io/Logging_2085/klagomålsmail/A 57277-2024 FSC-klagomål mail.docx", "A 57277-2024")</f>
        <v/>
      </c>
      <c r="AA12">
        <f>HYPERLINK("https://klasma.github.io/Logging_2085/tillsyn/A 57277-2024 tillsynsbegäran.docx", "A 57277-2024")</f>
        <v/>
      </c>
      <c r="AB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46221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s="2" t="inlineStr">
        <is>
          <t>Aspgelélav
Gränsticka
Honungsticka
Kandelabersvamp
Lunglav
Veckticka
Bårdlav
Dvärgtufs
Korallblylav
Skinnlav
Stuplav</t>
        </is>
      </c>
      <c r="V13">
        <f>HYPERLINK("https://klasma.github.io/Logging_2085/artfynd/S 2144-2025 artfynd.xlsx", "S 2144-2025")</f>
        <v/>
      </c>
      <c r="W13">
        <f>HYPERLINK("https://klasma.github.io/Logging_2085/kartor/S 2144-2025 karta.png", "S 2144-2025")</f>
        <v/>
      </c>
      <c r="Y13">
        <f>HYPERLINK("https://klasma.github.io/Logging_2085/klagomål/S 2144-2025 FSC-klagomål.docx", "S 2144-2025")</f>
        <v/>
      </c>
      <c r="Z13">
        <f>HYPERLINK("https://klasma.github.io/Logging_2085/klagomålsmail/S 2144-2025 FSC-klagomål mail.docx", "S 2144-2025")</f>
        <v/>
      </c>
      <c r="AA13">
        <f>HYPERLINK("https://klasma.github.io/Logging_2085/tillsyn/S 2144-2025 tillsynsbegäran.docx", "S 2144-2025")</f>
        <v/>
      </c>
      <c r="AB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46221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s="2" t="inlineStr">
        <is>
          <t>Knärot
Dropptaggsvamp
Kortskaftad ärgspik
Rosenticka
Rynkskinn
Tretåig hackspett
Ullticka
Vedtrappmossa
Mindre märgborre
Spillkråka</t>
        </is>
      </c>
      <c r="V14">
        <f>HYPERLINK("https://klasma.github.io/Logging_2085/artfynd/A 57804-2025 artfynd.xlsx", "A 57804-2025")</f>
        <v/>
      </c>
      <c r="W14">
        <f>HYPERLINK("https://klasma.github.io/Logging_2085/kartor/A 57804-2025 karta.png", "A 57804-2025")</f>
        <v/>
      </c>
      <c r="X14">
        <f>HYPERLINK("https://klasma.github.io/Logging_2085/knärot/A 57804-2025 karta knärot.png", "A 57804-2025")</f>
        <v/>
      </c>
      <c r="Y14">
        <f>HYPERLINK("https://klasma.github.io/Logging_2085/klagomål/A 57804-2025 FSC-klagomål.docx", "A 57804-2025")</f>
        <v/>
      </c>
      <c r="Z14">
        <f>HYPERLINK("https://klasma.github.io/Logging_2085/klagomålsmail/A 57804-2025 FSC-klagomål mail.docx", "A 57804-2025")</f>
        <v/>
      </c>
      <c r="AA14">
        <f>HYPERLINK("https://klasma.github.io/Logging_2085/tillsyn/A 57804-2025 tillsynsbegäran.docx", "A 57804-2025")</f>
        <v/>
      </c>
      <c r="AB14">
        <f>HYPERLINK("https://klasma.github.io/Logging_2085/tillsynsmail/A 57804-2025 tillsynsbegäran mail.docx", "A 57804-2025")</f>
        <v/>
      </c>
      <c r="AC14">
        <f>HYPERLINK("https://klasma.github.io/Logging_2085/fåglar/A 57804-2025 prioriterade fågelarter.docx", "A 57804-2025")</f>
        <v/>
      </c>
    </row>
    <row r="15" ht="15" customHeight="1">
      <c r="A15" t="inlineStr">
        <is>
          <t>A 22685-2025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45786</v>
      </c>
      <c r="E15" s="1" t="n">
        <v>46221</v>
      </c>
      <c r="F15" t="inlineStr">
        <is>
          <t>DALARNAS LÄN</t>
        </is>
      </c>
      <c r="G15" t="inlineStr">
        <is>
          <t>LUDVIKA</t>
        </is>
      </c>
      <c r="I15" t="n">
        <v>2.9</v>
      </c>
      <c r="J15" t="n">
        <v>8</v>
      </c>
      <c r="K15" t="n">
        <v>0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s="2" t="inlineStr">
        <is>
          <t>Tornseglare
Brunlångöra
Entita
Nordfladdermus
Skorpgelélav
Talltita
Spillkråka
Gråskimlig fladdermus
Vattenfladdermus</t>
        </is>
      </c>
      <c r="V15">
        <f>HYPERLINK("https://klasma.github.io/Logging_2085/artfynd/A 22685-2025 artfynd.xlsx", "A 22685-2025")</f>
        <v/>
      </c>
      <c r="W15">
        <f>HYPERLINK("https://klasma.github.io/Logging_2085/kartor/A 22685-2025 karta.png", "A 22685-2025")</f>
        <v/>
      </c>
      <c r="Y15">
        <f>HYPERLINK("https://klasma.github.io/Logging_2085/klagomål/A 22685-2025 FSC-klagomål.docx", "A 22685-2025")</f>
        <v/>
      </c>
      <c r="Z15">
        <f>HYPERLINK("https://klasma.github.io/Logging_2085/klagomålsmail/A 22685-2025 FSC-klagomål mail.docx", "A 22685-2025")</f>
        <v/>
      </c>
      <c r="AA15">
        <f>HYPERLINK("https://klasma.github.io/Logging_2085/tillsyn/A 22685-2025 tillsynsbegäran.docx", "A 22685-2025")</f>
        <v/>
      </c>
      <c r="AB15">
        <f>HYPERLINK("https://klasma.github.io/Logging_2085/tillsynsmail/A 22685-2025 tillsynsbegäran mail.docx", "A 22685-2025")</f>
        <v/>
      </c>
      <c r="AC15">
        <f>HYPERLINK("https://klasma.github.io/Logging_2085/fåglar/A 22685-2025 prioriterade fågelarter.docx", "A 22685-2025")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46221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s="2" t="inlineStr">
        <is>
          <t>Aspgelélav
Ängsklint
Barrpraktbagge
Lunglav
Barkticka
Bårdlav
Korallblylav
Blåsippa
Huggorm</t>
        </is>
      </c>
      <c r="V16">
        <f>HYPERLINK("https://klasma.github.io/Logging_2085/artfynd/A 34913-2025 artfynd.xlsx", "A 34913-2025")</f>
        <v/>
      </c>
      <c r="W16">
        <f>HYPERLINK("https://klasma.github.io/Logging_2085/kartor/A 34913-2025 karta.png", "A 34913-2025")</f>
        <v/>
      </c>
      <c r="Y16">
        <f>HYPERLINK("https://klasma.github.io/Logging_2085/klagomål/A 34913-2025 FSC-klagomål.docx", "A 34913-2025")</f>
        <v/>
      </c>
      <c r="Z16">
        <f>HYPERLINK("https://klasma.github.io/Logging_2085/klagomålsmail/A 34913-2025 FSC-klagomål mail.docx", "A 34913-2025")</f>
        <v/>
      </c>
      <c r="AA16">
        <f>HYPERLINK("https://klasma.github.io/Logging_2085/tillsyn/A 34913-2025 tillsynsbegäran.docx", "A 34913-2025")</f>
        <v/>
      </c>
      <c r="AB16">
        <f>HYPERLINK("https://klasma.github.io/Logging_2085/tillsynsmail/A 34913-2025 tillsynsbegäran mail.docx", "A 34913-2025")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46221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s="2" t="inlineStr">
        <is>
          <t>Knärot
Dropptaggsvamp
Rynkskinn
Talltita
Tretåig hackspett
Vedtrappmossa
Jättesvampmal
Thomsons trägnagare
Spillkråka</t>
        </is>
      </c>
      <c r="V17">
        <f>HYPERLINK("https://klasma.github.io/Logging_2085/artfynd/A 7214-2026 artfynd.xlsx", "A 7214-2026")</f>
        <v/>
      </c>
      <c r="W17">
        <f>HYPERLINK("https://klasma.github.io/Logging_2085/kartor/A 7214-2026 karta.png", "A 7214-2026")</f>
        <v/>
      </c>
      <c r="X17">
        <f>HYPERLINK("https://klasma.github.io/Logging_2085/knärot/A 7214-2026 karta knärot.png", "A 7214-2026")</f>
        <v/>
      </c>
      <c r="Y17">
        <f>HYPERLINK("https://klasma.github.io/Logging_2085/klagomål/A 7214-2026 FSC-klagomål.docx", "A 7214-2026")</f>
        <v/>
      </c>
      <c r="Z17">
        <f>HYPERLINK("https://klasma.github.io/Logging_2085/klagomålsmail/A 7214-2026 FSC-klagomål mail.docx", "A 7214-2026")</f>
        <v/>
      </c>
      <c r="AA17">
        <f>HYPERLINK("https://klasma.github.io/Logging_2085/tillsyn/A 7214-2026 tillsynsbegäran.docx", "A 7214-2026")</f>
        <v/>
      </c>
      <c r="AB17">
        <f>HYPERLINK("https://klasma.github.io/Logging_2085/tillsynsmail/A 7214-2026 tillsynsbegäran mail.docx", "A 7214-2026")</f>
        <v/>
      </c>
      <c r="AC17">
        <f>HYPERLINK("https://klasma.github.io/Logging_2085/fåglar/A 7214-2026 prioriterade fågelarter.docx", "A 7214-2026")</f>
        <v/>
      </c>
    </row>
    <row r="18" ht="15" customHeight="1">
      <c r="A18" t="inlineStr">
        <is>
          <t>A 23503-2026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46221</v>
      </c>
      <c r="F18" t="inlineStr">
        <is>
          <t>DALARNAS LÄN</t>
        </is>
      </c>
      <c r="G18" t="inlineStr">
        <is>
          <t>LUDVIKA</t>
        </is>
      </c>
      <c r="H18" t="inlineStr">
        <is>
          <t>Bergvik skog väst AB</t>
        </is>
      </c>
      <c r="I18" t="n">
        <v>5.2</v>
      </c>
      <c r="J18" t="n">
        <v>6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20</v>
      </c>
      <c r="U18" s="2" t="inlineStr">
        <is>
          <t>Garnlav
Tretåig hackspett
Korallrot
Mindre märgborre
Järpe
Ormbär
Spillkråka
Tjäder
Fläcknycklar</t>
        </is>
      </c>
      <c r="V18">
        <f>HYPERLINK("https://klasma.github.io/Logging_2085/artfynd/A 23503-2026 artfynd.xlsx", "A 23503-2026")</f>
        <v/>
      </c>
      <c r="W18">
        <f>HYPERLINK("https://klasma.github.io/Logging_2085/kartor/A 23503-2026 karta.png", "A 23503-2026")</f>
        <v/>
      </c>
      <c r="Y18">
        <f>HYPERLINK("https://klasma.github.io/Logging_2085/klagomål/A 23503-2026 FSC-klagomål.docx", "A 23503-2026")</f>
        <v/>
      </c>
      <c r="Z18">
        <f>HYPERLINK("https://klasma.github.io/Logging_2085/klagomålsmail/A 23503-2026 FSC-klagomål mail.docx", "A 23503-2026")</f>
        <v/>
      </c>
      <c r="AA18">
        <f>HYPERLINK("https://klasma.github.io/Logging_2085/tillsyn/A 23503-2026 tillsynsbegäran.docx", "A 23503-2026")</f>
        <v/>
      </c>
      <c r="AB18">
        <f>HYPERLINK("https://klasma.github.io/Logging_2085/tillsynsmail/A 23503-2026 tillsynsbegäran mail.docx", "A 23503-2026")</f>
        <v/>
      </c>
      <c r="AC18">
        <f>HYPERLINK("https://klasma.github.io/Logging_2085/fåglar/A 23503-2026 prioriterade fågelarter.docx", "A 23503-2026")</f>
        <v/>
      </c>
    </row>
    <row r="19" ht="15" customHeight="1">
      <c r="A19" t="inlineStr">
        <is>
          <t>A 57701-2025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46221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5.5</v>
      </c>
      <c r="J19" t="n">
        <v>6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8</v>
      </c>
      <c r="T19" t="n">
        <v>25</v>
      </c>
      <c r="U19" s="2" t="inlineStr">
        <is>
          <t>Knärot
Kortskaftad ärgspik
Sparvuggla
Tretåig hackspett
Vedticka
Järpe
Spillkråka
Utter</t>
        </is>
      </c>
      <c r="V19">
        <f>HYPERLINK("https://klasma.github.io/Logging_2085/artfynd/A 57701-2025 artfynd.xlsx", "A 57701-2025")</f>
        <v/>
      </c>
      <c r="W19">
        <f>HYPERLINK("https://klasma.github.io/Logging_2085/kartor/A 57701-2025 karta.png", "A 57701-2025")</f>
        <v/>
      </c>
      <c r="X19">
        <f>HYPERLINK("https://klasma.github.io/Logging_2085/knärot/A 57701-2025 karta knärot.png", "A 57701-2025")</f>
        <v/>
      </c>
      <c r="Y19">
        <f>HYPERLINK("https://klasma.github.io/Logging_2085/klagomål/A 57701-2025 FSC-klagomål.docx", "A 57701-2025")</f>
        <v/>
      </c>
      <c r="Z19">
        <f>HYPERLINK("https://klasma.github.io/Logging_2085/klagomålsmail/A 57701-2025 FSC-klagomål mail.docx", "A 57701-2025")</f>
        <v/>
      </c>
      <c r="AA19">
        <f>HYPERLINK("https://klasma.github.io/Logging_2085/tillsyn/A 57701-2025 tillsynsbegäran.docx", "A 57701-2025")</f>
        <v/>
      </c>
      <c r="AB19">
        <f>HYPERLINK("https://klasma.github.io/Logging_2085/tillsynsmail/A 57701-2025 tillsynsbegäran mail.docx", "A 57701-2025")</f>
        <v/>
      </c>
      <c r="AC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46221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s="2" t="inlineStr">
        <is>
          <t>Garnlav
Mörk kådsvartspik
Dropptaggsvamp
Gammelgransskål
Stjärntagging
Tretåig hackspett
Järpe
Spillkråka</t>
        </is>
      </c>
      <c r="V20">
        <f>HYPERLINK("https://klasma.github.io/Logging_2085/artfynd/A 49783-2024 artfynd.xlsx", "A 49783-2024")</f>
        <v/>
      </c>
      <c r="W20">
        <f>HYPERLINK("https://klasma.github.io/Logging_2085/kartor/A 49783-2024 karta.png", "A 49783-2024")</f>
        <v/>
      </c>
      <c r="Y20">
        <f>HYPERLINK("https://klasma.github.io/Logging_2085/klagomål/A 49783-2024 FSC-klagomål.docx", "A 49783-2024")</f>
        <v/>
      </c>
      <c r="Z20">
        <f>HYPERLINK("https://klasma.github.io/Logging_2085/klagomålsmail/A 49783-2024 FSC-klagomål mail.docx", "A 49783-2024")</f>
        <v/>
      </c>
      <c r="AA20">
        <f>HYPERLINK("https://klasma.github.io/Logging_2085/tillsyn/A 49783-2024 tillsynsbegäran.docx", "A 49783-2024")</f>
        <v/>
      </c>
      <c r="AB20">
        <f>HYPERLINK("https://klasma.github.io/Logging_2085/tillsynsmail/A 49783-2024 tillsynsbegäran mail.docx", "A 49783-2024")</f>
        <v/>
      </c>
      <c r="AC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46221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s="2" t="inlineStr">
        <is>
          <t>Tornseglare
Entita
Fjällig taggsvamp s.str.
Grönsångare
Nordfladdermus
Talltita
Tjäder
Vattenfladdermus</t>
        </is>
      </c>
      <c r="V21">
        <f>HYPERLINK("https://klasma.github.io/Logging_2085/artfynd/A 23658-2025 artfynd.xlsx", "A 23658-2025")</f>
        <v/>
      </c>
      <c r="W21">
        <f>HYPERLINK("https://klasma.github.io/Logging_2085/kartor/A 23658-2025 karta.png", "A 23658-2025")</f>
        <v/>
      </c>
      <c r="Y21">
        <f>HYPERLINK("https://klasma.github.io/Logging_2085/klagomål/A 23658-2025 FSC-klagomål.docx", "A 23658-2025")</f>
        <v/>
      </c>
      <c r="Z21">
        <f>HYPERLINK("https://klasma.github.io/Logging_2085/klagomålsmail/A 23658-2025 FSC-klagomål mail.docx", "A 23658-2025")</f>
        <v/>
      </c>
      <c r="AA21">
        <f>HYPERLINK("https://klasma.github.io/Logging_2085/tillsyn/A 23658-2025 tillsynsbegäran.docx", "A 23658-2025")</f>
        <v/>
      </c>
      <c r="AB21">
        <f>HYPERLINK("https://klasma.github.io/Logging_2085/tillsynsmail/A 23658-2025 tillsynsbegäran mail.docx", "A 23658-2025")</f>
        <v/>
      </c>
      <c r="AC21">
        <f>HYPERLINK("https://klasma.github.io/Logging_2085/fåglar/A 23658-2025 prioriterade fågelarter.docx", "A 23658-2025")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46221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s="2" t="inlineStr">
        <is>
          <t>Aspgelélav
Gränsticka
Bårdlav
Dvärgtufs
Luddlav
Skinnlav
Sotlav
Vedticka</t>
        </is>
      </c>
      <c r="V22">
        <f>HYPERLINK("https://klasma.github.io/Logging_2085/artfynd/A 50453-2025 artfynd.xlsx", "A 50453-2025")</f>
        <v/>
      </c>
      <c r="W22">
        <f>HYPERLINK("https://klasma.github.io/Logging_2085/kartor/A 50453-2025 karta.png", "A 50453-2025")</f>
        <v/>
      </c>
      <c r="Y22">
        <f>HYPERLINK("https://klasma.github.io/Logging_2085/klagomål/A 50453-2025 FSC-klagomål.docx", "A 50453-2025")</f>
        <v/>
      </c>
      <c r="Z22">
        <f>HYPERLINK("https://klasma.github.io/Logging_2085/klagomålsmail/A 50453-2025 FSC-klagomål mail.docx", "A 50453-2025")</f>
        <v/>
      </c>
      <c r="AA22">
        <f>HYPERLINK("https://klasma.github.io/Logging_2085/tillsyn/A 50453-2025 tillsynsbegäran.docx", "A 50453-2025")</f>
        <v/>
      </c>
      <c r="AB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46221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s="2" t="inlineStr">
        <is>
          <t>Rynkskinn
Vårärt
Sotriska
Svart trolldruva
Svavelriska
Tibast
Underviol
Blåsippa</t>
        </is>
      </c>
      <c r="V23">
        <f>HYPERLINK("https://klasma.github.io/Logging_2085/artfynd/A 31749-2024 artfynd.xlsx", "A 31749-2024")</f>
        <v/>
      </c>
      <c r="W23">
        <f>HYPERLINK("https://klasma.github.io/Logging_2085/kartor/A 31749-2024 karta.png", "A 31749-2024")</f>
        <v/>
      </c>
      <c r="Y23">
        <f>HYPERLINK("https://klasma.github.io/Logging_2085/klagomål/A 31749-2024 FSC-klagomål.docx", "A 31749-2024")</f>
        <v/>
      </c>
      <c r="Z23">
        <f>HYPERLINK("https://klasma.github.io/Logging_2085/klagomålsmail/A 31749-2024 FSC-klagomål mail.docx", "A 31749-2024")</f>
        <v/>
      </c>
      <c r="AA23">
        <f>HYPERLINK("https://klasma.github.io/Logging_2085/tillsyn/A 31749-2024 tillsynsbegäran.docx", "A 31749-2024")</f>
        <v/>
      </c>
      <c r="AB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46221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s="2" t="inlineStr">
        <is>
          <t>Garnlav
Knärot
Kattfotslav
Orange taggsvamp
Vedtrappmossa
Bollvitmossa
Vedticka</t>
        </is>
      </c>
      <c r="V24">
        <f>HYPERLINK("https://klasma.github.io/Logging_2085/artfynd/A 45268-2022 artfynd.xlsx", "A 45268-2022")</f>
        <v/>
      </c>
      <c r="W24">
        <f>HYPERLINK("https://klasma.github.io/Logging_2085/kartor/A 45268-2022 karta.png", "A 45268-2022")</f>
        <v/>
      </c>
      <c r="X24">
        <f>HYPERLINK("https://klasma.github.io/Logging_2085/knärot/A 45268-2022 karta knärot.png", "A 45268-2022")</f>
        <v/>
      </c>
      <c r="Y24">
        <f>HYPERLINK("https://klasma.github.io/Logging_2085/klagomål/A 45268-2022 FSC-klagomål.docx", "A 45268-2022")</f>
        <v/>
      </c>
      <c r="Z24">
        <f>HYPERLINK("https://klasma.github.io/Logging_2085/klagomålsmail/A 45268-2022 FSC-klagomål mail.docx", "A 45268-2022")</f>
        <v/>
      </c>
      <c r="AA24">
        <f>HYPERLINK("https://klasma.github.io/Logging_2085/tillsyn/A 45268-2022 tillsynsbegäran.docx", "A 45268-2022")</f>
        <v/>
      </c>
      <c r="AB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46221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s="2" t="inlineStr">
        <is>
          <t>Garnlav
Dropptaggsvamp
Tretåig hackspett
Korallblylav
Vedticka
Spillkråka
Tjäder</t>
        </is>
      </c>
      <c r="V25">
        <f>HYPERLINK("https://klasma.github.io/Logging_2085/artfynd/S 1582-2026 artfynd.xlsx", "S 1582-2026")</f>
        <v/>
      </c>
      <c r="W25">
        <f>HYPERLINK("https://klasma.github.io/Logging_2085/kartor/S 1582-2026 karta.png", "S 1582-2026")</f>
        <v/>
      </c>
      <c r="Y25">
        <f>HYPERLINK("https://klasma.github.io/Logging_2085/klagomål/S 1582-2026 FSC-klagomål.docx", "S 1582-2026")</f>
        <v/>
      </c>
      <c r="Z25">
        <f>HYPERLINK("https://klasma.github.io/Logging_2085/klagomålsmail/S 1582-2026 FSC-klagomål mail.docx", "S 1582-2026")</f>
        <v/>
      </c>
      <c r="AA25">
        <f>HYPERLINK("https://klasma.github.io/Logging_2085/tillsyn/S 1582-2026 tillsynsbegäran.docx", "S 1582-2026")</f>
        <v/>
      </c>
      <c r="AB25">
        <f>HYPERLINK("https://klasma.github.io/Logging_2085/tillsynsmail/S 1582-2026 tillsynsbegäran mail.docx", "S 1582-2026")</f>
        <v/>
      </c>
      <c r="AC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46221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s="2" t="inlineStr">
        <is>
          <t>Garnlav
Knärot
Dropptaggsvamp
Ullticka
Nästlav
Tjäder</t>
        </is>
      </c>
      <c r="V26">
        <f>HYPERLINK("https://klasma.github.io/Logging_2085/artfynd/A 33885-2025 artfynd.xlsx", "A 33885-2025")</f>
        <v/>
      </c>
      <c r="W26">
        <f>HYPERLINK("https://klasma.github.io/Logging_2085/kartor/A 33885-2025 karta.png", "A 33885-2025")</f>
        <v/>
      </c>
      <c r="X26">
        <f>HYPERLINK("https://klasma.github.io/Logging_2085/knärot/A 33885-2025 karta knärot.png", "A 33885-2025")</f>
        <v/>
      </c>
      <c r="Y26">
        <f>HYPERLINK("https://klasma.github.io/Logging_2085/klagomål/A 33885-2025 FSC-klagomål.docx", "A 33885-2025")</f>
        <v/>
      </c>
      <c r="Z26">
        <f>HYPERLINK("https://klasma.github.io/Logging_2085/klagomålsmail/A 33885-2025 FSC-klagomål mail.docx", "A 33885-2025")</f>
        <v/>
      </c>
      <c r="AA26">
        <f>HYPERLINK("https://klasma.github.io/Logging_2085/tillsyn/A 33885-2025 tillsynsbegäran.docx", "A 33885-2025")</f>
        <v/>
      </c>
      <c r="AB26">
        <f>HYPERLINK("https://klasma.github.io/Logging_2085/tillsynsmail/A 33885-2025 tillsynsbegäran mail.docx", "A 33885-2025")</f>
        <v/>
      </c>
      <c r="AC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46221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s="2" t="inlineStr">
        <is>
          <t>Sexfläckig bastardsvärmare
Ängsblåvinge
Mindre tåtelsmygare
Motaggsvamp
Skogsklocka
Huggorm</t>
        </is>
      </c>
      <c r="V27">
        <f>HYPERLINK("https://klasma.github.io/Logging_2085/artfynd/A 52779-2025 artfynd.xlsx", "A 52779-2025")</f>
        <v/>
      </c>
      <c r="W27">
        <f>HYPERLINK("https://klasma.github.io/Logging_2085/kartor/A 52779-2025 karta.png", "A 52779-2025")</f>
        <v/>
      </c>
      <c r="Y27">
        <f>HYPERLINK("https://klasma.github.io/Logging_2085/klagomål/A 52779-2025 FSC-klagomål.docx", "A 52779-2025")</f>
        <v/>
      </c>
      <c r="Z27">
        <f>HYPERLINK("https://klasma.github.io/Logging_2085/klagomålsmail/A 52779-2025 FSC-klagomål mail.docx", "A 52779-2025")</f>
        <v/>
      </c>
      <c r="AA27">
        <f>HYPERLINK("https://klasma.github.io/Logging_2085/tillsyn/A 52779-2025 tillsynsbegäran.docx", "A 52779-2025")</f>
        <v/>
      </c>
      <c r="AB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46221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s="2" t="inlineStr">
        <is>
          <t>Knärot
Gullgröppa
Plattlummer
Blåsippa
Nattviol
Revlummer</t>
        </is>
      </c>
      <c r="V28">
        <f>HYPERLINK("https://klasma.github.io/Logging_2085/artfynd/A 55406-2025 artfynd.xlsx", "A 55406-2025")</f>
        <v/>
      </c>
      <c r="W28">
        <f>HYPERLINK("https://klasma.github.io/Logging_2085/kartor/A 55406-2025 karta.png", "A 55406-2025")</f>
        <v/>
      </c>
      <c r="X28">
        <f>HYPERLINK("https://klasma.github.io/Logging_2085/knärot/A 55406-2025 karta knärot.png", "A 55406-2025")</f>
        <v/>
      </c>
      <c r="Y28">
        <f>HYPERLINK("https://klasma.github.io/Logging_2085/klagomål/A 55406-2025 FSC-klagomål.docx", "A 55406-2025")</f>
        <v/>
      </c>
      <c r="Z28">
        <f>HYPERLINK("https://klasma.github.io/Logging_2085/klagomålsmail/A 55406-2025 FSC-klagomål mail.docx", "A 55406-2025")</f>
        <v/>
      </c>
      <c r="AA28">
        <f>HYPERLINK("https://klasma.github.io/Logging_2085/tillsyn/A 55406-2025 tillsynsbegäran.docx", "A 55406-2025")</f>
        <v/>
      </c>
      <c r="AB28">
        <f>HYPERLINK("https://klasma.github.io/Logging_2085/tillsynsmail/A 55406-2025 tillsynsbegäran mail.docx", "A 55406-2025")</f>
        <v/>
      </c>
    </row>
    <row r="29" ht="15" customHeight="1">
      <c r="A29" t="inlineStr">
        <is>
          <t>A 49775-2025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45940</v>
      </c>
      <c r="E29" s="1" t="n">
        <v>46221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25.5</v>
      </c>
      <c r="J29" t="n">
        <v>3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20</v>
      </c>
      <c r="U29" s="2" t="inlineStr">
        <is>
          <t>Garnlav
Kolflarnlav
Tretåig hackspett
Mindre märgborre
Järpe
Orre</t>
        </is>
      </c>
      <c r="V29">
        <f>HYPERLINK("https://klasma.github.io/Logging_2085/artfynd/A 49775-2025 artfynd.xlsx", "A 49775-2025")</f>
        <v/>
      </c>
      <c r="W29">
        <f>HYPERLINK("https://klasma.github.io/Logging_2085/kartor/A 49775-2025 karta.png", "A 49775-2025")</f>
        <v/>
      </c>
      <c r="Y29">
        <f>HYPERLINK("https://klasma.github.io/Logging_2085/klagomål/A 49775-2025 FSC-klagomål.docx", "A 49775-2025")</f>
        <v/>
      </c>
      <c r="Z29">
        <f>HYPERLINK("https://klasma.github.io/Logging_2085/klagomålsmail/A 49775-2025 FSC-klagomål mail.docx", "A 49775-2025")</f>
        <v/>
      </c>
      <c r="AA29">
        <f>HYPERLINK("https://klasma.github.io/Logging_2085/tillsyn/A 49775-2025 tillsynsbegäran.docx", "A 49775-2025")</f>
        <v/>
      </c>
      <c r="AB29">
        <f>HYPERLINK("https://klasma.github.io/Logging_2085/tillsynsmail/A 49775-2025 tillsynsbegäran mail.docx", "A 49775-2025")</f>
        <v/>
      </c>
      <c r="AC29">
        <f>HYPERLINK("https://klasma.github.io/Logging_2085/fåglar/A 49775-2025 prioriterade fågelarter.docx", "A 49775-2025")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46221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s="2" t="inlineStr">
        <is>
          <t>Garnlav
Skrovlig taggsvamp
Blå taggsvamp
Motaggsvamp
Talltaggsvamp
Tjäder</t>
        </is>
      </c>
      <c r="V30">
        <f>HYPERLINK("https://klasma.github.io/Logging_2085/artfynd/A 63299-2025 artfynd.xlsx", "A 63299-2025")</f>
        <v/>
      </c>
      <c r="W30">
        <f>HYPERLINK("https://klasma.github.io/Logging_2085/kartor/A 63299-2025 karta.png", "A 63299-2025")</f>
        <v/>
      </c>
      <c r="Y30">
        <f>HYPERLINK("https://klasma.github.io/Logging_2085/klagomål/A 63299-2025 FSC-klagomål.docx", "A 63299-2025")</f>
        <v/>
      </c>
      <c r="Z30">
        <f>HYPERLINK("https://klasma.github.io/Logging_2085/klagomålsmail/A 63299-2025 FSC-klagomål mail.docx", "A 63299-2025")</f>
        <v/>
      </c>
      <c r="AA30">
        <f>HYPERLINK("https://klasma.github.io/Logging_2085/tillsyn/A 63299-2025 tillsynsbegäran.docx", "A 63299-2025")</f>
        <v/>
      </c>
      <c r="AB30">
        <f>HYPERLINK("https://klasma.github.io/Logging_2085/tillsynsmail/A 63299-2025 tillsynsbegäran mail.docx", "A 63299-2025")</f>
        <v/>
      </c>
      <c r="AC30">
        <f>HYPERLINK("https://klasma.github.io/Logging_2085/fåglar/A 63299-2025 prioriterade fågelarter.docx", "A 63299-2025")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46221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s="2" t="inlineStr">
        <is>
          <t>Garnlav
Knärot
Kolflarnlav
Mörk kolflarnlav
Tretåig hackspett
Mindre märgborre</t>
        </is>
      </c>
      <c r="V31">
        <f>HYPERLINK("https://klasma.github.io/Logging_2085/artfynd/A 59946-2025 artfynd.xlsx", "A 59946-2025")</f>
        <v/>
      </c>
      <c r="W31">
        <f>HYPERLINK("https://klasma.github.io/Logging_2085/kartor/A 59946-2025 karta.png", "A 59946-2025")</f>
        <v/>
      </c>
      <c r="X31">
        <f>HYPERLINK("https://klasma.github.io/Logging_2085/knärot/A 59946-2025 karta knärot.png", "A 59946-2025")</f>
        <v/>
      </c>
      <c r="Y31">
        <f>HYPERLINK("https://klasma.github.io/Logging_2085/klagomål/A 59946-2025 FSC-klagomål.docx", "A 59946-2025")</f>
        <v/>
      </c>
      <c r="Z31">
        <f>HYPERLINK("https://klasma.github.io/Logging_2085/klagomålsmail/A 59946-2025 FSC-klagomål mail.docx", "A 59946-2025")</f>
        <v/>
      </c>
      <c r="AA31">
        <f>HYPERLINK("https://klasma.github.io/Logging_2085/tillsyn/A 59946-2025 tillsynsbegäran.docx", "A 59946-2025")</f>
        <v/>
      </c>
      <c r="AB31">
        <f>HYPERLINK("https://klasma.github.io/Logging_2085/tillsynsmail/A 59946-2025 tillsynsbegäran mail.docx", "A 59946-2025")</f>
        <v/>
      </c>
      <c r="AC31">
        <f>HYPERLINK("https://klasma.github.io/Logging_2085/fåglar/A 59946-2025 prioriterade fågelarter.docx", "A 59946-2025")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46221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s="2" t="inlineStr">
        <is>
          <t>Garnlav
Entita
Talltita
Tretåig hackspett
Spillkråka
Tjäder</t>
        </is>
      </c>
      <c r="V32">
        <f>HYPERLINK("https://klasma.github.io/Logging_2085/artfynd/A 22195-2025 artfynd.xlsx", "A 22195-2025")</f>
        <v/>
      </c>
      <c r="W32">
        <f>HYPERLINK("https://klasma.github.io/Logging_2085/kartor/A 22195-2025 karta.png", "A 22195-2025")</f>
        <v/>
      </c>
      <c r="Y32">
        <f>HYPERLINK("https://klasma.github.io/Logging_2085/klagomål/A 22195-2025 FSC-klagomål.docx", "A 22195-2025")</f>
        <v/>
      </c>
      <c r="Z32">
        <f>HYPERLINK("https://klasma.github.io/Logging_2085/klagomålsmail/A 22195-2025 FSC-klagomål mail.docx", "A 22195-2025")</f>
        <v/>
      </c>
      <c r="AA32">
        <f>HYPERLINK("https://klasma.github.io/Logging_2085/tillsyn/A 22195-2025 tillsynsbegäran.docx", "A 22195-2025")</f>
        <v/>
      </c>
      <c r="AB32">
        <f>HYPERLINK("https://klasma.github.io/Logging_2085/tillsynsmail/A 22195-2025 tillsynsbegäran mail.docx", "A 22195-2025")</f>
        <v/>
      </c>
      <c r="AC32">
        <f>HYPERLINK("https://klasma.github.io/Logging_2085/fåglar/A 22195-2025 prioriterade fågelarter.docx", "A 22195-2025")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46221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s="2" t="inlineStr">
        <is>
          <t>Dropptaggsvamp
Tretåig hackspett
Blodticka
Mindre märgborre
Järpe
Spillkråka</t>
        </is>
      </c>
      <c r="V33">
        <f>HYPERLINK("https://klasma.github.io/Logging_2085/artfynd/A 23681-2026 artfynd.xlsx", "A 23681-2026")</f>
        <v/>
      </c>
      <c r="W33">
        <f>HYPERLINK("https://klasma.github.io/Logging_2085/kartor/A 23681-2026 karta.png", "A 23681-2026")</f>
        <v/>
      </c>
      <c r="Y33">
        <f>HYPERLINK("https://klasma.github.io/Logging_2085/klagomål/A 23681-2026 FSC-klagomål.docx", "A 23681-2026")</f>
        <v/>
      </c>
      <c r="Z33">
        <f>HYPERLINK("https://klasma.github.io/Logging_2085/klagomålsmail/A 23681-2026 FSC-klagomål mail.docx", "A 23681-2026")</f>
        <v/>
      </c>
      <c r="AA33">
        <f>HYPERLINK("https://klasma.github.io/Logging_2085/tillsyn/A 23681-2026 tillsynsbegäran.docx", "A 23681-2026")</f>
        <v/>
      </c>
      <c r="AB33">
        <f>HYPERLINK("https://klasma.github.io/Logging_2085/tillsynsmail/A 23681-2026 tillsynsbegäran mail.docx", "A 23681-2026")</f>
        <v/>
      </c>
      <c r="AC33">
        <f>HYPERLINK("https://klasma.github.io/Logging_2085/fåglar/A 23681-2026 prioriterade fågelarter.docx", "A 23681-2026")</f>
        <v/>
      </c>
    </row>
    <row r="34" ht="15" customHeight="1">
      <c r="A34" t="inlineStr">
        <is>
          <t>A 23862-2026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46221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4.5</v>
      </c>
      <c r="J34" t="n">
        <v>1</v>
      </c>
      <c r="K34" t="n">
        <v>5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6</v>
      </c>
      <c r="T34" t="n">
        <v>7</v>
      </c>
      <c r="U34" s="2" t="inlineStr">
        <is>
          <t>Bårdlav
Dvärgtufs
Korallblylav
Skinnlav
Stuplav
Utter</t>
        </is>
      </c>
      <c r="V34">
        <f>HYPERLINK("https://klasma.github.io/Logging_2085/artfynd/A 23862-2026 artfynd.xlsx", "A 23862-2026")</f>
        <v/>
      </c>
      <c r="W34">
        <f>HYPERLINK("https://klasma.github.io/Logging_2085/kartor/A 23862-2026 karta.png", "A 23862-2026")</f>
        <v/>
      </c>
      <c r="Y34">
        <f>HYPERLINK("https://klasma.github.io/Logging_2085/klagomål/A 23862-2026 FSC-klagomål.docx", "A 23862-2026")</f>
        <v/>
      </c>
      <c r="Z34">
        <f>HYPERLINK("https://klasma.github.io/Logging_2085/klagomålsmail/A 23862-2026 FSC-klagomål mail.docx", "A 23862-2026")</f>
        <v/>
      </c>
      <c r="AA34">
        <f>HYPERLINK("https://klasma.github.io/Logging_2085/tillsyn/A 23862-2026 tillsynsbegäran.docx", "A 23862-2026")</f>
        <v/>
      </c>
      <c r="AB34">
        <f>HYPERLINK("https://klasma.github.io/Logging_2085/tillsynsmail/A 23862-2026 tillsynsbegäran mail.docx", "A 23862-2026")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46221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s="2" t="inlineStr">
        <is>
          <t>Aspgelélav
Bårdlav
Dvärgtufs
Skinnlav
Vedticka</t>
        </is>
      </c>
      <c r="V35">
        <f>HYPERLINK("https://klasma.github.io/Logging_2085/artfynd/A 19717-2022 artfynd.xlsx", "A 19717-2022")</f>
        <v/>
      </c>
      <c r="W35">
        <f>HYPERLINK("https://klasma.github.io/Logging_2085/kartor/A 19717-2022 karta.png", "A 19717-2022")</f>
        <v/>
      </c>
      <c r="Y35">
        <f>HYPERLINK("https://klasma.github.io/Logging_2085/klagomål/A 19717-2022 FSC-klagomål.docx", "A 19717-2022")</f>
        <v/>
      </c>
      <c r="Z35">
        <f>HYPERLINK("https://klasma.github.io/Logging_2085/klagomålsmail/A 19717-2022 FSC-klagomål mail.docx", "A 19717-2022")</f>
        <v/>
      </c>
      <c r="AA35">
        <f>HYPERLINK("https://klasma.github.io/Logging_2085/tillsyn/A 19717-2022 tillsynsbegäran.docx", "A 19717-2022")</f>
        <v/>
      </c>
      <c r="AB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46221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s="2" t="inlineStr">
        <is>
          <t>Garnlav
Lunglav
Talltita
Tretåig hackspett
Järpe</t>
        </is>
      </c>
      <c r="V36">
        <f>HYPERLINK("https://klasma.github.io/Logging_2085/artfynd/A 47287-2025 artfynd.xlsx", "A 47287-2025")</f>
        <v/>
      </c>
      <c r="W36">
        <f>HYPERLINK("https://klasma.github.io/Logging_2085/kartor/A 47287-2025 karta.png", "A 47287-2025")</f>
        <v/>
      </c>
      <c r="Y36">
        <f>HYPERLINK("https://klasma.github.io/Logging_2085/klagomål/A 47287-2025 FSC-klagomål.docx", "A 47287-2025")</f>
        <v/>
      </c>
      <c r="Z36">
        <f>HYPERLINK("https://klasma.github.io/Logging_2085/klagomålsmail/A 47287-2025 FSC-klagomål mail.docx", "A 47287-2025")</f>
        <v/>
      </c>
      <c r="AA36">
        <f>HYPERLINK("https://klasma.github.io/Logging_2085/tillsyn/A 47287-2025 tillsynsbegäran.docx", "A 47287-2025")</f>
        <v/>
      </c>
      <c r="AB36">
        <f>HYPERLINK("https://klasma.github.io/Logging_2085/tillsynsmail/A 47287-2025 tillsynsbegäran mail.docx", "A 47287-2025")</f>
        <v/>
      </c>
      <c r="AC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46221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s="2" t="inlineStr">
        <is>
          <t>Garnlav
Doftskinn
Gammelgransskål
Vedskivlav
Tjäder</t>
        </is>
      </c>
      <c r="V37">
        <f>HYPERLINK("https://klasma.github.io/Logging_2085/artfynd/A 63164-2025 artfynd.xlsx", "A 63164-2025")</f>
        <v/>
      </c>
      <c r="W37">
        <f>HYPERLINK("https://klasma.github.io/Logging_2085/kartor/A 63164-2025 karta.png", "A 63164-2025")</f>
        <v/>
      </c>
      <c r="Y37">
        <f>HYPERLINK("https://klasma.github.io/Logging_2085/klagomål/A 63164-2025 FSC-klagomål.docx", "A 63164-2025")</f>
        <v/>
      </c>
      <c r="Z37">
        <f>HYPERLINK("https://klasma.github.io/Logging_2085/klagomålsmail/A 63164-2025 FSC-klagomål mail.docx", "A 63164-2025")</f>
        <v/>
      </c>
      <c r="AA37">
        <f>HYPERLINK("https://klasma.github.io/Logging_2085/tillsyn/A 63164-2025 tillsynsbegäran.docx", "A 63164-2025")</f>
        <v/>
      </c>
      <c r="AB37">
        <f>HYPERLINK("https://klasma.github.io/Logging_2085/tillsynsmail/A 63164-2025 tillsynsbegäran mail.docx", "A 63164-2025")</f>
        <v/>
      </c>
      <c r="AC37">
        <f>HYPERLINK("https://klasma.github.io/Logging_2085/fåglar/A 63164-2025 prioriterade fågelarter.docx", "A 63164-2025")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46221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s="2" t="inlineStr">
        <is>
          <t>Garnlav
Rosenticka
Tretåig hackspett
Ullticka
Spillkråka</t>
        </is>
      </c>
      <c r="V38">
        <f>HYPERLINK("https://klasma.github.io/Logging_2085/artfynd/A 23714-2026 artfynd.xlsx", "A 23714-2026")</f>
        <v/>
      </c>
      <c r="W38">
        <f>HYPERLINK("https://klasma.github.io/Logging_2085/kartor/A 23714-2026 karta.png", "A 23714-2026")</f>
        <v/>
      </c>
      <c r="Y38">
        <f>HYPERLINK("https://klasma.github.io/Logging_2085/klagomål/A 23714-2026 FSC-klagomål.docx", "A 23714-2026")</f>
        <v/>
      </c>
      <c r="Z38">
        <f>HYPERLINK("https://klasma.github.io/Logging_2085/klagomålsmail/A 23714-2026 FSC-klagomål mail.docx", "A 23714-2026")</f>
        <v/>
      </c>
      <c r="AA38">
        <f>HYPERLINK("https://klasma.github.io/Logging_2085/tillsyn/A 23714-2026 tillsynsbegäran.docx", "A 23714-2026")</f>
        <v/>
      </c>
      <c r="AB38">
        <f>HYPERLINK("https://klasma.github.io/Logging_2085/tillsynsmail/A 23714-2026 tillsynsbegäran mail.docx", "A 23714-2026")</f>
        <v/>
      </c>
      <c r="AC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46221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s="2" t="inlineStr">
        <is>
          <t>Garnlav
Tretåig hackspett
Korallrot
Spillkråka
Tjäder</t>
        </is>
      </c>
      <c r="V39">
        <f>HYPERLINK("https://klasma.github.io/Logging_2085/artfynd/A 23491-2026 artfynd.xlsx", "A 23491-2026")</f>
        <v/>
      </c>
      <c r="W39">
        <f>HYPERLINK("https://klasma.github.io/Logging_2085/kartor/A 23491-2026 karta.png", "A 23491-2026")</f>
        <v/>
      </c>
      <c r="Y39">
        <f>HYPERLINK("https://klasma.github.io/Logging_2085/klagomål/A 23491-2026 FSC-klagomål.docx", "A 23491-2026")</f>
        <v/>
      </c>
      <c r="Z39">
        <f>HYPERLINK("https://klasma.github.io/Logging_2085/klagomålsmail/A 23491-2026 FSC-klagomål mail.docx", "A 23491-2026")</f>
        <v/>
      </c>
      <c r="AA39">
        <f>HYPERLINK("https://klasma.github.io/Logging_2085/tillsyn/A 23491-2026 tillsynsbegäran.docx", "A 23491-2026")</f>
        <v/>
      </c>
      <c r="AB39">
        <f>HYPERLINK("https://klasma.github.io/Logging_2085/tillsynsmail/A 23491-2026 tillsynsbegäran mail.docx", "A 23491-2026")</f>
        <v/>
      </c>
      <c r="AC39">
        <f>HYPERLINK("https://klasma.github.io/Logging_2085/fåglar/A 23491-2026 prioriterade fågelarter.docx", "A 23491-2026")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46221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s="2" t="inlineStr">
        <is>
          <t>Garnlav
Lunglav
Violettgrå tagellav
Gulnål
Korallblylav</t>
        </is>
      </c>
      <c r="V40">
        <f>HYPERLINK("https://klasma.github.io/Logging_2085/artfynd/A 37639-2024 artfynd.xlsx", "A 37639-2024")</f>
        <v/>
      </c>
      <c r="W40">
        <f>HYPERLINK("https://klasma.github.io/Logging_2085/kartor/A 37639-2024 karta.png", "A 37639-2024")</f>
        <v/>
      </c>
      <c r="Y40">
        <f>HYPERLINK("https://klasma.github.io/Logging_2085/klagomål/A 37639-2024 FSC-klagomål.docx", "A 37639-2024")</f>
        <v/>
      </c>
      <c r="Z40">
        <f>HYPERLINK("https://klasma.github.io/Logging_2085/klagomålsmail/A 37639-2024 FSC-klagomål mail.docx", "A 37639-2024")</f>
        <v/>
      </c>
      <c r="AA40">
        <f>HYPERLINK("https://klasma.github.io/Logging_2085/tillsyn/A 37639-2024 tillsynsbegäran.docx", "A 37639-2024")</f>
        <v/>
      </c>
      <c r="AB40">
        <f>HYPERLINK("https://klasma.github.io/Logging_2085/tillsynsmail/A 37639-2024 tillsynsbegäran mail.docx", "A 37639-2024")</f>
        <v/>
      </c>
    </row>
    <row r="41" ht="15" customHeight="1">
      <c r="A41" t="inlineStr">
        <is>
          <t>A 24426-2026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46168</v>
      </c>
      <c r="E41" s="1" t="n">
        <v>46221</v>
      </c>
      <c r="F41" t="inlineStr">
        <is>
          <t>DALARNAS LÄN</t>
        </is>
      </c>
      <c r="G41" t="inlineStr">
        <is>
          <t>LUDVIKA</t>
        </is>
      </c>
      <c r="H41" t="inlineStr">
        <is>
          <t>Övriga Aktiebolag</t>
        </is>
      </c>
      <c r="I41" t="n">
        <v>12.4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13</v>
      </c>
      <c r="U41" s="2" t="inlineStr">
        <is>
          <t>Dropptaggsvamp
Tretåig hackspett
Vedticka
Spillkråka
Sälg</t>
        </is>
      </c>
      <c r="V41">
        <f>HYPERLINK("https://klasma.github.io/Logging_2085/artfynd/A 24426-2026 artfynd.xlsx", "A 24426-2026")</f>
        <v/>
      </c>
      <c r="W41">
        <f>HYPERLINK("https://klasma.github.io/Logging_2085/kartor/A 24426-2026 karta.png", "A 24426-2026")</f>
        <v/>
      </c>
      <c r="Y41">
        <f>HYPERLINK("https://klasma.github.io/Logging_2085/klagomål/A 24426-2026 FSC-klagomål.docx", "A 24426-2026")</f>
        <v/>
      </c>
      <c r="Z41">
        <f>HYPERLINK("https://klasma.github.io/Logging_2085/klagomålsmail/A 24426-2026 FSC-klagomål mail.docx", "A 24426-2026")</f>
        <v/>
      </c>
      <c r="AA41">
        <f>HYPERLINK("https://klasma.github.io/Logging_2085/tillsyn/A 24426-2026 tillsynsbegäran.docx", "A 24426-2026")</f>
        <v/>
      </c>
      <c r="AB41">
        <f>HYPERLINK("https://klasma.github.io/Logging_2085/tillsynsmail/A 24426-2026 tillsynsbegäran mail.docx", "A 24426-2026")</f>
        <v/>
      </c>
      <c r="AC41">
        <f>HYPERLINK("https://klasma.github.io/Logging_2085/fåglar/A 24426-2026 prioriterade fågelarter.docx", "A 24426-2026")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46221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s="2" t="inlineStr">
        <is>
          <t>Garnlav
Mindre märgborre
Järpe
Spillkråka
Timmerticka</t>
        </is>
      </c>
      <c r="V42">
        <f>HYPERLINK("https://klasma.github.io/Logging_2085/artfynd/A 23711-2026 artfynd.xlsx", "A 23711-2026")</f>
        <v/>
      </c>
      <c r="W42">
        <f>HYPERLINK("https://klasma.github.io/Logging_2085/kartor/A 23711-2026 karta.png", "A 23711-2026")</f>
        <v/>
      </c>
      <c r="Y42">
        <f>HYPERLINK("https://klasma.github.io/Logging_2085/klagomål/A 23711-2026 FSC-klagomål.docx", "A 23711-2026")</f>
        <v/>
      </c>
      <c r="Z42">
        <f>HYPERLINK("https://klasma.github.io/Logging_2085/klagomålsmail/A 23711-2026 FSC-klagomål mail.docx", "A 23711-2026")</f>
        <v/>
      </c>
      <c r="AA42">
        <f>HYPERLINK("https://klasma.github.io/Logging_2085/tillsyn/A 23711-2026 tillsynsbegäran.docx", "A 23711-2026")</f>
        <v/>
      </c>
      <c r="AB42">
        <f>HYPERLINK("https://klasma.github.io/Logging_2085/tillsynsmail/A 23711-2026 tillsynsbegäran mail.docx", "A 23711-2026")</f>
        <v/>
      </c>
      <c r="AC42">
        <f>HYPERLINK("https://klasma.github.io/Logging_2085/fåglar/A 23711-2026 prioriterade fågelarter.docx", "A 23711-2026")</f>
        <v/>
      </c>
    </row>
    <row r="43" ht="15" customHeight="1">
      <c r="A43" t="inlineStr">
        <is>
          <t>A 44535-2021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46221</v>
      </c>
      <c r="F43" t="inlineStr">
        <is>
          <t>DALARNAS LÄN</t>
        </is>
      </c>
      <c r="G43" t="inlineStr">
        <is>
          <t>LUDVIKA</t>
        </is>
      </c>
      <c r="I43" t="n">
        <v>3.6</v>
      </c>
      <c r="J43" t="n">
        <v>1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s="2" t="inlineStr">
        <is>
          <t>Dropptaggsvamp
Vedskivlav
Rävticka
Spillkråka</t>
        </is>
      </c>
      <c r="V43">
        <f>HYPERLINK("https://klasma.github.io/Logging_2085/artfynd/A 44535-2021 artfynd.xlsx", "A 44535-2021")</f>
        <v/>
      </c>
      <c r="W43">
        <f>HYPERLINK("https://klasma.github.io/Logging_2085/kartor/A 44535-2021 karta.png", "A 44535-2021")</f>
        <v/>
      </c>
      <c r="Y43">
        <f>HYPERLINK("https://klasma.github.io/Logging_2085/klagomål/A 44535-2021 FSC-klagomål.docx", "A 44535-2021")</f>
        <v/>
      </c>
      <c r="Z43">
        <f>HYPERLINK("https://klasma.github.io/Logging_2085/klagomålsmail/A 44535-2021 FSC-klagomål mail.docx", "A 44535-2021")</f>
        <v/>
      </c>
      <c r="AA43">
        <f>HYPERLINK("https://klasma.github.io/Logging_2085/tillsyn/A 44535-2021 tillsynsbegäran.docx", "A 44535-2021")</f>
        <v/>
      </c>
      <c r="AB43">
        <f>HYPERLINK("https://klasma.github.io/Logging_2085/tillsynsmail/A 44535-2021 tillsynsbegäran mail.docx", "A 44535-2021")</f>
        <v/>
      </c>
      <c r="AC43">
        <f>HYPERLINK("https://klasma.github.io/Logging_2085/fåglar/A 44535-2021 prioriterade fågelarter.docx", "A 44535-2021")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46221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s="2" t="inlineStr">
        <is>
          <t>Talltita
Tretåig hackspett
Vedskivlav
Järpe</t>
        </is>
      </c>
      <c r="V44">
        <f>HYPERLINK("https://klasma.github.io/Logging_2085/artfynd/A 46721-2025 artfynd.xlsx", "A 46721-2025")</f>
        <v/>
      </c>
      <c r="W44">
        <f>HYPERLINK("https://klasma.github.io/Logging_2085/kartor/A 46721-2025 karta.png", "A 46721-2025")</f>
        <v/>
      </c>
      <c r="Y44">
        <f>HYPERLINK("https://klasma.github.io/Logging_2085/klagomål/A 46721-2025 FSC-klagomål.docx", "A 46721-2025")</f>
        <v/>
      </c>
      <c r="Z44">
        <f>HYPERLINK("https://klasma.github.io/Logging_2085/klagomålsmail/A 46721-2025 FSC-klagomål mail.docx", "A 46721-2025")</f>
        <v/>
      </c>
      <c r="AA44">
        <f>HYPERLINK("https://klasma.github.io/Logging_2085/tillsyn/A 46721-2025 tillsynsbegäran.docx", "A 46721-2025")</f>
        <v/>
      </c>
      <c r="AB44">
        <f>HYPERLINK("https://klasma.github.io/Logging_2085/tillsynsmail/A 46721-2025 tillsynsbegäran mail.docx", "A 46721-2025")</f>
        <v/>
      </c>
      <c r="AC44">
        <f>HYPERLINK("https://klasma.github.io/Logging_2085/fåglar/A 46721-2025 prioriterade fågelarter.docx", "A 46721-2025")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46221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s="2" t="inlineStr">
        <is>
          <t>Duvhök
Tretåig hackspett
Järpe
Tjäder</t>
        </is>
      </c>
      <c r="V45">
        <f>HYPERLINK("https://klasma.github.io/Logging_2085/artfynd/A 47044-2025 artfynd.xlsx", "A 47044-2025")</f>
        <v/>
      </c>
      <c r="W45">
        <f>HYPERLINK("https://klasma.github.io/Logging_2085/kartor/A 47044-2025 karta.png", "A 47044-2025")</f>
        <v/>
      </c>
      <c r="Y45">
        <f>HYPERLINK("https://klasma.github.io/Logging_2085/klagomål/A 47044-2025 FSC-klagomål.docx", "A 47044-2025")</f>
        <v/>
      </c>
      <c r="Z45">
        <f>HYPERLINK("https://klasma.github.io/Logging_2085/klagomålsmail/A 47044-2025 FSC-klagomål mail.docx", "A 47044-2025")</f>
        <v/>
      </c>
      <c r="AA45">
        <f>HYPERLINK("https://klasma.github.io/Logging_2085/tillsyn/A 47044-2025 tillsynsbegäran.docx", "A 47044-2025")</f>
        <v/>
      </c>
      <c r="AB45">
        <f>HYPERLINK("https://klasma.github.io/Logging_2085/tillsynsmail/A 47044-2025 tillsynsbegäran mail.docx", "A 47044-2025")</f>
        <v/>
      </c>
      <c r="AC45">
        <f>HYPERLINK("https://klasma.github.io/Logging_2085/fåglar/A 47044-2025 prioriterade fågelarter.docx", "A 47044-2025")</f>
        <v/>
      </c>
    </row>
    <row r="46" ht="15" customHeight="1">
      <c r="A46" t="inlineStr">
        <is>
          <t>A 49676-2024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45596</v>
      </c>
      <c r="E46" s="1" t="n">
        <v>46221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3.5</v>
      </c>
      <c r="J46" t="n">
        <v>2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8</v>
      </c>
      <c r="U46" s="2" t="inlineStr">
        <is>
          <t>Garnlav
Dropptaggsvamp
Järpe
Spillkråka</t>
        </is>
      </c>
      <c r="V46">
        <f>HYPERLINK("https://klasma.github.io/Logging_2085/artfynd/A 49676-2024 artfynd.xlsx", "A 49676-2024")</f>
        <v/>
      </c>
      <c r="W46">
        <f>HYPERLINK("https://klasma.github.io/Logging_2085/kartor/A 49676-2024 karta.png", "A 49676-2024")</f>
        <v/>
      </c>
      <c r="Y46">
        <f>HYPERLINK("https://klasma.github.io/Logging_2085/klagomål/A 49676-2024 FSC-klagomål.docx", "A 49676-2024")</f>
        <v/>
      </c>
      <c r="Z46">
        <f>HYPERLINK("https://klasma.github.io/Logging_2085/klagomålsmail/A 49676-2024 FSC-klagomål mail.docx", "A 49676-2024")</f>
        <v/>
      </c>
      <c r="AA46">
        <f>HYPERLINK("https://klasma.github.io/Logging_2085/tillsyn/A 49676-2024 tillsynsbegäran.docx", "A 49676-2024")</f>
        <v/>
      </c>
      <c r="AB46">
        <f>HYPERLINK("https://klasma.github.io/Logging_2085/tillsynsmail/A 49676-2024 tillsynsbegäran mail.docx", "A 49676-2024")</f>
        <v/>
      </c>
      <c r="AC46">
        <f>HYPERLINK("https://klasma.github.io/Logging_2085/fåglar/A 49676-2024 prioriterade fågelarter.docx", "A 49676-2024")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46221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s="2" t="inlineStr">
        <is>
          <t>Garnlav
Tretåig hackspett
Gullgröppa
Spillkråka</t>
        </is>
      </c>
      <c r="V47">
        <f>HYPERLINK("https://klasma.github.io/Logging_2085/artfynd/A 58513-2025 artfynd.xlsx", "A 58513-2025")</f>
        <v/>
      </c>
      <c r="W47">
        <f>HYPERLINK("https://klasma.github.io/Logging_2085/kartor/A 58513-2025 karta.png", "A 58513-2025")</f>
        <v/>
      </c>
      <c r="Y47">
        <f>HYPERLINK("https://klasma.github.io/Logging_2085/klagomål/A 58513-2025 FSC-klagomål.docx", "A 58513-2025")</f>
        <v/>
      </c>
      <c r="Z47">
        <f>HYPERLINK("https://klasma.github.io/Logging_2085/klagomålsmail/A 58513-2025 FSC-klagomål mail.docx", "A 58513-2025")</f>
        <v/>
      </c>
      <c r="AA47">
        <f>HYPERLINK("https://klasma.github.io/Logging_2085/tillsyn/A 58513-2025 tillsynsbegäran.docx", "A 58513-2025")</f>
        <v/>
      </c>
      <c r="AB47">
        <f>HYPERLINK("https://klasma.github.io/Logging_2085/tillsynsmail/A 58513-2025 tillsynsbegäran mail.docx", "A 58513-2025")</f>
        <v/>
      </c>
      <c r="AC47">
        <f>HYPERLINK("https://klasma.github.io/Logging_2085/fåglar/A 58513-2025 prioriterade fågelarter.docx", "A 58513-2025")</f>
        <v/>
      </c>
    </row>
    <row r="48" ht="15" customHeight="1">
      <c r="A48" t="inlineStr">
        <is>
          <t>A 11705-2024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46221</v>
      </c>
      <c r="F48" t="inlineStr">
        <is>
          <t>DALARNAS LÄN</t>
        </is>
      </c>
      <c r="G48" t="inlineStr">
        <is>
          <t>LUDVIKA</t>
        </is>
      </c>
      <c r="I48" t="n">
        <v>35.4</v>
      </c>
      <c r="J48" t="n">
        <v>2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45</v>
      </c>
      <c r="U48" s="2" t="inlineStr">
        <is>
          <t>Garnlav
Kortskaftad ärgspik
Tretåig hackspett
Spillkråka</t>
        </is>
      </c>
      <c r="V48">
        <f>HYPERLINK("https://klasma.github.io/Logging_2085/artfynd/A 11705-2024 artfynd.xlsx", "A 11705-2024")</f>
        <v/>
      </c>
      <c r="W48">
        <f>HYPERLINK("https://klasma.github.io/Logging_2085/kartor/A 11705-2024 karta.png", "A 11705-2024")</f>
        <v/>
      </c>
      <c r="Y48">
        <f>HYPERLINK("https://klasma.github.io/Logging_2085/klagomål/A 11705-2024 FSC-klagomål.docx", "A 11705-2024")</f>
        <v/>
      </c>
      <c r="Z48">
        <f>HYPERLINK("https://klasma.github.io/Logging_2085/klagomålsmail/A 11705-2024 FSC-klagomål mail.docx", "A 11705-2024")</f>
        <v/>
      </c>
      <c r="AA48">
        <f>HYPERLINK("https://klasma.github.io/Logging_2085/tillsyn/A 11705-2024 tillsynsbegäran.docx", "A 11705-2024")</f>
        <v/>
      </c>
      <c r="AB48">
        <f>HYPERLINK("https://klasma.github.io/Logging_2085/tillsynsmail/A 11705-2024 tillsynsbegäran mail.docx", "A 11705-2024")</f>
        <v/>
      </c>
      <c r="AC48">
        <f>HYPERLINK("https://klasma.github.io/Logging_2085/fåglar/A 11705-2024 prioriterade fågelarter.docx", "A 11705-2024")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46221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s="2" t="inlineStr">
        <is>
          <t>Brunpudrad nållav
Gulnål
Kornig nållav
Vedticka</t>
        </is>
      </c>
      <c r="V49">
        <f>HYPERLINK("https://klasma.github.io/Logging_2085/artfynd/A 51928-2024 artfynd.xlsx", "A 51928-2024")</f>
        <v/>
      </c>
      <c r="W49">
        <f>HYPERLINK("https://klasma.github.io/Logging_2085/kartor/A 51928-2024 karta.png", "A 51928-2024")</f>
        <v/>
      </c>
      <c r="Y49">
        <f>HYPERLINK("https://klasma.github.io/Logging_2085/klagomål/A 51928-2024 FSC-klagomål.docx", "A 51928-2024")</f>
        <v/>
      </c>
      <c r="Z49">
        <f>HYPERLINK("https://klasma.github.io/Logging_2085/klagomålsmail/A 51928-2024 FSC-klagomål mail.docx", "A 51928-2024")</f>
        <v/>
      </c>
      <c r="AA49">
        <f>HYPERLINK("https://klasma.github.io/Logging_2085/tillsyn/A 51928-2024 tillsynsbegäran.docx", "A 51928-2024")</f>
        <v/>
      </c>
      <c r="AB49">
        <f>HYPERLINK("https://klasma.github.io/Logging_2085/tillsynsmail/A 51928-2024 tillsynsbegäran mail.docx", "A 51928-2024")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46221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s="2" t="inlineStr">
        <is>
          <t>Garnlav
Spillkråka
Tjäder
Gröngöling</t>
        </is>
      </c>
      <c r="V50">
        <f>HYPERLINK("https://klasma.github.io/Logging_2085/artfynd/A 57803-2023 artfynd.xlsx", "A 57803-2023")</f>
        <v/>
      </c>
      <c r="W50">
        <f>HYPERLINK("https://klasma.github.io/Logging_2085/kartor/A 57803-2023 karta.png", "A 57803-2023")</f>
        <v/>
      </c>
      <c r="Y50">
        <f>HYPERLINK("https://klasma.github.io/Logging_2085/klagomål/A 57803-2023 FSC-klagomål.docx", "A 57803-2023")</f>
        <v/>
      </c>
      <c r="Z50">
        <f>HYPERLINK("https://klasma.github.io/Logging_2085/klagomålsmail/A 57803-2023 FSC-klagomål mail.docx", "A 57803-2023")</f>
        <v/>
      </c>
      <c r="AA50">
        <f>HYPERLINK("https://klasma.github.io/Logging_2085/tillsyn/A 57803-2023 tillsynsbegäran.docx", "A 57803-2023")</f>
        <v/>
      </c>
      <c r="AB50">
        <f>HYPERLINK("https://klasma.github.io/Logging_2085/tillsynsmail/A 57803-2023 tillsynsbegäran mail.docx", "A 57803-2023")</f>
        <v/>
      </c>
      <c r="AC50">
        <f>HYPERLINK("https://klasma.github.io/Logging_2085/fåglar/A 57803-2023 prioriterade fågelarter.docx", "A 57803-2023")</f>
        <v/>
      </c>
    </row>
    <row r="51" ht="15" customHeight="1">
      <c r="A51" t="inlineStr">
        <is>
          <t>A 22589-2026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46155</v>
      </c>
      <c r="E51" s="1" t="n">
        <v>46221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3.7</v>
      </c>
      <c r="J51" t="n">
        <v>3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5</v>
      </c>
      <c r="U51" s="2" t="inlineStr">
        <is>
          <t>Garnlav
Järpe
Spillkråka
Tjäder</t>
        </is>
      </c>
      <c r="V51">
        <f>HYPERLINK("https://klasma.github.io/Logging_2085/artfynd/A 22589-2026 artfynd.xlsx", "A 22589-2026")</f>
        <v/>
      </c>
      <c r="W51">
        <f>HYPERLINK("https://klasma.github.io/Logging_2085/kartor/A 22589-2026 karta.png", "A 22589-2026")</f>
        <v/>
      </c>
      <c r="Y51">
        <f>HYPERLINK("https://klasma.github.io/Logging_2085/klagomål/A 22589-2026 FSC-klagomål.docx", "A 22589-2026")</f>
        <v/>
      </c>
      <c r="Z51">
        <f>HYPERLINK("https://klasma.github.io/Logging_2085/klagomålsmail/A 22589-2026 FSC-klagomål mail.docx", "A 22589-2026")</f>
        <v/>
      </c>
      <c r="AA51">
        <f>HYPERLINK("https://klasma.github.io/Logging_2085/tillsyn/A 22589-2026 tillsynsbegäran.docx", "A 22589-2026")</f>
        <v/>
      </c>
      <c r="AB51">
        <f>HYPERLINK("https://klasma.github.io/Logging_2085/tillsynsmail/A 22589-2026 tillsynsbegäran mail.docx", "A 22589-2026")</f>
        <v/>
      </c>
      <c r="AC51">
        <f>HYPERLINK("https://klasma.github.io/Logging_2085/fåglar/A 22589-2026 prioriterade fågelarter.docx", "A 22589-2026")</f>
        <v/>
      </c>
    </row>
    <row r="52" ht="15" customHeight="1">
      <c r="A52" t="inlineStr">
        <is>
          <t>A 24425-2026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46168</v>
      </c>
      <c r="E52" s="1" t="n">
        <v>46221</v>
      </c>
      <c r="F52" t="inlineStr">
        <is>
          <t>DALARNAS LÄN</t>
        </is>
      </c>
      <c r="G52" t="inlineStr">
        <is>
          <t>LUDVIKA</t>
        </is>
      </c>
      <c r="H52" t="inlineStr">
        <is>
          <t>Övriga Aktiebolag</t>
        </is>
      </c>
      <c r="I52" t="n">
        <v>5.6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9</v>
      </c>
      <c r="U52" s="2" t="inlineStr">
        <is>
          <t>Garnlav
Tretåig hackspett
Spillkråka
Sälg</t>
        </is>
      </c>
      <c r="V52">
        <f>HYPERLINK("https://klasma.github.io/Logging_2085/artfynd/A 24425-2026 artfynd.xlsx", "A 24425-2026")</f>
        <v/>
      </c>
      <c r="W52">
        <f>HYPERLINK("https://klasma.github.io/Logging_2085/kartor/A 24425-2026 karta.png", "A 24425-2026")</f>
        <v/>
      </c>
      <c r="Y52">
        <f>HYPERLINK("https://klasma.github.io/Logging_2085/klagomål/A 24425-2026 FSC-klagomål.docx", "A 24425-2026")</f>
        <v/>
      </c>
      <c r="Z52">
        <f>HYPERLINK("https://klasma.github.io/Logging_2085/klagomålsmail/A 24425-2026 FSC-klagomål mail.docx", "A 24425-2026")</f>
        <v/>
      </c>
      <c r="AA52">
        <f>HYPERLINK("https://klasma.github.io/Logging_2085/tillsyn/A 24425-2026 tillsynsbegäran.docx", "A 24425-2026")</f>
        <v/>
      </c>
      <c r="AB52">
        <f>HYPERLINK("https://klasma.github.io/Logging_2085/tillsynsmail/A 24425-2026 tillsynsbegäran mail.docx", "A 24425-2026")</f>
        <v/>
      </c>
      <c r="AC52">
        <f>HYPERLINK("https://klasma.github.io/Logging_2085/fåglar/A 24425-2026 prioriterade fågelarter.docx", "A 24425-2026")</f>
        <v/>
      </c>
    </row>
    <row r="53" ht="15" customHeight="1">
      <c r="A53" t="inlineStr">
        <is>
          <t>A 23682-2026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46163</v>
      </c>
      <c r="E53" s="1" t="n">
        <v>46221</v>
      </c>
      <c r="F53" t="inlineStr">
        <is>
          <t>DALARNAS LÄN</t>
        </is>
      </c>
      <c r="G53" t="inlineStr">
        <is>
          <t>LUDVIKA</t>
        </is>
      </c>
      <c r="I53" t="n">
        <v>3.9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s="2" t="inlineStr">
        <is>
          <t>Vårärt
Järpe
Spillkråka
Tjäder</t>
        </is>
      </c>
      <c r="V53">
        <f>HYPERLINK("https://klasma.github.io/Logging_2085/artfynd/A 23682-2026 artfynd.xlsx", "A 23682-2026")</f>
        <v/>
      </c>
      <c r="W53">
        <f>HYPERLINK("https://klasma.github.io/Logging_2085/kartor/A 23682-2026 karta.png", "A 23682-2026")</f>
        <v/>
      </c>
      <c r="Y53">
        <f>HYPERLINK("https://klasma.github.io/Logging_2085/klagomål/A 23682-2026 FSC-klagomål.docx", "A 23682-2026")</f>
        <v/>
      </c>
      <c r="Z53">
        <f>HYPERLINK("https://klasma.github.io/Logging_2085/klagomålsmail/A 23682-2026 FSC-klagomål mail.docx", "A 23682-2026")</f>
        <v/>
      </c>
      <c r="AA53">
        <f>HYPERLINK("https://klasma.github.io/Logging_2085/tillsyn/A 23682-2026 tillsynsbegäran.docx", "A 23682-2026")</f>
        <v/>
      </c>
      <c r="AB53">
        <f>HYPERLINK("https://klasma.github.io/Logging_2085/tillsynsmail/A 23682-2026 tillsynsbegäran mail.docx", "A 23682-2026")</f>
        <v/>
      </c>
      <c r="AC53">
        <f>HYPERLINK("https://klasma.github.io/Logging_2085/fåglar/A 23682-2026 prioriterade fågelarter.docx", "A 23682-2026")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46221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s="2" t="inlineStr">
        <is>
          <t>Korallblylav
Purpurknipprot
Järpe
Orre</t>
        </is>
      </c>
      <c r="V54">
        <f>HYPERLINK("https://klasma.github.io/Logging_2085/artfynd/S 1284-2022 artfynd.xlsx", "S 1284-2022")</f>
        <v/>
      </c>
      <c r="W54">
        <f>HYPERLINK("https://klasma.github.io/Logging_2085/kartor/S 1284-2022 karta.png", "S 1284-2022")</f>
        <v/>
      </c>
      <c r="Y54">
        <f>HYPERLINK("https://klasma.github.io/Logging_2085/klagomål/S 1284-2022 FSC-klagomål.docx", "S 1284-2022")</f>
        <v/>
      </c>
      <c r="Z54">
        <f>HYPERLINK("https://klasma.github.io/Logging_2085/klagomålsmail/S 1284-2022 FSC-klagomål mail.docx", "S 1284-2022")</f>
        <v/>
      </c>
      <c r="AA54">
        <f>HYPERLINK("https://klasma.github.io/Logging_2085/tillsyn/S 1284-2022 tillsynsbegäran.docx", "S 1284-2022")</f>
        <v/>
      </c>
      <c r="AB54">
        <f>HYPERLINK("https://klasma.github.io/Logging_2085/tillsynsmail/S 1284-2022 tillsynsbegäran mail.docx", "S 1284-2022")</f>
        <v/>
      </c>
      <c r="AC54">
        <f>HYPERLINK("https://klasma.github.io/Logging_2085/fåglar/S 1284-2022 prioriterade fågelarter.docx", "S 1284-2022")</f>
        <v/>
      </c>
    </row>
    <row r="55" ht="15" customHeight="1">
      <c r="A55" t="inlineStr">
        <is>
          <t>A 74432-2021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44560</v>
      </c>
      <c r="E55" s="1" t="n">
        <v>46221</v>
      </c>
      <c r="F55" t="inlineStr">
        <is>
          <t>DALARNAS LÄN</t>
        </is>
      </c>
      <c r="G55" t="inlineStr">
        <is>
          <t>LUDVIKA</t>
        </is>
      </c>
      <c r="H55" t="inlineStr">
        <is>
          <t>Kommuner</t>
        </is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s="2" t="inlineStr">
        <is>
          <t>Spillkråka
Gröngöling
Kungsfågel</t>
        </is>
      </c>
      <c r="V55">
        <f>HYPERLINK("https://klasma.github.io/Logging_2085/artfynd/A 74432-2021 artfynd.xlsx", "A 74432-2021")</f>
        <v/>
      </c>
      <c r="W55">
        <f>HYPERLINK("https://klasma.github.io/Logging_2085/kartor/A 74432-2021 karta.png", "A 74432-2021")</f>
        <v/>
      </c>
      <c r="Y55">
        <f>HYPERLINK("https://klasma.github.io/Logging_2085/klagomål/A 74432-2021 FSC-klagomål.docx", "A 74432-2021")</f>
        <v/>
      </c>
      <c r="Z55">
        <f>HYPERLINK("https://klasma.github.io/Logging_2085/klagomålsmail/A 74432-2021 FSC-klagomål mail.docx", "A 74432-2021")</f>
        <v/>
      </c>
      <c r="AA55">
        <f>HYPERLINK("https://klasma.github.io/Logging_2085/tillsyn/A 74432-2021 tillsynsbegäran.docx", "A 74432-2021")</f>
        <v/>
      </c>
      <c r="AB55">
        <f>HYPERLINK("https://klasma.github.io/Logging_2085/tillsynsmail/A 74432-2021 tillsynsbegäran mail.docx", "A 74432-2021")</f>
        <v/>
      </c>
      <c r="AC55">
        <f>HYPERLINK("https://klasma.github.io/Logging_2085/fåglar/A 74432-2021 prioriterade fågelarter.docx", "A 74432-2021")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46221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s="2" t="inlineStr">
        <is>
          <t>Aspgelélav
Lunglav
Järpe</t>
        </is>
      </c>
      <c r="V56">
        <f>HYPERLINK("https://klasma.github.io/Logging_2085/artfynd/A 41456-2025 artfynd.xlsx", "A 41456-2025")</f>
        <v/>
      </c>
      <c r="W56">
        <f>HYPERLINK("https://klasma.github.io/Logging_2085/kartor/A 41456-2025 karta.png", "A 41456-2025")</f>
        <v/>
      </c>
      <c r="Y56">
        <f>HYPERLINK("https://klasma.github.io/Logging_2085/klagomål/A 41456-2025 FSC-klagomål.docx", "A 41456-2025")</f>
        <v/>
      </c>
      <c r="Z56">
        <f>HYPERLINK("https://klasma.github.io/Logging_2085/klagomålsmail/A 41456-2025 FSC-klagomål mail.docx", "A 41456-2025")</f>
        <v/>
      </c>
      <c r="AA56">
        <f>HYPERLINK("https://klasma.github.io/Logging_2085/tillsyn/A 41456-2025 tillsynsbegäran.docx", "A 41456-2025")</f>
        <v/>
      </c>
      <c r="AB56">
        <f>HYPERLINK("https://klasma.github.io/Logging_2085/tillsynsmail/A 41456-2025 tillsynsbegäran mail.docx", "A 41456-2025")</f>
        <v/>
      </c>
      <c r="AC56">
        <f>HYPERLINK("https://klasma.github.io/Logging_2085/fåglar/A 41456-2025 prioriterade fågelarter.docx", "A 41456-2025")</f>
        <v/>
      </c>
    </row>
    <row r="57" ht="15" customHeight="1">
      <c r="A57" t="inlineStr">
        <is>
          <t>A 43226-2025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45910</v>
      </c>
      <c r="E57" s="1" t="n">
        <v>46221</v>
      </c>
      <c r="F57" t="inlineStr">
        <is>
          <t>DALARNAS LÄN</t>
        </is>
      </c>
      <c r="G57" t="inlineStr">
        <is>
          <t>LUDVIKA</t>
        </is>
      </c>
      <c r="I57" t="n">
        <v>1.1</v>
      </c>
      <c r="J57" t="n">
        <v>1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5</v>
      </c>
      <c r="U57" s="2" t="inlineStr">
        <is>
          <t>Tretåig hackspett
Rävticka
Rödgul trumpetsvamp</t>
        </is>
      </c>
      <c r="V57">
        <f>HYPERLINK("https://klasma.github.io/Logging_2085/artfynd/A 43226-2025 artfynd.xlsx", "A 43226-2025")</f>
        <v/>
      </c>
      <c r="W57">
        <f>HYPERLINK("https://klasma.github.io/Logging_2085/kartor/A 43226-2025 karta.png", "A 43226-2025")</f>
        <v/>
      </c>
      <c r="Y57">
        <f>HYPERLINK("https://klasma.github.io/Logging_2085/klagomål/A 43226-2025 FSC-klagomål.docx", "A 43226-2025")</f>
        <v/>
      </c>
      <c r="Z57">
        <f>HYPERLINK("https://klasma.github.io/Logging_2085/klagomålsmail/A 43226-2025 FSC-klagomål mail.docx", "A 43226-2025")</f>
        <v/>
      </c>
      <c r="AA57">
        <f>HYPERLINK("https://klasma.github.io/Logging_2085/tillsyn/A 43226-2025 tillsynsbegäran.docx", "A 43226-2025")</f>
        <v/>
      </c>
      <c r="AB57">
        <f>HYPERLINK("https://klasma.github.io/Logging_2085/tillsynsmail/A 43226-2025 tillsynsbegäran mail.docx", "A 43226-2025")</f>
        <v/>
      </c>
      <c r="AC57">
        <f>HYPERLINK("https://klasma.github.io/Logging_2085/fåglar/A 43226-2025 prioriterade fågelarter.docx", "A 43226-2025")</f>
        <v/>
      </c>
    </row>
    <row r="58" ht="15" customHeight="1">
      <c r="A58" t="inlineStr">
        <is>
          <t>A 17320-2026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46221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3.5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11</v>
      </c>
      <c r="U58" s="2" t="inlineStr">
        <is>
          <t>Knärot
Dropptaggsvamp
Nattviol</t>
        </is>
      </c>
      <c r="V58">
        <f>HYPERLINK("https://klasma.github.io/Logging_2085/artfynd/A 17320-2026 artfynd.xlsx", "A 17320-2026")</f>
        <v/>
      </c>
      <c r="W58">
        <f>HYPERLINK("https://klasma.github.io/Logging_2085/kartor/A 17320-2026 karta.png", "A 17320-2026")</f>
        <v/>
      </c>
      <c r="X58">
        <f>HYPERLINK("https://klasma.github.io/Logging_2085/knärot/A 17320-2026 karta knärot.png", "A 17320-2026")</f>
        <v/>
      </c>
      <c r="Y58">
        <f>HYPERLINK("https://klasma.github.io/Logging_2085/klagomål/A 17320-2026 FSC-klagomål.docx", "A 17320-2026")</f>
        <v/>
      </c>
      <c r="Z58">
        <f>HYPERLINK("https://klasma.github.io/Logging_2085/klagomålsmail/A 17320-2026 FSC-klagomål mail.docx", "A 17320-2026")</f>
        <v/>
      </c>
      <c r="AA58">
        <f>HYPERLINK("https://klasma.github.io/Logging_2085/tillsyn/A 17320-2026 tillsynsbegäran.docx", "A 17320-2026")</f>
        <v/>
      </c>
      <c r="AB58">
        <f>HYPERLINK("https://klasma.github.io/Logging_2085/tillsynsmail/A 17320-2026 tillsynsbegäran mail.docx", "A 17320-2026")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46221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s="2" t="inlineStr">
        <is>
          <t>Knärot
Dropptaggsvamp
Nattviol</t>
        </is>
      </c>
      <c r="V59">
        <f>HYPERLINK("https://klasma.github.io/Logging_2085/artfynd/A 18759-2026 artfynd.xlsx", "A 18759-2026")</f>
        <v/>
      </c>
      <c r="W59">
        <f>HYPERLINK("https://klasma.github.io/Logging_2085/kartor/A 18759-2026 karta.png", "A 18759-2026")</f>
        <v/>
      </c>
      <c r="X59">
        <f>HYPERLINK("https://klasma.github.io/Logging_2085/knärot/A 18759-2026 karta knärot.png", "A 18759-2026")</f>
        <v/>
      </c>
      <c r="Y59">
        <f>HYPERLINK("https://klasma.github.io/Logging_2085/klagomål/A 18759-2026 FSC-klagomål.docx", "A 18759-2026")</f>
        <v/>
      </c>
      <c r="Z59">
        <f>HYPERLINK("https://klasma.github.io/Logging_2085/klagomålsmail/A 18759-2026 FSC-klagomål mail.docx", "A 18759-2026")</f>
        <v/>
      </c>
      <c r="AA59">
        <f>HYPERLINK("https://klasma.github.io/Logging_2085/tillsyn/A 18759-2026 tillsynsbegäran.docx", "A 18759-2026")</f>
        <v/>
      </c>
      <c r="AB59">
        <f>HYPERLINK("https://klasma.github.io/Logging_2085/tillsynsmail/A 18759-2026 tillsynsbegäran mail.docx", "A 18759-2026")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46221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s="2" t="inlineStr">
        <is>
          <t>Garnlav
Knärot
Brunklöver</t>
        </is>
      </c>
      <c r="V60">
        <f>HYPERLINK("https://klasma.github.io/Logging_2085/artfynd/A 29144-2023 artfynd.xlsx", "A 29144-2023")</f>
        <v/>
      </c>
      <c r="W60">
        <f>HYPERLINK("https://klasma.github.io/Logging_2085/kartor/A 29144-2023 karta.png", "A 29144-2023")</f>
        <v/>
      </c>
      <c r="X60">
        <f>HYPERLINK("https://klasma.github.io/Logging_2085/knärot/A 29144-2023 karta knärot.png", "A 29144-2023")</f>
        <v/>
      </c>
      <c r="Y60">
        <f>HYPERLINK("https://klasma.github.io/Logging_2085/klagomål/A 29144-2023 FSC-klagomål.docx", "A 29144-2023")</f>
        <v/>
      </c>
      <c r="Z60">
        <f>HYPERLINK("https://klasma.github.io/Logging_2085/klagomålsmail/A 29144-2023 FSC-klagomål mail.docx", "A 29144-2023")</f>
        <v/>
      </c>
      <c r="AA60">
        <f>HYPERLINK("https://klasma.github.io/Logging_2085/tillsyn/A 29144-2023 tillsynsbegäran.docx", "A 29144-2023")</f>
        <v/>
      </c>
      <c r="AB60">
        <f>HYPERLINK("https://klasma.github.io/Logging_2085/tillsynsmail/A 29144-2023 tillsynsbegäran mail.docx", "A 29144-2023")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46221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s="2" t="inlineStr">
        <is>
          <t>Dropptaggsvamp
Motaggsvamp
Orange taggsvamp</t>
        </is>
      </c>
      <c r="V61">
        <f>HYPERLINK("https://klasma.github.io/Logging_2085/artfynd/A 23087-2025 artfynd.xlsx", "A 23087-2025")</f>
        <v/>
      </c>
      <c r="W61">
        <f>HYPERLINK("https://klasma.github.io/Logging_2085/kartor/A 23087-2025 karta.png", "A 23087-2025")</f>
        <v/>
      </c>
      <c r="Y61">
        <f>HYPERLINK("https://klasma.github.io/Logging_2085/klagomål/A 23087-2025 FSC-klagomål.docx", "A 23087-2025")</f>
        <v/>
      </c>
      <c r="Z61">
        <f>HYPERLINK("https://klasma.github.io/Logging_2085/klagomålsmail/A 23087-2025 FSC-klagomål mail.docx", "A 23087-2025")</f>
        <v/>
      </c>
      <c r="AA61">
        <f>HYPERLINK("https://klasma.github.io/Logging_2085/tillsyn/A 23087-2025 tillsynsbegäran.docx", "A 23087-2025")</f>
        <v/>
      </c>
      <c r="AB61">
        <f>HYPERLINK("https://klasma.github.io/Logging_2085/tillsynsmail/A 23087-2025 tillsynsbegäran mail.docx", "A 23087-2025")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46221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s="2" t="inlineStr">
        <is>
          <t>Ullticka
Vedticka
Spillkråka</t>
        </is>
      </c>
      <c r="V62">
        <f>HYPERLINK("https://klasma.github.io/Logging_2085/artfynd/S 1583-2026 artfynd.xlsx", "S 1583-2026")</f>
        <v/>
      </c>
      <c r="W62">
        <f>HYPERLINK("https://klasma.github.io/Logging_2085/kartor/S 1583-2026 karta.png", "S 1583-2026")</f>
        <v/>
      </c>
      <c r="Y62">
        <f>HYPERLINK("https://klasma.github.io/Logging_2085/klagomål/S 1583-2026 FSC-klagomål.docx", "S 1583-2026")</f>
        <v/>
      </c>
      <c r="Z62">
        <f>HYPERLINK("https://klasma.github.io/Logging_2085/klagomålsmail/S 1583-2026 FSC-klagomål mail.docx", "S 1583-2026")</f>
        <v/>
      </c>
      <c r="AA62">
        <f>HYPERLINK("https://klasma.github.io/Logging_2085/tillsyn/S 1583-2026 tillsynsbegäran.docx", "S 1583-2026")</f>
        <v/>
      </c>
      <c r="AB62">
        <f>HYPERLINK("https://klasma.github.io/Logging_2085/tillsynsmail/S 1583-2026 tillsynsbegäran mail.docx", "S 1583-2026")</f>
        <v/>
      </c>
      <c r="AC62">
        <f>HYPERLINK("https://klasma.github.io/Logging_2085/fåglar/S 1583-2026 prioriterade fågelarter.docx", "S 1583-2026")</f>
        <v/>
      </c>
    </row>
    <row r="63" ht="15" customHeight="1">
      <c r="A63" t="inlineStr">
        <is>
          <t>A 37384-2021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44397</v>
      </c>
      <c r="E63" s="1" t="n">
        <v>46221</v>
      </c>
      <c r="F63" t="inlineStr">
        <is>
          <t>DALARNAS LÄN</t>
        </is>
      </c>
      <c r="G63" t="inlineStr">
        <is>
          <t>LUDVIKA</t>
        </is>
      </c>
      <c r="H63" t="inlineStr">
        <is>
          <t>Kommuner</t>
        </is>
      </c>
      <c r="I63" t="n">
        <v>5.5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Ullticka
Vedticka</t>
        </is>
      </c>
      <c r="V63">
        <f>HYPERLINK("https://klasma.github.io/Logging_2085/artfynd/A 37384-2021 artfynd.xlsx", "A 37384-2021")</f>
        <v/>
      </c>
      <c r="W63">
        <f>HYPERLINK("https://klasma.github.io/Logging_2085/kartor/A 37384-2021 karta.png", "A 37384-2021")</f>
        <v/>
      </c>
      <c r="Y63">
        <f>HYPERLINK("https://klasma.github.io/Logging_2085/klagomål/A 37384-2021 FSC-klagomål.docx", "A 37384-2021")</f>
        <v/>
      </c>
      <c r="Z63">
        <f>HYPERLINK("https://klasma.github.io/Logging_2085/klagomålsmail/A 37384-2021 FSC-klagomål mail.docx", "A 37384-2021")</f>
        <v/>
      </c>
      <c r="AA63">
        <f>HYPERLINK("https://klasma.github.io/Logging_2085/tillsyn/A 37384-2021 tillsynsbegäran.docx", "A 37384-2021")</f>
        <v/>
      </c>
      <c r="AB63">
        <f>HYPERLINK("https://klasma.github.io/Logging_2085/tillsynsmail/A 37384-2021 tillsynsbegäran mail.docx", "A 37384-2021")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46221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s="2" t="inlineStr">
        <is>
          <t>Skogsalm
Tibast</t>
        </is>
      </c>
      <c r="V64">
        <f>HYPERLINK("https://klasma.github.io/Logging_2085/artfynd/A 21369-2023 artfynd.xlsx", "A 21369-2023")</f>
        <v/>
      </c>
      <c r="W64">
        <f>HYPERLINK("https://klasma.github.io/Logging_2085/kartor/A 21369-2023 karta.png", "A 21369-2023")</f>
        <v/>
      </c>
      <c r="Y64">
        <f>HYPERLINK("https://klasma.github.io/Logging_2085/klagomål/A 21369-2023 FSC-klagomål.docx", "A 21369-2023")</f>
        <v/>
      </c>
      <c r="Z64">
        <f>HYPERLINK("https://klasma.github.io/Logging_2085/klagomålsmail/A 21369-2023 FSC-klagomål mail.docx", "A 21369-2023")</f>
        <v/>
      </c>
      <c r="AA64">
        <f>HYPERLINK("https://klasma.github.io/Logging_2085/tillsyn/A 21369-2023 tillsynsbegäran.docx", "A 21369-2023")</f>
        <v/>
      </c>
      <c r="AB64">
        <f>HYPERLINK("https://klasma.github.io/Logging_2085/tillsynsmail/A 21369-2023 tillsynsbegäran mail.docx", "A 21369-2023")</f>
        <v/>
      </c>
    </row>
    <row r="65" ht="15" customHeight="1">
      <c r="A65" t="inlineStr">
        <is>
          <t>A 11755-2023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46221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Garnlav
Spillkråka</t>
        </is>
      </c>
      <c r="V65">
        <f>HYPERLINK("https://klasma.github.io/Logging_2085/artfynd/A 11755-2023 artfynd.xlsx", "A 11755-2023")</f>
        <v/>
      </c>
      <c r="W65">
        <f>HYPERLINK("https://klasma.github.io/Logging_2085/kartor/A 11755-2023 karta.png", "A 11755-2023")</f>
        <v/>
      </c>
      <c r="Y65">
        <f>HYPERLINK("https://klasma.github.io/Logging_2085/klagomål/A 11755-2023 FSC-klagomål.docx", "A 11755-2023")</f>
        <v/>
      </c>
      <c r="Z65">
        <f>HYPERLINK("https://klasma.github.io/Logging_2085/klagomålsmail/A 11755-2023 FSC-klagomål mail.docx", "A 11755-2023")</f>
        <v/>
      </c>
      <c r="AA65">
        <f>HYPERLINK("https://klasma.github.io/Logging_2085/tillsyn/A 11755-2023 tillsynsbegäran.docx", "A 11755-2023")</f>
        <v/>
      </c>
      <c r="AB65">
        <f>HYPERLINK("https://klasma.github.io/Logging_2085/tillsynsmail/A 11755-2023 tillsynsbegäran mail.docx", "A 11755-2023")</f>
        <v/>
      </c>
      <c r="AC65">
        <f>HYPERLINK("https://klasma.github.io/Logging_2085/fåglar/A 11755-2023 prioriterade fågelarter.docx", "A 11755-2023")</f>
        <v/>
      </c>
    </row>
    <row r="66" ht="15" customHeight="1">
      <c r="A66" t="inlineStr">
        <is>
          <t>A 45225-2024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45575</v>
      </c>
      <c r="E66" s="1" t="n">
        <v>46221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s="2" t="inlineStr">
        <is>
          <t>Kungsfågel
Ärtsångare</t>
        </is>
      </c>
      <c r="V66">
        <f>HYPERLINK("https://klasma.github.io/Logging_2085/artfynd/A 45225-2024 artfynd.xlsx", "A 45225-2024")</f>
        <v/>
      </c>
      <c r="W66">
        <f>HYPERLINK("https://klasma.github.io/Logging_2085/kartor/A 45225-2024 karta.png", "A 45225-2024")</f>
        <v/>
      </c>
      <c r="Y66">
        <f>HYPERLINK("https://klasma.github.io/Logging_2085/klagomål/A 45225-2024 FSC-klagomål.docx", "A 45225-2024")</f>
        <v/>
      </c>
      <c r="Z66">
        <f>HYPERLINK("https://klasma.github.io/Logging_2085/klagomålsmail/A 45225-2024 FSC-klagomål mail.docx", "A 45225-2024")</f>
        <v/>
      </c>
      <c r="AA66">
        <f>HYPERLINK("https://klasma.github.io/Logging_2085/tillsyn/A 45225-2024 tillsynsbegäran.docx", "A 45225-2024")</f>
        <v/>
      </c>
      <c r="AB66">
        <f>HYPERLINK("https://klasma.github.io/Logging_2085/tillsynsmail/A 45225-2024 tillsynsbegäran mail.docx", "A 45225-2024")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46221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s="2" t="inlineStr">
        <is>
          <t>Nordfladdermus
Fläcknycklar</t>
        </is>
      </c>
      <c r="V67">
        <f>HYPERLINK("https://klasma.github.io/Logging_2085/artfynd/A 44262-2025 artfynd.xlsx", "A 44262-2025")</f>
        <v/>
      </c>
      <c r="W67">
        <f>HYPERLINK("https://klasma.github.io/Logging_2085/kartor/A 44262-2025 karta.png", "A 44262-2025")</f>
        <v/>
      </c>
      <c r="Y67">
        <f>HYPERLINK("https://klasma.github.io/Logging_2085/klagomål/A 44262-2025 FSC-klagomål.docx", "A 44262-2025")</f>
        <v/>
      </c>
      <c r="Z67">
        <f>HYPERLINK("https://klasma.github.io/Logging_2085/klagomålsmail/A 44262-2025 FSC-klagomål mail.docx", "A 44262-2025")</f>
        <v/>
      </c>
      <c r="AA67">
        <f>HYPERLINK("https://klasma.github.io/Logging_2085/tillsyn/A 44262-2025 tillsynsbegäran.docx", "A 44262-2025")</f>
        <v/>
      </c>
      <c r="AB67">
        <f>HYPERLINK("https://klasma.github.io/Logging_2085/tillsynsmail/A 44262-2025 tillsynsbegäran mail.docx", "A 44262-2025")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46221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s="2" t="inlineStr">
        <is>
          <t>Garnlav
Tretåig hackspett</t>
        </is>
      </c>
      <c r="V68">
        <f>HYPERLINK("https://klasma.github.io/Logging_2085/artfynd/A 49767-2025 artfynd.xlsx", "A 49767-2025")</f>
        <v/>
      </c>
      <c r="W68">
        <f>HYPERLINK("https://klasma.github.io/Logging_2085/kartor/A 49767-2025 karta.png", "A 49767-2025")</f>
        <v/>
      </c>
      <c r="Y68">
        <f>HYPERLINK("https://klasma.github.io/Logging_2085/klagomål/A 49767-2025 FSC-klagomål.docx", "A 49767-2025")</f>
        <v/>
      </c>
      <c r="Z68">
        <f>HYPERLINK("https://klasma.github.io/Logging_2085/klagomålsmail/A 49767-2025 FSC-klagomål mail.docx", "A 49767-2025")</f>
        <v/>
      </c>
      <c r="AA68">
        <f>HYPERLINK("https://klasma.github.io/Logging_2085/tillsyn/A 49767-2025 tillsynsbegäran.docx", "A 49767-2025")</f>
        <v/>
      </c>
      <c r="AB68">
        <f>HYPERLINK("https://klasma.github.io/Logging_2085/tillsynsmail/A 49767-2025 tillsynsbegäran mail.docx", "A 49767-2025")</f>
        <v/>
      </c>
      <c r="AC68">
        <f>HYPERLINK("https://klasma.github.io/Logging_2085/fåglar/A 49767-2025 prioriterade fågelarter.docx", "A 49767-2025")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46221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Labyrintlav
Gulnål</t>
        </is>
      </c>
      <c r="V69">
        <f>HYPERLINK("https://klasma.github.io/Logging_2085/artfynd/A 50170-2025 artfynd.xlsx", "A 50170-2025")</f>
        <v/>
      </c>
      <c r="W69">
        <f>HYPERLINK("https://klasma.github.io/Logging_2085/kartor/A 50170-2025 karta.png", "A 50170-2025")</f>
        <v/>
      </c>
      <c r="Y69">
        <f>HYPERLINK("https://klasma.github.io/Logging_2085/klagomål/A 50170-2025 FSC-klagomål.docx", "A 50170-2025")</f>
        <v/>
      </c>
      <c r="Z69">
        <f>HYPERLINK("https://klasma.github.io/Logging_2085/klagomålsmail/A 50170-2025 FSC-klagomål mail.docx", "A 50170-2025")</f>
        <v/>
      </c>
      <c r="AA69">
        <f>HYPERLINK("https://klasma.github.io/Logging_2085/tillsyn/A 50170-2025 tillsynsbegäran.docx", "A 50170-2025")</f>
        <v/>
      </c>
      <c r="AB69">
        <f>HYPERLINK("https://klasma.github.io/Logging_2085/tillsynsmail/A 50170-2025 tillsynsbegäran mail.docx", "A 50170-2025")</f>
        <v/>
      </c>
    </row>
    <row r="70" ht="15" customHeight="1">
      <c r="A70" t="inlineStr">
        <is>
          <t>A 56179-2025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46221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s="2" t="inlineStr">
        <is>
          <t>Gultoppig fingersvamp
Kortskaftad ärgspik</t>
        </is>
      </c>
      <c r="V70">
        <f>HYPERLINK("https://klasma.github.io/Logging_2085/artfynd/A 56179-2025 artfynd.xlsx", "A 56179-2025")</f>
        <v/>
      </c>
      <c r="W70">
        <f>HYPERLINK("https://klasma.github.io/Logging_2085/kartor/A 56179-2025 karta.png", "A 56179-2025")</f>
        <v/>
      </c>
      <c r="X70">
        <f>HYPERLINK("https://klasma.github.io/Logging_2085/knärot/A 56179-2025 karta knärot.png", "A 56179-2025")</f>
        <v/>
      </c>
      <c r="Y70">
        <f>HYPERLINK("https://klasma.github.io/Logging_2085/klagomål/A 56179-2025 FSC-klagomål.docx", "A 56179-2025")</f>
        <v/>
      </c>
      <c r="Z70">
        <f>HYPERLINK("https://klasma.github.io/Logging_2085/klagomålsmail/A 56179-2025 FSC-klagomål mail.docx", "A 56179-2025")</f>
        <v/>
      </c>
      <c r="AA70">
        <f>HYPERLINK("https://klasma.github.io/Logging_2085/tillsyn/A 56179-2025 tillsynsbegäran.docx", "A 56179-2025")</f>
        <v/>
      </c>
      <c r="AB70">
        <f>HYPERLINK("https://klasma.github.io/Logging_2085/tillsynsmail/A 56179-2025 tillsynsbegäran mail.docx", "A 56179-2025")</f>
        <v/>
      </c>
    </row>
    <row r="71" ht="15" customHeight="1">
      <c r="A71" t="inlineStr">
        <is>
          <t>A 56826-2025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45978</v>
      </c>
      <c r="E71" s="1" t="n">
        <v>46221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4.5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8</v>
      </c>
      <c r="U71" s="2" t="inlineStr">
        <is>
          <t>Garnlav
Tretåig hackspett</t>
        </is>
      </c>
      <c r="V71">
        <f>HYPERLINK("https://klasma.github.io/Logging_2085/artfynd/A 56826-2025 artfynd.xlsx", "A 56826-2025")</f>
        <v/>
      </c>
      <c r="W71">
        <f>HYPERLINK("https://klasma.github.io/Logging_2085/kartor/A 56826-2025 karta.png", "A 56826-2025")</f>
        <v/>
      </c>
      <c r="Y71">
        <f>HYPERLINK("https://klasma.github.io/Logging_2085/klagomål/A 56826-2025 FSC-klagomål.docx", "A 56826-2025")</f>
        <v/>
      </c>
      <c r="Z71">
        <f>HYPERLINK("https://klasma.github.io/Logging_2085/klagomålsmail/A 56826-2025 FSC-klagomål mail.docx", "A 56826-2025")</f>
        <v/>
      </c>
      <c r="AA71">
        <f>HYPERLINK("https://klasma.github.io/Logging_2085/tillsyn/A 56826-2025 tillsynsbegäran.docx", "A 56826-2025")</f>
        <v/>
      </c>
      <c r="AB71">
        <f>HYPERLINK("https://klasma.github.io/Logging_2085/tillsynsmail/A 56826-2025 tillsynsbegäran mail.docx", "A 56826-2025")</f>
        <v/>
      </c>
      <c r="AC71">
        <f>HYPERLINK("https://klasma.github.io/Logging_2085/fåglar/A 56826-2025 prioriterade fågelarter.docx", "A 56826-2025")</f>
        <v/>
      </c>
    </row>
    <row r="72" ht="15" customHeight="1">
      <c r="A72" t="inlineStr">
        <is>
          <t>A 49763-2025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46221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6.9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s="2" t="inlineStr">
        <is>
          <t>Dvärgbägarlav
Vedticka</t>
        </is>
      </c>
      <c r="V72">
        <f>HYPERLINK("https://klasma.github.io/Logging_2085/artfynd/A 49763-2025 artfynd.xlsx", "A 49763-2025")</f>
        <v/>
      </c>
      <c r="W72">
        <f>HYPERLINK("https://klasma.github.io/Logging_2085/kartor/A 49763-2025 karta.png", "A 49763-2025")</f>
        <v/>
      </c>
      <c r="Y72">
        <f>HYPERLINK("https://klasma.github.io/Logging_2085/klagomål/A 49763-2025 FSC-klagomål.docx", "A 49763-2025")</f>
        <v/>
      </c>
      <c r="Z72">
        <f>HYPERLINK("https://klasma.github.io/Logging_2085/klagomålsmail/A 49763-2025 FSC-klagomål mail.docx", "A 49763-2025")</f>
        <v/>
      </c>
      <c r="AA72">
        <f>HYPERLINK("https://klasma.github.io/Logging_2085/tillsyn/A 49763-2025 tillsynsbegäran.docx", "A 49763-2025")</f>
        <v/>
      </c>
      <c r="AB72">
        <f>HYPERLINK("https://klasma.github.io/Logging_2085/tillsynsmail/A 49763-2025 tillsynsbegäran mail.docx", "A 49763-2025")</f>
        <v/>
      </c>
    </row>
    <row r="73" ht="15" customHeight="1">
      <c r="A73" t="inlineStr">
        <is>
          <t>A 56879-2025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46221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s="2" t="inlineStr">
        <is>
          <t>Garnlav
Tjäder</t>
        </is>
      </c>
      <c r="V73">
        <f>HYPERLINK("https://klasma.github.io/Logging_2085/artfynd/A 56879-2025 artfynd.xlsx", "A 56879-2025")</f>
        <v/>
      </c>
      <c r="W73">
        <f>HYPERLINK("https://klasma.github.io/Logging_2085/kartor/A 56879-2025 karta.png", "A 56879-2025")</f>
        <v/>
      </c>
      <c r="Y73">
        <f>HYPERLINK("https://klasma.github.io/Logging_2085/klagomål/A 56879-2025 FSC-klagomål.docx", "A 56879-2025")</f>
        <v/>
      </c>
      <c r="Z73">
        <f>HYPERLINK("https://klasma.github.io/Logging_2085/klagomålsmail/A 56879-2025 FSC-klagomål mail.docx", "A 56879-2025")</f>
        <v/>
      </c>
      <c r="AA73">
        <f>HYPERLINK("https://klasma.github.io/Logging_2085/tillsyn/A 56879-2025 tillsynsbegäran.docx", "A 56879-2025")</f>
        <v/>
      </c>
      <c r="AB73">
        <f>HYPERLINK("https://klasma.github.io/Logging_2085/tillsynsmail/A 56879-2025 tillsynsbegäran mail.docx", "A 56879-2025")</f>
        <v/>
      </c>
      <c r="AC73">
        <f>HYPERLINK("https://klasma.github.io/Logging_2085/fåglar/A 56879-2025 prioriterade fågelarter.docx", "A 56879-2025")</f>
        <v/>
      </c>
    </row>
    <row r="74" ht="15" customHeight="1">
      <c r="A74" t="inlineStr">
        <is>
          <t>A 63116-2025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46009</v>
      </c>
      <c r="E74" s="1" t="n">
        <v>46221</v>
      </c>
      <c r="F74" t="inlineStr">
        <is>
          <t>DALARNAS LÄN</t>
        </is>
      </c>
      <c r="G74" t="inlineStr">
        <is>
          <t>LUDVIKA</t>
        </is>
      </c>
      <c r="I74" t="n">
        <v>4.8</v>
      </c>
      <c r="J74" t="n">
        <v>0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Garnlav
Björksplintborre</t>
        </is>
      </c>
      <c r="V74">
        <f>HYPERLINK("https://klasma.github.io/Logging_2085/artfynd/A 63116-2025 artfynd.xlsx", "A 63116-2025")</f>
        <v/>
      </c>
      <c r="W74">
        <f>HYPERLINK("https://klasma.github.io/Logging_2085/kartor/A 63116-2025 karta.png", "A 63116-2025")</f>
        <v/>
      </c>
      <c r="Y74">
        <f>HYPERLINK("https://klasma.github.io/Logging_2085/klagomål/A 63116-2025 FSC-klagomål.docx", "A 63116-2025")</f>
        <v/>
      </c>
      <c r="Z74">
        <f>HYPERLINK("https://klasma.github.io/Logging_2085/klagomålsmail/A 63116-2025 FSC-klagomål mail.docx", "A 63116-2025")</f>
        <v/>
      </c>
      <c r="AA74">
        <f>HYPERLINK("https://klasma.github.io/Logging_2085/tillsyn/A 63116-2025 tillsynsbegäran.docx", "A 63116-2025")</f>
        <v/>
      </c>
      <c r="AB74">
        <f>HYPERLINK("https://klasma.github.io/Logging_2085/tillsynsmail/A 63116-2025 tillsynsbegäran mail.docx", "A 63116-2025")</f>
        <v/>
      </c>
    </row>
    <row r="75" ht="15" customHeight="1">
      <c r="A75" t="inlineStr">
        <is>
          <t>A 18024-2026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46125</v>
      </c>
      <c r="E75" s="1" t="n">
        <v>46221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Skinnlav
Svavelriska</t>
        </is>
      </c>
      <c r="V75">
        <f>HYPERLINK("https://klasma.github.io/Logging_2085/artfynd/A 18024-2026 artfynd.xlsx", "A 18024-2026")</f>
        <v/>
      </c>
      <c r="W75">
        <f>HYPERLINK("https://klasma.github.io/Logging_2085/kartor/A 18024-2026 karta.png", "A 18024-2026")</f>
        <v/>
      </c>
      <c r="Y75">
        <f>HYPERLINK("https://klasma.github.io/Logging_2085/klagomål/A 18024-2026 FSC-klagomål.docx", "A 18024-2026")</f>
        <v/>
      </c>
      <c r="Z75">
        <f>HYPERLINK("https://klasma.github.io/Logging_2085/klagomålsmail/A 18024-2026 FSC-klagomål mail.docx", "A 18024-2026")</f>
        <v/>
      </c>
      <c r="AA75">
        <f>HYPERLINK("https://klasma.github.io/Logging_2085/tillsyn/A 18024-2026 tillsynsbegäran.docx", "A 18024-2026")</f>
        <v/>
      </c>
      <c r="AB75">
        <f>HYPERLINK("https://klasma.github.io/Logging_2085/tillsynsmail/A 18024-2026 tillsynsbegäran mail.docx", "A 18024-2026")</f>
        <v/>
      </c>
    </row>
    <row r="76" ht="15" customHeight="1">
      <c r="A76" t="inlineStr">
        <is>
          <t>A 8202-2025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45708</v>
      </c>
      <c r="E76" s="1" t="n">
        <v>46221</v>
      </c>
      <c r="F76" t="inlineStr">
        <is>
          <t>DALARNAS LÄN</t>
        </is>
      </c>
      <c r="G76" t="inlineStr">
        <is>
          <t>LUDVIKA</t>
        </is>
      </c>
      <c r="I76" t="n">
        <v>6.4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7</v>
      </c>
      <c r="U76" s="2" t="inlineStr">
        <is>
          <t>Tretåig hackspett
Spillkråka</t>
        </is>
      </c>
      <c r="V76">
        <f>HYPERLINK("https://klasma.github.io/Logging_2085/artfynd/A 8202-2025 artfynd.xlsx", "A 8202-2025")</f>
        <v/>
      </c>
      <c r="W76">
        <f>HYPERLINK("https://klasma.github.io/Logging_2085/kartor/A 8202-2025 karta.png", "A 8202-2025")</f>
        <v/>
      </c>
      <c r="Y76">
        <f>HYPERLINK("https://klasma.github.io/Logging_2085/klagomål/A 8202-2025 FSC-klagomål.docx", "A 8202-2025")</f>
        <v/>
      </c>
      <c r="Z76">
        <f>HYPERLINK("https://klasma.github.io/Logging_2085/klagomålsmail/A 8202-2025 FSC-klagomål mail.docx", "A 8202-2025")</f>
        <v/>
      </c>
      <c r="AA76">
        <f>HYPERLINK("https://klasma.github.io/Logging_2085/tillsyn/A 8202-2025 tillsynsbegäran.docx", "A 8202-2025")</f>
        <v/>
      </c>
      <c r="AB76">
        <f>HYPERLINK("https://klasma.github.io/Logging_2085/tillsynsmail/A 8202-2025 tillsynsbegäran mail.docx", "A 8202-2025")</f>
        <v/>
      </c>
      <c r="AC76">
        <f>HYPERLINK("https://klasma.github.io/Logging_2085/fåglar/A 8202-2025 prioriterade fågelarter.docx", "A 8202-2025")</f>
        <v/>
      </c>
    </row>
    <row r="77" ht="15" customHeight="1">
      <c r="A77" t="inlineStr">
        <is>
          <t>A 33155-2024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45518</v>
      </c>
      <c r="E77" s="1" t="n">
        <v>46221</v>
      </c>
      <c r="F77" t="inlineStr">
        <is>
          <t>DALARNAS LÄN</t>
        </is>
      </c>
      <c r="G77" t="inlineStr">
        <is>
          <t>LUDVIKA</t>
        </is>
      </c>
      <c r="I77" t="n">
        <v>2.9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Brunpudrad nållav
Tretåig hackspett</t>
        </is>
      </c>
      <c r="V77">
        <f>HYPERLINK("https://klasma.github.io/Logging_2085/artfynd/A 33155-2024 artfynd.xlsx", "A 33155-2024")</f>
        <v/>
      </c>
      <c r="W77">
        <f>HYPERLINK("https://klasma.github.io/Logging_2085/kartor/A 33155-2024 karta.png", "A 33155-2024")</f>
        <v/>
      </c>
      <c r="Y77">
        <f>HYPERLINK("https://klasma.github.io/Logging_2085/klagomål/A 33155-2024 FSC-klagomål.docx", "A 33155-2024")</f>
        <v/>
      </c>
      <c r="Z77">
        <f>HYPERLINK("https://klasma.github.io/Logging_2085/klagomålsmail/A 33155-2024 FSC-klagomål mail.docx", "A 33155-2024")</f>
        <v/>
      </c>
      <c r="AA77">
        <f>HYPERLINK("https://klasma.github.io/Logging_2085/tillsyn/A 33155-2024 tillsynsbegäran.docx", "A 33155-2024")</f>
        <v/>
      </c>
      <c r="AB77">
        <f>HYPERLINK("https://klasma.github.io/Logging_2085/tillsynsmail/A 33155-2024 tillsynsbegäran mail.docx", "A 33155-2024")</f>
        <v/>
      </c>
      <c r="AC77">
        <f>HYPERLINK("https://klasma.github.io/Logging_2085/fåglar/A 33155-2024 prioriterade fågelarter.docx", "A 33155-2024")</f>
        <v/>
      </c>
    </row>
    <row r="78" ht="15" customHeight="1">
      <c r="A78" t="inlineStr">
        <is>
          <t>A 19538-2026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46134</v>
      </c>
      <c r="E78" s="1" t="n">
        <v>46221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3.8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Mörk husmossa
Tibast</t>
        </is>
      </c>
      <c r="V78">
        <f>HYPERLINK("https://klasma.github.io/Logging_2085/artfynd/A 19538-2026 artfynd.xlsx", "A 19538-2026")</f>
        <v/>
      </c>
      <c r="W78">
        <f>HYPERLINK("https://klasma.github.io/Logging_2085/kartor/A 19538-2026 karta.png", "A 19538-2026")</f>
        <v/>
      </c>
      <c r="Y78">
        <f>HYPERLINK("https://klasma.github.io/Logging_2085/klagomål/A 19538-2026 FSC-klagomål.docx", "A 19538-2026")</f>
        <v/>
      </c>
      <c r="Z78">
        <f>HYPERLINK("https://klasma.github.io/Logging_2085/klagomålsmail/A 19538-2026 FSC-klagomål mail.docx", "A 19538-2026")</f>
        <v/>
      </c>
      <c r="AA78">
        <f>HYPERLINK("https://klasma.github.io/Logging_2085/tillsyn/A 19538-2026 tillsynsbegäran.docx", "A 19538-2026")</f>
        <v/>
      </c>
      <c r="AB78">
        <f>HYPERLINK("https://klasma.github.io/Logging_2085/tillsynsmail/A 19538-2026 tillsynsbegäran mail.docx", "A 19538-2026")</f>
        <v/>
      </c>
    </row>
    <row r="79" ht="15" customHeight="1">
      <c r="A79" t="inlineStr">
        <is>
          <t>A 49051-2024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46221</v>
      </c>
      <c r="F79" t="inlineStr">
        <is>
          <t>DALARNAS LÄN</t>
        </is>
      </c>
      <c r="G79" t="inlineStr">
        <is>
          <t>LUDVIKA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2</v>
      </c>
      <c r="O79" t="n">
        <v>0</v>
      </c>
      <c r="P79" t="n">
        <v>0</v>
      </c>
      <c r="Q79" t="n">
        <v>2</v>
      </c>
      <c r="R79" t="n">
        <v>2</v>
      </c>
      <c r="S79" t="n">
        <v>2</v>
      </c>
      <c r="T79" t="n">
        <v>2</v>
      </c>
      <c r="U79" s="2" t="inlineStr">
        <is>
          <t>Ladparasitspik
Vedkastanjelav</t>
        </is>
      </c>
      <c r="V79">
        <f>HYPERLINK("https://klasma.github.io/Logging_2085/artfynd/A 49051-2024 artfynd.xlsx", "A 49051-2024")</f>
        <v/>
      </c>
      <c r="W79">
        <f>HYPERLINK("https://klasma.github.io/Logging_2085/kartor/A 49051-2024 karta.png", "A 49051-2024")</f>
        <v/>
      </c>
      <c r="Y79">
        <f>HYPERLINK("https://klasma.github.io/Logging_2085/klagomål/A 49051-2024 FSC-klagomål.docx", "A 49051-2024")</f>
        <v/>
      </c>
      <c r="Z79">
        <f>HYPERLINK("https://klasma.github.io/Logging_2085/klagomålsmail/A 49051-2024 FSC-klagomål mail.docx", "A 49051-2024")</f>
        <v/>
      </c>
      <c r="AA79">
        <f>HYPERLINK("https://klasma.github.io/Logging_2085/tillsyn/A 49051-2024 tillsynsbegäran.docx", "A 49051-2024")</f>
        <v/>
      </c>
      <c r="AB79">
        <f>HYPERLINK("https://klasma.github.io/Logging_2085/tillsynsmail/A 49051-2024 tillsynsbegäran mail.docx", "A 49051-2024")</f>
        <v/>
      </c>
    </row>
    <row r="80" ht="15" customHeight="1">
      <c r="A80" t="inlineStr">
        <is>
          <t>A 3809-2024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46221</v>
      </c>
      <c r="F80" t="inlineStr">
        <is>
          <t>DALARNAS LÄN</t>
        </is>
      </c>
      <c r="G80" t="inlineStr">
        <is>
          <t>LUDVIKA</t>
        </is>
      </c>
      <c r="I80" t="n">
        <v>0.5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8</v>
      </c>
      <c r="U80" s="2" t="inlineStr">
        <is>
          <t>Nordfladdermus
Fläcknycklar</t>
        </is>
      </c>
      <c r="V80">
        <f>HYPERLINK("https://klasma.github.io/Logging_2085/artfynd/A 3809-2024 artfynd.xlsx", "A 3809-2024")</f>
        <v/>
      </c>
      <c r="W80">
        <f>HYPERLINK("https://klasma.github.io/Logging_2085/kartor/A 3809-2024 karta.png", "A 3809-2024")</f>
        <v/>
      </c>
      <c r="Y80">
        <f>HYPERLINK("https://klasma.github.io/Logging_2085/klagomål/A 3809-2024 FSC-klagomål.docx", "A 3809-2024")</f>
        <v/>
      </c>
      <c r="Z80">
        <f>HYPERLINK("https://klasma.github.io/Logging_2085/klagomålsmail/A 3809-2024 FSC-klagomål mail.docx", "A 3809-2024")</f>
        <v/>
      </c>
      <c r="AA80">
        <f>HYPERLINK("https://klasma.github.io/Logging_2085/tillsyn/A 3809-2024 tillsynsbegäran.docx", "A 3809-2024")</f>
        <v/>
      </c>
      <c r="AB80">
        <f>HYPERLINK("https://klasma.github.io/Logging_2085/tillsynsmail/A 3809-2024 tillsynsbegäran mail.docx", "A 3809-2024")</f>
        <v/>
      </c>
    </row>
    <row r="81" ht="15" customHeight="1">
      <c r="A81" t="inlineStr">
        <is>
          <t>A 21876-2026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46221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1.9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s="2" t="inlineStr">
        <is>
          <t>Garnlav
Tretåig hackspett</t>
        </is>
      </c>
      <c r="V81">
        <f>HYPERLINK("https://klasma.github.io/Logging_2085/artfynd/A 21876-2026 artfynd.xlsx", "A 21876-2026")</f>
        <v/>
      </c>
      <c r="W81">
        <f>HYPERLINK("https://klasma.github.io/Logging_2085/kartor/A 21876-2026 karta.png", "A 21876-2026")</f>
        <v/>
      </c>
      <c r="Y81">
        <f>HYPERLINK("https://klasma.github.io/Logging_2085/klagomål/A 21876-2026 FSC-klagomål.docx", "A 21876-2026")</f>
        <v/>
      </c>
      <c r="Z81">
        <f>HYPERLINK("https://klasma.github.io/Logging_2085/klagomålsmail/A 21876-2026 FSC-klagomål mail.docx", "A 21876-2026")</f>
        <v/>
      </c>
      <c r="AA81">
        <f>HYPERLINK("https://klasma.github.io/Logging_2085/tillsyn/A 21876-2026 tillsynsbegäran.docx", "A 21876-2026")</f>
        <v/>
      </c>
      <c r="AB81">
        <f>HYPERLINK("https://klasma.github.io/Logging_2085/tillsynsmail/A 21876-2026 tillsynsbegäran mail.docx", "A 21876-2026")</f>
        <v/>
      </c>
      <c r="AC81">
        <f>HYPERLINK("https://klasma.github.io/Logging_2085/fåglar/A 21876-2026 prioriterade fågelarter.docx", "A 21876-2026")</f>
        <v/>
      </c>
    </row>
    <row r="82" ht="15" customHeight="1">
      <c r="A82" t="inlineStr">
        <is>
          <t>A 55399-2025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46221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11.5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s="2" t="inlineStr">
        <is>
          <t>Spillkråka
Revlummer</t>
        </is>
      </c>
      <c r="V82">
        <f>HYPERLINK("https://klasma.github.io/Logging_2085/artfynd/A 55399-2025 artfynd.xlsx", "A 55399-2025")</f>
        <v/>
      </c>
      <c r="W82">
        <f>HYPERLINK("https://klasma.github.io/Logging_2085/kartor/A 55399-2025 karta.png", "A 55399-2025")</f>
        <v/>
      </c>
      <c r="Y82">
        <f>HYPERLINK("https://klasma.github.io/Logging_2085/klagomål/A 55399-2025 FSC-klagomål.docx", "A 55399-2025")</f>
        <v/>
      </c>
      <c r="Z82">
        <f>HYPERLINK("https://klasma.github.io/Logging_2085/klagomålsmail/A 55399-2025 FSC-klagomål mail.docx", "A 55399-2025")</f>
        <v/>
      </c>
      <c r="AA82">
        <f>HYPERLINK("https://klasma.github.io/Logging_2085/tillsyn/A 55399-2025 tillsynsbegäran.docx", "A 55399-2025")</f>
        <v/>
      </c>
      <c r="AB82">
        <f>HYPERLINK("https://klasma.github.io/Logging_2085/tillsynsmail/A 55399-2025 tillsynsbegäran mail.docx", "A 55399-2025")</f>
        <v/>
      </c>
      <c r="AC82">
        <f>HYPERLINK("https://klasma.github.io/Logging_2085/fåglar/A 55399-2025 prioriterade fågelarter.docx", "A 55399-2025")</f>
        <v/>
      </c>
    </row>
    <row r="83" ht="15" customHeight="1">
      <c r="A83" t="inlineStr">
        <is>
          <t>A 19512-2022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44693</v>
      </c>
      <c r="E83" s="1" t="n">
        <v>46221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2.8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Tretåig hackspett
Nästlav</t>
        </is>
      </c>
      <c r="V83">
        <f>HYPERLINK("https://klasma.github.io/Logging_2085/artfynd/A 19512-2022 artfynd.xlsx", "A 19512-2022")</f>
        <v/>
      </c>
      <c r="W83">
        <f>HYPERLINK("https://klasma.github.io/Logging_2085/kartor/A 19512-2022 karta.png", "A 19512-2022")</f>
        <v/>
      </c>
      <c r="Y83">
        <f>HYPERLINK("https://klasma.github.io/Logging_2085/klagomål/A 19512-2022 FSC-klagomål.docx", "A 19512-2022")</f>
        <v/>
      </c>
      <c r="Z83">
        <f>HYPERLINK("https://klasma.github.io/Logging_2085/klagomålsmail/A 19512-2022 FSC-klagomål mail.docx", "A 19512-2022")</f>
        <v/>
      </c>
      <c r="AA83">
        <f>HYPERLINK("https://klasma.github.io/Logging_2085/tillsyn/A 19512-2022 tillsynsbegäran.docx", "A 19512-2022")</f>
        <v/>
      </c>
      <c r="AB83">
        <f>HYPERLINK("https://klasma.github.io/Logging_2085/tillsynsmail/A 19512-2022 tillsynsbegäran mail.docx", "A 19512-2022")</f>
        <v/>
      </c>
      <c r="AC83">
        <f>HYPERLINK("https://klasma.github.io/Logging_2085/fåglar/A 19512-2022 prioriterade fågelarter.docx", "A 19512-2022")</f>
        <v/>
      </c>
    </row>
    <row r="84" ht="15" customHeight="1">
      <c r="A84" t="inlineStr">
        <is>
          <t>A 31070-2026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46216</v>
      </c>
      <c r="E84" s="1" t="n">
        <v>46221</v>
      </c>
      <c r="F84" t="inlineStr">
        <is>
          <t>DALARNAS LÄN</t>
        </is>
      </c>
      <c r="G84" t="inlineStr">
        <is>
          <t>LUDVIKA</t>
        </is>
      </c>
      <c r="I84" t="n">
        <v>8.9</v>
      </c>
      <c r="J84" t="n">
        <v>2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s="2" t="inlineStr">
        <is>
          <t>Knärot
Blåsippa</t>
        </is>
      </c>
      <c r="V84">
        <f>HYPERLINK("https://klasma.github.io/Logging_2085/artfynd/A 31070-2026 artfynd.xlsx", "A 31070-2026")</f>
        <v/>
      </c>
      <c r="W84">
        <f>HYPERLINK("https://klasma.github.io/Logging_2085/kartor/A 31070-2026 karta.png", "A 31070-2026")</f>
        <v/>
      </c>
      <c r="X84">
        <f>HYPERLINK("https://klasma.github.io/Logging_2085/knärot/A 31070-2026 karta knärot.png", "A 31070-2026")</f>
        <v/>
      </c>
      <c r="Y84">
        <f>HYPERLINK("https://klasma.github.io/Logging_2085/klagomål/A 31070-2026 FSC-klagomål.docx", "A 31070-2026")</f>
        <v/>
      </c>
      <c r="Z84">
        <f>HYPERLINK("https://klasma.github.io/Logging_2085/klagomålsmail/A 31070-2026 FSC-klagomål mail.docx", "A 31070-2026")</f>
        <v/>
      </c>
      <c r="AA84">
        <f>HYPERLINK("https://klasma.github.io/Logging_2085/tillsyn/A 31070-2026 tillsynsbegäran.docx", "A 31070-2026")</f>
        <v/>
      </c>
      <c r="AB84">
        <f>HYPERLINK("https://klasma.github.io/Logging_2085/tillsynsmail/A 31070-2026 tillsynsbegäran mail.docx", "A 31070-2026")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46221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s="2" t="inlineStr">
        <is>
          <t>Blå taggsvamp
Motaggsvamp</t>
        </is>
      </c>
      <c r="V85">
        <f>HYPERLINK("https://klasma.github.io/Logging_2085/artfynd/A 28639-2026 artfynd.xlsx", "A 28639-2026")</f>
        <v/>
      </c>
      <c r="W85">
        <f>HYPERLINK("https://klasma.github.io/Logging_2085/kartor/A 28639-2026 karta.png", "A 28639-2026")</f>
        <v/>
      </c>
      <c r="Y85">
        <f>HYPERLINK("https://klasma.github.io/Logging_2085/klagomål/A 28639-2026 FSC-klagomål.docx", "A 28639-2026")</f>
        <v/>
      </c>
      <c r="Z85">
        <f>HYPERLINK("https://klasma.github.io/Logging_2085/klagomålsmail/A 28639-2026 FSC-klagomål mail.docx", "A 28639-2026")</f>
        <v/>
      </c>
      <c r="AA85">
        <f>HYPERLINK("https://klasma.github.io/Logging_2085/tillsyn/A 28639-2026 tillsynsbegäran.docx", "A 28639-2026")</f>
        <v/>
      </c>
      <c r="AB85">
        <f>HYPERLINK("https://klasma.github.io/Logging_2085/tillsynsmail/A 28639-2026 tillsynsbegäran mail.docx", "A 28639-2026")</f>
        <v/>
      </c>
    </row>
    <row r="86" ht="15" customHeight="1">
      <c r="A86" t="inlineStr">
        <is>
          <t>A 23919-2026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46221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s="2" t="inlineStr">
        <is>
          <t>Korallblylav
Skinnlav</t>
        </is>
      </c>
      <c r="V86">
        <f>HYPERLINK("https://klasma.github.io/Logging_2085/artfynd/A 23919-2026 artfynd.xlsx", "A 23919-2026")</f>
        <v/>
      </c>
      <c r="W86">
        <f>HYPERLINK("https://klasma.github.io/Logging_2085/kartor/A 23919-2026 karta.png", "A 23919-2026")</f>
        <v/>
      </c>
      <c r="Y86">
        <f>HYPERLINK("https://klasma.github.io/Logging_2085/klagomål/A 23919-2026 FSC-klagomål.docx", "A 23919-2026")</f>
        <v/>
      </c>
      <c r="Z86">
        <f>HYPERLINK("https://klasma.github.io/Logging_2085/klagomålsmail/A 23919-2026 FSC-klagomål mail.docx", "A 23919-2026")</f>
        <v/>
      </c>
      <c r="AA86">
        <f>HYPERLINK("https://klasma.github.io/Logging_2085/tillsyn/A 23919-2026 tillsynsbegäran.docx", "A 23919-2026")</f>
        <v/>
      </c>
      <c r="AB86">
        <f>HYPERLINK("https://klasma.github.io/Logging_2085/tillsynsmail/A 23919-2026 tillsynsbegäran mail.docx", "A 23919-2026")</f>
        <v/>
      </c>
    </row>
    <row r="87" ht="15" customHeight="1">
      <c r="A87" t="inlineStr">
        <is>
          <t>A 42558-2022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46221</v>
      </c>
      <c r="F87" t="inlineStr">
        <is>
          <t>DALARNAS LÄN</t>
        </is>
      </c>
      <c r="G87" t="inlineStr">
        <is>
          <t>LUDVIKA</t>
        </is>
      </c>
      <c r="H87" t="inlineStr">
        <is>
          <t>Naturvårdsverket</t>
        </is>
      </c>
      <c r="I87" t="n">
        <v>4.9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s="2" t="inlineStr">
        <is>
          <t>Gräddporing
Lopplummer (aggregat)</t>
        </is>
      </c>
      <c r="V87">
        <f>HYPERLINK("https://klasma.github.io/Logging_2085/artfynd/A 42558-2022 artfynd.xlsx", "A 42558-2022")</f>
        <v/>
      </c>
      <c r="W87">
        <f>HYPERLINK("https://klasma.github.io/Logging_2085/kartor/A 42558-2022 karta.png", "A 42558-2022")</f>
        <v/>
      </c>
      <c r="Y87">
        <f>HYPERLINK("https://klasma.github.io/Logging_2085/klagomål/A 42558-2022 FSC-klagomål.docx", "A 42558-2022")</f>
        <v/>
      </c>
      <c r="Z87">
        <f>HYPERLINK("https://klasma.github.io/Logging_2085/klagomålsmail/A 42558-2022 FSC-klagomål mail.docx", "A 42558-2022")</f>
        <v/>
      </c>
      <c r="AA87">
        <f>HYPERLINK("https://klasma.github.io/Logging_2085/tillsyn/A 42558-2022 tillsynsbegäran.docx", "A 42558-2022")</f>
        <v/>
      </c>
      <c r="AB87">
        <f>HYPERLINK("https://klasma.github.io/Logging_2085/tillsynsmail/A 42558-2022 tillsynsbegäran mail.docx", "A 42558-2022")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46221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Brunpudrad nållav
Rödgul trumpetsvamp</t>
        </is>
      </c>
      <c r="V88">
        <f>HYPERLINK("https://klasma.github.io/Logging_2085/artfynd/S 296-2025 artfynd.xlsx", "S 296-2025")</f>
        <v/>
      </c>
      <c r="W88">
        <f>HYPERLINK("https://klasma.github.io/Logging_2085/kartor/S 296-2025 karta.png", "S 296-2025")</f>
        <v/>
      </c>
      <c r="Y88">
        <f>HYPERLINK("https://klasma.github.io/Logging_2085/klagomål/S 296-2025 FSC-klagomål.docx", "S 296-2025")</f>
        <v/>
      </c>
      <c r="Z88">
        <f>HYPERLINK("https://klasma.github.io/Logging_2085/klagomålsmail/S 296-2025 FSC-klagomål mail.docx", "S 296-2025")</f>
        <v/>
      </c>
      <c r="AA88">
        <f>HYPERLINK("https://klasma.github.io/Logging_2085/tillsyn/S 296-2025 tillsynsbegäran.docx", "S 296-2025")</f>
        <v/>
      </c>
      <c r="AB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46221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s="2" t="inlineStr">
        <is>
          <t>Garnlav
Järpe</t>
        </is>
      </c>
      <c r="V89">
        <f>HYPERLINK("https://klasma.github.io/Logging_2085/artfynd/S 3586-2025 artfynd.xlsx", "S 3586-2025")</f>
        <v/>
      </c>
      <c r="W89">
        <f>HYPERLINK("https://klasma.github.io/Logging_2085/kartor/S 3586-2025 karta.png", "S 3586-2025")</f>
        <v/>
      </c>
      <c r="Y89">
        <f>HYPERLINK("https://klasma.github.io/Logging_2085/klagomål/S 3586-2025 FSC-klagomål.docx", "S 3586-2025")</f>
        <v/>
      </c>
      <c r="Z89">
        <f>HYPERLINK("https://klasma.github.io/Logging_2085/klagomålsmail/S 3586-2025 FSC-klagomål mail.docx", "S 3586-2025")</f>
        <v/>
      </c>
      <c r="AA89">
        <f>HYPERLINK("https://klasma.github.io/Logging_2085/tillsyn/S 3586-2025 tillsynsbegäran.docx", "S 3586-2025")</f>
        <v/>
      </c>
      <c r="AB89">
        <f>HYPERLINK("https://klasma.github.io/Logging_2085/tillsynsmail/S 3586-2025 tillsynsbegäran mail.docx", "S 3586-2025")</f>
        <v/>
      </c>
      <c r="AC89">
        <f>HYPERLINK("https://klasma.github.io/Logging_2085/fåglar/S 3586-2025 prioriterade fågelarter.docx", "S 3586-2025")</f>
        <v/>
      </c>
    </row>
    <row r="90" ht="15" customHeight="1">
      <c r="A90" t="inlineStr">
        <is>
          <t>A 45995-2021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44441</v>
      </c>
      <c r="E90" s="1" t="n">
        <v>46221</v>
      </c>
      <c r="F90" t="inlineStr">
        <is>
          <t>DALARNAS LÄN</t>
        </is>
      </c>
      <c r="G90" t="inlineStr">
        <is>
          <t>LUDVIKA</t>
        </is>
      </c>
      <c r="I90" t="n">
        <v>1.2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Nordfladdermus</t>
        </is>
      </c>
      <c r="V90">
        <f>HYPERLINK("https://klasma.github.io/Logging_2085/artfynd/A 45995-2021 artfynd.xlsx", "A 45995-2021")</f>
        <v/>
      </c>
      <c r="W90">
        <f>HYPERLINK("https://klasma.github.io/Logging_2085/kartor/A 45995-2021 karta.png", "A 45995-2021")</f>
        <v/>
      </c>
      <c r="Y90">
        <f>HYPERLINK("https://klasma.github.io/Logging_2085/klagomål/A 45995-2021 FSC-klagomål.docx", "A 45995-2021")</f>
        <v/>
      </c>
      <c r="Z90">
        <f>HYPERLINK("https://klasma.github.io/Logging_2085/klagomålsmail/A 45995-2021 FSC-klagomål mail.docx", "A 45995-2021")</f>
        <v/>
      </c>
      <c r="AA90">
        <f>HYPERLINK("https://klasma.github.io/Logging_2085/tillsyn/A 45995-2021 tillsynsbegäran.docx", "A 45995-2021")</f>
        <v/>
      </c>
      <c r="AB90">
        <f>HYPERLINK("https://klasma.github.io/Logging_2085/tillsynsmail/A 45995-2021 tillsynsbegäran mail.docx", "A 45995-2021")</f>
        <v/>
      </c>
    </row>
    <row r="91" ht="15" customHeight="1">
      <c r="A91" t="inlineStr">
        <is>
          <t>A 48580-2021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44452</v>
      </c>
      <c r="E91" s="1" t="n">
        <v>46221</v>
      </c>
      <c r="F91" t="inlineStr">
        <is>
          <t>DALARNAS LÄN</t>
        </is>
      </c>
      <c r="G91" t="inlineStr">
        <is>
          <t>LUDVIKA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Göktyta</t>
        </is>
      </c>
      <c r="V91">
        <f>HYPERLINK("https://klasma.github.io/Logging_2085/artfynd/A 48580-2021 artfynd.xlsx", "A 48580-2021")</f>
        <v/>
      </c>
      <c r="W91">
        <f>HYPERLINK("https://klasma.github.io/Logging_2085/kartor/A 48580-2021 karta.png", "A 48580-2021")</f>
        <v/>
      </c>
      <c r="Y91">
        <f>HYPERLINK("https://klasma.github.io/Logging_2085/klagomål/A 48580-2021 FSC-klagomål.docx", "A 48580-2021")</f>
        <v/>
      </c>
      <c r="Z91">
        <f>HYPERLINK("https://klasma.github.io/Logging_2085/klagomålsmail/A 48580-2021 FSC-klagomål mail.docx", "A 48580-2021")</f>
        <v/>
      </c>
      <c r="AA91">
        <f>HYPERLINK("https://klasma.github.io/Logging_2085/tillsyn/A 48580-2021 tillsynsbegäran.docx", "A 48580-2021")</f>
        <v/>
      </c>
      <c r="AB91">
        <f>HYPERLINK("https://klasma.github.io/Logging_2085/tillsynsmail/A 48580-2021 tillsynsbegäran mail.docx", "A 48580-2021")</f>
        <v/>
      </c>
      <c r="AC91">
        <f>HYPERLINK("https://klasma.github.io/Logging_2085/fåglar/A 48580-2021 prioriterade fågelarter.docx", "A 48580-2021")</f>
        <v/>
      </c>
    </row>
    <row r="92" ht="15" customHeight="1">
      <c r="A92" t="inlineStr">
        <is>
          <t>A 927-2022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46221</v>
      </c>
      <c r="F92" t="inlineStr">
        <is>
          <t>DALARNAS LÄN</t>
        </is>
      </c>
      <c r="G92" t="inlineStr">
        <is>
          <t>LUDVIKA</t>
        </is>
      </c>
      <c r="H92" t="inlineStr">
        <is>
          <t>Allmännings- och besparingsskogar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Brunklöver</t>
        </is>
      </c>
      <c r="V92">
        <f>HYPERLINK("https://klasma.github.io/Logging_2085/artfynd/A 927-2022 artfynd.xlsx", "A 927-2022")</f>
        <v/>
      </c>
      <c r="W92">
        <f>HYPERLINK("https://klasma.github.io/Logging_2085/kartor/A 927-2022 karta.png", "A 927-2022")</f>
        <v/>
      </c>
      <c r="Y92">
        <f>HYPERLINK("https://klasma.github.io/Logging_2085/klagomål/A 927-2022 FSC-klagomål.docx", "A 927-2022")</f>
        <v/>
      </c>
      <c r="Z92">
        <f>HYPERLINK("https://klasma.github.io/Logging_2085/klagomålsmail/A 927-2022 FSC-klagomål mail.docx", "A 927-2022")</f>
        <v/>
      </c>
      <c r="AA92">
        <f>HYPERLINK("https://klasma.github.io/Logging_2085/tillsyn/A 927-2022 tillsynsbegäran.docx", "A 927-2022")</f>
        <v/>
      </c>
      <c r="AB92">
        <f>HYPERLINK("https://klasma.github.io/Logging_2085/tillsynsmail/A 927-2022 tillsynsbegäran mail.docx", "A 927-2022")</f>
        <v/>
      </c>
    </row>
    <row r="93" ht="15" customHeight="1">
      <c r="A93" t="inlineStr">
        <is>
          <t>A 13051-2022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46221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Mosippa</t>
        </is>
      </c>
      <c r="V93">
        <f>HYPERLINK("https://klasma.github.io/Logging_2085/artfynd/A 13051-2022 artfynd.xlsx", "A 13051-2022")</f>
        <v/>
      </c>
      <c r="W93">
        <f>HYPERLINK("https://klasma.github.io/Logging_2085/kartor/A 13051-2022 karta.png", "A 13051-2022")</f>
        <v/>
      </c>
      <c r="Y93">
        <f>HYPERLINK("https://klasma.github.io/Logging_2085/klagomål/A 13051-2022 FSC-klagomål.docx", "A 13051-2022")</f>
        <v/>
      </c>
      <c r="Z93">
        <f>HYPERLINK("https://klasma.github.io/Logging_2085/klagomålsmail/A 13051-2022 FSC-klagomål mail.docx", "A 13051-2022")</f>
        <v/>
      </c>
      <c r="AA93">
        <f>HYPERLINK("https://klasma.github.io/Logging_2085/tillsyn/A 13051-2022 tillsynsbegäran.docx", "A 13051-2022")</f>
        <v/>
      </c>
      <c r="AB93">
        <f>HYPERLINK("https://klasma.github.io/Logging_2085/tillsynsmail/A 13051-2022 tillsynsbegäran mail.docx", "A 13051-2022")</f>
        <v/>
      </c>
    </row>
    <row r="94" ht="15" customHeight="1">
      <c r="A94" t="inlineStr">
        <is>
          <t>A 51709-2022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46221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Ängsmetallvinge</t>
        </is>
      </c>
      <c r="V94">
        <f>HYPERLINK("https://klasma.github.io/Logging_2085/artfynd/A 51709-2022 artfynd.xlsx", "A 51709-2022")</f>
        <v/>
      </c>
      <c r="W94">
        <f>HYPERLINK("https://klasma.github.io/Logging_2085/kartor/A 51709-2022 karta.png", "A 51709-2022")</f>
        <v/>
      </c>
      <c r="Y94">
        <f>HYPERLINK("https://klasma.github.io/Logging_2085/klagomål/A 51709-2022 FSC-klagomål.docx", "A 51709-2022")</f>
        <v/>
      </c>
      <c r="Z94">
        <f>HYPERLINK("https://klasma.github.io/Logging_2085/klagomålsmail/A 51709-2022 FSC-klagomål mail.docx", "A 51709-2022")</f>
        <v/>
      </c>
      <c r="AA94">
        <f>HYPERLINK("https://klasma.github.io/Logging_2085/tillsyn/A 51709-2022 tillsynsbegäran.docx", "A 51709-2022")</f>
        <v/>
      </c>
      <c r="AB94">
        <f>HYPERLINK("https://klasma.github.io/Logging_2085/tillsynsmail/A 51709-2022 tillsynsbegäran mail.docx", "A 51709-2022")</f>
        <v/>
      </c>
    </row>
    <row r="95" ht="15" customHeight="1">
      <c r="A95" t="inlineStr">
        <is>
          <t>A 25448-2024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45463</v>
      </c>
      <c r="E95" s="1" t="n">
        <v>46221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24.7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s="2" t="inlineStr">
        <is>
          <t>Blåsippa</t>
        </is>
      </c>
      <c r="V95">
        <f>HYPERLINK("https://klasma.github.io/Logging_2085/artfynd/A 25448-2024 artfynd.xlsx", "A 25448-2024")</f>
        <v/>
      </c>
      <c r="W95">
        <f>HYPERLINK("https://klasma.github.io/Logging_2085/kartor/A 25448-2024 karta.png", "A 25448-2024")</f>
        <v/>
      </c>
      <c r="Y95">
        <f>HYPERLINK("https://klasma.github.io/Logging_2085/klagomål/A 25448-2024 FSC-klagomål.docx", "A 25448-2024")</f>
        <v/>
      </c>
      <c r="Z95">
        <f>HYPERLINK("https://klasma.github.io/Logging_2085/klagomålsmail/A 25448-2024 FSC-klagomål mail.docx", "A 25448-2024")</f>
        <v/>
      </c>
      <c r="AA95">
        <f>HYPERLINK("https://klasma.github.io/Logging_2085/tillsyn/A 25448-2024 tillsynsbegäran.docx", "A 25448-2024")</f>
        <v/>
      </c>
      <c r="AB95">
        <f>HYPERLINK("https://klasma.github.io/Logging_2085/tillsynsmail/A 25448-2024 tillsynsbegäran mail.docx", "A 25448-2024")</f>
        <v/>
      </c>
    </row>
    <row r="96" ht="15" customHeight="1">
      <c r="A96" t="inlineStr">
        <is>
          <t>A 59947-2025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45993</v>
      </c>
      <c r="E96" s="1" t="n">
        <v>46221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Tjäder</t>
        </is>
      </c>
      <c r="V96">
        <f>HYPERLINK("https://klasma.github.io/Logging_2085/artfynd/A 59947-2025 artfynd.xlsx", "A 59947-2025")</f>
        <v/>
      </c>
      <c r="W96">
        <f>HYPERLINK("https://klasma.github.io/Logging_2085/kartor/A 59947-2025 karta.png", "A 59947-2025")</f>
        <v/>
      </c>
      <c r="Y96">
        <f>HYPERLINK("https://klasma.github.io/Logging_2085/klagomål/A 59947-2025 FSC-klagomål.docx", "A 59947-2025")</f>
        <v/>
      </c>
      <c r="Z96">
        <f>HYPERLINK("https://klasma.github.io/Logging_2085/klagomålsmail/A 59947-2025 FSC-klagomål mail.docx", "A 59947-2025")</f>
        <v/>
      </c>
      <c r="AA96">
        <f>HYPERLINK("https://klasma.github.io/Logging_2085/tillsyn/A 59947-2025 tillsynsbegäran.docx", "A 59947-2025")</f>
        <v/>
      </c>
      <c r="AB96">
        <f>HYPERLINK("https://klasma.github.io/Logging_2085/tillsynsmail/A 59947-2025 tillsynsbegäran mail.docx", "A 59947-2025")</f>
        <v/>
      </c>
      <c r="AC96">
        <f>HYPERLINK("https://klasma.github.io/Logging_2085/fåglar/A 59947-2025 prioriterade fågelarter.docx", "A 59947-2025")</f>
        <v/>
      </c>
    </row>
    <row r="97" ht="15" customHeight="1">
      <c r="A97" t="inlineStr">
        <is>
          <t>A 55550-2022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44888</v>
      </c>
      <c r="E97" s="1" t="n">
        <v>46221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1.1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Ögonpyrola</t>
        </is>
      </c>
      <c r="V97">
        <f>HYPERLINK("https://klasma.github.io/Logging_2085/artfynd/A 55550-2022 artfynd.xlsx", "A 55550-2022")</f>
        <v/>
      </c>
      <c r="W97">
        <f>HYPERLINK("https://klasma.github.io/Logging_2085/kartor/A 55550-2022 karta.png", "A 55550-2022")</f>
        <v/>
      </c>
      <c r="Y97">
        <f>HYPERLINK("https://klasma.github.io/Logging_2085/klagomål/A 55550-2022 FSC-klagomål.docx", "A 55550-2022")</f>
        <v/>
      </c>
      <c r="Z97">
        <f>HYPERLINK("https://klasma.github.io/Logging_2085/klagomålsmail/A 55550-2022 FSC-klagomål mail.docx", "A 55550-2022")</f>
        <v/>
      </c>
      <c r="AA97">
        <f>HYPERLINK("https://klasma.github.io/Logging_2085/tillsyn/A 55550-2022 tillsynsbegäran.docx", "A 55550-2022")</f>
        <v/>
      </c>
      <c r="AB97">
        <f>HYPERLINK("https://klasma.github.io/Logging_2085/tillsynsmail/A 55550-2022 tillsynsbegäran mail.docx", "A 55550-2022")</f>
        <v/>
      </c>
    </row>
    <row r="98" ht="15" customHeight="1">
      <c r="A98" t="inlineStr">
        <is>
          <t>A 26850-2023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46221</v>
      </c>
      <c r="F98" t="inlineStr">
        <is>
          <t>DALARNAS LÄN</t>
        </is>
      </c>
      <c r="G98" t="inlineStr">
        <is>
          <t>LUDVIKA</t>
        </is>
      </c>
      <c r="H98" t="inlineStr">
        <is>
          <t>Naturvårdsverket</t>
        </is>
      </c>
      <c r="I98" t="n">
        <v>2.7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Motaggsvamp</t>
        </is>
      </c>
      <c r="V98">
        <f>HYPERLINK("https://klasma.github.io/Logging_2085/artfynd/A 26850-2023 artfynd.xlsx", "A 26850-2023")</f>
        <v/>
      </c>
      <c r="W98">
        <f>HYPERLINK("https://klasma.github.io/Logging_2085/kartor/A 26850-2023 karta.png", "A 26850-2023")</f>
        <v/>
      </c>
      <c r="Y98">
        <f>HYPERLINK("https://klasma.github.io/Logging_2085/klagomål/A 26850-2023 FSC-klagomål.docx", "A 26850-2023")</f>
        <v/>
      </c>
      <c r="Z98">
        <f>HYPERLINK("https://klasma.github.io/Logging_2085/klagomålsmail/A 26850-2023 FSC-klagomål mail.docx", "A 26850-2023")</f>
        <v/>
      </c>
      <c r="AA98">
        <f>HYPERLINK("https://klasma.github.io/Logging_2085/tillsyn/A 26850-2023 tillsynsbegäran.docx", "A 26850-2023")</f>
        <v/>
      </c>
      <c r="AB98">
        <f>HYPERLINK("https://klasma.github.io/Logging_2085/tillsynsmail/A 26850-2023 tillsynsbegäran mail.docx", "A 26850-2023")</f>
        <v/>
      </c>
    </row>
    <row r="99" ht="15" customHeight="1">
      <c r="A99" t="inlineStr">
        <is>
          <t>A 45791-2025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46221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Vitfläckig guldvinge</t>
        </is>
      </c>
      <c r="V99">
        <f>HYPERLINK("https://klasma.github.io/Logging_2085/artfynd/A 45791-2025 artfynd.xlsx", "A 45791-2025")</f>
        <v/>
      </c>
      <c r="W99">
        <f>HYPERLINK("https://klasma.github.io/Logging_2085/kartor/A 45791-2025 karta.png", "A 45791-2025")</f>
        <v/>
      </c>
      <c r="Y99">
        <f>HYPERLINK("https://klasma.github.io/Logging_2085/klagomål/A 45791-2025 FSC-klagomål.docx", "A 45791-2025")</f>
        <v/>
      </c>
      <c r="Z99">
        <f>HYPERLINK("https://klasma.github.io/Logging_2085/klagomålsmail/A 45791-2025 FSC-klagomål mail.docx", "A 45791-2025")</f>
        <v/>
      </c>
      <c r="AA99">
        <f>HYPERLINK("https://klasma.github.io/Logging_2085/tillsyn/A 45791-2025 tillsynsbegäran.docx", "A 45791-2025")</f>
        <v/>
      </c>
      <c r="AB99">
        <f>HYPERLINK("https://klasma.github.io/Logging_2085/tillsynsmail/A 45791-2025 tillsynsbegäran mail.docx", "A 45791-2025")</f>
        <v/>
      </c>
    </row>
    <row r="100" ht="15" customHeight="1">
      <c r="A100" t="inlineStr">
        <is>
          <t>A 45858-2025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46221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Granbarkgnagare</t>
        </is>
      </c>
      <c r="V100">
        <f>HYPERLINK("https://klasma.github.io/Logging_2085/artfynd/A 45858-2025 artfynd.xlsx", "A 45858-2025")</f>
        <v/>
      </c>
      <c r="W100">
        <f>HYPERLINK("https://klasma.github.io/Logging_2085/kartor/A 45858-2025 karta.png", "A 45858-2025")</f>
        <v/>
      </c>
      <c r="Y100">
        <f>HYPERLINK("https://klasma.github.io/Logging_2085/klagomål/A 45858-2025 FSC-klagomål.docx", "A 45858-2025")</f>
        <v/>
      </c>
      <c r="Z100">
        <f>HYPERLINK("https://klasma.github.io/Logging_2085/klagomålsmail/A 45858-2025 FSC-klagomål mail.docx", "A 45858-2025")</f>
        <v/>
      </c>
      <c r="AA100">
        <f>HYPERLINK("https://klasma.github.io/Logging_2085/tillsyn/A 45858-2025 tillsynsbegäran.docx", "A 45858-2025")</f>
        <v/>
      </c>
      <c r="AB100">
        <f>HYPERLINK("https://klasma.github.io/Logging_2085/tillsynsmail/A 45858-2025 tillsynsbegäran mail.docx", "A 45858-2025")</f>
        <v/>
      </c>
    </row>
    <row r="101" ht="15" customHeight="1">
      <c r="A101" t="inlineStr">
        <is>
          <t>A 400-2023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46221</v>
      </c>
      <c r="F101" t="inlineStr">
        <is>
          <t>DALARNAS LÄN</t>
        </is>
      </c>
      <c r="G101" t="inlineStr">
        <is>
          <t>LUDVIKA</t>
        </is>
      </c>
      <c r="I101" t="n">
        <v>3.6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Nordfladdermus</t>
        </is>
      </c>
      <c r="V101">
        <f>HYPERLINK("https://klasma.github.io/Logging_2085/artfynd/A 400-2023 artfynd.xlsx", "A 400-2023")</f>
        <v/>
      </c>
      <c r="W101">
        <f>HYPERLINK("https://klasma.github.io/Logging_2085/kartor/A 400-2023 karta.png", "A 400-2023")</f>
        <v/>
      </c>
      <c r="Y101">
        <f>HYPERLINK("https://klasma.github.io/Logging_2085/klagomål/A 400-2023 FSC-klagomål.docx", "A 400-2023")</f>
        <v/>
      </c>
      <c r="Z101">
        <f>HYPERLINK("https://klasma.github.io/Logging_2085/klagomålsmail/A 400-2023 FSC-klagomål mail.docx", "A 400-2023")</f>
        <v/>
      </c>
      <c r="AA101">
        <f>HYPERLINK("https://klasma.github.io/Logging_2085/tillsyn/A 400-2023 tillsynsbegäran.docx", "A 400-2023")</f>
        <v/>
      </c>
      <c r="AB101">
        <f>HYPERLINK("https://klasma.github.io/Logging_2085/tillsynsmail/A 400-2023 tillsynsbegäran mail.docx", "A 400-2023")</f>
        <v/>
      </c>
    </row>
    <row r="102" ht="15" customHeight="1">
      <c r="A102" t="inlineStr">
        <is>
          <t>A 31478-2023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45114</v>
      </c>
      <c r="E102" s="1" t="n">
        <v>46221</v>
      </c>
      <c r="F102" t="inlineStr">
        <is>
          <t>DALARNAS LÄN</t>
        </is>
      </c>
      <c r="G102" t="inlineStr">
        <is>
          <t>LUDVIKA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Garnlav</t>
        </is>
      </c>
      <c r="V102">
        <f>HYPERLINK("https://klasma.github.io/Logging_2085/artfynd/A 31478-2023 artfynd.xlsx", "A 31478-2023")</f>
        <v/>
      </c>
      <c r="W102">
        <f>HYPERLINK("https://klasma.github.io/Logging_2085/kartor/A 31478-2023 karta.png", "A 31478-2023")</f>
        <v/>
      </c>
      <c r="Y102">
        <f>HYPERLINK("https://klasma.github.io/Logging_2085/klagomål/A 31478-2023 FSC-klagomål.docx", "A 31478-2023")</f>
        <v/>
      </c>
      <c r="Z102">
        <f>HYPERLINK("https://klasma.github.io/Logging_2085/klagomålsmail/A 31478-2023 FSC-klagomål mail.docx", "A 31478-2023")</f>
        <v/>
      </c>
      <c r="AA102">
        <f>HYPERLINK("https://klasma.github.io/Logging_2085/tillsyn/A 31478-2023 tillsynsbegäran.docx", "A 31478-2023")</f>
        <v/>
      </c>
      <c r="AB102">
        <f>HYPERLINK("https://klasma.github.io/Logging_2085/tillsynsmail/A 31478-2023 tillsynsbegäran mail.docx", "A 31478-2023")</f>
        <v/>
      </c>
    </row>
    <row r="103" ht="15" customHeight="1">
      <c r="A103" t="inlineStr">
        <is>
          <t>A 29733-2025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46221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10.4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Stuplav</t>
        </is>
      </c>
      <c r="V103">
        <f>HYPERLINK("https://klasma.github.io/Logging_2085/artfynd/A 29733-2025 artfynd.xlsx", "A 29733-2025")</f>
        <v/>
      </c>
      <c r="W103">
        <f>HYPERLINK("https://klasma.github.io/Logging_2085/kartor/A 29733-2025 karta.png", "A 29733-2025")</f>
        <v/>
      </c>
      <c r="Y103">
        <f>HYPERLINK("https://klasma.github.io/Logging_2085/klagomål/A 29733-2025 FSC-klagomål.docx", "A 29733-2025")</f>
        <v/>
      </c>
      <c r="Z103">
        <f>HYPERLINK("https://klasma.github.io/Logging_2085/klagomålsmail/A 29733-2025 FSC-klagomål mail.docx", "A 29733-2025")</f>
        <v/>
      </c>
      <c r="AA103">
        <f>HYPERLINK("https://klasma.github.io/Logging_2085/tillsyn/A 29733-2025 tillsynsbegäran.docx", "A 29733-2025")</f>
        <v/>
      </c>
      <c r="AB103">
        <f>HYPERLINK("https://klasma.github.io/Logging_2085/tillsynsmail/A 29733-2025 tillsynsbegäran mail.docx", "A 29733-2025")</f>
        <v/>
      </c>
    </row>
    <row r="104" ht="15" customHeight="1">
      <c r="A104" t="inlineStr">
        <is>
          <t>A 6579-2023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44960</v>
      </c>
      <c r="E104" s="1" t="n">
        <v>46221</v>
      </c>
      <c r="F104" t="inlineStr">
        <is>
          <t>DALARNAS LÄN</t>
        </is>
      </c>
      <c r="G104" t="inlineStr">
        <is>
          <t>LUDVIKA</t>
        </is>
      </c>
      <c r="I104" t="n">
        <v>3.4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Blomkålssvamp</t>
        </is>
      </c>
      <c r="V104">
        <f>HYPERLINK("https://klasma.github.io/Logging_2085/artfynd/A 6579-2023 artfynd.xlsx", "A 6579-2023")</f>
        <v/>
      </c>
      <c r="W104">
        <f>HYPERLINK("https://klasma.github.io/Logging_2085/kartor/A 6579-2023 karta.png", "A 6579-2023")</f>
        <v/>
      </c>
      <c r="Y104">
        <f>HYPERLINK("https://klasma.github.io/Logging_2085/klagomål/A 6579-2023 FSC-klagomål.docx", "A 6579-2023")</f>
        <v/>
      </c>
      <c r="Z104">
        <f>HYPERLINK("https://klasma.github.io/Logging_2085/klagomålsmail/A 6579-2023 FSC-klagomål mail.docx", "A 6579-2023")</f>
        <v/>
      </c>
      <c r="AA104">
        <f>HYPERLINK("https://klasma.github.io/Logging_2085/tillsyn/A 6579-2023 tillsynsbegäran.docx", "A 6579-2023")</f>
        <v/>
      </c>
      <c r="AB104">
        <f>HYPERLINK("https://klasma.github.io/Logging_2085/tillsynsmail/A 6579-2023 tillsynsbegäran mail.docx", "A 6579-2023")</f>
        <v/>
      </c>
    </row>
    <row r="105" ht="15" customHeight="1">
      <c r="A105" t="inlineStr">
        <is>
          <t>A 74401-2021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44560</v>
      </c>
      <c r="E105" s="1" t="n">
        <v>46221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0.6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Gullgröppa</t>
        </is>
      </c>
      <c r="V105">
        <f>HYPERLINK("https://klasma.github.io/Logging_2085/artfynd/A 74401-2021 artfynd.xlsx", "A 74401-2021")</f>
        <v/>
      </c>
      <c r="W105">
        <f>HYPERLINK("https://klasma.github.io/Logging_2085/kartor/A 74401-2021 karta.png", "A 74401-2021")</f>
        <v/>
      </c>
      <c r="Y105">
        <f>HYPERLINK("https://klasma.github.io/Logging_2085/klagomål/A 74401-2021 FSC-klagomål.docx", "A 74401-2021")</f>
        <v/>
      </c>
      <c r="Z105">
        <f>HYPERLINK("https://klasma.github.io/Logging_2085/klagomålsmail/A 74401-2021 FSC-klagomål mail.docx", "A 74401-2021")</f>
        <v/>
      </c>
      <c r="AA105">
        <f>HYPERLINK("https://klasma.github.io/Logging_2085/tillsyn/A 74401-2021 tillsynsbegäran.docx", "A 74401-2021")</f>
        <v/>
      </c>
      <c r="AB105">
        <f>HYPERLINK("https://klasma.github.io/Logging_2085/tillsynsmail/A 74401-2021 tillsynsbegäran mail.docx", "A 74401-2021")</f>
        <v/>
      </c>
    </row>
    <row r="106" ht="15" customHeight="1">
      <c r="A106" t="inlineStr">
        <is>
          <t>A 49660-2024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45596</v>
      </c>
      <c r="E106" s="1" t="n">
        <v>46221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0.9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Mörk husmossa</t>
        </is>
      </c>
      <c r="V106">
        <f>HYPERLINK("https://klasma.github.io/Logging_2085/artfynd/A 49660-2024 artfynd.xlsx", "A 49660-2024")</f>
        <v/>
      </c>
      <c r="W106">
        <f>HYPERLINK("https://klasma.github.io/Logging_2085/kartor/A 49660-2024 karta.png", "A 49660-2024")</f>
        <v/>
      </c>
      <c r="Y106">
        <f>HYPERLINK("https://klasma.github.io/Logging_2085/klagomål/A 49660-2024 FSC-klagomål.docx", "A 49660-2024")</f>
        <v/>
      </c>
      <c r="Z106">
        <f>HYPERLINK("https://klasma.github.io/Logging_2085/klagomålsmail/A 49660-2024 FSC-klagomål mail.docx", "A 49660-2024")</f>
        <v/>
      </c>
      <c r="AA106">
        <f>HYPERLINK("https://klasma.github.io/Logging_2085/tillsyn/A 49660-2024 tillsynsbegäran.docx", "A 49660-2024")</f>
        <v/>
      </c>
      <c r="AB106">
        <f>HYPERLINK("https://klasma.github.io/Logging_2085/tillsynsmail/A 49660-2024 tillsynsbegäran mail.docx", "A 49660-2024")</f>
        <v/>
      </c>
    </row>
    <row r="107" ht="15" customHeight="1">
      <c r="A107" t="inlineStr">
        <is>
          <t>A 56655-2025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46221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8.5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Spillkråka</t>
        </is>
      </c>
      <c r="V107">
        <f>HYPERLINK("https://klasma.github.io/Logging_2085/artfynd/A 56655-2025 artfynd.xlsx", "A 56655-2025")</f>
        <v/>
      </c>
      <c r="W107">
        <f>HYPERLINK("https://klasma.github.io/Logging_2085/kartor/A 56655-2025 karta.png", "A 56655-2025")</f>
        <v/>
      </c>
      <c r="Y107">
        <f>HYPERLINK("https://klasma.github.io/Logging_2085/klagomål/A 56655-2025 FSC-klagomål.docx", "A 56655-2025")</f>
        <v/>
      </c>
      <c r="Z107">
        <f>HYPERLINK("https://klasma.github.io/Logging_2085/klagomålsmail/A 56655-2025 FSC-klagomål mail.docx", "A 56655-2025")</f>
        <v/>
      </c>
      <c r="AA107">
        <f>HYPERLINK("https://klasma.github.io/Logging_2085/tillsyn/A 56655-2025 tillsynsbegäran.docx", "A 56655-2025")</f>
        <v/>
      </c>
      <c r="AB107">
        <f>HYPERLINK("https://klasma.github.io/Logging_2085/tillsynsmail/A 56655-2025 tillsynsbegäran mail.docx", "A 56655-2025")</f>
        <v/>
      </c>
      <c r="AC107">
        <f>HYPERLINK("https://klasma.github.io/Logging_2085/fåglar/A 56655-2025 prioriterade fågelarter.docx", "A 56655-2025")</f>
        <v/>
      </c>
    </row>
    <row r="108" ht="15" customHeight="1">
      <c r="A108" t="inlineStr">
        <is>
          <t>A 44578-2023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46221</v>
      </c>
      <c r="F108" t="inlineStr">
        <is>
          <t>DALARNAS LÄN</t>
        </is>
      </c>
      <c r="G108" t="inlineStr">
        <is>
          <t>LUDVIKA</t>
        </is>
      </c>
      <c r="H108" t="inlineStr">
        <is>
          <t>Övriga Aktiebolag</t>
        </is>
      </c>
      <c r="I108" t="n">
        <v>12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Dofttaggsvamp</t>
        </is>
      </c>
      <c r="V108">
        <f>HYPERLINK("https://klasma.github.io/Logging_2085/artfynd/A 44578-2023 artfynd.xlsx", "A 44578-2023")</f>
        <v/>
      </c>
      <c r="W108">
        <f>HYPERLINK("https://klasma.github.io/Logging_2085/kartor/A 44578-2023 karta.png", "A 44578-2023")</f>
        <v/>
      </c>
      <c r="Y108">
        <f>HYPERLINK("https://klasma.github.io/Logging_2085/klagomål/A 44578-2023 FSC-klagomål.docx", "A 44578-2023")</f>
        <v/>
      </c>
      <c r="Z108">
        <f>HYPERLINK("https://klasma.github.io/Logging_2085/klagomålsmail/A 44578-2023 FSC-klagomål mail.docx", "A 44578-2023")</f>
        <v/>
      </c>
      <c r="AA108">
        <f>HYPERLINK("https://klasma.github.io/Logging_2085/tillsyn/A 44578-2023 tillsynsbegäran.docx", "A 44578-2023")</f>
        <v/>
      </c>
      <c r="AB108">
        <f>HYPERLINK("https://klasma.github.io/Logging_2085/tillsynsmail/A 44578-2023 tillsynsbegäran mail.docx", "A 44578-2023")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46221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Mindre hackspett</t>
        </is>
      </c>
      <c r="V109">
        <f>HYPERLINK("https://klasma.github.io/Logging_2085/artfynd/A 36050-2025 artfynd.xlsx", "A 36050-2025")</f>
        <v/>
      </c>
      <c r="W109">
        <f>HYPERLINK("https://klasma.github.io/Logging_2085/kartor/A 36050-2025 karta.png", "A 36050-2025")</f>
        <v/>
      </c>
      <c r="Y109">
        <f>HYPERLINK("https://klasma.github.io/Logging_2085/klagomål/A 36050-2025 FSC-klagomål.docx", "A 36050-2025")</f>
        <v/>
      </c>
      <c r="Z109">
        <f>HYPERLINK("https://klasma.github.io/Logging_2085/klagomålsmail/A 36050-2025 FSC-klagomål mail.docx", "A 36050-2025")</f>
        <v/>
      </c>
      <c r="AA109">
        <f>HYPERLINK("https://klasma.github.io/Logging_2085/tillsyn/A 36050-2025 tillsynsbegäran.docx", "A 36050-2025")</f>
        <v/>
      </c>
      <c r="AB109">
        <f>HYPERLINK("https://klasma.github.io/Logging_2085/tillsynsmail/A 36050-2025 tillsynsbegäran mail.docx", "A 36050-2025")</f>
        <v/>
      </c>
      <c r="AC109">
        <f>HYPERLINK("https://klasma.github.io/Logging_2085/fåglar/A 36050-2025 prioriterade fågelarter.docx", "A 36050-2025")</f>
        <v/>
      </c>
    </row>
    <row r="110" ht="15" customHeight="1">
      <c r="A110" t="inlineStr">
        <is>
          <t>A 62275-2022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46221</v>
      </c>
      <c r="F110" t="inlineStr">
        <is>
          <t>DALARNAS LÄN</t>
        </is>
      </c>
      <c r="G110" t="inlineStr">
        <is>
          <t>LUDVIKA</t>
        </is>
      </c>
      <c r="I110" t="n">
        <v>4.6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s="2" t="inlineStr">
        <is>
          <t>Knärot</t>
        </is>
      </c>
      <c r="V110">
        <f>HYPERLINK("https://klasma.github.io/Logging_2085/artfynd/A 62275-2022 artfynd.xlsx", "A 62275-2022")</f>
        <v/>
      </c>
      <c r="W110">
        <f>HYPERLINK("https://klasma.github.io/Logging_2085/kartor/A 62275-2022 karta.png", "A 62275-2022")</f>
        <v/>
      </c>
      <c r="X110">
        <f>HYPERLINK("https://klasma.github.io/Logging_2085/knärot/A 62275-2022 karta knärot.png", "A 62275-2022")</f>
        <v/>
      </c>
      <c r="Y110">
        <f>HYPERLINK("https://klasma.github.io/Logging_2085/klagomål/A 62275-2022 FSC-klagomål.docx", "A 62275-2022")</f>
        <v/>
      </c>
      <c r="Z110">
        <f>HYPERLINK("https://klasma.github.io/Logging_2085/klagomålsmail/A 62275-2022 FSC-klagomål mail.docx", "A 62275-2022")</f>
        <v/>
      </c>
      <c r="AA110">
        <f>HYPERLINK("https://klasma.github.io/Logging_2085/tillsyn/A 62275-2022 tillsynsbegäran.docx", "A 62275-2022")</f>
        <v/>
      </c>
      <c r="AB110">
        <f>HYPERLINK("https://klasma.github.io/Logging_2085/tillsynsmail/A 62275-2022 tillsynsbegäran mail.docx", "A 62275-2022")</f>
        <v/>
      </c>
    </row>
    <row r="111" ht="15" customHeight="1">
      <c r="A111" t="inlineStr">
        <is>
          <t>A 59873-2025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46221</v>
      </c>
      <c r="F111" t="inlineStr">
        <is>
          <t>DALARNAS LÄN</t>
        </is>
      </c>
      <c r="G111" t="inlineStr">
        <is>
          <t>LUDVIKA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Lateritticka</t>
        </is>
      </c>
      <c r="V111">
        <f>HYPERLINK("https://klasma.github.io/Logging_2085/artfynd/A 59873-2025 artfynd.xlsx", "A 59873-2025")</f>
        <v/>
      </c>
      <c r="W111">
        <f>HYPERLINK("https://klasma.github.io/Logging_2085/kartor/A 59873-2025 karta.png", "A 59873-2025")</f>
        <v/>
      </c>
      <c r="Y111">
        <f>HYPERLINK("https://klasma.github.io/Logging_2085/klagomål/A 59873-2025 FSC-klagomål.docx", "A 59873-2025")</f>
        <v/>
      </c>
      <c r="Z111">
        <f>HYPERLINK("https://klasma.github.io/Logging_2085/klagomålsmail/A 59873-2025 FSC-klagomål mail.docx", "A 59873-2025")</f>
        <v/>
      </c>
      <c r="AA111">
        <f>HYPERLINK("https://klasma.github.io/Logging_2085/tillsyn/A 59873-2025 tillsynsbegäran.docx", "A 59873-2025")</f>
        <v/>
      </c>
      <c r="AB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17987-2025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45761</v>
      </c>
      <c r="E112" s="1" t="n">
        <v>46221</v>
      </c>
      <c r="F112" t="inlineStr">
        <is>
          <t>DALARNAS LÄN</t>
        </is>
      </c>
      <c r="G112" t="inlineStr">
        <is>
          <t>LUDVIKA</t>
        </is>
      </c>
      <c r="I112" t="n">
        <v>0.5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Talltita</t>
        </is>
      </c>
      <c r="V112">
        <f>HYPERLINK("https://klasma.github.io/Logging_2085/artfynd/A 17987-2025 artfynd.xlsx", "A 17987-2025")</f>
        <v/>
      </c>
      <c r="W112">
        <f>HYPERLINK("https://klasma.github.io/Logging_2085/kartor/A 17987-2025 karta.png", "A 17987-2025")</f>
        <v/>
      </c>
      <c r="Y112">
        <f>HYPERLINK("https://klasma.github.io/Logging_2085/klagomål/A 17987-2025 FSC-klagomål.docx", "A 17987-2025")</f>
        <v/>
      </c>
      <c r="Z112">
        <f>HYPERLINK("https://klasma.github.io/Logging_2085/klagomålsmail/A 17987-2025 FSC-klagomål mail.docx", "A 17987-2025")</f>
        <v/>
      </c>
      <c r="AA112">
        <f>HYPERLINK("https://klasma.github.io/Logging_2085/tillsyn/A 17987-2025 tillsynsbegäran.docx", "A 17987-2025")</f>
        <v/>
      </c>
      <c r="AB112">
        <f>HYPERLINK("https://klasma.github.io/Logging_2085/tillsynsmail/A 17987-2025 tillsynsbegäran mail.docx", "A 17987-2025")</f>
        <v/>
      </c>
      <c r="AC112">
        <f>HYPERLINK("https://klasma.github.io/Logging_2085/fåglar/A 17987-2025 prioriterade fågelarter.docx", "A 17987-2025")</f>
        <v/>
      </c>
    </row>
    <row r="113" ht="15" customHeight="1">
      <c r="A113" t="inlineStr">
        <is>
          <t>A 25588-2023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45089</v>
      </c>
      <c r="E113" s="1" t="n">
        <v>46221</v>
      </c>
      <c r="F113" t="inlineStr">
        <is>
          <t>DALARNAS LÄN</t>
        </is>
      </c>
      <c r="G113" t="inlineStr">
        <is>
          <t>LUDVIKA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s="2" t="inlineStr">
        <is>
          <t>Garnlav</t>
        </is>
      </c>
      <c r="V113">
        <f>HYPERLINK("https://klasma.github.io/Logging_2085/artfynd/A 25588-2023 artfynd.xlsx", "A 25588-2023")</f>
        <v/>
      </c>
      <c r="W113">
        <f>HYPERLINK("https://klasma.github.io/Logging_2085/kartor/A 25588-2023 karta.png", "A 25588-2023")</f>
        <v/>
      </c>
      <c r="Y113">
        <f>HYPERLINK("https://klasma.github.io/Logging_2085/klagomål/A 25588-2023 FSC-klagomål.docx", "A 25588-2023")</f>
        <v/>
      </c>
      <c r="Z113">
        <f>HYPERLINK("https://klasma.github.io/Logging_2085/klagomålsmail/A 25588-2023 FSC-klagomål mail.docx", "A 25588-2023")</f>
        <v/>
      </c>
      <c r="AA113">
        <f>HYPERLINK("https://klasma.github.io/Logging_2085/tillsyn/A 25588-2023 tillsynsbegäran.docx", "A 25588-2023")</f>
        <v/>
      </c>
      <c r="AB113">
        <f>HYPERLINK("https://klasma.github.io/Logging_2085/tillsynsmail/A 25588-2023 tillsynsbegäran mail.docx", "A 25588-2023")</f>
        <v/>
      </c>
    </row>
    <row r="114" ht="15" customHeight="1">
      <c r="A114" t="inlineStr">
        <is>
          <t>A 62676-2025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46008</v>
      </c>
      <c r="E114" s="1" t="n">
        <v>46221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4.2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Kolflarnlav</t>
        </is>
      </c>
      <c r="V114">
        <f>HYPERLINK("https://klasma.github.io/Logging_2085/artfynd/A 62676-2025 artfynd.xlsx", "A 62676-2025")</f>
        <v/>
      </c>
      <c r="W114">
        <f>HYPERLINK("https://klasma.github.io/Logging_2085/kartor/A 62676-2025 karta.png", "A 62676-2025")</f>
        <v/>
      </c>
      <c r="Y114">
        <f>HYPERLINK("https://klasma.github.io/Logging_2085/klagomål/A 62676-2025 FSC-klagomål.docx", "A 62676-2025")</f>
        <v/>
      </c>
      <c r="Z114">
        <f>HYPERLINK("https://klasma.github.io/Logging_2085/klagomålsmail/A 62676-2025 FSC-klagomål mail.docx", "A 62676-2025")</f>
        <v/>
      </c>
      <c r="AA114">
        <f>HYPERLINK("https://klasma.github.io/Logging_2085/tillsyn/A 62676-2025 tillsynsbegäran.docx", "A 62676-2025")</f>
        <v/>
      </c>
      <c r="AB114">
        <f>HYPERLINK("https://klasma.github.io/Logging_2085/tillsynsmail/A 62676-2025 tillsynsbegäran mail.docx", "A 62676-2025")</f>
        <v/>
      </c>
    </row>
    <row r="115" ht="15" customHeight="1">
      <c r="A115" t="inlineStr">
        <is>
          <t>A 12093-2023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46221</v>
      </c>
      <c r="F115" t="inlineStr">
        <is>
          <t>DALARNAS LÄN</t>
        </is>
      </c>
      <c r="G115" t="inlineStr">
        <is>
          <t>LUDVIKA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Bitter taggsvamp</t>
        </is>
      </c>
      <c r="V115">
        <f>HYPERLINK("https://klasma.github.io/Logging_2085/artfynd/A 12093-2023 artfynd.xlsx", "A 12093-2023")</f>
        <v/>
      </c>
      <c r="W115">
        <f>HYPERLINK("https://klasma.github.io/Logging_2085/kartor/A 12093-2023 karta.png", "A 12093-2023")</f>
        <v/>
      </c>
      <c r="Y115">
        <f>HYPERLINK("https://klasma.github.io/Logging_2085/klagomål/A 12093-2023 FSC-klagomål.docx", "A 12093-2023")</f>
        <v/>
      </c>
      <c r="Z115">
        <f>HYPERLINK("https://klasma.github.io/Logging_2085/klagomålsmail/A 12093-2023 FSC-klagomål mail.docx", "A 12093-2023")</f>
        <v/>
      </c>
      <c r="AA115">
        <f>HYPERLINK("https://klasma.github.io/Logging_2085/tillsyn/A 12093-2023 tillsynsbegäran.docx", "A 12093-2023")</f>
        <v/>
      </c>
      <c r="AB115">
        <f>HYPERLINK("https://klasma.github.io/Logging_2085/tillsynsmail/A 12093-2023 tillsynsbegäran mail.docx", "A 12093-2023")</f>
        <v/>
      </c>
    </row>
    <row r="116" ht="15" customHeight="1">
      <c r="A116" t="inlineStr">
        <is>
          <t>A 33560-2023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45131</v>
      </c>
      <c r="E116" s="1" t="n">
        <v>46221</v>
      </c>
      <c r="F116" t="inlineStr">
        <is>
          <t>DALARNAS LÄN</t>
        </is>
      </c>
      <c r="G116" t="inlineStr">
        <is>
          <t>LUDVIKA</t>
        </is>
      </c>
      <c r="I116" t="n">
        <v>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Mindre vattensalamander</t>
        </is>
      </c>
      <c r="V116">
        <f>HYPERLINK("https://klasma.github.io/Logging_2085/artfynd/A 33560-2023 artfynd.xlsx", "A 33560-2023")</f>
        <v/>
      </c>
      <c r="W116">
        <f>HYPERLINK("https://klasma.github.io/Logging_2085/kartor/A 33560-2023 karta.png", "A 33560-2023")</f>
        <v/>
      </c>
      <c r="Y116">
        <f>HYPERLINK("https://klasma.github.io/Logging_2085/klagomål/A 33560-2023 FSC-klagomål.docx", "A 33560-2023")</f>
        <v/>
      </c>
      <c r="Z116">
        <f>HYPERLINK("https://klasma.github.io/Logging_2085/klagomålsmail/A 33560-2023 FSC-klagomål mail.docx", "A 33560-2023")</f>
        <v/>
      </c>
      <c r="AA116">
        <f>HYPERLINK("https://klasma.github.io/Logging_2085/tillsyn/A 33560-2023 tillsynsbegäran.docx", "A 33560-2023")</f>
        <v/>
      </c>
      <c r="AB116">
        <f>HYPERLINK("https://klasma.github.io/Logging_2085/tillsynsmail/A 33560-2023 tillsynsbegäran mail.docx", "A 33560-2023")</f>
        <v/>
      </c>
    </row>
    <row r="117" ht="15" customHeight="1">
      <c r="A117" t="inlineStr">
        <is>
          <t>A 3687-2024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45321</v>
      </c>
      <c r="E117" s="1" t="n">
        <v>46221</v>
      </c>
      <c r="F117" t="inlineStr">
        <is>
          <t>DALARNAS LÄN</t>
        </is>
      </c>
      <c r="G117" t="inlineStr">
        <is>
          <t>LUDVIKA</t>
        </is>
      </c>
      <c r="I117" t="n">
        <v>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Nordfladdermus</t>
        </is>
      </c>
      <c r="V117">
        <f>HYPERLINK("https://klasma.github.io/Logging_2085/artfynd/A 3687-2024 artfynd.xlsx", "A 3687-2024")</f>
        <v/>
      </c>
      <c r="W117">
        <f>HYPERLINK("https://klasma.github.io/Logging_2085/kartor/A 3687-2024 karta.png", "A 3687-2024")</f>
        <v/>
      </c>
      <c r="Y117">
        <f>HYPERLINK("https://klasma.github.io/Logging_2085/klagomål/A 3687-2024 FSC-klagomål.docx", "A 3687-2024")</f>
        <v/>
      </c>
      <c r="Z117">
        <f>HYPERLINK("https://klasma.github.io/Logging_2085/klagomålsmail/A 3687-2024 FSC-klagomål mail.docx", "A 3687-2024")</f>
        <v/>
      </c>
      <c r="AA117">
        <f>HYPERLINK("https://klasma.github.io/Logging_2085/tillsyn/A 3687-2024 tillsynsbegäran.docx", "A 3687-2024")</f>
        <v/>
      </c>
      <c r="AB117">
        <f>HYPERLINK("https://klasma.github.io/Logging_2085/tillsynsmail/A 3687-2024 tillsynsbegäran mail.docx", "A 3687-2024")</f>
        <v/>
      </c>
    </row>
    <row r="118" ht="15" customHeight="1">
      <c r="A118" t="inlineStr">
        <is>
          <t>A 1237-2026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46221</v>
      </c>
      <c r="F118" t="inlineStr">
        <is>
          <t>DALARNAS LÄN</t>
        </is>
      </c>
      <c r="G118" t="inlineStr">
        <is>
          <t>LUDVIKA</t>
        </is>
      </c>
      <c r="I118" t="n">
        <v>5.9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3</v>
      </c>
      <c r="U118" s="2" t="inlineStr">
        <is>
          <t>Fläcknycklar</t>
        </is>
      </c>
      <c r="V118">
        <f>HYPERLINK("https://klasma.github.io/Logging_2085/artfynd/A 1237-2026 artfynd.xlsx", "A 1237-2026")</f>
        <v/>
      </c>
      <c r="W118">
        <f>HYPERLINK("https://klasma.github.io/Logging_2085/kartor/A 1237-2026 karta.png", "A 1237-2026")</f>
        <v/>
      </c>
      <c r="Y118">
        <f>HYPERLINK("https://klasma.github.io/Logging_2085/klagomål/A 1237-2026 FSC-klagomål.docx", "A 1237-2026")</f>
        <v/>
      </c>
      <c r="Z118">
        <f>HYPERLINK("https://klasma.github.io/Logging_2085/klagomålsmail/A 1237-2026 FSC-klagomål mail.docx", "A 1237-2026")</f>
        <v/>
      </c>
      <c r="AA118">
        <f>HYPERLINK("https://klasma.github.io/Logging_2085/tillsyn/A 1237-2026 tillsynsbegäran.docx", "A 1237-2026")</f>
        <v/>
      </c>
      <c r="AB118">
        <f>HYPERLINK("https://klasma.github.io/Logging_2085/tillsynsmail/A 1237-2026 tillsynsbegäran mail.docx", "A 1237-2026")</f>
        <v/>
      </c>
    </row>
    <row r="119" ht="15" customHeight="1">
      <c r="A119" t="inlineStr">
        <is>
          <t>A 56119-2021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44477</v>
      </c>
      <c r="E119" s="1" t="n">
        <v>46221</v>
      </c>
      <c r="F119" t="inlineStr">
        <is>
          <t>DALARNAS LÄN</t>
        </is>
      </c>
      <c r="G119" t="inlineStr">
        <is>
          <t>LUDVIKA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s="2" t="inlineStr">
        <is>
          <t>Garnlav</t>
        </is>
      </c>
      <c r="V119">
        <f>HYPERLINK("https://klasma.github.io/Logging_2085/artfynd/A 56119-2021 artfynd.xlsx", "A 56119-2021")</f>
        <v/>
      </c>
      <c r="W119">
        <f>HYPERLINK("https://klasma.github.io/Logging_2085/kartor/A 56119-2021 karta.png", "A 56119-2021")</f>
        <v/>
      </c>
      <c r="Y119">
        <f>HYPERLINK("https://klasma.github.io/Logging_2085/klagomål/A 56119-2021 FSC-klagomål.docx", "A 56119-2021")</f>
        <v/>
      </c>
      <c r="Z119">
        <f>HYPERLINK("https://klasma.github.io/Logging_2085/klagomålsmail/A 56119-2021 FSC-klagomål mail.docx", "A 56119-2021")</f>
        <v/>
      </c>
      <c r="AA119">
        <f>HYPERLINK("https://klasma.github.io/Logging_2085/tillsyn/A 56119-2021 tillsynsbegäran.docx", "A 56119-2021")</f>
        <v/>
      </c>
      <c r="AB119">
        <f>HYPERLINK("https://klasma.github.io/Logging_2085/tillsynsmail/A 56119-2021 tillsynsbegäran mail.docx", "A 56119-2021")</f>
        <v/>
      </c>
    </row>
    <row r="120" ht="15" customHeight="1">
      <c r="A120" t="inlineStr">
        <is>
          <t>A 17338-2026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46119</v>
      </c>
      <c r="E120" s="1" t="n">
        <v>46221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2.2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s="2" t="inlineStr">
        <is>
          <t>Knärot</t>
        </is>
      </c>
      <c r="V120">
        <f>HYPERLINK("https://klasma.github.io/Logging_2085/artfynd/A 17338-2026 artfynd.xlsx", "A 17338-2026")</f>
        <v/>
      </c>
      <c r="W120">
        <f>HYPERLINK("https://klasma.github.io/Logging_2085/kartor/A 17338-2026 karta.png", "A 17338-2026")</f>
        <v/>
      </c>
      <c r="X120">
        <f>HYPERLINK("https://klasma.github.io/Logging_2085/knärot/A 17338-2026 karta knärot.png", "A 17338-2026")</f>
        <v/>
      </c>
      <c r="Y120">
        <f>HYPERLINK("https://klasma.github.io/Logging_2085/klagomål/A 17338-2026 FSC-klagomål.docx", "A 17338-2026")</f>
        <v/>
      </c>
      <c r="Z120">
        <f>HYPERLINK("https://klasma.github.io/Logging_2085/klagomålsmail/A 17338-2026 FSC-klagomål mail.docx", "A 17338-2026")</f>
        <v/>
      </c>
      <c r="AA120">
        <f>HYPERLINK("https://klasma.github.io/Logging_2085/tillsyn/A 17338-2026 tillsynsbegäran.docx", "A 17338-2026")</f>
        <v/>
      </c>
      <c r="AB120">
        <f>HYPERLINK("https://klasma.github.io/Logging_2085/tillsynsmail/A 17338-2026 tillsynsbegäran mail.docx", "A 17338-2026")</f>
        <v/>
      </c>
    </row>
    <row r="121" ht="15" customHeight="1">
      <c r="A121" t="inlineStr">
        <is>
          <t>A 60787-2024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46221</v>
      </c>
      <c r="F121" t="inlineStr">
        <is>
          <t>DALARNAS LÄN</t>
        </is>
      </c>
      <c r="G121" t="inlineStr">
        <is>
          <t>LUDVIKA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Järpe</t>
        </is>
      </c>
      <c r="V121">
        <f>HYPERLINK("https://klasma.github.io/Logging_2085/artfynd/A 60787-2024 artfynd.xlsx", "A 60787-2024")</f>
        <v/>
      </c>
      <c r="W121">
        <f>HYPERLINK("https://klasma.github.io/Logging_2085/kartor/A 60787-2024 karta.png", "A 60787-2024")</f>
        <v/>
      </c>
      <c r="Y121">
        <f>HYPERLINK("https://klasma.github.io/Logging_2085/klagomål/A 60787-2024 FSC-klagomål.docx", "A 60787-2024")</f>
        <v/>
      </c>
      <c r="Z121">
        <f>HYPERLINK("https://klasma.github.io/Logging_2085/klagomålsmail/A 60787-2024 FSC-klagomål mail.docx", "A 60787-2024")</f>
        <v/>
      </c>
      <c r="AA121">
        <f>HYPERLINK("https://klasma.github.io/Logging_2085/tillsyn/A 60787-2024 tillsynsbegäran.docx", "A 60787-2024")</f>
        <v/>
      </c>
      <c r="AB121">
        <f>HYPERLINK("https://klasma.github.io/Logging_2085/tillsynsmail/A 60787-2024 tillsynsbegäran mail.docx", "A 60787-2024")</f>
        <v/>
      </c>
      <c r="AC121">
        <f>HYPERLINK("https://klasma.github.io/Logging_2085/fåglar/A 60787-2024 prioriterade fågelarter.docx", "A 60787-2024")</f>
        <v/>
      </c>
    </row>
    <row r="122" ht="15" customHeight="1">
      <c r="A122" t="inlineStr">
        <is>
          <t>A 21499-2022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46221</v>
      </c>
      <c r="F122" t="inlineStr">
        <is>
          <t>DALARNAS LÄN</t>
        </is>
      </c>
      <c r="G122" t="inlineStr">
        <is>
          <t>LUDVIKA</t>
        </is>
      </c>
      <c r="I122" t="n">
        <v>4.3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Strimspindling</t>
        </is>
      </c>
      <c r="V122">
        <f>HYPERLINK("https://klasma.github.io/Logging_2085/artfynd/A 21499-2022 artfynd.xlsx", "A 21499-2022")</f>
        <v/>
      </c>
      <c r="W122">
        <f>HYPERLINK("https://klasma.github.io/Logging_2085/kartor/A 21499-2022 karta.png", "A 21499-2022")</f>
        <v/>
      </c>
      <c r="Y122">
        <f>HYPERLINK("https://klasma.github.io/Logging_2085/klagomål/A 21499-2022 FSC-klagomål.docx", "A 21499-2022")</f>
        <v/>
      </c>
      <c r="Z122">
        <f>HYPERLINK("https://klasma.github.io/Logging_2085/klagomålsmail/A 21499-2022 FSC-klagomål mail.docx", "A 21499-2022")</f>
        <v/>
      </c>
      <c r="AA122">
        <f>HYPERLINK("https://klasma.github.io/Logging_2085/tillsyn/A 21499-2022 tillsynsbegäran.docx", "A 21499-2022")</f>
        <v/>
      </c>
      <c r="AB122">
        <f>HYPERLINK("https://klasma.github.io/Logging_2085/tillsynsmail/A 21499-2022 tillsynsbegäran mail.docx", "A 21499-2022")</f>
        <v/>
      </c>
    </row>
    <row r="123" ht="15" customHeight="1">
      <c r="A123" t="inlineStr">
        <is>
          <t>A 18189-2025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45761</v>
      </c>
      <c r="E123" s="1" t="n">
        <v>46221</v>
      </c>
      <c r="F123" t="inlineStr">
        <is>
          <t>DALARNAS LÄN</t>
        </is>
      </c>
      <c r="G123" t="inlineStr">
        <is>
          <t>LUDVIKA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Fläcknycklar</t>
        </is>
      </c>
      <c r="V123">
        <f>HYPERLINK("https://klasma.github.io/Logging_2085/artfynd/A 18189-2025 artfynd.xlsx", "A 18189-2025")</f>
        <v/>
      </c>
      <c r="W123">
        <f>HYPERLINK("https://klasma.github.io/Logging_2085/kartor/A 18189-2025 karta.png", "A 18189-2025")</f>
        <v/>
      </c>
      <c r="Y123">
        <f>HYPERLINK("https://klasma.github.io/Logging_2085/klagomål/A 18189-2025 FSC-klagomål.docx", "A 18189-2025")</f>
        <v/>
      </c>
      <c r="Z123">
        <f>HYPERLINK("https://klasma.github.io/Logging_2085/klagomålsmail/A 18189-2025 FSC-klagomål mail.docx", "A 18189-2025")</f>
        <v/>
      </c>
      <c r="AA123">
        <f>HYPERLINK("https://klasma.github.io/Logging_2085/tillsyn/A 18189-2025 tillsynsbegäran.docx", "A 18189-2025")</f>
        <v/>
      </c>
      <c r="AB123">
        <f>HYPERLINK("https://klasma.github.io/Logging_2085/tillsynsmail/A 18189-2025 tillsynsbegäran mail.docx", "A 18189-2025")</f>
        <v/>
      </c>
    </row>
    <row r="124" ht="15" customHeight="1">
      <c r="A124" t="inlineStr">
        <is>
          <t>A 21880-2026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46221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3.2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Spillkråka</t>
        </is>
      </c>
      <c r="V124">
        <f>HYPERLINK("https://klasma.github.io/Logging_2085/artfynd/A 21880-2026 artfynd.xlsx", "A 21880-2026")</f>
        <v/>
      </c>
      <c r="W124">
        <f>HYPERLINK("https://klasma.github.io/Logging_2085/kartor/A 21880-2026 karta.png", "A 21880-2026")</f>
        <v/>
      </c>
      <c r="Y124">
        <f>HYPERLINK("https://klasma.github.io/Logging_2085/klagomål/A 21880-2026 FSC-klagomål.docx", "A 21880-2026")</f>
        <v/>
      </c>
      <c r="Z124">
        <f>HYPERLINK("https://klasma.github.io/Logging_2085/klagomålsmail/A 21880-2026 FSC-klagomål mail.docx", "A 21880-2026")</f>
        <v/>
      </c>
      <c r="AA124">
        <f>HYPERLINK("https://klasma.github.io/Logging_2085/tillsyn/A 21880-2026 tillsynsbegäran.docx", "A 21880-2026")</f>
        <v/>
      </c>
      <c r="AB124">
        <f>HYPERLINK("https://klasma.github.io/Logging_2085/tillsynsmail/A 21880-2026 tillsynsbegäran mail.docx", "A 21880-2026")</f>
        <v/>
      </c>
      <c r="AC124">
        <f>HYPERLINK("https://klasma.github.io/Logging_2085/fåglar/A 21880-2026 prioriterade fågelarter.docx", "A 21880-2026")</f>
        <v/>
      </c>
    </row>
    <row r="125" ht="15" customHeight="1">
      <c r="A125" t="inlineStr">
        <is>
          <t>A 22235-2026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46153</v>
      </c>
      <c r="E125" s="1" t="n">
        <v>46221</v>
      </c>
      <c r="F125" t="inlineStr">
        <is>
          <t>DALARNAS LÄN</t>
        </is>
      </c>
      <c r="G125" t="inlineStr">
        <is>
          <t>LUDVIKA</t>
        </is>
      </c>
      <c r="I125" t="n">
        <v>1.6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s="2" t="inlineStr">
        <is>
          <t>Tretåig hackspett</t>
        </is>
      </c>
      <c r="V125">
        <f>HYPERLINK("https://klasma.github.io/Logging_2085/artfynd/A 22235-2026 artfynd.xlsx", "A 22235-2026")</f>
        <v/>
      </c>
      <c r="W125">
        <f>HYPERLINK("https://klasma.github.io/Logging_2085/kartor/A 22235-2026 karta.png", "A 22235-2026")</f>
        <v/>
      </c>
      <c r="Y125">
        <f>HYPERLINK("https://klasma.github.io/Logging_2085/klagomål/A 22235-2026 FSC-klagomål.docx", "A 22235-2026")</f>
        <v/>
      </c>
      <c r="Z125">
        <f>HYPERLINK("https://klasma.github.io/Logging_2085/klagomålsmail/A 22235-2026 FSC-klagomål mail.docx", "A 22235-2026")</f>
        <v/>
      </c>
      <c r="AA125">
        <f>HYPERLINK("https://klasma.github.io/Logging_2085/tillsyn/A 22235-2026 tillsynsbegäran.docx", "A 22235-2026")</f>
        <v/>
      </c>
      <c r="AB125">
        <f>HYPERLINK("https://klasma.github.io/Logging_2085/tillsynsmail/A 22235-2026 tillsynsbegäran mail.docx", "A 22235-2026")</f>
        <v/>
      </c>
      <c r="AC125">
        <f>HYPERLINK("https://klasma.github.io/Logging_2085/fåglar/A 22235-2026 prioriterade fågelarter.docx", "A 22235-2026")</f>
        <v/>
      </c>
    </row>
    <row r="126" ht="15" customHeight="1">
      <c r="A126" t="inlineStr">
        <is>
          <t>A 23720-2026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46221</v>
      </c>
      <c r="F126" t="inlineStr">
        <is>
          <t>DALARNAS LÄN</t>
        </is>
      </c>
      <c r="G126" t="inlineStr">
        <is>
          <t>LUDVIKA</t>
        </is>
      </c>
      <c r="I126" t="n">
        <v>3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Tretåig hackspett</t>
        </is>
      </c>
      <c r="V126">
        <f>HYPERLINK("https://klasma.github.io/Logging_2085/artfynd/A 23720-2026 artfynd.xlsx", "A 23720-2026")</f>
        <v/>
      </c>
      <c r="W126">
        <f>HYPERLINK("https://klasma.github.io/Logging_2085/kartor/A 23720-2026 karta.png", "A 23720-2026")</f>
        <v/>
      </c>
      <c r="Y126">
        <f>HYPERLINK("https://klasma.github.io/Logging_2085/klagomål/A 23720-2026 FSC-klagomål.docx", "A 23720-2026")</f>
        <v/>
      </c>
      <c r="Z126">
        <f>HYPERLINK("https://klasma.github.io/Logging_2085/klagomålsmail/A 23720-2026 FSC-klagomål mail.docx", "A 23720-2026")</f>
        <v/>
      </c>
      <c r="AA126">
        <f>HYPERLINK("https://klasma.github.io/Logging_2085/tillsyn/A 23720-2026 tillsynsbegäran.docx", "A 23720-2026")</f>
        <v/>
      </c>
      <c r="AB126">
        <f>HYPERLINK("https://klasma.github.io/Logging_2085/tillsynsmail/A 23720-2026 tillsynsbegäran mail.docx", "A 23720-2026")</f>
        <v/>
      </c>
      <c r="AC126">
        <f>HYPERLINK("https://klasma.github.io/Logging_2085/fåglar/A 23720-2026 prioriterade fågelarter.docx", "A 23720-2026")</f>
        <v/>
      </c>
    </row>
    <row r="127" ht="15" customHeight="1">
      <c r="A127" t="inlineStr">
        <is>
          <t>A 23778-2026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46164</v>
      </c>
      <c r="E127" s="1" t="n">
        <v>46221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Spillkråka</t>
        </is>
      </c>
      <c r="V127">
        <f>HYPERLINK("https://klasma.github.io/Logging_2085/artfynd/A 23778-2026 artfynd.xlsx", "A 23778-2026")</f>
        <v/>
      </c>
      <c r="W127">
        <f>HYPERLINK("https://klasma.github.io/Logging_2085/kartor/A 23778-2026 karta.png", "A 23778-2026")</f>
        <v/>
      </c>
      <c r="Y127">
        <f>HYPERLINK("https://klasma.github.io/Logging_2085/klagomål/A 23778-2026 FSC-klagomål.docx", "A 23778-2026")</f>
        <v/>
      </c>
      <c r="Z127">
        <f>HYPERLINK("https://klasma.github.io/Logging_2085/klagomålsmail/A 23778-2026 FSC-klagomål mail.docx", "A 23778-2026")</f>
        <v/>
      </c>
      <c r="AA127">
        <f>HYPERLINK("https://klasma.github.io/Logging_2085/tillsyn/A 23778-2026 tillsynsbegäran.docx", "A 23778-2026")</f>
        <v/>
      </c>
      <c r="AB127">
        <f>HYPERLINK("https://klasma.github.io/Logging_2085/tillsynsmail/A 23778-2026 tillsynsbegäran mail.docx", "A 23778-2026")</f>
        <v/>
      </c>
      <c r="AC127">
        <f>HYPERLINK("https://klasma.github.io/Logging_2085/fåglar/A 23778-2026 prioriterade fågelarter.docx", "A 23778-2026")</f>
        <v/>
      </c>
    </row>
    <row r="128" ht="15" customHeight="1">
      <c r="A128" t="inlineStr">
        <is>
          <t>A 51886-2022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46221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1.8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Brun gräsfjäril</t>
        </is>
      </c>
      <c r="V128">
        <f>HYPERLINK("https://klasma.github.io/Logging_2085/artfynd/A 51886-2022 artfynd.xlsx", "A 51886-2022")</f>
        <v/>
      </c>
      <c r="W128">
        <f>HYPERLINK("https://klasma.github.io/Logging_2085/kartor/A 51886-2022 karta.png", "A 51886-2022")</f>
        <v/>
      </c>
      <c r="Y128">
        <f>HYPERLINK("https://klasma.github.io/Logging_2085/klagomål/A 51886-2022 FSC-klagomål.docx", "A 51886-2022")</f>
        <v/>
      </c>
      <c r="Z128">
        <f>HYPERLINK("https://klasma.github.io/Logging_2085/klagomålsmail/A 51886-2022 FSC-klagomål mail.docx", "A 51886-2022")</f>
        <v/>
      </c>
      <c r="AA128">
        <f>HYPERLINK("https://klasma.github.io/Logging_2085/tillsyn/A 51886-2022 tillsynsbegäran.docx", "A 51886-2022")</f>
        <v/>
      </c>
      <c r="AB128">
        <f>HYPERLINK("https://klasma.github.io/Logging_2085/tillsynsmail/A 51886-2022 tillsynsbegäran mail.docx", "A 51886-2022")</f>
        <v/>
      </c>
    </row>
    <row r="129" ht="15" customHeight="1">
      <c r="A129" t="inlineStr">
        <is>
          <t>A 63005-2025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46221</v>
      </c>
      <c r="F129" t="inlineStr">
        <is>
          <t>DALARNAS LÄN</t>
        </is>
      </c>
      <c r="G129" t="inlineStr">
        <is>
          <t>LUDVIKA</t>
        </is>
      </c>
      <c r="I129" t="n">
        <v>4.4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Spillkråka</t>
        </is>
      </c>
      <c r="V129">
        <f>HYPERLINK("https://klasma.github.io/Logging_2085/artfynd/A 63005-2025 artfynd.xlsx", "A 63005-2025")</f>
        <v/>
      </c>
      <c r="W129">
        <f>HYPERLINK("https://klasma.github.io/Logging_2085/kartor/A 63005-2025 karta.png", "A 63005-2025")</f>
        <v/>
      </c>
      <c r="Y129">
        <f>HYPERLINK("https://klasma.github.io/Logging_2085/klagomål/A 63005-2025 FSC-klagomål.docx", "A 63005-2025")</f>
        <v/>
      </c>
      <c r="Z129">
        <f>HYPERLINK("https://klasma.github.io/Logging_2085/klagomålsmail/A 63005-2025 FSC-klagomål mail.docx", "A 63005-2025")</f>
        <v/>
      </c>
      <c r="AA129">
        <f>HYPERLINK("https://klasma.github.io/Logging_2085/tillsyn/A 63005-2025 tillsynsbegäran.docx", "A 63005-2025")</f>
        <v/>
      </c>
      <c r="AB129">
        <f>HYPERLINK("https://klasma.github.io/Logging_2085/tillsynsmail/A 63005-2025 tillsynsbegäran mail.docx", "A 63005-2025")</f>
        <v/>
      </c>
      <c r="AC129">
        <f>HYPERLINK("https://klasma.github.io/Logging_2085/fåglar/A 63005-2025 prioriterade fågelarter.docx", "A 63005-2025")</f>
        <v/>
      </c>
    </row>
    <row r="130" ht="15" customHeight="1">
      <c r="A130" t="inlineStr">
        <is>
          <t>A 25159-2026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46175</v>
      </c>
      <c r="E130" s="1" t="n">
        <v>46221</v>
      </c>
      <c r="F130" t="inlineStr">
        <is>
          <t>DALARNAS LÄN</t>
        </is>
      </c>
      <c r="G130" t="inlineStr">
        <is>
          <t>LUDVIKA</t>
        </is>
      </c>
      <c r="I130" t="n">
        <v>2.3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Tibast</t>
        </is>
      </c>
      <c r="V130">
        <f>HYPERLINK("https://klasma.github.io/Logging_2085/artfynd/A 25159-2026 artfynd.xlsx", "A 25159-2026")</f>
        <v/>
      </c>
      <c r="W130">
        <f>HYPERLINK("https://klasma.github.io/Logging_2085/kartor/A 25159-2026 karta.png", "A 25159-2026")</f>
        <v/>
      </c>
      <c r="Y130">
        <f>HYPERLINK("https://klasma.github.io/Logging_2085/klagomål/A 25159-2026 FSC-klagomål.docx", "A 25159-2026")</f>
        <v/>
      </c>
      <c r="Z130">
        <f>HYPERLINK("https://klasma.github.io/Logging_2085/klagomålsmail/A 25159-2026 FSC-klagomål mail.docx", "A 25159-2026")</f>
        <v/>
      </c>
      <c r="AA130">
        <f>HYPERLINK("https://klasma.github.io/Logging_2085/tillsyn/A 25159-2026 tillsynsbegäran.docx", "A 25159-2026")</f>
        <v/>
      </c>
      <c r="AB130">
        <f>HYPERLINK("https://klasma.github.io/Logging_2085/tillsynsmail/A 25159-2026 tillsynsbegäran mail.docx", "A 25159-2026")</f>
        <v/>
      </c>
    </row>
    <row r="131" ht="15" customHeight="1">
      <c r="A131" t="inlineStr">
        <is>
          <t>A 1047-2023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46221</v>
      </c>
      <c r="F131" t="inlineStr">
        <is>
          <t>DALARNAS LÄN</t>
        </is>
      </c>
      <c r="G131" t="inlineStr">
        <is>
          <t>LUDVIKA</t>
        </is>
      </c>
      <c r="H131" t="inlineStr">
        <is>
          <t>Kommuner</t>
        </is>
      </c>
      <c r="I131" t="n">
        <v>3.2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Ullticka</t>
        </is>
      </c>
      <c r="V131">
        <f>HYPERLINK("https://klasma.github.io/Logging_2085/artfynd/A 1047-2023 artfynd.xlsx", "A 1047-2023")</f>
        <v/>
      </c>
      <c r="W131">
        <f>HYPERLINK("https://klasma.github.io/Logging_2085/kartor/A 1047-2023 karta.png", "A 1047-2023")</f>
        <v/>
      </c>
      <c r="Y131">
        <f>HYPERLINK("https://klasma.github.io/Logging_2085/klagomål/A 1047-2023 FSC-klagomål.docx", "A 1047-2023")</f>
        <v/>
      </c>
      <c r="Z131">
        <f>HYPERLINK("https://klasma.github.io/Logging_2085/klagomålsmail/A 1047-2023 FSC-klagomål mail.docx", "A 1047-2023")</f>
        <v/>
      </c>
      <c r="AA131">
        <f>HYPERLINK("https://klasma.github.io/Logging_2085/tillsyn/A 1047-2023 tillsynsbegäran.docx", "A 1047-2023")</f>
        <v/>
      </c>
      <c r="AB131">
        <f>HYPERLINK("https://klasma.github.io/Logging_2085/tillsynsmail/A 1047-2023 tillsynsbegäran mail.docx", "A 1047-2023")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46221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Tvåblad</t>
        </is>
      </c>
      <c r="V132">
        <f>HYPERLINK("https://klasma.github.io/Logging_2085/artfynd/A 31352-2026 artfynd.xlsx", "A 31352-2026")</f>
        <v/>
      </c>
      <c r="W132">
        <f>HYPERLINK("https://klasma.github.io/Logging_2085/kartor/A 31352-2026 karta.png", "A 31352-2026")</f>
        <v/>
      </c>
      <c r="Y132">
        <f>HYPERLINK("https://klasma.github.io/Logging_2085/klagomål/A 31352-2026 FSC-klagomål.docx", "A 31352-2026")</f>
        <v/>
      </c>
      <c r="Z132">
        <f>HYPERLINK("https://klasma.github.io/Logging_2085/klagomålsmail/A 31352-2026 FSC-klagomål mail.docx", "A 31352-2026")</f>
        <v/>
      </c>
      <c r="AA132">
        <f>HYPERLINK("https://klasma.github.io/Logging_2085/tillsyn/A 31352-2026 tillsynsbegäran.docx", "A 31352-2026")</f>
        <v/>
      </c>
      <c r="AB132">
        <f>HYPERLINK("https://klasma.github.io/Logging_2085/tillsynsmail/A 31352-2026 tillsynsbegäran mail.docx", "A 31352-2026")</f>
        <v/>
      </c>
    </row>
    <row r="133" ht="15" customHeight="1">
      <c r="A133" t="inlineStr">
        <is>
          <t>A 29882-2024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45486</v>
      </c>
      <c r="E133" s="1" t="n">
        <v>46221</v>
      </c>
      <c r="F133" t="inlineStr">
        <is>
          <t>DALARNAS LÄN</t>
        </is>
      </c>
      <c r="G133" t="inlineStr">
        <is>
          <t>LUDVIKA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Spillkråka</t>
        </is>
      </c>
      <c r="V133">
        <f>HYPERLINK("https://klasma.github.io/Logging_2085/artfynd/A 29882-2024 artfynd.xlsx", "A 29882-2024")</f>
        <v/>
      </c>
      <c r="W133">
        <f>HYPERLINK("https://klasma.github.io/Logging_2085/kartor/A 29882-2024 karta.png", "A 29882-2024")</f>
        <v/>
      </c>
      <c r="Y133">
        <f>HYPERLINK("https://klasma.github.io/Logging_2085/klagomål/A 29882-2024 FSC-klagomål.docx", "A 29882-2024")</f>
        <v/>
      </c>
      <c r="Z133">
        <f>HYPERLINK("https://klasma.github.io/Logging_2085/klagomålsmail/A 29882-2024 FSC-klagomål mail.docx", "A 29882-2024")</f>
        <v/>
      </c>
      <c r="AA133">
        <f>HYPERLINK("https://klasma.github.io/Logging_2085/tillsyn/A 29882-2024 tillsynsbegäran.docx", "A 29882-2024")</f>
        <v/>
      </c>
      <c r="AB133">
        <f>HYPERLINK("https://klasma.github.io/Logging_2085/tillsynsmail/A 29882-2024 tillsynsbegäran mail.docx", "A 29882-2024")</f>
        <v/>
      </c>
      <c r="AC133">
        <f>HYPERLINK("https://klasma.github.io/Logging_2085/fåglar/A 29882-2024 prioriterade fågelarter.docx", "A 29882-2024")</f>
        <v/>
      </c>
    </row>
    <row r="134" ht="15" customHeight="1">
      <c r="A134" t="inlineStr">
        <is>
          <t>A 23102-2025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45791</v>
      </c>
      <c r="E134" s="1" t="n">
        <v>46221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Vanlig groda</t>
        </is>
      </c>
      <c r="V134">
        <f>HYPERLINK("https://klasma.github.io/Logging_2085/artfynd/A 23102-2025 artfynd.xlsx", "A 23102-2025")</f>
        <v/>
      </c>
      <c r="W134">
        <f>HYPERLINK("https://klasma.github.io/Logging_2085/kartor/A 23102-2025 karta.png", "A 23102-2025")</f>
        <v/>
      </c>
      <c r="Y134">
        <f>HYPERLINK("https://klasma.github.io/Logging_2085/klagomål/A 23102-2025 FSC-klagomål.docx", "A 23102-2025")</f>
        <v/>
      </c>
      <c r="Z134">
        <f>HYPERLINK("https://klasma.github.io/Logging_2085/klagomålsmail/A 23102-2025 FSC-klagomål mail.docx", "A 23102-2025")</f>
        <v/>
      </c>
      <c r="AA134">
        <f>HYPERLINK("https://klasma.github.io/Logging_2085/tillsyn/A 23102-2025 tillsynsbegäran.docx", "A 23102-2025")</f>
        <v/>
      </c>
      <c r="AB134">
        <f>HYPERLINK("https://klasma.github.io/Logging_2085/tillsynsmail/A 23102-2025 tillsynsbegäran mail.docx", "A 23102-2025")</f>
        <v/>
      </c>
    </row>
    <row r="135" ht="15" customHeight="1">
      <c r="A135" t="inlineStr">
        <is>
          <t>S 6285-2021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44447</v>
      </c>
      <c r="E135" s="1" t="n">
        <v>46221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28.7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Mattlummer</t>
        </is>
      </c>
      <c r="V135">
        <f>HYPERLINK("https://klasma.github.io/Logging_2085/artfynd/S 6285-2021 artfynd.xlsx", "S 6285-2021")</f>
        <v/>
      </c>
      <c r="W135">
        <f>HYPERLINK("https://klasma.github.io/Logging_2085/kartor/S 6285-2021 karta.png", "S 6285-2021")</f>
        <v/>
      </c>
      <c r="Y135">
        <f>HYPERLINK("https://klasma.github.io/Logging_2085/klagomål/S 6285-2021 FSC-klagomål.docx", "S 6285-2021")</f>
        <v/>
      </c>
      <c r="Z135">
        <f>HYPERLINK("https://klasma.github.io/Logging_2085/klagomålsmail/S 6285-2021 FSC-klagomål mail.docx", "S 6285-2021")</f>
        <v/>
      </c>
      <c r="AA135">
        <f>HYPERLINK("https://klasma.github.io/Logging_2085/tillsyn/S 6285-2021 tillsynsbegäran.docx", "S 6285-2021")</f>
        <v/>
      </c>
      <c r="AB135">
        <f>HYPERLINK("https://klasma.github.io/Logging_2085/tillsynsmail/S 6285-2021 tillsynsbegäran mail.docx", "S 6285-2021")</f>
        <v/>
      </c>
    </row>
    <row r="136" ht="15" customHeight="1">
      <c r="A136" t="inlineStr">
        <is>
          <t>A 47216-2021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44447</v>
      </c>
      <c r="E136" s="1" t="n">
        <v>46221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38084-2021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44404</v>
      </c>
      <c r="E137" s="1" t="n">
        <v>46221</v>
      </c>
      <c r="F137" t="inlineStr">
        <is>
          <t>DALARNAS LÄN</t>
        </is>
      </c>
      <c r="G137" t="inlineStr">
        <is>
          <t>LUDVIKA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31273-2022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44771</v>
      </c>
      <c r="E138" s="1" t="n">
        <v>46221</v>
      </c>
      <c r="F138" t="inlineStr">
        <is>
          <t>DALARNAS LÄN</t>
        </is>
      </c>
      <c r="G138" t="inlineStr">
        <is>
          <t>LUDVIKA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52303-2022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44869</v>
      </c>
      <c r="E139" s="1" t="n">
        <v>46221</v>
      </c>
      <c r="F139" t="inlineStr">
        <is>
          <t>DALARNAS LÄN</t>
        </is>
      </c>
      <c r="G139" t="inlineStr">
        <is>
          <t>LUDVIKA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62152-2021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46221</v>
      </c>
      <c r="F140" t="inlineStr">
        <is>
          <t>DALARNAS LÄN</t>
        </is>
      </c>
      <c r="G140" t="inlineStr">
        <is>
          <t>LUDVIKA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62467-2021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46221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73167-2021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46221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49977-2021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44456</v>
      </c>
      <c r="E143" s="1" t="n">
        <v>46221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25297-2022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46221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57076-2021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46221</v>
      </c>
      <c r="F145" t="inlineStr">
        <is>
          <t>DALARNAS LÄN</t>
        </is>
      </c>
      <c r="G145" t="inlineStr">
        <is>
          <t>LUDVIKA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31272-2022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44771</v>
      </c>
      <c r="E146" s="1" t="n">
        <v>46221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25291-2022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44730</v>
      </c>
      <c r="E147" s="1" t="n">
        <v>46221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44851</v>
      </c>
      <c r="E148" s="1" t="n">
        <v>46221</v>
      </c>
      <c r="F148" t="inlineStr">
        <is>
          <t>DALARNAS LÄN</t>
        </is>
      </c>
      <c r="G148" t="inlineStr">
        <is>
          <t>LUDVIKA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51713-2022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46221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44720</v>
      </c>
      <c r="E150" s="1" t="n">
        <v>46221</v>
      </c>
      <c r="F150" t="inlineStr">
        <is>
          <t>DALARNAS LÄN</t>
        </is>
      </c>
      <c r="G150" t="inlineStr">
        <is>
          <t>LUDVIKA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74427-2021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44560</v>
      </c>
      <c r="E151" s="1" t="n">
        <v>46221</v>
      </c>
      <c r="F151" t="inlineStr">
        <is>
          <t>DALARNAS LÄN</t>
        </is>
      </c>
      <c r="G151" t="inlineStr">
        <is>
          <t>LUDVIKA</t>
        </is>
      </c>
      <c r="H151" t="inlineStr">
        <is>
          <t>Kommuner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15145-2022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46221</v>
      </c>
      <c r="F152" t="inlineStr">
        <is>
          <t>DALARNAS LÄN</t>
        </is>
      </c>
      <c r="G152" t="inlineStr">
        <is>
          <t>LUDVIKA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41796-2022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46221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44590</v>
      </c>
      <c r="E154" s="1" t="n">
        <v>46221</v>
      </c>
      <c r="F154" t="inlineStr">
        <is>
          <t>DALARNAS LÄN</t>
        </is>
      </c>
      <c r="G154" t="inlineStr">
        <is>
          <t>LUDVIKA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9464-2022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46221</v>
      </c>
      <c r="F155" t="inlineStr">
        <is>
          <t>DALARNAS LÄN</t>
        </is>
      </c>
      <c r="G155" t="inlineStr">
        <is>
          <t>LUDVIKA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21466-2022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44706</v>
      </c>
      <c r="E156" s="1" t="n">
        <v>46221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33108-2022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44785</v>
      </c>
      <c r="E157" s="1" t="n">
        <v>46221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40582-2021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44420</v>
      </c>
      <c r="E158" s="1" t="n">
        <v>46221</v>
      </c>
      <c r="F158" t="inlineStr">
        <is>
          <t>DALARNAS LÄN</t>
        </is>
      </c>
      <c r="G158" t="inlineStr">
        <is>
          <t>LUDVIKA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45313-2021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44439</v>
      </c>
      <c r="E159" s="1" t="n">
        <v>46221</v>
      </c>
      <c r="F159" t="inlineStr">
        <is>
          <t>DALARNAS LÄN</t>
        </is>
      </c>
      <c r="G159" t="inlineStr">
        <is>
          <t>LUDVIKA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57002-2021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46221</v>
      </c>
      <c r="F160" t="inlineStr">
        <is>
          <t>DALARNAS LÄN</t>
        </is>
      </c>
      <c r="G160" t="inlineStr">
        <is>
          <t>LUDVIKA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63267-2021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44508</v>
      </c>
      <c r="E161" s="1" t="n">
        <v>46221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54279-2021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46221</v>
      </c>
      <c r="F162" t="inlineStr">
        <is>
          <t>DALARNAS LÄN</t>
        </is>
      </c>
      <c r="G162" t="inlineStr">
        <is>
          <t>LUDVIKA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22920-2022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44715</v>
      </c>
      <c r="E163" s="1" t="n">
        <v>46221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39761-2022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44819</v>
      </c>
      <c r="E164" s="1" t="n">
        <v>46221</v>
      </c>
      <c r="F164" t="inlineStr">
        <is>
          <t>DALARNAS LÄN</t>
        </is>
      </c>
      <c r="G164" t="inlineStr">
        <is>
          <t>LUDVIKA</t>
        </is>
      </c>
      <c r="H164" t="inlineStr">
        <is>
          <t>Naturvårdsverket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7526-2025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45705</v>
      </c>
      <c r="E165" s="1" t="n">
        <v>46221</v>
      </c>
      <c r="F165" t="inlineStr">
        <is>
          <t>DALARNAS LÄN</t>
        </is>
      </c>
      <c r="G165" t="inlineStr">
        <is>
          <t>LUDVIKA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45335</v>
      </c>
      <c r="E166" s="1" t="n">
        <v>46221</v>
      </c>
      <c r="F166" t="inlineStr">
        <is>
          <t>DALARNAS LÄN</t>
        </is>
      </c>
      <c r="G166" t="inlineStr">
        <is>
          <t>LUDVIKA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51160-2023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46221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41090-2022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46221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47366-2023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45202</v>
      </c>
      <c r="E169" s="1" t="n">
        <v>46221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22555-2023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45071</v>
      </c>
      <c r="E170" s="1" t="n">
        <v>46221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34845-2024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45526</v>
      </c>
      <c r="E171" s="1" t="n">
        <v>46221</v>
      </c>
      <c r="F171" t="inlineStr">
        <is>
          <t>DALARNAS LÄN</t>
        </is>
      </c>
      <c r="G171" t="inlineStr">
        <is>
          <t>LUDVIKA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41158-2022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46221</v>
      </c>
      <c r="F172" t="inlineStr">
        <is>
          <t>DALARNAS LÄN</t>
        </is>
      </c>
      <c r="G172" t="inlineStr">
        <is>
          <t>LUDVIKA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48715-2022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44859</v>
      </c>
      <c r="E173" s="1" t="n">
        <v>46221</v>
      </c>
      <c r="F173" t="inlineStr">
        <is>
          <t>DALARNAS LÄN</t>
        </is>
      </c>
      <c r="G173" t="inlineStr">
        <is>
          <t>LUDVIKA</t>
        </is>
      </c>
      <c r="H173" t="inlineStr">
        <is>
          <t>Naturvårdsverket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11436-2024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45372</v>
      </c>
      <c r="E174" s="1" t="n">
        <v>46221</v>
      </c>
      <c r="F174" t="inlineStr">
        <is>
          <t>DALARNAS LÄN</t>
        </is>
      </c>
      <c r="G174" t="inlineStr">
        <is>
          <t>LUDVIKA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41400-2022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44826</v>
      </c>
      <c r="E175" s="1" t="n">
        <v>46221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23103-2024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45450</v>
      </c>
      <c r="E176" s="1" t="n">
        <v>46221</v>
      </c>
      <c r="F176" t="inlineStr">
        <is>
          <t>DALARNAS LÄN</t>
        </is>
      </c>
      <c r="G176" t="inlineStr">
        <is>
          <t>LUDVIKA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48522-2023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45208</v>
      </c>
      <c r="E177" s="1" t="n">
        <v>46221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31702-2023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45105</v>
      </c>
      <c r="E178" s="1" t="n">
        <v>46221</v>
      </c>
      <c r="F178" t="inlineStr">
        <is>
          <t>DALARNAS LÄN</t>
        </is>
      </c>
      <c r="G178" t="inlineStr">
        <is>
          <t>LUDVIKA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32119-2023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46221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47496-2022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44853</v>
      </c>
      <c r="E180" s="1" t="n">
        <v>46221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32277-2024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46221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47071-2022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46221</v>
      </c>
      <c r="F182" t="inlineStr">
        <is>
          <t>DALARNAS LÄN</t>
        </is>
      </c>
      <c r="G182" t="inlineStr">
        <is>
          <t>LUDVIKA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31100-2024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45502</v>
      </c>
      <c r="E183" s="1" t="n">
        <v>46221</v>
      </c>
      <c r="F183" t="inlineStr">
        <is>
          <t>DALARNAS LÄN</t>
        </is>
      </c>
      <c r="G183" t="inlineStr">
        <is>
          <t>LUDVIKA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55034-2024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45621</v>
      </c>
      <c r="E184" s="1" t="n">
        <v>46221</v>
      </c>
      <c r="F184" t="inlineStr">
        <is>
          <t>DALARNAS LÄN</t>
        </is>
      </c>
      <c r="G184" t="inlineStr">
        <is>
          <t>LUDVIKA</t>
        </is>
      </c>
      <c r="H184" t="inlineStr">
        <is>
          <t>Naturvårdsverket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27389-2024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46221</v>
      </c>
      <c r="F185" t="inlineStr">
        <is>
          <t>DALARNAS LÄN</t>
        </is>
      </c>
      <c r="G185" t="inlineStr">
        <is>
          <t>LUDVIKA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45361-2022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44844</v>
      </c>
      <c r="E186" s="1" t="n">
        <v>46221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57193-2022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46221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32305-2024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45512</v>
      </c>
      <c r="E188" s="1" t="n">
        <v>46221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32332-2024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45512</v>
      </c>
      <c r="E189" s="1" t="n">
        <v>46221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42254-2024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45562</v>
      </c>
      <c r="E190" s="1" t="n">
        <v>46221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11797-2023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46221</v>
      </c>
      <c r="F191" t="inlineStr">
        <is>
          <t>DALARNAS LÄN</t>
        </is>
      </c>
      <c r="G191" t="inlineStr">
        <is>
          <t>LUDVIKA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65195-2021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44515</v>
      </c>
      <c r="E192" s="1" t="n">
        <v>46221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54730-2022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44883</v>
      </c>
      <c r="E193" s="1" t="n">
        <v>46221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33330-2024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45519</v>
      </c>
      <c r="E194" s="1" t="n">
        <v>46221</v>
      </c>
      <c r="F194" t="inlineStr">
        <is>
          <t>DALARNAS LÄN</t>
        </is>
      </c>
      <c r="G194" t="inlineStr">
        <is>
          <t>LUDVIKA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26320-2025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46221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61799-2025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46002</v>
      </c>
      <c r="E196" s="1" t="n">
        <v>46221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26698-2025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45810</v>
      </c>
      <c r="E197" s="1" t="n">
        <v>46221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56680-2022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46221</v>
      </c>
      <c r="F198" t="inlineStr">
        <is>
          <t>DALARNAS LÄN</t>
        </is>
      </c>
      <c r="G198" t="inlineStr">
        <is>
          <t>LUDVIKA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56685-2022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46221</v>
      </c>
      <c r="F199" t="inlineStr">
        <is>
          <t>DALARNAS LÄN</t>
        </is>
      </c>
      <c r="G199" t="inlineStr">
        <is>
          <t>LUDVIKA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26628-2025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45810</v>
      </c>
      <c r="E200" s="1" t="n">
        <v>46221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26719-2025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45810</v>
      </c>
      <c r="E201" s="1" t="n">
        <v>46221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26794-2025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45810</v>
      </c>
      <c r="E202" s="1" t="n">
        <v>46221</v>
      </c>
      <c r="F202" t="inlineStr">
        <is>
          <t>DALARNAS LÄN</t>
        </is>
      </c>
      <c r="G202" t="inlineStr">
        <is>
          <t>LUDVIKA</t>
        </is>
      </c>
      <c r="H202" t="inlineStr">
        <is>
          <t>Kommuner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15421-2025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46221</v>
      </c>
      <c r="F203" t="inlineStr">
        <is>
          <t>DALARNAS LÄN</t>
        </is>
      </c>
      <c r="G203" t="inlineStr">
        <is>
          <t>LUDVIKA</t>
        </is>
      </c>
      <c r="H203" t="inlineStr">
        <is>
          <t>Övriga Aktiebolag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51029-2024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46221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43700-2024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45569</v>
      </c>
      <c r="E205" s="1" t="n">
        <v>46221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27525-2025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46221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27532-2025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46221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27506-2025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46221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27448-2025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46221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46221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37538-2024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46221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27644-2025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45813</v>
      </c>
      <c r="E212" s="1" t="n">
        <v>46221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24974-2025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45799</v>
      </c>
      <c r="E213" s="1" t="n">
        <v>46221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56686-2022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44893</v>
      </c>
      <c r="E214" s="1" t="n">
        <v>46221</v>
      </c>
      <c r="F214" t="inlineStr">
        <is>
          <t>DALARNAS LÄN</t>
        </is>
      </c>
      <c r="G214" t="inlineStr">
        <is>
          <t>LUDVIKA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28435-2025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46221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36527-2024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46221</v>
      </c>
      <c r="F216" t="inlineStr">
        <is>
          <t>DALARNAS LÄN</t>
        </is>
      </c>
      <c r="G216" t="inlineStr">
        <is>
          <t>LUDVIKA</t>
        </is>
      </c>
      <c r="H216" t="inlineStr">
        <is>
          <t>Övriga Aktiebolag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51704-2024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46221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41616-2024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45560</v>
      </c>
      <c r="E218" s="1" t="n">
        <v>46221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53979-2025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45961</v>
      </c>
      <c r="E219" s="1" t="n">
        <v>46221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29443-2025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46221</v>
      </c>
      <c r="F220" t="inlineStr">
        <is>
          <t>DALARNAS LÄN</t>
        </is>
      </c>
      <c r="G220" t="inlineStr">
        <is>
          <t>LUDVIKA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29966-2025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46221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39754-2025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45891</v>
      </c>
      <c r="E222" s="1" t="n">
        <v>46221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21152-2023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45062</v>
      </c>
      <c r="E223" s="1" t="n">
        <v>46221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40246-2025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45895</v>
      </c>
      <c r="E224" s="1" t="n">
        <v>46221</v>
      </c>
      <c r="F224" t="inlineStr">
        <is>
          <t>DALARNAS LÄN</t>
        </is>
      </c>
      <c r="G224" t="inlineStr">
        <is>
          <t>LUDVIKA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29918-2025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46221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30288-2025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46221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41109-2025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46221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41269-2025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46221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48003-2024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45589</v>
      </c>
      <c r="E229" s="1" t="n">
        <v>46221</v>
      </c>
      <c r="F229" t="inlineStr">
        <is>
          <t>DALARNAS LÄN</t>
        </is>
      </c>
      <c r="G229" t="inlineStr">
        <is>
          <t>LUDVIKA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55472-2024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45622</v>
      </c>
      <c r="E230" s="1" t="n">
        <v>46221</v>
      </c>
      <c r="F230" t="inlineStr">
        <is>
          <t>DALARNAS LÄN</t>
        </is>
      </c>
      <c r="G230" t="inlineStr">
        <is>
          <t>LUDVIKA</t>
        </is>
      </c>
      <c r="H230" t="inlineStr">
        <is>
          <t>Naturvårdsverket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55485-2024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45622</v>
      </c>
      <c r="E231" s="1" t="n">
        <v>46221</v>
      </c>
      <c r="F231" t="inlineStr">
        <is>
          <t>DALARNAS LÄN</t>
        </is>
      </c>
      <c r="G231" t="inlineStr">
        <is>
          <t>LUDVIKA</t>
        </is>
      </c>
      <c r="H231" t="inlineStr">
        <is>
          <t>Naturvårdsverket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17998-2025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46221</v>
      </c>
      <c r="F232" t="inlineStr">
        <is>
          <t>DALARNAS LÄN</t>
        </is>
      </c>
      <c r="G232" t="inlineStr">
        <is>
          <t>LUDVIKA</t>
        </is>
      </c>
      <c r="H232" t="inlineStr">
        <is>
          <t>Naturvårdsverket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8703-2023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44978</v>
      </c>
      <c r="E233" s="1" t="n">
        <v>46221</v>
      </c>
      <c r="F233" t="inlineStr">
        <is>
          <t>DALARNAS LÄN</t>
        </is>
      </c>
      <c r="G233" t="inlineStr">
        <is>
          <t>LUDVIKA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31001-2025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46221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30748-2025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46221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30760-2025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46221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41731-2025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45902</v>
      </c>
      <c r="E237" s="1" t="n">
        <v>46221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41866-2025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45903</v>
      </c>
      <c r="E238" s="1" t="n">
        <v>46221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41916-2025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45903</v>
      </c>
      <c r="E239" s="1" t="n">
        <v>46221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42005-2025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45903</v>
      </c>
      <c r="E240" s="1" t="n">
        <v>46221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32019-2025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46221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45559-2024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45579</v>
      </c>
      <c r="E242" s="1" t="n">
        <v>46221</v>
      </c>
      <c r="F242" t="inlineStr">
        <is>
          <t>DALARNAS LÄN</t>
        </is>
      </c>
      <c r="G242" t="inlineStr">
        <is>
          <t>LUDVIKA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36338-2025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45868</v>
      </c>
      <c r="E243" s="1" t="n">
        <v>46221</v>
      </c>
      <c r="F243" t="inlineStr">
        <is>
          <t>DALARNAS LÄN</t>
        </is>
      </c>
      <c r="G243" t="inlineStr">
        <is>
          <t>LUDVIKA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42996-2025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45909</v>
      </c>
      <c r="E244" s="1" t="n">
        <v>46221</v>
      </c>
      <c r="F244" t="inlineStr">
        <is>
          <t>DALARNAS LÄN</t>
        </is>
      </c>
      <c r="G244" t="inlineStr">
        <is>
          <t>LUDVIKA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43145-2025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46221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43345-2025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46221</v>
      </c>
      <c r="F246" t="inlineStr">
        <is>
          <t>DALARNAS LÄN</t>
        </is>
      </c>
      <c r="G246" t="inlineStr">
        <is>
          <t>LUDVIKA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43479-2025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46221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43473-2025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46221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43449-2025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46221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43348-2025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46221</v>
      </c>
      <c r="F250" t="inlineStr">
        <is>
          <t>DALARNAS LÄN</t>
        </is>
      </c>
      <c r="G250" t="inlineStr">
        <is>
          <t>LUDVIKA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33244-2025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45840</v>
      </c>
      <c r="E251" s="1" t="n">
        <v>46221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33063-2025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45840</v>
      </c>
      <c r="E252" s="1" t="n">
        <v>46221</v>
      </c>
      <c r="F252" t="inlineStr">
        <is>
          <t>DALARNAS LÄN</t>
        </is>
      </c>
      <c r="G252" t="inlineStr">
        <is>
          <t>LUDVIKA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44261-2025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46221</v>
      </c>
      <c r="F253" t="inlineStr">
        <is>
          <t>DALARNAS LÄN</t>
        </is>
      </c>
      <c r="G253" t="inlineStr">
        <is>
          <t>LUDVIKA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14046-2025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45740</v>
      </c>
      <c r="E254" s="1" t="n">
        <v>46221</v>
      </c>
      <c r="F254" t="inlineStr">
        <is>
          <t>DALARNAS LÄN</t>
        </is>
      </c>
      <c r="G254" t="inlineStr">
        <is>
          <t>LUDVIKA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43839-2023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46221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44690-2025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45917</v>
      </c>
      <c r="E256" s="1" t="n">
        <v>46221</v>
      </c>
      <c r="F256" t="inlineStr">
        <is>
          <t>DALARNAS LÄN</t>
        </is>
      </c>
      <c r="G256" t="inlineStr">
        <is>
          <t>LUDVIKA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44879-2025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46221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34067-2025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45845</v>
      </c>
      <c r="E258" s="1" t="n">
        <v>46221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46054-2025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46221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43762-2025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46221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46040-2025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46221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31043-2024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46221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46024-2025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46221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46045-2025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46221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46108-2025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46221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55961-2024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45623</v>
      </c>
      <c r="E266" s="1" t="n">
        <v>46221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41737-2025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46221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45940-2025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46221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46317-2025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45925</v>
      </c>
      <c r="E269" s="1" t="n">
        <v>46221</v>
      </c>
      <c r="F269" t="inlineStr">
        <is>
          <t>DALARNAS LÄN</t>
        </is>
      </c>
      <c r="G269" t="inlineStr">
        <is>
          <t>LUDVIKA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46598-2025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46221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34861-2025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45849</v>
      </c>
      <c r="E271" s="1" t="n">
        <v>46221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46517-2025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46221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34455-2024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45525</v>
      </c>
      <c r="E273" s="1" t="n">
        <v>46221</v>
      </c>
      <c r="F273" t="inlineStr">
        <is>
          <t>DALARNAS LÄN</t>
        </is>
      </c>
      <c r="G273" t="inlineStr">
        <is>
          <t>LUDVIKA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7173-2023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44970</v>
      </c>
      <c r="E274" s="1" t="n">
        <v>46221</v>
      </c>
      <c r="F274" t="inlineStr">
        <is>
          <t>DALARNAS LÄN</t>
        </is>
      </c>
      <c r="G274" t="inlineStr">
        <is>
          <t>LUDVIKA</t>
        </is>
      </c>
      <c r="H274" t="inlineStr">
        <is>
          <t>Övriga Aktiebolag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46603-2025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46221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29654-2025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46221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22000-2022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44711</v>
      </c>
      <c r="E277" s="1" t="n">
        <v>46221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44960</v>
      </c>
      <c r="E278" s="1" t="n">
        <v>46221</v>
      </c>
      <c r="F278" t="inlineStr">
        <is>
          <t>DALARNAS LÄN</t>
        </is>
      </c>
      <c r="G278" t="inlineStr">
        <is>
          <t>LUDVIKA</t>
        </is>
      </c>
      <c r="H278" t="inlineStr">
        <is>
          <t>Naturvårdsverket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26823-2025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45810</v>
      </c>
      <c r="E279" s="1" t="n">
        <v>46221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56203-2024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45624</v>
      </c>
      <c r="E280" s="1" t="n">
        <v>46221</v>
      </c>
      <c r="F280" t="inlineStr">
        <is>
          <t>DALARNAS LÄN</t>
        </is>
      </c>
      <c r="G280" t="inlineStr">
        <is>
          <t>LUDVIKA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51043-2024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45603</v>
      </c>
      <c r="E281" s="1" t="n">
        <v>46221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57217-2024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45629</v>
      </c>
      <c r="E282" s="1" t="n">
        <v>46221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17.3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32329-2024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46221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56445-2024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45625</v>
      </c>
      <c r="E284" s="1" t="n">
        <v>46221</v>
      </c>
      <c r="F284" t="inlineStr">
        <is>
          <t>DALARNAS LÄN</t>
        </is>
      </c>
      <c r="G284" t="inlineStr">
        <is>
          <t>LUDVIKA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31010-2025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45832</v>
      </c>
      <c r="E285" s="1" t="n">
        <v>46221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31050-2025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46221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33001-2025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45840</v>
      </c>
      <c r="E287" s="1" t="n">
        <v>46221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31057-2025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45832</v>
      </c>
      <c r="E288" s="1" t="n">
        <v>46221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45301</v>
      </c>
      <c r="E289" s="1" t="n">
        <v>46221</v>
      </c>
      <c r="F289" t="inlineStr">
        <is>
          <t>DALARNAS LÄN</t>
        </is>
      </c>
      <c r="G289" t="inlineStr">
        <is>
          <t>LUDVIKA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33345-2024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45519</v>
      </c>
      <c r="E290" s="1" t="n">
        <v>46221</v>
      </c>
      <c r="F290" t="inlineStr">
        <is>
          <t>DALARNAS LÄN</t>
        </is>
      </c>
      <c r="G290" t="inlineStr">
        <is>
          <t>LUDVIKA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48774-2024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45593</v>
      </c>
      <c r="E291" s="1" t="n">
        <v>46221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43055-2024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46221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17677-2022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44680</v>
      </c>
      <c r="E293" s="1" t="n">
        <v>46221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36437-2025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45869</v>
      </c>
      <c r="E294" s="1" t="n">
        <v>46221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21145-2023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45062</v>
      </c>
      <c r="E295" s="1" t="n">
        <v>46221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6151-2024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45337</v>
      </c>
      <c r="E296" s="1" t="n">
        <v>46221</v>
      </c>
      <c r="F296" t="inlineStr">
        <is>
          <t>DALARNAS LÄN</t>
        </is>
      </c>
      <c r="G296" t="inlineStr">
        <is>
          <t>LUDVIKA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18187-2025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45761</v>
      </c>
      <c r="E297" s="1" t="n">
        <v>46221</v>
      </c>
      <c r="F297" t="inlineStr">
        <is>
          <t>DALARNAS LÄN</t>
        </is>
      </c>
      <c r="G297" t="inlineStr">
        <is>
          <t>LUDVIKA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49874-2025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45940</v>
      </c>
      <c r="E298" s="1" t="n">
        <v>46221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49879-2025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45940</v>
      </c>
      <c r="E299" s="1" t="n">
        <v>46221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49893-2025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45940</v>
      </c>
      <c r="E300" s="1" t="n">
        <v>46221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37129-2025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45875</v>
      </c>
      <c r="E301" s="1" t="n">
        <v>46221</v>
      </c>
      <c r="F301" t="inlineStr">
        <is>
          <t>DALARNAS LÄN</t>
        </is>
      </c>
      <c r="G301" t="inlineStr">
        <is>
          <t>LUDVIKA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49060-2023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46221</v>
      </c>
      <c r="F302" t="inlineStr">
        <is>
          <t>DALARNAS LÄN</t>
        </is>
      </c>
      <c r="G302" t="inlineStr">
        <is>
          <t>LUDVIKA</t>
        </is>
      </c>
      <c r="H302" t="inlineStr">
        <is>
          <t>Naturvårdsverket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50444-2025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45944</v>
      </c>
      <c r="E303" s="1" t="n">
        <v>46221</v>
      </c>
      <c r="F303" t="inlineStr">
        <is>
          <t>DALARNAS LÄN</t>
        </is>
      </c>
      <c r="G303" t="inlineStr">
        <is>
          <t>LUDVIKA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59347-2024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46221</v>
      </c>
      <c r="F304" t="inlineStr">
        <is>
          <t>DALARNAS LÄN</t>
        </is>
      </c>
      <c r="G304" t="inlineStr">
        <is>
          <t>LUDVIKA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60843-2024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45644</v>
      </c>
      <c r="E305" s="1" t="n">
        <v>46221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43240-2024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45568</v>
      </c>
      <c r="E306" s="1" t="n">
        <v>46221</v>
      </c>
      <c r="F306" t="inlineStr">
        <is>
          <t>DALARNAS LÄN</t>
        </is>
      </c>
      <c r="G306" t="inlineStr">
        <is>
          <t>LUDVIKA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51865-2025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45952</v>
      </c>
      <c r="E307" s="1" t="n">
        <v>46221</v>
      </c>
      <c r="F307" t="inlineStr">
        <is>
          <t>DALARNAS LÄN</t>
        </is>
      </c>
      <c r="G307" t="inlineStr">
        <is>
          <t>LUDVIKA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52552-2025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45954</v>
      </c>
      <c r="E308" s="1" t="n">
        <v>46221</v>
      </c>
      <c r="F308" t="inlineStr">
        <is>
          <t>DALARNAS LÄN</t>
        </is>
      </c>
      <c r="G308" t="inlineStr">
        <is>
          <t>LUDVIKA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52484-2025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46221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52504-2025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46221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9.300000000000001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52459-2025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45954</v>
      </c>
      <c r="E311" s="1" t="n">
        <v>46221</v>
      </c>
      <c r="F311" t="inlineStr">
        <is>
          <t>DALARNAS LÄN</t>
        </is>
      </c>
      <c r="G311" t="inlineStr">
        <is>
          <t>LUDVIKA</t>
        </is>
      </c>
      <c r="H311" t="inlineStr">
        <is>
          <t>Övriga Aktiebolag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52491-2025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46221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52900-2025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45954</v>
      </c>
      <c r="E313" s="1" t="n">
        <v>46221</v>
      </c>
      <c r="F313" t="inlineStr">
        <is>
          <t>DALARNAS LÄN</t>
        </is>
      </c>
      <c r="G313" t="inlineStr">
        <is>
          <t>LUDVIKA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52530-2025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46221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52427-2025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45954</v>
      </c>
      <c r="E315" s="1" t="n">
        <v>46221</v>
      </c>
      <c r="F315" t="inlineStr">
        <is>
          <t>DALARNAS LÄN</t>
        </is>
      </c>
      <c r="G315" t="inlineStr">
        <is>
          <t>LUDVIKA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49669-2024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46221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25273-2022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44729</v>
      </c>
      <c r="E317" s="1" t="n">
        <v>46221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52724-2025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45957</v>
      </c>
      <c r="E318" s="1" t="n">
        <v>46221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52556-2025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45954</v>
      </c>
      <c r="E319" s="1" t="n">
        <v>46221</v>
      </c>
      <c r="F319" t="inlineStr">
        <is>
          <t>DALARNAS LÄN</t>
        </is>
      </c>
      <c r="G319" t="inlineStr">
        <is>
          <t>LUDVIKA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56615-2025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45975</v>
      </c>
      <c r="E320" s="1" t="n">
        <v>46221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52832-2025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46221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52838-2025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46221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30813-2025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45831</v>
      </c>
      <c r="E323" s="1" t="n">
        <v>46221</v>
      </c>
      <c r="F323" t="inlineStr">
        <is>
          <t>DALARNAS LÄN</t>
        </is>
      </c>
      <c r="G323" t="inlineStr">
        <is>
          <t>LUDVIKA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52230-2023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45224</v>
      </c>
      <c r="E324" s="1" t="n">
        <v>46221</v>
      </c>
      <c r="F324" t="inlineStr">
        <is>
          <t>DALARNAS LÄN</t>
        </is>
      </c>
      <c r="G324" t="inlineStr">
        <is>
          <t>LUDVIKA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62368-2025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46221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39828-2025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45891</v>
      </c>
      <c r="E326" s="1" t="n">
        <v>46221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39772-2025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45891</v>
      </c>
      <c r="E327" s="1" t="n">
        <v>46221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2838-2022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44581</v>
      </c>
      <c r="E328" s="1" t="n">
        <v>46221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54035-2025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45963</v>
      </c>
      <c r="E329" s="1" t="n">
        <v>46221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46029-2025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46221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40142-2022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44820</v>
      </c>
      <c r="E331" s="1" t="n">
        <v>46221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40151-2022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44820</v>
      </c>
      <c r="E332" s="1" t="n">
        <v>46221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42346-2025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46221</v>
      </c>
      <c r="F333" t="inlineStr">
        <is>
          <t>DALARNAS LÄN</t>
        </is>
      </c>
      <c r="G333" t="inlineStr">
        <is>
          <t>LUDVIKA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54673-2025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45966</v>
      </c>
      <c r="E334" s="1" t="n">
        <v>46221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54375-2025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46221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54341-2025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45965</v>
      </c>
      <c r="E336" s="1" t="n">
        <v>46221</v>
      </c>
      <c r="F336" t="inlineStr">
        <is>
          <t>DALARNAS LÄN</t>
        </is>
      </c>
      <c r="G336" t="inlineStr">
        <is>
          <t>LUDVIKA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4544-2025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45687</v>
      </c>
      <c r="E337" s="1" t="n">
        <v>46221</v>
      </c>
      <c r="F337" t="inlineStr">
        <is>
          <t>DALARNAS LÄN</t>
        </is>
      </c>
      <c r="G337" t="inlineStr">
        <is>
          <t>LUDVIKA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18421-2025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46221</v>
      </c>
      <c r="F338" t="inlineStr">
        <is>
          <t>DALARNAS LÄN</t>
        </is>
      </c>
      <c r="G338" t="inlineStr">
        <is>
          <t>LUDVIKA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55211-2025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46221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55646-2025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46221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55554-2025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46221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55559-2025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46221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55426-2025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46221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55450-2025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46221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56249-2025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46221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56178-2025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46221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56002-2025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46221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56219-2025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46221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55944-2025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46221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19071-2025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45765</v>
      </c>
      <c r="E350" s="1" t="n">
        <v>46221</v>
      </c>
      <c r="F350" t="inlineStr">
        <is>
          <t>DALARNAS LÄN</t>
        </is>
      </c>
      <c r="G350" t="inlineStr">
        <is>
          <t>LUDVIKA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56030-2025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46221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55932-2025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45973</v>
      </c>
      <c r="E352" s="1" t="n">
        <v>46221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56316-2025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46221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4173-2025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45685</v>
      </c>
      <c r="E354" s="1" t="n">
        <v>46221</v>
      </c>
      <c r="F354" t="inlineStr">
        <is>
          <t>DALARNAS LÄN</t>
        </is>
      </c>
      <c r="G354" t="inlineStr">
        <is>
          <t>LUDVIKA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56155-2025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46221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56650-2025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46221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7.2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61621-2022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44916</v>
      </c>
      <c r="E357" s="1" t="n">
        <v>46221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57435-2025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46221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57832-2025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46221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57870-2025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46221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30844-2024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45497</v>
      </c>
      <c r="E361" s="1" t="n">
        <v>46221</v>
      </c>
      <c r="F361" t="inlineStr">
        <is>
          <t>DALARNAS LÄN</t>
        </is>
      </c>
      <c r="G361" t="inlineStr">
        <is>
          <t>LUDVIKA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38921-2025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45887</v>
      </c>
      <c r="E362" s="1" t="n">
        <v>46221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43115-2021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44431</v>
      </c>
      <c r="E363" s="1" t="n">
        <v>46221</v>
      </c>
      <c r="F363" t="inlineStr">
        <is>
          <t>DALARNAS LÄN</t>
        </is>
      </c>
      <c r="G363" t="inlineStr">
        <is>
          <t>LUDVIKA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39833-2025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45891</v>
      </c>
      <c r="E364" s="1" t="n">
        <v>46221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29535-2023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45106</v>
      </c>
      <c r="E365" s="1" t="n">
        <v>46221</v>
      </c>
      <c r="F365" t="inlineStr">
        <is>
          <t>DALARNAS LÄN</t>
        </is>
      </c>
      <c r="G365" t="inlineStr">
        <is>
          <t>LUDVIKA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47086-2025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45929</v>
      </c>
      <c r="E366" s="1" t="n">
        <v>46221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47032-2025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45929</v>
      </c>
      <c r="E367" s="1" t="n">
        <v>46221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59171-2025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46221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59176-2025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46221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42985-2025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45909</v>
      </c>
      <c r="E370" s="1" t="n">
        <v>46221</v>
      </c>
      <c r="F370" t="inlineStr">
        <is>
          <t>DALARNAS LÄN</t>
        </is>
      </c>
      <c r="G370" t="inlineStr">
        <is>
          <t>LUDVIKA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59435-2025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46221</v>
      </c>
      <c r="F371" t="inlineStr">
        <is>
          <t>DALARNAS LÄN</t>
        </is>
      </c>
      <c r="G371" t="inlineStr">
        <is>
          <t>LUDVIKA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59518-2025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46221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59444-2025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45989</v>
      </c>
      <c r="E373" s="1" t="n">
        <v>46221</v>
      </c>
      <c r="F373" t="inlineStr">
        <is>
          <t>DALARNAS LÄN</t>
        </is>
      </c>
      <c r="G373" t="inlineStr">
        <is>
          <t>LUDVIKA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59530-2025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46221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59439-2025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46221</v>
      </c>
      <c r="F375" t="inlineStr">
        <is>
          <t>DALARNAS LÄN</t>
        </is>
      </c>
      <c r="G375" t="inlineStr">
        <is>
          <t>LUDVIKA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59528-2025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46221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60005-2025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45993</v>
      </c>
      <c r="E377" s="1" t="n">
        <v>46221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16814-2024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45411</v>
      </c>
      <c r="E378" s="1" t="n">
        <v>46221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60002-2025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45993</v>
      </c>
      <c r="E379" s="1" t="n">
        <v>46221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60454-2025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46221</v>
      </c>
      <c r="F380" t="inlineStr">
        <is>
          <t>DALARNAS LÄN</t>
        </is>
      </c>
      <c r="G380" t="inlineStr">
        <is>
          <t>LUDVIKA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60452-2025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46221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46221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2614-2023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44942</v>
      </c>
      <c r="E383" s="1" t="n">
        <v>46221</v>
      </c>
      <c r="F383" t="inlineStr">
        <is>
          <t>DALARNAS LÄN</t>
        </is>
      </c>
      <c r="G383" t="inlineStr">
        <is>
          <t>LUDVIKA</t>
        </is>
      </c>
      <c r="I383" t="n">
        <v>13.1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51080-2024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45603</v>
      </c>
      <c r="E384" s="1" t="n">
        <v>46221</v>
      </c>
      <c r="F384" t="inlineStr">
        <is>
          <t>DALARNAS LÄN</t>
        </is>
      </c>
      <c r="G384" t="inlineStr">
        <is>
          <t>LUDVIKA</t>
        </is>
      </c>
      <c r="H384" t="inlineStr">
        <is>
          <t>Naturvårdsverket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25296-2022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44730</v>
      </c>
      <c r="E385" s="1" t="n">
        <v>46221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61502-2025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46001</v>
      </c>
      <c r="E386" s="1" t="n">
        <v>46221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61505-2025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46001</v>
      </c>
      <c r="E387" s="1" t="n">
        <v>46221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59346-2024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45637</v>
      </c>
      <c r="E388" s="1" t="n">
        <v>46221</v>
      </c>
      <c r="F388" t="inlineStr">
        <is>
          <t>DALARNAS LÄN</t>
        </is>
      </c>
      <c r="G388" t="inlineStr">
        <is>
          <t>LUDVIKA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28157-2023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45099</v>
      </c>
      <c r="E389" s="1" t="n">
        <v>46221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62561-2025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46007</v>
      </c>
      <c r="E390" s="1" t="n">
        <v>46221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62704-2025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46221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9709-2026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46072</v>
      </c>
      <c r="E392" s="1" t="n">
        <v>46221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62367-2025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46007</v>
      </c>
      <c r="E393" s="1" t="n">
        <v>46221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62842-2025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46221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61507-2023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45265</v>
      </c>
      <c r="E395" s="1" t="n">
        <v>46221</v>
      </c>
      <c r="F395" t="inlineStr">
        <is>
          <t>DALARNAS LÄN</t>
        </is>
      </c>
      <c r="G395" t="inlineStr">
        <is>
          <t>LUDVIKA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62824-2025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46221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49166-2025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46221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62695-2025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46221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62838-2025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46221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62688-2025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46221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62706-2025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46221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62845-2025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46221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63222-2025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46010</v>
      </c>
      <c r="E403" s="1" t="n">
        <v>46221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17999-2025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45761</v>
      </c>
      <c r="E404" s="1" t="n">
        <v>46221</v>
      </c>
      <c r="F404" t="inlineStr">
        <is>
          <t>DALARNAS LÄN</t>
        </is>
      </c>
      <c r="G404" t="inlineStr">
        <is>
          <t>LUDVIKA</t>
        </is>
      </c>
      <c r="H404" t="inlineStr">
        <is>
          <t>Naturvårdsverket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63215-2025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46010</v>
      </c>
      <c r="E405" s="1" t="n">
        <v>46221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62930-2025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46221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62945-2025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46009</v>
      </c>
      <c r="E407" s="1" t="n">
        <v>46221</v>
      </c>
      <c r="F407" t="inlineStr">
        <is>
          <t>DALARNAS LÄN</t>
        </is>
      </c>
      <c r="G407" t="inlineStr">
        <is>
          <t>LUDVIKA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65104-2023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45288</v>
      </c>
      <c r="E408" s="1" t="n">
        <v>46221</v>
      </c>
      <c r="F408" t="inlineStr">
        <is>
          <t>DALARNAS LÄN</t>
        </is>
      </c>
      <c r="G408" t="inlineStr">
        <is>
          <t>LUDVIKA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990-2026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46030</v>
      </c>
      <c r="E409" s="1" t="n">
        <v>46221</v>
      </c>
      <c r="F409" t="inlineStr">
        <is>
          <t>DALARNAS LÄN</t>
        </is>
      </c>
      <c r="G409" t="inlineStr">
        <is>
          <t>LUDVIKA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661-2026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46221</v>
      </c>
      <c r="F410" t="inlineStr">
        <is>
          <t>DALARNAS LÄN</t>
        </is>
      </c>
      <c r="G410" t="inlineStr">
        <is>
          <t>LUDVIKA</t>
        </is>
      </c>
      <c r="H410" t="inlineStr">
        <is>
          <t>Övriga Aktiebolag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49951-2022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44865</v>
      </c>
      <c r="E411" s="1" t="n">
        <v>46221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14986-2024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45399</v>
      </c>
      <c r="E412" s="1" t="n">
        <v>46221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43694-2024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45569</v>
      </c>
      <c r="E413" s="1" t="n">
        <v>46221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55633-2021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44476</v>
      </c>
      <c r="E414" s="1" t="n">
        <v>46221</v>
      </c>
      <c r="F414" t="inlineStr">
        <is>
          <t>DALARNAS LÄN</t>
        </is>
      </c>
      <c r="G414" t="inlineStr">
        <is>
          <t>LUDVIKA</t>
        </is>
      </c>
      <c r="H414" t="inlineStr">
        <is>
          <t>Övriga Aktiebolag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17054-2026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46114</v>
      </c>
      <c r="E415" s="1" t="n">
        <v>46221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17245-2026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46119</v>
      </c>
      <c r="E416" s="1" t="n">
        <v>46221</v>
      </c>
      <c r="F416" t="inlineStr">
        <is>
          <t>DALARNAS LÄN</t>
        </is>
      </c>
      <c r="G416" t="inlineStr">
        <is>
          <t>LUDVIKA</t>
        </is>
      </c>
      <c r="H416" t="inlineStr">
        <is>
          <t>Naturvårdsverket</t>
        </is>
      </c>
      <c r="I416" t="n">
        <v>19.8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60138-2023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46221</v>
      </c>
      <c r="F417" t="inlineStr">
        <is>
          <t>DALARNAS LÄN</t>
        </is>
      </c>
      <c r="G417" t="inlineStr">
        <is>
          <t>LUDVIKA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15851-2024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45404</v>
      </c>
      <c r="E418" s="1" t="n">
        <v>46221</v>
      </c>
      <c r="F418" t="inlineStr">
        <is>
          <t>DALARNAS LÄN</t>
        </is>
      </c>
      <c r="G418" t="inlineStr">
        <is>
          <t>LUDVIKA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30123-2023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46221</v>
      </c>
      <c r="F419" t="inlineStr">
        <is>
          <t>DALARNAS LÄN</t>
        </is>
      </c>
      <c r="G419" t="inlineStr">
        <is>
          <t>LUDVIKA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17879-2026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46122</v>
      </c>
      <c r="E420" s="1" t="n">
        <v>46221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17915-2026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46122</v>
      </c>
      <c r="E421" s="1" t="n">
        <v>46221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17913-2026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46122</v>
      </c>
      <c r="E422" s="1" t="n">
        <v>46221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70046-2021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44533</v>
      </c>
      <c r="E423" s="1" t="n">
        <v>46221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17882-2026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46122</v>
      </c>
      <c r="E424" s="1" t="n">
        <v>46221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17787-2026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46221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18357-2026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46126</v>
      </c>
      <c r="E426" s="1" t="n">
        <v>46221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18355-2026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46126</v>
      </c>
      <c r="E427" s="1" t="n">
        <v>46221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18362-2026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46221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4170-2025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45685</v>
      </c>
      <c r="E429" s="1" t="n">
        <v>46221</v>
      </c>
      <c r="F429" t="inlineStr">
        <is>
          <t>DALARNAS LÄN</t>
        </is>
      </c>
      <c r="G429" t="inlineStr">
        <is>
          <t>LUDVIKA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18829-2026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46128</v>
      </c>
      <c r="E430" s="1" t="n">
        <v>46221</v>
      </c>
      <c r="F430" t="inlineStr">
        <is>
          <t>DALARNAS LÄN</t>
        </is>
      </c>
      <c r="G430" t="inlineStr">
        <is>
          <t>LUDVIKA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43981-2024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45572</v>
      </c>
      <c r="E431" s="1" t="n">
        <v>46221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30039-2024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45488</v>
      </c>
      <c r="E432" s="1" t="n">
        <v>46221</v>
      </c>
      <c r="F432" t="inlineStr">
        <is>
          <t>DALARNAS LÄN</t>
        </is>
      </c>
      <c r="G432" t="inlineStr">
        <is>
          <t>LUDVIKA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19610-2026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46221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50273-2021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44459</v>
      </c>
      <c r="E434" s="1" t="n">
        <v>46221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32995-2023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45113</v>
      </c>
      <c r="E435" s="1" t="n">
        <v>46221</v>
      </c>
      <c r="F435" t="inlineStr">
        <is>
          <t>DALARNAS LÄN</t>
        </is>
      </c>
      <c r="G435" t="inlineStr">
        <is>
          <t>LUDVIKA</t>
        </is>
      </c>
      <c r="H435" t="inlineStr">
        <is>
          <t>Kommuner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50714-2024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45602</v>
      </c>
      <c r="E436" s="1" t="n">
        <v>46221</v>
      </c>
      <c r="F436" t="inlineStr">
        <is>
          <t>DALARNAS LÄN</t>
        </is>
      </c>
      <c r="G436" t="inlineStr">
        <is>
          <t>LUDVIKA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32854-2023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45112</v>
      </c>
      <c r="E437" s="1" t="n">
        <v>46221</v>
      </c>
      <c r="F437" t="inlineStr">
        <is>
          <t>DALARNAS LÄN</t>
        </is>
      </c>
      <c r="G437" t="inlineStr">
        <is>
          <t>LUDVIKA</t>
        </is>
      </c>
      <c r="H437" t="inlineStr">
        <is>
          <t>Kommuner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60788-2024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45644</v>
      </c>
      <c r="E438" s="1" t="n">
        <v>46221</v>
      </c>
      <c r="F438" t="inlineStr">
        <is>
          <t>DALARNAS LÄN</t>
        </is>
      </c>
      <c r="G438" t="inlineStr">
        <is>
          <t>LUDVIKA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59667-2024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45639</v>
      </c>
      <c r="E439" s="1" t="n">
        <v>46221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19834-2026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46221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34868-2025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45849</v>
      </c>
      <c r="E441" s="1" t="n">
        <v>46221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43704-2024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45569</v>
      </c>
      <c r="E442" s="1" t="n">
        <v>46221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53554-2025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45960</v>
      </c>
      <c r="E443" s="1" t="n">
        <v>46221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20106-2026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46136</v>
      </c>
      <c r="E444" s="1" t="n">
        <v>46221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7714-2026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46221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20096-2026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46136</v>
      </c>
      <c r="E446" s="1" t="n">
        <v>46221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37586-2024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45541</v>
      </c>
      <c r="E447" s="1" t="n">
        <v>46221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55551-2024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45622</v>
      </c>
      <c r="E448" s="1" t="n">
        <v>46221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44520-2023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45189</v>
      </c>
      <c r="E449" s="1" t="n">
        <v>46221</v>
      </c>
      <c r="F449" t="inlineStr">
        <is>
          <t>DALARNAS LÄN</t>
        </is>
      </c>
      <c r="G449" t="inlineStr">
        <is>
          <t>LUDVIKA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45045-2023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45191</v>
      </c>
      <c r="E450" s="1" t="n">
        <v>46221</v>
      </c>
      <c r="F450" t="inlineStr">
        <is>
          <t>DALARNAS LÄN</t>
        </is>
      </c>
      <c r="G450" t="inlineStr">
        <is>
          <t>LUDVIKA</t>
        </is>
      </c>
      <c r="H450" t="inlineStr">
        <is>
          <t>Sveaskog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55510-2024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45622</v>
      </c>
      <c r="E451" s="1" t="n">
        <v>46221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49045-2024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45594</v>
      </c>
      <c r="E452" s="1" t="n">
        <v>46221</v>
      </c>
      <c r="F452" t="inlineStr">
        <is>
          <t>DALARNAS LÄN</t>
        </is>
      </c>
      <c r="G452" t="inlineStr">
        <is>
          <t>LUDVIKA</t>
        </is>
      </c>
      <c r="H452" t="inlineStr">
        <is>
          <t>Naturvårdsverket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29578-2025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45825</v>
      </c>
      <c r="E453" s="1" t="n">
        <v>46221</v>
      </c>
      <c r="F453" t="inlineStr">
        <is>
          <t>DALARNAS LÄN</t>
        </is>
      </c>
      <c r="G453" t="inlineStr">
        <is>
          <t>LUDVIKA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34875-2025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45849</v>
      </c>
      <c r="E454" s="1" t="n">
        <v>46221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46620-2023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45198</v>
      </c>
      <c r="E455" s="1" t="n">
        <v>46221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34070-2025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45845</v>
      </c>
      <c r="E456" s="1" t="n">
        <v>46221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8728-2026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46066</v>
      </c>
      <c r="E457" s="1" t="n">
        <v>46221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30399-2025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45827</v>
      </c>
      <c r="E458" s="1" t="n">
        <v>46221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32301-2024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45512</v>
      </c>
      <c r="E459" s="1" t="n">
        <v>46221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55151-2025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45968</v>
      </c>
      <c r="E460" s="1" t="n">
        <v>46221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52466-2023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45225</v>
      </c>
      <c r="E461" s="1" t="n">
        <v>46221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55462-2024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45622</v>
      </c>
      <c r="E462" s="1" t="n">
        <v>46221</v>
      </c>
      <c r="F462" t="inlineStr">
        <is>
          <t>DALARNAS LÄN</t>
        </is>
      </c>
      <c r="G462" t="inlineStr">
        <is>
          <t>LUDVIKA</t>
        </is>
      </c>
      <c r="H462" t="inlineStr">
        <is>
          <t>Naturvårdsverket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55474-2024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45622</v>
      </c>
      <c r="E463" s="1" t="n">
        <v>46221</v>
      </c>
      <c r="F463" t="inlineStr">
        <is>
          <t>DALARNAS LÄN</t>
        </is>
      </c>
      <c r="G463" t="inlineStr">
        <is>
          <t>LUDVIKA</t>
        </is>
      </c>
      <c r="H463" t="inlineStr">
        <is>
          <t>Naturvårdsverket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28134-2023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46221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20104-2026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46136</v>
      </c>
      <c r="E465" s="1" t="n">
        <v>46221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20421-2026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46221</v>
      </c>
      <c r="F466" t="inlineStr">
        <is>
          <t>DALARNAS LÄN</t>
        </is>
      </c>
      <c r="G466" t="inlineStr">
        <is>
          <t>LUDVIKA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52912-2025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45954</v>
      </c>
      <c r="E467" s="1" t="n">
        <v>46221</v>
      </c>
      <c r="F467" t="inlineStr">
        <is>
          <t>DALARNAS LÄN</t>
        </is>
      </c>
      <c r="G467" t="inlineStr">
        <is>
          <t>LUDVIKA</t>
        </is>
      </c>
      <c r="I467" t="n">
        <v>9.800000000000001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59186-2025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46221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55323-2025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46221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4550-2025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45687</v>
      </c>
      <c r="E470" s="1" t="n">
        <v>46221</v>
      </c>
      <c r="F470" t="inlineStr">
        <is>
          <t>DALARNAS LÄN</t>
        </is>
      </c>
      <c r="G470" t="inlineStr">
        <is>
          <t>LUDVIKA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39849-2023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45168</v>
      </c>
      <c r="E471" s="1" t="n">
        <v>46221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32224-2025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45835</v>
      </c>
      <c r="E472" s="1" t="n">
        <v>46221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48589-2023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45208</v>
      </c>
      <c r="E473" s="1" t="n">
        <v>46221</v>
      </c>
      <c r="F473" t="inlineStr">
        <is>
          <t>DALARNAS LÄN</t>
        </is>
      </c>
      <c r="G473" t="inlineStr">
        <is>
          <t>LUDVIKA</t>
        </is>
      </c>
      <c r="H473" t="inlineStr">
        <is>
          <t>Naturvårdsverket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33673-2022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44789</v>
      </c>
      <c r="E474" s="1" t="n">
        <v>46221</v>
      </c>
      <c r="F474" t="inlineStr">
        <is>
          <t>DALARNAS LÄN</t>
        </is>
      </c>
      <c r="G474" t="inlineStr">
        <is>
          <t>LUDVIKA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39437-2023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46221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35353-2024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45531</v>
      </c>
      <c r="E476" s="1" t="n">
        <v>46221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21741-2022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44708</v>
      </c>
      <c r="E477" s="1" t="n">
        <v>46221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18724-2022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44687</v>
      </c>
      <c r="E478" s="1" t="n">
        <v>46221</v>
      </c>
      <c r="F478" t="inlineStr">
        <is>
          <t>DALARNAS LÄN</t>
        </is>
      </c>
      <c r="G478" t="inlineStr">
        <is>
          <t>LUDVIKA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49114-2023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45210</v>
      </c>
      <c r="E479" s="1" t="n">
        <v>46221</v>
      </c>
      <c r="F479" t="inlineStr">
        <is>
          <t>DALARNAS LÄN</t>
        </is>
      </c>
      <c r="G479" t="inlineStr">
        <is>
          <t>LUDVIKA</t>
        </is>
      </c>
      <c r="H479" t="inlineStr">
        <is>
          <t>Naturvårdsverket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45060-2022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44841</v>
      </c>
      <c r="E480" s="1" t="n">
        <v>46221</v>
      </c>
      <c r="F480" t="inlineStr">
        <is>
          <t>DALARNAS LÄN</t>
        </is>
      </c>
      <c r="G480" t="inlineStr">
        <is>
          <t>LUDVIKA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42106-2024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45562</v>
      </c>
      <c r="E481" s="1" t="n">
        <v>46221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16768-2025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45754</v>
      </c>
      <c r="E482" s="1" t="n">
        <v>46221</v>
      </c>
      <c r="F482" t="inlineStr">
        <is>
          <t>DALARNAS LÄN</t>
        </is>
      </c>
      <c r="G482" t="inlineStr">
        <is>
          <t>LUDVIKA</t>
        </is>
      </c>
      <c r="H482" t="inlineStr">
        <is>
          <t>Naturvårdsverket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35708-2025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45860</v>
      </c>
      <c r="E483" s="1" t="n">
        <v>46221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20341-2026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46139</v>
      </c>
      <c r="E484" s="1" t="n">
        <v>46221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41828-2025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45902</v>
      </c>
      <c r="E485" s="1" t="n">
        <v>46221</v>
      </c>
      <c r="F485" t="inlineStr">
        <is>
          <t>DALARNAS LÄN</t>
        </is>
      </c>
      <c r="G485" t="inlineStr">
        <is>
          <t>LUDVIKA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61054-2024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45645</v>
      </c>
      <c r="E486" s="1" t="n">
        <v>46221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44537-2024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45574</v>
      </c>
      <c r="E487" s="1" t="n">
        <v>46221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56818-2023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45244</v>
      </c>
      <c r="E488" s="1" t="n">
        <v>46221</v>
      </c>
      <c r="F488" t="inlineStr">
        <is>
          <t>DALARNAS LÄN</t>
        </is>
      </c>
      <c r="G488" t="inlineStr">
        <is>
          <t>LUDVIKA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46037</v>
      </c>
      <c r="E489" s="1" t="n">
        <v>46221</v>
      </c>
      <c r="F489" t="inlineStr">
        <is>
          <t>DALARNAS LÄN</t>
        </is>
      </c>
      <c r="G489" t="inlineStr">
        <is>
          <t>LUDVIKA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47671-2024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45588</v>
      </c>
      <c r="E490" s="1" t="n">
        <v>46221</v>
      </c>
      <c r="F490" t="inlineStr">
        <is>
          <t>DALARNAS LÄN</t>
        </is>
      </c>
      <c r="G490" t="inlineStr">
        <is>
          <t>LUDVIKA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37392-2023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46221</v>
      </c>
      <c r="F491" t="inlineStr">
        <is>
          <t>DALARNAS LÄN</t>
        </is>
      </c>
      <c r="G491" t="inlineStr">
        <is>
          <t>LUDVIKA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20789-2026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46141</v>
      </c>
      <c r="E492" s="1" t="n">
        <v>46221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51208-2023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45219</v>
      </c>
      <c r="E493" s="1" t="n">
        <v>46221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59206-2023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45253</v>
      </c>
      <c r="E494" s="1" t="n">
        <v>46221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59351-2023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45253</v>
      </c>
      <c r="E495" s="1" t="n">
        <v>46221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20778-2026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46141</v>
      </c>
      <c r="E496" s="1" t="n">
        <v>46221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46185-2024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45581</v>
      </c>
      <c r="E497" s="1" t="n">
        <v>46221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20973-2026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46142</v>
      </c>
      <c r="E498" s="1" t="n">
        <v>46221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20666-2026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46141</v>
      </c>
      <c r="E499" s="1" t="n">
        <v>46221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46656-2023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45198</v>
      </c>
      <c r="E500" s="1" t="n">
        <v>46221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20888-2026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46142</v>
      </c>
      <c r="E501" s="1" t="n">
        <v>46221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48683-2023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45208</v>
      </c>
      <c r="E502" s="1" t="n">
        <v>46221</v>
      </c>
      <c r="F502" t="inlineStr">
        <is>
          <t>DALARNAS LÄN</t>
        </is>
      </c>
      <c r="G502" t="inlineStr">
        <is>
          <t>LUDVIKA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20882-2026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46142</v>
      </c>
      <c r="E503" s="1" t="n">
        <v>46221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26382-2026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46221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7683-2026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46062</v>
      </c>
      <c r="E505" s="1" t="n">
        <v>46221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20974-2026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46221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57557-2023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46221</v>
      </c>
      <c r="F507" t="inlineStr">
        <is>
          <t>DALARNAS LÄN</t>
        </is>
      </c>
      <c r="G507" t="inlineStr">
        <is>
          <t>LUDVIKA</t>
        </is>
      </c>
      <c r="I507" t="n">
        <v>12.7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16807-2025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45754</v>
      </c>
      <c r="E508" s="1" t="n">
        <v>46221</v>
      </c>
      <c r="F508" t="inlineStr">
        <is>
          <t>DALARNAS LÄN</t>
        </is>
      </c>
      <c r="G508" t="inlineStr">
        <is>
          <t>LUDVIKA</t>
        </is>
      </c>
      <c r="H508" t="inlineStr">
        <is>
          <t>Naturvårdsverket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26888-2026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46221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21032-2026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46146</v>
      </c>
      <c r="E510" s="1" t="n">
        <v>46221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21034-2026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46221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15128-2025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45744</v>
      </c>
      <c r="E512" s="1" t="n">
        <v>46221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26902-2026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46221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20969-2026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46142</v>
      </c>
      <c r="E514" s="1" t="n">
        <v>46221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16.9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21472-2026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46148</v>
      </c>
      <c r="E515" s="1" t="n">
        <v>46221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27554-2026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46190</v>
      </c>
      <c r="E516" s="1" t="n">
        <v>46221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21345-2026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46147</v>
      </c>
      <c r="E517" s="1" t="n">
        <v>46221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31270-2022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44771</v>
      </c>
      <c r="E518" s="1" t="n">
        <v>46221</v>
      </c>
      <c r="F518" t="inlineStr">
        <is>
          <t>DALARNAS LÄN</t>
        </is>
      </c>
      <c r="G518" t="inlineStr">
        <is>
          <t>LUDVIKA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61309-2022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44915</v>
      </c>
      <c r="E519" s="1" t="n">
        <v>46221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50347-2021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44459</v>
      </c>
      <c r="E520" s="1" t="n">
        <v>46221</v>
      </c>
      <c r="F520" t="inlineStr">
        <is>
          <t>DALARNAS LÄN</t>
        </is>
      </c>
      <c r="G520" t="inlineStr">
        <is>
          <t>LUDVIKA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21798-2026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46150</v>
      </c>
      <c r="E521" s="1" t="n">
        <v>46221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48740-2022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44859</v>
      </c>
      <c r="E522" s="1" t="n">
        <v>46221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26574-2026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46221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21872-2026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46150</v>
      </c>
      <c r="E524" s="1" t="n">
        <v>46221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26727-2026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46221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21462-2026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46148</v>
      </c>
      <c r="E526" s="1" t="n">
        <v>46221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56621-2023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45243</v>
      </c>
      <c r="E527" s="1" t="n">
        <v>46221</v>
      </c>
      <c r="F527" t="inlineStr">
        <is>
          <t>DALARNAS LÄN</t>
        </is>
      </c>
      <c r="G527" t="inlineStr">
        <is>
          <t>LUDVIKA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53996-2024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45616</v>
      </c>
      <c r="E528" s="1" t="n">
        <v>46221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47999-2024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45589</v>
      </c>
      <c r="E529" s="1" t="n">
        <v>46221</v>
      </c>
      <c r="F529" t="inlineStr">
        <is>
          <t>DALARNAS LÄN</t>
        </is>
      </c>
      <c r="G529" t="inlineStr">
        <is>
          <t>LUDVIKA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64171-2023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45279</v>
      </c>
      <c r="E530" s="1" t="n">
        <v>46221</v>
      </c>
      <c r="F530" t="inlineStr">
        <is>
          <t>DALARNAS LÄN</t>
        </is>
      </c>
      <c r="G530" t="inlineStr">
        <is>
          <t>LUDVIKA</t>
        </is>
      </c>
      <c r="I530" t="n">
        <v>8.6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923-2024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45301</v>
      </c>
      <c r="E531" s="1" t="n">
        <v>46221</v>
      </c>
      <c r="F531" t="inlineStr">
        <is>
          <t>DALARNAS LÄN</t>
        </is>
      </c>
      <c r="G531" t="inlineStr">
        <is>
          <t>LUDVIKA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22276-2026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46154</v>
      </c>
      <c r="E532" s="1" t="n">
        <v>46221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20427-2025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45775</v>
      </c>
      <c r="E533" s="1" t="n">
        <v>46221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22278-2026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46154</v>
      </c>
      <c r="E534" s="1" t="n">
        <v>46221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53620-2022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44879</v>
      </c>
      <c r="E535" s="1" t="n">
        <v>46221</v>
      </c>
      <c r="F535" t="inlineStr">
        <is>
          <t>DALARNAS LÄN</t>
        </is>
      </c>
      <c r="G535" t="inlineStr">
        <is>
          <t>LUDVIKA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55972-2025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46221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38446-2025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45883</v>
      </c>
      <c r="E537" s="1" t="n">
        <v>46221</v>
      </c>
      <c r="F537" t="inlineStr">
        <is>
          <t>DALARNAS LÄN</t>
        </is>
      </c>
      <c r="G537" t="inlineStr">
        <is>
          <t>LUDVIKA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27609-2026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46221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27611-2026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46221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22611-2026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46221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21002-2026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46142</v>
      </c>
      <c r="E541" s="1" t="n">
        <v>46221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8.9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22580-2026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46221</v>
      </c>
      <c r="F542" t="inlineStr">
        <is>
          <t>DALARNAS LÄN</t>
        </is>
      </c>
      <c r="G542" t="inlineStr">
        <is>
          <t>LUDVIKA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24939-2025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45799</v>
      </c>
      <c r="E543" s="1" t="n">
        <v>46221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28714-2026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46221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28738-2026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46221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7238-2023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44970</v>
      </c>
      <c r="E546" s="1" t="n">
        <v>46221</v>
      </c>
      <c r="F546" t="inlineStr">
        <is>
          <t>DALARNAS LÄN</t>
        </is>
      </c>
      <c r="G546" t="inlineStr">
        <is>
          <t>LUDVIKA</t>
        </is>
      </c>
      <c r="H546" t="inlineStr">
        <is>
          <t>Övriga Aktiebolag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3170-2025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45679</v>
      </c>
      <c r="E547" s="1" t="n">
        <v>46221</v>
      </c>
      <c r="F547" t="inlineStr">
        <is>
          <t>DALARNAS LÄN</t>
        </is>
      </c>
      <c r="G547" t="inlineStr">
        <is>
          <t>LUDVIKA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22558-2026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46221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27608-2026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46221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73703-2021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44552</v>
      </c>
      <c r="E550" s="1" t="n">
        <v>46221</v>
      </c>
      <c r="F550" t="inlineStr">
        <is>
          <t>DALARNAS LÄN</t>
        </is>
      </c>
      <c r="G550" t="inlineStr">
        <is>
          <t>LUDVIKA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22585-2026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46221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28727-2026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46221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22464-2026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46221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9.800000000000001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22538-2026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46221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25299-2022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44730</v>
      </c>
      <c r="E555" s="1" t="n">
        <v>46221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16843-2026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46113</v>
      </c>
      <c r="E556" s="1" t="n">
        <v>46221</v>
      </c>
      <c r="F556" t="inlineStr">
        <is>
          <t>DALARNAS LÄN</t>
        </is>
      </c>
      <c r="G556" t="inlineStr">
        <is>
          <t>LUDVIKA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5970-2022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44599</v>
      </c>
      <c r="E557" s="1" t="n">
        <v>46221</v>
      </c>
      <c r="F557" t="inlineStr">
        <is>
          <t>DALARNAS LÄN</t>
        </is>
      </c>
      <c r="G557" t="inlineStr">
        <is>
          <t>LUDVIKA</t>
        </is>
      </c>
      <c r="I557" t="n">
        <v>8.4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27613-2026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46221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22813-2026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46221</v>
      </c>
      <c r="F559" t="inlineStr">
        <is>
          <t>DALARNAS LÄN</t>
        </is>
      </c>
      <c r="G559" t="inlineStr">
        <is>
          <t>LUDVIKA</t>
        </is>
      </c>
      <c r="H559" t="inlineStr">
        <is>
          <t>Naturvårdsverket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22806-2026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46221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22821-2026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46160</v>
      </c>
      <c r="E561" s="1" t="n">
        <v>46221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48642-2022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44859</v>
      </c>
      <c r="E562" s="1" t="n">
        <v>46221</v>
      </c>
      <c r="F562" t="inlineStr">
        <is>
          <t>DALARNAS LÄN</t>
        </is>
      </c>
      <c r="G562" t="inlineStr">
        <is>
          <t>LUDVIKA</t>
        </is>
      </c>
      <c r="H562" t="inlineStr">
        <is>
          <t>Naturvårdsverket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5672-2023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44960</v>
      </c>
      <c r="E563" s="1" t="n">
        <v>46221</v>
      </c>
      <c r="F563" t="inlineStr">
        <is>
          <t>DALARNAS LÄN</t>
        </is>
      </c>
      <c r="G563" t="inlineStr">
        <is>
          <t>LUDVIKA</t>
        </is>
      </c>
      <c r="H563" t="inlineStr">
        <is>
          <t>Naturvårdsverket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22824-2026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46160</v>
      </c>
      <c r="E564" s="1" t="n">
        <v>46221</v>
      </c>
      <c r="F564" t="inlineStr">
        <is>
          <t>DALARNAS LÄN</t>
        </is>
      </c>
      <c r="G564" t="inlineStr">
        <is>
          <t>LUDVIKA</t>
        </is>
      </c>
      <c r="H564" t="inlineStr">
        <is>
          <t>Naturvårdsverket</t>
        </is>
      </c>
      <c r="I564" t="n">
        <v>9.9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22817-2026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46160</v>
      </c>
      <c r="E565" s="1" t="n">
        <v>46221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46074-2023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45196</v>
      </c>
      <c r="E566" s="1" t="n">
        <v>46221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22830-2026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46160</v>
      </c>
      <c r="E567" s="1" t="n">
        <v>46221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48288-2023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45205</v>
      </c>
      <c r="E568" s="1" t="n">
        <v>46221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45309-2021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44439</v>
      </c>
      <c r="E569" s="1" t="n">
        <v>46221</v>
      </c>
      <c r="F569" t="inlineStr">
        <is>
          <t>DALARNAS LÄN</t>
        </is>
      </c>
      <c r="G569" t="inlineStr">
        <is>
          <t>LUDVIKA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23082-2026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46161</v>
      </c>
      <c r="E570" s="1" t="n">
        <v>46221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29734-2026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46221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49035-2024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45594</v>
      </c>
      <c r="E572" s="1" t="n">
        <v>46221</v>
      </c>
      <c r="F572" t="inlineStr">
        <is>
          <t>DALARNAS LÄN</t>
        </is>
      </c>
      <c r="G572" t="inlineStr">
        <is>
          <t>LUDVIKA</t>
        </is>
      </c>
      <c r="H572" t="inlineStr">
        <is>
          <t>Naturvårdsverket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49043-2024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45594</v>
      </c>
      <c r="E573" s="1" t="n">
        <v>46221</v>
      </c>
      <c r="F573" t="inlineStr">
        <is>
          <t>DALARNAS LÄN</t>
        </is>
      </c>
      <c r="G573" t="inlineStr">
        <is>
          <t>LUDVIKA</t>
        </is>
      </c>
      <c r="H573" t="inlineStr">
        <is>
          <t>Naturvårdsverket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18708-2023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45043</v>
      </c>
      <c r="E574" s="1" t="n">
        <v>46221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39247-2021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44413</v>
      </c>
      <c r="E575" s="1" t="n">
        <v>46221</v>
      </c>
      <c r="F575" t="inlineStr">
        <is>
          <t>DALARNAS LÄN</t>
        </is>
      </c>
      <c r="G575" t="inlineStr">
        <is>
          <t>LUDVIKA</t>
        </is>
      </c>
      <c r="I575" t="n">
        <v>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59050-2022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44903</v>
      </c>
      <c r="E576" s="1" t="n">
        <v>46221</v>
      </c>
      <c r="F576" t="inlineStr">
        <is>
          <t>DALARNAS LÄN</t>
        </is>
      </c>
      <c r="G576" t="inlineStr">
        <is>
          <t>LUDVIKA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7243-2023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44970</v>
      </c>
      <c r="E577" s="1" t="n">
        <v>46221</v>
      </c>
      <c r="F577" t="inlineStr">
        <is>
          <t>DALARNAS LÄN</t>
        </is>
      </c>
      <c r="G577" t="inlineStr">
        <is>
          <t>LUDVIKA</t>
        </is>
      </c>
      <c r="H577" t="inlineStr">
        <is>
          <t>Övriga Aktiebolag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23617-2026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46163</v>
      </c>
      <c r="E578" s="1" t="n">
        <v>46221</v>
      </c>
      <c r="F578" t="inlineStr">
        <is>
          <t>DALARNAS LÄN</t>
        </is>
      </c>
      <c r="G578" t="inlineStr">
        <is>
          <t>LUDVIKA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30210-2026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46206</v>
      </c>
      <c r="E579" s="1" t="n">
        <v>46221</v>
      </c>
      <c r="F579" t="inlineStr">
        <is>
          <t>DALARNAS LÄN</t>
        </is>
      </c>
      <c r="G579" t="inlineStr">
        <is>
          <t>LUDVIKA</t>
        </is>
      </c>
      <c r="H579" t="inlineStr">
        <is>
          <t>Naturvårdsverket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38170-2023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45161</v>
      </c>
      <c r="E580" s="1" t="n">
        <v>46221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30113-2026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46221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42128-2024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45562</v>
      </c>
      <c r="E582" s="1" t="n">
        <v>46221</v>
      </c>
      <c r="F582" t="inlineStr">
        <is>
          <t>DALARNAS LÄN</t>
        </is>
      </c>
      <c r="G582" t="inlineStr">
        <is>
          <t>LUDVIKA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56346-2022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44890</v>
      </c>
      <c r="E583" s="1" t="n">
        <v>46221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30106-2026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46221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11237-2024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45371</v>
      </c>
      <c r="E585" s="1" t="n">
        <v>46221</v>
      </c>
      <c r="F585" t="inlineStr">
        <is>
          <t>DALARNAS LÄN</t>
        </is>
      </c>
      <c r="G585" t="inlineStr">
        <is>
          <t>LUDVIKA</t>
        </is>
      </c>
      <c r="I585" t="n">
        <v>20.8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56672-2023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45243</v>
      </c>
      <c r="E586" s="1" t="n">
        <v>46221</v>
      </c>
      <c r="F586" t="inlineStr">
        <is>
          <t>DALARNAS LÄN</t>
        </is>
      </c>
      <c r="G586" t="inlineStr">
        <is>
          <t>LUDVIKA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11632-2024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45373</v>
      </c>
      <c r="E587" s="1" t="n">
        <v>46221</v>
      </c>
      <c r="F587" t="inlineStr">
        <is>
          <t>DALARNAS LÄN</t>
        </is>
      </c>
      <c r="G587" t="inlineStr">
        <is>
          <t>LUDVIKA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57969-2024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45631</v>
      </c>
      <c r="E588" s="1" t="n">
        <v>46221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41668-2023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45176</v>
      </c>
      <c r="E589" s="1" t="n">
        <v>46221</v>
      </c>
      <c r="F589" t="inlineStr">
        <is>
          <t>DALARNAS LÄN</t>
        </is>
      </c>
      <c r="G589" t="inlineStr">
        <is>
          <t>LUDVIKA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23871-2026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46221</v>
      </c>
      <c r="F590" t="inlineStr">
        <is>
          <t>DALARNAS LÄN</t>
        </is>
      </c>
      <c r="G590" t="inlineStr">
        <is>
          <t>LUDVIKA</t>
        </is>
      </c>
      <c r="H590" t="inlineStr">
        <is>
          <t>Kommuner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23097-2025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45791</v>
      </c>
      <c r="E591" s="1" t="n">
        <v>46221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20411-2023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45056</v>
      </c>
      <c r="E592" s="1" t="n">
        <v>46221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39400-2023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45166</v>
      </c>
      <c r="E593" s="1" t="n">
        <v>46221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28062-2026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46195</v>
      </c>
      <c r="E594" s="1" t="n">
        <v>46221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24021-2026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46221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31380-2025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45833</v>
      </c>
      <c r="E596" s="1" t="n">
        <v>46221</v>
      </c>
      <c r="F596" t="inlineStr">
        <is>
          <t>DALARNAS LÄN</t>
        </is>
      </c>
      <c r="G596" t="inlineStr">
        <is>
          <t>LUDVIKA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30113-2023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45110</v>
      </c>
      <c r="E597" s="1" t="n">
        <v>46221</v>
      </c>
      <c r="F597" t="inlineStr">
        <is>
          <t>DALARNAS LÄN</t>
        </is>
      </c>
      <c r="G597" t="inlineStr">
        <is>
          <t>LUDVIKA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39519-2024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45551</v>
      </c>
      <c r="E598" s="1" t="n">
        <v>46221</v>
      </c>
      <c r="F598" t="inlineStr">
        <is>
          <t>DALARNAS LÄN</t>
        </is>
      </c>
      <c r="G598" t="inlineStr">
        <is>
          <t>LUDVIKA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31818-2025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45834</v>
      </c>
      <c r="E599" s="1" t="n">
        <v>46221</v>
      </c>
      <c r="F599" t="inlineStr">
        <is>
          <t>DALARNAS LÄN</t>
        </is>
      </c>
      <c r="G599" t="inlineStr">
        <is>
          <t>LUDVIKA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27853-2026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46191</v>
      </c>
      <c r="E600" s="1" t="n">
        <v>46221</v>
      </c>
      <c r="F600" t="inlineStr">
        <is>
          <t>DALARNAS LÄN</t>
        </is>
      </c>
      <c r="G600" t="inlineStr">
        <is>
          <t>LUDVIKA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6975-2023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44967</v>
      </c>
      <c r="E601" s="1" t="n">
        <v>46221</v>
      </c>
      <c r="F601" t="inlineStr">
        <is>
          <t>DALARNAS LÄN</t>
        </is>
      </c>
      <c r="G601" t="inlineStr">
        <is>
          <t>LUDVIKA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2979-2026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46038</v>
      </c>
      <c r="E602" s="1" t="n">
        <v>46221</v>
      </c>
      <c r="F602" t="inlineStr">
        <is>
          <t>DALARNAS LÄN</t>
        </is>
      </c>
      <c r="G602" t="inlineStr">
        <is>
          <t>LUDVIKA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40125-2024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45554</v>
      </c>
      <c r="E603" s="1" t="n">
        <v>46221</v>
      </c>
      <c r="F603" t="inlineStr">
        <is>
          <t>DALARNAS LÄN</t>
        </is>
      </c>
      <c r="G603" t="inlineStr">
        <is>
          <t>LUDVIKA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24768-2026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46171</v>
      </c>
      <c r="E604" s="1" t="n">
        <v>46221</v>
      </c>
      <c r="F604" t="inlineStr">
        <is>
          <t>DALARNAS LÄN</t>
        </is>
      </c>
      <c r="G604" t="inlineStr">
        <is>
          <t>LUDVIKA</t>
        </is>
      </c>
      <c r="H604" t="inlineStr">
        <is>
          <t>Naturvårdsverket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33839-2024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45520</v>
      </c>
      <c r="E605" s="1" t="n">
        <v>46221</v>
      </c>
      <c r="F605" t="inlineStr">
        <is>
          <t>DALARNAS LÄN</t>
        </is>
      </c>
      <c r="G605" t="inlineStr">
        <is>
          <t>LUDVIKA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24776-2026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46171</v>
      </c>
      <c r="E606" s="1" t="n">
        <v>46221</v>
      </c>
      <c r="F606" t="inlineStr">
        <is>
          <t>DALARNAS LÄN</t>
        </is>
      </c>
      <c r="G606" t="inlineStr">
        <is>
          <t>LUDVIKA</t>
        </is>
      </c>
      <c r="H606" t="inlineStr">
        <is>
          <t>Naturvårdsverket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29114-2024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45481</v>
      </c>
      <c r="E607" s="1" t="n">
        <v>46221</v>
      </c>
      <c r="F607" t="inlineStr">
        <is>
          <t>DALARNAS LÄN</t>
        </is>
      </c>
      <c r="G607" t="inlineStr">
        <is>
          <t>LUDVIKA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478-2024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45297</v>
      </c>
      <c r="E608" s="1" t="n">
        <v>46221</v>
      </c>
      <c r="F608" t="inlineStr">
        <is>
          <t>DALARNAS LÄN</t>
        </is>
      </c>
      <c r="G608" t="inlineStr">
        <is>
          <t>LUDVIKA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51015-2023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45218</v>
      </c>
      <c r="E609" s="1" t="n">
        <v>46221</v>
      </c>
      <c r="F609" t="inlineStr">
        <is>
          <t>DALARNAS LÄN</t>
        </is>
      </c>
      <c r="G609" t="inlineStr">
        <is>
          <t>LUDVIKA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24682-2026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46221</v>
      </c>
      <c r="F610" t="inlineStr">
        <is>
          <t>DALARNAS LÄN</t>
        </is>
      </c>
      <c r="G610" t="inlineStr">
        <is>
          <t>LUDVIKA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24693-2026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46171</v>
      </c>
      <c r="E611" s="1" t="n">
        <v>46221</v>
      </c>
      <c r="F611" t="inlineStr">
        <is>
          <t>DALARNAS LÄN</t>
        </is>
      </c>
      <c r="G611" t="inlineStr">
        <is>
          <t>LUDVIKA</t>
        </is>
      </c>
      <c r="H611" t="inlineStr">
        <is>
          <t>Naturvårdsverket</t>
        </is>
      </c>
      <c r="I611" t="n">
        <v>10.4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31299-2026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46218</v>
      </c>
      <c r="E612" s="1" t="n">
        <v>46221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60660-2024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45644</v>
      </c>
      <c r="E613" s="1" t="n">
        <v>46221</v>
      </c>
      <c r="F613" t="inlineStr">
        <is>
          <t>DALARNAS LÄN</t>
        </is>
      </c>
      <c r="G613" t="inlineStr">
        <is>
          <t>LUDVIKA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29791-2026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46205</v>
      </c>
      <c r="E614" s="1" t="n">
        <v>46221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8.300000000000001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28792-2026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46221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25193-2026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46175</v>
      </c>
      <c r="E616" s="1" t="n">
        <v>46221</v>
      </c>
      <c r="F616" t="inlineStr">
        <is>
          <t>DALARNAS LÄN</t>
        </is>
      </c>
      <c r="G616" t="inlineStr">
        <is>
          <t>LUDVIKA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28045-2026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46221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28067-2026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46221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28116-2026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46221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28158-2026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46221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28801-2026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46198</v>
      </c>
      <c r="E621" s="1" t="n">
        <v>46221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31227-2026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46217</v>
      </c>
      <c r="E622" s="1" t="n">
        <v>46221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53048-2024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45611</v>
      </c>
      <c r="E623" s="1" t="n">
        <v>46221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28073-2026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46195</v>
      </c>
      <c r="E624" s="1" t="n">
        <v>46221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28162-2026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46221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27989-2026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46221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28054-2026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46195</v>
      </c>
      <c r="E627" s="1" t="n">
        <v>46221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28838-2026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46221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28061-2026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46221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28132-2026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46221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50777-2024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45602</v>
      </c>
      <c r="E631" s="1" t="n">
        <v>46221</v>
      </c>
      <c r="F631" t="inlineStr">
        <is>
          <t>DALARNAS LÄN</t>
        </is>
      </c>
      <c r="G631" t="inlineStr">
        <is>
          <t>LUDVIKA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24670-2026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46171</v>
      </c>
      <c r="E632" s="1" t="n">
        <v>46221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28507-2023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45103</v>
      </c>
      <c r="E633" s="1" t="n">
        <v>46221</v>
      </c>
      <c r="F633" t="inlineStr">
        <is>
          <t>DALARNAS LÄN</t>
        </is>
      </c>
      <c r="G633" t="inlineStr">
        <is>
          <t>LUDVIKA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3470-2025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45680</v>
      </c>
      <c r="E634" s="1" t="n">
        <v>46221</v>
      </c>
      <c r="F634" t="inlineStr">
        <is>
          <t>DALARNAS LÄN</t>
        </is>
      </c>
      <c r="G634" t="inlineStr">
        <is>
          <t>LUDVIKA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31350-2026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46219</v>
      </c>
      <c r="E635" s="1" t="n">
        <v>46221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24687-2026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46171</v>
      </c>
      <c r="E636" s="1" t="n">
        <v>46221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31393-2026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46220</v>
      </c>
      <c r="E637" s="1" t="n">
        <v>46221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24609-2026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46171</v>
      </c>
      <c r="E638" s="1" t="n">
        <v>46221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24678-2026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46171</v>
      </c>
      <c r="E639" s="1" t="n">
        <v>46221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23515-2026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46163</v>
      </c>
      <c r="E640" s="1" t="n">
        <v>46221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24673-2026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46171</v>
      </c>
      <c r="E641" s="1" t="n">
        <v>46221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25320-2026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46176</v>
      </c>
      <c r="E642" s="1" t="n">
        <v>46221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8.1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23917-2026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46167</v>
      </c>
      <c r="E643" s="1" t="n">
        <v>46221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45544-2024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45579</v>
      </c>
      <c r="E644" s="1" t="n">
        <v>46221</v>
      </c>
      <c r="F644" t="inlineStr">
        <is>
          <t>DALARNAS LÄN</t>
        </is>
      </c>
      <c r="G644" t="inlineStr">
        <is>
          <t>LUDVIKA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45547-2024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45579</v>
      </c>
      <c r="E645" s="1" t="n">
        <v>46221</v>
      </c>
      <c r="F645" t="inlineStr">
        <is>
          <t>DALARNAS LÄN</t>
        </is>
      </c>
      <c r="G645" t="inlineStr">
        <is>
          <t>LUDVIKA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56996-2021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44482</v>
      </c>
      <c r="E646" s="1" t="n">
        <v>46221</v>
      </c>
      <c r="F646" t="inlineStr">
        <is>
          <t>DALARNAS LÄN</t>
        </is>
      </c>
      <c r="G646" t="inlineStr">
        <is>
          <t>LUDVIKA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38223-2021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44405</v>
      </c>
      <c r="E647" s="1" t="n">
        <v>46221</v>
      </c>
      <c r="F647" t="inlineStr">
        <is>
          <t>DALARNAS LÄN</t>
        </is>
      </c>
      <c r="G647" t="inlineStr">
        <is>
          <t>LUDVIKA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3277-2024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45317</v>
      </c>
      <c r="E648" s="1" t="n">
        <v>46221</v>
      </c>
      <c r="F648" t="inlineStr">
        <is>
          <t>DALARNAS LÄN</t>
        </is>
      </c>
      <c r="G648" t="inlineStr">
        <is>
          <t>LUDVIKA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12497-2024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45379</v>
      </c>
      <c r="E649" s="1" t="n">
        <v>46221</v>
      </c>
      <c r="F649" t="inlineStr">
        <is>
          <t>DALARNAS LÄN</t>
        </is>
      </c>
      <c r="G649" t="inlineStr">
        <is>
          <t>LUDVIKA</t>
        </is>
      </c>
      <c r="H649" t="inlineStr">
        <is>
          <t>Naturvårdsverket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49805-2023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45212</v>
      </c>
      <c r="E650" s="1" t="n">
        <v>46221</v>
      </c>
      <c r="F650" t="inlineStr">
        <is>
          <t>DALARNAS LÄN</t>
        </is>
      </c>
      <c r="G650" t="inlineStr">
        <is>
          <t>LUDVIKA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61384-2024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45646</v>
      </c>
      <c r="E651" s="1" t="n">
        <v>46221</v>
      </c>
      <c r="F651" t="inlineStr">
        <is>
          <t>DALARNAS LÄN</t>
        </is>
      </c>
      <c r="G651" t="inlineStr">
        <is>
          <t>LUDVIKA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3280-2024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45317</v>
      </c>
      <c r="E652" s="1" t="n">
        <v>46221</v>
      </c>
      <c r="F652" t="inlineStr">
        <is>
          <t>DALARNAS LÄN</t>
        </is>
      </c>
      <c r="G652" t="inlineStr">
        <is>
          <t>LUDVIKA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29780-2024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45485</v>
      </c>
      <c r="E653" s="1" t="n">
        <v>46221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14881-2025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46221</v>
      </c>
      <c r="F654" t="inlineStr">
        <is>
          <t>DALARNAS LÄN</t>
        </is>
      </c>
      <c r="G654" t="inlineStr">
        <is>
          <t>LUDVIKA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21891-2025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45784</v>
      </c>
      <c r="E655" s="1" t="n">
        <v>46221</v>
      </c>
      <c r="F655" t="inlineStr">
        <is>
          <t>DALARNAS LÄN</t>
        </is>
      </c>
      <c r="G655" t="inlineStr">
        <is>
          <t>LUDVIKA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21893-2025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45784</v>
      </c>
      <c r="E656" s="1" t="n">
        <v>46221</v>
      </c>
      <c r="F656" t="inlineStr">
        <is>
          <t>DALARNAS LÄN</t>
        </is>
      </c>
      <c r="G656" t="inlineStr">
        <is>
          <t>LUDVIKA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38359-2024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45545</v>
      </c>
      <c r="E657" s="1" t="n">
        <v>46221</v>
      </c>
      <c r="F657" t="inlineStr">
        <is>
          <t>DALARNAS LÄN</t>
        </is>
      </c>
      <c r="G657" t="inlineStr">
        <is>
          <t>LUDVIKA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42421-2024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45565</v>
      </c>
      <c r="E658" s="1" t="n">
        <v>46221</v>
      </c>
      <c r="F658" t="inlineStr">
        <is>
          <t>DALARNAS LÄN</t>
        </is>
      </c>
      <c r="G658" t="inlineStr">
        <is>
          <t>LUDVIKA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24712-2024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45460</v>
      </c>
      <c r="E659" s="1" t="n">
        <v>46221</v>
      </c>
      <c r="F659" t="inlineStr">
        <is>
          <t>DALARNAS LÄN</t>
        </is>
      </c>
      <c r="G659" t="inlineStr">
        <is>
          <t>LUDVIKA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53602-2023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45230</v>
      </c>
      <c r="E660" s="1" t="n">
        <v>46221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46095-2024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45581</v>
      </c>
      <c r="E661" s="1" t="n">
        <v>46221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52359-2024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45609</v>
      </c>
      <c r="E662" s="1" t="n">
        <v>46221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46093-2024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45581</v>
      </c>
      <c r="E663" s="1" t="n">
        <v>46221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33914-2023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45134</v>
      </c>
      <c r="E664" s="1" t="n">
        <v>46221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22606-2025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45789</v>
      </c>
      <c r="E665" s="1" t="n">
        <v>46221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22610-2025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45789</v>
      </c>
      <c r="E666" s="1" t="n">
        <v>46221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50240-2024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45600</v>
      </c>
      <c r="E667" s="1" t="n">
        <v>46221</v>
      </c>
      <c r="F667" t="inlineStr">
        <is>
          <t>DALARNAS LÄN</t>
        </is>
      </c>
      <c r="G667" t="inlineStr">
        <is>
          <t>LUDVIKA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36066-2024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45533</v>
      </c>
      <c r="E668" s="1" t="n">
        <v>46221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43702-2024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45569</v>
      </c>
      <c r="E669" s="1" t="n">
        <v>46221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22599-2025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45789</v>
      </c>
      <c r="E670" s="1" t="n">
        <v>46221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22594-2025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45789</v>
      </c>
      <c r="E671" s="1" t="n">
        <v>46221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22850-2025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45790</v>
      </c>
      <c r="E672" s="1" t="n">
        <v>46221</v>
      </c>
      <c r="F672" t="inlineStr">
        <is>
          <t>DALARNAS LÄN</t>
        </is>
      </c>
      <c r="G672" t="inlineStr">
        <is>
          <t>LUDVIKA</t>
        </is>
      </c>
      <c r="H672" t="inlineStr">
        <is>
          <t>Övriga Aktiebolag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47233-2024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45586</v>
      </c>
      <c r="E673" s="1" t="n">
        <v>46221</v>
      </c>
      <c r="F673" t="inlineStr">
        <is>
          <t>DALARNAS LÄN</t>
        </is>
      </c>
      <c r="G673" t="inlineStr">
        <is>
          <t>LUDVIKA</t>
        </is>
      </c>
      <c r="I673" t="n">
        <v>9.5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46107-2024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45581</v>
      </c>
      <c r="E674" s="1" t="n">
        <v>46221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41539-2024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45560</v>
      </c>
      <c r="E675" s="1" t="n">
        <v>46221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23088-2025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45791</v>
      </c>
      <c r="E676" s="1" t="n">
        <v>46221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22686-2025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45786</v>
      </c>
      <c r="E677" s="1" t="n">
        <v>46221</v>
      </c>
      <c r="F677" t="inlineStr">
        <is>
          <t>DALARNAS LÄN</t>
        </is>
      </c>
      <c r="G677" t="inlineStr">
        <is>
          <t>LUDVIKA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34280-2024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45524</v>
      </c>
      <c r="E678" s="1" t="n">
        <v>46221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23105-2025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45791</v>
      </c>
      <c r="E679" s="1" t="n">
        <v>46221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23443-2024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45453</v>
      </c>
      <c r="E680" s="1" t="n">
        <v>46221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37549-2024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45541</v>
      </c>
      <c r="E681" s="1" t="n">
        <v>46221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24081-2025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45796</v>
      </c>
      <c r="E682" s="1" t="n">
        <v>46221</v>
      </c>
      <c r="F682" t="inlineStr">
        <is>
          <t>DALARNAS LÄN</t>
        </is>
      </c>
      <c r="G682" t="inlineStr">
        <is>
          <t>LUDVIKA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24027-2025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45796</v>
      </c>
      <c r="E683" s="1" t="n">
        <v>46221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61278-2022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44915</v>
      </c>
      <c r="E684" s="1" t="n">
        <v>46221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30977-2024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45499</v>
      </c>
      <c r="E685" s="1" t="n">
        <v>46221</v>
      </c>
      <c r="F685" t="inlineStr">
        <is>
          <t>DALARNAS LÄN</t>
        </is>
      </c>
      <c r="G685" t="inlineStr">
        <is>
          <t>LUDVIKA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23117-2025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45791</v>
      </c>
      <c r="E686" s="1" t="n">
        <v>46221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20642-2025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45776</v>
      </c>
      <c r="E687" s="1" t="n">
        <v>46221</v>
      </c>
      <c r="F687" t="inlineStr">
        <is>
          <t>DALARNAS LÄN</t>
        </is>
      </c>
      <c r="G687" t="inlineStr">
        <is>
          <t>LUDVIKA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23137-2025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45791</v>
      </c>
      <c r="E688" s="1" t="n">
        <v>46221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23139-2025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45791</v>
      </c>
      <c r="E689" s="1" t="n">
        <v>46221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19677-2025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45770</v>
      </c>
      <c r="E690" s="1" t="n">
        <v>46221</v>
      </c>
      <c r="F690" t="inlineStr">
        <is>
          <t>DALARNAS LÄN</t>
        </is>
      </c>
      <c r="G690" t="inlineStr">
        <is>
          <t>LUDVIKA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25235-2025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45800</v>
      </c>
      <c r="E691" s="1" t="n">
        <v>46221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24789-2025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45799</v>
      </c>
      <c r="E692" s="1" t="n">
        <v>46221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24783-2025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45799</v>
      </c>
      <c r="E693" s="1" t="n">
        <v>46221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25004-2025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45799</v>
      </c>
      <c r="E694" s="1" t="n">
        <v>46221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25113-2025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45800</v>
      </c>
      <c r="E695" s="1" t="n">
        <v>46221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2837-2023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45167</v>
      </c>
      <c r="E696" s="1" t="n">
        <v>46221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1122-2023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45015</v>
      </c>
      <c r="E697" s="1" t="n">
        <v>46221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115.7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3660-2023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45216</v>
      </c>
      <c r="E698" s="1" t="n">
        <v>46221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1246-2024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45400</v>
      </c>
      <c r="E699" s="1" t="n">
        <v>46221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1096-2024</t>
        </is>
      </c>
      <c r="B700" t="inlineStr">
        <is>
          <t>samrådsanmälan</t>
        </is>
      </c>
      <c r="C700" t="inlineStr">
        <is>
          <t>Skogsgödsling</t>
        </is>
      </c>
      <c r="D700" s="1" t="n">
        <v>45391</v>
      </c>
      <c r="E700" s="1" t="n">
        <v>46221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26.7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4863-2022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44805</v>
      </c>
      <c r="E701" s="1" t="n">
        <v>46221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1113-2023</t>
        </is>
      </c>
      <c r="B702" t="inlineStr">
        <is>
          <t>samrådsanmälan</t>
        </is>
      </c>
      <c r="C702" t="inlineStr">
        <is>
          <t>Skogsgödsling</t>
        </is>
      </c>
      <c r="D702" s="1" t="n">
        <v>45015</v>
      </c>
      <c r="E702" s="1" t="n">
        <v>46221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37.9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>
      <c r="A703" t="inlineStr">
        <is>
          <t>S 1815-2026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46190</v>
      </c>
      <c r="E703" s="1" t="n">
        <v>46221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2026-07-18T01:20:00Z</dcterms:created>
  <dcterms:modified xmlns:dcterms="http://purl.org/dc/terms/" xmlns:xsi="http://www.w3.org/2001/XMLSchema-instance" xsi:type="dcterms:W3CDTF">2026-07-18T01:20:01Z</dcterms:modified>
</cp:coreProperties>
</file>
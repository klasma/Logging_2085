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46248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46248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46248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46248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46248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46248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46248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46248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46248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46248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46248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46248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46248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46248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46248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46248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46248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46248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46248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46248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46248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50453-2025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45945</v>
      </c>
      <c r="E23" s="1" t="n">
        <v>46248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5.6</v>
      </c>
      <c r="J23" t="n">
        <v>0</v>
      </c>
      <c r="K23" t="n">
        <v>6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8</v>
      </c>
      <c r="T23" t="n">
        <v>12</v>
      </c>
      <c r="U23" t="n">
        <v>0</v>
      </c>
      <c r="V23" s="2" t="inlineStr">
        <is>
          <t>Aspgelélav
Gränsticka
Bårdlav
Dvärgtufs
Luddlav
Skinnlav
Sotlav
Vedticka</t>
        </is>
      </c>
      <c r="W23">
        <f>HYPERLINK("https://klasma.github.io/Logging_2085/artfynd/A 50453-2025 artfynd.xlsx", "A 50453-2025")</f>
        <v/>
      </c>
      <c r="X23">
        <f>HYPERLINK("https://klasma.github.io/Logging_2085/kartor/A 50453-2025 karta.png", "A 50453-2025")</f>
        <v/>
      </c>
      <c r="Y23">
        <f>HYPERLINK("https://klasma.github.io/Logging_2085/kartor_geotiff/A 50453-2025 georefererad karta.tif", "A 50453-2025")</f>
        <v/>
      </c>
      <c r="AA23">
        <f>HYPERLINK("https://klasma.github.io/Logging_2085/klagomål/A 50453-2025 FSC-klagomål.docx", "A 50453-2025")</f>
        <v/>
      </c>
      <c r="AB23">
        <f>HYPERLINK("https://klasma.github.io/Logging_2085/klagomålsmail/A 50453-2025 FSC-klagomål mail.docx", "A 50453-2025")</f>
        <v/>
      </c>
      <c r="AC23">
        <f>HYPERLINK("https://klasma.github.io/Logging_2085/tillsyn/A 50453-2025 tillsynsbegäran.docx", "A 50453-2025")</f>
        <v/>
      </c>
      <c r="AD23">
        <f>HYPERLINK("https://klasma.github.io/Logging_2085/tillsynsmail/A 50453-2025 tillsynsbegäran mail.docx", "A 50453-2025")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46248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46248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46248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23862-2026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46248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4.5</v>
      </c>
      <c r="J27" t="n">
        <v>1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6</v>
      </c>
      <c r="T27" t="n">
        <v>7</v>
      </c>
      <c r="U27" t="n">
        <v>0</v>
      </c>
      <c r="V27" s="2" t="inlineStr">
        <is>
          <t>Bårdlav
Dvärgtufs
Korallblylav
Skinnlav
Stuplav
Utter</t>
        </is>
      </c>
      <c r="W27">
        <f>HYPERLINK("https://klasma.github.io/Logging_2085/artfynd/A 23862-2026 artfynd.xlsx", "A 23862-2026")</f>
        <v/>
      </c>
      <c r="X27">
        <f>HYPERLINK("https://klasma.github.io/Logging_2085/kartor/A 23862-2026 karta.png", "A 23862-2026")</f>
        <v/>
      </c>
      <c r="Y27">
        <f>HYPERLINK("https://klasma.github.io/Logging_2085/kartor_geotiff/A 23862-2026 georefererad karta.tif", "A 23862-2026")</f>
        <v/>
      </c>
      <c r="AA27">
        <f>HYPERLINK("https://klasma.github.io/Logging_2085/klagomål/A 23862-2026 FSC-klagomål.docx", "A 23862-2026")</f>
        <v/>
      </c>
      <c r="AB27">
        <f>HYPERLINK("https://klasma.github.io/Logging_2085/klagomålsmail/A 23862-2026 FSC-klagomål mail.docx", "A 23862-2026")</f>
        <v/>
      </c>
      <c r="AC27">
        <f>HYPERLINK("https://klasma.github.io/Logging_2085/tillsyn/A 23862-2026 tillsynsbegäran.docx", "A 23862-2026")</f>
        <v/>
      </c>
      <c r="AD27">
        <f>HYPERLINK("https://klasma.github.io/Logging_2085/tillsynsmail/A 23862-2026 tillsynsbegäran mail.docx", "A 23862-2026")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46248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46248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59946-2025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45993</v>
      </c>
      <c r="E30" s="1" t="n">
        <v>46248</v>
      </c>
      <c r="F30" t="inlineStr">
        <is>
          <t>DALARNAS LÄN</t>
        </is>
      </c>
      <c r="G30" t="inlineStr">
        <is>
          <t>LUDVIKA</t>
        </is>
      </c>
      <c r="I30" t="n">
        <v>2.3</v>
      </c>
      <c r="J30" t="n">
        <v>2</v>
      </c>
      <c r="K30" t="n">
        <v>1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16</v>
      </c>
      <c r="U30" t="n">
        <v>16</v>
      </c>
      <c r="V30" s="2" t="inlineStr">
        <is>
          <t>Garnlav
Knärot
Kolflarnlav
Mörk kolflarnlav
Tretåig hackspett
Mindre märgborre</t>
        </is>
      </c>
      <c r="W30">
        <f>HYPERLINK("https://klasma.github.io/Logging_2085/artfynd/A 59946-2025 artfynd.xlsx", "A 59946-2025")</f>
        <v/>
      </c>
      <c r="X30">
        <f>HYPERLINK("https://klasma.github.io/Logging_2085/kartor/A 59946-2025 karta.png", "A 59946-2025")</f>
        <v/>
      </c>
      <c r="Y30">
        <f>HYPERLINK("https://klasma.github.io/Logging_2085/kartor_geotiff/A 59946-2025 georefererad karta.tif", "A 59946-2025")</f>
        <v/>
      </c>
      <c r="Z30">
        <f>HYPERLINK("https://klasma.github.io/Logging_2085/knärot/A 59946-2025 karta knärot.png", "A 59946-2025")</f>
        <v/>
      </c>
      <c r="AA30">
        <f>HYPERLINK("https://klasma.github.io/Logging_2085/klagomål/A 59946-2025 FSC-klagomål.docx", "A 59946-2025")</f>
        <v/>
      </c>
      <c r="AB30">
        <f>HYPERLINK("https://klasma.github.io/Logging_2085/klagomålsmail/A 59946-2025 FSC-klagomål mail.docx", "A 59946-2025")</f>
        <v/>
      </c>
      <c r="AC30">
        <f>HYPERLINK("https://klasma.github.io/Logging_2085/tillsyn/A 59946-2025 tillsynsbegäran.docx", "A 59946-2025")</f>
        <v/>
      </c>
      <c r="AD30">
        <f>HYPERLINK("https://klasma.github.io/Logging_2085/tillsynsmail/A 59946-2025 tillsynsbegäran mail.docx", "A 59946-2025")</f>
        <v/>
      </c>
      <c r="AE30">
        <f>HYPERLINK("https://klasma.github.io/Logging_2085/fåglar/A 59946-2025 prioriterade fågelarter.docx", "A 59946-2025")</f>
        <v/>
      </c>
    </row>
    <row r="31" ht="15" customHeight="1">
      <c r="A31" t="inlineStr">
        <is>
          <t>A 23681-2026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46248</v>
      </c>
      <c r="F31" t="inlineStr">
        <is>
          <t>DALARNAS LÄN</t>
        </is>
      </c>
      <c r="G31" t="inlineStr">
        <is>
          <t>LUDVIKA</t>
        </is>
      </c>
      <c r="I31" t="n">
        <v>6.2</v>
      </c>
      <c r="J31" t="n">
        <v>3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6</v>
      </c>
      <c r="T31" t="n">
        <v>26</v>
      </c>
      <c r="U31" t="n">
        <v>26</v>
      </c>
      <c r="V31" s="2" t="inlineStr">
        <is>
          <t>Dropptaggsvamp
Tretåig hackspett
Blodticka
Mindre märgborre
Järpe
Spillkråka</t>
        </is>
      </c>
      <c r="W31">
        <f>HYPERLINK("https://klasma.github.io/Logging_2085/artfynd/A 23681-2026 artfynd.xlsx", "A 23681-2026")</f>
        <v/>
      </c>
      <c r="X31">
        <f>HYPERLINK("https://klasma.github.io/Logging_2085/kartor/A 23681-2026 karta.png", "A 23681-2026")</f>
        <v/>
      </c>
      <c r="Y31">
        <f>HYPERLINK("https://klasma.github.io/Logging_2085/kartor_geotiff/A 23681-2026 georefererad karta.tif", "A 23681-2026")</f>
        <v/>
      </c>
      <c r="AA31">
        <f>HYPERLINK("https://klasma.github.io/Logging_2085/klagomål/A 23681-2026 FSC-klagomål.docx", "A 23681-2026")</f>
        <v/>
      </c>
      <c r="AB31">
        <f>HYPERLINK("https://klasma.github.io/Logging_2085/klagomålsmail/A 23681-2026 FSC-klagomål mail.docx", "A 23681-2026")</f>
        <v/>
      </c>
      <c r="AC31">
        <f>HYPERLINK("https://klasma.github.io/Logging_2085/tillsyn/A 23681-2026 tillsynsbegäran.docx", "A 23681-2026")</f>
        <v/>
      </c>
      <c r="AD31">
        <f>HYPERLINK("https://klasma.github.io/Logging_2085/tillsynsmail/A 23681-2026 tillsynsbegäran mail.docx", "A 23681-2026")</f>
        <v/>
      </c>
      <c r="AE31">
        <f>HYPERLINK("https://klasma.github.io/Logging_2085/fåglar/A 23681-2026 prioriterade fågelarter.docx", "A 23681-2026")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46248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46248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22195-2025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46248</v>
      </c>
      <c r="F34" t="inlineStr">
        <is>
          <t>DALARNAS LÄN</t>
        </is>
      </c>
      <c r="G34" t="inlineStr">
        <is>
          <t>LUDVIKA</t>
        </is>
      </c>
      <c r="I34" t="n">
        <v>7.4</v>
      </c>
      <c r="J34" t="n">
        <v>5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6</v>
      </c>
      <c r="T34" t="n">
        <v>9</v>
      </c>
      <c r="U34" t="n">
        <v>9</v>
      </c>
      <c r="V34" s="2" t="inlineStr">
        <is>
          <t>Garnlav
Entita
Talltita
Tretåig hackspett
Spillkråka
Tjäder</t>
        </is>
      </c>
      <c r="W34">
        <f>HYPERLINK("https://klasma.github.io/Logging_2085/artfynd/A 22195-2025 artfynd.xlsx", "A 22195-2025")</f>
        <v/>
      </c>
      <c r="X34">
        <f>HYPERLINK("https://klasma.github.io/Logging_2085/kartor/A 22195-2025 karta.png", "A 22195-2025")</f>
        <v/>
      </c>
      <c r="Y34">
        <f>HYPERLINK("https://klasma.github.io/Logging_2085/kartor_geotiff/A 22195-2025 georefererad karta.tif", "A 22195-2025")</f>
        <v/>
      </c>
      <c r="AA34">
        <f>HYPERLINK("https://klasma.github.io/Logging_2085/klagomål/A 22195-2025 FSC-klagomål.docx", "A 22195-2025")</f>
        <v/>
      </c>
      <c r="AB34">
        <f>HYPERLINK("https://klasma.github.io/Logging_2085/klagomålsmail/A 22195-2025 FSC-klagomål mail.docx", "A 22195-2025")</f>
        <v/>
      </c>
      <c r="AC34">
        <f>HYPERLINK("https://klasma.github.io/Logging_2085/tillsyn/A 22195-2025 tillsynsbegäran.docx", "A 22195-2025")</f>
        <v/>
      </c>
      <c r="AD34">
        <f>HYPERLINK("https://klasma.github.io/Logging_2085/tillsynsmail/A 22195-2025 tillsynsbegäran mail.docx", "A 22195-2025")</f>
        <v/>
      </c>
      <c r="AE34">
        <f>HYPERLINK("https://klasma.github.io/Logging_2085/fåglar/A 22195-2025 prioriterade fågelarter.docx", "A 22195-2025")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46248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46248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23714-2026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46248</v>
      </c>
      <c r="F37" t="inlineStr">
        <is>
          <t>DALARNAS LÄN</t>
        </is>
      </c>
      <c r="G37" t="inlineStr">
        <is>
          <t>LUDVIKA</t>
        </is>
      </c>
      <c r="I37" t="n">
        <v>4.6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7</v>
      </c>
      <c r="V37" s="2" t="inlineStr">
        <is>
          <t>Garnlav
Rosenticka
Tretåig hackspett
Ullticka
Spillkråka</t>
        </is>
      </c>
      <c r="W37">
        <f>HYPERLINK("https://klasma.github.io/Logging_2085/artfynd/A 23714-2026 artfynd.xlsx", "A 23714-2026")</f>
        <v/>
      </c>
      <c r="X37">
        <f>HYPERLINK("https://klasma.github.io/Logging_2085/kartor/A 23714-2026 karta.png", "A 23714-2026")</f>
        <v/>
      </c>
      <c r="Y37">
        <f>HYPERLINK("https://klasma.github.io/Logging_2085/kartor_geotiff/A 23714-2026 georefererad karta.tif", "A 23714-2026")</f>
        <v/>
      </c>
      <c r="AA37">
        <f>HYPERLINK("https://klasma.github.io/Logging_2085/klagomål/A 23714-2026 FSC-klagomål.docx", "A 23714-2026")</f>
        <v/>
      </c>
      <c r="AB37">
        <f>HYPERLINK("https://klasma.github.io/Logging_2085/klagomålsmail/A 23714-2026 FSC-klagomål mail.docx", "A 23714-2026")</f>
        <v/>
      </c>
      <c r="AC37">
        <f>HYPERLINK("https://klasma.github.io/Logging_2085/tillsyn/A 23714-2026 tillsynsbegäran.docx", "A 23714-2026")</f>
        <v/>
      </c>
      <c r="AD37">
        <f>HYPERLINK("https://klasma.github.io/Logging_2085/tillsynsmail/A 23714-2026 tillsynsbegäran mail.docx", "A 23714-2026")</f>
        <v/>
      </c>
      <c r="AE37">
        <f>HYPERLINK("https://klasma.github.io/Logging_2085/fåglar/A 23714-2026 prioriterade fågelarter.docx", "A 23714-2026")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46248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46248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46248</v>
      </c>
      <c r="F40" t="inlineStr">
        <is>
          <t>DALARNAS LÄN</t>
        </is>
      </c>
      <c r="G40" t="inlineStr">
        <is>
          <t>LUDVIKA</t>
        </is>
      </c>
      <c r="I40" t="n">
        <v>1.4</v>
      </c>
      <c r="J40" t="n">
        <v>2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7</v>
      </c>
      <c r="U40" t="n">
        <v>7</v>
      </c>
      <c r="V40" s="2" t="inlineStr">
        <is>
          <t>Garnlav
Mindre märgborre
Järpe
Spillkråka
Timmerticka</t>
        </is>
      </c>
      <c r="W40">
        <f>HYPERLINK("https://klasma.github.io/Logging_2085/artfynd/A 23711-2026 artfynd.xlsx", "A 23711-2026")</f>
        <v/>
      </c>
      <c r="X40">
        <f>HYPERLINK("https://klasma.github.io/Logging_2085/kartor/A 23711-2026 karta.png", "A 23711-2026")</f>
        <v/>
      </c>
      <c r="Y40">
        <f>HYPERLINK("https://klasma.github.io/Logging_2085/kartor_geotiff/A 23711-2026 georefererad karta.tif", "A 23711-2026")</f>
        <v/>
      </c>
      <c r="AA40">
        <f>HYPERLINK("https://klasma.github.io/Logging_2085/klagomål/A 23711-2026 FSC-klagomål.docx", "A 23711-2026")</f>
        <v/>
      </c>
      <c r="AB40">
        <f>HYPERLINK("https://klasma.github.io/Logging_2085/klagomålsmail/A 23711-2026 FSC-klagomål mail.docx", "A 23711-2026")</f>
        <v/>
      </c>
      <c r="AC40">
        <f>HYPERLINK("https://klasma.github.io/Logging_2085/tillsyn/A 23711-2026 tillsynsbegäran.docx", "A 23711-2026")</f>
        <v/>
      </c>
      <c r="AD40">
        <f>HYPERLINK("https://klasma.github.io/Logging_2085/tillsynsmail/A 23711-2026 tillsynsbegäran mail.docx", "A 23711-2026")</f>
        <v/>
      </c>
      <c r="AE40">
        <f>HYPERLINK("https://klasma.github.io/Logging_2085/fåglar/A 23711-2026 prioriterade fågelarter.docx", "A 23711-2026")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46248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46248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57803-2023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46248</v>
      </c>
      <c r="F43" t="inlineStr">
        <is>
          <t>DALARNAS LÄN</t>
        </is>
      </c>
      <c r="G43" t="inlineStr">
        <is>
          <t>LUDVIKA</t>
        </is>
      </c>
      <c r="I43" t="n">
        <v>3.3</v>
      </c>
      <c r="J43" t="n">
        <v>3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Spillkråka
Tjäder
Gröngöling</t>
        </is>
      </c>
      <c r="W43">
        <f>HYPERLINK("https://klasma.github.io/Logging_2085/artfynd/A 57803-2023 artfynd.xlsx", "A 57803-2023")</f>
        <v/>
      </c>
      <c r="X43">
        <f>HYPERLINK("https://klasma.github.io/Logging_2085/kartor/A 57803-2023 karta.png", "A 57803-2023")</f>
        <v/>
      </c>
      <c r="Y43">
        <f>HYPERLINK("https://klasma.github.io/Logging_2085/kartor_geotiff/A 57803-2023 georefererad karta.tif", "A 57803-2023")</f>
        <v/>
      </c>
      <c r="AA43">
        <f>HYPERLINK("https://klasma.github.io/Logging_2085/klagomål/A 57803-2023 FSC-klagomål.docx", "A 57803-2023")</f>
        <v/>
      </c>
      <c r="AB43">
        <f>HYPERLINK("https://klasma.github.io/Logging_2085/klagomålsmail/A 57803-2023 FSC-klagomål mail.docx", "A 57803-2023")</f>
        <v/>
      </c>
      <c r="AC43">
        <f>HYPERLINK("https://klasma.github.io/Logging_2085/tillsyn/A 57803-2023 tillsynsbegäran.docx", "A 57803-2023")</f>
        <v/>
      </c>
      <c r="AD43">
        <f>HYPERLINK("https://klasma.github.io/Logging_2085/tillsynsmail/A 57803-2023 tillsynsbegäran mail.docx", "A 57803-2023")</f>
        <v/>
      </c>
      <c r="AE43">
        <f>HYPERLINK("https://klasma.github.io/Logging_2085/fåglar/A 57803-2023 prioriterade fågelarter.docx", "A 57803-2023")</f>
        <v/>
      </c>
    </row>
    <row r="44" ht="15" customHeight="1">
      <c r="A44" t="inlineStr">
        <is>
          <t>A 51928-2024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46248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27.9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Brunpudrad nållav
Gulnål
Kornig nållav
Vedticka</t>
        </is>
      </c>
      <c r="W44">
        <f>HYPERLINK("https://klasma.github.io/Logging_2085/artfynd/A 51928-2024 artfynd.xlsx", "A 51928-2024")</f>
        <v/>
      </c>
      <c r="X44">
        <f>HYPERLINK("https://klasma.github.io/Logging_2085/kartor/A 51928-2024 karta.png", "A 51928-2024")</f>
        <v/>
      </c>
      <c r="Y44">
        <f>HYPERLINK("https://klasma.github.io/Logging_2085/kartor_geotiff/A 51928-2024 georefererad karta.tif", "A 51928-2024")</f>
        <v/>
      </c>
      <c r="AA44">
        <f>HYPERLINK("https://klasma.github.io/Logging_2085/klagomål/A 51928-2024 FSC-klagomål.docx", "A 51928-2024")</f>
        <v/>
      </c>
      <c r="AB44">
        <f>HYPERLINK("https://klasma.github.io/Logging_2085/klagomålsmail/A 51928-2024 FSC-klagomål mail.docx", "A 51928-2024")</f>
        <v/>
      </c>
      <c r="AC44">
        <f>HYPERLINK("https://klasma.github.io/Logging_2085/tillsyn/A 51928-2024 tillsynsbegäran.docx", "A 51928-2024")</f>
        <v/>
      </c>
      <c r="AD44">
        <f>HYPERLINK("https://klasma.github.io/Logging_2085/tillsynsmail/A 51928-2024 tillsynsbegäran mail.docx", "A 51928-2024")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46248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46248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22589-2026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46248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3.7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Järpe
Spillkråka
Tjäder</t>
        </is>
      </c>
      <c r="W47">
        <f>HYPERLINK("https://klasma.github.io/Logging_2085/artfynd/A 22589-2026 artfynd.xlsx", "A 22589-2026")</f>
        <v/>
      </c>
      <c r="X47">
        <f>HYPERLINK("https://klasma.github.io/Logging_2085/kartor/A 22589-2026 karta.png", "A 22589-2026")</f>
        <v/>
      </c>
      <c r="Y47">
        <f>HYPERLINK("https://klasma.github.io/Logging_2085/kartor_geotiff/A 22589-2026 georefererad karta.tif", "A 22589-2026")</f>
        <v/>
      </c>
      <c r="AA47">
        <f>HYPERLINK("https://klasma.github.io/Logging_2085/klagomål/A 22589-2026 FSC-klagomål.docx", "A 22589-2026")</f>
        <v/>
      </c>
      <c r="AB47">
        <f>HYPERLINK("https://klasma.github.io/Logging_2085/klagomålsmail/A 22589-2026 FSC-klagomål mail.docx", "A 22589-2026")</f>
        <v/>
      </c>
      <c r="AC47">
        <f>HYPERLINK("https://klasma.github.io/Logging_2085/tillsyn/A 22589-2026 tillsynsbegäran.docx", "A 22589-2026")</f>
        <v/>
      </c>
      <c r="AD47">
        <f>HYPERLINK("https://klasma.github.io/Logging_2085/tillsynsmail/A 22589-2026 tillsynsbegäran mail.docx", "A 22589-2026")</f>
        <v/>
      </c>
      <c r="AE47">
        <f>HYPERLINK("https://klasma.github.io/Logging_2085/fåglar/A 22589-2026 prioriterade fågelarter.docx", "A 22589-2026")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46248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46248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46248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46248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S 1284-2022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44624</v>
      </c>
      <c r="E52" s="1" t="n">
        <v>46248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374</v>
      </c>
      <c r="J52" t="n">
        <v>3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Korallblylav
Purpurknipprot
Järpe
Orre</t>
        </is>
      </c>
      <c r="W52">
        <f>HYPERLINK("https://klasma.github.io/Logging_2085/artfynd/S 1284-2022 artfynd.xlsx", "S 1284-2022")</f>
        <v/>
      </c>
      <c r="X52">
        <f>HYPERLINK("https://klasma.github.io/Logging_2085/kartor/S 1284-2022 karta.png", "S 1284-2022")</f>
        <v/>
      </c>
      <c r="Y52">
        <f>HYPERLINK("https://klasma.github.io/Logging_2085/kartor_geotiff/S 1284-2022 georefererad karta.tif", "S 1284-2022")</f>
        <v/>
      </c>
      <c r="AA52">
        <f>HYPERLINK("https://klasma.github.io/Logging_2085/klagomål/S 1284-2022 FSC-klagomål.docx", "S 1284-2022")</f>
        <v/>
      </c>
      <c r="AB52">
        <f>HYPERLINK("https://klasma.github.io/Logging_2085/klagomålsmail/S 1284-2022 FSC-klagomål mail.docx", "S 1284-2022")</f>
        <v/>
      </c>
      <c r="AC52">
        <f>HYPERLINK("https://klasma.github.io/Logging_2085/tillsyn/S 1284-2022 tillsynsbegäran.docx", "S 1284-2022")</f>
        <v/>
      </c>
      <c r="AD52">
        <f>HYPERLINK("https://klasma.github.io/Logging_2085/tillsynsmail/S 1284-2022 tillsynsbegäran mail.docx", "S 1284-2022")</f>
        <v/>
      </c>
      <c r="AE52">
        <f>HYPERLINK("https://klasma.github.io/Logging_2085/fåglar/S 1284-2022 prioriterade fågelarter.docx", "S 1284-2022")</f>
        <v/>
      </c>
    </row>
    <row r="53" ht="15" customHeight="1">
      <c r="A53" t="inlineStr">
        <is>
          <t>A 74432-2021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44560</v>
      </c>
      <c r="E53" s="1" t="n">
        <v>46248</v>
      </c>
      <c r="F53" t="inlineStr">
        <is>
          <t>DALARNAS LÄN</t>
        </is>
      </c>
      <c r="G53" t="inlineStr">
        <is>
          <t>LUDVIKA</t>
        </is>
      </c>
      <c r="H53" t="inlineStr">
        <is>
          <t>Kommuner</t>
        </is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Spillkråka
Gröngöling
Kungsfågel</t>
        </is>
      </c>
      <c r="W53">
        <f>HYPERLINK("https://klasma.github.io/Logging_2085/artfynd/A 74432-2021 artfynd.xlsx", "A 74432-2021")</f>
        <v/>
      </c>
      <c r="X53">
        <f>HYPERLINK("https://klasma.github.io/Logging_2085/kartor/A 74432-2021 karta.png", "A 74432-2021")</f>
        <v/>
      </c>
      <c r="Y53">
        <f>HYPERLINK("https://klasma.github.io/Logging_2085/kartor_geotiff/A 74432-2021 georefererad karta.tif", "A 74432-2021")</f>
        <v/>
      </c>
      <c r="AA53">
        <f>HYPERLINK("https://klasma.github.io/Logging_2085/klagomål/A 74432-2021 FSC-klagomål.docx", "A 74432-2021")</f>
        <v/>
      </c>
      <c r="AB53">
        <f>HYPERLINK("https://klasma.github.io/Logging_2085/klagomålsmail/A 74432-2021 FSC-klagomål mail.docx", "A 74432-2021")</f>
        <v/>
      </c>
      <c r="AC53">
        <f>HYPERLINK("https://klasma.github.io/Logging_2085/tillsyn/A 74432-2021 tillsynsbegäran.docx", "A 74432-2021")</f>
        <v/>
      </c>
      <c r="AD53">
        <f>HYPERLINK("https://klasma.github.io/Logging_2085/tillsynsmail/A 74432-2021 tillsynsbegäran mail.docx", "A 74432-2021")</f>
        <v/>
      </c>
      <c r="AE53">
        <f>HYPERLINK("https://klasma.github.io/Logging_2085/fåglar/A 74432-2021 prioriterade fågelarter.docx", "A 74432-2021")</f>
        <v/>
      </c>
    </row>
    <row r="54" ht="15" customHeight="1">
      <c r="A54" t="inlineStr">
        <is>
          <t>A 41456-2025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46248</v>
      </c>
      <c r="F54" t="inlineStr">
        <is>
          <t>DALARNAS LÄN</t>
        </is>
      </c>
      <c r="G54" t="inlineStr">
        <is>
          <t>LUDVIKA</t>
        </is>
      </c>
      <c r="I54" t="n">
        <v>1.9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Aspgelélav
Lunglav
Järpe</t>
        </is>
      </c>
      <c r="W54">
        <f>HYPERLINK("https://klasma.github.io/Logging_2085/artfynd/A 41456-2025 artfynd.xlsx", "A 41456-2025")</f>
        <v/>
      </c>
      <c r="X54">
        <f>HYPERLINK("https://klasma.github.io/Logging_2085/kartor/A 41456-2025 karta.png", "A 41456-2025")</f>
        <v/>
      </c>
      <c r="Y54">
        <f>HYPERLINK("https://klasma.github.io/Logging_2085/kartor_geotiff/A 41456-2025 georefererad karta.tif", "A 41456-2025")</f>
        <v/>
      </c>
      <c r="AA54">
        <f>HYPERLINK("https://klasma.github.io/Logging_2085/klagomål/A 41456-2025 FSC-klagomål.docx", "A 41456-2025")</f>
        <v/>
      </c>
      <c r="AB54">
        <f>HYPERLINK("https://klasma.github.io/Logging_2085/klagomålsmail/A 41456-2025 FSC-klagomål mail.docx", "A 41456-2025")</f>
        <v/>
      </c>
      <c r="AC54">
        <f>HYPERLINK("https://klasma.github.io/Logging_2085/tillsyn/A 41456-2025 tillsynsbegäran.docx", "A 41456-2025")</f>
        <v/>
      </c>
      <c r="AD54">
        <f>HYPERLINK("https://klasma.github.io/Logging_2085/tillsynsmail/A 41456-2025 tillsynsbegäran mail.docx", "A 41456-2025")</f>
        <v/>
      </c>
      <c r="AE54">
        <f>HYPERLINK("https://klasma.github.io/Logging_2085/fåglar/A 41456-2025 prioriterade fågelarter.docx", "A 41456-2025")</f>
        <v/>
      </c>
    </row>
    <row r="55" ht="15" customHeight="1">
      <c r="A55" t="inlineStr">
        <is>
          <t>A 23087-2025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46248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Dropptaggsvamp
Motaggsvamp
Orange taggsvamp</t>
        </is>
      </c>
      <c r="W55">
        <f>HYPERLINK("https://klasma.github.io/Logging_2085/artfynd/A 23087-2025 artfynd.xlsx", "A 23087-2025")</f>
        <v/>
      </c>
      <c r="X55">
        <f>HYPERLINK("https://klasma.github.io/Logging_2085/kartor/A 23087-2025 karta.png", "A 23087-2025")</f>
        <v/>
      </c>
      <c r="Y55">
        <f>HYPERLINK("https://klasma.github.io/Logging_2085/kartor_geotiff/A 23087-2025 georefererad karta.tif", "A 23087-2025")</f>
        <v/>
      </c>
      <c r="AA55">
        <f>HYPERLINK("https://klasma.github.io/Logging_2085/klagomål/A 23087-2025 FSC-klagomål.docx", "A 23087-2025")</f>
        <v/>
      </c>
      <c r="AB55">
        <f>HYPERLINK("https://klasma.github.io/Logging_2085/klagomålsmail/A 23087-2025 FSC-klagomål mail.docx", "A 23087-2025")</f>
        <v/>
      </c>
      <c r="AC55">
        <f>HYPERLINK("https://klasma.github.io/Logging_2085/tillsyn/A 23087-2025 tillsynsbegäran.docx", "A 23087-2025")</f>
        <v/>
      </c>
      <c r="AD55">
        <f>HYPERLINK("https://klasma.github.io/Logging_2085/tillsynsmail/A 23087-2025 tillsynsbegäran mail.docx", "A 23087-2025")</f>
        <v/>
      </c>
    </row>
    <row r="56" ht="15" customHeight="1">
      <c r="A56" t="inlineStr">
        <is>
          <t>A 29144-2023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46248</v>
      </c>
      <c r="F56" t="inlineStr">
        <is>
          <t>DALARNAS LÄN</t>
        </is>
      </c>
      <c r="G56" t="inlineStr">
        <is>
          <t>LUDVIKA</t>
        </is>
      </c>
      <c r="H56" t="inlineStr">
        <is>
          <t>Allmännings- och besparingsskogar</t>
        </is>
      </c>
      <c r="I56" t="n">
        <v>6.2</v>
      </c>
      <c r="J56" t="n">
        <v>1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14</v>
      </c>
      <c r="U56" t="n">
        <v>0</v>
      </c>
      <c r="V56" s="2" t="inlineStr">
        <is>
          <t>Garnlav
Knärot
Brunklöver</t>
        </is>
      </c>
      <c r="W56">
        <f>HYPERLINK("https://klasma.github.io/Logging_2085/artfynd/A 29144-2023 artfynd.xlsx", "A 29144-2023")</f>
        <v/>
      </c>
      <c r="X56">
        <f>HYPERLINK("https://klasma.github.io/Logging_2085/kartor/A 29144-2023 karta.png", "A 29144-2023")</f>
        <v/>
      </c>
      <c r="Y56">
        <f>HYPERLINK("https://klasma.github.io/Logging_2085/kartor_geotiff/A 29144-2023 georefererad karta.tif", "A 29144-2023")</f>
        <v/>
      </c>
      <c r="Z56">
        <f>HYPERLINK("https://klasma.github.io/Logging_2085/knärot/A 29144-2023 karta knärot.png", "A 29144-2023")</f>
        <v/>
      </c>
      <c r="AA56">
        <f>HYPERLINK("https://klasma.github.io/Logging_2085/klagomål/A 29144-2023 FSC-klagomål.docx", "A 29144-2023")</f>
        <v/>
      </c>
      <c r="AB56">
        <f>HYPERLINK("https://klasma.github.io/Logging_2085/klagomålsmail/A 29144-2023 FSC-klagomål mail.docx", "A 29144-2023")</f>
        <v/>
      </c>
      <c r="AC56">
        <f>HYPERLINK("https://klasma.github.io/Logging_2085/tillsyn/A 29144-2023 tillsynsbegäran.docx", "A 29144-2023")</f>
        <v/>
      </c>
      <c r="AD56">
        <f>HYPERLINK("https://klasma.github.io/Logging_2085/tillsynsmail/A 29144-2023 tillsynsbegäran mail.docx", "A 29144-2023")</f>
        <v/>
      </c>
    </row>
    <row r="57" ht="15" customHeight="1">
      <c r="A57" t="inlineStr">
        <is>
          <t>A 43226-2025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45910</v>
      </c>
      <c r="E57" s="1" t="n">
        <v>46248</v>
      </c>
      <c r="F57" t="inlineStr">
        <is>
          <t>DALARNAS LÄN</t>
        </is>
      </c>
      <c r="G57" t="inlineStr">
        <is>
          <t>LUDVIKA</t>
        </is>
      </c>
      <c r="I57" t="n">
        <v>1.1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t="n">
        <v>4</v>
      </c>
      <c r="V57" s="2" t="inlineStr">
        <is>
          <t>Tretåig hackspett
Rävticka
Rödgul trumpetsvamp</t>
        </is>
      </c>
      <c r="W57">
        <f>HYPERLINK("https://klasma.github.io/Logging_2085/artfynd/A 43226-2025 artfynd.xlsx", "A 43226-2025")</f>
        <v/>
      </c>
      <c r="X57">
        <f>HYPERLINK("https://klasma.github.io/Logging_2085/kartor/A 43226-2025 karta.png", "A 43226-2025")</f>
        <v/>
      </c>
      <c r="Y57">
        <f>HYPERLINK("https://klasma.github.io/Logging_2085/kartor_geotiff/A 43226-2025 georefererad karta.tif", "A 43226-2025")</f>
        <v/>
      </c>
      <c r="AA57">
        <f>HYPERLINK("https://klasma.github.io/Logging_2085/klagomål/A 43226-2025 FSC-klagomål.docx", "A 43226-2025")</f>
        <v/>
      </c>
      <c r="AB57">
        <f>HYPERLINK("https://klasma.github.io/Logging_2085/klagomålsmail/A 43226-2025 FSC-klagomål mail.docx", "A 43226-2025")</f>
        <v/>
      </c>
      <c r="AC57">
        <f>HYPERLINK("https://klasma.github.io/Logging_2085/tillsyn/A 43226-2025 tillsynsbegäran.docx", "A 43226-2025")</f>
        <v/>
      </c>
      <c r="AD57">
        <f>HYPERLINK("https://klasma.github.io/Logging_2085/tillsynsmail/A 43226-2025 tillsynsbegäran mail.docx", "A 43226-2025")</f>
        <v/>
      </c>
      <c r="AE57">
        <f>HYPERLINK("https://klasma.github.io/Logging_2085/fåglar/A 43226-2025 prioriterade fågelarter.docx", "A 43226-2025")</f>
        <v/>
      </c>
    </row>
    <row r="58" ht="15" customHeight="1">
      <c r="A58" t="inlineStr">
        <is>
          <t>A 24425-2026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46248</v>
      </c>
      <c r="F58" t="inlineStr">
        <is>
          <t>DALARNAS LÄN</t>
        </is>
      </c>
      <c r="G58" t="inlineStr">
        <is>
          <t>LUDVIKA</t>
        </is>
      </c>
      <c r="H58" t="inlineStr">
        <is>
          <t>Övriga Aktiebolag</t>
        </is>
      </c>
      <c r="I58" t="n">
        <v>5.6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6</v>
      </c>
      <c r="U58" t="n">
        <v>0</v>
      </c>
      <c r="V58" s="2" t="inlineStr">
        <is>
          <t>Tretåig hackspett
Spillkråka
Sälg</t>
        </is>
      </c>
      <c r="W58">
        <f>HYPERLINK("https://klasma.github.io/Logging_2085/artfynd/A 24425-2026 artfynd.xlsx", "A 24425-2026")</f>
        <v/>
      </c>
      <c r="X58">
        <f>HYPERLINK("https://klasma.github.io/Logging_2085/kartor/A 24425-2026 karta.png", "A 24425-2026")</f>
        <v/>
      </c>
      <c r="Y58">
        <f>HYPERLINK("https://klasma.github.io/Logging_2085/kartor_geotiff/A 24425-2026 georefererad karta.tif", "A 24425-2026")</f>
        <v/>
      </c>
      <c r="AA58">
        <f>HYPERLINK("https://klasma.github.io/Logging_2085/klagomål/A 24425-2026 FSC-klagomål.docx", "A 24425-2026")</f>
        <v/>
      </c>
      <c r="AB58">
        <f>HYPERLINK("https://klasma.github.io/Logging_2085/klagomålsmail/A 24425-2026 FSC-klagomål mail.docx", "A 24425-2026")</f>
        <v/>
      </c>
      <c r="AC58">
        <f>HYPERLINK("https://klasma.github.io/Logging_2085/tillsyn/A 24425-2026 tillsynsbegäran.docx", "A 24425-2026")</f>
        <v/>
      </c>
      <c r="AD58">
        <f>HYPERLINK("https://klasma.github.io/Logging_2085/tillsynsmail/A 24425-2026 tillsynsbegäran mail.docx", "A 24425-2026")</f>
        <v/>
      </c>
      <c r="AE58">
        <f>HYPERLINK("https://klasma.github.io/Logging_2085/fåglar/A 24425-2026 prioriterade fågelarter.docx", "A 24425-2026")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46248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S 1583-2026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46170</v>
      </c>
      <c r="E60" s="1" t="n">
        <v>46248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3.5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Ullticka
Vedticka
Spillkråka</t>
        </is>
      </c>
      <c r="W60">
        <f>HYPERLINK("https://klasma.github.io/Logging_2085/artfynd/S 1583-2026 artfynd.xlsx", "S 1583-2026")</f>
        <v/>
      </c>
      <c r="X60">
        <f>HYPERLINK("https://klasma.github.io/Logging_2085/kartor/S 1583-2026 karta.png", "S 1583-2026")</f>
        <v/>
      </c>
      <c r="Y60">
        <f>HYPERLINK("https://klasma.github.io/Logging_2085/kartor_geotiff/S 1583-2026 georefererad karta.tif", "S 1583-2026")</f>
        <v/>
      </c>
      <c r="AA60">
        <f>HYPERLINK("https://klasma.github.io/Logging_2085/klagomål/S 1583-2026 FSC-klagomål.docx", "S 1583-2026")</f>
        <v/>
      </c>
      <c r="AB60">
        <f>HYPERLINK("https://klasma.github.io/Logging_2085/klagomålsmail/S 1583-2026 FSC-klagomål mail.docx", "S 1583-2026")</f>
        <v/>
      </c>
      <c r="AC60">
        <f>HYPERLINK("https://klasma.github.io/Logging_2085/tillsyn/S 1583-2026 tillsynsbegäran.docx", "S 1583-2026")</f>
        <v/>
      </c>
      <c r="AD60">
        <f>HYPERLINK("https://klasma.github.io/Logging_2085/tillsynsmail/S 1583-2026 tillsynsbegäran mail.docx", "S 1583-2026")</f>
        <v/>
      </c>
      <c r="AE60">
        <f>HYPERLINK("https://klasma.github.io/Logging_2085/fåglar/S 1583-2026 prioriterade fågelarter.docx", "S 1583-2026")</f>
        <v/>
      </c>
    </row>
    <row r="61" ht="15" customHeight="1">
      <c r="A61" t="inlineStr">
        <is>
          <t>A 45225-2024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45575</v>
      </c>
      <c r="E61" s="1" t="n">
        <v>46248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Ärtsångare</t>
        </is>
      </c>
      <c r="W61">
        <f>HYPERLINK("https://klasma.github.io/Logging_2085/artfynd/A 45225-2024 artfynd.xlsx", "A 45225-2024")</f>
        <v/>
      </c>
      <c r="X61">
        <f>HYPERLINK("https://klasma.github.io/Logging_2085/kartor/A 45225-2024 karta.png", "A 45225-2024")</f>
        <v/>
      </c>
      <c r="Y61">
        <f>HYPERLINK("https://klasma.github.io/Logging_2085/kartor_geotiff/A 45225-2024 georefererad karta.tif", "A 45225-2024")</f>
        <v/>
      </c>
      <c r="AA61">
        <f>HYPERLINK("https://klasma.github.io/Logging_2085/klagomål/A 45225-2024 FSC-klagomål.docx", "A 45225-2024")</f>
        <v/>
      </c>
      <c r="AB61">
        <f>HYPERLINK("https://klasma.github.io/Logging_2085/klagomålsmail/A 45225-2024 FSC-klagomål mail.docx", "A 45225-2024")</f>
        <v/>
      </c>
      <c r="AC61">
        <f>HYPERLINK("https://klasma.github.io/Logging_2085/tillsyn/A 45225-2024 tillsynsbegäran.docx", "A 45225-2024")</f>
        <v/>
      </c>
      <c r="AD61">
        <f>HYPERLINK("https://klasma.github.io/Logging_2085/tillsynsmail/A 45225-2024 tillsynsbegäran mail.docx", "A 45225-2024")</f>
        <v/>
      </c>
    </row>
    <row r="62" ht="15" customHeight="1">
      <c r="A62" t="inlineStr">
        <is>
          <t>A 11755-2023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44994</v>
      </c>
      <c r="E62" s="1" t="n">
        <v>46248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Garnlav
Spillkråka</t>
        </is>
      </c>
      <c r="W62">
        <f>HYPERLINK("https://klasma.github.io/Logging_2085/artfynd/A 11755-2023 artfynd.xlsx", "A 11755-2023")</f>
        <v/>
      </c>
      <c r="X62">
        <f>HYPERLINK("https://klasma.github.io/Logging_2085/kartor/A 11755-2023 karta.png", "A 11755-2023")</f>
        <v/>
      </c>
      <c r="Y62">
        <f>HYPERLINK("https://klasma.github.io/Logging_2085/kartor_geotiff/A 11755-2023 georefererad karta.tif", "A 11755-2023")</f>
        <v/>
      </c>
      <c r="AA62">
        <f>HYPERLINK("https://klasma.github.io/Logging_2085/klagomål/A 11755-2023 FSC-klagomål.docx", "A 11755-2023")</f>
        <v/>
      </c>
      <c r="AB62">
        <f>HYPERLINK("https://klasma.github.io/Logging_2085/klagomålsmail/A 11755-2023 FSC-klagomål mail.docx", "A 11755-2023")</f>
        <v/>
      </c>
      <c r="AC62">
        <f>HYPERLINK("https://klasma.github.io/Logging_2085/tillsyn/A 11755-2023 tillsynsbegäran.docx", "A 11755-2023")</f>
        <v/>
      </c>
      <c r="AD62">
        <f>HYPERLINK("https://klasma.github.io/Logging_2085/tillsynsmail/A 11755-2023 tillsynsbegäran mail.docx", "A 11755-2023")</f>
        <v/>
      </c>
      <c r="AE62">
        <f>HYPERLINK("https://klasma.github.io/Logging_2085/fåglar/A 11755-2023 prioriterade fågelarter.docx", "A 11755-2023")</f>
        <v/>
      </c>
    </row>
    <row r="63" ht="15" customHeight="1">
      <c r="A63" t="inlineStr">
        <is>
          <t>A 33155-2024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45518</v>
      </c>
      <c r="E63" s="1" t="n">
        <v>46248</v>
      </c>
      <c r="F63" t="inlineStr">
        <is>
          <t>DALARNAS LÄN</t>
        </is>
      </c>
      <c r="G63" t="inlineStr">
        <is>
          <t>LUDVIKA</t>
        </is>
      </c>
      <c r="I63" t="n">
        <v>2.9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Brunpudrad nållav
Tretåig hackspett</t>
        </is>
      </c>
      <c r="W63">
        <f>HYPERLINK("https://klasma.github.io/Logging_2085/artfynd/A 33155-2024 artfynd.xlsx", "A 33155-2024")</f>
        <v/>
      </c>
      <c r="X63">
        <f>HYPERLINK("https://klasma.github.io/Logging_2085/kartor/A 33155-2024 karta.png", "A 33155-2024")</f>
        <v/>
      </c>
      <c r="Y63">
        <f>HYPERLINK("https://klasma.github.io/Logging_2085/kartor_geotiff/A 33155-2024 georefererad karta.tif", "A 33155-2024")</f>
        <v/>
      </c>
      <c r="AA63">
        <f>HYPERLINK("https://klasma.github.io/Logging_2085/klagomål/A 33155-2024 FSC-klagomål.docx", "A 33155-2024")</f>
        <v/>
      </c>
      <c r="AB63">
        <f>HYPERLINK("https://klasma.github.io/Logging_2085/klagomålsmail/A 33155-2024 FSC-klagomål mail.docx", "A 33155-2024")</f>
        <v/>
      </c>
      <c r="AC63">
        <f>HYPERLINK("https://klasma.github.io/Logging_2085/tillsyn/A 33155-2024 tillsynsbegäran.docx", "A 33155-2024")</f>
        <v/>
      </c>
      <c r="AD63">
        <f>HYPERLINK("https://klasma.github.io/Logging_2085/tillsynsmail/A 33155-2024 tillsynsbegäran mail.docx", "A 33155-2024")</f>
        <v/>
      </c>
      <c r="AE63">
        <f>HYPERLINK("https://klasma.github.io/Logging_2085/fåglar/A 33155-2024 prioriterade fågelarter.docx", "A 33155-2024")</f>
        <v/>
      </c>
    </row>
    <row r="64" ht="15" customHeight="1">
      <c r="A64" t="inlineStr">
        <is>
          <t>A 3809-2024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46248</v>
      </c>
      <c r="F64" t="inlineStr">
        <is>
          <t>DALARNAS LÄN</t>
        </is>
      </c>
      <c r="G64" t="inlineStr">
        <is>
          <t>LUDVIKA</t>
        </is>
      </c>
      <c r="I64" t="n">
        <v>0.5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8</v>
      </c>
      <c r="U64" t="n">
        <v>8</v>
      </c>
      <c r="V64" s="2" t="inlineStr">
        <is>
          <t>Nordfladdermus
Fläcknycklar</t>
        </is>
      </c>
      <c r="W64">
        <f>HYPERLINK("https://klasma.github.io/Logging_2085/artfynd/A 3809-2024 artfynd.xlsx", "A 3809-2024")</f>
        <v/>
      </c>
      <c r="X64">
        <f>HYPERLINK("https://klasma.github.io/Logging_2085/kartor/A 3809-2024 karta.png", "A 3809-2024")</f>
        <v/>
      </c>
      <c r="Y64">
        <f>HYPERLINK("https://klasma.github.io/Logging_2085/kartor_geotiff/A 3809-2024 georefererad karta.tif", "A 3809-2024")</f>
        <v/>
      </c>
      <c r="AA64">
        <f>HYPERLINK("https://klasma.github.io/Logging_2085/klagomål/A 3809-2024 FSC-klagomål.docx", "A 3809-2024")</f>
        <v/>
      </c>
      <c r="AB64">
        <f>HYPERLINK("https://klasma.github.io/Logging_2085/klagomålsmail/A 3809-2024 FSC-klagomål mail.docx", "A 3809-2024")</f>
        <v/>
      </c>
      <c r="AC64">
        <f>HYPERLINK("https://klasma.github.io/Logging_2085/tillsyn/A 3809-2024 tillsynsbegäran.docx", "A 3809-2024")</f>
        <v/>
      </c>
      <c r="AD64">
        <f>HYPERLINK("https://klasma.github.io/Logging_2085/tillsynsmail/A 3809-2024 tillsynsbegäran mail.docx", "A 3809-2024")</f>
        <v/>
      </c>
    </row>
    <row r="65" ht="15" customHeight="1">
      <c r="A65" t="inlineStr">
        <is>
          <t>A 49051-2024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46248</v>
      </c>
      <c r="F65" t="inlineStr">
        <is>
          <t>DALARNAS LÄN</t>
        </is>
      </c>
      <c r="G65" t="inlineStr">
        <is>
          <t>LUDVIKA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2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Ladparasitspik
Vedkastanjelav</t>
        </is>
      </c>
      <c r="W65">
        <f>HYPERLINK("https://klasma.github.io/Logging_2085/artfynd/A 49051-2024 artfynd.xlsx", "A 49051-2024")</f>
        <v/>
      </c>
      <c r="X65">
        <f>HYPERLINK("https://klasma.github.io/Logging_2085/kartor/A 49051-2024 karta.png", "A 49051-2024")</f>
        <v/>
      </c>
      <c r="Y65">
        <f>HYPERLINK("https://klasma.github.io/Logging_2085/kartor_geotiff/A 49051-2024 georefererad karta.tif", "A 49051-2024")</f>
        <v/>
      </c>
      <c r="AA65">
        <f>HYPERLINK("https://klasma.github.io/Logging_2085/klagomål/A 49051-2024 FSC-klagomål.docx", "A 49051-2024")</f>
        <v/>
      </c>
      <c r="AB65">
        <f>HYPERLINK("https://klasma.github.io/Logging_2085/klagomålsmail/A 49051-2024 FSC-klagomål mail.docx", "A 49051-2024")</f>
        <v/>
      </c>
      <c r="AC65">
        <f>HYPERLINK("https://klasma.github.io/Logging_2085/tillsyn/A 49051-2024 tillsynsbegäran.docx", "A 49051-2024")</f>
        <v/>
      </c>
      <c r="AD65">
        <f>HYPERLINK("https://klasma.github.io/Logging_2085/tillsynsmail/A 49051-2024 tillsynsbegäran mail.docx", "A 49051-2024")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46248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21876-2026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46248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1.9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Tretåig hackspett</t>
        </is>
      </c>
      <c r="W67">
        <f>HYPERLINK("https://klasma.github.io/Logging_2085/artfynd/A 21876-2026 artfynd.xlsx", "A 21876-2026")</f>
        <v/>
      </c>
      <c r="X67">
        <f>HYPERLINK("https://klasma.github.io/Logging_2085/kartor/A 21876-2026 karta.png", "A 21876-2026")</f>
        <v/>
      </c>
      <c r="Y67">
        <f>HYPERLINK("https://klasma.github.io/Logging_2085/kartor_geotiff/A 21876-2026 georefererad karta.tif", "A 21876-2026")</f>
        <v/>
      </c>
      <c r="AA67">
        <f>HYPERLINK("https://klasma.github.io/Logging_2085/klagomål/A 21876-2026 FSC-klagomål.docx", "A 21876-2026")</f>
        <v/>
      </c>
      <c r="AB67">
        <f>HYPERLINK("https://klasma.github.io/Logging_2085/klagomålsmail/A 21876-2026 FSC-klagomål mail.docx", "A 21876-2026")</f>
        <v/>
      </c>
      <c r="AC67">
        <f>HYPERLINK("https://klasma.github.io/Logging_2085/tillsyn/A 21876-2026 tillsynsbegäran.docx", "A 21876-2026")</f>
        <v/>
      </c>
      <c r="AD67">
        <f>HYPERLINK("https://klasma.github.io/Logging_2085/tillsynsmail/A 21876-2026 tillsynsbegäran mail.docx", "A 21876-2026")</f>
        <v/>
      </c>
      <c r="AE67">
        <f>HYPERLINK("https://klasma.github.io/Logging_2085/fåglar/A 21876-2026 prioriterade fågelarter.docx", "A 21876-2026")</f>
        <v/>
      </c>
    </row>
    <row r="68" ht="15" customHeight="1">
      <c r="A68" t="inlineStr">
        <is>
          <t>A 19512-2022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44693</v>
      </c>
      <c r="E68" s="1" t="n">
        <v>46248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2.8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Tretåig hackspett
Nästlav</t>
        </is>
      </c>
      <c r="W68">
        <f>HYPERLINK("https://klasma.github.io/Logging_2085/artfynd/A 19512-2022 artfynd.xlsx", "A 19512-2022")</f>
        <v/>
      </c>
      <c r="X68">
        <f>HYPERLINK("https://klasma.github.io/Logging_2085/kartor/A 19512-2022 karta.png", "A 19512-2022")</f>
        <v/>
      </c>
      <c r="Y68">
        <f>HYPERLINK("https://klasma.github.io/Logging_2085/kartor_geotiff/A 19512-2022 georefererad karta.tif", "A 19512-2022")</f>
        <v/>
      </c>
      <c r="AA68">
        <f>HYPERLINK("https://klasma.github.io/Logging_2085/klagomål/A 19512-2022 FSC-klagomål.docx", "A 19512-2022")</f>
        <v/>
      </c>
      <c r="AB68">
        <f>HYPERLINK("https://klasma.github.io/Logging_2085/klagomålsmail/A 19512-2022 FSC-klagomål mail.docx", "A 19512-2022")</f>
        <v/>
      </c>
      <c r="AC68">
        <f>HYPERLINK("https://klasma.github.io/Logging_2085/tillsyn/A 19512-2022 tillsynsbegäran.docx", "A 19512-2022")</f>
        <v/>
      </c>
      <c r="AD68">
        <f>HYPERLINK("https://klasma.github.io/Logging_2085/tillsynsmail/A 19512-2022 tillsynsbegäran mail.docx", "A 19512-2022")</f>
        <v/>
      </c>
      <c r="AE68">
        <f>HYPERLINK("https://klasma.github.io/Logging_2085/fåglar/A 19512-2022 prioriterade fågelarter.docx", "A 19512-2022")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46248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42558-2022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46248</v>
      </c>
      <c r="F70" t="inlineStr">
        <is>
          <t>DALARNAS LÄN</t>
        </is>
      </c>
      <c r="G70" t="inlineStr">
        <is>
          <t>LUDVIKA</t>
        </is>
      </c>
      <c r="H70" t="inlineStr">
        <is>
          <t>Naturvårdsverket</t>
        </is>
      </c>
      <c r="I70" t="n">
        <v>4.9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Gräddporing
Lopplummer (aggregat)</t>
        </is>
      </c>
      <c r="W70">
        <f>HYPERLINK("https://klasma.github.io/Logging_2085/artfynd/A 42558-2022 artfynd.xlsx", "A 42558-2022")</f>
        <v/>
      </c>
      <c r="X70">
        <f>HYPERLINK("https://klasma.github.io/Logging_2085/kartor/A 42558-2022 karta.png", "A 42558-2022")</f>
        <v/>
      </c>
      <c r="Y70">
        <f>HYPERLINK("https://klasma.github.io/Logging_2085/kartor_geotiff/A 42558-2022 georefererad karta.tif", "A 42558-2022")</f>
        <v/>
      </c>
      <c r="AA70">
        <f>HYPERLINK("https://klasma.github.io/Logging_2085/klagomål/A 42558-2022 FSC-klagomål.docx", "A 42558-2022")</f>
        <v/>
      </c>
      <c r="AB70">
        <f>HYPERLINK("https://klasma.github.io/Logging_2085/klagomålsmail/A 42558-2022 FSC-klagomål mail.docx", "A 42558-2022")</f>
        <v/>
      </c>
      <c r="AC70">
        <f>HYPERLINK("https://klasma.github.io/Logging_2085/tillsyn/A 42558-2022 tillsynsbegäran.docx", "A 42558-2022")</f>
        <v/>
      </c>
      <c r="AD70">
        <f>HYPERLINK("https://klasma.github.io/Logging_2085/tillsynsmail/A 42558-2022 tillsynsbegäran mail.docx", "A 42558-2022")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46248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31070-2026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46216</v>
      </c>
      <c r="E72" s="1" t="n">
        <v>46248</v>
      </c>
      <c r="F72" t="inlineStr">
        <is>
          <t>DALARNAS LÄN</t>
        </is>
      </c>
      <c r="G72" t="inlineStr">
        <is>
          <t>LUDVIKA</t>
        </is>
      </c>
      <c r="I72" t="n">
        <v>8.9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Blåsippa</t>
        </is>
      </c>
      <c r="W72">
        <f>HYPERLINK("https://klasma.github.io/Logging_2085/artfynd/A 31070-2026 artfynd.xlsx", "A 31070-2026")</f>
        <v/>
      </c>
      <c r="X72">
        <f>HYPERLINK("https://klasma.github.io/Logging_2085/kartor/A 31070-2026 karta.png", "A 31070-2026")</f>
        <v/>
      </c>
      <c r="Y72">
        <f>HYPERLINK("https://klasma.github.io/Logging_2085/kartor_geotiff/A 31070-2026 georefererad karta.tif", "A 31070-2026")</f>
        <v/>
      </c>
      <c r="Z72">
        <f>HYPERLINK("https://klasma.github.io/Logging_2085/knärot/A 31070-2026 karta knärot.png", "A 31070-2026")</f>
        <v/>
      </c>
      <c r="AA72">
        <f>HYPERLINK("https://klasma.github.io/Logging_2085/klagomål/A 31070-2026 FSC-klagomål.docx", "A 31070-2026")</f>
        <v/>
      </c>
      <c r="AB72">
        <f>HYPERLINK("https://klasma.github.io/Logging_2085/klagomålsmail/A 31070-2026 FSC-klagomål mail.docx", "A 31070-2026")</f>
        <v/>
      </c>
      <c r="AC72">
        <f>HYPERLINK("https://klasma.github.io/Logging_2085/tillsyn/A 31070-2026 tillsynsbegäran.docx", "A 31070-2026")</f>
        <v/>
      </c>
      <c r="AD72">
        <f>HYPERLINK("https://klasma.github.io/Logging_2085/tillsynsmail/A 31070-2026 tillsynsbegäran mail.docx", "A 31070-2026")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46248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50170-2025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46248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Labyrintlav
Gulnål</t>
        </is>
      </c>
      <c r="W74">
        <f>HYPERLINK("https://klasma.github.io/Logging_2085/artfynd/A 50170-2025 artfynd.xlsx", "A 50170-2025")</f>
        <v/>
      </c>
      <c r="X74">
        <f>HYPERLINK("https://klasma.github.io/Logging_2085/kartor/A 50170-2025 karta.png", "A 50170-2025")</f>
        <v/>
      </c>
      <c r="Y74">
        <f>HYPERLINK("https://klasma.github.io/Logging_2085/kartor_geotiff/A 50170-2025 georefererad karta.tif", "A 50170-2025")</f>
        <v/>
      </c>
      <c r="AA74">
        <f>HYPERLINK("https://klasma.github.io/Logging_2085/klagomål/A 50170-2025 FSC-klagomål.docx", "A 50170-2025")</f>
        <v/>
      </c>
      <c r="AB74">
        <f>HYPERLINK("https://klasma.github.io/Logging_2085/klagomålsmail/A 50170-2025 FSC-klagomål mail.docx", "A 50170-2025")</f>
        <v/>
      </c>
      <c r="AC74">
        <f>HYPERLINK("https://klasma.github.io/Logging_2085/tillsyn/A 50170-2025 tillsynsbegäran.docx", "A 50170-2025")</f>
        <v/>
      </c>
      <c r="AD74">
        <f>HYPERLINK("https://klasma.github.io/Logging_2085/tillsynsmail/A 50170-2025 tillsynsbegäran mail.docx", "A 50170-2025")</f>
        <v/>
      </c>
    </row>
    <row r="75" ht="15" customHeight="1">
      <c r="A75" t="inlineStr">
        <is>
          <t>A 23919-2026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46167</v>
      </c>
      <c r="E75" s="1" t="n">
        <v>46248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Korallblylav
Skinnlav</t>
        </is>
      </c>
      <c r="W75">
        <f>HYPERLINK("https://klasma.github.io/Logging_2085/artfynd/A 23919-2026 artfynd.xlsx", "A 23919-2026")</f>
        <v/>
      </c>
      <c r="X75">
        <f>HYPERLINK("https://klasma.github.io/Logging_2085/kartor/A 23919-2026 karta.png", "A 23919-2026")</f>
        <v/>
      </c>
      <c r="Y75">
        <f>HYPERLINK("https://klasma.github.io/Logging_2085/kartor_geotiff/A 23919-2026 georefererad karta.tif", "A 23919-2026")</f>
        <v/>
      </c>
      <c r="AA75">
        <f>HYPERLINK("https://klasma.github.io/Logging_2085/klagomål/A 23919-2026 FSC-klagomål.docx", "A 23919-2026")</f>
        <v/>
      </c>
      <c r="AB75">
        <f>HYPERLINK("https://klasma.github.io/Logging_2085/klagomålsmail/A 23919-2026 FSC-klagomål mail.docx", "A 23919-2026")</f>
        <v/>
      </c>
      <c r="AC75">
        <f>HYPERLINK("https://klasma.github.io/Logging_2085/tillsyn/A 23919-2026 tillsynsbegäran.docx", "A 23919-2026")</f>
        <v/>
      </c>
      <c r="AD75">
        <f>HYPERLINK("https://klasma.github.io/Logging_2085/tillsynsmail/A 23919-2026 tillsynsbegäran mail.docx", "A 23919-2026")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46248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56826-2025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46248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4.5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8</v>
      </c>
      <c r="U77" t="n">
        <v>8</v>
      </c>
      <c r="V77" s="2" t="inlineStr">
        <is>
          <t>Garnlav
Tretåig hackspett</t>
        </is>
      </c>
      <c r="W77">
        <f>HYPERLINK("https://klasma.github.io/Logging_2085/artfynd/A 56826-2025 artfynd.xlsx", "A 56826-2025")</f>
        <v/>
      </c>
      <c r="X77">
        <f>HYPERLINK("https://klasma.github.io/Logging_2085/kartor/A 56826-2025 karta.png", "A 56826-2025")</f>
        <v/>
      </c>
      <c r="Y77">
        <f>HYPERLINK("https://klasma.github.io/Logging_2085/kartor_geotiff/A 56826-2025 georefererad karta.tif", "A 56826-2025")</f>
        <v/>
      </c>
      <c r="AA77">
        <f>HYPERLINK("https://klasma.github.io/Logging_2085/klagomål/A 56826-2025 FSC-klagomål.docx", "A 56826-2025")</f>
        <v/>
      </c>
      <c r="AB77">
        <f>HYPERLINK("https://klasma.github.io/Logging_2085/klagomålsmail/A 56826-2025 FSC-klagomål mail.docx", "A 56826-2025")</f>
        <v/>
      </c>
      <c r="AC77">
        <f>HYPERLINK("https://klasma.github.io/Logging_2085/tillsyn/A 56826-2025 tillsynsbegäran.docx", "A 56826-2025")</f>
        <v/>
      </c>
      <c r="AD77">
        <f>HYPERLINK("https://klasma.github.io/Logging_2085/tillsynsmail/A 56826-2025 tillsynsbegäran mail.docx", "A 56826-2025")</f>
        <v/>
      </c>
      <c r="AE77">
        <f>HYPERLINK("https://klasma.github.io/Logging_2085/fåglar/A 56826-2025 prioriterade fågelarter.docx", "A 56826-2025")</f>
        <v/>
      </c>
    </row>
    <row r="78" ht="15" customHeight="1">
      <c r="A78" t="inlineStr">
        <is>
          <t>A 8202-2025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46248</v>
      </c>
      <c r="F78" t="inlineStr">
        <is>
          <t>DALARNAS LÄN</t>
        </is>
      </c>
      <c r="G78" t="inlineStr">
        <is>
          <t>LUDVIKA</t>
        </is>
      </c>
      <c r="I78" t="n">
        <v>6.4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7</v>
      </c>
      <c r="U78" t="n">
        <v>7</v>
      </c>
      <c r="V78" s="2" t="inlineStr">
        <is>
          <t>Tretåig hackspett
Spillkråka</t>
        </is>
      </c>
      <c r="W78">
        <f>HYPERLINK("https://klasma.github.io/Logging_2085/artfynd/A 8202-2025 artfynd.xlsx", "A 8202-2025")</f>
        <v/>
      </c>
      <c r="X78">
        <f>HYPERLINK("https://klasma.github.io/Logging_2085/kartor/A 8202-2025 karta.png", "A 8202-2025")</f>
        <v/>
      </c>
      <c r="Y78">
        <f>HYPERLINK("https://klasma.github.io/Logging_2085/kartor_geotiff/A 8202-2025 georefererad karta.tif", "A 8202-2025")</f>
        <v/>
      </c>
      <c r="AA78">
        <f>HYPERLINK("https://klasma.github.io/Logging_2085/klagomål/A 8202-2025 FSC-klagomål.docx", "A 8202-2025")</f>
        <v/>
      </c>
      <c r="AB78">
        <f>HYPERLINK("https://klasma.github.io/Logging_2085/klagomålsmail/A 8202-2025 FSC-klagomål mail.docx", "A 8202-2025")</f>
        <v/>
      </c>
      <c r="AC78">
        <f>HYPERLINK("https://klasma.github.io/Logging_2085/tillsyn/A 8202-2025 tillsynsbegäran.docx", "A 8202-2025")</f>
        <v/>
      </c>
      <c r="AD78">
        <f>HYPERLINK("https://klasma.github.io/Logging_2085/tillsynsmail/A 8202-2025 tillsynsbegäran mail.docx", "A 8202-2025")</f>
        <v/>
      </c>
      <c r="AE78">
        <f>HYPERLINK("https://klasma.github.io/Logging_2085/fåglar/A 8202-2025 prioriterade fågelarter.docx", "A 8202-2025")</f>
        <v/>
      </c>
    </row>
    <row r="79" ht="15" customHeight="1">
      <c r="A79" t="inlineStr">
        <is>
          <t>A 24426-2026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46168</v>
      </c>
      <c r="E79" s="1" t="n">
        <v>46248</v>
      </c>
      <c r="F79" t="inlineStr">
        <is>
          <t>DALARNAS LÄN</t>
        </is>
      </c>
      <c r="G79" t="inlineStr">
        <is>
          <t>LUDVIKA</t>
        </is>
      </c>
      <c r="H79" t="inlineStr">
        <is>
          <t>Övriga Aktiebolag</t>
        </is>
      </c>
      <c r="I79" t="n">
        <v>12.4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Spillkråka
Sälg</t>
        </is>
      </c>
      <c r="W79">
        <f>HYPERLINK("https://klasma.github.io/Logging_2085/artfynd/A 24426-2026 artfynd.xlsx", "A 24426-2026")</f>
        <v/>
      </c>
      <c r="X79">
        <f>HYPERLINK("https://klasma.github.io/Logging_2085/kartor/A 24426-2026 karta.png", "A 24426-2026")</f>
        <v/>
      </c>
      <c r="Y79">
        <f>HYPERLINK("https://klasma.github.io/Logging_2085/kartor_geotiff/A 24426-2026 georefererad karta.tif", "A 24426-2026")</f>
        <v/>
      </c>
      <c r="AA79">
        <f>HYPERLINK("https://klasma.github.io/Logging_2085/klagomål/A 24426-2026 FSC-klagomål.docx", "A 24426-2026")</f>
        <v/>
      </c>
      <c r="AB79">
        <f>HYPERLINK("https://klasma.github.io/Logging_2085/klagomålsmail/A 24426-2026 FSC-klagomål mail.docx", "A 24426-2026")</f>
        <v/>
      </c>
      <c r="AC79">
        <f>HYPERLINK("https://klasma.github.io/Logging_2085/tillsyn/A 24426-2026 tillsynsbegäran.docx", "A 24426-2026")</f>
        <v/>
      </c>
      <c r="AD79">
        <f>HYPERLINK("https://klasma.github.io/Logging_2085/tillsynsmail/A 24426-2026 tillsynsbegäran mail.docx", "A 24426-2026")</f>
        <v/>
      </c>
      <c r="AE79">
        <f>HYPERLINK("https://klasma.github.io/Logging_2085/fåglar/A 24426-2026 prioriterade fågelarter.docx", "A 24426-2026")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46248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28639-2026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46248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Blå taggsvamp
Motaggsvamp</t>
        </is>
      </c>
      <c r="W81">
        <f>HYPERLINK("https://klasma.github.io/Logging_2085/artfynd/A 28639-2026 artfynd.xlsx", "A 28639-2026")</f>
        <v/>
      </c>
      <c r="X81">
        <f>HYPERLINK("https://klasma.github.io/Logging_2085/kartor/A 28639-2026 karta.png", "A 28639-2026")</f>
        <v/>
      </c>
      <c r="Y81">
        <f>HYPERLINK("https://klasma.github.io/Logging_2085/kartor_geotiff/A 28639-2026 georefererad karta.tif", "A 28639-2026")</f>
        <v/>
      </c>
      <c r="AA81">
        <f>HYPERLINK("https://klasma.github.io/Logging_2085/klagomål/A 28639-2026 FSC-klagomål.docx", "A 28639-2026")</f>
        <v/>
      </c>
      <c r="AB81">
        <f>HYPERLINK("https://klasma.github.io/Logging_2085/klagomålsmail/A 28639-2026 FSC-klagomål mail.docx", "A 28639-2026")</f>
        <v/>
      </c>
      <c r="AC81">
        <f>HYPERLINK("https://klasma.github.io/Logging_2085/tillsyn/A 28639-2026 tillsynsbegäran.docx", "A 28639-2026")</f>
        <v/>
      </c>
      <c r="AD81">
        <f>HYPERLINK("https://klasma.github.io/Logging_2085/tillsynsmail/A 28639-2026 tillsynsbegäran mail.docx", "A 28639-2026")</f>
        <v/>
      </c>
    </row>
    <row r="82" ht="15" customHeight="1">
      <c r="A82" t="inlineStr">
        <is>
          <t>A 49763-2025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46248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6.9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Dvärgbägarlav
Vedticka</t>
        </is>
      </c>
      <c r="W82">
        <f>HYPERLINK("https://klasma.github.io/Logging_2085/artfynd/A 49763-2025 artfynd.xlsx", "A 49763-2025")</f>
        <v/>
      </c>
      <c r="X82">
        <f>HYPERLINK("https://klasma.github.io/Logging_2085/kartor/A 49763-2025 karta.png", "A 49763-2025")</f>
        <v/>
      </c>
      <c r="Y82">
        <f>HYPERLINK("https://klasma.github.io/Logging_2085/kartor_geotiff/A 49763-2025 georefererad karta.tif", "A 49763-2025")</f>
        <v/>
      </c>
      <c r="AA82">
        <f>HYPERLINK("https://klasma.github.io/Logging_2085/klagomål/A 49763-2025 FSC-klagomål.docx", "A 49763-2025")</f>
        <v/>
      </c>
      <c r="AB82">
        <f>HYPERLINK("https://klasma.github.io/Logging_2085/klagomålsmail/A 49763-2025 FSC-klagomål mail.docx", "A 49763-2025")</f>
        <v/>
      </c>
      <c r="AC82">
        <f>HYPERLINK("https://klasma.github.io/Logging_2085/tillsyn/A 49763-2025 tillsynsbegäran.docx", "A 49763-2025")</f>
        <v/>
      </c>
      <c r="AD82">
        <f>HYPERLINK("https://klasma.github.io/Logging_2085/tillsynsmail/A 49763-2025 tillsynsbegäran mail.docx", "A 49763-2025")</f>
        <v/>
      </c>
    </row>
    <row r="83" ht="15" customHeight="1">
      <c r="A83" t="inlineStr">
        <is>
          <t>A 63116-2025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46248</v>
      </c>
      <c r="F83" t="inlineStr">
        <is>
          <t>DALARNAS LÄN</t>
        </is>
      </c>
      <c r="G83" t="inlineStr">
        <is>
          <t>LUDVIKA</t>
        </is>
      </c>
      <c r="I83" t="n">
        <v>4.8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Björksplintborre</t>
        </is>
      </c>
      <c r="W83">
        <f>HYPERLINK("https://klasma.github.io/Logging_2085/artfynd/A 63116-2025 artfynd.xlsx", "A 63116-2025")</f>
        <v/>
      </c>
      <c r="X83">
        <f>HYPERLINK("https://klasma.github.io/Logging_2085/kartor/A 63116-2025 karta.png", "A 63116-2025")</f>
        <v/>
      </c>
      <c r="Y83">
        <f>HYPERLINK("https://klasma.github.io/Logging_2085/kartor_geotiff/A 63116-2025 georefererad karta.tif", "A 63116-2025")</f>
        <v/>
      </c>
      <c r="AA83">
        <f>HYPERLINK("https://klasma.github.io/Logging_2085/klagomål/A 63116-2025 FSC-klagomål.docx", "A 63116-2025")</f>
        <v/>
      </c>
      <c r="AB83">
        <f>HYPERLINK("https://klasma.github.io/Logging_2085/klagomålsmail/A 63116-2025 FSC-klagomål mail.docx", "A 63116-2025")</f>
        <v/>
      </c>
      <c r="AC83">
        <f>HYPERLINK("https://klasma.github.io/Logging_2085/tillsyn/A 63116-2025 tillsynsbegäran.docx", "A 63116-2025")</f>
        <v/>
      </c>
      <c r="AD83">
        <f>HYPERLINK("https://klasma.github.io/Logging_2085/tillsynsmail/A 63116-2025 tillsynsbegäran mail.docx", "A 63116-2025")</f>
        <v/>
      </c>
    </row>
    <row r="84" ht="15" customHeight="1">
      <c r="A84" t="inlineStr">
        <is>
          <t>A 56879-2025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46248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Tjäder</t>
        </is>
      </c>
      <c r="W84">
        <f>HYPERLINK("https://klasma.github.io/Logging_2085/artfynd/A 56879-2025 artfynd.xlsx", "A 56879-2025")</f>
        <v/>
      </c>
      <c r="X84">
        <f>HYPERLINK("https://klasma.github.io/Logging_2085/kartor/A 56879-2025 karta.png", "A 56879-2025")</f>
        <v/>
      </c>
      <c r="Y84">
        <f>HYPERLINK("https://klasma.github.io/Logging_2085/kartor_geotiff/A 56879-2025 georefererad karta.tif", "A 56879-2025")</f>
        <v/>
      </c>
      <c r="AA84">
        <f>HYPERLINK("https://klasma.github.io/Logging_2085/klagomål/A 56879-2025 FSC-klagomål.docx", "A 56879-2025")</f>
        <v/>
      </c>
      <c r="AB84">
        <f>HYPERLINK("https://klasma.github.io/Logging_2085/klagomålsmail/A 56879-2025 FSC-klagomål mail.docx", "A 56879-2025")</f>
        <v/>
      </c>
      <c r="AC84">
        <f>HYPERLINK("https://klasma.github.io/Logging_2085/tillsyn/A 56879-2025 tillsynsbegäran.docx", "A 56879-2025")</f>
        <v/>
      </c>
      <c r="AD84">
        <f>HYPERLINK("https://klasma.github.io/Logging_2085/tillsynsmail/A 56879-2025 tillsynsbegäran mail.docx", "A 56879-2025")</f>
        <v/>
      </c>
      <c r="AE84">
        <f>HYPERLINK("https://klasma.github.io/Logging_2085/fåglar/A 56879-2025 prioriterade fågelarter.docx", "A 56879-2025")</f>
        <v/>
      </c>
    </row>
    <row r="85" ht="15" customHeight="1">
      <c r="A85" t="inlineStr">
        <is>
          <t>A 19538-2026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46134</v>
      </c>
      <c r="E85" s="1" t="n">
        <v>46248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3.8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Mörk husmossa
Tibast</t>
        </is>
      </c>
      <c r="W85">
        <f>HYPERLINK("https://klasma.github.io/Logging_2085/artfynd/A 19538-2026 artfynd.xlsx", "A 19538-2026")</f>
        <v/>
      </c>
      <c r="X85">
        <f>HYPERLINK("https://klasma.github.io/Logging_2085/kartor/A 19538-2026 karta.png", "A 19538-2026")</f>
        <v/>
      </c>
      <c r="Y85">
        <f>HYPERLINK("https://klasma.github.io/Logging_2085/kartor_geotiff/A 19538-2026 georefererad karta.tif", "A 19538-2026")</f>
        <v/>
      </c>
      <c r="AA85">
        <f>HYPERLINK("https://klasma.github.io/Logging_2085/klagomål/A 19538-2026 FSC-klagomål.docx", "A 19538-2026")</f>
        <v/>
      </c>
      <c r="AB85">
        <f>HYPERLINK("https://klasma.github.io/Logging_2085/klagomålsmail/A 19538-2026 FSC-klagomål mail.docx", "A 19538-2026")</f>
        <v/>
      </c>
      <c r="AC85">
        <f>HYPERLINK("https://klasma.github.io/Logging_2085/tillsyn/A 19538-2026 tillsynsbegäran.docx", "A 19538-2026")</f>
        <v/>
      </c>
      <c r="AD85">
        <f>HYPERLINK("https://klasma.github.io/Logging_2085/tillsynsmail/A 19538-2026 tillsynsbegäran mail.docx", "A 19538-2026")</f>
        <v/>
      </c>
    </row>
    <row r="86" ht="15" customHeight="1">
      <c r="A86" t="inlineStr">
        <is>
          <t>S 296-2025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45687</v>
      </c>
      <c r="E86" s="1" t="n">
        <v>46248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278.6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Brunpudrad nållav
Rödgul trumpetsvamp</t>
        </is>
      </c>
      <c r="W86">
        <f>HYPERLINK("https://klasma.github.io/Logging_2085/artfynd/S 296-2025 artfynd.xlsx", "S 296-2025")</f>
        <v/>
      </c>
      <c r="X86">
        <f>HYPERLINK("https://klasma.github.io/Logging_2085/kartor/S 296-2025 karta.png", "S 296-2025")</f>
        <v/>
      </c>
      <c r="Y86">
        <f>HYPERLINK("https://klasma.github.io/Logging_2085/kartor_geotiff/S 296-2025 georefererad karta.tif", "S 296-2025")</f>
        <v/>
      </c>
      <c r="AA86">
        <f>HYPERLINK("https://klasma.github.io/Logging_2085/klagomål/S 296-2025 FSC-klagomål.docx", "S 296-2025")</f>
        <v/>
      </c>
      <c r="AB86">
        <f>HYPERLINK("https://klasma.github.io/Logging_2085/klagomålsmail/S 296-2025 FSC-klagomål mail.docx", "S 296-2025")</f>
        <v/>
      </c>
      <c r="AC86">
        <f>HYPERLINK("https://klasma.github.io/Logging_2085/tillsyn/S 296-2025 tillsynsbegäran.docx", "S 296-2025")</f>
        <v/>
      </c>
      <c r="AD86">
        <f>HYPERLINK("https://klasma.github.io/Logging_2085/tillsynsmail/S 296-2025 tillsynsbegäran mail.docx", "S 296-2025")</f>
        <v/>
      </c>
    </row>
    <row r="87" ht="15" customHeight="1">
      <c r="A87" t="inlineStr">
        <is>
          <t>S 3586-2025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46010</v>
      </c>
      <c r="E87" s="1" t="n">
        <v>46248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275.6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1</v>
      </c>
      <c r="V87" s="2" t="inlineStr">
        <is>
          <t>Garnlav
Järpe</t>
        </is>
      </c>
      <c r="W87">
        <f>HYPERLINK("https://klasma.github.io/Logging_2085/artfynd/S 3586-2025 artfynd.xlsx", "S 3586-2025")</f>
        <v/>
      </c>
      <c r="X87">
        <f>HYPERLINK("https://klasma.github.io/Logging_2085/kartor/S 3586-2025 karta.png", "S 3586-2025")</f>
        <v/>
      </c>
      <c r="Y87">
        <f>HYPERLINK("https://klasma.github.io/Logging_2085/kartor_geotiff/S 3586-2025 georefererad karta.tif", "S 3586-2025")</f>
        <v/>
      </c>
      <c r="AA87">
        <f>HYPERLINK("https://klasma.github.io/Logging_2085/klagomål/S 3586-2025 FSC-klagomål.docx", "S 3586-2025")</f>
        <v/>
      </c>
      <c r="AB87">
        <f>HYPERLINK("https://klasma.github.io/Logging_2085/klagomålsmail/S 3586-2025 FSC-klagomål mail.docx", "S 3586-2025")</f>
        <v/>
      </c>
      <c r="AC87">
        <f>HYPERLINK("https://klasma.github.io/Logging_2085/tillsyn/S 3586-2025 tillsynsbegäran.docx", "S 3586-2025")</f>
        <v/>
      </c>
      <c r="AD87">
        <f>HYPERLINK("https://klasma.github.io/Logging_2085/tillsynsmail/S 3586-2025 tillsynsbegäran mail.docx", "S 3586-2025")</f>
        <v/>
      </c>
      <c r="AE87">
        <f>HYPERLINK("https://klasma.github.io/Logging_2085/fåglar/S 3586-2025 prioriterade fågelarter.docx", "S 3586-2025")</f>
        <v/>
      </c>
    </row>
    <row r="88" ht="15" customHeight="1">
      <c r="A88" t="inlineStr">
        <is>
          <t>A 45995-2021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44441</v>
      </c>
      <c r="E88" s="1" t="n">
        <v>46248</v>
      </c>
      <c r="F88" t="inlineStr">
        <is>
          <t>DALARNAS LÄN</t>
        </is>
      </c>
      <c r="G88" t="inlineStr">
        <is>
          <t>LUDVIKA</t>
        </is>
      </c>
      <c r="I88" t="n">
        <v>1.2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Nordfladdermus</t>
        </is>
      </c>
      <c r="W88">
        <f>HYPERLINK("https://klasma.github.io/Logging_2085/artfynd/A 45995-2021 artfynd.xlsx", "A 45995-2021")</f>
        <v/>
      </c>
      <c r="X88">
        <f>HYPERLINK("https://klasma.github.io/Logging_2085/kartor/A 45995-2021 karta.png", "A 45995-2021")</f>
        <v/>
      </c>
      <c r="Y88">
        <f>HYPERLINK("https://klasma.github.io/Logging_2085/kartor_geotiff/A 45995-2021 georefererad karta.tif", "A 45995-2021")</f>
        <v/>
      </c>
      <c r="AA88">
        <f>HYPERLINK("https://klasma.github.io/Logging_2085/klagomål/A 45995-2021 FSC-klagomål.docx", "A 45995-2021")</f>
        <v/>
      </c>
      <c r="AB88">
        <f>HYPERLINK("https://klasma.github.io/Logging_2085/klagomålsmail/A 45995-2021 FSC-klagomål mail.docx", "A 45995-2021")</f>
        <v/>
      </c>
      <c r="AC88">
        <f>HYPERLINK("https://klasma.github.io/Logging_2085/tillsyn/A 45995-2021 tillsynsbegäran.docx", "A 45995-2021")</f>
        <v/>
      </c>
      <c r="AD88">
        <f>HYPERLINK("https://klasma.github.io/Logging_2085/tillsynsmail/A 45995-2021 tillsynsbegäran mail.docx", "A 45995-2021")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46248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46248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46248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46248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26850-2023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46248</v>
      </c>
      <c r="F93" t="inlineStr">
        <is>
          <t>DALARNAS LÄN</t>
        </is>
      </c>
      <c r="G93" t="inlineStr">
        <is>
          <t>LUDVIKA</t>
        </is>
      </c>
      <c r="H93" t="inlineStr">
        <is>
          <t>Naturvårdsverket</t>
        </is>
      </c>
      <c r="I93" t="n">
        <v>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HYPERLINK("https://klasma.github.io/Logging_2085/artfynd/A 26850-2023 artfynd.xlsx", "A 26850-2023")</f>
        <v/>
      </c>
      <c r="X93">
        <f>HYPERLINK("https://klasma.github.io/Logging_2085/kartor/A 26850-2023 karta.png", "A 26850-2023")</f>
        <v/>
      </c>
      <c r="Y93">
        <f>HYPERLINK("https://klasma.github.io/Logging_2085/kartor_geotiff/A 26850-2023 georefererad karta.tif", "A 26850-2023")</f>
        <v/>
      </c>
      <c r="AA93">
        <f>HYPERLINK("https://klasma.github.io/Logging_2085/klagomål/A 26850-2023 FSC-klagomål.docx", "A 26850-2023")</f>
        <v/>
      </c>
      <c r="AB93">
        <f>HYPERLINK("https://klasma.github.io/Logging_2085/klagomålsmail/A 26850-2023 FSC-klagomål mail.docx", "A 26850-2023")</f>
        <v/>
      </c>
      <c r="AC93">
        <f>HYPERLINK("https://klasma.github.io/Logging_2085/tillsyn/A 26850-2023 tillsynsbegäran.docx", "A 26850-2023")</f>
        <v/>
      </c>
      <c r="AD93">
        <f>HYPERLINK("https://klasma.github.io/Logging_2085/tillsynsmail/A 26850-2023 tillsynsbegäran mail.docx", "A 26850-2023")</f>
        <v/>
      </c>
    </row>
    <row r="94" ht="15" customHeight="1">
      <c r="A94" t="inlineStr">
        <is>
          <t>A 400-2023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44929</v>
      </c>
      <c r="E94" s="1" t="n">
        <v>46248</v>
      </c>
      <c r="F94" t="inlineStr">
        <is>
          <t>DALARNAS LÄN</t>
        </is>
      </c>
      <c r="G94" t="inlineStr">
        <is>
          <t>LUDVIKA</t>
        </is>
      </c>
      <c r="I94" t="n">
        <v>3.6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Nordfladdermus</t>
        </is>
      </c>
      <c r="W94">
        <f>HYPERLINK("https://klasma.github.io/Logging_2085/artfynd/A 400-2023 artfynd.xlsx", "A 400-2023")</f>
        <v/>
      </c>
      <c r="X94">
        <f>HYPERLINK("https://klasma.github.io/Logging_2085/kartor/A 400-2023 karta.png", "A 400-2023")</f>
        <v/>
      </c>
      <c r="Y94">
        <f>HYPERLINK("https://klasma.github.io/Logging_2085/kartor_geotiff/A 400-2023 georefererad karta.tif", "A 400-2023")</f>
        <v/>
      </c>
      <c r="AA94">
        <f>HYPERLINK("https://klasma.github.io/Logging_2085/klagomål/A 400-2023 FSC-klagomål.docx", "A 400-2023")</f>
        <v/>
      </c>
      <c r="AB94">
        <f>HYPERLINK("https://klasma.github.io/Logging_2085/klagomålsmail/A 400-2023 FSC-klagomål mail.docx", "A 400-2023")</f>
        <v/>
      </c>
      <c r="AC94">
        <f>HYPERLINK("https://klasma.github.io/Logging_2085/tillsyn/A 400-2023 tillsynsbegäran.docx", "A 400-2023")</f>
        <v/>
      </c>
      <c r="AD94">
        <f>HYPERLINK("https://klasma.github.io/Logging_2085/tillsynsmail/A 400-2023 tillsynsbegäran mail.docx", "A 400-2023")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46248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46248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31478-2023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45114</v>
      </c>
      <c r="E97" s="1" t="n">
        <v>46248</v>
      </c>
      <c r="F97" t="inlineStr">
        <is>
          <t>DALARNAS LÄN</t>
        </is>
      </c>
      <c r="G97" t="inlineStr">
        <is>
          <t>LUDVIKA</t>
        </is>
      </c>
      <c r="I97" t="n">
        <v>6.2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HYPERLINK("https://klasma.github.io/Logging_2085/artfynd/A 31478-2023 artfynd.xlsx", "A 31478-2023")</f>
        <v/>
      </c>
      <c r="X97">
        <f>HYPERLINK("https://klasma.github.io/Logging_2085/kartor/A 31478-2023 karta.png", "A 31478-2023")</f>
        <v/>
      </c>
      <c r="Y97">
        <f>HYPERLINK("https://klasma.github.io/Logging_2085/kartor_geotiff/A 31478-2023 georefererad karta.tif", "A 31478-2023")</f>
        <v/>
      </c>
      <c r="AA97">
        <f>HYPERLINK("https://klasma.github.io/Logging_2085/klagomål/A 31478-2023 FSC-klagomål.docx", "A 31478-2023")</f>
        <v/>
      </c>
      <c r="AB97">
        <f>HYPERLINK("https://klasma.github.io/Logging_2085/klagomålsmail/A 31478-2023 FSC-klagomål mail.docx", "A 31478-2023")</f>
        <v/>
      </c>
      <c r="AC97">
        <f>HYPERLINK("https://klasma.github.io/Logging_2085/tillsyn/A 31478-2023 tillsynsbegäran.docx", "A 31478-2023")</f>
        <v/>
      </c>
      <c r="AD97">
        <f>HYPERLINK("https://klasma.github.io/Logging_2085/tillsynsmail/A 31478-2023 tillsynsbegäran mail.docx", "A 31478-2023")</f>
        <v/>
      </c>
    </row>
    <row r="98" ht="15" customHeight="1">
      <c r="A98" t="inlineStr">
        <is>
          <t>A 25448-2024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45463</v>
      </c>
      <c r="E98" s="1" t="n">
        <v>46248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24.7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Blåsippa</t>
        </is>
      </c>
      <c r="W98">
        <f>HYPERLINK("https://klasma.github.io/Logging_2085/artfynd/A 25448-2024 artfynd.xlsx", "A 25448-2024")</f>
        <v/>
      </c>
      <c r="X98">
        <f>HYPERLINK("https://klasma.github.io/Logging_2085/kartor/A 25448-2024 karta.png", "A 25448-2024")</f>
        <v/>
      </c>
      <c r="Y98">
        <f>HYPERLINK("https://klasma.github.io/Logging_2085/kartor_geotiff/A 25448-2024 georefererad karta.tif", "A 25448-2024")</f>
        <v/>
      </c>
      <c r="AA98">
        <f>HYPERLINK("https://klasma.github.io/Logging_2085/klagomål/A 25448-2024 FSC-klagomål.docx", "A 25448-2024")</f>
        <v/>
      </c>
      <c r="AB98">
        <f>HYPERLINK("https://klasma.github.io/Logging_2085/klagomålsmail/A 25448-2024 FSC-klagomål mail.docx", "A 25448-2024")</f>
        <v/>
      </c>
      <c r="AC98">
        <f>HYPERLINK("https://klasma.github.io/Logging_2085/tillsyn/A 25448-2024 tillsynsbegäran.docx", "A 25448-2024")</f>
        <v/>
      </c>
      <c r="AD98">
        <f>HYPERLINK("https://klasma.github.io/Logging_2085/tillsynsmail/A 25448-2024 tillsynsbegäran mail.docx", "A 25448-2024")</f>
        <v/>
      </c>
    </row>
    <row r="99" ht="15" customHeight="1">
      <c r="A99" t="inlineStr">
        <is>
          <t>A 62275-2022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46248</v>
      </c>
      <c r="F99" t="inlineStr">
        <is>
          <t>DALARNAS LÄN</t>
        </is>
      </c>
      <c r="G99" t="inlineStr">
        <is>
          <t>LUDVIKA</t>
        </is>
      </c>
      <c r="I99" t="n">
        <v>4.6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Knärot</t>
        </is>
      </c>
      <c r="W99">
        <f>HYPERLINK("https://klasma.github.io/Logging_2085/artfynd/A 62275-2022 artfynd.xlsx", "A 62275-2022")</f>
        <v/>
      </c>
      <c r="X99">
        <f>HYPERLINK("https://klasma.github.io/Logging_2085/kartor/A 62275-2022 karta.png", "A 62275-2022")</f>
        <v/>
      </c>
      <c r="Y99">
        <f>HYPERLINK("https://klasma.github.io/Logging_2085/kartor_geotiff/A 62275-2022 georefererad karta.tif", "A 62275-2022")</f>
        <v/>
      </c>
      <c r="Z99">
        <f>HYPERLINK("https://klasma.github.io/Logging_2085/knärot/A 62275-2022 karta knärot.png", "A 62275-2022")</f>
        <v/>
      </c>
      <c r="AA99">
        <f>HYPERLINK("https://klasma.github.io/Logging_2085/klagomål/A 62275-2022 FSC-klagomål.docx", "A 62275-2022")</f>
        <v/>
      </c>
      <c r="AB99">
        <f>HYPERLINK("https://klasma.github.io/Logging_2085/klagomålsmail/A 62275-2022 FSC-klagomål mail.docx", "A 62275-2022")</f>
        <v/>
      </c>
      <c r="AC99">
        <f>HYPERLINK("https://klasma.github.io/Logging_2085/tillsyn/A 62275-2022 tillsynsbegäran.docx", "A 62275-2022")</f>
        <v/>
      </c>
      <c r="AD99">
        <f>HYPERLINK("https://klasma.github.io/Logging_2085/tillsynsmail/A 62275-2022 tillsynsbegäran mail.docx", "A 62275-2022")</f>
        <v/>
      </c>
    </row>
    <row r="100" ht="15" customHeight="1">
      <c r="A100" t="inlineStr">
        <is>
          <t>A 25588-2023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46248</v>
      </c>
      <c r="F100" t="inlineStr">
        <is>
          <t>DALARNAS LÄN</t>
        </is>
      </c>
      <c r="G100" t="inlineStr">
        <is>
          <t>LUDVIKA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Garnlav</t>
        </is>
      </c>
      <c r="W100">
        <f>HYPERLINK("https://klasma.github.io/Logging_2085/artfynd/A 25588-2023 artfynd.xlsx", "A 25588-2023")</f>
        <v/>
      </c>
      <c r="X100">
        <f>HYPERLINK("https://klasma.github.io/Logging_2085/kartor/A 25588-2023 karta.png", "A 25588-2023")</f>
        <v/>
      </c>
      <c r="Y100">
        <f>HYPERLINK("https://klasma.github.io/Logging_2085/kartor_geotiff/A 25588-2023 georefererad karta.tif", "A 25588-2023")</f>
        <v/>
      </c>
      <c r="AA100">
        <f>HYPERLINK("https://klasma.github.io/Logging_2085/klagomål/A 25588-2023 FSC-klagomål.docx", "A 25588-2023")</f>
        <v/>
      </c>
      <c r="AB100">
        <f>HYPERLINK("https://klasma.github.io/Logging_2085/klagomålsmail/A 25588-2023 FSC-klagomål mail.docx", "A 25588-2023")</f>
        <v/>
      </c>
      <c r="AC100">
        <f>HYPERLINK("https://klasma.github.io/Logging_2085/tillsyn/A 25588-2023 tillsynsbegäran.docx", "A 25588-2023")</f>
        <v/>
      </c>
      <c r="AD100">
        <f>HYPERLINK("https://klasma.github.io/Logging_2085/tillsynsmail/A 25588-2023 tillsynsbegäran mail.docx", "A 25588-2023")</f>
        <v/>
      </c>
    </row>
    <row r="101" ht="15" customHeight="1">
      <c r="A101" t="inlineStr">
        <is>
          <t>A 6579-2023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44960</v>
      </c>
      <c r="E101" s="1" t="n">
        <v>46248</v>
      </c>
      <c r="F101" t="inlineStr">
        <is>
          <t>DALARNAS LÄN</t>
        </is>
      </c>
      <c r="G101" t="inlineStr">
        <is>
          <t>LUDVIKA</t>
        </is>
      </c>
      <c r="I101" t="n">
        <v>3.4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Blomkålssvamp</t>
        </is>
      </c>
      <c r="W101">
        <f>HYPERLINK("https://klasma.github.io/Logging_2085/artfynd/A 6579-2023 artfynd.xlsx", "A 6579-2023")</f>
        <v/>
      </c>
      <c r="X101">
        <f>HYPERLINK("https://klasma.github.io/Logging_2085/kartor/A 6579-2023 karta.png", "A 6579-2023")</f>
        <v/>
      </c>
      <c r="Y101">
        <f>HYPERLINK("https://klasma.github.io/Logging_2085/kartor_geotiff/A 6579-2023 georefererad karta.tif", "A 6579-2023")</f>
        <v/>
      </c>
      <c r="AA101">
        <f>HYPERLINK("https://klasma.github.io/Logging_2085/klagomål/A 6579-2023 FSC-klagomål.docx", "A 6579-2023")</f>
        <v/>
      </c>
      <c r="AB101">
        <f>HYPERLINK("https://klasma.github.io/Logging_2085/klagomålsmail/A 6579-2023 FSC-klagomål mail.docx", "A 6579-2023")</f>
        <v/>
      </c>
      <c r="AC101">
        <f>HYPERLINK("https://klasma.github.io/Logging_2085/tillsyn/A 6579-2023 tillsynsbegäran.docx", "A 6579-2023")</f>
        <v/>
      </c>
      <c r="AD101">
        <f>HYPERLINK("https://klasma.github.io/Logging_2085/tillsynsmail/A 6579-2023 tillsynsbegäran mail.docx", "A 6579-2023")</f>
        <v/>
      </c>
    </row>
    <row r="102" ht="15" customHeight="1">
      <c r="A102" t="inlineStr">
        <is>
          <t>A 55550-2022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46248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Ögonpyrola</t>
        </is>
      </c>
      <c r="W102">
        <f>HYPERLINK("https://klasma.github.io/Logging_2085/artfynd/A 55550-2022 artfynd.xlsx", "A 55550-2022")</f>
        <v/>
      </c>
      <c r="X102">
        <f>HYPERLINK("https://klasma.github.io/Logging_2085/kartor/A 55550-2022 karta.png", "A 55550-2022")</f>
        <v/>
      </c>
      <c r="Y102">
        <f>HYPERLINK("https://klasma.github.io/Logging_2085/kartor_geotiff/A 55550-2022 georefererad karta.tif", "A 55550-2022")</f>
        <v/>
      </c>
      <c r="AA102">
        <f>HYPERLINK("https://klasma.github.io/Logging_2085/klagomål/A 55550-2022 FSC-klagomål.docx", "A 55550-2022")</f>
        <v/>
      </c>
      <c r="AB102">
        <f>HYPERLINK("https://klasma.github.io/Logging_2085/klagomålsmail/A 55550-2022 FSC-klagomål mail.docx", "A 55550-2022")</f>
        <v/>
      </c>
      <c r="AC102">
        <f>HYPERLINK("https://klasma.github.io/Logging_2085/tillsyn/A 55550-2022 tillsynsbegäran.docx", "A 55550-2022")</f>
        <v/>
      </c>
      <c r="AD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12093-2023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46248</v>
      </c>
      <c r="F103" t="inlineStr">
        <is>
          <t>DALARNAS LÄN</t>
        </is>
      </c>
      <c r="G103" t="inlineStr">
        <is>
          <t>LUDVIKA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Bitter taggsvamp</t>
        </is>
      </c>
      <c r="W103">
        <f>HYPERLINK("https://klasma.github.io/Logging_2085/artfynd/A 12093-2023 artfynd.xlsx", "A 12093-2023")</f>
        <v/>
      </c>
      <c r="X103">
        <f>HYPERLINK("https://klasma.github.io/Logging_2085/kartor/A 12093-2023 karta.png", "A 12093-2023")</f>
        <v/>
      </c>
      <c r="Y103">
        <f>HYPERLINK("https://klasma.github.io/Logging_2085/kartor_geotiff/A 12093-2023 georefererad karta.tif", "A 12093-2023")</f>
        <v/>
      </c>
      <c r="AA103">
        <f>HYPERLINK("https://klasma.github.io/Logging_2085/klagomål/A 12093-2023 FSC-klagomål.docx", "A 12093-2023")</f>
        <v/>
      </c>
      <c r="AB103">
        <f>HYPERLINK("https://klasma.github.io/Logging_2085/klagomålsmail/A 12093-2023 FSC-klagomål mail.docx", "A 12093-2023")</f>
        <v/>
      </c>
      <c r="AC103">
        <f>HYPERLINK("https://klasma.github.io/Logging_2085/tillsyn/A 12093-2023 tillsynsbegäran.docx", "A 12093-2023")</f>
        <v/>
      </c>
      <c r="AD103">
        <f>HYPERLINK("https://klasma.github.io/Logging_2085/tillsynsmail/A 12093-2023 tillsynsbegäran mail.docx", "A 12093-2023")</f>
        <v/>
      </c>
    </row>
    <row r="104" ht="15" customHeight="1">
      <c r="A104" t="inlineStr">
        <is>
          <t>A 51886-2022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46248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Brun gräsfjäril</t>
        </is>
      </c>
      <c r="W104">
        <f>HYPERLINK("https://klasma.github.io/Logging_2085/artfynd/A 51886-2022 artfynd.xlsx", "A 51886-2022")</f>
        <v/>
      </c>
      <c r="X104">
        <f>HYPERLINK("https://klasma.github.io/Logging_2085/kartor/A 51886-2022 karta.png", "A 51886-2022")</f>
        <v/>
      </c>
      <c r="Y104">
        <f>HYPERLINK("https://klasma.github.io/Logging_2085/kartor_geotiff/A 51886-2022 georefererad karta.tif", "A 51886-2022")</f>
        <v/>
      </c>
      <c r="AA104">
        <f>HYPERLINK("https://klasma.github.io/Logging_2085/klagomål/A 51886-2022 FSC-klagomål.docx", "A 51886-2022")</f>
        <v/>
      </c>
      <c r="AB104">
        <f>HYPERLINK("https://klasma.github.io/Logging_2085/klagomålsmail/A 51886-2022 FSC-klagomål mail.docx", "A 51886-2022")</f>
        <v/>
      </c>
      <c r="AC104">
        <f>HYPERLINK("https://klasma.github.io/Logging_2085/tillsyn/A 51886-2022 tillsynsbegäran.docx", "A 51886-2022")</f>
        <v/>
      </c>
      <c r="AD104">
        <f>HYPERLINK("https://klasma.github.io/Logging_2085/tillsynsmail/A 51886-2022 tillsynsbegäran mail.docx", "A 51886-2022")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46248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17987-2025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46248</v>
      </c>
      <c r="F106" t="inlineStr">
        <is>
          <t>DALARNAS LÄN</t>
        </is>
      </c>
      <c r="G106" t="inlineStr">
        <is>
          <t>LUDVIKA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HYPERLINK("https://klasma.github.io/Logging_2085/artfynd/A 17987-2025 artfynd.xlsx", "A 17987-2025")</f>
        <v/>
      </c>
      <c r="X106">
        <f>HYPERLINK("https://klasma.github.io/Logging_2085/kartor/A 17987-2025 karta.png", "A 17987-2025")</f>
        <v/>
      </c>
      <c r="Y106">
        <f>HYPERLINK("https://klasma.github.io/Logging_2085/kartor_geotiff/A 17987-2025 georefererad karta.tif", "A 17987-2025")</f>
        <v/>
      </c>
      <c r="AA106">
        <f>HYPERLINK("https://klasma.github.io/Logging_2085/klagomål/A 17987-2025 FSC-klagomål.docx", "A 17987-2025")</f>
        <v/>
      </c>
      <c r="AB106">
        <f>HYPERLINK("https://klasma.github.io/Logging_2085/klagomålsmail/A 17987-2025 FSC-klagomål mail.docx", "A 17987-2025")</f>
        <v/>
      </c>
      <c r="AC106">
        <f>HYPERLINK("https://klasma.github.io/Logging_2085/tillsyn/A 17987-2025 tillsynsbegäran.docx", "A 17987-2025")</f>
        <v/>
      </c>
      <c r="AD106">
        <f>HYPERLINK("https://klasma.github.io/Logging_2085/tillsynsmail/A 17987-2025 tillsynsbegäran mail.docx", "A 17987-2025")</f>
        <v/>
      </c>
      <c r="AE106">
        <f>HYPERLINK("https://klasma.github.io/Logging_2085/fåglar/A 17987-2025 prioriterade fågelarter.docx", "A 17987-2025")</f>
        <v/>
      </c>
    </row>
    <row r="107" ht="15" customHeight="1">
      <c r="A107" t="inlineStr">
        <is>
          <t>A 56119-2021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44477</v>
      </c>
      <c r="E107" s="1" t="n">
        <v>46248</v>
      </c>
      <c r="F107" t="inlineStr">
        <is>
          <t>DALARNAS LÄN</t>
        </is>
      </c>
      <c r="G107" t="inlineStr">
        <is>
          <t>LUDVIKA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HYPERLINK("https://klasma.github.io/Logging_2085/artfynd/A 56119-2021 artfynd.xlsx", "A 56119-2021")</f>
        <v/>
      </c>
      <c r="X107">
        <f>HYPERLINK("https://klasma.github.io/Logging_2085/kartor/A 56119-2021 karta.png", "A 56119-2021")</f>
        <v/>
      </c>
      <c r="Y107">
        <f>HYPERLINK("https://klasma.github.io/Logging_2085/kartor_geotiff/A 56119-2021 georefererad karta.tif", "A 56119-2021")</f>
        <v/>
      </c>
      <c r="AA107">
        <f>HYPERLINK("https://klasma.github.io/Logging_2085/klagomål/A 56119-2021 FSC-klagomål.docx", "A 56119-2021")</f>
        <v/>
      </c>
      <c r="AB107">
        <f>HYPERLINK("https://klasma.github.io/Logging_2085/klagomålsmail/A 56119-2021 FSC-klagomål mail.docx", "A 56119-2021")</f>
        <v/>
      </c>
      <c r="AC107">
        <f>HYPERLINK("https://klasma.github.io/Logging_2085/tillsyn/A 56119-2021 tillsynsbegäran.docx", "A 56119-2021")</f>
        <v/>
      </c>
      <c r="AD107">
        <f>HYPERLINK("https://klasma.github.io/Logging_2085/tillsynsmail/A 56119-2021 tillsynsbegäran mail.docx", "A 56119-2021")</f>
        <v/>
      </c>
    </row>
    <row r="108" ht="15" customHeight="1">
      <c r="A108" t="inlineStr">
        <is>
          <t>A 21499-2022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46248</v>
      </c>
      <c r="F108" t="inlineStr">
        <is>
          <t>DALARNAS LÄN</t>
        </is>
      </c>
      <c r="G108" t="inlineStr">
        <is>
          <t>LUDVIKA</t>
        </is>
      </c>
      <c r="I108" t="n">
        <v>4.3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Strimspindling</t>
        </is>
      </c>
      <c r="W108">
        <f>HYPERLINK("https://klasma.github.io/Logging_2085/artfynd/A 21499-2022 artfynd.xlsx", "A 21499-2022")</f>
        <v/>
      </c>
      <c r="X108">
        <f>HYPERLINK("https://klasma.github.io/Logging_2085/kartor/A 21499-2022 karta.png", "A 21499-2022")</f>
        <v/>
      </c>
      <c r="Y108">
        <f>HYPERLINK("https://klasma.github.io/Logging_2085/kartor_geotiff/A 21499-2022 georefererad karta.tif", "A 21499-2022")</f>
        <v/>
      </c>
      <c r="AA108">
        <f>HYPERLINK("https://klasma.github.io/Logging_2085/klagomål/A 21499-2022 FSC-klagomål.docx", "A 21499-2022")</f>
        <v/>
      </c>
      <c r="AB108">
        <f>HYPERLINK("https://klasma.github.io/Logging_2085/klagomålsmail/A 21499-2022 FSC-klagomål mail.docx", "A 21499-2022")</f>
        <v/>
      </c>
      <c r="AC108">
        <f>HYPERLINK("https://klasma.github.io/Logging_2085/tillsyn/A 21499-2022 tillsynsbegäran.docx", "A 21499-2022")</f>
        <v/>
      </c>
      <c r="AD108">
        <f>HYPERLINK("https://klasma.github.io/Logging_2085/tillsynsmail/A 21499-2022 tillsynsbegäran mail.docx", "A 21499-2022")</f>
        <v/>
      </c>
    </row>
    <row r="109" ht="15" customHeight="1">
      <c r="A109" t="inlineStr">
        <is>
          <t>A 3687-2024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46248</v>
      </c>
      <c r="F109" t="inlineStr">
        <is>
          <t>DALARNAS LÄN</t>
        </is>
      </c>
      <c r="G109" t="inlineStr">
        <is>
          <t>LUDVIKA</t>
        </is>
      </c>
      <c r="I109" t="n">
        <v>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Nordfladdermus</t>
        </is>
      </c>
      <c r="W109">
        <f>HYPERLINK("https://klasma.github.io/Logging_2085/artfynd/A 3687-2024 artfynd.xlsx", "A 3687-2024")</f>
        <v/>
      </c>
      <c r="X109">
        <f>HYPERLINK("https://klasma.github.io/Logging_2085/kartor/A 3687-2024 karta.png", "A 3687-2024")</f>
        <v/>
      </c>
      <c r="Y109">
        <f>HYPERLINK("https://klasma.github.io/Logging_2085/kartor_geotiff/A 3687-2024 georefererad karta.tif", "A 3687-2024")</f>
        <v/>
      </c>
      <c r="AA109">
        <f>HYPERLINK("https://klasma.github.io/Logging_2085/klagomål/A 3687-2024 FSC-klagomål.docx", "A 3687-2024")</f>
        <v/>
      </c>
      <c r="AB109">
        <f>HYPERLINK("https://klasma.github.io/Logging_2085/klagomålsmail/A 3687-2024 FSC-klagomål mail.docx", "A 3687-2024")</f>
        <v/>
      </c>
      <c r="AC109">
        <f>HYPERLINK("https://klasma.github.io/Logging_2085/tillsyn/A 3687-2024 tillsynsbegäran.docx", "A 3687-2024")</f>
        <v/>
      </c>
      <c r="AD109">
        <f>HYPERLINK("https://klasma.github.io/Logging_2085/tillsynsmail/A 3687-2024 tillsynsbegäran mail.docx", "A 3687-2024")</f>
        <v/>
      </c>
    </row>
    <row r="110" ht="15" customHeight="1">
      <c r="A110" t="inlineStr">
        <is>
          <t>A 33560-2023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45131</v>
      </c>
      <c r="E110" s="1" t="n">
        <v>46248</v>
      </c>
      <c r="F110" t="inlineStr">
        <is>
          <t>DALARNAS LÄN</t>
        </is>
      </c>
      <c r="G110" t="inlineStr">
        <is>
          <t>LUDVIKA</t>
        </is>
      </c>
      <c r="I110" t="n">
        <v>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vattensalamander</t>
        </is>
      </c>
      <c r="W110">
        <f>HYPERLINK("https://klasma.github.io/Logging_2085/artfynd/A 33560-2023 artfynd.xlsx", "A 33560-2023")</f>
        <v/>
      </c>
      <c r="X110">
        <f>HYPERLINK("https://klasma.github.io/Logging_2085/kartor/A 33560-2023 karta.png", "A 33560-2023")</f>
        <v/>
      </c>
      <c r="Y110">
        <f>HYPERLINK("https://klasma.github.io/Logging_2085/kartor_geotiff/A 33560-2023 georefererad karta.tif", "A 33560-2023")</f>
        <v/>
      </c>
      <c r="AA110">
        <f>HYPERLINK("https://klasma.github.io/Logging_2085/klagomål/A 33560-2023 FSC-klagomål.docx", "A 33560-2023")</f>
        <v/>
      </c>
      <c r="AB110">
        <f>HYPERLINK("https://klasma.github.io/Logging_2085/klagomålsmail/A 33560-2023 FSC-klagomål mail.docx", "A 33560-2023")</f>
        <v/>
      </c>
      <c r="AC110">
        <f>HYPERLINK("https://klasma.github.io/Logging_2085/tillsyn/A 33560-2023 tillsynsbegäran.docx", "A 33560-2023")</f>
        <v/>
      </c>
      <c r="AD110">
        <f>HYPERLINK("https://klasma.github.io/Logging_2085/tillsynsmail/A 33560-2023 tillsynsbegäran mail.docx", "A 33560-2023")</f>
        <v/>
      </c>
    </row>
    <row r="111" ht="15" customHeight="1">
      <c r="A111" t="inlineStr">
        <is>
          <t>A 29733-2025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46248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10.4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Stuplav</t>
        </is>
      </c>
      <c r="W111">
        <f>HYPERLINK("https://klasma.github.io/Logging_2085/artfynd/A 29733-2025 artfynd.xlsx", "A 29733-2025")</f>
        <v/>
      </c>
      <c r="X111">
        <f>HYPERLINK("https://klasma.github.io/Logging_2085/kartor/A 29733-2025 karta.png", "A 29733-2025")</f>
        <v/>
      </c>
      <c r="Y111">
        <f>HYPERLINK("https://klasma.github.io/Logging_2085/kartor_geotiff/A 29733-2025 georefererad karta.tif", "A 29733-2025")</f>
        <v/>
      </c>
      <c r="AA111">
        <f>HYPERLINK("https://klasma.github.io/Logging_2085/klagomål/A 29733-2025 FSC-klagomål.docx", "A 29733-2025")</f>
        <v/>
      </c>
      <c r="AB111">
        <f>HYPERLINK("https://klasma.github.io/Logging_2085/klagomålsmail/A 29733-2025 FSC-klagomål mail.docx", "A 29733-2025")</f>
        <v/>
      </c>
      <c r="AC111">
        <f>HYPERLINK("https://klasma.github.io/Logging_2085/tillsyn/A 29733-2025 tillsynsbegäran.docx", "A 29733-2025")</f>
        <v/>
      </c>
      <c r="AD111">
        <f>HYPERLINK("https://klasma.github.io/Logging_2085/tillsynsmail/A 29733-2025 tillsynsbegäran mail.docx", "A 29733-2025")</f>
        <v/>
      </c>
    </row>
    <row r="112" ht="15" customHeight="1">
      <c r="A112" t="inlineStr">
        <is>
          <t>A 74401-2021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44560</v>
      </c>
      <c r="E112" s="1" t="n">
        <v>46248</v>
      </c>
      <c r="F112" t="inlineStr">
        <is>
          <t>DALARNAS LÄN</t>
        </is>
      </c>
      <c r="G112" t="inlineStr">
        <is>
          <t>LUDVIKA</t>
        </is>
      </c>
      <c r="H112" t="inlineStr">
        <is>
          <t>Kommuner</t>
        </is>
      </c>
      <c r="I112" t="n">
        <v>0.6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Gullgröppa</t>
        </is>
      </c>
      <c r="W112">
        <f>HYPERLINK("https://klasma.github.io/Logging_2085/artfynd/A 74401-2021 artfynd.xlsx", "A 74401-2021")</f>
        <v/>
      </c>
      <c r="X112">
        <f>HYPERLINK("https://klasma.github.io/Logging_2085/kartor/A 74401-2021 karta.png", "A 74401-2021")</f>
        <v/>
      </c>
      <c r="Y112">
        <f>HYPERLINK("https://klasma.github.io/Logging_2085/kartor_geotiff/A 74401-2021 georefererad karta.tif", "A 74401-2021")</f>
        <v/>
      </c>
      <c r="AA112">
        <f>HYPERLINK("https://klasma.github.io/Logging_2085/klagomål/A 74401-2021 FSC-klagomål.docx", "A 74401-2021")</f>
        <v/>
      </c>
      <c r="AB112">
        <f>HYPERLINK("https://klasma.github.io/Logging_2085/klagomålsmail/A 74401-2021 FSC-klagomål mail.docx", "A 74401-2021")</f>
        <v/>
      </c>
      <c r="AC112">
        <f>HYPERLINK("https://klasma.github.io/Logging_2085/tillsyn/A 74401-2021 tillsynsbegäran.docx", "A 74401-2021")</f>
        <v/>
      </c>
      <c r="AD112">
        <f>HYPERLINK("https://klasma.github.io/Logging_2085/tillsynsmail/A 74401-2021 tillsynsbegäran mail.docx", "A 74401-2021")</f>
        <v/>
      </c>
    </row>
    <row r="113" ht="15" customHeight="1">
      <c r="A113" t="inlineStr">
        <is>
          <t>A 21880-2026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46248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3.2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21880-2026 artfynd.xlsx", "A 21880-2026")</f>
        <v/>
      </c>
      <c r="X113">
        <f>HYPERLINK("https://klasma.github.io/Logging_2085/kartor/A 21880-2026 karta.png", "A 21880-2026")</f>
        <v/>
      </c>
      <c r="Y113">
        <f>HYPERLINK("https://klasma.github.io/Logging_2085/kartor_geotiff/A 21880-2026 georefererad karta.tif", "A 21880-2026")</f>
        <v/>
      </c>
      <c r="AA113">
        <f>HYPERLINK("https://klasma.github.io/Logging_2085/klagomål/A 21880-2026 FSC-klagomål.docx", "A 21880-2026")</f>
        <v/>
      </c>
      <c r="AB113">
        <f>HYPERLINK("https://klasma.github.io/Logging_2085/klagomålsmail/A 21880-2026 FSC-klagomål mail.docx", "A 21880-2026")</f>
        <v/>
      </c>
      <c r="AC113">
        <f>HYPERLINK("https://klasma.github.io/Logging_2085/tillsyn/A 21880-2026 tillsynsbegäran.docx", "A 21880-2026")</f>
        <v/>
      </c>
      <c r="AD113">
        <f>HYPERLINK("https://klasma.github.io/Logging_2085/tillsynsmail/A 21880-2026 tillsynsbegäran mail.docx", "A 21880-2026")</f>
        <v/>
      </c>
      <c r="AE113">
        <f>HYPERLINK("https://klasma.github.io/Logging_2085/fåglar/A 21880-2026 prioriterade fågelarter.docx", "A 21880-2026")</f>
        <v/>
      </c>
    </row>
    <row r="114" ht="15" customHeight="1">
      <c r="A114" t="inlineStr">
        <is>
          <t>A 29882-2024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45486</v>
      </c>
      <c r="E114" s="1" t="n">
        <v>46248</v>
      </c>
      <c r="F114" t="inlineStr">
        <is>
          <t>DALARNAS LÄN</t>
        </is>
      </c>
      <c r="G114" t="inlineStr">
        <is>
          <t>LUDVIKA</t>
        </is>
      </c>
      <c r="I114" t="n">
        <v>1.3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29882-2024 artfynd.xlsx", "A 29882-2024")</f>
        <v/>
      </c>
      <c r="X114">
        <f>HYPERLINK("https://klasma.github.io/Logging_2085/kartor/A 29882-2024 karta.png", "A 29882-2024")</f>
        <v/>
      </c>
      <c r="Y114">
        <f>HYPERLINK("https://klasma.github.io/Logging_2085/kartor_geotiff/A 29882-2024 georefererad karta.tif", "A 29882-2024")</f>
        <v/>
      </c>
      <c r="AA114">
        <f>HYPERLINK("https://klasma.github.io/Logging_2085/klagomål/A 29882-2024 FSC-klagomål.docx", "A 29882-2024")</f>
        <v/>
      </c>
      <c r="AB114">
        <f>HYPERLINK("https://klasma.github.io/Logging_2085/klagomålsmail/A 29882-2024 FSC-klagomål mail.docx", "A 29882-2024")</f>
        <v/>
      </c>
      <c r="AC114">
        <f>HYPERLINK("https://klasma.github.io/Logging_2085/tillsyn/A 29882-2024 tillsynsbegäran.docx", "A 29882-2024")</f>
        <v/>
      </c>
      <c r="AD114">
        <f>HYPERLINK("https://klasma.github.io/Logging_2085/tillsynsmail/A 29882-2024 tillsynsbegäran mail.docx", "A 29882-2024")</f>
        <v/>
      </c>
      <c r="AE114">
        <f>HYPERLINK("https://klasma.github.io/Logging_2085/fåglar/A 29882-2024 prioriterade fågelarter.docx", "A 29882-2024")</f>
        <v/>
      </c>
    </row>
    <row r="115" ht="15" customHeight="1">
      <c r="A115" t="inlineStr">
        <is>
          <t>A 23102-2025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45791</v>
      </c>
      <c r="E115" s="1" t="n">
        <v>46248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groda</t>
        </is>
      </c>
      <c r="W115">
        <f>HYPERLINK("https://klasma.github.io/Logging_2085/artfynd/A 23102-2025 artfynd.xlsx", "A 23102-2025")</f>
        <v/>
      </c>
      <c r="X115">
        <f>HYPERLINK("https://klasma.github.io/Logging_2085/kartor/A 23102-2025 karta.png", "A 23102-2025")</f>
        <v/>
      </c>
      <c r="Y115">
        <f>HYPERLINK("https://klasma.github.io/Logging_2085/kartor_geotiff/A 23102-2025 georefererad karta.tif", "A 23102-2025")</f>
        <v/>
      </c>
      <c r="AA115">
        <f>HYPERLINK("https://klasma.github.io/Logging_2085/klagomål/A 23102-2025 FSC-klagomål.docx", "A 23102-2025")</f>
        <v/>
      </c>
      <c r="AB115">
        <f>HYPERLINK("https://klasma.github.io/Logging_2085/klagomålsmail/A 23102-2025 FSC-klagomål mail.docx", "A 23102-2025")</f>
        <v/>
      </c>
      <c r="AC115">
        <f>HYPERLINK("https://klasma.github.io/Logging_2085/tillsyn/A 23102-2025 tillsynsbegäran.docx", "A 23102-2025")</f>
        <v/>
      </c>
      <c r="AD115">
        <f>HYPERLINK("https://klasma.github.io/Logging_2085/tillsynsmail/A 23102-2025 tillsynsbegäran mail.docx", "A 23102-2025")</f>
        <v/>
      </c>
    </row>
    <row r="116" ht="15" customHeight="1">
      <c r="A116" t="inlineStr">
        <is>
          <t>A 23720-2026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46248</v>
      </c>
      <c r="F116" t="inlineStr">
        <is>
          <t>DALARNAS LÄN</t>
        </is>
      </c>
      <c r="G116" t="inlineStr">
        <is>
          <t>LUDVIKA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HYPERLINK("https://klasma.github.io/Logging_2085/artfynd/A 23720-2026 artfynd.xlsx", "A 23720-2026")</f>
        <v/>
      </c>
      <c r="X116">
        <f>HYPERLINK("https://klasma.github.io/Logging_2085/kartor/A 23720-2026 karta.png", "A 23720-2026")</f>
        <v/>
      </c>
      <c r="Y116">
        <f>HYPERLINK("https://klasma.github.io/Logging_2085/kartor_geotiff/A 23720-2026 georefererad karta.tif", "A 23720-2026")</f>
        <v/>
      </c>
      <c r="AA116">
        <f>HYPERLINK("https://klasma.github.io/Logging_2085/klagomål/A 23720-2026 FSC-klagomål.docx", "A 23720-2026")</f>
        <v/>
      </c>
      <c r="AB116">
        <f>HYPERLINK("https://klasma.github.io/Logging_2085/klagomålsmail/A 23720-2026 FSC-klagomål mail.docx", "A 23720-2026")</f>
        <v/>
      </c>
      <c r="AC116">
        <f>HYPERLINK("https://klasma.github.io/Logging_2085/tillsyn/A 23720-2026 tillsynsbegäran.docx", "A 23720-2026")</f>
        <v/>
      </c>
      <c r="AD116">
        <f>HYPERLINK("https://klasma.github.io/Logging_2085/tillsynsmail/A 23720-2026 tillsynsbegäran mail.docx", "A 23720-2026")</f>
        <v/>
      </c>
      <c r="AE116">
        <f>HYPERLINK("https://klasma.github.io/Logging_2085/fåglar/A 23720-2026 prioriterade fågelarter.docx", "A 23720-2026")</f>
        <v/>
      </c>
    </row>
    <row r="117" ht="15" customHeight="1">
      <c r="A117" t="inlineStr">
        <is>
          <t>A 45791-2025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46248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3.2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Vitfläckig guldvinge</t>
        </is>
      </c>
      <c r="W117">
        <f>HYPERLINK("https://klasma.github.io/Logging_2085/artfynd/A 45791-2025 artfynd.xlsx", "A 45791-2025")</f>
        <v/>
      </c>
      <c r="X117">
        <f>HYPERLINK("https://klasma.github.io/Logging_2085/kartor/A 45791-2025 karta.png", "A 45791-2025")</f>
        <v/>
      </c>
      <c r="Y117">
        <f>HYPERLINK("https://klasma.github.io/Logging_2085/kartor_geotiff/A 45791-2025 georefererad karta.tif", "A 45791-2025")</f>
        <v/>
      </c>
      <c r="AA117">
        <f>HYPERLINK("https://klasma.github.io/Logging_2085/klagomål/A 45791-2025 FSC-klagomål.docx", "A 45791-2025")</f>
        <v/>
      </c>
      <c r="AB117">
        <f>HYPERLINK("https://klasma.github.io/Logging_2085/klagomålsmail/A 45791-2025 FSC-klagomål mail.docx", "A 45791-2025")</f>
        <v/>
      </c>
      <c r="AC117">
        <f>HYPERLINK("https://klasma.github.io/Logging_2085/tillsyn/A 45791-2025 tillsynsbegäran.docx", "A 45791-2025")</f>
        <v/>
      </c>
      <c r="AD117">
        <f>HYPERLINK("https://klasma.github.io/Logging_2085/tillsynsmail/A 45791-2025 tillsynsbegäran mail.docx", "A 45791-2025")</f>
        <v/>
      </c>
    </row>
    <row r="118" ht="15" customHeight="1">
      <c r="A118" t="inlineStr">
        <is>
          <t>A 45858-2025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46248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Granbarkgnagare</t>
        </is>
      </c>
      <c r="W118">
        <f>HYPERLINK("https://klasma.github.io/Logging_2085/artfynd/A 45858-2025 artfynd.xlsx", "A 45858-2025")</f>
        <v/>
      </c>
      <c r="X118">
        <f>HYPERLINK("https://klasma.github.io/Logging_2085/kartor/A 45858-2025 karta.png", "A 45858-2025")</f>
        <v/>
      </c>
      <c r="Y118">
        <f>HYPERLINK("https://klasma.github.io/Logging_2085/kartor_geotiff/A 45858-2025 georefererad karta.tif", "A 45858-2025")</f>
        <v/>
      </c>
      <c r="AA118">
        <f>HYPERLINK("https://klasma.github.io/Logging_2085/klagomål/A 45858-2025 FSC-klagomål.docx", "A 45858-2025")</f>
        <v/>
      </c>
      <c r="AB118">
        <f>HYPERLINK("https://klasma.github.io/Logging_2085/klagomålsmail/A 45858-2025 FSC-klagomål mail.docx", "A 45858-2025")</f>
        <v/>
      </c>
      <c r="AC118">
        <f>HYPERLINK("https://klasma.github.io/Logging_2085/tillsyn/A 45858-2025 tillsynsbegäran.docx", "A 45858-2025")</f>
        <v/>
      </c>
      <c r="AD118">
        <f>HYPERLINK("https://klasma.github.io/Logging_2085/tillsynsmail/A 45858-2025 tillsynsbegäran mail.docx", "A 45858-2025")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46248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63005-2025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46248</v>
      </c>
      <c r="F120" t="inlineStr">
        <is>
          <t>DALARNAS LÄN</t>
        </is>
      </c>
      <c r="G120" t="inlineStr">
        <is>
          <t>LUDVIKA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63005-2025 artfynd.xlsx", "A 63005-2025")</f>
        <v/>
      </c>
      <c r="X120">
        <f>HYPERLINK("https://klasma.github.io/Logging_2085/kartor/A 63005-2025 karta.png", "A 63005-2025")</f>
        <v/>
      </c>
      <c r="Y120">
        <f>HYPERLINK("https://klasma.github.io/Logging_2085/kartor_geotiff/A 63005-2025 georefererad karta.tif", "A 63005-2025")</f>
        <v/>
      </c>
      <c r="AA120">
        <f>HYPERLINK("https://klasma.github.io/Logging_2085/klagomål/A 63005-2025 FSC-klagomål.docx", "A 63005-2025")</f>
        <v/>
      </c>
      <c r="AB120">
        <f>HYPERLINK("https://klasma.github.io/Logging_2085/klagomålsmail/A 63005-2025 FSC-klagomål mail.docx", "A 63005-2025")</f>
        <v/>
      </c>
      <c r="AC120">
        <f>HYPERLINK("https://klasma.github.io/Logging_2085/tillsyn/A 63005-2025 tillsynsbegäran.docx", "A 63005-2025")</f>
        <v/>
      </c>
      <c r="AD120">
        <f>HYPERLINK("https://klasma.github.io/Logging_2085/tillsynsmail/A 63005-2025 tillsynsbegäran mail.docx", "A 63005-2025")</f>
        <v/>
      </c>
      <c r="AE120">
        <f>HYPERLINK("https://klasma.github.io/Logging_2085/fåglar/A 63005-2025 prioriterade fågelarter.docx", "A 63005-2025")</f>
        <v/>
      </c>
    </row>
    <row r="121" ht="15" customHeight="1">
      <c r="A121" t="inlineStr">
        <is>
          <t>A 25159-2026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46175</v>
      </c>
      <c r="E121" s="1" t="n">
        <v>46248</v>
      </c>
      <c r="F121" t="inlineStr">
        <is>
          <t>DALARNAS LÄN</t>
        </is>
      </c>
      <c r="G121" t="inlineStr">
        <is>
          <t>LUDVIKA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Tibast</t>
        </is>
      </c>
      <c r="W121">
        <f>HYPERLINK("https://klasma.github.io/Logging_2085/artfynd/A 25159-2026 artfynd.xlsx", "A 25159-2026")</f>
        <v/>
      </c>
      <c r="X121">
        <f>HYPERLINK("https://klasma.github.io/Logging_2085/kartor/A 25159-2026 karta.png", "A 25159-2026")</f>
        <v/>
      </c>
      <c r="Y121">
        <f>HYPERLINK("https://klasma.github.io/Logging_2085/kartor_geotiff/A 25159-2026 georefererad karta.tif", "A 25159-2026")</f>
        <v/>
      </c>
      <c r="AA121">
        <f>HYPERLINK("https://klasma.github.io/Logging_2085/klagomål/A 25159-2026 FSC-klagomål.docx", "A 25159-2026")</f>
        <v/>
      </c>
      <c r="AB121">
        <f>HYPERLINK("https://klasma.github.io/Logging_2085/klagomålsmail/A 25159-2026 FSC-klagomål mail.docx", "A 25159-2026")</f>
        <v/>
      </c>
      <c r="AC121">
        <f>HYPERLINK("https://klasma.github.io/Logging_2085/tillsyn/A 25159-2026 tillsynsbegäran.docx", "A 25159-2026")</f>
        <v/>
      </c>
      <c r="AD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31352-2026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46219</v>
      </c>
      <c r="E122" s="1" t="n">
        <v>46248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Tvåblad</t>
        </is>
      </c>
      <c r="W122">
        <f>HYPERLINK("https://klasma.github.io/Logging_2085/artfynd/A 31352-2026 artfynd.xlsx", "A 31352-2026")</f>
        <v/>
      </c>
      <c r="X122">
        <f>HYPERLINK("https://klasma.github.io/Logging_2085/kartor/A 31352-2026 karta.png", "A 31352-2026")</f>
        <v/>
      </c>
      <c r="Y122">
        <f>HYPERLINK("https://klasma.github.io/Logging_2085/kartor_geotiff/A 31352-2026 georefererad karta.tif", "A 31352-2026")</f>
        <v/>
      </c>
      <c r="AA122">
        <f>HYPERLINK("https://klasma.github.io/Logging_2085/klagomål/A 31352-2026 FSC-klagomål.docx", "A 31352-2026")</f>
        <v/>
      </c>
      <c r="AB122">
        <f>HYPERLINK("https://klasma.github.io/Logging_2085/klagomålsmail/A 31352-2026 FSC-klagomål mail.docx", "A 31352-2026")</f>
        <v/>
      </c>
      <c r="AC122">
        <f>HYPERLINK("https://klasma.github.io/Logging_2085/tillsyn/A 31352-2026 tillsynsbegäran.docx", "A 31352-2026")</f>
        <v/>
      </c>
      <c r="AD122">
        <f>HYPERLINK("https://klasma.github.io/Logging_2085/tillsynsmail/A 31352-2026 tillsynsbegäran mail.docx", "A 31352-2026")</f>
        <v/>
      </c>
    </row>
    <row r="123" ht="15" customHeight="1">
      <c r="A123" t="inlineStr">
        <is>
          <t>A 56655-2025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46248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8.5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56655-2025 artfynd.xlsx", "A 56655-2025")</f>
        <v/>
      </c>
      <c r="X123">
        <f>HYPERLINK("https://klasma.github.io/Logging_2085/kartor/A 56655-2025 karta.png", "A 56655-2025")</f>
        <v/>
      </c>
      <c r="Y123">
        <f>HYPERLINK("https://klasma.github.io/Logging_2085/kartor_geotiff/A 56655-2025 georefererad karta.tif", "A 56655-2025")</f>
        <v/>
      </c>
      <c r="AA123">
        <f>HYPERLINK("https://klasma.github.io/Logging_2085/klagomål/A 56655-2025 FSC-klagomål.docx", "A 56655-2025")</f>
        <v/>
      </c>
      <c r="AB123">
        <f>HYPERLINK("https://klasma.github.io/Logging_2085/klagomålsmail/A 56655-2025 FSC-klagomål mail.docx", "A 56655-2025")</f>
        <v/>
      </c>
      <c r="AC123">
        <f>HYPERLINK("https://klasma.github.io/Logging_2085/tillsyn/A 56655-2025 tillsynsbegäran.docx", "A 56655-2025")</f>
        <v/>
      </c>
      <c r="AD123">
        <f>HYPERLINK("https://klasma.github.io/Logging_2085/tillsynsmail/A 56655-2025 tillsynsbegäran mail.docx", "A 56655-2025")</f>
        <v/>
      </c>
      <c r="AE123">
        <f>HYPERLINK("https://klasma.github.io/Logging_2085/fåglar/A 56655-2025 prioriterade fågelarter.docx", "A 56655-2025")</f>
        <v/>
      </c>
    </row>
    <row r="124" ht="15" customHeight="1">
      <c r="A124" t="inlineStr">
        <is>
          <t>A 36050-2025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45866</v>
      </c>
      <c r="E124" s="1" t="n">
        <v>46248</v>
      </c>
      <c r="F124" t="inlineStr">
        <is>
          <t>DALARNAS LÄN</t>
        </is>
      </c>
      <c r="G124" t="inlineStr">
        <is>
          <t>LUDVIKA</t>
        </is>
      </c>
      <c r="I124" t="n">
        <v>1.4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Mindre hackspett</t>
        </is>
      </c>
      <c r="W124">
        <f>HYPERLINK("https://klasma.github.io/Logging_2085/artfynd/A 36050-2025 artfynd.xlsx", "A 36050-2025")</f>
        <v/>
      </c>
      <c r="X124">
        <f>HYPERLINK("https://klasma.github.io/Logging_2085/kartor/A 36050-2025 karta.png", "A 36050-2025")</f>
        <v/>
      </c>
      <c r="Y124">
        <f>HYPERLINK("https://klasma.github.io/Logging_2085/kartor_geotiff/A 36050-2025 georefererad karta.tif", "A 36050-2025")</f>
        <v/>
      </c>
      <c r="AA124">
        <f>HYPERLINK("https://klasma.github.io/Logging_2085/klagomål/A 36050-2025 FSC-klagomål.docx", "A 36050-2025")</f>
        <v/>
      </c>
      <c r="AB124">
        <f>HYPERLINK("https://klasma.github.io/Logging_2085/klagomålsmail/A 36050-2025 FSC-klagomål mail.docx", "A 36050-2025")</f>
        <v/>
      </c>
      <c r="AC124">
        <f>HYPERLINK("https://klasma.github.io/Logging_2085/tillsyn/A 36050-2025 tillsynsbegäran.docx", "A 36050-2025")</f>
        <v/>
      </c>
      <c r="AD124">
        <f>HYPERLINK("https://klasma.github.io/Logging_2085/tillsynsmail/A 36050-2025 tillsynsbegäran mail.docx", "A 36050-2025")</f>
        <v/>
      </c>
      <c r="AE124">
        <f>HYPERLINK("https://klasma.github.io/Logging_2085/fåglar/A 36050-2025 prioriterade fågelarter.docx", "A 36050-2025")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46248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60787-2024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46248</v>
      </c>
      <c r="F126" t="inlineStr">
        <is>
          <t>DALARNAS LÄN</t>
        </is>
      </c>
      <c r="G126" t="inlineStr">
        <is>
          <t>LUDVIKA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HYPERLINK("https://klasma.github.io/Logging_2085/artfynd/A 60787-2024 artfynd.xlsx", "A 60787-2024")</f>
        <v/>
      </c>
      <c r="X126">
        <f>HYPERLINK("https://klasma.github.io/Logging_2085/kartor/A 60787-2024 karta.png", "A 60787-2024")</f>
        <v/>
      </c>
      <c r="Y126">
        <f>HYPERLINK("https://klasma.github.io/Logging_2085/kartor_geotiff/A 60787-2024 georefererad karta.tif", "A 60787-2024")</f>
        <v/>
      </c>
      <c r="AA126">
        <f>HYPERLINK("https://klasma.github.io/Logging_2085/klagomål/A 60787-2024 FSC-klagomål.docx", "A 60787-2024")</f>
        <v/>
      </c>
      <c r="AB126">
        <f>HYPERLINK("https://klasma.github.io/Logging_2085/klagomålsmail/A 60787-2024 FSC-klagomål mail.docx", "A 60787-2024")</f>
        <v/>
      </c>
      <c r="AC126">
        <f>HYPERLINK("https://klasma.github.io/Logging_2085/tillsyn/A 60787-2024 tillsynsbegäran.docx", "A 60787-2024")</f>
        <v/>
      </c>
      <c r="AD126">
        <f>HYPERLINK("https://klasma.github.io/Logging_2085/tillsynsmail/A 60787-2024 tillsynsbegäran mail.docx", "A 60787-2024")</f>
        <v/>
      </c>
      <c r="AE126">
        <f>HYPERLINK("https://klasma.github.io/Logging_2085/fåglar/A 60787-2024 prioriterade fågelarter.docx", "A 60787-2024")</f>
        <v/>
      </c>
    </row>
    <row r="127" ht="15" customHeight="1">
      <c r="A127" t="inlineStr">
        <is>
          <t>A 59873-2025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46248</v>
      </c>
      <c r="F127" t="inlineStr">
        <is>
          <t>DALARNAS LÄN</t>
        </is>
      </c>
      <c r="G127" t="inlineStr">
        <is>
          <t>LUDVIKA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Lateritticka</t>
        </is>
      </c>
      <c r="W127">
        <f>HYPERLINK("https://klasma.github.io/Logging_2085/artfynd/A 59873-2025 artfynd.xlsx", "A 59873-2025")</f>
        <v/>
      </c>
      <c r="X127">
        <f>HYPERLINK("https://klasma.github.io/Logging_2085/kartor/A 59873-2025 karta.png", "A 59873-2025")</f>
        <v/>
      </c>
      <c r="Y127">
        <f>HYPERLINK("https://klasma.github.io/Logging_2085/kartor_geotiff/A 59873-2025 georefererad karta.tif", "A 59873-2025")</f>
        <v/>
      </c>
      <c r="AA127">
        <f>HYPERLINK("https://klasma.github.io/Logging_2085/klagomål/A 59873-2025 FSC-klagomål.docx", "A 59873-2025")</f>
        <v/>
      </c>
      <c r="AB127">
        <f>HYPERLINK("https://klasma.github.io/Logging_2085/klagomålsmail/A 59873-2025 FSC-klagomål mail.docx", "A 59873-2025")</f>
        <v/>
      </c>
      <c r="AC127">
        <f>HYPERLINK("https://klasma.github.io/Logging_2085/tillsyn/A 59873-2025 tillsynsbegäran.docx", "A 59873-2025")</f>
        <v/>
      </c>
      <c r="AD127">
        <f>HYPERLINK("https://klasma.github.io/Logging_2085/tillsynsmail/A 59873-2025 tillsynsbegäran mail.docx", "A 59873-2025")</f>
        <v/>
      </c>
    </row>
    <row r="128" ht="15" customHeight="1">
      <c r="A128" t="inlineStr">
        <is>
          <t>A 62676-2025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46248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4.2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HYPERLINK("https://klasma.github.io/Logging_2085/artfynd/A 62676-2025 artfynd.xlsx", "A 62676-2025")</f>
        <v/>
      </c>
      <c r="X128">
        <f>HYPERLINK("https://klasma.github.io/Logging_2085/kartor/A 62676-2025 karta.png", "A 62676-2025")</f>
        <v/>
      </c>
      <c r="Y128">
        <f>HYPERLINK("https://klasma.github.io/Logging_2085/kartor_geotiff/A 62676-2025 georefererad karta.tif", "A 62676-2025")</f>
        <v/>
      </c>
      <c r="AA128">
        <f>HYPERLINK("https://klasma.github.io/Logging_2085/klagomål/A 62676-2025 FSC-klagomål.docx", "A 62676-2025")</f>
        <v/>
      </c>
      <c r="AB128">
        <f>HYPERLINK("https://klasma.github.io/Logging_2085/klagomålsmail/A 62676-2025 FSC-klagomål mail.docx", "A 62676-2025")</f>
        <v/>
      </c>
      <c r="AC128">
        <f>HYPERLINK("https://klasma.github.io/Logging_2085/tillsyn/A 62676-2025 tillsynsbegäran.docx", "A 62676-2025")</f>
        <v/>
      </c>
      <c r="AD128">
        <f>HYPERLINK("https://klasma.github.io/Logging_2085/tillsynsmail/A 62676-2025 tillsynsbegäran mail.docx", "A 62676-2025")</f>
        <v/>
      </c>
    </row>
    <row r="129" ht="15" customHeight="1">
      <c r="A129" t="inlineStr">
        <is>
          <t>A 33399-2026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46247</v>
      </c>
      <c r="E129" s="1" t="n">
        <v>46248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HYPERLINK("https://klasma.github.io/Logging_2085/artfynd/A 33399-2026 artfynd.xlsx", "A 33399-2026")</f>
        <v/>
      </c>
      <c r="X129">
        <f>HYPERLINK("https://klasma.github.io/Logging_2085/kartor/A 33399-2026 karta.png", "A 33399-2026")</f>
        <v/>
      </c>
      <c r="Y129">
        <f>HYPERLINK("https://klasma.github.io/Logging_2085/kartor_geotiff/A 33399-2026 georefererad karta.tif", "A 33399-2026")</f>
        <v/>
      </c>
      <c r="AA129">
        <f>HYPERLINK("https://klasma.github.io/Logging_2085/klagomål/A 33399-2026 FSC-klagomål.docx", "A 33399-2026")</f>
        <v/>
      </c>
      <c r="AB129">
        <f>HYPERLINK("https://klasma.github.io/Logging_2085/klagomålsmail/A 33399-2026 FSC-klagomål mail.docx", "A 33399-2026")</f>
        <v/>
      </c>
      <c r="AC129">
        <f>HYPERLINK("https://klasma.github.io/Logging_2085/tillsyn/A 33399-2026 tillsynsbegäran.docx", "A 33399-2026")</f>
        <v/>
      </c>
      <c r="AD129">
        <f>HYPERLINK("https://klasma.github.io/Logging_2085/tillsynsmail/A 33399-2026 tillsynsbegäran mail.docx", "A 33399-2026")</f>
        <v/>
      </c>
      <c r="AE129">
        <f>HYPERLINK("https://klasma.github.io/Logging_2085/fåglar/A 33399-2026 prioriterade fågelarter.docx", "A 33399-2026")</f>
        <v/>
      </c>
    </row>
    <row r="130" ht="15" customHeight="1">
      <c r="A130" t="inlineStr">
        <is>
          <t>A 1237-2026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46248</v>
      </c>
      <c r="F130" t="inlineStr">
        <is>
          <t>DALARNAS LÄN</t>
        </is>
      </c>
      <c r="G130" t="inlineStr">
        <is>
          <t>LUDVIKA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3</v>
      </c>
      <c r="U130" t="n">
        <v>0</v>
      </c>
      <c r="V130" s="2" t="inlineStr">
        <is>
          <t>Fläcknycklar</t>
        </is>
      </c>
      <c r="W130">
        <f>HYPERLINK("https://klasma.github.io/Logging_2085/artfynd/A 1237-2026 artfynd.xlsx", "A 1237-2026")</f>
        <v/>
      </c>
      <c r="X130">
        <f>HYPERLINK("https://klasma.github.io/Logging_2085/kartor/A 1237-2026 karta.png", "A 1237-2026")</f>
        <v/>
      </c>
      <c r="Y130">
        <f>HYPERLINK("https://klasma.github.io/Logging_2085/kartor_geotiff/A 1237-2026 georefererad karta.tif", "A 1237-2026")</f>
        <v/>
      </c>
      <c r="AA130">
        <f>HYPERLINK("https://klasma.github.io/Logging_2085/klagomål/A 1237-2026 FSC-klagomål.docx", "A 1237-2026")</f>
        <v/>
      </c>
      <c r="AB130">
        <f>HYPERLINK("https://klasma.github.io/Logging_2085/klagomålsmail/A 1237-2026 FSC-klagomål mail.docx", "A 1237-2026")</f>
        <v/>
      </c>
      <c r="AC130">
        <f>HYPERLINK("https://klasma.github.io/Logging_2085/tillsyn/A 1237-2026 tillsynsbegäran.docx", "A 1237-2026")</f>
        <v/>
      </c>
      <c r="AD130">
        <f>HYPERLINK("https://klasma.github.io/Logging_2085/tillsynsmail/A 1237-2026 tillsynsbegäran mail.docx", "A 1237-2026")</f>
        <v/>
      </c>
    </row>
    <row r="131" ht="15" customHeight="1">
      <c r="A131" t="inlineStr">
        <is>
          <t>A 59947-2025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46248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Tjäder</t>
        </is>
      </c>
      <c r="W131">
        <f>HYPERLINK("https://klasma.github.io/Logging_2085/artfynd/A 59947-2025 artfynd.xlsx", "A 59947-2025")</f>
        <v/>
      </c>
      <c r="X131">
        <f>HYPERLINK("https://klasma.github.io/Logging_2085/kartor/A 59947-2025 karta.png", "A 59947-2025")</f>
        <v/>
      </c>
      <c r="Y131">
        <f>HYPERLINK("https://klasma.github.io/Logging_2085/kartor_geotiff/A 59947-2025 georefererad karta.tif", "A 59947-2025")</f>
        <v/>
      </c>
      <c r="AA131">
        <f>HYPERLINK("https://klasma.github.io/Logging_2085/klagomål/A 59947-2025 FSC-klagomål.docx", "A 59947-2025")</f>
        <v/>
      </c>
      <c r="AB131">
        <f>HYPERLINK("https://klasma.github.io/Logging_2085/klagomålsmail/A 59947-2025 FSC-klagomål mail.docx", "A 59947-2025")</f>
        <v/>
      </c>
      <c r="AC131">
        <f>HYPERLINK("https://klasma.github.io/Logging_2085/tillsyn/A 59947-2025 tillsynsbegäran.docx", "A 59947-2025")</f>
        <v/>
      </c>
      <c r="AD131">
        <f>HYPERLINK("https://klasma.github.io/Logging_2085/tillsynsmail/A 59947-2025 tillsynsbegäran mail.docx", "A 59947-2025")</f>
        <v/>
      </c>
      <c r="AE131">
        <f>HYPERLINK("https://klasma.github.io/Logging_2085/fåglar/A 59947-2025 prioriterade fågelarter.docx", "A 59947-2025")</f>
        <v/>
      </c>
    </row>
    <row r="132" ht="15" customHeight="1">
      <c r="A132" t="inlineStr">
        <is>
          <t>A 17338-2026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46248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Knärot</t>
        </is>
      </c>
      <c r="W132">
        <f>HYPERLINK("https://klasma.github.io/Logging_2085/artfynd/A 17338-2026 artfynd.xlsx", "A 17338-2026")</f>
        <v/>
      </c>
      <c r="X132">
        <f>HYPERLINK("https://klasma.github.io/Logging_2085/kartor/A 17338-2026 karta.png", "A 17338-2026")</f>
        <v/>
      </c>
      <c r="Y132">
        <f>HYPERLINK("https://klasma.github.io/Logging_2085/kartor_geotiff/A 17338-2026 georefererad karta.tif", "A 17338-2026")</f>
        <v/>
      </c>
      <c r="Z132">
        <f>HYPERLINK("https://klasma.github.io/Logging_2085/knärot/A 17338-2026 karta knärot.png", "A 17338-2026")</f>
        <v/>
      </c>
      <c r="AA132">
        <f>HYPERLINK("https://klasma.github.io/Logging_2085/klagomål/A 17338-2026 FSC-klagomål.docx", "A 17338-2026")</f>
        <v/>
      </c>
      <c r="AB132">
        <f>HYPERLINK("https://klasma.github.io/Logging_2085/klagomålsmail/A 17338-2026 FSC-klagomål mail.docx", "A 17338-2026")</f>
        <v/>
      </c>
      <c r="AC132">
        <f>HYPERLINK("https://klasma.github.io/Logging_2085/tillsyn/A 17338-2026 tillsynsbegäran.docx", "A 17338-2026")</f>
        <v/>
      </c>
      <c r="AD132">
        <f>HYPERLINK("https://klasma.github.io/Logging_2085/tillsynsmail/A 17338-2026 tillsynsbegäran mail.docx", "A 17338-2026")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46248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46248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46248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46248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46248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46248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46248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46248</v>
      </c>
      <c r="F140" t="inlineStr">
        <is>
          <t>DALARNAS LÄN</t>
        </is>
      </c>
      <c r="G140" t="inlineStr">
        <is>
          <t>LUDVIKA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44456</v>
      </c>
      <c r="E141" s="1" t="n">
        <v>46248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46248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46248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46248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44720</v>
      </c>
      <c r="E145" s="1" t="n">
        <v>46248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46248</v>
      </c>
      <c r="F146" t="inlineStr">
        <is>
          <t>DALARNAS LÄN</t>
        </is>
      </c>
      <c r="G146" t="inlineStr">
        <is>
          <t>LUDVIKA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44706</v>
      </c>
      <c r="E147" s="1" t="n">
        <v>46248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44785</v>
      </c>
      <c r="E148" s="1" t="n">
        <v>46248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46248</v>
      </c>
      <c r="F149" t="inlineStr">
        <is>
          <t>DALARNAS LÄN</t>
        </is>
      </c>
      <c r="G149" t="inlineStr">
        <is>
          <t>LUDVIKA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46248</v>
      </c>
      <c r="F150" t="inlineStr">
        <is>
          <t>DALARNAS LÄN</t>
        </is>
      </c>
      <c r="G150" t="inlineStr">
        <is>
          <t>LUDVIKA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46248</v>
      </c>
      <c r="F151" t="inlineStr">
        <is>
          <t>DALARNAS LÄN</t>
        </is>
      </c>
      <c r="G151" t="inlineStr">
        <is>
          <t>LUDVIKA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46248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44590</v>
      </c>
      <c r="E153" s="1" t="n">
        <v>46248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44872</v>
      </c>
      <c r="E154" s="1" t="n">
        <v>46248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53048-2024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45611</v>
      </c>
      <c r="E155" s="1" t="n">
        <v>46248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44439</v>
      </c>
      <c r="E156" s="1" t="n">
        <v>46248</v>
      </c>
      <c r="F156" t="inlineStr">
        <is>
          <t>DALARNAS LÄN</t>
        </is>
      </c>
      <c r="G156" t="inlineStr">
        <is>
          <t>LUDVIKA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46248</v>
      </c>
      <c r="F157" t="inlineStr">
        <is>
          <t>DALARNAS LÄN</t>
        </is>
      </c>
      <c r="G157" t="inlineStr">
        <is>
          <t>LUDVIKA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63267-2021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44508</v>
      </c>
      <c r="E158" s="1" t="n">
        <v>46248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54279-2021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46248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44715</v>
      </c>
      <c r="E160" s="1" t="n">
        <v>46248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46248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46248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45062</v>
      </c>
      <c r="E163" s="1" t="n">
        <v>46248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46248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46248</v>
      </c>
      <c r="F165" t="inlineStr">
        <is>
          <t>DALARNAS LÄN</t>
        </is>
      </c>
      <c r="G165" t="inlineStr">
        <is>
          <t>LUDVIKA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45616</v>
      </c>
      <c r="E166" s="1" t="n">
        <v>46248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45765</v>
      </c>
      <c r="E167" s="1" t="n">
        <v>46248</v>
      </c>
      <c r="F167" t="inlineStr">
        <is>
          <t>DALARNAS LÄN</t>
        </is>
      </c>
      <c r="G167" t="inlineStr">
        <is>
          <t>LUDVIKA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46248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45317</v>
      </c>
      <c r="E169" s="1" t="n">
        <v>46248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46248</v>
      </c>
      <c r="F170" t="inlineStr">
        <is>
          <t>DALARNAS LÄN</t>
        </is>
      </c>
      <c r="G170" t="inlineStr">
        <is>
          <t>LUDVIKA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46248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46248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46248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45572</v>
      </c>
      <c r="E174" s="1" t="n">
        <v>46248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18724-2022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46248</v>
      </c>
      <c r="F175" t="inlineStr">
        <is>
          <t>DALARNAS LÄN</t>
        </is>
      </c>
      <c r="G175" t="inlineStr">
        <is>
          <t>LUDVIKA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46248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46248</v>
      </c>
      <c r="F177" t="inlineStr">
        <is>
          <t>DALARNAS LÄN</t>
        </is>
      </c>
      <c r="G177" t="inlineStr">
        <is>
          <t>LUDVIKA</t>
        </is>
      </c>
      <c r="H177" t="inlineStr">
        <is>
          <t>Övriga Aktiebolag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70046-2021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44533</v>
      </c>
      <c r="E178" s="1" t="n">
        <v>46248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46248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46248</v>
      </c>
      <c r="F180" t="inlineStr">
        <is>
          <t>DALARNAS LÄN</t>
        </is>
      </c>
      <c r="G180" t="inlineStr">
        <is>
          <t>LUDVIKA</t>
        </is>
      </c>
      <c r="H180" t="inlineStr">
        <is>
          <t>Naturvårdsverket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46248</v>
      </c>
      <c r="F181" t="inlineStr">
        <is>
          <t>DALARNAS LÄN</t>
        </is>
      </c>
      <c r="G181" t="inlineStr">
        <is>
          <t>LUDVIKA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44789</v>
      </c>
      <c r="E182" s="1" t="n">
        <v>46248</v>
      </c>
      <c r="F182" t="inlineStr">
        <is>
          <t>DALARNAS LÄN</t>
        </is>
      </c>
      <c r="G182" t="inlineStr">
        <is>
          <t>LUDVIKA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46248</v>
      </c>
      <c r="F183" t="inlineStr">
        <is>
          <t>DALARNAS LÄN</t>
        </is>
      </c>
      <c r="G183" t="inlineStr">
        <is>
          <t>LUDVIKA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46248</v>
      </c>
      <c r="F184" t="inlineStr">
        <is>
          <t>DALARNAS LÄN</t>
        </is>
      </c>
      <c r="G184" t="inlineStr">
        <is>
          <t>LUDVIKA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46248</v>
      </c>
      <c r="F185" t="inlineStr">
        <is>
          <t>DALARNAS LÄN</t>
        </is>
      </c>
      <c r="G185" t="inlineStr">
        <is>
          <t>LUDVIKA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46248</v>
      </c>
      <c r="F186" t="inlineStr">
        <is>
          <t>DALARNAS LÄN</t>
        </is>
      </c>
      <c r="G186" t="inlineStr">
        <is>
          <t>LUDVIKA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46248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46248</v>
      </c>
      <c r="F188" t="inlineStr">
        <is>
          <t>DALARNAS LÄN</t>
        </is>
      </c>
      <c r="G188" t="inlineStr">
        <is>
          <t>LUDVIKA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45189</v>
      </c>
      <c r="E189" s="1" t="n">
        <v>46248</v>
      </c>
      <c r="F189" t="inlineStr">
        <is>
          <t>DALARNAS LÄN</t>
        </is>
      </c>
      <c r="G189" t="inlineStr">
        <is>
          <t>LUDVIKA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46248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17.3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46248</v>
      </c>
      <c r="F191" t="inlineStr">
        <is>
          <t>DALARNAS LÄN</t>
        </is>
      </c>
      <c r="G191" t="inlineStr">
        <is>
          <t>LUDVIKA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46248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46248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44844</v>
      </c>
      <c r="E194" s="1" t="n">
        <v>46248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45119</v>
      </c>
      <c r="E195" s="1" t="n">
        <v>46248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45512</v>
      </c>
      <c r="E196" s="1" t="n">
        <v>46248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46248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44852</v>
      </c>
      <c r="E198" s="1" t="n">
        <v>46248</v>
      </c>
      <c r="F198" t="inlineStr">
        <is>
          <t>DALARNAS LÄN</t>
        </is>
      </c>
      <c r="G198" t="inlineStr">
        <is>
          <t>LUDVIKA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44825</v>
      </c>
      <c r="E199" s="1" t="n">
        <v>46248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44960</v>
      </c>
      <c r="E200" s="1" t="n">
        <v>46248</v>
      </c>
      <c r="F200" t="inlineStr">
        <is>
          <t>DALARNAS LÄN</t>
        </is>
      </c>
      <c r="G200" t="inlineStr">
        <is>
          <t>LUDVIKA</t>
        </is>
      </c>
      <c r="H200" t="inlineStr">
        <is>
          <t>Naturvårdsverket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50347-2021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44459</v>
      </c>
      <c r="E201" s="1" t="n">
        <v>46248</v>
      </c>
      <c r="F201" t="inlineStr">
        <is>
          <t>DALARNAS LÄN</t>
        </is>
      </c>
      <c r="G201" t="inlineStr">
        <is>
          <t>LUDVIKA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34845-2024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45526</v>
      </c>
      <c r="E202" s="1" t="n">
        <v>46248</v>
      </c>
      <c r="F202" t="inlineStr">
        <is>
          <t>DALARNAS LÄN</t>
        </is>
      </c>
      <c r="G202" t="inlineStr">
        <is>
          <t>LUDVIKA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25299-2022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44730</v>
      </c>
      <c r="E203" s="1" t="n">
        <v>46248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46248</v>
      </c>
      <c r="F204" t="inlineStr">
        <is>
          <t>DALARNAS LÄN</t>
        </is>
      </c>
      <c r="G204" t="inlineStr">
        <is>
          <t>LUDVIKA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45301</v>
      </c>
      <c r="E205" s="1" t="n">
        <v>46248</v>
      </c>
      <c r="F205" t="inlineStr">
        <is>
          <t>DALARNAS LÄN</t>
        </is>
      </c>
      <c r="G205" t="inlineStr">
        <is>
          <t>LUDVIKA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46248</v>
      </c>
      <c r="F206" t="inlineStr">
        <is>
          <t>DALARNAS LÄN</t>
        </is>
      </c>
      <c r="G206" t="inlineStr">
        <is>
          <t>LUDVIKA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45297</v>
      </c>
      <c r="E207" s="1" t="n">
        <v>46248</v>
      </c>
      <c r="F207" t="inlineStr">
        <is>
          <t>DALARNAS LÄN</t>
        </is>
      </c>
      <c r="G207" t="inlineStr">
        <is>
          <t>LUDVIKA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46248</v>
      </c>
      <c r="F208" t="inlineStr">
        <is>
          <t>DALARNAS LÄN</t>
        </is>
      </c>
      <c r="G208" t="inlineStr">
        <is>
          <t>LUDVIKA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46248</v>
      </c>
      <c r="F209" t="inlineStr">
        <is>
          <t>DALARNAS LÄN</t>
        </is>
      </c>
      <c r="G209" t="inlineStr">
        <is>
          <t>LUDVIKA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45335</v>
      </c>
      <c r="E210" s="1" t="n">
        <v>46248</v>
      </c>
      <c r="F210" t="inlineStr">
        <is>
          <t>DALARNAS LÄN</t>
        </is>
      </c>
      <c r="G210" t="inlineStr">
        <is>
          <t>LUDVIKA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46248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46248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32277-2024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46248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46248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46248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45450</v>
      </c>
      <c r="E216" s="1" t="n">
        <v>46248</v>
      </c>
      <c r="F216" t="inlineStr">
        <is>
          <t>DALARNAS LÄN</t>
        </is>
      </c>
      <c r="G216" t="inlineStr">
        <is>
          <t>LUDVIKA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45105</v>
      </c>
      <c r="E217" s="1" t="n">
        <v>46248</v>
      </c>
      <c r="F217" t="inlineStr">
        <is>
          <t>DALARNAS LÄN</t>
        </is>
      </c>
      <c r="G217" t="inlineStr">
        <is>
          <t>LUDVIKA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46248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44915</v>
      </c>
      <c r="E219" s="1" t="n">
        <v>46248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45485</v>
      </c>
      <c r="E220" s="1" t="n">
        <v>46248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46248</v>
      </c>
      <c r="F221" t="inlineStr">
        <is>
          <t>DALARNAS LÄN</t>
        </is>
      </c>
      <c r="G221" t="inlineStr">
        <is>
          <t>LUDVIKA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45219</v>
      </c>
      <c r="E222" s="1" t="n">
        <v>46248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44859</v>
      </c>
      <c r="E223" s="1" t="n">
        <v>46248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43115-2021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44431</v>
      </c>
      <c r="E224" s="1" t="n">
        <v>46248</v>
      </c>
      <c r="F224" t="inlineStr">
        <is>
          <t>DALARNAS LÄN</t>
        </is>
      </c>
      <c r="G224" t="inlineStr">
        <is>
          <t>LUDVIKA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46248</v>
      </c>
      <c r="F225" t="inlineStr">
        <is>
          <t>DALARNAS LÄN</t>
        </is>
      </c>
      <c r="G225" t="inlineStr">
        <is>
          <t>LUDVIKA</t>
        </is>
      </c>
      <c r="I225" t="n">
        <v>20.8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46248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12497-2024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45379</v>
      </c>
      <c r="E227" s="1" t="n">
        <v>46248</v>
      </c>
      <c r="F227" t="inlineStr">
        <is>
          <t>DALARNAS LÄN</t>
        </is>
      </c>
      <c r="G227" t="inlineStr">
        <is>
          <t>LUDVIKA</t>
        </is>
      </c>
      <c r="H227" t="inlineStr">
        <is>
          <t>Naturvårdsverket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46248</v>
      </c>
      <c r="F228" t="inlineStr">
        <is>
          <t>DALARNAS LÄN</t>
        </is>
      </c>
      <c r="G228" t="inlineStr">
        <is>
          <t>LUDVIKA</t>
        </is>
      </c>
      <c r="H228" t="inlineStr">
        <is>
          <t>Naturvårdsverket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46248</v>
      </c>
      <c r="F229" t="inlineStr">
        <is>
          <t>DALARNAS LÄN</t>
        </is>
      </c>
      <c r="G229" t="inlineStr">
        <is>
          <t>LUDVIKA</t>
        </is>
      </c>
      <c r="I229" t="n">
        <v>13.1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45106</v>
      </c>
      <c r="E230" s="1" t="n">
        <v>46248</v>
      </c>
      <c r="F230" t="inlineStr">
        <is>
          <t>DALARNAS LÄN</t>
        </is>
      </c>
      <c r="G230" t="inlineStr">
        <is>
          <t>LUDVIKA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46248</v>
      </c>
      <c r="F231" t="inlineStr">
        <is>
          <t>DALARNAS LÄN</t>
        </is>
      </c>
      <c r="G231" t="inlineStr">
        <is>
          <t>LUDVIKA</t>
        </is>
      </c>
      <c r="H231" t="inlineStr">
        <is>
          <t>Naturvårdsverket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45099</v>
      </c>
      <c r="E232" s="1" t="n">
        <v>46248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46248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46248</v>
      </c>
      <c r="F234" t="inlineStr">
        <is>
          <t>DALARNAS LÄN</t>
        </is>
      </c>
      <c r="G234" t="inlineStr">
        <is>
          <t>LUDVIKA</t>
        </is>
      </c>
      <c r="H234" t="inlineStr">
        <is>
          <t>Kommuner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45622</v>
      </c>
      <c r="E235" s="1" t="n">
        <v>46248</v>
      </c>
      <c r="F235" t="inlineStr">
        <is>
          <t>DALARNAS LÄN</t>
        </is>
      </c>
      <c r="G235" t="inlineStr">
        <is>
          <t>LUDVIKA</t>
        </is>
      </c>
      <c r="H235" t="inlineStr">
        <is>
          <t>Naturvårdsverket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45488</v>
      </c>
      <c r="E236" s="1" t="n">
        <v>46248</v>
      </c>
      <c r="F236" t="inlineStr">
        <is>
          <t>DALARNAS LÄN</t>
        </is>
      </c>
      <c r="G236" t="inlineStr">
        <is>
          <t>LUDVIKA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46248</v>
      </c>
      <c r="F237" t="inlineStr">
        <is>
          <t>DALARNAS LÄN</t>
        </is>
      </c>
      <c r="G237" t="inlineStr">
        <is>
          <t>LUDVIKA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56996-2021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44482</v>
      </c>
      <c r="E238" s="1" t="n">
        <v>46248</v>
      </c>
      <c r="F238" t="inlineStr">
        <is>
          <t>DALARNAS LÄN</t>
        </is>
      </c>
      <c r="G238" t="inlineStr">
        <is>
          <t>LUDVIKA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44970</v>
      </c>
      <c r="E239" s="1" t="n">
        <v>46248</v>
      </c>
      <c r="F239" t="inlineStr">
        <is>
          <t>DALARNAS LÄN</t>
        </is>
      </c>
      <c r="G239" t="inlineStr">
        <is>
          <t>LUDVIKA</t>
        </is>
      </c>
      <c r="H239" t="inlineStr">
        <is>
          <t>Övriga Aktiebolag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44970</v>
      </c>
      <c r="E240" s="1" t="n">
        <v>46248</v>
      </c>
      <c r="F240" t="inlineStr">
        <is>
          <t>DALARNAS LÄN</t>
        </is>
      </c>
      <c r="G240" t="inlineStr">
        <is>
          <t>LUDVIKA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45551</v>
      </c>
      <c r="E241" s="1" t="n">
        <v>46248</v>
      </c>
      <c r="F241" t="inlineStr">
        <is>
          <t>DALARNAS LÄN</t>
        </is>
      </c>
      <c r="G241" t="inlineStr">
        <is>
          <t>LUDVIKA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47496-2022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44853</v>
      </c>
      <c r="E242" s="1" t="n">
        <v>46248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45625</v>
      </c>
      <c r="E243" s="1" t="n">
        <v>46248</v>
      </c>
      <c r="F243" t="inlineStr">
        <is>
          <t>DALARNAS LÄN</t>
        </is>
      </c>
      <c r="G243" t="inlineStr">
        <is>
          <t>LUDVIKA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46248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45279</v>
      </c>
      <c r="E245" s="1" t="n">
        <v>46248</v>
      </c>
      <c r="F245" t="inlineStr">
        <is>
          <t>DALARNAS LÄN</t>
        </is>
      </c>
      <c r="G245" t="inlineStr">
        <is>
          <t>LUDVIKA</t>
        </is>
      </c>
      <c r="I245" t="n">
        <v>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45099</v>
      </c>
      <c r="E246" s="1" t="n">
        <v>46248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46248</v>
      </c>
      <c r="F247" t="inlineStr">
        <is>
          <t>DALARNAS LÄN</t>
        </is>
      </c>
      <c r="G247" t="inlineStr">
        <is>
          <t>LUDVIKA</t>
        </is>
      </c>
      <c r="H247" t="inlineStr">
        <is>
          <t>Naturvårdsverket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46248</v>
      </c>
      <c r="F248" t="inlineStr">
        <is>
          <t>DALARNAS LÄN</t>
        </is>
      </c>
      <c r="G248" t="inlineStr">
        <is>
          <t>LUDVIKA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48715-2022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46248</v>
      </c>
      <c r="F249" t="inlineStr">
        <is>
          <t>DALARNAS LÄN</t>
        </is>
      </c>
      <c r="G249" t="inlineStr">
        <is>
          <t>LUDVIKA</t>
        </is>
      </c>
      <c r="H249" t="inlineStr">
        <is>
          <t>Naturvårdsverket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45579</v>
      </c>
      <c r="E250" s="1" t="n">
        <v>46248</v>
      </c>
      <c r="F250" t="inlineStr">
        <is>
          <t>DALARNAS LÄN</t>
        </is>
      </c>
      <c r="G250" t="inlineStr">
        <is>
          <t>LUDVIKA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46248</v>
      </c>
      <c r="F251" t="inlineStr">
        <is>
          <t>DALARNAS LÄN</t>
        </is>
      </c>
      <c r="G251" t="inlineStr">
        <is>
          <t>LUDVIKA</t>
        </is>
      </c>
      <c r="H251" t="inlineStr">
        <is>
          <t>Naturvårdsverket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44599</v>
      </c>
      <c r="E252" s="1" t="n">
        <v>46248</v>
      </c>
      <c r="F252" t="inlineStr">
        <is>
          <t>DALARNAS LÄN</t>
        </is>
      </c>
      <c r="G252" t="inlineStr">
        <is>
          <t>LUDVIKA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56686-2022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46248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46248</v>
      </c>
      <c r="F254" t="inlineStr">
        <is>
          <t>DALARNAS LÄN</t>
        </is>
      </c>
      <c r="G254" t="inlineStr">
        <is>
          <t>LUDVIKA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46248</v>
      </c>
      <c r="F255" t="inlineStr">
        <is>
          <t>DALARNAS LÄN</t>
        </is>
      </c>
      <c r="G255" t="inlineStr">
        <is>
          <t>LUDVIKA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46248</v>
      </c>
      <c r="F256" t="inlineStr">
        <is>
          <t>DALARNAS LÄN</t>
        </is>
      </c>
      <c r="G256" t="inlineStr">
        <is>
          <t>LUDVIKA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46248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18708-2023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45043</v>
      </c>
      <c r="E258" s="1" t="n">
        <v>46248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45569</v>
      </c>
      <c r="E259" s="1" t="n">
        <v>46248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45399</v>
      </c>
      <c r="E260" s="1" t="n">
        <v>46248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45644</v>
      </c>
      <c r="E261" s="1" t="n">
        <v>46248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45309-2021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44439</v>
      </c>
      <c r="E262" s="1" t="n">
        <v>46248</v>
      </c>
      <c r="F262" t="inlineStr">
        <is>
          <t>DALARNAS LÄN</t>
        </is>
      </c>
      <c r="G262" t="inlineStr">
        <is>
          <t>LUDVIKA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45288</v>
      </c>
      <c r="E263" s="1" t="n">
        <v>46248</v>
      </c>
      <c r="F263" t="inlineStr">
        <is>
          <t>DALARNAS LÄN</t>
        </is>
      </c>
      <c r="G263" t="inlineStr">
        <is>
          <t>LUDVIKA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46248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44879</v>
      </c>
      <c r="E265" s="1" t="n">
        <v>46248</v>
      </c>
      <c r="F265" t="inlineStr">
        <is>
          <t>DALARNAS LÄN</t>
        </is>
      </c>
      <c r="G265" t="inlineStr">
        <is>
          <t>LUDVIKA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46248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46248</v>
      </c>
      <c r="F267" t="inlineStr">
        <is>
          <t>DALARNAS LÄN</t>
        </is>
      </c>
      <c r="G267" t="inlineStr">
        <is>
          <t>LUDVIKA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46248</v>
      </c>
      <c r="F268" t="inlineStr">
        <is>
          <t>DALARNAS LÄN</t>
        </is>
      </c>
      <c r="G268" t="inlineStr">
        <is>
          <t>LUDVIKA</t>
        </is>
      </c>
      <c r="H268" t="inlineStr">
        <is>
          <t>Sveaskog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59050-2022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44903</v>
      </c>
      <c r="E269" s="1" t="n">
        <v>46248</v>
      </c>
      <c r="F269" t="inlineStr">
        <is>
          <t>DALARNAS LÄN</t>
        </is>
      </c>
      <c r="G269" t="inlineStr">
        <is>
          <t>LUDVIKA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46248</v>
      </c>
      <c r="F270" t="inlineStr">
        <is>
          <t>DALARNAS LÄN</t>
        </is>
      </c>
      <c r="G270" t="inlineStr">
        <is>
          <t>LUDVIKA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45579</v>
      </c>
      <c r="E271" s="1" t="n">
        <v>46248</v>
      </c>
      <c r="F271" t="inlineStr">
        <is>
          <t>DALARNAS LÄN</t>
        </is>
      </c>
      <c r="G271" t="inlineStr">
        <is>
          <t>LUDVIKA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46248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45060-2022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46248</v>
      </c>
      <c r="F273" t="inlineStr">
        <is>
          <t>DALARNAS LÄN</t>
        </is>
      </c>
      <c r="G273" t="inlineStr">
        <is>
          <t>LUDVIKA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46248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44819</v>
      </c>
      <c r="E275" s="1" t="n">
        <v>46248</v>
      </c>
      <c r="F275" t="inlineStr">
        <is>
          <t>DALARNAS LÄN</t>
        </is>
      </c>
      <c r="G275" t="inlineStr">
        <is>
          <t>LUDVIKA</t>
        </is>
      </c>
      <c r="H275" t="inlineStr">
        <is>
          <t>Naturvårdsverket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46248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45212</v>
      </c>
      <c r="E277" s="1" t="n">
        <v>46248</v>
      </c>
      <c r="F277" t="inlineStr">
        <is>
          <t>DALARNAS LÄN</t>
        </is>
      </c>
      <c r="G277" t="inlineStr">
        <is>
          <t>LUDVIKA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44515</v>
      </c>
      <c r="E278" s="1" t="n">
        <v>46248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46248</v>
      </c>
      <c r="F279" t="inlineStr">
        <is>
          <t>DALARNAS LÄN</t>
        </is>
      </c>
      <c r="G279" t="inlineStr">
        <is>
          <t>LUDVIKA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44893</v>
      </c>
      <c r="E280" s="1" t="n">
        <v>46248</v>
      </c>
      <c r="F280" t="inlineStr">
        <is>
          <t>DALARNAS LÄN</t>
        </is>
      </c>
      <c r="G280" t="inlineStr">
        <is>
          <t>LUDVIKA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32854-2023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45112</v>
      </c>
      <c r="E281" s="1" t="n">
        <v>46248</v>
      </c>
      <c r="F281" t="inlineStr">
        <is>
          <t>DALARNAS LÄN</t>
        </is>
      </c>
      <c r="G281" t="inlineStr">
        <is>
          <t>LUDVIKA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46248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46248</v>
      </c>
      <c r="F283" t="inlineStr">
        <is>
          <t>DALARNAS LÄN</t>
        </is>
      </c>
      <c r="G283" t="inlineStr">
        <is>
          <t>LUDVIKA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45062</v>
      </c>
      <c r="E284" s="1" t="n">
        <v>46248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46248</v>
      </c>
      <c r="F285" t="inlineStr">
        <is>
          <t>DALARNAS LÄN</t>
        </is>
      </c>
      <c r="G285" t="inlineStr">
        <is>
          <t>LUDVIKA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46248</v>
      </c>
      <c r="F286" t="inlineStr">
        <is>
          <t>DALARNAS LÄN</t>
        </is>
      </c>
      <c r="G286" t="inlineStr">
        <is>
          <t>LUDVIKA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45502</v>
      </c>
      <c r="E287" s="1" t="n">
        <v>46248</v>
      </c>
      <c r="F287" t="inlineStr">
        <is>
          <t>DALARNAS LÄN</t>
        </is>
      </c>
      <c r="G287" t="inlineStr">
        <is>
          <t>LUDVIKA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41400-2022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44826</v>
      </c>
      <c r="E288" s="1" t="n">
        <v>46248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49951-2022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44865</v>
      </c>
      <c r="E289" s="1" t="n">
        <v>46248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45747</v>
      </c>
      <c r="E290" s="1" t="n">
        <v>46248</v>
      </c>
      <c r="F290" t="inlineStr">
        <is>
          <t>DALARNAS LÄN</t>
        </is>
      </c>
      <c r="G290" t="inlineStr">
        <is>
          <t>LUDVIKA</t>
        </is>
      </c>
      <c r="H290" t="inlineStr">
        <is>
          <t>Övriga Aktiebolag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46248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29114-2024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45481</v>
      </c>
      <c r="E292" s="1" t="n">
        <v>46248</v>
      </c>
      <c r="F292" t="inlineStr">
        <is>
          <t>DALARNAS LÄN</t>
        </is>
      </c>
      <c r="G292" t="inlineStr">
        <is>
          <t>LUDVIKA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45156</v>
      </c>
      <c r="E293" s="1" t="n">
        <v>46248</v>
      </c>
      <c r="F293" t="inlineStr">
        <is>
          <t>DALARNAS LÄN</t>
        </is>
      </c>
      <c r="G293" t="inlineStr">
        <is>
          <t>LUDVIKA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45411</v>
      </c>
      <c r="E294" s="1" t="n">
        <v>46248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59351-2023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45253</v>
      </c>
      <c r="E295" s="1" t="n">
        <v>46248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45208</v>
      </c>
      <c r="E296" s="1" t="n">
        <v>46248</v>
      </c>
      <c r="F296" t="inlineStr">
        <is>
          <t>DALARNAS LÄN</t>
        </is>
      </c>
      <c r="G296" t="inlineStr">
        <is>
          <t>LUDVIKA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31270-2022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44771</v>
      </c>
      <c r="E297" s="1" t="n">
        <v>46248</v>
      </c>
      <c r="F297" t="inlineStr">
        <is>
          <t>DALARNAS LÄN</t>
        </is>
      </c>
      <c r="G297" t="inlineStr">
        <is>
          <t>LUDVIKA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45512</v>
      </c>
      <c r="E298" s="1" t="n">
        <v>46248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11436-2024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45372</v>
      </c>
      <c r="E299" s="1" t="n">
        <v>46248</v>
      </c>
      <c r="F299" t="inlineStr">
        <is>
          <t>DALARNAS LÄN</t>
        </is>
      </c>
      <c r="G299" t="inlineStr">
        <is>
          <t>LUDVIKA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56203-2024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46248</v>
      </c>
      <c r="F300" t="inlineStr">
        <is>
          <t>DALARNAS LÄN</t>
        </is>
      </c>
      <c r="G300" t="inlineStr">
        <is>
          <t>LUDVIKA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46248</v>
      </c>
      <c r="F301" t="inlineStr">
        <is>
          <t>DALARNAS LÄN</t>
        </is>
      </c>
      <c r="G301" t="inlineStr">
        <is>
          <t>LUDVIKA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45775</v>
      </c>
      <c r="E302" s="1" t="n">
        <v>46248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46248</v>
      </c>
      <c r="F303" t="inlineStr">
        <is>
          <t>DALARNAS LÄN</t>
        </is>
      </c>
      <c r="G303" t="inlineStr">
        <is>
          <t>LUDVIKA</t>
        </is>
      </c>
      <c r="I303" t="n">
        <v>12.7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46248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44820</v>
      </c>
      <c r="E305" s="1" t="n">
        <v>46248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40151-2022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44820</v>
      </c>
      <c r="E306" s="1" t="n">
        <v>46248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33839-2024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46248</v>
      </c>
      <c r="F307" t="inlineStr">
        <is>
          <t>DALARNAS LÄN</t>
        </is>
      </c>
      <c r="G307" t="inlineStr">
        <is>
          <t>LUDVIKA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44708</v>
      </c>
      <c r="E308" s="1" t="n">
        <v>46248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45562</v>
      </c>
      <c r="E309" s="1" t="n">
        <v>46248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49035-2024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45594</v>
      </c>
      <c r="E310" s="1" t="n">
        <v>46248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44916</v>
      </c>
      <c r="E311" s="1" t="n">
        <v>46248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45218</v>
      </c>
      <c r="E312" s="1" t="n">
        <v>46248</v>
      </c>
      <c r="F312" t="inlineStr">
        <is>
          <t>DALARNAS LÄN</t>
        </is>
      </c>
      <c r="G312" t="inlineStr">
        <is>
          <t>LUDVIKA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54730-2022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44883</v>
      </c>
      <c r="E313" s="1" t="n">
        <v>46248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46248</v>
      </c>
      <c r="F314" t="inlineStr">
        <is>
          <t>DALARNAS LÄN</t>
        </is>
      </c>
      <c r="G314" t="inlineStr">
        <is>
          <t>LUDVIKA</t>
        </is>
      </c>
      <c r="H314" t="inlineStr">
        <is>
          <t>Naturvårdsverket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46248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46248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46248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3280-2024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45317</v>
      </c>
      <c r="E318" s="1" t="n">
        <v>46248</v>
      </c>
      <c r="F318" t="inlineStr">
        <is>
          <t>DALARNAS LÄN</t>
        </is>
      </c>
      <c r="G318" t="inlineStr">
        <is>
          <t>LUDVIKA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45680</v>
      </c>
      <c r="E319" s="1" t="n">
        <v>46248</v>
      </c>
      <c r="F319" t="inlineStr">
        <is>
          <t>DALARNAS LÄN</t>
        </is>
      </c>
      <c r="G319" t="inlineStr">
        <is>
          <t>LUDVIKA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45205</v>
      </c>
      <c r="E320" s="1" t="n">
        <v>46248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46248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25235-2025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45800</v>
      </c>
      <c r="E322" s="1" t="n">
        <v>46248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46248</v>
      </c>
      <c r="F323" t="inlineStr">
        <is>
          <t>DALARNAS LÄN</t>
        </is>
      </c>
      <c r="G323" t="inlineStr">
        <is>
          <t>LUDVIKA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44581</v>
      </c>
      <c r="E324" s="1" t="n">
        <v>46248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46248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45560</v>
      </c>
      <c r="E326" s="1" t="n">
        <v>46248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45519</v>
      </c>
      <c r="E327" s="1" t="n">
        <v>46248</v>
      </c>
      <c r="F327" t="inlineStr">
        <is>
          <t>DALARNAS LÄN</t>
        </is>
      </c>
      <c r="G327" t="inlineStr">
        <is>
          <t>LUDVIKA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45805</v>
      </c>
      <c r="E328" s="1" t="n">
        <v>46248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40125-2024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45554</v>
      </c>
      <c r="E329" s="1" t="n">
        <v>46248</v>
      </c>
      <c r="F329" t="inlineStr">
        <is>
          <t>DALARNAS LÄN</t>
        </is>
      </c>
      <c r="G329" t="inlineStr">
        <is>
          <t>LUDVIKA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45253</v>
      </c>
      <c r="E330" s="1" t="n">
        <v>46248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26698-2025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45810</v>
      </c>
      <c r="E331" s="1" t="n">
        <v>46248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45187</v>
      </c>
      <c r="E332" s="1" t="n">
        <v>46248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49043-2024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45594</v>
      </c>
      <c r="E333" s="1" t="n">
        <v>46248</v>
      </c>
      <c r="F333" t="inlineStr">
        <is>
          <t>DALARNAS LÄN</t>
        </is>
      </c>
      <c r="G333" t="inlineStr">
        <is>
          <t>LUDVIKA</t>
        </is>
      </c>
      <c r="H333" t="inlineStr">
        <is>
          <t>Naturvårdsverket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46248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26794-2025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45810</v>
      </c>
      <c r="E335" s="1" t="n">
        <v>46248</v>
      </c>
      <c r="F335" t="inlineStr">
        <is>
          <t>DALARNAS LÄN</t>
        </is>
      </c>
      <c r="G335" t="inlineStr">
        <is>
          <t>LUDVIKA</t>
        </is>
      </c>
      <c r="H335" t="inlineStr">
        <is>
          <t>Kommuner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26628-2025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45810</v>
      </c>
      <c r="E336" s="1" t="n">
        <v>46248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36527-2024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46248</v>
      </c>
      <c r="F337" t="inlineStr">
        <is>
          <t>DALARNAS LÄN</t>
        </is>
      </c>
      <c r="G337" t="inlineStr">
        <is>
          <t>LUDVIKA</t>
        </is>
      </c>
      <c r="H337" t="inlineStr">
        <is>
          <t>Övriga Aktiebolag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43700-2024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45569</v>
      </c>
      <c r="E338" s="1" t="n">
        <v>46248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46248</v>
      </c>
      <c r="F339" t="inlineStr">
        <is>
          <t>DALARNAS LÄN</t>
        </is>
      </c>
      <c r="G339" t="inlineStr">
        <is>
          <t>LUDVIKA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25273-2022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44729</v>
      </c>
      <c r="E340" s="1" t="n">
        <v>46248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46248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46248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46248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46248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44960</v>
      </c>
      <c r="E345" s="1" t="n">
        <v>46248</v>
      </c>
      <c r="F345" t="inlineStr">
        <is>
          <t>DALARNAS LÄN</t>
        </is>
      </c>
      <c r="G345" t="inlineStr">
        <is>
          <t>LUDVIKA</t>
        </is>
      </c>
      <c r="H345" t="inlineStr">
        <is>
          <t>Naturvårdsverket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45541</v>
      </c>
      <c r="E346" s="1" t="n">
        <v>46248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51704-2024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46248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45799</v>
      </c>
      <c r="E348" s="1" t="n">
        <v>46248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44967</v>
      </c>
      <c r="E349" s="1" t="n">
        <v>46248</v>
      </c>
      <c r="F349" t="inlineStr">
        <is>
          <t>DALARNAS LÄN</t>
        </is>
      </c>
      <c r="G349" t="inlineStr">
        <is>
          <t>LUDVIKA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46248</v>
      </c>
      <c r="F350" t="inlineStr">
        <is>
          <t>DALARNAS LÄN</t>
        </is>
      </c>
      <c r="G350" t="inlineStr">
        <is>
          <t>LUDVIKA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46248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45860</v>
      </c>
      <c r="E352" s="1" t="n">
        <v>46248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46248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29918-2025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46248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34875-2025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45849</v>
      </c>
      <c r="E355" s="1" t="n">
        <v>46248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46248</v>
      </c>
      <c r="F356" t="inlineStr">
        <is>
          <t>DALARNAS LÄN</t>
        </is>
      </c>
      <c r="G356" t="inlineStr">
        <is>
          <t>LUDVIKA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46248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46248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31001-2025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45832</v>
      </c>
      <c r="E359" s="1" t="n">
        <v>46248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46248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45891</v>
      </c>
      <c r="E361" s="1" t="n">
        <v>46248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46248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46248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46248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42106-2024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45562</v>
      </c>
      <c r="E365" s="1" t="n">
        <v>46248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55551-2024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46248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40246-2025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45895</v>
      </c>
      <c r="E367" s="1" t="n">
        <v>46248</v>
      </c>
      <c r="F367" t="inlineStr">
        <is>
          <t>DALARNAS LÄN</t>
        </is>
      </c>
      <c r="G367" t="inlineStr">
        <is>
          <t>LUDVIKA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47671-2024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46248</v>
      </c>
      <c r="F368" t="inlineStr">
        <is>
          <t>DALARNAS LÄN</t>
        </is>
      </c>
      <c r="G368" t="inlineStr">
        <is>
          <t>LUDVIKA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45845</v>
      </c>
      <c r="E369" s="1" t="n">
        <v>46248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46248</v>
      </c>
      <c r="F370" t="inlineStr">
        <is>
          <t>DALARNAS LÄN</t>
        </is>
      </c>
      <c r="G370" t="inlineStr">
        <is>
          <t>LUDVIKA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45225</v>
      </c>
      <c r="E371" s="1" t="n">
        <v>46248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33063-2025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46248</v>
      </c>
      <c r="F372" t="inlineStr">
        <is>
          <t>DALARNAS LÄN</t>
        </is>
      </c>
      <c r="G372" t="inlineStr">
        <is>
          <t>LUDVIKA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8703-2023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44978</v>
      </c>
      <c r="E373" s="1" t="n">
        <v>46248</v>
      </c>
      <c r="F373" t="inlineStr">
        <is>
          <t>DALARNAS LÄN</t>
        </is>
      </c>
      <c r="G373" t="inlineStr">
        <is>
          <t>LUDVIKA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41269-2025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45898</v>
      </c>
      <c r="E374" s="1" t="n">
        <v>46248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33244-2025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46248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34067-2025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45845</v>
      </c>
      <c r="E376" s="1" t="n">
        <v>46248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45574</v>
      </c>
      <c r="E377" s="1" t="n">
        <v>46248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45502</v>
      </c>
      <c r="E378" s="1" t="n">
        <v>46248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46248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30844-2024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45497</v>
      </c>
      <c r="E380" s="1" t="n">
        <v>46248</v>
      </c>
      <c r="F380" t="inlineStr">
        <is>
          <t>DALARNAS LÄN</t>
        </is>
      </c>
      <c r="G380" t="inlineStr">
        <is>
          <t>LUDVIKA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46248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46248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46248</v>
      </c>
      <c r="F383" t="inlineStr">
        <is>
          <t>DALARNAS LÄN</t>
        </is>
      </c>
      <c r="G383" t="inlineStr">
        <is>
          <t>LUDVIKA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46141</v>
      </c>
      <c r="E384" s="1" t="n">
        <v>46248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45849</v>
      </c>
      <c r="E385" s="1" t="n">
        <v>46248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45525</v>
      </c>
      <c r="E386" s="1" t="n">
        <v>46248</v>
      </c>
      <c r="F386" t="inlineStr">
        <is>
          <t>DALARNAS LÄN</t>
        </is>
      </c>
      <c r="G386" t="inlineStr">
        <is>
          <t>LUDVIKA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45602</v>
      </c>
      <c r="E387" s="1" t="n">
        <v>46248</v>
      </c>
      <c r="F387" t="inlineStr">
        <is>
          <t>DALARNAS LÄN</t>
        </is>
      </c>
      <c r="G387" t="inlineStr">
        <is>
          <t>LUDVIKA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45581</v>
      </c>
      <c r="E388" s="1" t="n">
        <v>46248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45810</v>
      </c>
      <c r="E389" s="1" t="n">
        <v>46248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45825</v>
      </c>
      <c r="E390" s="1" t="n">
        <v>46248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41109-2025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45898</v>
      </c>
      <c r="E391" s="1" t="n">
        <v>46248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20778-2026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46248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45176</v>
      </c>
      <c r="E393" s="1" t="n">
        <v>46248</v>
      </c>
      <c r="F393" t="inlineStr">
        <is>
          <t>DALARNAS LÄN</t>
        </is>
      </c>
      <c r="G393" t="inlineStr">
        <is>
          <t>LUDVIKA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45512</v>
      </c>
      <c r="E394" s="1" t="n">
        <v>46248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46248</v>
      </c>
      <c r="F395" t="inlineStr">
        <is>
          <t>DALARNAS LÄN</t>
        </is>
      </c>
      <c r="G395" t="inlineStr">
        <is>
          <t>LUDVIKA</t>
        </is>
      </c>
      <c r="H395" t="inlineStr">
        <is>
          <t>Naturvårdsverket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55474-2024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45622</v>
      </c>
      <c r="E396" s="1" t="n">
        <v>46248</v>
      </c>
      <c r="F396" t="inlineStr">
        <is>
          <t>DALARNAS LÄN</t>
        </is>
      </c>
      <c r="G396" t="inlineStr">
        <is>
          <t>LUDVIKA</t>
        </is>
      </c>
      <c r="H396" t="inlineStr">
        <is>
          <t>Naturvårdsverket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46248</v>
      </c>
      <c r="F397" t="inlineStr">
        <is>
          <t>DALARNAS LÄN</t>
        </is>
      </c>
      <c r="G397" t="inlineStr">
        <is>
          <t>LUDVIKA</t>
        </is>
      </c>
      <c r="H397" t="inlineStr">
        <is>
          <t>Naturvårdsverket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46248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46248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31057-2025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45832</v>
      </c>
      <c r="E400" s="1" t="n">
        <v>46248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45687</v>
      </c>
      <c r="E401" s="1" t="n">
        <v>46248</v>
      </c>
      <c r="F401" t="inlineStr">
        <is>
          <t>DALARNAS LÄN</t>
        </is>
      </c>
      <c r="G401" t="inlineStr">
        <is>
          <t>LUDVIKA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45832</v>
      </c>
      <c r="E402" s="1" t="n">
        <v>46248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46248</v>
      </c>
      <c r="F403" t="inlineStr">
        <is>
          <t>DALARNAS LÄN</t>
        </is>
      </c>
      <c r="G403" t="inlineStr">
        <is>
          <t>LUDVIKA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45840</v>
      </c>
      <c r="E404" s="1" t="n">
        <v>46248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50714-2024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46248</v>
      </c>
      <c r="F405" t="inlineStr">
        <is>
          <t>DALARNAS LÄN</t>
        </is>
      </c>
      <c r="G405" t="inlineStr">
        <is>
          <t>LUDVIKA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46248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17677-2022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44680</v>
      </c>
      <c r="E407" s="1" t="n">
        <v>46248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45869</v>
      </c>
      <c r="E408" s="1" t="n">
        <v>46248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46248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43055-2024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45567</v>
      </c>
      <c r="E410" s="1" t="n">
        <v>46248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41731-2025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45902</v>
      </c>
      <c r="E411" s="1" t="n">
        <v>46248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20973-2026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46248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41866-2025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45903</v>
      </c>
      <c r="E413" s="1" t="n">
        <v>46248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46248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46248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46248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46248</v>
      </c>
      <c r="F417" t="inlineStr">
        <is>
          <t>DALARNAS LÄN</t>
        </is>
      </c>
      <c r="G417" t="inlineStr">
        <is>
          <t>LUDVIKA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46248</v>
      </c>
      <c r="F418" t="inlineStr">
        <is>
          <t>DALARNAS LÄN</t>
        </is>
      </c>
      <c r="G418" t="inlineStr">
        <is>
          <t>LUDVIKA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46248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36338-2025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45868</v>
      </c>
      <c r="E420" s="1" t="n">
        <v>46248</v>
      </c>
      <c r="F420" t="inlineStr">
        <is>
          <t>DALARNAS LÄN</t>
        </is>
      </c>
      <c r="G420" t="inlineStr">
        <is>
          <t>LUDVIKA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45761</v>
      </c>
      <c r="E421" s="1" t="n">
        <v>46248</v>
      </c>
      <c r="F421" t="inlineStr">
        <is>
          <t>DALARNAS LÄN</t>
        </is>
      </c>
      <c r="G421" t="inlineStr">
        <is>
          <t>LUDVIKA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45875</v>
      </c>
      <c r="E422" s="1" t="n">
        <v>46248</v>
      </c>
      <c r="F422" t="inlineStr">
        <is>
          <t>DALARNAS LÄN</t>
        </is>
      </c>
      <c r="G422" t="inlineStr">
        <is>
          <t>LUDVIKA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21472-2026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46148</v>
      </c>
      <c r="E423" s="1" t="n">
        <v>46248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46248</v>
      </c>
      <c r="F424" t="inlineStr">
        <is>
          <t>DALARNAS LÄN</t>
        </is>
      </c>
      <c r="G424" t="inlineStr">
        <is>
          <t>LUDVIKA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21462-2026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46148</v>
      </c>
      <c r="E425" s="1" t="n">
        <v>46248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38359-2024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45545</v>
      </c>
      <c r="E426" s="1" t="n">
        <v>46248</v>
      </c>
      <c r="F426" t="inlineStr">
        <is>
          <t>DALARNAS LÄN</t>
        </is>
      </c>
      <c r="G426" t="inlineStr">
        <is>
          <t>LUDVIKA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21872-2026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46150</v>
      </c>
      <c r="E427" s="1" t="n">
        <v>46248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46248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21893-2025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45784</v>
      </c>
      <c r="E429" s="1" t="n">
        <v>46248</v>
      </c>
      <c r="F429" t="inlineStr">
        <is>
          <t>DALARNAS LÄN</t>
        </is>
      </c>
      <c r="G429" t="inlineStr">
        <is>
          <t>LUDVIKA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42421-2024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45565</v>
      </c>
      <c r="E430" s="1" t="n">
        <v>46248</v>
      </c>
      <c r="F430" t="inlineStr">
        <is>
          <t>DALARNAS LÄN</t>
        </is>
      </c>
      <c r="G430" t="inlineStr">
        <is>
          <t>LUDVIKA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45230</v>
      </c>
      <c r="E431" s="1" t="n">
        <v>46248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46154</v>
      </c>
      <c r="E432" s="1" t="n">
        <v>46248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46154</v>
      </c>
      <c r="E433" s="1" t="n">
        <v>46248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52359-2024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45609</v>
      </c>
      <c r="E434" s="1" t="n">
        <v>46248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45784</v>
      </c>
      <c r="E435" s="1" t="n">
        <v>46248</v>
      </c>
      <c r="F435" t="inlineStr">
        <is>
          <t>DALARNAS LÄN</t>
        </is>
      </c>
      <c r="G435" t="inlineStr">
        <is>
          <t>LUDVIKA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33914-2023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45134</v>
      </c>
      <c r="E436" s="1" t="n">
        <v>46248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46248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46248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46248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46155</v>
      </c>
      <c r="E440" s="1" t="n">
        <v>46248</v>
      </c>
      <c r="F440" t="inlineStr">
        <is>
          <t>DALARNAS LÄN</t>
        </is>
      </c>
      <c r="G440" t="inlineStr">
        <is>
          <t>LUDVIKA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45909</v>
      </c>
      <c r="E441" s="1" t="n">
        <v>46248</v>
      </c>
      <c r="F441" t="inlineStr">
        <is>
          <t>DALARNAS LÄN</t>
        </is>
      </c>
      <c r="G441" t="inlineStr">
        <is>
          <t>LUDVIKA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45581</v>
      </c>
      <c r="E442" s="1" t="n">
        <v>46248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45560</v>
      </c>
      <c r="E443" s="1" t="n">
        <v>46248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46248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46248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46248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45789</v>
      </c>
      <c r="E447" s="1" t="n">
        <v>46248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46248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45789</v>
      </c>
      <c r="E449" s="1" t="n">
        <v>46248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46248</v>
      </c>
      <c r="F450" t="inlineStr">
        <is>
          <t>DALARNAS LÄN</t>
        </is>
      </c>
      <c r="G450" t="inlineStr">
        <is>
          <t>LUDVIKA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45581</v>
      </c>
      <c r="E451" s="1" t="n">
        <v>46248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46107-2024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45581</v>
      </c>
      <c r="E452" s="1" t="n">
        <v>46248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46113</v>
      </c>
      <c r="E453" s="1" t="n">
        <v>46248</v>
      </c>
      <c r="F453" t="inlineStr">
        <is>
          <t>DALARNAS LÄN</t>
        </is>
      </c>
      <c r="G453" t="inlineStr">
        <is>
          <t>LUDVIKA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46248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43479-2025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45911</v>
      </c>
      <c r="E455" s="1" t="n">
        <v>46248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50240-2024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46248</v>
      </c>
      <c r="F456" t="inlineStr">
        <is>
          <t>DALARNAS LÄN</t>
        </is>
      </c>
      <c r="G456" t="inlineStr">
        <is>
          <t>LUDVIKA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45910</v>
      </c>
      <c r="E457" s="1" t="n">
        <v>46248</v>
      </c>
      <c r="F457" t="inlineStr">
        <is>
          <t>DALARNAS LÄN</t>
        </is>
      </c>
      <c r="G457" t="inlineStr">
        <is>
          <t>LUDVIKA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45569</v>
      </c>
      <c r="E458" s="1" t="n">
        <v>46248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43145-2025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46248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45910</v>
      </c>
      <c r="E460" s="1" t="n">
        <v>46248</v>
      </c>
      <c r="F460" t="inlineStr">
        <is>
          <t>DALARNAS LÄN</t>
        </is>
      </c>
      <c r="G460" t="inlineStr">
        <is>
          <t>LUDVIKA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24712-2024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45460</v>
      </c>
      <c r="E461" s="1" t="n">
        <v>46248</v>
      </c>
      <c r="F461" t="inlineStr">
        <is>
          <t>DALARNAS LÄN</t>
        </is>
      </c>
      <c r="G461" t="inlineStr">
        <is>
          <t>LUDVIKA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45789</v>
      </c>
      <c r="E462" s="1" t="n">
        <v>46248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46248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23088-2025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45791</v>
      </c>
      <c r="E464" s="1" t="n">
        <v>46248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46248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46248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46248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45524</v>
      </c>
      <c r="E468" s="1" t="n">
        <v>46248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45533</v>
      </c>
      <c r="E469" s="1" t="n">
        <v>46248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45790</v>
      </c>
      <c r="E470" s="1" t="n">
        <v>46248</v>
      </c>
      <c r="F470" t="inlineStr">
        <is>
          <t>DALARNAS LÄN</t>
        </is>
      </c>
      <c r="G470" t="inlineStr">
        <is>
          <t>LUDVIKA</t>
        </is>
      </c>
      <c r="H470" t="inlineStr">
        <is>
          <t>Övriga Aktiebolag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47233-2024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45586</v>
      </c>
      <c r="E471" s="1" t="n">
        <v>46248</v>
      </c>
      <c r="F471" t="inlineStr">
        <is>
          <t>DALARNAS LÄN</t>
        </is>
      </c>
      <c r="G471" t="inlineStr">
        <is>
          <t>LUDVIKA</t>
        </is>
      </c>
      <c r="I471" t="n">
        <v>9.5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46248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45786</v>
      </c>
      <c r="E473" s="1" t="n">
        <v>46248</v>
      </c>
      <c r="F473" t="inlineStr">
        <is>
          <t>DALARNAS LÄN</t>
        </is>
      </c>
      <c r="G473" t="inlineStr">
        <is>
          <t>LUDVIKA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44690-2025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45917</v>
      </c>
      <c r="E474" s="1" t="n">
        <v>46248</v>
      </c>
      <c r="F474" t="inlineStr">
        <is>
          <t>DALARNAS LÄN</t>
        </is>
      </c>
      <c r="G474" t="inlineStr">
        <is>
          <t>LUDVIKA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44261-2025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46248</v>
      </c>
      <c r="F475" t="inlineStr">
        <is>
          <t>DALARNAS LÄN</t>
        </is>
      </c>
      <c r="G475" t="inlineStr">
        <is>
          <t>LUDVIKA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44879-2025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45918</v>
      </c>
      <c r="E476" s="1" t="n">
        <v>46248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61278-2022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44915</v>
      </c>
      <c r="E477" s="1" t="n">
        <v>46248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19677-2025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45770</v>
      </c>
      <c r="E478" s="1" t="n">
        <v>46248</v>
      </c>
      <c r="F478" t="inlineStr">
        <is>
          <t>DALARNAS LÄN</t>
        </is>
      </c>
      <c r="G478" t="inlineStr">
        <is>
          <t>LUDVIKA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45791</v>
      </c>
      <c r="E479" s="1" t="n">
        <v>46248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45902</v>
      </c>
      <c r="E480" s="1" t="n">
        <v>46248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45453</v>
      </c>
      <c r="E481" s="1" t="n">
        <v>46248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37549-2024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45541</v>
      </c>
      <c r="E482" s="1" t="n">
        <v>46248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45776</v>
      </c>
      <c r="E483" s="1" t="n">
        <v>46248</v>
      </c>
      <c r="F483" t="inlineStr">
        <is>
          <t>DALARNAS LÄN</t>
        </is>
      </c>
      <c r="G483" t="inlineStr">
        <is>
          <t>LUDVIKA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46248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45796</v>
      </c>
      <c r="E485" s="1" t="n">
        <v>46248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46024-2025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45924</v>
      </c>
      <c r="E486" s="1" t="n">
        <v>46248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46248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46317-2025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45925</v>
      </c>
      <c r="E488" s="1" t="n">
        <v>46248</v>
      </c>
      <c r="F488" t="inlineStr">
        <is>
          <t>DALARNAS LÄN</t>
        </is>
      </c>
      <c r="G488" t="inlineStr">
        <is>
          <t>LUDVIKA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46040-2025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46248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46054-2025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46248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46248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46248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46248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46248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46045-2025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46248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46108-2025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46248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46248</v>
      </c>
      <c r="F497" t="inlineStr">
        <is>
          <t>DALARNAS LÄN</t>
        </is>
      </c>
      <c r="G497" t="inlineStr">
        <is>
          <t>LUDVIKA</t>
        </is>
      </c>
      <c r="H497" t="inlineStr">
        <is>
          <t>Kommuner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30977-2024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45499</v>
      </c>
      <c r="E498" s="1" t="n">
        <v>46248</v>
      </c>
      <c r="F498" t="inlineStr">
        <is>
          <t>DALARNAS LÄN</t>
        </is>
      </c>
      <c r="G498" t="inlineStr">
        <is>
          <t>LUDVIKA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46248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46603-2025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46248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46248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46248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46248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45791</v>
      </c>
      <c r="E504" s="1" t="n">
        <v>46248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49874-2025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46248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49879-2025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45940</v>
      </c>
      <c r="E506" s="1" t="n">
        <v>46248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46248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50444-2025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45944</v>
      </c>
      <c r="E508" s="1" t="n">
        <v>46248</v>
      </c>
      <c r="F508" t="inlineStr">
        <is>
          <t>DALARNAS LÄN</t>
        </is>
      </c>
      <c r="G508" t="inlineStr">
        <is>
          <t>LUDVIKA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46248</v>
      </c>
      <c r="F509" t="inlineStr">
        <is>
          <t>DALARNAS LÄN</t>
        </is>
      </c>
      <c r="G509" t="inlineStr">
        <is>
          <t>LUDVIKA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45833</v>
      </c>
      <c r="E510" s="1" t="n">
        <v>46248</v>
      </c>
      <c r="F510" t="inlineStr">
        <is>
          <t>DALARNAS LÄN</t>
        </is>
      </c>
      <c r="G510" t="inlineStr">
        <is>
          <t>LUDVIKA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46248</v>
      </c>
      <c r="F511" t="inlineStr">
        <is>
          <t>DALARNAS LÄN</t>
        </is>
      </c>
      <c r="G511" t="inlineStr">
        <is>
          <t>LUDVIKA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46248</v>
      </c>
      <c r="F512" t="inlineStr">
        <is>
          <t>DALARNAS LÄN</t>
        </is>
      </c>
      <c r="G512" t="inlineStr">
        <is>
          <t>LUDVIKA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46217</v>
      </c>
      <c r="E513" s="1" t="n">
        <v>46248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46248</v>
      </c>
      <c r="F514" t="inlineStr">
        <is>
          <t>DALARNAS LÄN</t>
        </is>
      </c>
      <c r="G514" t="inlineStr">
        <is>
          <t>LUDVIKA</t>
        </is>
      </c>
      <c r="H514" t="inlineStr">
        <is>
          <t>Naturvårdsverket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46248</v>
      </c>
      <c r="F515" t="inlineStr">
        <is>
          <t>DALARNAS LÄN</t>
        </is>
      </c>
      <c r="G515" t="inlineStr">
        <is>
          <t>LUDVIKA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46248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45954</v>
      </c>
      <c r="E517" s="1" t="n">
        <v>46248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46219</v>
      </c>
      <c r="E518" s="1" t="n">
        <v>46248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46248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46248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46248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46248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8.1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45954</v>
      </c>
      <c r="E523" s="1" t="n">
        <v>46248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46248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52552-2025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45954</v>
      </c>
      <c r="E525" s="1" t="n">
        <v>46248</v>
      </c>
      <c r="F525" t="inlineStr">
        <is>
          <t>DALARNAS LÄN</t>
        </is>
      </c>
      <c r="G525" t="inlineStr">
        <is>
          <t>LUDVIKA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46218</v>
      </c>
      <c r="E526" s="1" t="n">
        <v>46248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52530-2025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45954</v>
      </c>
      <c r="E527" s="1" t="n">
        <v>46248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52832-2025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46248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52556-2025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45954</v>
      </c>
      <c r="E529" s="1" t="n">
        <v>46248</v>
      </c>
      <c r="F529" t="inlineStr">
        <is>
          <t>DALARNAS LÄN</t>
        </is>
      </c>
      <c r="G529" t="inlineStr">
        <is>
          <t>LUDVIKA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52459-2025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45954</v>
      </c>
      <c r="E530" s="1" t="n">
        <v>46248</v>
      </c>
      <c r="F530" t="inlineStr">
        <is>
          <t>DALARNAS LÄN</t>
        </is>
      </c>
      <c r="G530" t="inlineStr">
        <is>
          <t>LUDVIKA</t>
        </is>
      </c>
      <c r="H530" t="inlineStr">
        <is>
          <t>Övriga Aktiebolag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52504-2025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45954</v>
      </c>
      <c r="E531" s="1" t="n">
        <v>46248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52427-2025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45954</v>
      </c>
      <c r="E532" s="1" t="n">
        <v>46248</v>
      </c>
      <c r="F532" t="inlineStr">
        <is>
          <t>DALARNAS LÄN</t>
        </is>
      </c>
      <c r="G532" t="inlineStr">
        <is>
          <t>LUDVIKA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52838-2025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46248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45954</v>
      </c>
      <c r="E534" s="1" t="n">
        <v>46248</v>
      </c>
      <c r="F534" t="inlineStr">
        <is>
          <t>DALARNAS LÄN</t>
        </is>
      </c>
      <c r="G534" t="inlineStr">
        <is>
          <t>LUDVIKA</t>
        </is>
      </c>
      <c r="I534" t="n">
        <v>8.300000000000001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46248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46248</v>
      </c>
      <c r="F536" t="inlineStr">
        <is>
          <t>DALARNAS LÄN</t>
        </is>
      </c>
      <c r="G536" t="inlineStr">
        <is>
          <t>LUDVIKA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46171</v>
      </c>
      <c r="E537" s="1" t="n">
        <v>46248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46248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46248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20104-2026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46248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46248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46248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46220</v>
      </c>
      <c r="E543" s="1" t="n">
        <v>46248</v>
      </c>
      <c r="F543" t="inlineStr">
        <is>
          <t>DALARNAS LÄN</t>
        </is>
      </c>
      <c r="G543" t="inlineStr">
        <is>
          <t>LUDVIKA</t>
        </is>
      </c>
      <c r="H543" t="inlineStr">
        <is>
          <t>Naturvårdsverket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45924</v>
      </c>
      <c r="E544" s="1" t="n">
        <v>46248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49166-2025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45938</v>
      </c>
      <c r="E545" s="1" t="n">
        <v>46248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54341-2025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45965</v>
      </c>
      <c r="E546" s="1" t="n">
        <v>46248</v>
      </c>
      <c r="F546" t="inlineStr">
        <is>
          <t>DALARNAS LÄN</t>
        </is>
      </c>
      <c r="G546" t="inlineStr">
        <is>
          <t>LUDVIKA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54375-2025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45965</v>
      </c>
      <c r="E547" s="1" t="n">
        <v>46248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39772-2025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45891</v>
      </c>
      <c r="E548" s="1" t="n">
        <v>46248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54035-2025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45963</v>
      </c>
      <c r="E549" s="1" t="n">
        <v>46248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23617-2026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46248</v>
      </c>
      <c r="F550" t="inlineStr">
        <is>
          <t>DALARNAS LÄN</t>
        </is>
      </c>
      <c r="G550" t="inlineStr">
        <is>
          <t>LUDVIKA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39828-2025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45891</v>
      </c>
      <c r="E551" s="1" t="n">
        <v>46248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45966</v>
      </c>
      <c r="E552" s="1" t="n">
        <v>46248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42346-2025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45904</v>
      </c>
      <c r="E553" s="1" t="n">
        <v>46248</v>
      </c>
      <c r="F553" t="inlineStr">
        <is>
          <t>DALARNAS LÄN</t>
        </is>
      </c>
      <c r="G553" t="inlineStr">
        <is>
          <t>LUDVIKA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46225</v>
      </c>
      <c r="E554" s="1" t="n">
        <v>46248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46248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55559-2025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46248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9.4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55211-2025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45968</v>
      </c>
      <c r="E557" s="1" t="n">
        <v>46248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45971</v>
      </c>
      <c r="E558" s="1" t="n">
        <v>46248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8.699999999999999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55426-2025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45971</v>
      </c>
      <c r="E559" s="1" t="n">
        <v>46248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46248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56002-2025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46248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55932-2025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45973</v>
      </c>
      <c r="E562" s="1" t="n">
        <v>46248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46248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45972</v>
      </c>
      <c r="E564" s="1" t="n">
        <v>46248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46183</v>
      </c>
      <c r="E565" s="1" t="n">
        <v>46248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56178-2025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45974</v>
      </c>
      <c r="E566" s="1" t="n">
        <v>46248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56650-2025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45975</v>
      </c>
      <c r="E567" s="1" t="n">
        <v>46248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56316-2025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45974</v>
      </c>
      <c r="E568" s="1" t="n">
        <v>46248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56219-2025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45974</v>
      </c>
      <c r="E569" s="1" t="n">
        <v>46248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46230</v>
      </c>
      <c r="E570" s="1" t="n">
        <v>46248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56155-2025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45974</v>
      </c>
      <c r="E571" s="1" t="n">
        <v>46248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46248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45974</v>
      </c>
      <c r="E573" s="1" t="n">
        <v>46248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46248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46230</v>
      </c>
      <c r="E575" s="1" t="n">
        <v>46248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46248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46248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57435-2025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46248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57870-2025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45981</v>
      </c>
      <c r="E579" s="1" t="n">
        <v>46248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49669-2024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46248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46233</v>
      </c>
      <c r="E581" s="1" t="n">
        <v>46248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46248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20.6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46248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46248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46248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46248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28062-2026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46195</v>
      </c>
      <c r="E587" s="1" t="n">
        <v>46248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46248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28158-2026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46248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28132-2026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46248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45909</v>
      </c>
      <c r="E591" s="1" t="n">
        <v>46248</v>
      </c>
      <c r="F591" t="inlineStr">
        <is>
          <t>DALARNAS LÄN</t>
        </is>
      </c>
      <c r="G591" t="inlineStr">
        <is>
          <t>LUDVIKA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59439-2025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45989</v>
      </c>
      <c r="E592" s="1" t="n">
        <v>46248</v>
      </c>
      <c r="F592" t="inlineStr">
        <is>
          <t>DALARNAS LÄN</t>
        </is>
      </c>
      <c r="G592" t="inlineStr">
        <is>
          <t>LUDVIKA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46248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46248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59171-2025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46248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47086-2025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45929</v>
      </c>
      <c r="E596" s="1" t="n">
        <v>46248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46248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47032-2025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45929</v>
      </c>
      <c r="E598" s="1" t="n">
        <v>46248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46248</v>
      </c>
      <c r="F599" t="inlineStr">
        <is>
          <t>DALARNAS LÄN</t>
        </is>
      </c>
      <c r="G599" t="inlineStr">
        <is>
          <t>LUDVIKA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59528-2025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45989</v>
      </c>
      <c r="E600" s="1" t="n">
        <v>46248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38921-2025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45887</v>
      </c>
      <c r="E601" s="1" t="n">
        <v>46248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39833-2025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45891</v>
      </c>
      <c r="E602" s="1" t="n">
        <v>46248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59176-2025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46248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46248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46248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46248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59444-2025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45989</v>
      </c>
      <c r="E607" s="1" t="n">
        <v>46248</v>
      </c>
      <c r="F607" t="inlineStr">
        <is>
          <t>DALARNAS LÄN</t>
        </is>
      </c>
      <c r="G607" t="inlineStr">
        <is>
          <t>LUDVIKA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45989</v>
      </c>
      <c r="E608" s="1" t="n">
        <v>46248</v>
      </c>
      <c r="F608" t="inlineStr">
        <is>
          <t>DALARNAS LÄN</t>
        </is>
      </c>
      <c r="G608" t="inlineStr">
        <is>
          <t>LUDVIKA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59530-2025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45989</v>
      </c>
      <c r="E609" s="1" t="n">
        <v>46248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7.8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46248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46248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45993</v>
      </c>
      <c r="E612" s="1" t="n">
        <v>46248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60454-2025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45995</v>
      </c>
      <c r="E613" s="1" t="n">
        <v>46248</v>
      </c>
      <c r="F613" t="inlineStr">
        <is>
          <t>DALARNAS LÄN</t>
        </is>
      </c>
      <c r="G613" t="inlineStr">
        <is>
          <t>LUDVIKA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60455-2025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45995</v>
      </c>
      <c r="E614" s="1" t="n">
        <v>46248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60452-2025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45995</v>
      </c>
      <c r="E615" s="1" t="n">
        <v>46248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32752-2026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46241</v>
      </c>
      <c r="E616" s="1" t="n">
        <v>46248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61502-2025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46001</v>
      </c>
      <c r="E617" s="1" t="n">
        <v>46248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46241</v>
      </c>
      <c r="E618" s="1" t="n">
        <v>46248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32757-2026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46241</v>
      </c>
      <c r="E619" s="1" t="n">
        <v>46248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46248</v>
      </c>
      <c r="F620" t="inlineStr">
        <is>
          <t>DALARNAS LÄN</t>
        </is>
      </c>
      <c r="G620" t="inlineStr">
        <is>
          <t>LUDVIKA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46248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22821-2026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46160</v>
      </c>
      <c r="E622" s="1" t="n">
        <v>46248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28714-2026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46248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28738-2026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46248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22817-2026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46160</v>
      </c>
      <c r="E625" s="1" t="n">
        <v>46248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46241</v>
      </c>
      <c r="E626" s="1" t="n">
        <v>46248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46248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46160</v>
      </c>
      <c r="E628" s="1" t="n">
        <v>46248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9.9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28838-2026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46248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46241</v>
      </c>
      <c r="E630" s="1" t="n">
        <v>46248</v>
      </c>
      <c r="F630" t="inlineStr">
        <is>
          <t>DALARNAS LÄN</t>
        </is>
      </c>
      <c r="G630" t="inlineStr">
        <is>
          <t>LUDVIKA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46248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61505-2025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46248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46248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46248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46248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62367-2025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46007</v>
      </c>
      <c r="E636" s="1" t="n">
        <v>46248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62561-2025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46248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62695-2025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46008</v>
      </c>
      <c r="E638" s="1" t="n">
        <v>46248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62706-2025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46248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62930-2025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46248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62945-2025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46009</v>
      </c>
      <c r="E641" s="1" t="n">
        <v>46248</v>
      </c>
      <c r="F641" t="inlineStr">
        <is>
          <t>DALARNAS LÄN</t>
        </is>
      </c>
      <c r="G641" t="inlineStr">
        <is>
          <t>LUDVIKA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62845-2025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46008</v>
      </c>
      <c r="E642" s="1" t="n">
        <v>46248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62688-2025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46008</v>
      </c>
      <c r="E643" s="1" t="n">
        <v>46248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62838-2025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46008</v>
      </c>
      <c r="E644" s="1" t="n">
        <v>46248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62824-2025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46008</v>
      </c>
      <c r="E645" s="1" t="n">
        <v>46248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62842-2025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46008</v>
      </c>
      <c r="E646" s="1" t="n">
        <v>46248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62704-2025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46248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22611-2026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46248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63215-2025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46010</v>
      </c>
      <c r="E649" s="1" t="n">
        <v>46248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46171</v>
      </c>
      <c r="E650" s="1" t="n">
        <v>46248</v>
      </c>
      <c r="F650" t="inlineStr">
        <is>
          <t>DALARNAS LÄN</t>
        </is>
      </c>
      <c r="G650" t="inlineStr">
        <is>
          <t>LUDVIKA</t>
        </is>
      </c>
      <c r="H650" t="inlineStr">
        <is>
          <t>Naturvårdsverket</t>
        </is>
      </c>
      <c r="I650" t="n">
        <v>10.4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29734-2026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46248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63222-2025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46010</v>
      </c>
      <c r="E652" s="1" t="n">
        <v>46248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46248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33397-2026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46247</v>
      </c>
      <c r="E654" s="1" t="n">
        <v>46248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33373-2026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46247</v>
      </c>
      <c r="E655" s="1" t="n">
        <v>46248</v>
      </c>
      <c r="F655" t="inlineStr">
        <is>
          <t>DALARNAS LÄN</t>
        </is>
      </c>
      <c r="G655" t="inlineStr">
        <is>
          <t>LUDVIKA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46205</v>
      </c>
      <c r="E656" s="1" t="n">
        <v>46248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8.300000000000001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46029</v>
      </c>
      <c r="E657" s="1" t="n">
        <v>46248</v>
      </c>
      <c r="F657" t="inlineStr">
        <is>
          <t>DALARNAS LÄN</t>
        </is>
      </c>
      <c r="G657" t="inlineStr">
        <is>
          <t>LUDVIKA</t>
        </is>
      </c>
      <c r="H657" t="inlineStr">
        <is>
          <t>Övriga Aktiebolag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61799-2025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46002</v>
      </c>
      <c r="E658" s="1" t="n">
        <v>46248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53981-2025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46248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53979-2025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45961</v>
      </c>
      <c r="E660" s="1" t="n">
        <v>46248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56615-2025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45975</v>
      </c>
      <c r="E661" s="1" t="n">
        <v>46248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52230-2023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45224</v>
      </c>
      <c r="E662" s="1" t="n">
        <v>46248</v>
      </c>
      <c r="F662" t="inlineStr">
        <is>
          <t>DALARNAS LÄN</t>
        </is>
      </c>
      <c r="G662" t="inlineStr">
        <is>
          <t>LUDVIKA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30813-2025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45831</v>
      </c>
      <c r="E663" s="1" t="n">
        <v>46248</v>
      </c>
      <c r="F663" t="inlineStr">
        <is>
          <t>DALARNAS LÄN</t>
        </is>
      </c>
      <c r="G663" t="inlineStr">
        <is>
          <t>LUDVIKA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62368-2025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46007</v>
      </c>
      <c r="E664" s="1" t="n">
        <v>46248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17054-2026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46114</v>
      </c>
      <c r="E665" s="1" t="n">
        <v>46248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17245-2026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46248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19.8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17787-2026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46122</v>
      </c>
      <c r="E667" s="1" t="n">
        <v>46248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46122</v>
      </c>
      <c r="E668" s="1" t="n">
        <v>46248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17913-2026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46248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17882-2026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46122</v>
      </c>
      <c r="E670" s="1" t="n">
        <v>46248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17915-2026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46122</v>
      </c>
      <c r="E671" s="1" t="n">
        <v>46248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18357-2026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46126</v>
      </c>
      <c r="E672" s="1" t="n">
        <v>46248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18355-2026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46126</v>
      </c>
      <c r="E673" s="1" t="n">
        <v>46248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18362-2026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46126</v>
      </c>
      <c r="E674" s="1" t="n">
        <v>46248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18829-2026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46128</v>
      </c>
      <c r="E675" s="1" t="n">
        <v>46248</v>
      </c>
      <c r="F675" t="inlineStr">
        <is>
          <t>DALARNAS LÄN</t>
        </is>
      </c>
      <c r="G675" t="inlineStr">
        <is>
          <t>LUDVIKA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19610-2026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46248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19834-2026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46135</v>
      </c>
      <c r="E677" s="1" t="n">
        <v>46248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50273-2021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44459</v>
      </c>
      <c r="E678" s="1" t="n">
        <v>46248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53554-2025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45960</v>
      </c>
      <c r="E679" s="1" t="n">
        <v>46248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59186-2025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45988</v>
      </c>
      <c r="E680" s="1" t="n">
        <v>46248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7714-2026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46062</v>
      </c>
      <c r="E681" s="1" t="n">
        <v>46248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45835</v>
      </c>
      <c r="E682" s="1" t="n">
        <v>46248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20096-2026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46136</v>
      </c>
      <c r="E683" s="1" t="n">
        <v>46248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55151-2025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45968</v>
      </c>
      <c r="E684" s="1" t="n">
        <v>46248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35353-2024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45531</v>
      </c>
      <c r="E685" s="1" t="n">
        <v>46248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45849</v>
      </c>
      <c r="E686" s="1" t="n">
        <v>46248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52912-2025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45954</v>
      </c>
      <c r="E687" s="1" t="n">
        <v>46248</v>
      </c>
      <c r="F687" t="inlineStr">
        <is>
          <t>DALARNAS LÄN</t>
        </is>
      </c>
      <c r="G687" t="inlineStr">
        <is>
          <t>LUDVIKA</t>
        </is>
      </c>
      <c r="I687" t="n">
        <v>9.800000000000001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29578-2025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46248</v>
      </c>
      <c r="F688" t="inlineStr">
        <is>
          <t>DALARNAS LÄN</t>
        </is>
      </c>
      <c r="G688" t="inlineStr">
        <is>
          <t>LUDVIKA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20106-2026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46248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30399-2025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45827</v>
      </c>
      <c r="E690" s="1" t="n">
        <v>46248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41828-2025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45902</v>
      </c>
      <c r="E691" s="1" t="n">
        <v>46248</v>
      </c>
      <c r="F691" t="inlineStr">
        <is>
          <t>DALARNAS LÄN</t>
        </is>
      </c>
      <c r="G691" t="inlineStr">
        <is>
          <t>LUDVIKA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2837-2023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45167</v>
      </c>
      <c r="E692" s="1" t="n">
        <v>46248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1122-2023</t>
        </is>
      </c>
      <c r="B693" t="inlineStr">
        <is>
          <t>samrådsanmälan</t>
        </is>
      </c>
      <c r="C693" t="inlineStr">
        <is>
          <t>Skogsgödsling</t>
        </is>
      </c>
      <c r="D693" s="1" t="n">
        <v>45015</v>
      </c>
      <c r="E693" s="1" t="n">
        <v>46248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115.7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3660-2023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45216</v>
      </c>
      <c r="E694" s="1" t="n">
        <v>46248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1246-2024</t>
        </is>
      </c>
      <c r="B695" t="inlineStr">
        <is>
          <t>samrådsanmälan</t>
        </is>
      </c>
      <c r="C695" t="inlineStr">
        <is>
          <t>Skogsgödsling</t>
        </is>
      </c>
      <c r="D695" s="1" t="n">
        <v>45400</v>
      </c>
      <c r="E695" s="1" t="n">
        <v>46248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1096-2024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45391</v>
      </c>
      <c r="E696" s="1" t="n">
        <v>46248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4863-2022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44805</v>
      </c>
      <c r="E697" s="1" t="n">
        <v>46248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1113-2023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45015</v>
      </c>
      <c r="E698" s="1" t="n">
        <v>46248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37.9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1815-2026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46190</v>
      </c>
      <c r="E699" s="1" t="n">
        <v>46248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2026-08-14T01:53:44Z</dcterms:created>
  <dcterms:modified xmlns:dcterms="http://purl.org/dc/terms/" xmlns:xsi="http://www.w3.org/2001/XMLSchema-instance" xsi:type="dcterms:W3CDTF">2026-08-14T01:53:45Z</dcterms:modified>
</cp:coreProperties>
</file>
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45364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45364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45364</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45364</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45364</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45364</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45364</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45364</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45364</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45364</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45364</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45364</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45364</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45364</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45364</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45364</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45364</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45364</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45364</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45364</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45364</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45364</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45364</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45364</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45364</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45364</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45364</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45364</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45364</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45364</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27562-2020</t>
        </is>
      </c>
      <c r="B32" s="1" t="n">
        <v>43993</v>
      </c>
      <c r="C32" s="1" t="n">
        <v>45364</v>
      </c>
      <c r="D32" t="inlineStr">
        <is>
          <t>DALARNAS LÄN</t>
        </is>
      </c>
      <c r="E32" t="inlineStr">
        <is>
          <t>LUDVIKA</t>
        </is>
      </c>
      <c r="F32" t="inlineStr">
        <is>
          <t>Bergvik skog väst AB</t>
        </is>
      </c>
      <c r="G32" t="n">
        <v>2</v>
      </c>
      <c r="H32" t="n">
        <v>0</v>
      </c>
      <c r="I32" t="n">
        <v>1</v>
      </c>
      <c r="J32" t="n">
        <v>0</v>
      </c>
      <c r="K32" t="n">
        <v>0</v>
      </c>
      <c r="L32" t="n">
        <v>0</v>
      </c>
      <c r="M32" t="n">
        <v>0</v>
      </c>
      <c r="N32" t="n">
        <v>0</v>
      </c>
      <c r="O32" t="n">
        <v>0</v>
      </c>
      <c r="P32" t="n">
        <v>0</v>
      </c>
      <c r="Q32" t="n">
        <v>1</v>
      </c>
      <c r="R32" s="2" t="inlineStr">
        <is>
          <t>Skinnlav</t>
        </is>
      </c>
      <c r="S32">
        <f>HYPERLINK("https://klasma.github.io/Logging_2085/artfynd/A 27562-2020 artfynd.xlsx", "A 27562-2020")</f>
        <v/>
      </c>
      <c r="T32">
        <f>HYPERLINK("https://klasma.github.io/Logging_2085/kartor/A 27562-2020 karta.png", "A 27562-2020")</f>
        <v/>
      </c>
      <c r="V32">
        <f>HYPERLINK("https://klasma.github.io/Logging_2085/klagomål/A 27562-2020 FSC-klagomål.docx", "A 27562-2020")</f>
        <v/>
      </c>
      <c r="W32">
        <f>HYPERLINK("https://klasma.github.io/Logging_2085/klagomålsmail/A 27562-2020 FSC-klagomål mail.docx", "A 27562-2020")</f>
        <v/>
      </c>
      <c r="X32">
        <f>HYPERLINK("https://klasma.github.io/Logging_2085/tillsyn/A 27562-2020 tillsynsbegäran.docx", "A 27562-2020")</f>
        <v/>
      </c>
      <c r="Y32">
        <f>HYPERLINK("https://klasma.github.io/Logging_2085/tillsynsmail/A 27562-2020 tillsynsbegäran mail.docx", "A 27562-2020")</f>
        <v/>
      </c>
    </row>
    <row r="33" ht="15" customHeight="1">
      <c r="A33" t="inlineStr">
        <is>
          <t>A 64068-2020</t>
        </is>
      </c>
      <c r="B33" s="1" t="n">
        <v>44167</v>
      </c>
      <c r="C33" s="1" t="n">
        <v>45364</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69166-2020</t>
        </is>
      </c>
      <c r="B34" s="1" t="n">
        <v>44188</v>
      </c>
      <c r="C34" s="1" t="n">
        <v>45364</v>
      </c>
      <c r="D34" t="inlineStr">
        <is>
          <t>DALARNAS LÄN</t>
        </is>
      </c>
      <c r="E34" t="inlineStr">
        <is>
          <t>LUDVIKA</t>
        </is>
      </c>
      <c r="F34" t="inlineStr">
        <is>
          <t>Kommuner</t>
        </is>
      </c>
      <c r="G34" t="n">
        <v>4.9</v>
      </c>
      <c r="H34" t="n">
        <v>1</v>
      </c>
      <c r="I34" t="n">
        <v>0</v>
      </c>
      <c r="J34" t="n">
        <v>0</v>
      </c>
      <c r="K34" t="n">
        <v>0</v>
      </c>
      <c r="L34" t="n">
        <v>0</v>
      </c>
      <c r="M34" t="n">
        <v>0</v>
      </c>
      <c r="N34" t="n">
        <v>0</v>
      </c>
      <c r="O34" t="n">
        <v>0</v>
      </c>
      <c r="P34" t="n">
        <v>0</v>
      </c>
      <c r="Q34" t="n">
        <v>1</v>
      </c>
      <c r="R34" s="2" t="inlineStr">
        <is>
          <t>Fläcknycklar</t>
        </is>
      </c>
      <c r="S34">
        <f>HYPERLINK("https://klasma.github.io/Logging_2085/artfynd/A 69166-2020 artfynd.xlsx", "A 69166-2020")</f>
        <v/>
      </c>
      <c r="T34">
        <f>HYPERLINK("https://klasma.github.io/Logging_2085/kartor/A 69166-2020 karta.png", "A 69166-2020")</f>
        <v/>
      </c>
      <c r="V34">
        <f>HYPERLINK("https://klasma.github.io/Logging_2085/klagomål/A 69166-2020 FSC-klagomål.docx", "A 69166-2020")</f>
        <v/>
      </c>
      <c r="W34">
        <f>HYPERLINK("https://klasma.github.io/Logging_2085/klagomålsmail/A 69166-2020 FSC-klagomål mail.docx", "A 69166-2020")</f>
        <v/>
      </c>
      <c r="X34">
        <f>HYPERLINK("https://klasma.github.io/Logging_2085/tillsyn/A 69166-2020 tillsynsbegäran.docx", "A 69166-2020")</f>
        <v/>
      </c>
      <c r="Y34">
        <f>HYPERLINK("https://klasma.github.io/Logging_2085/tillsynsmail/A 69166-2020 tillsynsbegäran mail.docx", "A 69166-2020")</f>
        <v/>
      </c>
    </row>
    <row r="35" ht="15" customHeight="1">
      <c r="A35" t="inlineStr">
        <is>
          <t>A 38674-2021</t>
        </is>
      </c>
      <c r="B35" s="1" t="n">
        <v>44410</v>
      </c>
      <c r="C35" s="1" t="n">
        <v>45364</v>
      </c>
      <c r="D35" t="inlineStr">
        <is>
          <t>DALARNAS LÄN</t>
        </is>
      </c>
      <c r="E35" t="inlineStr">
        <is>
          <t>LUDVIKA</t>
        </is>
      </c>
      <c r="G35" t="n">
        <v>6.3</v>
      </c>
      <c r="H35" t="n">
        <v>0</v>
      </c>
      <c r="I35" t="n">
        <v>0</v>
      </c>
      <c r="J35" t="n">
        <v>1</v>
      </c>
      <c r="K35" t="n">
        <v>0</v>
      </c>
      <c r="L35" t="n">
        <v>0</v>
      </c>
      <c r="M35" t="n">
        <v>0</v>
      </c>
      <c r="N35" t="n">
        <v>0</v>
      </c>
      <c r="O35" t="n">
        <v>1</v>
      </c>
      <c r="P35" t="n">
        <v>0</v>
      </c>
      <c r="Q35" t="n">
        <v>1</v>
      </c>
      <c r="R35" s="2" t="inlineStr">
        <is>
          <t>Dvärgbägarlav</t>
        </is>
      </c>
      <c r="S35">
        <f>HYPERLINK("https://klasma.github.io/Logging_2085/artfynd/A 38674-2021 artfynd.xlsx", "A 38674-2021")</f>
        <v/>
      </c>
      <c r="T35">
        <f>HYPERLINK("https://klasma.github.io/Logging_2085/kartor/A 38674-2021 karta.png", "A 38674-2021")</f>
        <v/>
      </c>
      <c r="V35">
        <f>HYPERLINK("https://klasma.github.io/Logging_2085/klagomål/A 38674-2021 FSC-klagomål.docx", "A 38674-2021")</f>
        <v/>
      </c>
      <c r="W35">
        <f>HYPERLINK("https://klasma.github.io/Logging_2085/klagomålsmail/A 38674-2021 FSC-klagomål mail.docx", "A 38674-2021")</f>
        <v/>
      </c>
      <c r="X35">
        <f>HYPERLINK("https://klasma.github.io/Logging_2085/tillsyn/A 38674-2021 tillsynsbegäran.docx", "A 38674-2021")</f>
        <v/>
      </c>
      <c r="Y35">
        <f>HYPERLINK("https://klasma.github.io/Logging_2085/tillsynsmail/A 38674-2021 tillsynsbegäran mail.docx", "A 38674-2021")</f>
        <v/>
      </c>
    </row>
    <row r="36" ht="15" customHeight="1">
      <c r="A36" t="inlineStr">
        <is>
          <t>A 50052-2021</t>
        </is>
      </c>
      <c r="B36" s="1" t="n">
        <v>44456</v>
      </c>
      <c r="C36" s="1" t="n">
        <v>45364</v>
      </c>
      <c r="D36" t="inlineStr">
        <is>
          <t>DALARNAS LÄN</t>
        </is>
      </c>
      <c r="E36" t="inlineStr">
        <is>
          <t>LUDVIKA</t>
        </is>
      </c>
      <c r="F36" t="inlineStr">
        <is>
          <t>Bergvik skog väst AB</t>
        </is>
      </c>
      <c r="G36" t="n">
        <v>2</v>
      </c>
      <c r="H36" t="n">
        <v>1</v>
      </c>
      <c r="I36" t="n">
        <v>0</v>
      </c>
      <c r="J36" t="n">
        <v>0</v>
      </c>
      <c r="K36" t="n">
        <v>0</v>
      </c>
      <c r="L36" t="n">
        <v>0</v>
      </c>
      <c r="M36" t="n">
        <v>0</v>
      </c>
      <c r="N36" t="n">
        <v>0</v>
      </c>
      <c r="O36" t="n">
        <v>0</v>
      </c>
      <c r="P36" t="n">
        <v>0</v>
      </c>
      <c r="Q36" t="n">
        <v>1</v>
      </c>
      <c r="R36" s="2" t="inlineStr">
        <is>
          <t>Buskmus</t>
        </is>
      </c>
      <c r="S36">
        <f>HYPERLINK("https://klasma.github.io/Logging_2085/artfynd/A 50052-2021 artfynd.xlsx", "A 50052-2021")</f>
        <v/>
      </c>
      <c r="T36">
        <f>HYPERLINK("https://klasma.github.io/Logging_2085/kartor/A 50052-2021 karta.png", "A 50052-2021")</f>
        <v/>
      </c>
      <c r="V36">
        <f>HYPERLINK("https://klasma.github.io/Logging_2085/klagomål/A 50052-2021 FSC-klagomål.docx", "A 50052-2021")</f>
        <v/>
      </c>
      <c r="W36">
        <f>HYPERLINK("https://klasma.github.io/Logging_2085/klagomålsmail/A 50052-2021 FSC-klagomål mail.docx", "A 50052-2021")</f>
        <v/>
      </c>
      <c r="X36">
        <f>HYPERLINK("https://klasma.github.io/Logging_2085/tillsyn/A 50052-2021 tillsynsbegäran.docx", "A 50052-2021")</f>
        <v/>
      </c>
      <c r="Y36">
        <f>HYPERLINK("https://klasma.github.io/Logging_2085/tillsynsmail/A 50052-2021 tillsynsbegäran mail.docx", "A 50052-2021")</f>
        <v/>
      </c>
    </row>
    <row r="37" ht="15" customHeight="1">
      <c r="A37" t="inlineStr">
        <is>
          <t>A 72858-2021</t>
        </is>
      </c>
      <c r="B37" s="1" t="n">
        <v>44547</v>
      </c>
      <c r="C37" s="1" t="n">
        <v>45364</v>
      </c>
      <c r="D37" t="inlineStr">
        <is>
          <t>DALARNAS LÄN</t>
        </is>
      </c>
      <c r="E37" t="inlineStr">
        <is>
          <t>LUDVIKA</t>
        </is>
      </c>
      <c r="F37" t="inlineStr">
        <is>
          <t>Kommuner</t>
        </is>
      </c>
      <c r="G37" t="n">
        <v>7</v>
      </c>
      <c r="H37" t="n">
        <v>0</v>
      </c>
      <c r="I37" t="n">
        <v>0</v>
      </c>
      <c r="J37" t="n">
        <v>0</v>
      </c>
      <c r="K37" t="n">
        <v>1</v>
      </c>
      <c r="L37" t="n">
        <v>0</v>
      </c>
      <c r="M37" t="n">
        <v>0</v>
      </c>
      <c r="N37" t="n">
        <v>0</v>
      </c>
      <c r="O37" t="n">
        <v>1</v>
      </c>
      <c r="P37" t="n">
        <v>1</v>
      </c>
      <c r="Q37" t="n">
        <v>1</v>
      </c>
      <c r="R37" s="2" t="inlineStr">
        <is>
          <t>Rynkskinn</t>
        </is>
      </c>
      <c r="S37">
        <f>HYPERLINK("https://klasma.github.io/Logging_2085/artfynd/A 72858-2021 artfynd.xlsx", "A 72858-2021")</f>
        <v/>
      </c>
      <c r="T37">
        <f>HYPERLINK("https://klasma.github.io/Logging_2085/kartor/A 72858-2021 karta.png", "A 72858-2021")</f>
        <v/>
      </c>
      <c r="V37">
        <f>HYPERLINK("https://klasma.github.io/Logging_2085/klagomål/A 72858-2021 FSC-klagomål.docx", "A 72858-2021")</f>
        <v/>
      </c>
      <c r="W37">
        <f>HYPERLINK("https://klasma.github.io/Logging_2085/klagomålsmail/A 72858-2021 FSC-klagomål mail.docx", "A 72858-2021")</f>
        <v/>
      </c>
      <c r="X37">
        <f>HYPERLINK("https://klasma.github.io/Logging_2085/tillsyn/A 72858-2021 tillsynsbegäran.docx", "A 72858-2021")</f>
        <v/>
      </c>
      <c r="Y37">
        <f>HYPERLINK("https://klasma.github.io/Logging_2085/tillsynsmail/A 72858-2021 tillsynsbegäran mail.docx", "A 72858-2021")</f>
        <v/>
      </c>
    </row>
    <row r="38" ht="15" customHeight="1">
      <c r="A38" t="inlineStr">
        <is>
          <t>A 74401-2021</t>
        </is>
      </c>
      <c r="B38" s="1" t="n">
        <v>44560</v>
      </c>
      <c r="C38" s="1" t="n">
        <v>45364</v>
      </c>
      <c r="D38" t="inlineStr">
        <is>
          <t>DALARNAS LÄN</t>
        </is>
      </c>
      <c r="E38" t="inlineStr">
        <is>
          <t>LUDVIKA</t>
        </is>
      </c>
      <c r="F38" t="inlineStr">
        <is>
          <t>Kommuner</t>
        </is>
      </c>
      <c r="G38" t="n">
        <v>0.6</v>
      </c>
      <c r="H38" t="n">
        <v>0</v>
      </c>
      <c r="I38" t="n">
        <v>1</v>
      </c>
      <c r="J38" t="n">
        <v>0</v>
      </c>
      <c r="K38" t="n">
        <v>0</v>
      </c>
      <c r="L38" t="n">
        <v>0</v>
      </c>
      <c r="M38" t="n">
        <v>0</v>
      </c>
      <c r="N38" t="n">
        <v>0</v>
      </c>
      <c r="O38" t="n">
        <v>0</v>
      </c>
      <c r="P38" t="n">
        <v>0</v>
      </c>
      <c r="Q38" t="n">
        <v>1</v>
      </c>
      <c r="R38" s="2" t="inlineStr">
        <is>
          <t>Gullgröppa</t>
        </is>
      </c>
      <c r="S38">
        <f>HYPERLINK("https://klasma.github.io/Logging_2085/artfynd/A 74401-2021 artfynd.xlsx", "A 74401-2021")</f>
        <v/>
      </c>
      <c r="T38">
        <f>HYPERLINK("https://klasma.github.io/Logging_2085/kartor/A 74401-2021 karta.png", "A 74401-2021")</f>
        <v/>
      </c>
      <c r="V38">
        <f>HYPERLINK("https://klasma.github.io/Logging_2085/klagomål/A 74401-2021 FSC-klagomål.docx", "A 74401-2021")</f>
        <v/>
      </c>
      <c r="W38">
        <f>HYPERLINK("https://klasma.github.io/Logging_2085/klagomålsmail/A 74401-2021 FSC-klagomål mail.docx", "A 74401-2021")</f>
        <v/>
      </c>
      <c r="X38">
        <f>HYPERLINK("https://klasma.github.io/Logging_2085/tillsyn/A 74401-2021 tillsynsbegäran.docx", "A 74401-2021")</f>
        <v/>
      </c>
      <c r="Y38">
        <f>HYPERLINK("https://klasma.github.io/Logging_2085/tillsynsmail/A 74401-2021 tillsynsbegäran mail.docx", "A 74401-2021")</f>
        <v/>
      </c>
    </row>
    <row r="39" ht="15" customHeight="1">
      <c r="A39" t="inlineStr">
        <is>
          <t>A 927-2022</t>
        </is>
      </c>
      <c r="B39" s="1" t="n">
        <v>44571</v>
      </c>
      <c r="C39" s="1" t="n">
        <v>45364</v>
      </c>
      <c r="D39" t="inlineStr">
        <is>
          <t>DALARNAS LÄN</t>
        </is>
      </c>
      <c r="E39" t="inlineStr">
        <is>
          <t>LUDVIKA</t>
        </is>
      </c>
      <c r="F39" t="inlineStr">
        <is>
          <t>Allmännings- och besparingsskogar</t>
        </is>
      </c>
      <c r="G39" t="n">
        <v>2.4</v>
      </c>
      <c r="H39" t="n">
        <v>0</v>
      </c>
      <c r="I39" t="n">
        <v>0</v>
      </c>
      <c r="J39" t="n">
        <v>1</v>
      </c>
      <c r="K39" t="n">
        <v>0</v>
      </c>
      <c r="L39" t="n">
        <v>0</v>
      </c>
      <c r="M39" t="n">
        <v>0</v>
      </c>
      <c r="N39" t="n">
        <v>0</v>
      </c>
      <c r="O39" t="n">
        <v>1</v>
      </c>
      <c r="P39" t="n">
        <v>0</v>
      </c>
      <c r="Q39" t="n">
        <v>1</v>
      </c>
      <c r="R39" s="2" t="inlineStr">
        <is>
          <t>Brunklöver</t>
        </is>
      </c>
      <c r="S39">
        <f>HYPERLINK("https://klasma.github.io/Logging_2085/artfynd/A 927-2022 artfynd.xlsx", "A 927-2022")</f>
        <v/>
      </c>
      <c r="T39">
        <f>HYPERLINK("https://klasma.github.io/Logging_2085/kartor/A 927-2022 karta.png", "A 927-2022")</f>
        <v/>
      </c>
      <c r="V39">
        <f>HYPERLINK("https://klasma.github.io/Logging_2085/klagomål/A 927-2022 FSC-klagomål.docx", "A 927-2022")</f>
        <v/>
      </c>
      <c r="W39">
        <f>HYPERLINK("https://klasma.github.io/Logging_2085/klagomålsmail/A 927-2022 FSC-klagomål mail.docx", "A 927-2022")</f>
        <v/>
      </c>
      <c r="X39">
        <f>HYPERLINK("https://klasma.github.io/Logging_2085/tillsyn/A 927-2022 tillsynsbegäran.docx", "A 927-2022")</f>
        <v/>
      </c>
      <c r="Y39">
        <f>HYPERLINK("https://klasma.github.io/Logging_2085/tillsynsmail/A 927-2022 tillsynsbegäran mail.docx", "A 927-2022")</f>
        <v/>
      </c>
    </row>
    <row r="40" ht="15" customHeight="1">
      <c r="A40" t="inlineStr">
        <is>
          <t>A 19512-2022</t>
        </is>
      </c>
      <c r="B40" s="1" t="n">
        <v>44693</v>
      </c>
      <c r="C40" s="1" t="n">
        <v>45364</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19717-2022</t>
        </is>
      </c>
      <c r="B41" s="1" t="n">
        <v>44694</v>
      </c>
      <c r="C41" s="1" t="n">
        <v>45364</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Vedticka</t>
        </is>
      </c>
      <c r="S41">
        <f>HYPERLINK("https://klasma.github.io/Logging_2085/artfynd/A 19717-2022 artfynd.xlsx", "A 19717-2022")</f>
        <v/>
      </c>
      <c r="T41">
        <f>HYPERLINK("https://klasma.github.io/Logging_2085/kartor/A 19717-2022 karta.png", "A 19717-2022")</f>
        <v/>
      </c>
      <c r="V41">
        <f>HYPERLINK("https://klasma.github.io/Logging_2085/klagomål/A 19717-2022 FSC-klagomål.docx", "A 19717-2022")</f>
        <v/>
      </c>
      <c r="W41">
        <f>HYPERLINK("https://klasma.github.io/Logging_2085/klagomålsmail/A 19717-2022 FSC-klagomål mail.docx", "A 19717-2022")</f>
        <v/>
      </c>
      <c r="X41">
        <f>HYPERLINK("https://klasma.github.io/Logging_2085/tillsyn/A 19717-2022 tillsynsbegäran.docx", "A 19717-2022")</f>
        <v/>
      </c>
      <c r="Y41">
        <f>HYPERLINK("https://klasma.github.io/Logging_2085/tillsynsmail/A 19717-2022 tillsynsbegäran mail.docx", "A 19717-2022")</f>
        <v/>
      </c>
    </row>
    <row r="42" ht="15" customHeight="1">
      <c r="A42" t="inlineStr">
        <is>
          <t>A 21499-2022</t>
        </is>
      </c>
      <c r="B42" s="1" t="n">
        <v>44706</v>
      </c>
      <c r="C42" s="1" t="n">
        <v>45364</v>
      </c>
      <c r="D42" t="inlineStr">
        <is>
          <t>DALARNAS LÄN</t>
        </is>
      </c>
      <c r="E42" t="inlineStr">
        <is>
          <t>LUDVIKA</t>
        </is>
      </c>
      <c r="G42" t="n">
        <v>4.3</v>
      </c>
      <c r="H42" t="n">
        <v>0</v>
      </c>
      <c r="I42" t="n">
        <v>1</v>
      </c>
      <c r="J42" t="n">
        <v>0</v>
      </c>
      <c r="K42" t="n">
        <v>0</v>
      </c>
      <c r="L42" t="n">
        <v>0</v>
      </c>
      <c r="M42" t="n">
        <v>0</v>
      </c>
      <c r="N42" t="n">
        <v>0</v>
      </c>
      <c r="O42" t="n">
        <v>0</v>
      </c>
      <c r="P42" t="n">
        <v>0</v>
      </c>
      <c r="Q42" t="n">
        <v>1</v>
      </c>
      <c r="R42" s="2" t="inlineStr">
        <is>
          <t>Strimspindling</t>
        </is>
      </c>
      <c r="S42">
        <f>HYPERLINK("https://klasma.github.io/Logging_2085/artfynd/A 21499-2022 artfynd.xlsx", "A 21499-2022")</f>
        <v/>
      </c>
      <c r="T42">
        <f>HYPERLINK("https://klasma.github.io/Logging_2085/kartor/A 21499-2022 karta.png", "A 21499-2022")</f>
        <v/>
      </c>
      <c r="V42">
        <f>HYPERLINK("https://klasma.github.io/Logging_2085/klagomål/A 21499-2022 FSC-klagomål.docx", "A 21499-2022")</f>
        <v/>
      </c>
      <c r="W42">
        <f>HYPERLINK("https://klasma.github.io/Logging_2085/klagomålsmail/A 21499-2022 FSC-klagomål mail.docx", "A 21499-2022")</f>
        <v/>
      </c>
      <c r="X42">
        <f>HYPERLINK("https://klasma.github.io/Logging_2085/tillsyn/A 21499-2022 tillsynsbegäran.docx", "A 21499-2022")</f>
        <v/>
      </c>
      <c r="Y42">
        <f>HYPERLINK("https://klasma.github.io/Logging_2085/tillsynsmail/A 21499-2022 tillsynsbegäran mail.docx", "A 21499-2022")</f>
        <v/>
      </c>
    </row>
    <row r="43" ht="15" customHeight="1">
      <c r="A43" t="inlineStr">
        <is>
          <t>A 41028-2022</t>
        </is>
      </c>
      <c r="B43" s="1" t="n">
        <v>44825</v>
      </c>
      <c r="C43" s="1" t="n">
        <v>45364</v>
      </c>
      <c r="D43" t="inlineStr">
        <is>
          <t>DALARNAS LÄN</t>
        </is>
      </c>
      <c r="E43" t="inlineStr">
        <is>
          <t>LUDVIKA</t>
        </is>
      </c>
      <c r="F43" t="inlineStr">
        <is>
          <t>Naturvårdsverket</t>
        </is>
      </c>
      <c r="G43" t="n">
        <v>8.300000000000001</v>
      </c>
      <c r="H43" t="n">
        <v>0</v>
      </c>
      <c r="I43" t="n">
        <v>0</v>
      </c>
      <c r="J43" t="n">
        <v>1</v>
      </c>
      <c r="K43" t="n">
        <v>0</v>
      </c>
      <c r="L43" t="n">
        <v>0</v>
      </c>
      <c r="M43" t="n">
        <v>0</v>
      </c>
      <c r="N43" t="n">
        <v>0</v>
      </c>
      <c r="O43" t="n">
        <v>1</v>
      </c>
      <c r="P43" t="n">
        <v>0</v>
      </c>
      <c r="Q43" t="n">
        <v>1</v>
      </c>
      <c r="R43" s="2" t="inlineStr">
        <is>
          <t>Vårtsporigt stålskinn</t>
        </is>
      </c>
      <c r="S43">
        <f>HYPERLINK("https://klasma.github.io/Logging_2085/artfynd/A 41028-2022 artfynd.xlsx", "A 41028-2022")</f>
        <v/>
      </c>
      <c r="T43">
        <f>HYPERLINK("https://klasma.github.io/Logging_2085/kartor/A 41028-2022 karta.png", "A 41028-2022")</f>
        <v/>
      </c>
      <c r="V43">
        <f>HYPERLINK("https://klasma.github.io/Logging_2085/klagomål/A 41028-2022 FSC-klagomål.docx", "A 41028-2022")</f>
        <v/>
      </c>
      <c r="W43">
        <f>HYPERLINK("https://klasma.github.io/Logging_2085/klagomålsmail/A 41028-2022 FSC-klagomål mail.docx", "A 41028-2022")</f>
        <v/>
      </c>
      <c r="X43">
        <f>HYPERLINK("https://klasma.github.io/Logging_2085/tillsyn/A 41028-2022 tillsynsbegäran.docx", "A 41028-2022")</f>
        <v/>
      </c>
      <c r="Y43">
        <f>HYPERLINK("https://klasma.github.io/Logging_2085/tillsynsmail/A 41028-2022 tillsynsbegäran mail.docx", "A 41028-2022")</f>
        <v/>
      </c>
    </row>
    <row r="44" ht="15" customHeight="1">
      <c r="A44" t="inlineStr">
        <is>
          <t>A 42758-2022</t>
        </is>
      </c>
      <c r="B44" s="1" t="n">
        <v>44832</v>
      </c>
      <c r="C44" s="1" t="n">
        <v>45364</v>
      </c>
      <c r="D44" t="inlineStr">
        <is>
          <t>DALARNAS LÄN</t>
        </is>
      </c>
      <c r="E44" t="inlineStr">
        <is>
          <t>LUDVIKA</t>
        </is>
      </c>
      <c r="F44" t="inlineStr">
        <is>
          <t>Bergvik skog väst AB</t>
        </is>
      </c>
      <c r="G44" t="n">
        <v>1.6</v>
      </c>
      <c r="H44" t="n">
        <v>0</v>
      </c>
      <c r="I44" t="n">
        <v>0</v>
      </c>
      <c r="J44" t="n">
        <v>0</v>
      </c>
      <c r="K44" t="n">
        <v>1</v>
      </c>
      <c r="L44" t="n">
        <v>0</v>
      </c>
      <c r="M44" t="n">
        <v>0</v>
      </c>
      <c r="N44" t="n">
        <v>0</v>
      </c>
      <c r="O44" t="n">
        <v>1</v>
      </c>
      <c r="P44" t="n">
        <v>1</v>
      </c>
      <c r="Q44" t="n">
        <v>1</v>
      </c>
      <c r="R44" s="2" t="inlineStr">
        <is>
          <t>Aspgelélav</t>
        </is>
      </c>
      <c r="S44">
        <f>HYPERLINK("https://klasma.github.io/Logging_2085/artfynd/A 42758-2022 artfynd.xlsx", "A 42758-2022")</f>
        <v/>
      </c>
      <c r="T44">
        <f>HYPERLINK("https://klasma.github.io/Logging_2085/kartor/A 42758-2022 karta.png", "A 42758-2022")</f>
        <v/>
      </c>
      <c r="V44">
        <f>HYPERLINK("https://klasma.github.io/Logging_2085/klagomål/A 42758-2022 FSC-klagomål.docx", "A 42758-2022")</f>
        <v/>
      </c>
      <c r="W44">
        <f>HYPERLINK("https://klasma.github.io/Logging_2085/klagomålsmail/A 42758-2022 FSC-klagomål mail.docx", "A 42758-2022")</f>
        <v/>
      </c>
      <c r="X44">
        <f>HYPERLINK("https://klasma.github.io/Logging_2085/tillsyn/A 42758-2022 tillsynsbegäran.docx", "A 42758-2022")</f>
        <v/>
      </c>
      <c r="Y44">
        <f>HYPERLINK("https://klasma.github.io/Logging_2085/tillsynsmail/A 42758-2022 tillsynsbegäran mail.docx", "A 42758-2022")</f>
        <v/>
      </c>
    </row>
    <row r="45" ht="15" customHeight="1">
      <c r="A45" t="inlineStr">
        <is>
          <t>A 52452-2022</t>
        </is>
      </c>
      <c r="B45" s="1" t="n">
        <v>44874</v>
      </c>
      <c r="C45" s="1" t="n">
        <v>45364</v>
      </c>
      <c r="D45" t="inlineStr">
        <is>
          <t>DALARNAS LÄN</t>
        </is>
      </c>
      <c r="E45" t="inlineStr">
        <is>
          <t>LUDVIKA</t>
        </is>
      </c>
      <c r="F45" t="inlineStr">
        <is>
          <t>Bergvik skog väst AB</t>
        </is>
      </c>
      <c r="G45" t="n">
        <v>1.9</v>
      </c>
      <c r="H45" t="n">
        <v>0</v>
      </c>
      <c r="I45" t="n">
        <v>0</v>
      </c>
      <c r="J45" t="n">
        <v>1</v>
      </c>
      <c r="K45" t="n">
        <v>0</v>
      </c>
      <c r="L45" t="n">
        <v>0</v>
      </c>
      <c r="M45" t="n">
        <v>0</v>
      </c>
      <c r="N45" t="n">
        <v>0</v>
      </c>
      <c r="O45" t="n">
        <v>1</v>
      </c>
      <c r="P45" t="n">
        <v>0</v>
      </c>
      <c r="Q45" t="n">
        <v>1</v>
      </c>
      <c r="R45" s="2" t="inlineStr">
        <is>
          <t>Garnlav</t>
        </is>
      </c>
      <c r="S45">
        <f>HYPERLINK("https://klasma.github.io/Logging_2085/artfynd/A 52452-2022 artfynd.xlsx", "A 52452-2022")</f>
        <v/>
      </c>
      <c r="T45">
        <f>HYPERLINK("https://klasma.github.io/Logging_2085/kartor/A 52452-2022 karta.png", "A 52452-2022")</f>
        <v/>
      </c>
      <c r="V45">
        <f>HYPERLINK("https://klasma.github.io/Logging_2085/klagomål/A 52452-2022 FSC-klagomål.docx", "A 52452-2022")</f>
        <v/>
      </c>
      <c r="W45">
        <f>HYPERLINK("https://klasma.github.io/Logging_2085/klagomålsmail/A 52452-2022 FSC-klagomål mail.docx", "A 52452-2022")</f>
        <v/>
      </c>
      <c r="X45">
        <f>HYPERLINK("https://klasma.github.io/Logging_2085/tillsyn/A 52452-2022 tillsynsbegäran.docx", "A 52452-2022")</f>
        <v/>
      </c>
      <c r="Y45">
        <f>HYPERLINK("https://klasma.github.io/Logging_2085/tillsynsmail/A 52452-2022 tillsynsbegäran mail.docx", "A 52452-2022")</f>
        <v/>
      </c>
    </row>
    <row r="46" ht="15" customHeight="1">
      <c r="A46" t="inlineStr">
        <is>
          <t>A 55550-2022</t>
        </is>
      </c>
      <c r="B46" s="1" t="n">
        <v>44888</v>
      </c>
      <c r="C46" s="1" t="n">
        <v>45364</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17310-2023</t>
        </is>
      </c>
      <c r="B47" s="1" t="n">
        <v>45035</v>
      </c>
      <c r="C47" s="1" t="n">
        <v>45364</v>
      </c>
      <c r="D47" t="inlineStr">
        <is>
          <t>DALARNAS LÄN</t>
        </is>
      </c>
      <c r="E47" t="inlineStr">
        <is>
          <t>LUDVIKA</t>
        </is>
      </c>
      <c r="G47" t="n">
        <v>10.2</v>
      </c>
      <c r="H47" t="n">
        <v>0</v>
      </c>
      <c r="I47" t="n">
        <v>0</v>
      </c>
      <c r="J47" t="n">
        <v>1</v>
      </c>
      <c r="K47" t="n">
        <v>0</v>
      </c>
      <c r="L47" t="n">
        <v>0</v>
      </c>
      <c r="M47" t="n">
        <v>0</v>
      </c>
      <c r="N47" t="n">
        <v>0</v>
      </c>
      <c r="O47" t="n">
        <v>1</v>
      </c>
      <c r="P47" t="n">
        <v>0</v>
      </c>
      <c r="Q47" t="n">
        <v>1</v>
      </c>
      <c r="R47" s="2" t="inlineStr">
        <is>
          <t>Barrpraktbagge</t>
        </is>
      </c>
      <c r="S47">
        <f>HYPERLINK("https://klasma.github.io/Logging_2085/artfynd/A 17310-2023 artfynd.xlsx", "A 17310-2023")</f>
        <v/>
      </c>
      <c r="T47">
        <f>HYPERLINK("https://klasma.github.io/Logging_2085/kartor/A 17310-2023 karta.png", "A 17310-2023")</f>
        <v/>
      </c>
      <c r="V47">
        <f>HYPERLINK("https://klasma.github.io/Logging_2085/klagomål/A 17310-2023 FSC-klagomål.docx", "A 17310-2023")</f>
        <v/>
      </c>
      <c r="W47">
        <f>HYPERLINK("https://klasma.github.io/Logging_2085/klagomålsmail/A 17310-2023 FSC-klagomål mail.docx", "A 17310-2023")</f>
        <v/>
      </c>
      <c r="X47">
        <f>HYPERLINK("https://klasma.github.io/Logging_2085/tillsyn/A 17310-2023 tillsynsbegäran.docx", "A 17310-2023")</f>
        <v/>
      </c>
      <c r="Y47">
        <f>HYPERLINK("https://klasma.github.io/Logging_2085/tillsynsmail/A 17310-2023 tillsynsbegäran mail.docx", "A 17310-2023")</f>
        <v/>
      </c>
    </row>
    <row r="48" ht="15" customHeight="1">
      <c r="A48" t="inlineStr">
        <is>
          <t>A 18298-2023</t>
        </is>
      </c>
      <c r="B48" s="1" t="n">
        <v>45041</v>
      </c>
      <c r="C48" s="1" t="n">
        <v>45364</v>
      </c>
      <c r="D48" t="inlineStr">
        <is>
          <t>DALARNAS LÄN</t>
        </is>
      </c>
      <c r="E48" t="inlineStr">
        <is>
          <t>LUDVIKA</t>
        </is>
      </c>
      <c r="G48" t="n">
        <v>3.4</v>
      </c>
      <c r="H48" t="n">
        <v>1</v>
      </c>
      <c r="I48" t="n">
        <v>0</v>
      </c>
      <c r="J48" t="n">
        <v>0</v>
      </c>
      <c r="K48" t="n">
        <v>0</v>
      </c>
      <c r="L48" t="n">
        <v>0</v>
      </c>
      <c r="M48" t="n">
        <v>0</v>
      </c>
      <c r="N48" t="n">
        <v>0</v>
      </c>
      <c r="O48" t="n">
        <v>0</v>
      </c>
      <c r="P48" t="n">
        <v>0</v>
      </c>
      <c r="Q48" t="n">
        <v>1</v>
      </c>
      <c r="R48" s="2" t="inlineStr">
        <is>
          <t>Fläcknycklar</t>
        </is>
      </c>
      <c r="S48">
        <f>HYPERLINK("https://klasma.github.io/Logging_2085/artfynd/A 18298-2023 artfynd.xlsx", "A 18298-2023")</f>
        <v/>
      </c>
      <c r="T48">
        <f>HYPERLINK("https://klasma.github.io/Logging_2085/kartor/A 18298-2023 karta.png", "A 18298-2023")</f>
        <v/>
      </c>
      <c r="V48">
        <f>HYPERLINK("https://klasma.github.io/Logging_2085/klagomål/A 18298-2023 FSC-klagomål.docx", "A 18298-2023")</f>
        <v/>
      </c>
      <c r="W48">
        <f>HYPERLINK("https://klasma.github.io/Logging_2085/klagomålsmail/A 18298-2023 FSC-klagomål mail.docx", "A 18298-2023")</f>
        <v/>
      </c>
      <c r="X48">
        <f>HYPERLINK("https://klasma.github.io/Logging_2085/tillsyn/A 18298-2023 tillsynsbegäran.docx", "A 18298-2023")</f>
        <v/>
      </c>
      <c r="Y48">
        <f>HYPERLINK("https://klasma.github.io/Logging_2085/tillsynsmail/A 18298-2023 tillsynsbegäran mail.docx", "A 18298-2023")</f>
        <v/>
      </c>
    </row>
    <row r="49" ht="15" customHeight="1">
      <c r="A49" t="inlineStr">
        <is>
          <t>A 25588-2023</t>
        </is>
      </c>
      <c r="B49" s="1" t="n">
        <v>45089</v>
      </c>
      <c r="C49" s="1" t="n">
        <v>45364</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26850-2023</t>
        </is>
      </c>
      <c r="B50" s="1" t="n">
        <v>45093</v>
      </c>
      <c r="C50" s="1" t="n">
        <v>45364</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29144-2023</t>
        </is>
      </c>
      <c r="B51" s="1" t="n">
        <v>45105</v>
      </c>
      <c r="C51" s="1" t="n">
        <v>45364</v>
      </c>
      <c r="D51" t="inlineStr">
        <is>
          <t>DALARNAS LÄN</t>
        </is>
      </c>
      <c r="E51" t="inlineStr">
        <is>
          <t>LUDVIKA</t>
        </is>
      </c>
      <c r="F51" t="inlineStr">
        <is>
          <t>Allmännings- och besparingsskogar</t>
        </is>
      </c>
      <c r="G51" t="n">
        <v>7.2</v>
      </c>
      <c r="H51" t="n">
        <v>1</v>
      </c>
      <c r="I51" t="n">
        <v>0</v>
      </c>
      <c r="J51" t="n">
        <v>0</v>
      </c>
      <c r="K51" t="n">
        <v>1</v>
      </c>
      <c r="L51" t="n">
        <v>0</v>
      </c>
      <c r="M51" t="n">
        <v>0</v>
      </c>
      <c r="N51" t="n">
        <v>0</v>
      </c>
      <c r="O51" t="n">
        <v>1</v>
      </c>
      <c r="P51" t="n">
        <v>1</v>
      </c>
      <c r="Q51" t="n">
        <v>1</v>
      </c>
      <c r="R51" s="2" t="inlineStr">
        <is>
          <t>Knärot</t>
        </is>
      </c>
      <c r="S51">
        <f>HYPERLINK("https://klasma.github.io/Logging_2085/artfynd/A 29144-2023 artfynd.xlsx", "A 29144-2023")</f>
        <v/>
      </c>
      <c r="T51">
        <f>HYPERLINK("https://klasma.github.io/Logging_2085/kartor/A 29144-2023 karta.png", "A 29144-2023")</f>
        <v/>
      </c>
      <c r="U51">
        <f>HYPERLINK("https://klasma.github.io/Logging_2085/knärot/A 29144-2023 karta knärot.png", "A 29144-2023")</f>
        <v/>
      </c>
      <c r="V51">
        <f>HYPERLINK("https://klasma.github.io/Logging_2085/klagomål/A 29144-2023 FSC-klagomål.docx", "A 29144-2023")</f>
        <v/>
      </c>
      <c r="W51">
        <f>HYPERLINK("https://klasma.github.io/Logging_2085/klagomålsmail/A 29144-2023 FSC-klagomål mail.docx", "A 29144-2023")</f>
        <v/>
      </c>
      <c r="X51">
        <f>HYPERLINK("https://klasma.github.io/Logging_2085/tillsyn/A 29144-2023 tillsynsbegäran.docx", "A 29144-2023")</f>
        <v/>
      </c>
      <c r="Y51">
        <f>HYPERLINK("https://klasma.github.io/Logging_2085/tillsynsmail/A 29144-2023 tillsynsbegäran mail.docx", "A 29144-2023")</f>
        <v/>
      </c>
    </row>
    <row r="52" ht="15" customHeight="1">
      <c r="A52" t="inlineStr">
        <is>
          <t>A 30053-2023</t>
        </is>
      </c>
      <c r="B52" s="1" t="n">
        <v>45110</v>
      </c>
      <c r="C52" s="1" t="n">
        <v>45364</v>
      </c>
      <c r="D52" t="inlineStr">
        <is>
          <t>DALARNAS LÄN</t>
        </is>
      </c>
      <c r="E52" t="inlineStr">
        <is>
          <t>LUDVIKA</t>
        </is>
      </c>
      <c r="F52" t="inlineStr">
        <is>
          <t>Bergvik skog väst AB</t>
        </is>
      </c>
      <c r="G52" t="n">
        <v>6.8</v>
      </c>
      <c r="H52" t="n">
        <v>0</v>
      </c>
      <c r="I52" t="n">
        <v>0</v>
      </c>
      <c r="J52" t="n">
        <v>1</v>
      </c>
      <c r="K52" t="n">
        <v>0</v>
      </c>
      <c r="L52" t="n">
        <v>0</v>
      </c>
      <c r="M52" t="n">
        <v>0</v>
      </c>
      <c r="N52" t="n">
        <v>0</v>
      </c>
      <c r="O52" t="n">
        <v>1</v>
      </c>
      <c r="P52" t="n">
        <v>0</v>
      </c>
      <c r="Q52" t="n">
        <v>1</v>
      </c>
      <c r="R52" s="2" t="inlineStr">
        <is>
          <t>Garnlav</t>
        </is>
      </c>
      <c r="S52">
        <f>HYPERLINK("https://klasma.github.io/Logging_2085/artfynd/A 30053-2023 artfynd.xlsx", "A 30053-2023")</f>
        <v/>
      </c>
      <c r="T52">
        <f>HYPERLINK("https://klasma.github.io/Logging_2085/kartor/A 30053-2023 karta.png", "A 30053-2023")</f>
        <v/>
      </c>
      <c r="V52">
        <f>HYPERLINK("https://klasma.github.io/Logging_2085/klagomål/A 30053-2023 FSC-klagomål.docx", "A 30053-2023")</f>
        <v/>
      </c>
      <c r="W52">
        <f>HYPERLINK("https://klasma.github.io/Logging_2085/klagomålsmail/A 30053-2023 FSC-klagomål mail.docx", "A 30053-2023")</f>
        <v/>
      </c>
      <c r="X52">
        <f>HYPERLINK("https://klasma.github.io/Logging_2085/tillsyn/A 30053-2023 tillsynsbegäran.docx", "A 30053-2023")</f>
        <v/>
      </c>
      <c r="Y52">
        <f>HYPERLINK("https://klasma.github.io/Logging_2085/tillsynsmail/A 30053-2023 tillsynsbegäran mail.docx", "A 30053-2023")</f>
        <v/>
      </c>
    </row>
    <row r="53" ht="15" customHeight="1">
      <c r="A53" t="inlineStr">
        <is>
          <t>A 33055-2023</t>
        </is>
      </c>
      <c r="B53" s="1" t="n">
        <v>45126</v>
      </c>
      <c r="C53" s="1" t="n">
        <v>45364</v>
      </c>
      <c r="D53" t="inlineStr">
        <is>
          <t>DALARNAS LÄN</t>
        </is>
      </c>
      <c r="E53" t="inlineStr">
        <is>
          <t>LUDVIKA</t>
        </is>
      </c>
      <c r="F53" t="inlineStr">
        <is>
          <t>Bergvik skog väst AB</t>
        </is>
      </c>
      <c r="G53" t="n">
        <v>6</v>
      </c>
      <c r="H53" t="n">
        <v>0</v>
      </c>
      <c r="I53" t="n">
        <v>1</v>
      </c>
      <c r="J53" t="n">
        <v>0</v>
      </c>
      <c r="K53" t="n">
        <v>0</v>
      </c>
      <c r="L53" t="n">
        <v>0</v>
      </c>
      <c r="M53" t="n">
        <v>0</v>
      </c>
      <c r="N53" t="n">
        <v>0</v>
      </c>
      <c r="O53" t="n">
        <v>0</v>
      </c>
      <c r="P53" t="n">
        <v>0</v>
      </c>
      <c r="Q53" t="n">
        <v>1</v>
      </c>
      <c r="R53" s="2" t="inlineStr">
        <is>
          <t>Vedticka</t>
        </is>
      </c>
      <c r="S53">
        <f>HYPERLINK("https://klasma.github.io/Logging_2085/artfynd/A 33055-2023 artfynd.xlsx", "A 33055-2023")</f>
        <v/>
      </c>
      <c r="T53">
        <f>HYPERLINK("https://klasma.github.io/Logging_2085/kartor/A 33055-2023 karta.png", "A 33055-2023")</f>
        <v/>
      </c>
      <c r="V53">
        <f>HYPERLINK("https://klasma.github.io/Logging_2085/klagomål/A 33055-2023 FSC-klagomål.docx", "A 33055-2023")</f>
        <v/>
      </c>
      <c r="W53">
        <f>HYPERLINK("https://klasma.github.io/Logging_2085/klagomålsmail/A 33055-2023 FSC-klagomål mail.docx", "A 33055-2023")</f>
        <v/>
      </c>
      <c r="X53">
        <f>HYPERLINK("https://klasma.github.io/Logging_2085/tillsyn/A 33055-2023 tillsynsbegäran.docx", "A 33055-2023")</f>
        <v/>
      </c>
      <c r="Y53">
        <f>HYPERLINK("https://klasma.github.io/Logging_2085/tillsynsmail/A 33055-2023 tillsynsbegäran mail.docx", "A 33055-2023")</f>
        <v/>
      </c>
    </row>
    <row r="54" ht="15" customHeight="1">
      <c r="A54" t="inlineStr">
        <is>
          <t>A 34539-2023</t>
        </is>
      </c>
      <c r="B54" s="1" t="n">
        <v>45140</v>
      </c>
      <c r="C54" s="1" t="n">
        <v>45364</v>
      </c>
      <c r="D54" t="inlineStr">
        <is>
          <t>DALARNAS LÄN</t>
        </is>
      </c>
      <c r="E54" t="inlineStr">
        <is>
          <t>LUDVIKA</t>
        </is>
      </c>
      <c r="F54" t="inlineStr">
        <is>
          <t>Bergvik skog väst AB</t>
        </is>
      </c>
      <c r="G54" t="n">
        <v>6.1</v>
      </c>
      <c r="H54" t="n">
        <v>1</v>
      </c>
      <c r="I54" t="n">
        <v>0</v>
      </c>
      <c r="J54" t="n">
        <v>0</v>
      </c>
      <c r="K54" t="n">
        <v>0</v>
      </c>
      <c r="L54" t="n">
        <v>0</v>
      </c>
      <c r="M54" t="n">
        <v>0</v>
      </c>
      <c r="N54" t="n">
        <v>0</v>
      </c>
      <c r="O54" t="n">
        <v>0</v>
      </c>
      <c r="P54" t="n">
        <v>0</v>
      </c>
      <c r="Q54" t="n">
        <v>1</v>
      </c>
      <c r="R54" s="2" t="inlineStr">
        <is>
          <t>Gullviva</t>
        </is>
      </c>
      <c r="S54">
        <f>HYPERLINK("https://klasma.github.io/Logging_2085/artfynd/A 34539-2023 artfynd.xlsx", "A 34539-2023")</f>
        <v/>
      </c>
      <c r="T54">
        <f>HYPERLINK("https://klasma.github.io/Logging_2085/kartor/A 34539-2023 karta.png", "A 34539-2023")</f>
        <v/>
      </c>
      <c r="V54">
        <f>HYPERLINK("https://klasma.github.io/Logging_2085/klagomål/A 34539-2023 FSC-klagomål.docx", "A 34539-2023")</f>
        <v/>
      </c>
      <c r="W54">
        <f>HYPERLINK("https://klasma.github.io/Logging_2085/klagomålsmail/A 34539-2023 FSC-klagomål mail.docx", "A 34539-2023")</f>
        <v/>
      </c>
      <c r="X54">
        <f>HYPERLINK("https://klasma.github.io/Logging_2085/tillsyn/A 34539-2023 tillsynsbegäran.docx", "A 34539-2023")</f>
        <v/>
      </c>
      <c r="Y54">
        <f>HYPERLINK("https://klasma.github.io/Logging_2085/tillsynsmail/A 34539-2023 tillsynsbegäran mail.docx", "A 34539-2023")</f>
        <v/>
      </c>
    </row>
    <row r="55" ht="15" customHeight="1">
      <c r="A55" t="inlineStr">
        <is>
          <t>A 36559-2023</t>
        </is>
      </c>
      <c r="B55" s="1" t="n">
        <v>45153</v>
      </c>
      <c r="C55" s="1" t="n">
        <v>45364</v>
      </c>
      <c r="D55" t="inlineStr">
        <is>
          <t>DALARNAS LÄN</t>
        </is>
      </c>
      <c r="E55" t="inlineStr">
        <is>
          <t>LUDVIKA</t>
        </is>
      </c>
      <c r="F55" t="inlineStr">
        <is>
          <t>Bergvik skog väst AB</t>
        </is>
      </c>
      <c r="G55" t="n">
        <v>34.7</v>
      </c>
      <c r="H55" t="n">
        <v>0</v>
      </c>
      <c r="I55" t="n">
        <v>0</v>
      </c>
      <c r="J55" t="n">
        <v>1</v>
      </c>
      <c r="K55" t="n">
        <v>0</v>
      </c>
      <c r="L55" t="n">
        <v>0</v>
      </c>
      <c r="M55" t="n">
        <v>0</v>
      </c>
      <c r="N55" t="n">
        <v>0</v>
      </c>
      <c r="O55" t="n">
        <v>1</v>
      </c>
      <c r="P55" t="n">
        <v>0</v>
      </c>
      <c r="Q55" t="n">
        <v>1</v>
      </c>
      <c r="R55" s="2" t="inlineStr">
        <is>
          <t>Garnlav</t>
        </is>
      </c>
      <c r="S55">
        <f>HYPERLINK("https://klasma.github.io/Logging_2085/artfynd/A 36559-2023 artfynd.xlsx", "A 36559-2023")</f>
        <v/>
      </c>
      <c r="T55">
        <f>HYPERLINK("https://klasma.github.io/Logging_2085/kartor/A 36559-2023 karta.png", "A 36559-2023")</f>
        <v/>
      </c>
      <c r="V55">
        <f>HYPERLINK("https://klasma.github.io/Logging_2085/klagomål/A 36559-2023 FSC-klagomål.docx", "A 36559-2023")</f>
        <v/>
      </c>
      <c r="W55">
        <f>HYPERLINK("https://klasma.github.io/Logging_2085/klagomålsmail/A 36559-2023 FSC-klagomål mail.docx", "A 36559-2023")</f>
        <v/>
      </c>
      <c r="X55">
        <f>HYPERLINK("https://klasma.github.io/Logging_2085/tillsyn/A 36559-2023 tillsynsbegäran.docx", "A 36559-2023")</f>
        <v/>
      </c>
      <c r="Y55">
        <f>HYPERLINK("https://klasma.github.io/Logging_2085/tillsynsmail/A 36559-2023 tillsynsbegäran mail.docx", "A 36559-2023")</f>
        <v/>
      </c>
    </row>
    <row r="56" ht="15" customHeight="1">
      <c r="A56" t="inlineStr">
        <is>
          <t>A 42089-2023</t>
        </is>
      </c>
      <c r="B56" s="1" t="n">
        <v>45177</v>
      </c>
      <c r="C56" s="1" t="n">
        <v>45364</v>
      </c>
      <c r="D56" t="inlineStr">
        <is>
          <t>DALARNAS LÄN</t>
        </is>
      </c>
      <c r="E56" t="inlineStr">
        <is>
          <t>LUDVIKA</t>
        </is>
      </c>
      <c r="F56" t="inlineStr">
        <is>
          <t>Bergvik skog väst AB</t>
        </is>
      </c>
      <c r="G56" t="n">
        <v>2.5</v>
      </c>
      <c r="H56" t="n">
        <v>0</v>
      </c>
      <c r="I56" t="n">
        <v>0</v>
      </c>
      <c r="J56" t="n">
        <v>1</v>
      </c>
      <c r="K56" t="n">
        <v>0</v>
      </c>
      <c r="L56" t="n">
        <v>0</v>
      </c>
      <c r="M56" t="n">
        <v>0</v>
      </c>
      <c r="N56" t="n">
        <v>0</v>
      </c>
      <c r="O56" t="n">
        <v>1</v>
      </c>
      <c r="P56" t="n">
        <v>0</v>
      </c>
      <c r="Q56" t="n">
        <v>1</v>
      </c>
      <c r="R56" s="2" t="inlineStr">
        <is>
          <t>Ullticka</t>
        </is>
      </c>
      <c r="S56">
        <f>HYPERLINK("https://klasma.github.io/Logging_2085/artfynd/A 42089-2023 artfynd.xlsx", "A 42089-2023")</f>
        <v/>
      </c>
      <c r="T56">
        <f>HYPERLINK("https://klasma.github.io/Logging_2085/kartor/A 42089-2023 karta.png", "A 42089-2023")</f>
        <v/>
      </c>
      <c r="V56">
        <f>HYPERLINK("https://klasma.github.io/Logging_2085/klagomål/A 42089-2023 FSC-klagomål.docx", "A 42089-2023")</f>
        <v/>
      </c>
      <c r="W56">
        <f>HYPERLINK("https://klasma.github.io/Logging_2085/klagomålsmail/A 42089-2023 FSC-klagomål mail.docx", "A 42089-2023")</f>
        <v/>
      </c>
      <c r="X56">
        <f>HYPERLINK("https://klasma.github.io/Logging_2085/tillsyn/A 42089-2023 tillsynsbegäran.docx", "A 42089-2023")</f>
        <v/>
      </c>
      <c r="Y56">
        <f>HYPERLINK("https://klasma.github.io/Logging_2085/tillsynsmail/A 42089-2023 tillsynsbegäran mail.docx", "A 42089-2023")</f>
        <v/>
      </c>
    </row>
    <row r="57" ht="15" customHeight="1">
      <c r="A57" t="inlineStr">
        <is>
          <t>A 44578-2023</t>
        </is>
      </c>
      <c r="B57" s="1" t="n">
        <v>45189</v>
      </c>
      <c r="C57" s="1" t="n">
        <v>45364</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46398-2023</t>
        </is>
      </c>
      <c r="B58" s="1" t="n">
        <v>45197</v>
      </c>
      <c r="C58" s="1" t="n">
        <v>45364</v>
      </c>
      <c r="D58" t="inlineStr">
        <is>
          <t>DALARNAS LÄN</t>
        </is>
      </c>
      <c r="E58" t="inlineStr">
        <is>
          <t>LUDVIKA</t>
        </is>
      </c>
      <c r="G58" t="n">
        <v>2.1</v>
      </c>
      <c r="H58" t="n">
        <v>1</v>
      </c>
      <c r="I58" t="n">
        <v>0</v>
      </c>
      <c r="J58" t="n">
        <v>0</v>
      </c>
      <c r="K58" t="n">
        <v>1</v>
      </c>
      <c r="L58" t="n">
        <v>0</v>
      </c>
      <c r="M58" t="n">
        <v>0</v>
      </c>
      <c r="N58" t="n">
        <v>0</v>
      </c>
      <c r="O58" t="n">
        <v>1</v>
      </c>
      <c r="P58" t="n">
        <v>1</v>
      </c>
      <c r="Q58" t="n">
        <v>1</v>
      </c>
      <c r="R58" s="2" t="inlineStr">
        <is>
          <t>Knärot</t>
        </is>
      </c>
      <c r="S58">
        <f>HYPERLINK("https://klasma.github.io/Logging_2085/artfynd/A 46398-2023 artfynd.xlsx", "A 46398-2023")</f>
        <v/>
      </c>
      <c r="T58">
        <f>HYPERLINK("https://klasma.github.io/Logging_2085/kartor/A 46398-2023 karta.png", "A 46398-2023")</f>
        <v/>
      </c>
      <c r="U58">
        <f>HYPERLINK("https://klasma.github.io/Logging_2085/knärot/A 46398-2023 karta knärot.png", "A 46398-2023")</f>
        <v/>
      </c>
      <c r="V58">
        <f>HYPERLINK("https://klasma.github.io/Logging_2085/klagomål/A 46398-2023 FSC-klagomål.docx", "A 46398-2023")</f>
        <v/>
      </c>
      <c r="W58">
        <f>HYPERLINK("https://klasma.github.io/Logging_2085/klagomålsmail/A 46398-2023 FSC-klagomål mail.docx", "A 46398-2023")</f>
        <v/>
      </c>
      <c r="X58">
        <f>HYPERLINK("https://klasma.github.io/Logging_2085/tillsyn/A 46398-2023 tillsynsbegäran.docx", "A 46398-2023")</f>
        <v/>
      </c>
      <c r="Y58">
        <f>HYPERLINK("https://klasma.github.io/Logging_2085/tillsynsmail/A 46398-2023 tillsynsbegäran mail.docx", "A 46398-2023")</f>
        <v/>
      </c>
    </row>
    <row r="59" ht="15" customHeight="1">
      <c r="A59" t="inlineStr">
        <is>
          <t>A 48544-2023</t>
        </is>
      </c>
      <c r="B59" s="1" t="n">
        <v>45208</v>
      </c>
      <c r="C59" s="1" t="n">
        <v>45364</v>
      </c>
      <c r="D59" t="inlineStr">
        <is>
          <t>DALARNAS LÄN</t>
        </is>
      </c>
      <c r="E59" t="inlineStr">
        <is>
          <t>LUDVIKA</t>
        </is>
      </c>
      <c r="F59" t="inlineStr">
        <is>
          <t>Bergvik skog väst AB</t>
        </is>
      </c>
      <c r="G59" t="n">
        <v>0.9</v>
      </c>
      <c r="H59" t="n">
        <v>0</v>
      </c>
      <c r="I59" t="n">
        <v>0</v>
      </c>
      <c r="J59" t="n">
        <v>1</v>
      </c>
      <c r="K59" t="n">
        <v>0</v>
      </c>
      <c r="L59" t="n">
        <v>0</v>
      </c>
      <c r="M59" t="n">
        <v>0</v>
      </c>
      <c r="N59" t="n">
        <v>0</v>
      </c>
      <c r="O59" t="n">
        <v>1</v>
      </c>
      <c r="P59" t="n">
        <v>0</v>
      </c>
      <c r="Q59" t="n">
        <v>1</v>
      </c>
      <c r="R59" s="2" t="inlineStr">
        <is>
          <t>Garnlav</t>
        </is>
      </c>
      <c r="S59">
        <f>HYPERLINK("https://klasma.github.io/Logging_2085/artfynd/A 48544-2023 artfynd.xlsx", "A 48544-2023")</f>
        <v/>
      </c>
      <c r="T59">
        <f>HYPERLINK("https://klasma.github.io/Logging_2085/kartor/A 48544-2023 karta.png", "A 48544-2023")</f>
        <v/>
      </c>
      <c r="V59">
        <f>HYPERLINK("https://klasma.github.io/Logging_2085/klagomål/A 48544-2023 FSC-klagomål.docx", "A 48544-2023")</f>
        <v/>
      </c>
      <c r="W59">
        <f>HYPERLINK("https://klasma.github.io/Logging_2085/klagomålsmail/A 48544-2023 FSC-klagomål mail.docx", "A 48544-2023")</f>
        <v/>
      </c>
      <c r="X59">
        <f>HYPERLINK("https://klasma.github.io/Logging_2085/tillsyn/A 48544-2023 tillsynsbegäran.docx", "A 48544-2023")</f>
        <v/>
      </c>
      <c r="Y59">
        <f>HYPERLINK("https://klasma.github.io/Logging_2085/tillsynsmail/A 48544-2023 tillsynsbegäran mail.docx", "A 48544-2023")</f>
        <v/>
      </c>
    </row>
    <row r="60" ht="15" customHeight="1">
      <c r="A60" t="inlineStr">
        <is>
          <t>A 9998-2024</t>
        </is>
      </c>
      <c r="B60" s="1" t="n">
        <v>45363</v>
      </c>
      <c r="C60" s="1" t="n">
        <v>45364</v>
      </c>
      <c r="D60" t="inlineStr">
        <is>
          <t>DALARNAS LÄN</t>
        </is>
      </c>
      <c r="E60" t="inlineStr">
        <is>
          <t>LUDVIKA</t>
        </is>
      </c>
      <c r="G60" t="n">
        <v>8.199999999999999</v>
      </c>
      <c r="H60" t="n">
        <v>1</v>
      </c>
      <c r="I60" t="n">
        <v>0</v>
      </c>
      <c r="J60" t="n">
        <v>0</v>
      </c>
      <c r="K60" t="n">
        <v>0</v>
      </c>
      <c r="L60" t="n">
        <v>0</v>
      </c>
      <c r="M60" t="n">
        <v>0</v>
      </c>
      <c r="N60" t="n">
        <v>0</v>
      </c>
      <c r="O60" t="n">
        <v>0</v>
      </c>
      <c r="P60" t="n">
        <v>0</v>
      </c>
      <c r="Q60" t="n">
        <v>1</v>
      </c>
      <c r="R60" s="2" t="inlineStr">
        <is>
          <t>Tjäder</t>
        </is>
      </c>
      <c r="S60">
        <f>HYPERLINK("https://klasma.github.io/Logging_2085/artfynd/A 9998-2024 artfynd.xlsx", "A 9998-2024")</f>
        <v/>
      </c>
      <c r="T60">
        <f>HYPERLINK("https://klasma.github.io/Logging_2085/kartor/A 9998-2024 karta.png", "A 9998-2024")</f>
        <v/>
      </c>
      <c r="V60">
        <f>HYPERLINK("https://klasma.github.io/Logging_2085/klagomål/A 9998-2024 FSC-klagomål.docx", "A 9998-2024")</f>
        <v/>
      </c>
      <c r="W60">
        <f>HYPERLINK("https://klasma.github.io/Logging_2085/klagomålsmail/A 9998-2024 FSC-klagomål mail.docx", "A 9998-2024")</f>
        <v/>
      </c>
      <c r="X60">
        <f>HYPERLINK("https://klasma.github.io/Logging_2085/tillsyn/A 9998-2024 tillsynsbegäran.docx", "A 9998-2024")</f>
        <v/>
      </c>
      <c r="Y60">
        <f>HYPERLINK("https://klasma.github.io/Logging_2085/tillsynsmail/A 9998-2024 tillsynsbegäran mail.docx", "A 9998-2024")</f>
        <v/>
      </c>
      <c r="Z60">
        <f>HYPERLINK("https://klasma.github.io/Logging_2085/fåglar/A 9998-2024 prioriterade fågelarter.docx", "A 9998-2024")</f>
        <v/>
      </c>
    </row>
    <row r="61" ht="15" customHeight="1">
      <c r="A61" t="inlineStr">
        <is>
          <t>A 42791-2018</t>
        </is>
      </c>
      <c r="B61" s="1" t="n">
        <v>43355</v>
      </c>
      <c r="C61" s="1" t="n">
        <v>45364</v>
      </c>
      <c r="D61" t="inlineStr">
        <is>
          <t>DALARNAS LÄN</t>
        </is>
      </c>
      <c r="E61" t="inlineStr">
        <is>
          <t>LUDVIKA</t>
        </is>
      </c>
      <c r="G61" t="n">
        <v>0.6</v>
      </c>
      <c r="H61" t="n">
        <v>0</v>
      </c>
      <c r="I61" t="n">
        <v>0</v>
      </c>
      <c r="J61" t="n">
        <v>0</v>
      </c>
      <c r="K61" t="n">
        <v>0</v>
      </c>
      <c r="L61" t="n">
        <v>0</v>
      </c>
      <c r="M61" t="n">
        <v>0</v>
      </c>
      <c r="N61" t="n">
        <v>0</v>
      </c>
      <c r="O61" t="n">
        <v>0</v>
      </c>
      <c r="P61" t="n">
        <v>0</v>
      </c>
      <c r="Q61" t="n">
        <v>0</v>
      </c>
      <c r="R61" s="2" t="inlineStr"/>
    </row>
    <row r="62" ht="15" customHeight="1">
      <c r="A62" t="inlineStr">
        <is>
          <t>A 45612-2018</t>
        </is>
      </c>
      <c r="B62" s="1" t="n">
        <v>43363</v>
      </c>
      <c r="C62" s="1" t="n">
        <v>45364</v>
      </c>
      <c r="D62" t="inlineStr">
        <is>
          <t>DALARNAS LÄN</t>
        </is>
      </c>
      <c r="E62" t="inlineStr">
        <is>
          <t>LUDVIKA</t>
        </is>
      </c>
      <c r="G62" t="n">
        <v>1.5</v>
      </c>
      <c r="H62" t="n">
        <v>0</v>
      </c>
      <c r="I62" t="n">
        <v>0</v>
      </c>
      <c r="J62" t="n">
        <v>0</v>
      </c>
      <c r="K62" t="n">
        <v>0</v>
      </c>
      <c r="L62" t="n">
        <v>0</v>
      </c>
      <c r="M62" t="n">
        <v>0</v>
      </c>
      <c r="N62" t="n">
        <v>0</v>
      </c>
      <c r="O62" t="n">
        <v>0</v>
      </c>
      <c r="P62" t="n">
        <v>0</v>
      </c>
      <c r="Q62" t="n">
        <v>0</v>
      </c>
      <c r="R62" s="2" t="inlineStr"/>
    </row>
    <row r="63" ht="15" customHeight="1">
      <c r="A63" t="inlineStr">
        <is>
          <t>A 61742-2018</t>
        </is>
      </c>
      <c r="B63" s="1" t="n">
        <v>43384</v>
      </c>
      <c r="C63" s="1" t="n">
        <v>45364</v>
      </c>
      <c r="D63" t="inlineStr">
        <is>
          <t>DALARNAS LÄN</t>
        </is>
      </c>
      <c r="E63" t="inlineStr">
        <is>
          <t>LUDVIKA</t>
        </is>
      </c>
      <c r="F63" t="inlineStr">
        <is>
          <t>Bergvik skog väst AB</t>
        </is>
      </c>
      <c r="G63" t="n">
        <v>2.4</v>
      </c>
      <c r="H63" t="n">
        <v>0</v>
      </c>
      <c r="I63" t="n">
        <v>0</v>
      </c>
      <c r="J63" t="n">
        <v>0</v>
      </c>
      <c r="K63" t="n">
        <v>0</v>
      </c>
      <c r="L63" t="n">
        <v>0</v>
      </c>
      <c r="M63" t="n">
        <v>0</v>
      </c>
      <c r="N63" t="n">
        <v>0</v>
      </c>
      <c r="O63" t="n">
        <v>0</v>
      </c>
      <c r="P63" t="n">
        <v>0</v>
      </c>
      <c r="Q63" t="n">
        <v>0</v>
      </c>
      <c r="R63" s="2" t="inlineStr"/>
    </row>
    <row r="64" ht="15" customHeight="1">
      <c r="A64" t="inlineStr">
        <is>
          <t>A 63876-2018</t>
        </is>
      </c>
      <c r="B64" s="1" t="n">
        <v>43385</v>
      </c>
      <c r="C64" s="1" t="n">
        <v>45364</v>
      </c>
      <c r="D64" t="inlineStr">
        <is>
          <t>DALARNAS LÄN</t>
        </is>
      </c>
      <c r="E64" t="inlineStr">
        <is>
          <t>LUDVIKA</t>
        </is>
      </c>
      <c r="F64" t="inlineStr">
        <is>
          <t>Bergvik skog väst AB</t>
        </is>
      </c>
      <c r="G64" t="n">
        <v>2.8</v>
      </c>
      <c r="H64" t="n">
        <v>0</v>
      </c>
      <c r="I64" t="n">
        <v>0</v>
      </c>
      <c r="J64" t="n">
        <v>0</v>
      </c>
      <c r="K64" t="n">
        <v>0</v>
      </c>
      <c r="L64" t="n">
        <v>0</v>
      </c>
      <c r="M64" t="n">
        <v>0</v>
      </c>
      <c r="N64" t="n">
        <v>0</v>
      </c>
      <c r="O64" t="n">
        <v>0</v>
      </c>
      <c r="P64" t="n">
        <v>0</v>
      </c>
      <c r="Q64" t="n">
        <v>0</v>
      </c>
      <c r="R64" s="2" t="inlineStr"/>
    </row>
    <row r="65" ht="15" customHeight="1">
      <c r="A65" t="inlineStr">
        <is>
          <t>A 62183-2018</t>
        </is>
      </c>
      <c r="B65" s="1" t="n">
        <v>43385</v>
      </c>
      <c r="C65" s="1" t="n">
        <v>45364</v>
      </c>
      <c r="D65" t="inlineStr">
        <is>
          <t>DALARNAS LÄN</t>
        </is>
      </c>
      <c r="E65" t="inlineStr">
        <is>
          <t>LUDVIKA</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62147-2018</t>
        </is>
      </c>
      <c r="B66" s="1" t="n">
        <v>43385</v>
      </c>
      <c r="C66" s="1" t="n">
        <v>45364</v>
      </c>
      <c r="D66" t="inlineStr">
        <is>
          <t>DALARNAS LÄN</t>
        </is>
      </c>
      <c r="E66" t="inlineStr">
        <is>
          <t>LUDVIKA</t>
        </is>
      </c>
      <c r="F66" t="inlineStr">
        <is>
          <t>Bergvik skog väst AB</t>
        </is>
      </c>
      <c r="G66" t="n">
        <v>5.6</v>
      </c>
      <c r="H66" t="n">
        <v>0</v>
      </c>
      <c r="I66" t="n">
        <v>0</v>
      </c>
      <c r="J66" t="n">
        <v>0</v>
      </c>
      <c r="K66" t="n">
        <v>0</v>
      </c>
      <c r="L66" t="n">
        <v>0</v>
      </c>
      <c r="M66" t="n">
        <v>0</v>
      </c>
      <c r="N66" t="n">
        <v>0</v>
      </c>
      <c r="O66" t="n">
        <v>0</v>
      </c>
      <c r="P66" t="n">
        <v>0</v>
      </c>
      <c r="Q66" t="n">
        <v>0</v>
      </c>
      <c r="R66" s="2" t="inlineStr"/>
    </row>
    <row r="67" ht="15" customHeight="1">
      <c r="A67" t="inlineStr">
        <is>
          <t>A 72671-2018</t>
        </is>
      </c>
      <c r="B67" s="1" t="n">
        <v>43389</v>
      </c>
      <c r="C67" s="1" t="n">
        <v>45364</v>
      </c>
      <c r="D67" t="inlineStr">
        <is>
          <t>DALARNAS LÄN</t>
        </is>
      </c>
      <c r="E67" t="inlineStr">
        <is>
          <t>LUDVIKA</t>
        </is>
      </c>
      <c r="F67" t="inlineStr">
        <is>
          <t>Bergvik skog väst AB</t>
        </is>
      </c>
      <c r="G67" t="n">
        <v>4.1</v>
      </c>
      <c r="H67" t="n">
        <v>0</v>
      </c>
      <c r="I67" t="n">
        <v>0</v>
      </c>
      <c r="J67" t="n">
        <v>0</v>
      </c>
      <c r="K67" t="n">
        <v>0</v>
      </c>
      <c r="L67" t="n">
        <v>0</v>
      </c>
      <c r="M67" t="n">
        <v>0</v>
      </c>
      <c r="N67" t="n">
        <v>0</v>
      </c>
      <c r="O67" t="n">
        <v>0</v>
      </c>
      <c r="P67" t="n">
        <v>0</v>
      </c>
      <c r="Q67" t="n">
        <v>0</v>
      </c>
      <c r="R67" s="2" t="inlineStr"/>
    </row>
    <row r="68" ht="15" customHeight="1">
      <c r="A68" t="inlineStr">
        <is>
          <t>A 72673-2018</t>
        </is>
      </c>
      <c r="B68" s="1" t="n">
        <v>43389</v>
      </c>
      <c r="C68" s="1" t="n">
        <v>45364</v>
      </c>
      <c r="D68" t="inlineStr">
        <is>
          <t>DALARNAS LÄN</t>
        </is>
      </c>
      <c r="E68" t="inlineStr">
        <is>
          <t>LUDVIKA</t>
        </is>
      </c>
      <c r="F68" t="inlineStr">
        <is>
          <t>Bergvik skog väst AB</t>
        </is>
      </c>
      <c r="G68" t="n">
        <v>5.6</v>
      </c>
      <c r="H68" t="n">
        <v>0</v>
      </c>
      <c r="I68" t="n">
        <v>0</v>
      </c>
      <c r="J68" t="n">
        <v>0</v>
      </c>
      <c r="K68" t="n">
        <v>0</v>
      </c>
      <c r="L68" t="n">
        <v>0</v>
      </c>
      <c r="M68" t="n">
        <v>0</v>
      </c>
      <c r="N68" t="n">
        <v>0</v>
      </c>
      <c r="O68" t="n">
        <v>0</v>
      </c>
      <c r="P68" t="n">
        <v>0</v>
      </c>
      <c r="Q68" t="n">
        <v>0</v>
      </c>
      <c r="R68" s="2" t="inlineStr"/>
    </row>
    <row r="69" ht="15" customHeight="1">
      <c r="A69" t="inlineStr">
        <is>
          <t>A 57057-2018</t>
        </is>
      </c>
      <c r="B69" s="1" t="n">
        <v>43403</v>
      </c>
      <c r="C69" s="1" t="n">
        <v>45364</v>
      </c>
      <c r="D69" t="inlineStr">
        <is>
          <t>DALARNAS LÄN</t>
        </is>
      </c>
      <c r="E69" t="inlineStr">
        <is>
          <t>LUDVIKA</t>
        </is>
      </c>
      <c r="F69" t="inlineStr">
        <is>
          <t>Bergvik skog väst AB</t>
        </is>
      </c>
      <c r="G69" t="n">
        <v>7.6</v>
      </c>
      <c r="H69" t="n">
        <v>0</v>
      </c>
      <c r="I69" t="n">
        <v>0</v>
      </c>
      <c r="J69" t="n">
        <v>0</v>
      </c>
      <c r="K69" t="n">
        <v>0</v>
      </c>
      <c r="L69" t="n">
        <v>0</v>
      </c>
      <c r="M69" t="n">
        <v>0</v>
      </c>
      <c r="N69" t="n">
        <v>0</v>
      </c>
      <c r="O69" t="n">
        <v>0</v>
      </c>
      <c r="P69" t="n">
        <v>0</v>
      </c>
      <c r="Q69" t="n">
        <v>0</v>
      </c>
      <c r="R69" s="2" t="inlineStr"/>
    </row>
    <row r="70" ht="15" customHeight="1">
      <c r="A70" t="inlineStr">
        <is>
          <t>A 57495-2018</t>
        </is>
      </c>
      <c r="B70" s="1" t="n">
        <v>43404</v>
      </c>
      <c r="C70" s="1" t="n">
        <v>45364</v>
      </c>
      <c r="D70" t="inlineStr">
        <is>
          <t>DALARNAS LÄN</t>
        </is>
      </c>
      <c r="E70" t="inlineStr">
        <is>
          <t>LUDVIKA</t>
        </is>
      </c>
      <c r="F70" t="inlineStr">
        <is>
          <t>Bergvik skog väst AB</t>
        </is>
      </c>
      <c r="G70" t="n">
        <v>5.3</v>
      </c>
      <c r="H70" t="n">
        <v>0</v>
      </c>
      <c r="I70" t="n">
        <v>0</v>
      </c>
      <c r="J70" t="n">
        <v>0</v>
      </c>
      <c r="K70" t="n">
        <v>0</v>
      </c>
      <c r="L70" t="n">
        <v>0</v>
      </c>
      <c r="M70" t="n">
        <v>0</v>
      </c>
      <c r="N70" t="n">
        <v>0</v>
      </c>
      <c r="O70" t="n">
        <v>0</v>
      </c>
      <c r="P70" t="n">
        <v>0</v>
      </c>
      <c r="Q70" t="n">
        <v>0</v>
      </c>
      <c r="R70" s="2" t="inlineStr"/>
    </row>
    <row r="71" ht="15" customHeight="1">
      <c r="A71" t="inlineStr">
        <is>
          <t>A 57527-2018</t>
        </is>
      </c>
      <c r="B71" s="1" t="n">
        <v>43404</v>
      </c>
      <c r="C71" s="1" t="n">
        <v>45364</v>
      </c>
      <c r="D71" t="inlineStr">
        <is>
          <t>DALARNAS LÄN</t>
        </is>
      </c>
      <c r="E71" t="inlineStr">
        <is>
          <t>LUDVIKA</t>
        </is>
      </c>
      <c r="G71" t="n">
        <v>2</v>
      </c>
      <c r="H71" t="n">
        <v>0</v>
      </c>
      <c r="I71" t="n">
        <v>0</v>
      </c>
      <c r="J71" t="n">
        <v>0</v>
      </c>
      <c r="K71" t="n">
        <v>0</v>
      </c>
      <c r="L71" t="n">
        <v>0</v>
      </c>
      <c r="M71" t="n">
        <v>0</v>
      </c>
      <c r="N71" t="n">
        <v>0</v>
      </c>
      <c r="O71" t="n">
        <v>0</v>
      </c>
      <c r="P71" t="n">
        <v>0</v>
      </c>
      <c r="Q71" t="n">
        <v>0</v>
      </c>
      <c r="R71" s="2" t="inlineStr"/>
    </row>
    <row r="72" ht="15" customHeight="1">
      <c r="A72" t="inlineStr">
        <is>
          <t>A 57519-2018</t>
        </is>
      </c>
      <c r="B72" s="1" t="n">
        <v>43404</v>
      </c>
      <c r="C72" s="1" t="n">
        <v>45364</v>
      </c>
      <c r="D72" t="inlineStr">
        <is>
          <t>DALARNAS LÄN</t>
        </is>
      </c>
      <c r="E72" t="inlineStr">
        <is>
          <t>LUDVIKA</t>
        </is>
      </c>
      <c r="G72" t="n">
        <v>3.8</v>
      </c>
      <c r="H72" t="n">
        <v>0</v>
      </c>
      <c r="I72" t="n">
        <v>0</v>
      </c>
      <c r="J72" t="n">
        <v>0</v>
      </c>
      <c r="K72" t="n">
        <v>0</v>
      </c>
      <c r="L72" t="n">
        <v>0</v>
      </c>
      <c r="M72" t="n">
        <v>0</v>
      </c>
      <c r="N72" t="n">
        <v>0</v>
      </c>
      <c r="O72" t="n">
        <v>0</v>
      </c>
      <c r="P72" t="n">
        <v>0</v>
      </c>
      <c r="Q72" t="n">
        <v>0</v>
      </c>
      <c r="R72" s="2" t="inlineStr"/>
    </row>
    <row r="73" ht="15" customHeight="1">
      <c r="A73" t="inlineStr">
        <is>
          <t>A 59781-2018</t>
        </is>
      </c>
      <c r="B73" s="1" t="n">
        <v>43411</v>
      </c>
      <c r="C73" s="1" t="n">
        <v>45364</v>
      </c>
      <c r="D73" t="inlineStr">
        <is>
          <t>DALARNAS LÄN</t>
        </is>
      </c>
      <c r="E73" t="inlineStr">
        <is>
          <t>LUDVIKA</t>
        </is>
      </c>
      <c r="G73" t="n">
        <v>0.9</v>
      </c>
      <c r="H73" t="n">
        <v>0</v>
      </c>
      <c r="I73" t="n">
        <v>0</v>
      </c>
      <c r="J73" t="n">
        <v>0</v>
      </c>
      <c r="K73" t="n">
        <v>0</v>
      </c>
      <c r="L73" t="n">
        <v>0</v>
      </c>
      <c r="M73" t="n">
        <v>0</v>
      </c>
      <c r="N73" t="n">
        <v>0</v>
      </c>
      <c r="O73" t="n">
        <v>0</v>
      </c>
      <c r="P73" t="n">
        <v>0</v>
      </c>
      <c r="Q73" t="n">
        <v>0</v>
      </c>
      <c r="R73" s="2" t="inlineStr"/>
    </row>
    <row r="74" ht="15" customHeight="1">
      <c r="A74" t="inlineStr">
        <is>
          <t>A 59786-2018</t>
        </is>
      </c>
      <c r="B74" s="1" t="n">
        <v>43411</v>
      </c>
      <c r="C74" s="1" t="n">
        <v>45364</v>
      </c>
      <c r="D74" t="inlineStr">
        <is>
          <t>DALARNAS LÄN</t>
        </is>
      </c>
      <c r="E74" t="inlineStr">
        <is>
          <t>LUDVIKA</t>
        </is>
      </c>
      <c r="G74" t="n">
        <v>2.1</v>
      </c>
      <c r="H74" t="n">
        <v>0</v>
      </c>
      <c r="I74" t="n">
        <v>0</v>
      </c>
      <c r="J74" t="n">
        <v>0</v>
      </c>
      <c r="K74" t="n">
        <v>0</v>
      </c>
      <c r="L74" t="n">
        <v>0</v>
      </c>
      <c r="M74" t="n">
        <v>0</v>
      </c>
      <c r="N74" t="n">
        <v>0</v>
      </c>
      <c r="O74" t="n">
        <v>0</v>
      </c>
      <c r="P74" t="n">
        <v>0</v>
      </c>
      <c r="Q74" t="n">
        <v>0</v>
      </c>
      <c r="R74" s="2" t="inlineStr"/>
    </row>
    <row r="75" ht="15" customHeight="1">
      <c r="A75" t="inlineStr">
        <is>
          <t>A 60285-2018</t>
        </is>
      </c>
      <c r="B75" s="1" t="n">
        <v>43413</v>
      </c>
      <c r="C75" s="1" t="n">
        <v>45364</v>
      </c>
      <c r="D75" t="inlineStr">
        <is>
          <t>DALARNAS LÄN</t>
        </is>
      </c>
      <c r="E75" t="inlineStr">
        <is>
          <t>LUDVIKA</t>
        </is>
      </c>
      <c r="F75" t="inlineStr">
        <is>
          <t>Kommuner</t>
        </is>
      </c>
      <c r="G75" t="n">
        <v>3.4</v>
      </c>
      <c r="H75" t="n">
        <v>0</v>
      </c>
      <c r="I75" t="n">
        <v>0</v>
      </c>
      <c r="J75" t="n">
        <v>0</v>
      </c>
      <c r="K75" t="n">
        <v>0</v>
      </c>
      <c r="L75" t="n">
        <v>0</v>
      </c>
      <c r="M75" t="n">
        <v>0</v>
      </c>
      <c r="N75" t="n">
        <v>0</v>
      </c>
      <c r="O75" t="n">
        <v>0</v>
      </c>
      <c r="P75" t="n">
        <v>0</v>
      </c>
      <c r="Q75" t="n">
        <v>0</v>
      </c>
      <c r="R75" s="2" t="inlineStr"/>
    </row>
    <row r="76" ht="15" customHeight="1">
      <c r="A76" t="inlineStr">
        <is>
          <t>A 62333-2018</t>
        </is>
      </c>
      <c r="B76" s="1" t="n">
        <v>43416</v>
      </c>
      <c r="C76" s="1" t="n">
        <v>45364</v>
      </c>
      <c r="D76" t="inlineStr">
        <is>
          <t>DALARNAS LÄN</t>
        </is>
      </c>
      <c r="E76" t="inlineStr">
        <is>
          <t>LUDVIKA</t>
        </is>
      </c>
      <c r="F76" t="inlineStr">
        <is>
          <t>Bergvik skog väst AB</t>
        </is>
      </c>
      <c r="G76" t="n">
        <v>2.9</v>
      </c>
      <c r="H76" t="n">
        <v>0</v>
      </c>
      <c r="I76" t="n">
        <v>0</v>
      </c>
      <c r="J76" t="n">
        <v>0</v>
      </c>
      <c r="K76" t="n">
        <v>0</v>
      </c>
      <c r="L76" t="n">
        <v>0</v>
      </c>
      <c r="M76" t="n">
        <v>0</v>
      </c>
      <c r="N76" t="n">
        <v>0</v>
      </c>
      <c r="O76" t="n">
        <v>0</v>
      </c>
      <c r="P76" t="n">
        <v>0</v>
      </c>
      <c r="Q76" t="n">
        <v>0</v>
      </c>
      <c r="R76" s="2" t="inlineStr"/>
    </row>
    <row r="77" ht="15" customHeight="1">
      <c r="A77" t="inlineStr">
        <is>
          <t>A 61671-2018</t>
        </is>
      </c>
      <c r="B77" s="1" t="n">
        <v>43425</v>
      </c>
      <c r="C77" s="1" t="n">
        <v>45364</v>
      </c>
      <c r="D77" t="inlineStr">
        <is>
          <t>DALARNAS LÄN</t>
        </is>
      </c>
      <c r="E77" t="inlineStr">
        <is>
          <t>LUDVIKA</t>
        </is>
      </c>
      <c r="G77" t="n">
        <v>2.5</v>
      </c>
      <c r="H77" t="n">
        <v>0</v>
      </c>
      <c r="I77" t="n">
        <v>0</v>
      </c>
      <c r="J77" t="n">
        <v>0</v>
      </c>
      <c r="K77" t="n">
        <v>0</v>
      </c>
      <c r="L77" t="n">
        <v>0</v>
      </c>
      <c r="M77" t="n">
        <v>0</v>
      </c>
      <c r="N77" t="n">
        <v>0</v>
      </c>
      <c r="O77" t="n">
        <v>0</v>
      </c>
      <c r="P77" t="n">
        <v>0</v>
      </c>
      <c r="Q77" t="n">
        <v>0</v>
      </c>
      <c r="R77" s="2" t="inlineStr"/>
    </row>
    <row r="78" ht="15" customHeight="1">
      <c r="A78" t="inlineStr">
        <is>
          <t>A 63488-2018</t>
        </is>
      </c>
      <c r="B78" s="1" t="n">
        <v>43427</v>
      </c>
      <c r="C78" s="1" t="n">
        <v>45364</v>
      </c>
      <c r="D78" t="inlineStr">
        <is>
          <t>DALARNAS LÄN</t>
        </is>
      </c>
      <c r="E78" t="inlineStr">
        <is>
          <t>LUDVIKA</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66359-2018</t>
        </is>
      </c>
      <c r="B79" s="1" t="n">
        <v>43436</v>
      </c>
      <c r="C79" s="1" t="n">
        <v>45364</v>
      </c>
      <c r="D79" t="inlineStr">
        <is>
          <t>DALARNAS LÄN</t>
        </is>
      </c>
      <c r="E79" t="inlineStr">
        <is>
          <t>LUDVIKA</t>
        </is>
      </c>
      <c r="G79" t="n">
        <v>4.4</v>
      </c>
      <c r="H79" t="n">
        <v>0</v>
      </c>
      <c r="I79" t="n">
        <v>0</v>
      </c>
      <c r="J79" t="n">
        <v>0</v>
      </c>
      <c r="K79" t="n">
        <v>0</v>
      </c>
      <c r="L79" t="n">
        <v>0</v>
      </c>
      <c r="M79" t="n">
        <v>0</v>
      </c>
      <c r="N79" t="n">
        <v>0</v>
      </c>
      <c r="O79" t="n">
        <v>0</v>
      </c>
      <c r="P79" t="n">
        <v>0</v>
      </c>
      <c r="Q79" t="n">
        <v>0</v>
      </c>
      <c r="R79" s="2" t="inlineStr"/>
    </row>
    <row r="80" ht="15" customHeight="1">
      <c r="A80" t="inlineStr">
        <is>
          <t>A 69878-2018</t>
        </is>
      </c>
      <c r="B80" s="1" t="n">
        <v>43447</v>
      </c>
      <c r="C80" s="1" t="n">
        <v>45364</v>
      </c>
      <c r="D80" t="inlineStr">
        <is>
          <t>DALARNAS LÄN</t>
        </is>
      </c>
      <c r="E80" t="inlineStr">
        <is>
          <t>LUDVIKA</t>
        </is>
      </c>
      <c r="G80" t="n">
        <v>1.9</v>
      </c>
      <c r="H80" t="n">
        <v>0</v>
      </c>
      <c r="I80" t="n">
        <v>0</v>
      </c>
      <c r="J80" t="n">
        <v>0</v>
      </c>
      <c r="K80" t="n">
        <v>0</v>
      </c>
      <c r="L80" t="n">
        <v>0</v>
      </c>
      <c r="M80" t="n">
        <v>0</v>
      </c>
      <c r="N80" t="n">
        <v>0</v>
      </c>
      <c r="O80" t="n">
        <v>0</v>
      </c>
      <c r="P80" t="n">
        <v>0</v>
      </c>
      <c r="Q80" t="n">
        <v>0</v>
      </c>
      <c r="R80" s="2" t="inlineStr"/>
    </row>
    <row r="81" ht="15" customHeight="1">
      <c r="A81" t="inlineStr">
        <is>
          <t>A 70717-2018</t>
        </is>
      </c>
      <c r="B81" s="1" t="n">
        <v>43451</v>
      </c>
      <c r="C81" s="1" t="n">
        <v>45364</v>
      </c>
      <c r="D81" t="inlineStr">
        <is>
          <t>DALARNAS LÄN</t>
        </is>
      </c>
      <c r="E81" t="inlineStr">
        <is>
          <t>LUDVIKA</t>
        </is>
      </c>
      <c r="G81" t="n">
        <v>0.7</v>
      </c>
      <c r="H81" t="n">
        <v>0</v>
      </c>
      <c r="I81" t="n">
        <v>0</v>
      </c>
      <c r="J81" t="n">
        <v>0</v>
      </c>
      <c r="K81" t="n">
        <v>0</v>
      </c>
      <c r="L81" t="n">
        <v>0</v>
      </c>
      <c r="M81" t="n">
        <v>0</v>
      </c>
      <c r="N81" t="n">
        <v>0</v>
      </c>
      <c r="O81" t="n">
        <v>0</v>
      </c>
      <c r="P81" t="n">
        <v>0</v>
      </c>
      <c r="Q81" t="n">
        <v>0</v>
      </c>
      <c r="R81" s="2" t="inlineStr"/>
    </row>
    <row r="82" ht="15" customHeight="1">
      <c r="A82" t="inlineStr">
        <is>
          <t>A 71008-2018</t>
        </is>
      </c>
      <c r="B82" s="1" t="n">
        <v>43452</v>
      </c>
      <c r="C82" s="1" t="n">
        <v>45364</v>
      </c>
      <c r="D82" t="inlineStr">
        <is>
          <t>DALARNAS LÄN</t>
        </is>
      </c>
      <c r="E82" t="inlineStr">
        <is>
          <t>LUDVIKA</t>
        </is>
      </c>
      <c r="F82" t="inlineStr">
        <is>
          <t>Bergvik skog väst AB</t>
        </is>
      </c>
      <c r="G82" t="n">
        <v>5.1</v>
      </c>
      <c r="H82" t="n">
        <v>0</v>
      </c>
      <c r="I82" t="n">
        <v>0</v>
      </c>
      <c r="J82" t="n">
        <v>0</v>
      </c>
      <c r="K82" t="n">
        <v>0</v>
      </c>
      <c r="L82" t="n">
        <v>0</v>
      </c>
      <c r="M82" t="n">
        <v>0</v>
      </c>
      <c r="N82" t="n">
        <v>0</v>
      </c>
      <c r="O82" t="n">
        <v>0</v>
      </c>
      <c r="P82" t="n">
        <v>0</v>
      </c>
      <c r="Q82" t="n">
        <v>0</v>
      </c>
      <c r="R82" s="2" t="inlineStr"/>
    </row>
    <row r="83" ht="15" customHeight="1">
      <c r="A83" t="inlineStr">
        <is>
          <t>A 947-2019</t>
        </is>
      </c>
      <c r="B83" s="1" t="n">
        <v>43472</v>
      </c>
      <c r="C83" s="1" t="n">
        <v>45364</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954-2019</t>
        </is>
      </c>
      <c r="B84" s="1" t="n">
        <v>43472</v>
      </c>
      <c r="C84" s="1" t="n">
        <v>45364</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950-2019</t>
        </is>
      </c>
      <c r="B85" s="1" t="n">
        <v>43472</v>
      </c>
      <c r="C85" s="1" t="n">
        <v>45364</v>
      </c>
      <c r="D85" t="inlineStr">
        <is>
          <t>DALARNAS LÄN</t>
        </is>
      </c>
      <c r="E85" t="inlineStr">
        <is>
          <t>LUDVIKA</t>
        </is>
      </c>
      <c r="G85" t="n">
        <v>1</v>
      </c>
      <c r="H85" t="n">
        <v>0</v>
      </c>
      <c r="I85" t="n">
        <v>0</v>
      </c>
      <c r="J85" t="n">
        <v>0</v>
      </c>
      <c r="K85" t="n">
        <v>0</v>
      </c>
      <c r="L85" t="n">
        <v>0</v>
      </c>
      <c r="M85" t="n">
        <v>0</v>
      </c>
      <c r="N85" t="n">
        <v>0</v>
      </c>
      <c r="O85" t="n">
        <v>0</v>
      </c>
      <c r="P85" t="n">
        <v>0</v>
      </c>
      <c r="Q85" t="n">
        <v>0</v>
      </c>
      <c r="R85" s="2" t="inlineStr"/>
    </row>
    <row r="86" ht="15" customHeight="1">
      <c r="A86" t="inlineStr">
        <is>
          <t>A 1474-2019</t>
        </is>
      </c>
      <c r="B86" s="1" t="n">
        <v>43473</v>
      </c>
      <c r="C86" s="1" t="n">
        <v>45364</v>
      </c>
      <c r="D86" t="inlineStr">
        <is>
          <t>DALARNAS LÄN</t>
        </is>
      </c>
      <c r="E86" t="inlineStr">
        <is>
          <t>LUDVIKA</t>
        </is>
      </c>
      <c r="G86" t="n">
        <v>1</v>
      </c>
      <c r="H86" t="n">
        <v>0</v>
      </c>
      <c r="I86" t="n">
        <v>0</v>
      </c>
      <c r="J86" t="n">
        <v>0</v>
      </c>
      <c r="K86" t="n">
        <v>0</v>
      </c>
      <c r="L86" t="n">
        <v>0</v>
      </c>
      <c r="M86" t="n">
        <v>0</v>
      </c>
      <c r="N86" t="n">
        <v>0</v>
      </c>
      <c r="O86" t="n">
        <v>0</v>
      </c>
      <c r="P86" t="n">
        <v>0</v>
      </c>
      <c r="Q86" t="n">
        <v>0</v>
      </c>
      <c r="R86" s="2" t="inlineStr"/>
    </row>
    <row r="87" ht="15" customHeight="1">
      <c r="A87" t="inlineStr">
        <is>
          <t>A 1745-2019</t>
        </is>
      </c>
      <c r="B87" s="1" t="n">
        <v>43474</v>
      </c>
      <c r="C87" s="1" t="n">
        <v>45364</v>
      </c>
      <c r="D87" t="inlineStr">
        <is>
          <t>DALARNAS LÄN</t>
        </is>
      </c>
      <c r="E87" t="inlineStr">
        <is>
          <t>LUDVIKA</t>
        </is>
      </c>
      <c r="F87" t="inlineStr">
        <is>
          <t>Naturvårdsverket</t>
        </is>
      </c>
      <c r="G87" t="n">
        <v>8.199999999999999</v>
      </c>
      <c r="H87" t="n">
        <v>0</v>
      </c>
      <c r="I87" t="n">
        <v>0</v>
      </c>
      <c r="J87" t="n">
        <v>0</v>
      </c>
      <c r="K87" t="n">
        <v>0</v>
      </c>
      <c r="L87" t="n">
        <v>0</v>
      </c>
      <c r="M87" t="n">
        <v>0</v>
      </c>
      <c r="N87" t="n">
        <v>0</v>
      </c>
      <c r="O87" t="n">
        <v>0</v>
      </c>
      <c r="P87" t="n">
        <v>0</v>
      </c>
      <c r="Q87" t="n">
        <v>0</v>
      </c>
      <c r="R87" s="2" t="inlineStr"/>
    </row>
    <row r="88" ht="15" customHeight="1">
      <c r="A88" t="inlineStr">
        <is>
          <t>A 3336-2019</t>
        </is>
      </c>
      <c r="B88" s="1" t="n">
        <v>43474</v>
      </c>
      <c r="C88" s="1" t="n">
        <v>45364</v>
      </c>
      <c r="D88" t="inlineStr">
        <is>
          <t>DALARNAS LÄN</t>
        </is>
      </c>
      <c r="E88" t="inlineStr">
        <is>
          <t>LUDVIKA</t>
        </is>
      </c>
      <c r="G88" t="n">
        <v>1.9</v>
      </c>
      <c r="H88" t="n">
        <v>0</v>
      </c>
      <c r="I88" t="n">
        <v>0</v>
      </c>
      <c r="J88" t="n">
        <v>0</v>
      </c>
      <c r="K88" t="n">
        <v>0</v>
      </c>
      <c r="L88" t="n">
        <v>0</v>
      </c>
      <c r="M88" t="n">
        <v>0</v>
      </c>
      <c r="N88" t="n">
        <v>0</v>
      </c>
      <c r="O88" t="n">
        <v>0</v>
      </c>
      <c r="P88" t="n">
        <v>0</v>
      </c>
      <c r="Q88" t="n">
        <v>0</v>
      </c>
      <c r="R88" s="2" t="inlineStr"/>
    </row>
    <row r="89" ht="15" customHeight="1">
      <c r="A89" t="inlineStr">
        <is>
          <t>A 3319-2019</t>
        </is>
      </c>
      <c r="B89" s="1" t="n">
        <v>43474</v>
      </c>
      <c r="C89" s="1" t="n">
        <v>45364</v>
      </c>
      <c r="D89" t="inlineStr">
        <is>
          <t>DALARNAS LÄN</t>
        </is>
      </c>
      <c r="E89" t="inlineStr">
        <is>
          <t>LUDVIKA</t>
        </is>
      </c>
      <c r="G89" t="n">
        <v>1.5</v>
      </c>
      <c r="H89" t="n">
        <v>0</v>
      </c>
      <c r="I89" t="n">
        <v>0</v>
      </c>
      <c r="J89" t="n">
        <v>0</v>
      </c>
      <c r="K89" t="n">
        <v>0</v>
      </c>
      <c r="L89" t="n">
        <v>0</v>
      </c>
      <c r="M89" t="n">
        <v>0</v>
      </c>
      <c r="N89" t="n">
        <v>0</v>
      </c>
      <c r="O89" t="n">
        <v>0</v>
      </c>
      <c r="P89" t="n">
        <v>0</v>
      </c>
      <c r="Q89" t="n">
        <v>0</v>
      </c>
      <c r="R89" s="2" t="inlineStr"/>
    </row>
    <row r="90" ht="15" customHeight="1">
      <c r="A90" t="inlineStr">
        <is>
          <t>A 6450-2019</t>
        </is>
      </c>
      <c r="B90" s="1" t="n">
        <v>43494</v>
      </c>
      <c r="C90" s="1" t="n">
        <v>45364</v>
      </c>
      <c r="D90" t="inlineStr">
        <is>
          <t>DALARNAS LÄN</t>
        </is>
      </c>
      <c r="E90" t="inlineStr">
        <is>
          <t>LUDVIKA</t>
        </is>
      </c>
      <c r="F90" t="inlineStr">
        <is>
          <t>Bergvik skog väst AB</t>
        </is>
      </c>
      <c r="G90" t="n">
        <v>26.8</v>
      </c>
      <c r="H90" t="n">
        <v>0</v>
      </c>
      <c r="I90" t="n">
        <v>0</v>
      </c>
      <c r="J90" t="n">
        <v>0</v>
      </c>
      <c r="K90" t="n">
        <v>0</v>
      </c>
      <c r="L90" t="n">
        <v>0</v>
      </c>
      <c r="M90" t="n">
        <v>0</v>
      </c>
      <c r="N90" t="n">
        <v>0</v>
      </c>
      <c r="O90" t="n">
        <v>0</v>
      </c>
      <c r="P90" t="n">
        <v>0</v>
      </c>
      <c r="Q90" t="n">
        <v>0</v>
      </c>
      <c r="R90" s="2" t="inlineStr"/>
    </row>
    <row r="91" ht="15" customHeight="1">
      <c r="A91" t="inlineStr">
        <is>
          <t>A 7510-2019</t>
        </is>
      </c>
      <c r="B91" s="1" t="n">
        <v>43497</v>
      </c>
      <c r="C91" s="1" t="n">
        <v>45364</v>
      </c>
      <c r="D91" t="inlineStr">
        <is>
          <t>DALARNAS LÄN</t>
        </is>
      </c>
      <c r="E91" t="inlineStr">
        <is>
          <t>LUDVIKA</t>
        </is>
      </c>
      <c r="F91" t="inlineStr">
        <is>
          <t>Kommuner</t>
        </is>
      </c>
      <c r="G91" t="n">
        <v>3.8</v>
      </c>
      <c r="H91" t="n">
        <v>0</v>
      </c>
      <c r="I91" t="n">
        <v>0</v>
      </c>
      <c r="J91" t="n">
        <v>0</v>
      </c>
      <c r="K91" t="n">
        <v>0</v>
      </c>
      <c r="L91" t="n">
        <v>0</v>
      </c>
      <c r="M91" t="n">
        <v>0</v>
      </c>
      <c r="N91" t="n">
        <v>0</v>
      </c>
      <c r="O91" t="n">
        <v>0</v>
      </c>
      <c r="P91" t="n">
        <v>0</v>
      </c>
      <c r="Q91" t="n">
        <v>0</v>
      </c>
      <c r="R91" s="2" t="inlineStr"/>
    </row>
    <row r="92" ht="15" customHeight="1">
      <c r="A92" t="inlineStr">
        <is>
          <t>A 8436-2019</t>
        </is>
      </c>
      <c r="B92" s="1" t="n">
        <v>43500</v>
      </c>
      <c r="C92" s="1" t="n">
        <v>45364</v>
      </c>
      <c r="D92" t="inlineStr">
        <is>
          <t>DALARNAS LÄN</t>
        </is>
      </c>
      <c r="E92" t="inlineStr">
        <is>
          <t>LUDVIKA</t>
        </is>
      </c>
      <c r="G92" t="n">
        <v>2.4</v>
      </c>
      <c r="H92" t="n">
        <v>0</v>
      </c>
      <c r="I92" t="n">
        <v>0</v>
      </c>
      <c r="J92" t="n">
        <v>0</v>
      </c>
      <c r="K92" t="n">
        <v>0</v>
      </c>
      <c r="L92" t="n">
        <v>0</v>
      </c>
      <c r="M92" t="n">
        <v>0</v>
      </c>
      <c r="N92" t="n">
        <v>0</v>
      </c>
      <c r="O92" t="n">
        <v>0</v>
      </c>
      <c r="P92" t="n">
        <v>0</v>
      </c>
      <c r="Q92" t="n">
        <v>0</v>
      </c>
      <c r="R92" s="2" t="inlineStr"/>
    </row>
    <row r="93" ht="15" customHeight="1">
      <c r="A93" t="inlineStr">
        <is>
          <t>A 8637-2019</t>
        </is>
      </c>
      <c r="B93" s="1" t="n">
        <v>43501</v>
      </c>
      <c r="C93" s="1" t="n">
        <v>45364</v>
      </c>
      <c r="D93" t="inlineStr">
        <is>
          <t>DALARNAS LÄN</t>
        </is>
      </c>
      <c r="E93" t="inlineStr">
        <is>
          <t>LUDVIKA</t>
        </is>
      </c>
      <c r="F93" t="inlineStr">
        <is>
          <t>Bergvik skog väst AB</t>
        </is>
      </c>
      <c r="G93" t="n">
        <v>12.3</v>
      </c>
      <c r="H93" t="n">
        <v>0</v>
      </c>
      <c r="I93" t="n">
        <v>0</v>
      </c>
      <c r="J93" t="n">
        <v>0</v>
      </c>
      <c r="K93" t="n">
        <v>0</v>
      </c>
      <c r="L93" t="n">
        <v>0</v>
      </c>
      <c r="M93" t="n">
        <v>0</v>
      </c>
      <c r="N93" t="n">
        <v>0</v>
      </c>
      <c r="O93" t="n">
        <v>0</v>
      </c>
      <c r="P93" t="n">
        <v>0</v>
      </c>
      <c r="Q93" t="n">
        <v>0</v>
      </c>
      <c r="R93" s="2" t="inlineStr"/>
    </row>
    <row r="94" ht="15" customHeight="1">
      <c r="A94" t="inlineStr">
        <is>
          <t>A 8288-2019</t>
        </is>
      </c>
      <c r="B94" s="1" t="n">
        <v>43502</v>
      </c>
      <c r="C94" s="1" t="n">
        <v>45364</v>
      </c>
      <c r="D94" t="inlineStr">
        <is>
          <t>DALARNAS LÄN</t>
        </is>
      </c>
      <c r="E94" t="inlineStr">
        <is>
          <t>LUDVIKA</t>
        </is>
      </c>
      <c r="G94" t="n">
        <v>0.7</v>
      </c>
      <c r="H94" t="n">
        <v>0</v>
      </c>
      <c r="I94" t="n">
        <v>0</v>
      </c>
      <c r="J94" t="n">
        <v>0</v>
      </c>
      <c r="K94" t="n">
        <v>0</v>
      </c>
      <c r="L94" t="n">
        <v>0</v>
      </c>
      <c r="M94" t="n">
        <v>0</v>
      </c>
      <c r="N94" t="n">
        <v>0</v>
      </c>
      <c r="O94" t="n">
        <v>0</v>
      </c>
      <c r="P94" t="n">
        <v>0</v>
      </c>
      <c r="Q94" t="n">
        <v>0</v>
      </c>
      <c r="R94" s="2" t="inlineStr"/>
    </row>
    <row r="95" ht="15" customHeight="1">
      <c r="A95" t="inlineStr">
        <is>
          <t>A 13808-2019</t>
        </is>
      </c>
      <c r="B95" s="1" t="n">
        <v>43531</v>
      </c>
      <c r="C95" s="1" t="n">
        <v>45364</v>
      </c>
      <c r="D95" t="inlineStr">
        <is>
          <t>DALARNAS LÄN</t>
        </is>
      </c>
      <c r="E95" t="inlineStr">
        <is>
          <t>LUDVIKA</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13951-2019</t>
        </is>
      </c>
      <c r="B96" s="1" t="n">
        <v>43532</v>
      </c>
      <c r="C96" s="1" t="n">
        <v>45364</v>
      </c>
      <c r="D96" t="inlineStr">
        <is>
          <t>DALARNAS LÄN</t>
        </is>
      </c>
      <c r="E96" t="inlineStr">
        <is>
          <t>LUDVIKA</t>
        </is>
      </c>
      <c r="G96" t="n">
        <v>4.7</v>
      </c>
      <c r="H96" t="n">
        <v>0</v>
      </c>
      <c r="I96" t="n">
        <v>0</v>
      </c>
      <c r="J96" t="n">
        <v>0</v>
      </c>
      <c r="K96" t="n">
        <v>0</v>
      </c>
      <c r="L96" t="n">
        <v>0</v>
      </c>
      <c r="M96" t="n">
        <v>0</v>
      </c>
      <c r="N96" t="n">
        <v>0</v>
      </c>
      <c r="O96" t="n">
        <v>0</v>
      </c>
      <c r="P96" t="n">
        <v>0</v>
      </c>
      <c r="Q96" t="n">
        <v>0</v>
      </c>
      <c r="R96" s="2" t="inlineStr"/>
    </row>
    <row r="97" ht="15" customHeight="1">
      <c r="A97" t="inlineStr">
        <is>
          <t>A 16514-2019</t>
        </is>
      </c>
      <c r="B97" s="1" t="n">
        <v>43546</v>
      </c>
      <c r="C97" s="1" t="n">
        <v>45364</v>
      </c>
      <c r="D97" t="inlineStr">
        <is>
          <t>DALARNAS LÄN</t>
        </is>
      </c>
      <c r="E97" t="inlineStr">
        <is>
          <t>LUDVIKA</t>
        </is>
      </c>
      <c r="G97" t="n">
        <v>4.6</v>
      </c>
      <c r="H97" t="n">
        <v>0</v>
      </c>
      <c r="I97" t="n">
        <v>0</v>
      </c>
      <c r="J97" t="n">
        <v>0</v>
      </c>
      <c r="K97" t="n">
        <v>0</v>
      </c>
      <c r="L97" t="n">
        <v>0</v>
      </c>
      <c r="M97" t="n">
        <v>0</v>
      </c>
      <c r="N97" t="n">
        <v>0</v>
      </c>
      <c r="O97" t="n">
        <v>0</v>
      </c>
      <c r="P97" t="n">
        <v>0</v>
      </c>
      <c r="Q97" t="n">
        <v>0</v>
      </c>
      <c r="R97" s="2" t="inlineStr"/>
    </row>
    <row r="98" ht="15" customHeight="1">
      <c r="A98" t="inlineStr">
        <is>
          <t>A 17105-2019</t>
        </is>
      </c>
      <c r="B98" s="1" t="n">
        <v>43551</v>
      </c>
      <c r="C98" s="1" t="n">
        <v>45364</v>
      </c>
      <c r="D98" t="inlineStr">
        <is>
          <t>DALARNAS LÄN</t>
        </is>
      </c>
      <c r="E98" t="inlineStr">
        <is>
          <t>LUDVIKA</t>
        </is>
      </c>
      <c r="F98" t="inlineStr">
        <is>
          <t>Bergvik skog väst AB</t>
        </is>
      </c>
      <c r="G98" t="n">
        <v>1.4</v>
      </c>
      <c r="H98" t="n">
        <v>0</v>
      </c>
      <c r="I98" t="n">
        <v>0</v>
      </c>
      <c r="J98" t="n">
        <v>0</v>
      </c>
      <c r="K98" t="n">
        <v>0</v>
      </c>
      <c r="L98" t="n">
        <v>0</v>
      </c>
      <c r="M98" t="n">
        <v>0</v>
      </c>
      <c r="N98" t="n">
        <v>0</v>
      </c>
      <c r="O98" t="n">
        <v>0</v>
      </c>
      <c r="P98" t="n">
        <v>0</v>
      </c>
      <c r="Q98" t="n">
        <v>0</v>
      </c>
      <c r="R98" s="2" t="inlineStr"/>
    </row>
    <row r="99" ht="15" customHeight="1">
      <c r="A99" t="inlineStr">
        <is>
          <t>A 17077-2019</t>
        </is>
      </c>
      <c r="B99" s="1" t="n">
        <v>43551</v>
      </c>
      <c r="C99" s="1" t="n">
        <v>45364</v>
      </c>
      <c r="D99" t="inlineStr">
        <is>
          <t>DALARNAS LÄN</t>
        </is>
      </c>
      <c r="E99" t="inlineStr">
        <is>
          <t>LUDVIKA</t>
        </is>
      </c>
      <c r="F99" t="inlineStr">
        <is>
          <t>Bergvik skog väst AB</t>
        </is>
      </c>
      <c r="G99" t="n">
        <v>0.4</v>
      </c>
      <c r="H99" t="n">
        <v>0</v>
      </c>
      <c r="I99" t="n">
        <v>0</v>
      </c>
      <c r="J99" t="n">
        <v>0</v>
      </c>
      <c r="K99" t="n">
        <v>0</v>
      </c>
      <c r="L99" t="n">
        <v>0</v>
      </c>
      <c r="M99" t="n">
        <v>0</v>
      </c>
      <c r="N99" t="n">
        <v>0</v>
      </c>
      <c r="O99" t="n">
        <v>0</v>
      </c>
      <c r="P99" t="n">
        <v>0</v>
      </c>
      <c r="Q99" t="n">
        <v>0</v>
      </c>
      <c r="R99" s="2" t="inlineStr"/>
    </row>
    <row r="100" ht="15" customHeight="1">
      <c r="A100" t="inlineStr">
        <is>
          <t>A 17947-2019</t>
        </is>
      </c>
      <c r="B100" s="1" t="n">
        <v>43557</v>
      </c>
      <c r="C100" s="1" t="n">
        <v>45364</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45364</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45364</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45364</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45364</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45364</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45364</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45364</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45364</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45364</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45364</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45364</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45364</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45364</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45364</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45364</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45364</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45364</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45364</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45364</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45364</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45364</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45364</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45364</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45364</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45364</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45364</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45364</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45364</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45364</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45364</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45364</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45364</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45364</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45364</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45364</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45364</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45364</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45364</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45364</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45364</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45364</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45364</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45364</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45364</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45364</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45364</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45364</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45364</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45364</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45364</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45364</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45364</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45364</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45364</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45364</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45364</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45364</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45364</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45364</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45364</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45364</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45364</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45364</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45364</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45364</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45364</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45364</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45364</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45364</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45364</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45364</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45364</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45364</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45364</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45364</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45364</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45364</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45364</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45364</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45364</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45364</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45364</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45364</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45364</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45364</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45364</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45364</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45364</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45364</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45364</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45364</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45364</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45364</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45364</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45364</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45364</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45364</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45364</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45364</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45364</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45364</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45364</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45364</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45364</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45364</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45364</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45364</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45364</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45364</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45364</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45364</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45364</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45364</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45364</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45364</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45364</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45364</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45364</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45364</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45364</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45364</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45364</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45364</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45364</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45364</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45364</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45364</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45364</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45364</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45364</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45364</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45364</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54639-2020</t>
        </is>
      </c>
      <c r="B233" s="1" t="n">
        <v>44127</v>
      </c>
      <c r="C233" s="1" t="n">
        <v>45364</v>
      </c>
      <c r="D233" t="inlineStr">
        <is>
          <t>DALARNAS LÄN</t>
        </is>
      </c>
      <c r="E233" t="inlineStr">
        <is>
          <t>LUDVIKA</t>
        </is>
      </c>
      <c r="F233" t="inlineStr">
        <is>
          <t>Övriga Aktiebolag</t>
        </is>
      </c>
      <c r="G233" t="n">
        <v>25.9</v>
      </c>
      <c r="H233" t="n">
        <v>0</v>
      </c>
      <c r="I233" t="n">
        <v>0</v>
      </c>
      <c r="J233" t="n">
        <v>0</v>
      </c>
      <c r="K233" t="n">
        <v>0</v>
      </c>
      <c r="L233" t="n">
        <v>0</v>
      </c>
      <c r="M233" t="n">
        <v>0</v>
      </c>
      <c r="N233" t="n">
        <v>0</v>
      </c>
      <c r="O233" t="n">
        <v>0</v>
      </c>
      <c r="P233" t="n">
        <v>0</v>
      </c>
      <c r="Q233" t="n">
        <v>0</v>
      </c>
      <c r="R233" s="2" t="inlineStr"/>
    </row>
    <row r="234" ht="15" customHeight="1">
      <c r="A234" t="inlineStr">
        <is>
          <t>A 54641-2020</t>
        </is>
      </c>
      <c r="B234" s="1" t="n">
        <v>44127</v>
      </c>
      <c r="C234" s="1" t="n">
        <v>45364</v>
      </c>
      <c r="D234" t="inlineStr">
        <is>
          <t>DALARNAS LÄN</t>
        </is>
      </c>
      <c r="E234" t="inlineStr">
        <is>
          <t>LUDVIKA</t>
        </is>
      </c>
      <c r="F234" t="inlineStr">
        <is>
          <t>Övriga Aktiebolag</t>
        </is>
      </c>
      <c r="G234" t="n">
        <v>38.7</v>
      </c>
      <c r="H234" t="n">
        <v>0</v>
      </c>
      <c r="I234" t="n">
        <v>0</v>
      </c>
      <c r="J234" t="n">
        <v>0</v>
      </c>
      <c r="K234" t="n">
        <v>0</v>
      </c>
      <c r="L234" t="n">
        <v>0</v>
      </c>
      <c r="M234" t="n">
        <v>0</v>
      </c>
      <c r="N234" t="n">
        <v>0</v>
      </c>
      <c r="O234" t="n">
        <v>0</v>
      </c>
      <c r="P234" t="n">
        <v>0</v>
      </c>
      <c r="Q234" t="n">
        <v>0</v>
      </c>
      <c r="R234" s="2" t="inlineStr"/>
    </row>
    <row r="235" ht="15" customHeight="1">
      <c r="A235" t="inlineStr">
        <is>
          <t>A 55646-2020</t>
        </is>
      </c>
      <c r="B235" s="1" t="n">
        <v>44131</v>
      </c>
      <c r="C235" s="1" t="n">
        <v>45364</v>
      </c>
      <c r="D235" t="inlineStr">
        <is>
          <t>DALARNAS LÄN</t>
        </is>
      </c>
      <c r="E235" t="inlineStr">
        <is>
          <t>LUDVIKA</t>
        </is>
      </c>
      <c r="G235" t="n">
        <v>0.5</v>
      </c>
      <c r="H235" t="n">
        <v>0</v>
      </c>
      <c r="I235" t="n">
        <v>0</v>
      </c>
      <c r="J235" t="n">
        <v>0</v>
      </c>
      <c r="K235" t="n">
        <v>0</v>
      </c>
      <c r="L235" t="n">
        <v>0</v>
      </c>
      <c r="M235" t="n">
        <v>0</v>
      </c>
      <c r="N235" t="n">
        <v>0</v>
      </c>
      <c r="O235" t="n">
        <v>0</v>
      </c>
      <c r="P235" t="n">
        <v>0</v>
      </c>
      <c r="Q235" t="n">
        <v>0</v>
      </c>
      <c r="R235" s="2" t="inlineStr"/>
    </row>
    <row r="236" ht="15" customHeight="1">
      <c r="A236" t="inlineStr">
        <is>
          <t>A 61004-2020</t>
        </is>
      </c>
      <c r="B236" s="1" t="n">
        <v>44154</v>
      </c>
      <c r="C236" s="1" t="n">
        <v>45364</v>
      </c>
      <c r="D236" t="inlineStr">
        <is>
          <t>DALARNAS LÄN</t>
        </is>
      </c>
      <c r="E236" t="inlineStr">
        <is>
          <t>LUDVIKA</t>
        </is>
      </c>
      <c r="F236" t="inlineStr">
        <is>
          <t>Bergvik skog väst AB</t>
        </is>
      </c>
      <c r="G236" t="n">
        <v>2.8</v>
      </c>
      <c r="H236" t="n">
        <v>0</v>
      </c>
      <c r="I236" t="n">
        <v>0</v>
      </c>
      <c r="J236" t="n">
        <v>0</v>
      </c>
      <c r="K236" t="n">
        <v>0</v>
      </c>
      <c r="L236" t="n">
        <v>0</v>
      </c>
      <c r="M236" t="n">
        <v>0</v>
      </c>
      <c r="N236" t="n">
        <v>0</v>
      </c>
      <c r="O236" t="n">
        <v>0</v>
      </c>
      <c r="P236" t="n">
        <v>0</v>
      </c>
      <c r="Q236" t="n">
        <v>0</v>
      </c>
      <c r="R236" s="2" t="inlineStr"/>
    </row>
    <row r="237" ht="15" customHeight="1">
      <c r="A237" t="inlineStr">
        <is>
          <t>A 60913-2020</t>
        </is>
      </c>
      <c r="B237" s="1" t="n">
        <v>44154</v>
      </c>
      <c r="C237" s="1" t="n">
        <v>45364</v>
      </c>
      <c r="D237" t="inlineStr">
        <is>
          <t>DALARNAS LÄN</t>
        </is>
      </c>
      <c r="E237" t="inlineStr">
        <is>
          <t>LUDVIKA</t>
        </is>
      </c>
      <c r="G237" t="n">
        <v>2.2</v>
      </c>
      <c r="H237" t="n">
        <v>0</v>
      </c>
      <c r="I237" t="n">
        <v>0</v>
      </c>
      <c r="J237" t="n">
        <v>0</v>
      </c>
      <c r="K237" t="n">
        <v>0</v>
      </c>
      <c r="L237" t="n">
        <v>0</v>
      </c>
      <c r="M237" t="n">
        <v>0</v>
      </c>
      <c r="N237" t="n">
        <v>0</v>
      </c>
      <c r="O237" t="n">
        <v>0</v>
      </c>
      <c r="P237" t="n">
        <v>0</v>
      </c>
      <c r="Q237" t="n">
        <v>0</v>
      </c>
      <c r="R237" s="2" t="inlineStr"/>
    </row>
    <row r="238" ht="15" customHeight="1">
      <c r="A238" t="inlineStr">
        <is>
          <t>A 60822-2020</t>
        </is>
      </c>
      <c r="B238" s="1" t="n">
        <v>44154</v>
      </c>
      <c r="C238" s="1" t="n">
        <v>45364</v>
      </c>
      <c r="D238" t="inlineStr">
        <is>
          <t>DALARNAS LÄN</t>
        </is>
      </c>
      <c r="E238" t="inlineStr">
        <is>
          <t>LUDVIKA</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61491-2020</t>
        </is>
      </c>
      <c r="B239" s="1" t="n">
        <v>44154</v>
      </c>
      <c r="C239" s="1" t="n">
        <v>45364</v>
      </c>
      <c r="D239" t="inlineStr">
        <is>
          <t>DALARNAS LÄN</t>
        </is>
      </c>
      <c r="E239" t="inlineStr">
        <is>
          <t>LUDVIKA</t>
        </is>
      </c>
      <c r="G239" t="n">
        <v>1.5</v>
      </c>
      <c r="H239" t="n">
        <v>0</v>
      </c>
      <c r="I239" t="n">
        <v>0</v>
      </c>
      <c r="J239" t="n">
        <v>0</v>
      </c>
      <c r="K239" t="n">
        <v>0</v>
      </c>
      <c r="L239" t="n">
        <v>0</v>
      </c>
      <c r="M239" t="n">
        <v>0</v>
      </c>
      <c r="N239" t="n">
        <v>0</v>
      </c>
      <c r="O239" t="n">
        <v>0</v>
      </c>
      <c r="P239" t="n">
        <v>0</v>
      </c>
      <c r="Q239" t="n">
        <v>0</v>
      </c>
      <c r="R239" s="2" t="inlineStr"/>
    </row>
    <row r="240" ht="15" customHeight="1">
      <c r="A240" t="inlineStr">
        <is>
          <t>A 61501-2020</t>
        </is>
      </c>
      <c r="B240" s="1" t="n">
        <v>44154</v>
      </c>
      <c r="C240" s="1" t="n">
        <v>45364</v>
      </c>
      <c r="D240" t="inlineStr">
        <is>
          <t>DALARNAS LÄN</t>
        </is>
      </c>
      <c r="E240" t="inlineStr">
        <is>
          <t>LUDVIKA</t>
        </is>
      </c>
      <c r="G240" t="n">
        <v>10</v>
      </c>
      <c r="H240" t="n">
        <v>0</v>
      </c>
      <c r="I240" t="n">
        <v>0</v>
      </c>
      <c r="J240" t="n">
        <v>0</v>
      </c>
      <c r="K240" t="n">
        <v>0</v>
      </c>
      <c r="L240" t="n">
        <v>0</v>
      </c>
      <c r="M240" t="n">
        <v>0</v>
      </c>
      <c r="N240" t="n">
        <v>0</v>
      </c>
      <c r="O240" t="n">
        <v>0</v>
      </c>
      <c r="P240" t="n">
        <v>0</v>
      </c>
      <c r="Q240" t="n">
        <v>0</v>
      </c>
      <c r="R240" s="2" t="inlineStr"/>
    </row>
    <row r="241" ht="15" customHeight="1">
      <c r="A241" t="inlineStr">
        <is>
          <t>A 61838-2020</t>
        </is>
      </c>
      <c r="B241" s="1" t="n">
        <v>44159</v>
      </c>
      <c r="C241" s="1" t="n">
        <v>45364</v>
      </c>
      <c r="D241" t="inlineStr">
        <is>
          <t>DALARNAS LÄN</t>
        </is>
      </c>
      <c r="E241" t="inlineStr">
        <is>
          <t>LUDVIKA</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63799-2020</t>
        </is>
      </c>
      <c r="B242" s="1" t="n">
        <v>44165</v>
      </c>
      <c r="C242" s="1" t="n">
        <v>45364</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63767-2020</t>
        </is>
      </c>
      <c r="B243" s="1" t="n">
        <v>44166</v>
      </c>
      <c r="C243" s="1" t="n">
        <v>45364</v>
      </c>
      <c r="D243" t="inlineStr">
        <is>
          <t>DALARNAS LÄN</t>
        </is>
      </c>
      <c r="E243" t="inlineStr">
        <is>
          <t>LUDVIKA</t>
        </is>
      </c>
      <c r="F243" t="inlineStr">
        <is>
          <t>Kommuner</t>
        </is>
      </c>
      <c r="G243" t="n">
        <v>1.9</v>
      </c>
      <c r="H243" t="n">
        <v>0</v>
      </c>
      <c r="I243" t="n">
        <v>0</v>
      </c>
      <c r="J243" t="n">
        <v>0</v>
      </c>
      <c r="K243" t="n">
        <v>0</v>
      </c>
      <c r="L243" t="n">
        <v>0</v>
      </c>
      <c r="M243" t="n">
        <v>0</v>
      </c>
      <c r="N243" t="n">
        <v>0</v>
      </c>
      <c r="O243" t="n">
        <v>0</v>
      </c>
      <c r="P243" t="n">
        <v>0</v>
      </c>
      <c r="Q243" t="n">
        <v>0</v>
      </c>
      <c r="R243" s="2" t="inlineStr"/>
    </row>
    <row r="244" ht="15" customHeight="1">
      <c r="A244" t="inlineStr">
        <is>
          <t>A 65150-2020</t>
        </is>
      </c>
      <c r="B244" s="1" t="n">
        <v>44168</v>
      </c>
      <c r="C244" s="1" t="n">
        <v>45364</v>
      </c>
      <c r="D244" t="inlineStr">
        <is>
          <t>DALARNAS LÄN</t>
        </is>
      </c>
      <c r="E244" t="inlineStr">
        <is>
          <t>LUDVIKA</t>
        </is>
      </c>
      <c r="G244" t="n">
        <v>0.9</v>
      </c>
      <c r="H244" t="n">
        <v>0</v>
      </c>
      <c r="I244" t="n">
        <v>0</v>
      </c>
      <c r="J244" t="n">
        <v>0</v>
      </c>
      <c r="K244" t="n">
        <v>0</v>
      </c>
      <c r="L244" t="n">
        <v>0</v>
      </c>
      <c r="M244" t="n">
        <v>0</v>
      </c>
      <c r="N244" t="n">
        <v>0</v>
      </c>
      <c r="O244" t="n">
        <v>0</v>
      </c>
      <c r="P244" t="n">
        <v>0</v>
      </c>
      <c r="Q244" t="n">
        <v>0</v>
      </c>
      <c r="R244" s="2" t="inlineStr"/>
    </row>
    <row r="245" ht="15" customHeight="1">
      <c r="A245" t="inlineStr">
        <is>
          <t>A 66188-2020</t>
        </is>
      </c>
      <c r="B245" s="1" t="n">
        <v>44174</v>
      </c>
      <c r="C245" s="1" t="n">
        <v>45364</v>
      </c>
      <c r="D245" t="inlineStr">
        <is>
          <t>DALARNAS LÄN</t>
        </is>
      </c>
      <c r="E245" t="inlineStr">
        <is>
          <t>LUDVIKA</t>
        </is>
      </c>
      <c r="G245" t="n">
        <v>3.5</v>
      </c>
      <c r="H245" t="n">
        <v>0</v>
      </c>
      <c r="I245" t="n">
        <v>0</v>
      </c>
      <c r="J245" t="n">
        <v>0</v>
      </c>
      <c r="K245" t="n">
        <v>0</v>
      </c>
      <c r="L245" t="n">
        <v>0</v>
      </c>
      <c r="M245" t="n">
        <v>0</v>
      </c>
      <c r="N245" t="n">
        <v>0</v>
      </c>
      <c r="O245" t="n">
        <v>0</v>
      </c>
      <c r="P245" t="n">
        <v>0</v>
      </c>
      <c r="Q245" t="n">
        <v>0</v>
      </c>
      <c r="R245" s="2" t="inlineStr"/>
    </row>
    <row r="246" ht="15" customHeight="1">
      <c r="A246" t="inlineStr">
        <is>
          <t>A 69094-2020</t>
        </is>
      </c>
      <c r="B246" s="1" t="n">
        <v>44188</v>
      </c>
      <c r="C246" s="1" t="n">
        <v>45364</v>
      </c>
      <c r="D246" t="inlineStr">
        <is>
          <t>DALARNAS LÄN</t>
        </is>
      </c>
      <c r="E246" t="inlineStr">
        <is>
          <t>LUDVIKA</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69157-2020</t>
        </is>
      </c>
      <c r="B247" s="1" t="n">
        <v>44188</v>
      </c>
      <c r="C247" s="1" t="n">
        <v>45364</v>
      </c>
      <c r="D247" t="inlineStr">
        <is>
          <t>DALARNAS LÄN</t>
        </is>
      </c>
      <c r="E247" t="inlineStr">
        <is>
          <t>LUDVIKA</t>
        </is>
      </c>
      <c r="F247" t="inlineStr">
        <is>
          <t>Kommuner</t>
        </is>
      </c>
      <c r="G247" t="n">
        <v>5.2</v>
      </c>
      <c r="H247" t="n">
        <v>0</v>
      </c>
      <c r="I247" t="n">
        <v>0</v>
      </c>
      <c r="J247" t="n">
        <v>0</v>
      </c>
      <c r="K247" t="n">
        <v>0</v>
      </c>
      <c r="L247" t="n">
        <v>0</v>
      </c>
      <c r="M247" t="n">
        <v>0</v>
      </c>
      <c r="N247" t="n">
        <v>0</v>
      </c>
      <c r="O247" t="n">
        <v>0</v>
      </c>
      <c r="P247" t="n">
        <v>0</v>
      </c>
      <c r="Q247" t="n">
        <v>0</v>
      </c>
      <c r="R247" s="2" t="inlineStr"/>
    </row>
    <row r="248" ht="15" customHeight="1">
      <c r="A248" t="inlineStr">
        <is>
          <t>A 69154-2020</t>
        </is>
      </c>
      <c r="B248" s="1" t="n">
        <v>44188</v>
      </c>
      <c r="C248" s="1" t="n">
        <v>45364</v>
      </c>
      <c r="D248" t="inlineStr">
        <is>
          <t>DALARNAS LÄN</t>
        </is>
      </c>
      <c r="E248" t="inlineStr">
        <is>
          <t>LUDVIKA</t>
        </is>
      </c>
      <c r="F248" t="inlineStr">
        <is>
          <t>Kommuner</t>
        </is>
      </c>
      <c r="G248" t="n">
        <v>13.3</v>
      </c>
      <c r="H248" t="n">
        <v>0</v>
      </c>
      <c r="I248" t="n">
        <v>0</v>
      </c>
      <c r="J248" t="n">
        <v>0</v>
      </c>
      <c r="K248" t="n">
        <v>0</v>
      </c>
      <c r="L248" t="n">
        <v>0</v>
      </c>
      <c r="M248" t="n">
        <v>0</v>
      </c>
      <c r="N248" t="n">
        <v>0</v>
      </c>
      <c r="O248" t="n">
        <v>0</v>
      </c>
      <c r="P248" t="n">
        <v>0</v>
      </c>
      <c r="Q248" t="n">
        <v>0</v>
      </c>
      <c r="R248" s="2" t="inlineStr"/>
    </row>
    <row r="249" ht="15" customHeight="1">
      <c r="A249" t="inlineStr">
        <is>
          <t>A 69090-2020</t>
        </is>
      </c>
      <c r="B249" s="1" t="n">
        <v>44188</v>
      </c>
      <c r="C249" s="1" t="n">
        <v>45364</v>
      </c>
      <c r="D249" t="inlineStr">
        <is>
          <t>DALARNAS LÄN</t>
        </is>
      </c>
      <c r="E249" t="inlineStr">
        <is>
          <t>LUDVIKA</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69165-2020</t>
        </is>
      </c>
      <c r="B250" s="1" t="n">
        <v>44188</v>
      </c>
      <c r="C250" s="1" t="n">
        <v>45364</v>
      </c>
      <c r="D250" t="inlineStr">
        <is>
          <t>DALARNAS LÄN</t>
        </is>
      </c>
      <c r="E250" t="inlineStr">
        <is>
          <t>LUDVIKA</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1633-2021</t>
        </is>
      </c>
      <c r="B251" s="1" t="n">
        <v>44209</v>
      </c>
      <c r="C251" s="1" t="n">
        <v>45364</v>
      </c>
      <c r="D251" t="inlineStr">
        <is>
          <t>DALARNAS LÄN</t>
        </is>
      </c>
      <c r="E251" t="inlineStr">
        <is>
          <t>LUDVIKA</t>
        </is>
      </c>
      <c r="G251" t="n">
        <v>0.6</v>
      </c>
      <c r="H251" t="n">
        <v>0</v>
      </c>
      <c r="I251" t="n">
        <v>0</v>
      </c>
      <c r="J251" t="n">
        <v>0</v>
      </c>
      <c r="K251" t="n">
        <v>0</v>
      </c>
      <c r="L251" t="n">
        <v>0</v>
      </c>
      <c r="M251" t="n">
        <v>0</v>
      </c>
      <c r="N251" t="n">
        <v>0</v>
      </c>
      <c r="O251" t="n">
        <v>0</v>
      </c>
      <c r="P251" t="n">
        <v>0</v>
      </c>
      <c r="Q251" t="n">
        <v>0</v>
      </c>
      <c r="R251" s="2" t="inlineStr"/>
    </row>
    <row r="252" ht="15" customHeight="1">
      <c r="A252" t="inlineStr">
        <is>
          <t>A 3104-2021</t>
        </is>
      </c>
      <c r="B252" s="1" t="n">
        <v>44217</v>
      </c>
      <c r="C252" s="1" t="n">
        <v>45364</v>
      </c>
      <c r="D252" t="inlineStr">
        <is>
          <t>DALARNAS LÄN</t>
        </is>
      </c>
      <c r="E252" t="inlineStr">
        <is>
          <t>LUDVIKA</t>
        </is>
      </c>
      <c r="G252" t="n">
        <v>2.1</v>
      </c>
      <c r="H252" t="n">
        <v>0</v>
      </c>
      <c r="I252" t="n">
        <v>0</v>
      </c>
      <c r="J252" t="n">
        <v>0</v>
      </c>
      <c r="K252" t="n">
        <v>0</v>
      </c>
      <c r="L252" t="n">
        <v>0</v>
      </c>
      <c r="M252" t="n">
        <v>0</v>
      </c>
      <c r="N252" t="n">
        <v>0</v>
      </c>
      <c r="O252" t="n">
        <v>0</v>
      </c>
      <c r="P252" t="n">
        <v>0</v>
      </c>
      <c r="Q252" t="n">
        <v>0</v>
      </c>
      <c r="R252" s="2" t="inlineStr"/>
    </row>
    <row r="253" ht="15" customHeight="1">
      <c r="A253" t="inlineStr">
        <is>
          <t>A 3403-2021</t>
        </is>
      </c>
      <c r="B253" s="1" t="n">
        <v>44218</v>
      </c>
      <c r="C253" s="1" t="n">
        <v>45364</v>
      </c>
      <c r="D253" t="inlineStr">
        <is>
          <t>DALARNAS LÄN</t>
        </is>
      </c>
      <c r="E253" t="inlineStr">
        <is>
          <t>LUDVIKA</t>
        </is>
      </c>
      <c r="F253" t="inlineStr">
        <is>
          <t>Bergvik skog väst AB</t>
        </is>
      </c>
      <c r="G253" t="n">
        <v>0.3</v>
      </c>
      <c r="H253" t="n">
        <v>0</v>
      </c>
      <c r="I253" t="n">
        <v>0</v>
      </c>
      <c r="J253" t="n">
        <v>0</v>
      </c>
      <c r="K253" t="n">
        <v>0</v>
      </c>
      <c r="L253" t="n">
        <v>0</v>
      </c>
      <c r="M253" t="n">
        <v>0</v>
      </c>
      <c r="N253" t="n">
        <v>0</v>
      </c>
      <c r="O253" t="n">
        <v>0</v>
      </c>
      <c r="P253" t="n">
        <v>0</v>
      </c>
      <c r="Q253" t="n">
        <v>0</v>
      </c>
      <c r="R253" s="2" t="inlineStr"/>
    </row>
    <row r="254" ht="15" customHeight="1">
      <c r="A254" t="inlineStr">
        <is>
          <t>A 4569-2021</t>
        </is>
      </c>
      <c r="B254" s="1" t="n">
        <v>44224</v>
      </c>
      <c r="C254" s="1" t="n">
        <v>45364</v>
      </c>
      <c r="D254" t="inlineStr">
        <is>
          <t>DALARNAS LÄN</t>
        </is>
      </c>
      <c r="E254" t="inlineStr">
        <is>
          <t>LUDVIKA</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7073-2021</t>
        </is>
      </c>
      <c r="B255" s="1" t="n">
        <v>44237</v>
      </c>
      <c r="C255" s="1" t="n">
        <v>45364</v>
      </c>
      <c r="D255" t="inlineStr">
        <is>
          <t>DALARNAS LÄN</t>
        </is>
      </c>
      <c r="E255" t="inlineStr">
        <is>
          <t>LUDVIKA</t>
        </is>
      </c>
      <c r="G255" t="n">
        <v>0.9</v>
      </c>
      <c r="H255" t="n">
        <v>0</v>
      </c>
      <c r="I255" t="n">
        <v>0</v>
      </c>
      <c r="J255" t="n">
        <v>0</v>
      </c>
      <c r="K255" t="n">
        <v>0</v>
      </c>
      <c r="L255" t="n">
        <v>0</v>
      </c>
      <c r="M255" t="n">
        <v>0</v>
      </c>
      <c r="N255" t="n">
        <v>0</v>
      </c>
      <c r="O255" t="n">
        <v>0</v>
      </c>
      <c r="P255" t="n">
        <v>0</v>
      </c>
      <c r="Q255" t="n">
        <v>0</v>
      </c>
      <c r="R255" s="2" t="inlineStr"/>
    </row>
    <row r="256" ht="15" customHeight="1">
      <c r="A256" t="inlineStr">
        <is>
          <t>A 8321-2021</t>
        </is>
      </c>
      <c r="B256" s="1" t="n">
        <v>44244</v>
      </c>
      <c r="C256" s="1" t="n">
        <v>45364</v>
      </c>
      <c r="D256" t="inlineStr">
        <is>
          <t>DALARNAS LÄN</t>
        </is>
      </c>
      <c r="E256" t="inlineStr">
        <is>
          <t>LUDVIKA</t>
        </is>
      </c>
      <c r="G256" t="n">
        <v>1.9</v>
      </c>
      <c r="H256" t="n">
        <v>0</v>
      </c>
      <c r="I256" t="n">
        <v>0</v>
      </c>
      <c r="J256" t="n">
        <v>0</v>
      </c>
      <c r="K256" t="n">
        <v>0</v>
      </c>
      <c r="L256" t="n">
        <v>0</v>
      </c>
      <c r="M256" t="n">
        <v>0</v>
      </c>
      <c r="N256" t="n">
        <v>0</v>
      </c>
      <c r="O256" t="n">
        <v>0</v>
      </c>
      <c r="P256" t="n">
        <v>0</v>
      </c>
      <c r="Q256" t="n">
        <v>0</v>
      </c>
      <c r="R256" s="2" t="inlineStr"/>
    </row>
    <row r="257" ht="15" customHeight="1">
      <c r="A257" t="inlineStr">
        <is>
          <t>A 8319-2021</t>
        </is>
      </c>
      <c r="B257" s="1" t="n">
        <v>44244</v>
      </c>
      <c r="C257" s="1" t="n">
        <v>45364</v>
      </c>
      <c r="D257" t="inlineStr">
        <is>
          <t>DALARNAS LÄN</t>
        </is>
      </c>
      <c r="E257" t="inlineStr">
        <is>
          <t>LUDVIKA</t>
        </is>
      </c>
      <c r="G257" t="n">
        <v>0.5</v>
      </c>
      <c r="H257" t="n">
        <v>0</v>
      </c>
      <c r="I257" t="n">
        <v>0</v>
      </c>
      <c r="J257" t="n">
        <v>0</v>
      </c>
      <c r="K257" t="n">
        <v>0</v>
      </c>
      <c r="L257" t="n">
        <v>0</v>
      </c>
      <c r="M257" t="n">
        <v>0</v>
      </c>
      <c r="N257" t="n">
        <v>0</v>
      </c>
      <c r="O257" t="n">
        <v>0</v>
      </c>
      <c r="P257" t="n">
        <v>0</v>
      </c>
      <c r="Q257" t="n">
        <v>0</v>
      </c>
      <c r="R257" s="2" t="inlineStr"/>
    </row>
    <row r="258" ht="15" customHeight="1">
      <c r="A258" t="inlineStr">
        <is>
          <t>A 9292-2021</t>
        </is>
      </c>
      <c r="B258" s="1" t="n">
        <v>44249</v>
      </c>
      <c r="C258" s="1" t="n">
        <v>45364</v>
      </c>
      <c r="D258" t="inlineStr">
        <is>
          <t>DALARNAS LÄN</t>
        </is>
      </c>
      <c r="E258" t="inlineStr">
        <is>
          <t>LUDVIKA</t>
        </is>
      </c>
      <c r="G258" t="n">
        <v>5.1</v>
      </c>
      <c r="H258" t="n">
        <v>0</v>
      </c>
      <c r="I258" t="n">
        <v>0</v>
      </c>
      <c r="J258" t="n">
        <v>0</v>
      </c>
      <c r="K258" t="n">
        <v>0</v>
      </c>
      <c r="L258" t="n">
        <v>0</v>
      </c>
      <c r="M258" t="n">
        <v>0</v>
      </c>
      <c r="N258" t="n">
        <v>0</v>
      </c>
      <c r="O258" t="n">
        <v>0</v>
      </c>
      <c r="P258" t="n">
        <v>0</v>
      </c>
      <c r="Q258" t="n">
        <v>0</v>
      </c>
      <c r="R258" s="2" t="inlineStr"/>
    </row>
    <row r="259" ht="15" customHeight="1">
      <c r="A259" t="inlineStr">
        <is>
          <t>A 11611-2021</t>
        </is>
      </c>
      <c r="B259" s="1" t="n">
        <v>44264</v>
      </c>
      <c r="C259" s="1" t="n">
        <v>45364</v>
      </c>
      <c r="D259" t="inlineStr">
        <is>
          <t>DALARNAS LÄN</t>
        </is>
      </c>
      <c r="E259" t="inlineStr">
        <is>
          <t>LUDVIKA</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13778-2021</t>
        </is>
      </c>
      <c r="B260" s="1" t="n">
        <v>44274</v>
      </c>
      <c r="C260" s="1" t="n">
        <v>45364</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15020-2021</t>
        </is>
      </c>
      <c r="B261" s="1" t="n">
        <v>44281</v>
      </c>
      <c r="C261" s="1" t="n">
        <v>45364</v>
      </c>
      <c r="D261" t="inlineStr">
        <is>
          <t>DALARNAS LÄN</t>
        </is>
      </c>
      <c r="E261" t="inlineStr">
        <is>
          <t>LUDVIKA</t>
        </is>
      </c>
      <c r="F261" t="inlineStr">
        <is>
          <t>Bergvik skog väst AB</t>
        </is>
      </c>
      <c r="G261" t="n">
        <v>0.4</v>
      </c>
      <c r="H261" t="n">
        <v>0</v>
      </c>
      <c r="I261" t="n">
        <v>0</v>
      </c>
      <c r="J261" t="n">
        <v>0</v>
      </c>
      <c r="K261" t="n">
        <v>0</v>
      </c>
      <c r="L261" t="n">
        <v>0</v>
      </c>
      <c r="M261" t="n">
        <v>0</v>
      </c>
      <c r="N261" t="n">
        <v>0</v>
      </c>
      <c r="O261" t="n">
        <v>0</v>
      </c>
      <c r="P261" t="n">
        <v>0</v>
      </c>
      <c r="Q261" t="n">
        <v>0</v>
      </c>
      <c r="R261" s="2" t="inlineStr"/>
    </row>
    <row r="262" ht="15" customHeight="1">
      <c r="A262" t="inlineStr">
        <is>
          <t>A 15700-2021</t>
        </is>
      </c>
      <c r="B262" s="1" t="n">
        <v>44286</v>
      </c>
      <c r="C262" s="1" t="n">
        <v>45364</v>
      </c>
      <c r="D262" t="inlineStr">
        <is>
          <t>DALARNAS LÄN</t>
        </is>
      </c>
      <c r="E262" t="inlineStr">
        <is>
          <t>LUDVIKA</t>
        </is>
      </c>
      <c r="G262" t="n">
        <v>2.2</v>
      </c>
      <c r="H262" t="n">
        <v>0</v>
      </c>
      <c r="I262" t="n">
        <v>0</v>
      </c>
      <c r="J262" t="n">
        <v>0</v>
      </c>
      <c r="K262" t="n">
        <v>0</v>
      </c>
      <c r="L262" t="n">
        <v>0</v>
      </c>
      <c r="M262" t="n">
        <v>0</v>
      </c>
      <c r="N262" t="n">
        <v>0</v>
      </c>
      <c r="O262" t="n">
        <v>0</v>
      </c>
      <c r="P262" t="n">
        <v>0</v>
      </c>
      <c r="Q262" t="n">
        <v>0</v>
      </c>
      <c r="R262" s="2" t="inlineStr"/>
    </row>
    <row r="263" ht="15" customHeight="1">
      <c r="A263" t="inlineStr">
        <is>
          <t>A 16108-2021</t>
        </is>
      </c>
      <c r="B263" s="1" t="n">
        <v>44291</v>
      </c>
      <c r="C263" s="1" t="n">
        <v>45364</v>
      </c>
      <c r="D263" t="inlineStr">
        <is>
          <t>DALARNAS LÄN</t>
        </is>
      </c>
      <c r="E263" t="inlineStr">
        <is>
          <t>LUDVIKA</t>
        </is>
      </c>
      <c r="G263" t="n">
        <v>2.9</v>
      </c>
      <c r="H263" t="n">
        <v>0</v>
      </c>
      <c r="I263" t="n">
        <v>0</v>
      </c>
      <c r="J263" t="n">
        <v>0</v>
      </c>
      <c r="K263" t="n">
        <v>0</v>
      </c>
      <c r="L263" t="n">
        <v>0</v>
      </c>
      <c r="M263" t="n">
        <v>0</v>
      </c>
      <c r="N263" t="n">
        <v>0</v>
      </c>
      <c r="O263" t="n">
        <v>0</v>
      </c>
      <c r="P263" t="n">
        <v>0</v>
      </c>
      <c r="Q263" t="n">
        <v>0</v>
      </c>
      <c r="R263" s="2" t="inlineStr"/>
    </row>
    <row r="264" ht="15" customHeight="1">
      <c r="A264" t="inlineStr">
        <is>
          <t>A 16187-2021</t>
        </is>
      </c>
      <c r="B264" s="1" t="n">
        <v>44292</v>
      </c>
      <c r="C264" s="1" t="n">
        <v>45364</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16203-2021</t>
        </is>
      </c>
      <c r="B265" s="1" t="n">
        <v>44292</v>
      </c>
      <c r="C265" s="1" t="n">
        <v>45364</v>
      </c>
      <c r="D265" t="inlineStr">
        <is>
          <t>DALARNAS LÄN</t>
        </is>
      </c>
      <c r="E265" t="inlineStr">
        <is>
          <t>LUDVIKA</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17420-2021</t>
        </is>
      </c>
      <c r="B266" s="1" t="n">
        <v>44299</v>
      </c>
      <c r="C266" s="1" t="n">
        <v>45364</v>
      </c>
      <c r="D266" t="inlineStr">
        <is>
          <t>DALARNAS LÄN</t>
        </is>
      </c>
      <c r="E266" t="inlineStr">
        <is>
          <t>LUDVIKA</t>
        </is>
      </c>
      <c r="G266" t="n">
        <v>5.8</v>
      </c>
      <c r="H266" t="n">
        <v>0</v>
      </c>
      <c r="I266" t="n">
        <v>0</v>
      </c>
      <c r="J266" t="n">
        <v>0</v>
      </c>
      <c r="K266" t="n">
        <v>0</v>
      </c>
      <c r="L266" t="n">
        <v>0</v>
      </c>
      <c r="M266" t="n">
        <v>0</v>
      </c>
      <c r="N266" t="n">
        <v>0</v>
      </c>
      <c r="O266" t="n">
        <v>0</v>
      </c>
      <c r="P266" t="n">
        <v>0</v>
      </c>
      <c r="Q266" t="n">
        <v>0</v>
      </c>
      <c r="R266" s="2" t="inlineStr"/>
    </row>
    <row r="267" ht="15" customHeight="1">
      <c r="A267" t="inlineStr">
        <is>
          <t>A 18025-2021</t>
        </is>
      </c>
      <c r="B267" s="1" t="n">
        <v>44302</v>
      </c>
      <c r="C267" s="1" t="n">
        <v>45364</v>
      </c>
      <c r="D267" t="inlineStr">
        <is>
          <t>DALARNAS LÄN</t>
        </is>
      </c>
      <c r="E267" t="inlineStr">
        <is>
          <t>LUDVIKA</t>
        </is>
      </c>
      <c r="G267" t="n">
        <v>0.8</v>
      </c>
      <c r="H267" t="n">
        <v>0</v>
      </c>
      <c r="I267" t="n">
        <v>0</v>
      </c>
      <c r="J267" t="n">
        <v>0</v>
      </c>
      <c r="K267" t="n">
        <v>0</v>
      </c>
      <c r="L267" t="n">
        <v>0</v>
      </c>
      <c r="M267" t="n">
        <v>0</v>
      </c>
      <c r="N267" t="n">
        <v>0</v>
      </c>
      <c r="O267" t="n">
        <v>0</v>
      </c>
      <c r="P267" t="n">
        <v>0</v>
      </c>
      <c r="Q267" t="n">
        <v>0</v>
      </c>
      <c r="R267" s="2" t="inlineStr"/>
    </row>
    <row r="268" ht="15" customHeight="1">
      <c r="A268" t="inlineStr">
        <is>
          <t>A 20598-2021</t>
        </is>
      </c>
      <c r="B268" s="1" t="n">
        <v>44316</v>
      </c>
      <c r="C268" s="1" t="n">
        <v>45364</v>
      </c>
      <c r="D268" t="inlineStr">
        <is>
          <t>DALARNAS LÄN</t>
        </is>
      </c>
      <c r="E268" t="inlineStr">
        <is>
          <t>LUDVIKA</t>
        </is>
      </c>
      <c r="F268" t="inlineStr">
        <is>
          <t>Naturvårdsverket</t>
        </is>
      </c>
      <c r="G268" t="n">
        <v>2.4</v>
      </c>
      <c r="H268" t="n">
        <v>0</v>
      </c>
      <c r="I268" t="n">
        <v>0</v>
      </c>
      <c r="J268" t="n">
        <v>0</v>
      </c>
      <c r="K268" t="n">
        <v>0</v>
      </c>
      <c r="L268" t="n">
        <v>0</v>
      </c>
      <c r="M268" t="n">
        <v>0</v>
      </c>
      <c r="N268" t="n">
        <v>0</v>
      </c>
      <c r="O268" t="n">
        <v>0</v>
      </c>
      <c r="P268" t="n">
        <v>0</v>
      </c>
      <c r="Q268" t="n">
        <v>0</v>
      </c>
      <c r="R268" s="2" t="inlineStr"/>
    </row>
    <row r="269" ht="15" customHeight="1">
      <c r="A269" t="inlineStr">
        <is>
          <t>A 20599-2021</t>
        </is>
      </c>
      <c r="B269" s="1" t="n">
        <v>44316</v>
      </c>
      <c r="C269" s="1" t="n">
        <v>45364</v>
      </c>
      <c r="D269" t="inlineStr">
        <is>
          <t>DALARNAS LÄN</t>
        </is>
      </c>
      <c r="E269" t="inlineStr">
        <is>
          <t>LUDVIKA</t>
        </is>
      </c>
      <c r="F269" t="inlineStr">
        <is>
          <t>Naturvårdsverket</t>
        </is>
      </c>
      <c r="G269" t="n">
        <v>1.2</v>
      </c>
      <c r="H269" t="n">
        <v>0</v>
      </c>
      <c r="I269" t="n">
        <v>0</v>
      </c>
      <c r="J269" t="n">
        <v>0</v>
      </c>
      <c r="K269" t="n">
        <v>0</v>
      </c>
      <c r="L269" t="n">
        <v>0</v>
      </c>
      <c r="M269" t="n">
        <v>0</v>
      </c>
      <c r="N269" t="n">
        <v>0</v>
      </c>
      <c r="O269" t="n">
        <v>0</v>
      </c>
      <c r="P269" t="n">
        <v>0</v>
      </c>
      <c r="Q269" t="n">
        <v>0</v>
      </c>
      <c r="R269" s="2" t="inlineStr"/>
    </row>
    <row r="270" ht="15" customHeight="1">
      <c r="A270" t="inlineStr">
        <is>
          <t>A 20690-2021</t>
        </is>
      </c>
      <c r="B270" s="1" t="n">
        <v>44316</v>
      </c>
      <c r="C270" s="1" t="n">
        <v>45364</v>
      </c>
      <c r="D270" t="inlineStr">
        <is>
          <t>DALARNAS LÄN</t>
        </is>
      </c>
      <c r="E270" t="inlineStr">
        <is>
          <t>LUDVIKA</t>
        </is>
      </c>
      <c r="F270" t="inlineStr">
        <is>
          <t>Naturvårdsverket</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20700-2021</t>
        </is>
      </c>
      <c r="B271" s="1" t="n">
        <v>44316</v>
      </c>
      <c r="C271" s="1" t="n">
        <v>45364</v>
      </c>
      <c r="D271" t="inlineStr">
        <is>
          <t>DALARNAS LÄN</t>
        </is>
      </c>
      <c r="E271" t="inlineStr">
        <is>
          <t>LUDVIKA</t>
        </is>
      </c>
      <c r="F271" t="inlineStr">
        <is>
          <t>Naturvårdsverket</t>
        </is>
      </c>
      <c r="G271" t="n">
        <v>2.5</v>
      </c>
      <c r="H271" t="n">
        <v>0</v>
      </c>
      <c r="I271" t="n">
        <v>0</v>
      </c>
      <c r="J271" t="n">
        <v>0</v>
      </c>
      <c r="K271" t="n">
        <v>0</v>
      </c>
      <c r="L271" t="n">
        <v>0</v>
      </c>
      <c r="M271" t="n">
        <v>0</v>
      </c>
      <c r="N271" t="n">
        <v>0</v>
      </c>
      <c r="O271" t="n">
        <v>0</v>
      </c>
      <c r="P271" t="n">
        <v>0</v>
      </c>
      <c r="Q271" t="n">
        <v>0</v>
      </c>
      <c r="R271" s="2" t="inlineStr"/>
    </row>
    <row r="272" ht="15" customHeight="1">
      <c r="A272" t="inlineStr">
        <is>
          <t>A 20596-2021</t>
        </is>
      </c>
      <c r="B272" s="1" t="n">
        <v>44316</v>
      </c>
      <c r="C272" s="1" t="n">
        <v>45364</v>
      </c>
      <c r="D272" t="inlineStr">
        <is>
          <t>DALARNAS LÄN</t>
        </is>
      </c>
      <c r="E272" t="inlineStr">
        <is>
          <t>LUDVIKA</t>
        </is>
      </c>
      <c r="F272" t="inlineStr">
        <is>
          <t>Naturvårdsverket</t>
        </is>
      </c>
      <c r="G272" t="n">
        <v>2.3</v>
      </c>
      <c r="H272" t="n">
        <v>0</v>
      </c>
      <c r="I272" t="n">
        <v>0</v>
      </c>
      <c r="J272" t="n">
        <v>0</v>
      </c>
      <c r="K272" t="n">
        <v>0</v>
      </c>
      <c r="L272" t="n">
        <v>0</v>
      </c>
      <c r="M272" t="n">
        <v>0</v>
      </c>
      <c r="N272" t="n">
        <v>0</v>
      </c>
      <c r="O272" t="n">
        <v>0</v>
      </c>
      <c r="P272" t="n">
        <v>0</v>
      </c>
      <c r="Q272" t="n">
        <v>0</v>
      </c>
      <c r="R272" s="2" t="inlineStr"/>
    </row>
    <row r="273" ht="15" customHeight="1">
      <c r="A273" t="inlineStr">
        <is>
          <t>A 21712-2021</t>
        </is>
      </c>
      <c r="B273" s="1" t="n">
        <v>44322</v>
      </c>
      <c r="C273" s="1" t="n">
        <v>45364</v>
      </c>
      <c r="D273" t="inlineStr">
        <is>
          <t>DALARNAS LÄN</t>
        </is>
      </c>
      <c r="E273" t="inlineStr">
        <is>
          <t>LUDVIKA</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21716-2021</t>
        </is>
      </c>
      <c r="B274" s="1" t="n">
        <v>44322</v>
      </c>
      <c r="C274" s="1" t="n">
        <v>45364</v>
      </c>
      <c r="D274" t="inlineStr">
        <is>
          <t>DALARNAS LÄN</t>
        </is>
      </c>
      <c r="E274" t="inlineStr">
        <is>
          <t>LUDVIKA</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21887-2021</t>
        </is>
      </c>
      <c r="B275" s="1" t="n">
        <v>44322</v>
      </c>
      <c r="C275" s="1" t="n">
        <v>45364</v>
      </c>
      <c r="D275" t="inlineStr">
        <is>
          <t>DALARNAS LÄN</t>
        </is>
      </c>
      <c r="E275" t="inlineStr">
        <is>
          <t>LUDVIKA</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23101-2021</t>
        </is>
      </c>
      <c r="B276" s="1" t="n">
        <v>44330</v>
      </c>
      <c r="C276" s="1" t="n">
        <v>45364</v>
      </c>
      <c r="D276" t="inlineStr">
        <is>
          <t>DALARNAS LÄN</t>
        </is>
      </c>
      <c r="E276" t="inlineStr">
        <is>
          <t>LUDVIKA</t>
        </is>
      </c>
      <c r="F276" t="inlineStr">
        <is>
          <t>Bergvik skog väst AB</t>
        </is>
      </c>
      <c r="G276" t="n">
        <v>4.6</v>
      </c>
      <c r="H276" t="n">
        <v>0</v>
      </c>
      <c r="I276" t="n">
        <v>0</v>
      </c>
      <c r="J276" t="n">
        <v>0</v>
      </c>
      <c r="K276" t="n">
        <v>0</v>
      </c>
      <c r="L276" t="n">
        <v>0</v>
      </c>
      <c r="M276" t="n">
        <v>0</v>
      </c>
      <c r="N276" t="n">
        <v>0</v>
      </c>
      <c r="O276" t="n">
        <v>0</v>
      </c>
      <c r="P276" t="n">
        <v>0</v>
      </c>
      <c r="Q276" t="n">
        <v>0</v>
      </c>
      <c r="R276" s="2" t="inlineStr"/>
    </row>
    <row r="277" ht="15" customHeight="1">
      <c r="A277" t="inlineStr">
        <is>
          <t>A 23245-2021</t>
        </is>
      </c>
      <c r="B277" s="1" t="n">
        <v>44333</v>
      </c>
      <c r="C277" s="1" t="n">
        <v>45364</v>
      </c>
      <c r="D277" t="inlineStr">
        <is>
          <t>DALARNAS LÄN</t>
        </is>
      </c>
      <c r="E277" t="inlineStr">
        <is>
          <t>LUDVIKA</t>
        </is>
      </c>
      <c r="F277" t="inlineStr">
        <is>
          <t>Kyrkan</t>
        </is>
      </c>
      <c r="G277" t="n">
        <v>3.2</v>
      </c>
      <c r="H277" t="n">
        <v>0</v>
      </c>
      <c r="I277" t="n">
        <v>0</v>
      </c>
      <c r="J277" t="n">
        <v>0</v>
      </c>
      <c r="K277" t="n">
        <v>0</v>
      </c>
      <c r="L277" t="n">
        <v>0</v>
      </c>
      <c r="M277" t="n">
        <v>0</v>
      </c>
      <c r="N277" t="n">
        <v>0</v>
      </c>
      <c r="O277" t="n">
        <v>0</v>
      </c>
      <c r="P277" t="n">
        <v>0</v>
      </c>
      <c r="Q277" t="n">
        <v>0</v>
      </c>
      <c r="R277" s="2" t="inlineStr"/>
    </row>
    <row r="278" ht="15" customHeight="1">
      <c r="A278" t="inlineStr">
        <is>
          <t>A 23271-2021</t>
        </is>
      </c>
      <c r="B278" s="1" t="n">
        <v>44333</v>
      </c>
      <c r="C278" s="1" t="n">
        <v>45364</v>
      </c>
      <c r="D278" t="inlineStr">
        <is>
          <t>DALARNAS LÄN</t>
        </is>
      </c>
      <c r="E278" t="inlineStr">
        <is>
          <t>LUDVIKA</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24033-2021</t>
        </is>
      </c>
      <c r="B279" s="1" t="n">
        <v>44336</v>
      </c>
      <c r="C279" s="1" t="n">
        <v>45364</v>
      </c>
      <c r="D279" t="inlineStr">
        <is>
          <t>DALARNAS LÄN</t>
        </is>
      </c>
      <c r="E279" t="inlineStr">
        <is>
          <t>LUDVIKA</t>
        </is>
      </c>
      <c r="F279" t="inlineStr">
        <is>
          <t>Allmännings- och besparingsskogar</t>
        </is>
      </c>
      <c r="G279" t="n">
        <v>0.9</v>
      </c>
      <c r="H279" t="n">
        <v>0</v>
      </c>
      <c r="I279" t="n">
        <v>0</v>
      </c>
      <c r="J279" t="n">
        <v>0</v>
      </c>
      <c r="K279" t="n">
        <v>0</v>
      </c>
      <c r="L279" t="n">
        <v>0</v>
      </c>
      <c r="M279" t="n">
        <v>0</v>
      </c>
      <c r="N279" t="n">
        <v>0</v>
      </c>
      <c r="O279" t="n">
        <v>0</v>
      </c>
      <c r="P279" t="n">
        <v>0</v>
      </c>
      <c r="Q279" t="n">
        <v>0</v>
      </c>
      <c r="R279" s="2" t="inlineStr"/>
    </row>
    <row r="280" ht="15" customHeight="1">
      <c r="A280" t="inlineStr">
        <is>
          <t>A 24080-2021</t>
        </is>
      </c>
      <c r="B280" s="1" t="n">
        <v>44336</v>
      </c>
      <c r="C280" s="1" t="n">
        <v>45364</v>
      </c>
      <c r="D280" t="inlineStr">
        <is>
          <t>DALARNAS LÄN</t>
        </is>
      </c>
      <c r="E280" t="inlineStr">
        <is>
          <t>LUDVIKA</t>
        </is>
      </c>
      <c r="G280" t="n">
        <v>0.7</v>
      </c>
      <c r="H280" t="n">
        <v>0</v>
      </c>
      <c r="I280" t="n">
        <v>0</v>
      </c>
      <c r="J280" t="n">
        <v>0</v>
      </c>
      <c r="K280" t="n">
        <v>0</v>
      </c>
      <c r="L280" t="n">
        <v>0</v>
      </c>
      <c r="M280" t="n">
        <v>0</v>
      </c>
      <c r="N280" t="n">
        <v>0</v>
      </c>
      <c r="O280" t="n">
        <v>0</v>
      </c>
      <c r="P280" t="n">
        <v>0</v>
      </c>
      <c r="Q280" t="n">
        <v>0</v>
      </c>
      <c r="R280" s="2" t="inlineStr"/>
    </row>
    <row r="281" ht="15" customHeight="1">
      <c r="A281" t="inlineStr">
        <is>
          <t>A 24469-2021</t>
        </is>
      </c>
      <c r="B281" s="1" t="n">
        <v>44337</v>
      </c>
      <c r="C281" s="1" t="n">
        <v>45364</v>
      </c>
      <c r="D281" t="inlineStr">
        <is>
          <t>DALARNAS LÄN</t>
        </is>
      </c>
      <c r="E281" t="inlineStr">
        <is>
          <t>LUDVIKA</t>
        </is>
      </c>
      <c r="F281" t="inlineStr">
        <is>
          <t>Bergvik skog väst AB</t>
        </is>
      </c>
      <c r="G281" t="n">
        <v>6.9</v>
      </c>
      <c r="H281" t="n">
        <v>0</v>
      </c>
      <c r="I281" t="n">
        <v>0</v>
      </c>
      <c r="J281" t="n">
        <v>0</v>
      </c>
      <c r="K281" t="n">
        <v>0</v>
      </c>
      <c r="L281" t="n">
        <v>0</v>
      </c>
      <c r="M281" t="n">
        <v>0</v>
      </c>
      <c r="N281" t="n">
        <v>0</v>
      </c>
      <c r="O281" t="n">
        <v>0</v>
      </c>
      <c r="P281" t="n">
        <v>0</v>
      </c>
      <c r="Q281" t="n">
        <v>0</v>
      </c>
      <c r="R281" s="2" t="inlineStr"/>
    </row>
    <row r="282" ht="15" customHeight="1">
      <c r="A282" t="inlineStr">
        <is>
          <t>A 24906-2021</t>
        </is>
      </c>
      <c r="B282" s="1" t="n">
        <v>44341</v>
      </c>
      <c r="C282" s="1" t="n">
        <v>45364</v>
      </c>
      <c r="D282" t="inlineStr">
        <is>
          <t>DALARNAS LÄN</t>
        </is>
      </c>
      <c r="E282" t="inlineStr">
        <is>
          <t>LUDVIKA</t>
        </is>
      </c>
      <c r="F282" t="inlineStr">
        <is>
          <t>Bergvik skog väst AB</t>
        </is>
      </c>
      <c r="G282" t="n">
        <v>5.6</v>
      </c>
      <c r="H282" t="n">
        <v>0</v>
      </c>
      <c r="I282" t="n">
        <v>0</v>
      </c>
      <c r="J282" t="n">
        <v>0</v>
      </c>
      <c r="K282" t="n">
        <v>0</v>
      </c>
      <c r="L282" t="n">
        <v>0</v>
      </c>
      <c r="M282" t="n">
        <v>0</v>
      </c>
      <c r="N282" t="n">
        <v>0</v>
      </c>
      <c r="O282" t="n">
        <v>0</v>
      </c>
      <c r="P282" t="n">
        <v>0</v>
      </c>
      <c r="Q282" t="n">
        <v>0</v>
      </c>
      <c r="R282" s="2" t="inlineStr"/>
    </row>
    <row r="283" ht="15" customHeight="1">
      <c r="A283" t="inlineStr">
        <is>
          <t>A 26066-2021</t>
        </is>
      </c>
      <c r="B283" s="1" t="n">
        <v>44344</v>
      </c>
      <c r="C283" s="1" t="n">
        <v>45364</v>
      </c>
      <c r="D283" t="inlineStr">
        <is>
          <t>DALARNAS LÄN</t>
        </is>
      </c>
      <c r="E283" t="inlineStr">
        <is>
          <t>LUDVIKA</t>
        </is>
      </c>
      <c r="F283" t="inlineStr">
        <is>
          <t>Bergvik skog väst AB</t>
        </is>
      </c>
      <c r="G283" t="n">
        <v>0.7</v>
      </c>
      <c r="H283" t="n">
        <v>0</v>
      </c>
      <c r="I283" t="n">
        <v>0</v>
      </c>
      <c r="J283" t="n">
        <v>0</v>
      </c>
      <c r="K283" t="n">
        <v>0</v>
      </c>
      <c r="L283" t="n">
        <v>0</v>
      </c>
      <c r="M283" t="n">
        <v>0</v>
      </c>
      <c r="N283" t="n">
        <v>0</v>
      </c>
      <c r="O283" t="n">
        <v>0</v>
      </c>
      <c r="P283" t="n">
        <v>0</v>
      </c>
      <c r="Q283" t="n">
        <v>0</v>
      </c>
      <c r="R283" s="2" t="inlineStr"/>
    </row>
    <row r="284" ht="15" customHeight="1">
      <c r="A284" t="inlineStr">
        <is>
          <t>A 26054-2021</t>
        </is>
      </c>
      <c r="B284" s="1" t="n">
        <v>44344</v>
      </c>
      <c r="C284" s="1" t="n">
        <v>45364</v>
      </c>
      <c r="D284" t="inlineStr">
        <is>
          <t>DALARNAS LÄN</t>
        </is>
      </c>
      <c r="E284" t="inlineStr">
        <is>
          <t>LUDVIKA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29000-2021</t>
        </is>
      </c>
      <c r="B285" s="1" t="n">
        <v>44358</v>
      </c>
      <c r="C285" s="1" t="n">
        <v>45364</v>
      </c>
      <c r="D285" t="inlineStr">
        <is>
          <t>DALARNAS LÄN</t>
        </is>
      </c>
      <c r="E285" t="inlineStr">
        <is>
          <t>LUDVIKA</t>
        </is>
      </c>
      <c r="F285" t="inlineStr">
        <is>
          <t>Bergvik skog väst AB</t>
        </is>
      </c>
      <c r="G285" t="n">
        <v>0.5</v>
      </c>
      <c r="H285" t="n">
        <v>0</v>
      </c>
      <c r="I285" t="n">
        <v>0</v>
      </c>
      <c r="J285" t="n">
        <v>0</v>
      </c>
      <c r="K285" t="n">
        <v>0</v>
      </c>
      <c r="L285" t="n">
        <v>0</v>
      </c>
      <c r="M285" t="n">
        <v>0</v>
      </c>
      <c r="N285" t="n">
        <v>0</v>
      </c>
      <c r="O285" t="n">
        <v>0</v>
      </c>
      <c r="P285" t="n">
        <v>0</v>
      </c>
      <c r="Q285" t="n">
        <v>0</v>
      </c>
      <c r="R285" s="2" t="inlineStr"/>
    </row>
    <row r="286" ht="15" customHeight="1">
      <c r="A286" t="inlineStr">
        <is>
          <t>A 29789-2021</t>
        </is>
      </c>
      <c r="B286" s="1" t="n">
        <v>44362</v>
      </c>
      <c r="C286" s="1" t="n">
        <v>45364</v>
      </c>
      <c r="D286" t="inlineStr">
        <is>
          <t>DALARNAS LÄN</t>
        </is>
      </c>
      <c r="E286" t="inlineStr">
        <is>
          <t>LUDVIKA</t>
        </is>
      </c>
      <c r="F286" t="inlineStr">
        <is>
          <t>Övriga Aktiebolag</t>
        </is>
      </c>
      <c r="G286" t="n">
        <v>0.9</v>
      </c>
      <c r="H286" t="n">
        <v>0</v>
      </c>
      <c r="I286" t="n">
        <v>0</v>
      </c>
      <c r="J286" t="n">
        <v>0</v>
      </c>
      <c r="K286" t="n">
        <v>0</v>
      </c>
      <c r="L286" t="n">
        <v>0</v>
      </c>
      <c r="M286" t="n">
        <v>0</v>
      </c>
      <c r="N286" t="n">
        <v>0</v>
      </c>
      <c r="O286" t="n">
        <v>0</v>
      </c>
      <c r="P286" t="n">
        <v>0</v>
      </c>
      <c r="Q286" t="n">
        <v>0</v>
      </c>
      <c r="R286" s="2" t="inlineStr"/>
    </row>
    <row r="287" ht="15" customHeight="1">
      <c r="A287" t="inlineStr">
        <is>
          <t>A 30502-2021</t>
        </is>
      </c>
      <c r="B287" s="1" t="n">
        <v>44364</v>
      </c>
      <c r="C287" s="1" t="n">
        <v>45364</v>
      </c>
      <c r="D287" t="inlineStr">
        <is>
          <t>DALARNAS LÄN</t>
        </is>
      </c>
      <c r="E287" t="inlineStr">
        <is>
          <t>LUDVIKA</t>
        </is>
      </c>
      <c r="F287" t="inlineStr">
        <is>
          <t>Bergvik skog väst AB</t>
        </is>
      </c>
      <c r="G287" t="n">
        <v>0.9</v>
      </c>
      <c r="H287" t="n">
        <v>0</v>
      </c>
      <c r="I287" t="n">
        <v>0</v>
      </c>
      <c r="J287" t="n">
        <v>0</v>
      </c>
      <c r="K287" t="n">
        <v>0</v>
      </c>
      <c r="L287" t="n">
        <v>0</v>
      </c>
      <c r="M287" t="n">
        <v>0</v>
      </c>
      <c r="N287" t="n">
        <v>0</v>
      </c>
      <c r="O287" t="n">
        <v>0</v>
      </c>
      <c r="P287" t="n">
        <v>0</v>
      </c>
      <c r="Q287" t="n">
        <v>0</v>
      </c>
      <c r="R287" s="2" t="inlineStr"/>
    </row>
    <row r="288" ht="15" customHeight="1">
      <c r="A288" t="inlineStr">
        <is>
          <t>A 31086-2021</t>
        </is>
      </c>
      <c r="B288" s="1" t="n">
        <v>44368</v>
      </c>
      <c r="C288" s="1" t="n">
        <v>45364</v>
      </c>
      <c r="D288" t="inlineStr">
        <is>
          <t>DALARNAS LÄN</t>
        </is>
      </c>
      <c r="E288" t="inlineStr">
        <is>
          <t>LUDVIKA</t>
        </is>
      </c>
      <c r="G288" t="n">
        <v>0.8</v>
      </c>
      <c r="H288" t="n">
        <v>0</v>
      </c>
      <c r="I288" t="n">
        <v>0</v>
      </c>
      <c r="J288" t="n">
        <v>0</v>
      </c>
      <c r="K288" t="n">
        <v>0</v>
      </c>
      <c r="L288" t="n">
        <v>0</v>
      </c>
      <c r="M288" t="n">
        <v>0</v>
      </c>
      <c r="N288" t="n">
        <v>0</v>
      </c>
      <c r="O288" t="n">
        <v>0</v>
      </c>
      <c r="P288" t="n">
        <v>0</v>
      </c>
      <c r="Q288" t="n">
        <v>0</v>
      </c>
      <c r="R288" s="2" t="inlineStr"/>
    </row>
    <row r="289" ht="15" customHeight="1">
      <c r="A289" t="inlineStr">
        <is>
          <t>A 31465-2021</t>
        </is>
      </c>
      <c r="B289" s="1" t="n">
        <v>44369</v>
      </c>
      <c r="C289" s="1" t="n">
        <v>45364</v>
      </c>
      <c r="D289" t="inlineStr">
        <is>
          <t>DALARNAS LÄN</t>
        </is>
      </c>
      <c r="E289" t="inlineStr">
        <is>
          <t>LUDVIKA</t>
        </is>
      </c>
      <c r="F289" t="inlineStr">
        <is>
          <t>Naturvårdsverket</t>
        </is>
      </c>
      <c r="G289" t="n">
        <v>2.4</v>
      </c>
      <c r="H289" t="n">
        <v>0</v>
      </c>
      <c r="I289" t="n">
        <v>0</v>
      </c>
      <c r="J289" t="n">
        <v>0</v>
      </c>
      <c r="K289" t="n">
        <v>0</v>
      </c>
      <c r="L289" t="n">
        <v>0</v>
      </c>
      <c r="M289" t="n">
        <v>0</v>
      </c>
      <c r="N289" t="n">
        <v>0</v>
      </c>
      <c r="O289" t="n">
        <v>0</v>
      </c>
      <c r="P289" t="n">
        <v>0</v>
      </c>
      <c r="Q289" t="n">
        <v>0</v>
      </c>
      <c r="R289" s="2" t="inlineStr"/>
    </row>
    <row r="290" ht="15" customHeight="1">
      <c r="A290" t="inlineStr">
        <is>
          <t>A 31550-2021</t>
        </is>
      </c>
      <c r="B290" s="1" t="n">
        <v>44369</v>
      </c>
      <c r="C290" s="1" t="n">
        <v>45364</v>
      </c>
      <c r="D290" t="inlineStr">
        <is>
          <t>DALARNAS LÄN</t>
        </is>
      </c>
      <c r="E290" t="inlineStr">
        <is>
          <t>LUDVIKA</t>
        </is>
      </c>
      <c r="G290" t="n">
        <v>2.8</v>
      </c>
      <c r="H290" t="n">
        <v>0</v>
      </c>
      <c r="I290" t="n">
        <v>0</v>
      </c>
      <c r="J290" t="n">
        <v>0</v>
      </c>
      <c r="K290" t="n">
        <v>0</v>
      </c>
      <c r="L290" t="n">
        <v>0</v>
      </c>
      <c r="M290" t="n">
        <v>0</v>
      </c>
      <c r="N290" t="n">
        <v>0</v>
      </c>
      <c r="O290" t="n">
        <v>0</v>
      </c>
      <c r="P290" t="n">
        <v>0</v>
      </c>
      <c r="Q290" t="n">
        <v>0</v>
      </c>
      <c r="R290" s="2" t="inlineStr"/>
    </row>
    <row r="291" ht="15" customHeight="1">
      <c r="A291" t="inlineStr">
        <is>
          <t>A 31921-2021</t>
        </is>
      </c>
      <c r="B291" s="1" t="n">
        <v>44370</v>
      </c>
      <c r="C291" s="1" t="n">
        <v>45364</v>
      </c>
      <c r="D291" t="inlineStr">
        <is>
          <t>DALARNAS LÄN</t>
        </is>
      </c>
      <c r="E291" t="inlineStr">
        <is>
          <t>LUDVIKA</t>
        </is>
      </c>
      <c r="F291" t="inlineStr">
        <is>
          <t>Övriga Aktiebolag</t>
        </is>
      </c>
      <c r="G291" t="n">
        <v>0.5</v>
      </c>
      <c r="H291" t="n">
        <v>0</v>
      </c>
      <c r="I291" t="n">
        <v>0</v>
      </c>
      <c r="J291" t="n">
        <v>0</v>
      </c>
      <c r="K291" t="n">
        <v>0</v>
      </c>
      <c r="L291" t="n">
        <v>0</v>
      </c>
      <c r="M291" t="n">
        <v>0</v>
      </c>
      <c r="N291" t="n">
        <v>0</v>
      </c>
      <c r="O291" t="n">
        <v>0</v>
      </c>
      <c r="P291" t="n">
        <v>0</v>
      </c>
      <c r="Q291" t="n">
        <v>0</v>
      </c>
      <c r="R291" s="2" t="inlineStr"/>
    </row>
    <row r="292" ht="15" customHeight="1">
      <c r="A292" t="inlineStr">
        <is>
          <t>A 31925-2021</t>
        </is>
      </c>
      <c r="B292" s="1" t="n">
        <v>44370</v>
      </c>
      <c r="C292" s="1" t="n">
        <v>45364</v>
      </c>
      <c r="D292" t="inlineStr">
        <is>
          <t>DALARNAS LÄN</t>
        </is>
      </c>
      <c r="E292" t="inlineStr">
        <is>
          <t>LUDVIKA</t>
        </is>
      </c>
      <c r="F292" t="inlineStr">
        <is>
          <t>Övriga Aktiebolag</t>
        </is>
      </c>
      <c r="G292" t="n">
        <v>3.2</v>
      </c>
      <c r="H292" t="n">
        <v>0</v>
      </c>
      <c r="I292" t="n">
        <v>0</v>
      </c>
      <c r="J292" t="n">
        <v>0</v>
      </c>
      <c r="K292" t="n">
        <v>0</v>
      </c>
      <c r="L292" t="n">
        <v>0</v>
      </c>
      <c r="M292" t="n">
        <v>0</v>
      </c>
      <c r="N292" t="n">
        <v>0</v>
      </c>
      <c r="O292" t="n">
        <v>0</v>
      </c>
      <c r="P292" t="n">
        <v>0</v>
      </c>
      <c r="Q292" t="n">
        <v>0</v>
      </c>
      <c r="R292" s="2" t="inlineStr"/>
    </row>
    <row r="293" ht="15" customHeight="1">
      <c r="A293" t="inlineStr">
        <is>
          <t>A 32015-2021</t>
        </is>
      </c>
      <c r="B293" s="1" t="n">
        <v>44370</v>
      </c>
      <c r="C293" s="1" t="n">
        <v>45364</v>
      </c>
      <c r="D293" t="inlineStr">
        <is>
          <t>DALARNAS LÄN</t>
        </is>
      </c>
      <c r="E293" t="inlineStr">
        <is>
          <t>LUDVIKA</t>
        </is>
      </c>
      <c r="G293" t="n">
        <v>1.6</v>
      </c>
      <c r="H293" t="n">
        <v>0</v>
      </c>
      <c r="I293" t="n">
        <v>0</v>
      </c>
      <c r="J293" t="n">
        <v>0</v>
      </c>
      <c r="K293" t="n">
        <v>0</v>
      </c>
      <c r="L293" t="n">
        <v>0</v>
      </c>
      <c r="M293" t="n">
        <v>0</v>
      </c>
      <c r="N293" t="n">
        <v>0</v>
      </c>
      <c r="O293" t="n">
        <v>0</v>
      </c>
      <c r="P293" t="n">
        <v>0</v>
      </c>
      <c r="Q293" t="n">
        <v>0</v>
      </c>
      <c r="R293" s="2" t="inlineStr"/>
    </row>
    <row r="294" ht="15" customHeight="1">
      <c r="A294" t="inlineStr">
        <is>
          <t>A 32054-2021</t>
        </is>
      </c>
      <c r="B294" s="1" t="n">
        <v>44370</v>
      </c>
      <c r="C294" s="1" t="n">
        <v>45364</v>
      </c>
      <c r="D294" t="inlineStr">
        <is>
          <t>DALARNAS LÄN</t>
        </is>
      </c>
      <c r="E294" t="inlineStr">
        <is>
          <t>LUDVIKA</t>
        </is>
      </c>
      <c r="G294" t="n">
        <v>28.7</v>
      </c>
      <c r="H294" t="n">
        <v>0</v>
      </c>
      <c r="I294" t="n">
        <v>0</v>
      </c>
      <c r="J294" t="n">
        <v>0</v>
      </c>
      <c r="K294" t="n">
        <v>0</v>
      </c>
      <c r="L294" t="n">
        <v>0</v>
      </c>
      <c r="M294" t="n">
        <v>0</v>
      </c>
      <c r="N294" t="n">
        <v>0</v>
      </c>
      <c r="O294" t="n">
        <v>0</v>
      </c>
      <c r="P294" t="n">
        <v>0</v>
      </c>
      <c r="Q294" t="n">
        <v>0</v>
      </c>
      <c r="R294" s="2" t="inlineStr"/>
    </row>
    <row r="295" ht="15" customHeight="1">
      <c r="A295" t="inlineStr">
        <is>
          <t>A 33032-2021</t>
        </is>
      </c>
      <c r="B295" s="1" t="n">
        <v>44376</v>
      </c>
      <c r="C295" s="1" t="n">
        <v>45364</v>
      </c>
      <c r="D295" t="inlineStr">
        <is>
          <t>DALARNAS LÄN</t>
        </is>
      </c>
      <c r="E295" t="inlineStr">
        <is>
          <t>LUDVIKA</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33416-2021</t>
        </is>
      </c>
      <c r="B296" s="1" t="n">
        <v>44377</v>
      </c>
      <c r="C296" s="1" t="n">
        <v>45364</v>
      </c>
      <c r="D296" t="inlineStr">
        <is>
          <t>DALARNAS LÄN</t>
        </is>
      </c>
      <c r="E296" t="inlineStr">
        <is>
          <t>LUDVIKA</t>
        </is>
      </c>
      <c r="F296" t="inlineStr">
        <is>
          <t>Bergvik skog väst AB</t>
        </is>
      </c>
      <c r="G296" t="n">
        <v>8</v>
      </c>
      <c r="H296" t="n">
        <v>0</v>
      </c>
      <c r="I296" t="n">
        <v>0</v>
      </c>
      <c r="J296" t="n">
        <v>0</v>
      </c>
      <c r="K296" t="n">
        <v>0</v>
      </c>
      <c r="L296" t="n">
        <v>0</v>
      </c>
      <c r="M296" t="n">
        <v>0</v>
      </c>
      <c r="N296" t="n">
        <v>0</v>
      </c>
      <c r="O296" t="n">
        <v>0</v>
      </c>
      <c r="P296" t="n">
        <v>0</v>
      </c>
      <c r="Q296" t="n">
        <v>0</v>
      </c>
      <c r="R296" s="2" t="inlineStr"/>
    </row>
    <row r="297" ht="15" customHeight="1">
      <c r="A297" t="inlineStr">
        <is>
          <t>A 33505-2021</t>
        </is>
      </c>
      <c r="B297" s="1" t="n">
        <v>44377</v>
      </c>
      <c r="C297" s="1" t="n">
        <v>45364</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35731-2021</t>
        </is>
      </c>
      <c r="B298" s="1" t="n">
        <v>44386</v>
      </c>
      <c r="C298" s="1" t="n">
        <v>45364</v>
      </c>
      <c r="D298" t="inlineStr">
        <is>
          <t>DALARNAS LÄN</t>
        </is>
      </c>
      <c r="E298" t="inlineStr">
        <is>
          <t>LUDVIKA</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35720-2021</t>
        </is>
      </c>
      <c r="B299" s="1" t="n">
        <v>44386</v>
      </c>
      <c r="C299" s="1" t="n">
        <v>45364</v>
      </c>
      <c r="D299" t="inlineStr">
        <is>
          <t>DALARNAS LÄN</t>
        </is>
      </c>
      <c r="E299" t="inlineStr">
        <is>
          <t>LUDVIKA</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35892-2021</t>
        </is>
      </c>
      <c r="B300" s="1" t="n">
        <v>44387</v>
      </c>
      <c r="C300" s="1" t="n">
        <v>45364</v>
      </c>
      <c r="D300" t="inlineStr">
        <is>
          <t>DALARNAS LÄN</t>
        </is>
      </c>
      <c r="E300" t="inlineStr">
        <is>
          <t>LUDVIKA</t>
        </is>
      </c>
      <c r="F300" t="inlineStr">
        <is>
          <t>Kyrkan</t>
        </is>
      </c>
      <c r="G300" t="n">
        <v>1</v>
      </c>
      <c r="H300" t="n">
        <v>0</v>
      </c>
      <c r="I300" t="n">
        <v>0</v>
      </c>
      <c r="J300" t="n">
        <v>0</v>
      </c>
      <c r="K300" t="n">
        <v>0</v>
      </c>
      <c r="L300" t="n">
        <v>0</v>
      </c>
      <c r="M300" t="n">
        <v>0</v>
      </c>
      <c r="N300" t="n">
        <v>0</v>
      </c>
      <c r="O300" t="n">
        <v>0</v>
      </c>
      <c r="P300" t="n">
        <v>0</v>
      </c>
      <c r="Q300" t="n">
        <v>0</v>
      </c>
      <c r="R300" s="2" t="inlineStr"/>
    </row>
    <row r="301" ht="15" customHeight="1">
      <c r="A301" t="inlineStr">
        <is>
          <t>A 36862-2021</t>
        </is>
      </c>
      <c r="B301" s="1" t="n">
        <v>44393</v>
      </c>
      <c r="C301" s="1" t="n">
        <v>45364</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37384-2021</t>
        </is>
      </c>
      <c r="B302" s="1" t="n">
        <v>44397</v>
      </c>
      <c r="C302" s="1" t="n">
        <v>45364</v>
      </c>
      <c r="D302" t="inlineStr">
        <is>
          <t>DALARNAS LÄN</t>
        </is>
      </c>
      <c r="E302" t="inlineStr">
        <is>
          <t>LUDVIKA</t>
        </is>
      </c>
      <c r="F302" t="inlineStr">
        <is>
          <t>Kommuner</t>
        </is>
      </c>
      <c r="G302" t="n">
        <v>5.5</v>
      </c>
      <c r="H302" t="n">
        <v>0</v>
      </c>
      <c r="I302" t="n">
        <v>0</v>
      </c>
      <c r="J302" t="n">
        <v>0</v>
      </c>
      <c r="K302" t="n">
        <v>0</v>
      </c>
      <c r="L302" t="n">
        <v>0</v>
      </c>
      <c r="M302" t="n">
        <v>0</v>
      </c>
      <c r="N302" t="n">
        <v>0</v>
      </c>
      <c r="O302" t="n">
        <v>0</v>
      </c>
      <c r="P302" t="n">
        <v>0</v>
      </c>
      <c r="Q302" t="n">
        <v>0</v>
      </c>
      <c r="R302" s="2" t="inlineStr"/>
    </row>
    <row r="303" ht="15" customHeight="1">
      <c r="A303" t="inlineStr">
        <is>
          <t>A 38084-2021</t>
        </is>
      </c>
      <c r="B303" s="1" t="n">
        <v>44404</v>
      </c>
      <c r="C303" s="1" t="n">
        <v>45364</v>
      </c>
      <c r="D303" t="inlineStr">
        <is>
          <t>DALARNAS LÄN</t>
        </is>
      </c>
      <c r="E303" t="inlineStr">
        <is>
          <t>LUDVIKA</t>
        </is>
      </c>
      <c r="G303" t="n">
        <v>0.3</v>
      </c>
      <c r="H303" t="n">
        <v>0</v>
      </c>
      <c r="I303" t="n">
        <v>0</v>
      </c>
      <c r="J303" t="n">
        <v>0</v>
      </c>
      <c r="K303" t="n">
        <v>0</v>
      </c>
      <c r="L303" t="n">
        <v>0</v>
      </c>
      <c r="M303" t="n">
        <v>0</v>
      </c>
      <c r="N303" t="n">
        <v>0</v>
      </c>
      <c r="O303" t="n">
        <v>0</v>
      </c>
      <c r="P303" t="n">
        <v>0</v>
      </c>
      <c r="Q303" t="n">
        <v>0</v>
      </c>
      <c r="R303" s="2" t="inlineStr"/>
    </row>
    <row r="304" ht="15" customHeight="1">
      <c r="A304" t="inlineStr">
        <is>
          <t>A 38223-2021</t>
        </is>
      </c>
      <c r="B304" s="1" t="n">
        <v>44405</v>
      </c>
      <c r="C304" s="1" t="n">
        <v>45364</v>
      </c>
      <c r="D304" t="inlineStr">
        <is>
          <t>DALARNAS LÄN</t>
        </is>
      </c>
      <c r="E304" t="inlineStr">
        <is>
          <t>LUDVIKA</t>
        </is>
      </c>
      <c r="G304" t="n">
        <v>2.3</v>
      </c>
      <c r="H304" t="n">
        <v>0</v>
      </c>
      <c r="I304" t="n">
        <v>0</v>
      </c>
      <c r="J304" t="n">
        <v>0</v>
      </c>
      <c r="K304" t="n">
        <v>0</v>
      </c>
      <c r="L304" t="n">
        <v>0</v>
      </c>
      <c r="M304" t="n">
        <v>0</v>
      </c>
      <c r="N304" t="n">
        <v>0</v>
      </c>
      <c r="O304" t="n">
        <v>0</v>
      </c>
      <c r="P304" t="n">
        <v>0</v>
      </c>
      <c r="Q304" t="n">
        <v>0</v>
      </c>
      <c r="R304" s="2" t="inlineStr"/>
    </row>
    <row r="305" ht="15" customHeight="1">
      <c r="A305" t="inlineStr">
        <is>
          <t>A 38371-2021</t>
        </is>
      </c>
      <c r="B305" s="1" t="n">
        <v>44406</v>
      </c>
      <c r="C305" s="1" t="n">
        <v>45364</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39247-2021</t>
        </is>
      </c>
      <c r="B306" s="1" t="n">
        <v>44413</v>
      </c>
      <c r="C306" s="1" t="n">
        <v>45364</v>
      </c>
      <c r="D306" t="inlineStr">
        <is>
          <t>DALARNAS LÄN</t>
        </is>
      </c>
      <c r="E306" t="inlineStr">
        <is>
          <t>LUDVIKA</t>
        </is>
      </c>
      <c r="G306" t="n">
        <v>6</v>
      </c>
      <c r="H306" t="n">
        <v>0</v>
      </c>
      <c r="I306" t="n">
        <v>0</v>
      </c>
      <c r="J306" t="n">
        <v>0</v>
      </c>
      <c r="K306" t="n">
        <v>0</v>
      </c>
      <c r="L306" t="n">
        <v>0</v>
      </c>
      <c r="M306" t="n">
        <v>0</v>
      </c>
      <c r="N306" t="n">
        <v>0</v>
      </c>
      <c r="O306" t="n">
        <v>0</v>
      </c>
      <c r="P306" t="n">
        <v>0</v>
      </c>
      <c r="Q306" t="n">
        <v>0</v>
      </c>
      <c r="R306" s="2" t="inlineStr"/>
    </row>
    <row r="307" ht="15" customHeight="1">
      <c r="A307" t="inlineStr">
        <is>
          <t>A 40582-2021</t>
        </is>
      </c>
      <c r="B307" s="1" t="n">
        <v>44420</v>
      </c>
      <c r="C307" s="1" t="n">
        <v>45364</v>
      </c>
      <c r="D307" t="inlineStr">
        <is>
          <t>DALARNAS LÄN</t>
        </is>
      </c>
      <c r="E307" t="inlineStr">
        <is>
          <t>LUDVIKA</t>
        </is>
      </c>
      <c r="G307" t="n">
        <v>2.2</v>
      </c>
      <c r="H307" t="n">
        <v>0</v>
      </c>
      <c r="I307" t="n">
        <v>0</v>
      </c>
      <c r="J307" t="n">
        <v>0</v>
      </c>
      <c r="K307" t="n">
        <v>0</v>
      </c>
      <c r="L307" t="n">
        <v>0</v>
      </c>
      <c r="M307" t="n">
        <v>0</v>
      </c>
      <c r="N307" t="n">
        <v>0</v>
      </c>
      <c r="O307" t="n">
        <v>0</v>
      </c>
      <c r="P307" t="n">
        <v>0</v>
      </c>
      <c r="Q307" t="n">
        <v>0</v>
      </c>
      <c r="R307" s="2" t="inlineStr"/>
    </row>
    <row r="308" ht="15" customHeight="1">
      <c r="A308" t="inlineStr">
        <is>
          <t>A 43115-2021</t>
        </is>
      </c>
      <c r="B308" s="1" t="n">
        <v>44431</v>
      </c>
      <c r="C308" s="1" t="n">
        <v>45364</v>
      </c>
      <c r="D308" t="inlineStr">
        <is>
          <t>DALARNAS LÄN</t>
        </is>
      </c>
      <c r="E308" t="inlineStr">
        <is>
          <t>LUDVIKA</t>
        </is>
      </c>
      <c r="G308" t="n">
        <v>3.5</v>
      </c>
      <c r="H308" t="n">
        <v>0</v>
      </c>
      <c r="I308" t="n">
        <v>0</v>
      </c>
      <c r="J308" t="n">
        <v>0</v>
      </c>
      <c r="K308" t="n">
        <v>0</v>
      </c>
      <c r="L308" t="n">
        <v>0</v>
      </c>
      <c r="M308" t="n">
        <v>0</v>
      </c>
      <c r="N308" t="n">
        <v>0</v>
      </c>
      <c r="O308" t="n">
        <v>0</v>
      </c>
      <c r="P308" t="n">
        <v>0</v>
      </c>
      <c r="Q308" t="n">
        <v>0</v>
      </c>
      <c r="R308" s="2" t="inlineStr"/>
    </row>
    <row r="309" ht="15" customHeight="1">
      <c r="A309" t="inlineStr">
        <is>
          <t>A 43907-2021</t>
        </is>
      </c>
      <c r="B309" s="1" t="n">
        <v>44434</v>
      </c>
      <c r="C309" s="1" t="n">
        <v>45364</v>
      </c>
      <c r="D309" t="inlineStr">
        <is>
          <t>DALARNAS LÄN</t>
        </is>
      </c>
      <c r="E309" t="inlineStr">
        <is>
          <t>LUDVIKA</t>
        </is>
      </c>
      <c r="F309" t="inlineStr">
        <is>
          <t>Bergvik skog väst AB</t>
        </is>
      </c>
      <c r="G309" t="n">
        <v>2.5</v>
      </c>
      <c r="H309" t="n">
        <v>0</v>
      </c>
      <c r="I309" t="n">
        <v>0</v>
      </c>
      <c r="J309" t="n">
        <v>0</v>
      </c>
      <c r="K309" t="n">
        <v>0</v>
      </c>
      <c r="L309" t="n">
        <v>0</v>
      </c>
      <c r="M309" t="n">
        <v>0</v>
      </c>
      <c r="N309" t="n">
        <v>0</v>
      </c>
      <c r="O309" t="n">
        <v>0</v>
      </c>
      <c r="P309" t="n">
        <v>0</v>
      </c>
      <c r="Q309" t="n">
        <v>0</v>
      </c>
      <c r="R309" s="2" t="inlineStr"/>
    </row>
    <row r="310" ht="15" customHeight="1">
      <c r="A310" t="inlineStr">
        <is>
          <t>A 44270-2021</t>
        </is>
      </c>
      <c r="B310" s="1" t="n">
        <v>44435</v>
      </c>
      <c r="C310" s="1" t="n">
        <v>45364</v>
      </c>
      <c r="D310" t="inlineStr">
        <is>
          <t>DALARNAS LÄN</t>
        </is>
      </c>
      <c r="E310" t="inlineStr">
        <is>
          <t>LUDVIKA</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44264-2021</t>
        </is>
      </c>
      <c r="B311" s="1" t="n">
        <v>44435</v>
      </c>
      <c r="C311" s="1" t="n">
        <v>45364</v>
      </c>
      <c r="D311" t="inlineStr">
        <is>
          <t>DALARNAS LÄN</t>
        </is>
      </c>
      <c r="E311" t="inlineStr">
        <is>
          <t>LUDVIKA</t>
        </is>
      </c>
      <c r="F311" t="inlineStr">
        <is>
          <t>Bergvik skog väst AB</t>
        </is>
      </c>
      <c r="G311" t="n">
        <v>1.8</v>
      </c>
      <c r="H311" t="n">
        <v>0</v>
      </c>
      <c r="I311" t="n">
        <v>0</v>
      </c>
      <c r="J311" t="n">
        <v>0</v>
      </c>
      <c r="K311" t="n">
        <v>0</v>
      </c>
      <c r="L311" t="n">
        <v>0</v>
      </c>
      <c r="M311" t="n">
        <v>0</v>
      </c>
      <c r="N311" t="n">
        <v>0</v>
      </c>
      <c r="O311" t="n">
        <v>0</v>
      </c>
      <c r="P311" t="n">
        <v>0</v>
      </c>
      <c r="Q311" t="n">
        <v>0</v>
      </c>
      <c r="R311" s="2" t="inlineStr"/>
    </row>
    <row r="312" ht="15" customHeight="1">
      <c r="A312" t="inlineStr">
        <is>
          <t>A 45313-2021</t>
        </is>
      </c>
      <c r="B312" s="1" t="n">
        <v>44439</v>
      </c>
      <c r="C312" s="1" t="n">
        <v>45364</v>
      </c>
      <c r="D312" t="inlineStr">
        <is>
          <t>DALARNAS LÄN</t>
        </is>
      </c>
      <c r="E312" t="inlineStr">
        <is>
          <t>LUDVIKA</t>
        </is>
      </c>
      <c r="G312" t="n">
        <v>2.6</v>
      </c>
      <c r="H312" t="n">
        <v>0</v>
      </c>
      <c r="I312" t="n">
        <v>0</v>
      </c>
      <c r="J312" t="n">
        <v>0</v>
      </c>
      <c r="K312" t="n">
        <v>0</v>
      </c>
      <c r="L312" t="n">
        <v>0</v>
      </c>
      <c r="M312" t="n">
        <v>0</v>
      </c>
      <c r="N312" t="n">
        <v>0</v>
      </c>
      <c r="O312" t="n">
        <v>0</v>
      </c>
      <c r="P312" t="n">
        <v>0</v>
      </c>
      <c r="Q312" t="n">
        <v>0</v>
      </c>
      <c r="R312" s="2" t="inlineStr"/>
    </row>
    <row r="313" ht="15" customHeight="1">
      <c r="A313" t="inlineStr">
        <is>
          <t>A 45309-2021</t>
        </is>
      </c>
      <c r="B313" s="1" t="n">
        <v>44439</v>
      </c>
      <c r="C313" s="1" t="n">
        <v>45364</v>
      </c>
      <c r="D313" t="inlineStr">
        <is>
          <t>DALARNAS LÄN</t>
        </is>
      </c>
      <c r="E313" t="inlineStr">
        <is>
          <t>LUDVIKA</t>
        </is>
      </c>
      <c r="G313" t="n">
        <v>1.9</v>
      </c>
      <c r="H313" t="n">
        <v>0</v>
      </c>
      <c r="I313" t="n">
        <v>0</v>
      </c>
      <c r="J313" t="n">
        <v>0</v>
      </c>
      <c r="K313" t="n">
        <v>0</v>
      </c>
      <c r="L313" t="n">
        <v>0</v>
      </c>
      <c r="M313" t="n">
        <v>0</v>
      </c>
      <c r="N313" t="n">
        <v>0</v>
      </c>
      <c r="O313" t="n">
        <v>0</v>
      </c>
      <c r="P313" t="n">
        <v>0</v>
      </c>
      <c r="Q313" t="n">
        <v>0</v>
      </c>
      <c r="R313" s="2" t="inlineStr"/>
    </row>
    <row r="314" ht="15" customHeight="1">
      <c r="A314" t="inlineStr">
        <is>
          <t>A 45995-2021</t>
        </is>
      </c>
      <c r="B314" s="1" t="n">
        <v>44441</v>
      </c>
      <c r="C314" s="1" t="n">
        <v>45364</v>
      </c>
      <c r="D314" t="inlineStr">
        <is>
          <t>DALARNAS LÄN</t>
        </is>
      </c>
      <c r="E314" t="inlineStr">
        <is>
          <t>LUDVIKA</t>
        </is>
      </c>
      <c r="G314" t="n">
        <v>1.2</v>
      </c>
      <c r="H314" t="n">
        <v>0</v>
      </c>
      <c r="I314" t="n">
        <v>0</v>
      </c>
      <c r="J314" t="n">
        <v>0</v>
      </c>
      <c r="K314" t="n">
        <v>0</v>
      </c>
      <c r="L314" t="n">
        <v>0</v>
      </c>
      <c r="M314" t="n">
        <v>0</v>
      </c>
      <c r="N314" t="n">
        <v>0</v>
      </c>
      <c r="O314" t="n">
        <v>0</v>
      </c>
      <c r="P314" t="n">
        <v>0</v>
      </c>
      <c r="Q314" t="n">
        <v>0</v>
      </c>
      <c r="R314" s="2" t="inlineStr"/>
    </row>
    <row r="315" ht="15" customHeight="1">
      <c r="A315" t="inlineStr">
        <is>
          <t>A 47216-2021</t>
        </is>
      </c>
      <c r="B315" s="1" t="n">
        <v>44447</v>
      </c>
      <c r="C315" s="1" t="n">
        <v>45364</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48003-2021</t>
        </is>
      </c>
      <c r="B316" s="1" t="n">
        <v>44449</v>
      </c>
      <c r="C316" s="1" t="n">
        <v>45364</v>
      </c>
      <c r="D316" t="inlineStr">
        <is>
          <t>DALARNAS LÄN</t>
        </is>
      </c>
      <c r="E316" t="inlineStr">
        <is>
          <t>LUDVIKA</t>
        </is>
      </c>
      <c r="F316" t="inlineStr">
        <is>
          <t>Naturvårdsverket</t>
        </is>
      </c>
      <c r="G316" t="n">
        <v>0.8</v>
      </c>
      <c r="H316" t="n">
        <v>0</v>
      </c>
      <c r="I316" t="n">
        <v>0</v>
      </c>
      <c r="J316" t="n">
        <v>0</v>
      </c>
      <c r="K316" t="n">
        <v>0</v>
      </c>
      <c r="L316" t="n">
        <v>0</v>
      </c>
      <c r="M316" t="n">
        <v>0</v>
      </c>
      <c r="N316" t="n">
        <v>0</v>
      </c>
      <c r="O316" t="n">
        <v>0</v>
      </c>
      <c r="P316" t="n">
        <v>0</v>
      </c>
      <c r="Q316" t="n">
        <v>0</v>
      </c>
      <c r="R316" s="2" t="inlineStr"/>
    </row>
    <row r="317" ht="15" customHeight="1">
      <c r="A317" t="inlineStr">
        <is>
          <t>A 48580-2021</t>
        </is>
      </c>
      <c r="B317" s="1" t="n">
        <v>44452</v>
      </c>
      <c r="C317" s="1" t="n">
        <v>45364</v>
      </c>
      <c r="D317" t="inlineStr">
        <is>
          <t>DALARNAS LÄN</t>
        </is>
      </c>
      <c r="E317" t="inlineStr">
        <is>
          <t>LUDVIKA</t>
        </is>
      </c>
      <c r="G317" t="n">
        <v>1.3</v>
      </c>
      <c r="H317" t="n">
        <v>0</v>
      </c>
      <c r="I317" t="n">
        <v>0</v>
      </c>
      <c r="J317" t="n">
        <v>0</v>
      </c>
      <c r="K317" t="n">
        <v>0</v>
      </c>
      <c r="L317" t="n">
        <v>0</v>
      </c>
      <c r="M317" t="n">
        <v>0</v>
      </c>
      <c r="N317" t="n">
        <v>0</v>
      </c>
      <c r="O317" t="n">
        <v>0</v>
      </c>
      <c r="P317" t="n">
        <v>0</v>
      </c>
      <c r="Q317" t="n">
        <v>0</v>
      </c>
      <c r="R317" s="2" t="inlineStr"/>
    </row>
    <row r="318" ht="15" customHeight="1">
      <c r="A318" t="inlineStr">
        <is>
          <t>A 48942-2021</t>
        </is>
      </c>
      <c r="B318" s="1" t="n">
        <v>44453</v>
      </c>
      <c r="C318" s="1" t="n">
        <v>45364</v>
      </c>
      <c r="D318" t="inlineStr">
        <is>
          <t>DALARNAS LÄN</t>
        </is>
      </c>
      <c r="E318" t="inlineStr">
        <is>
          <t>LUDVIKA</t>
        </is>
      </c>
      <c r="F318" t="inlineStr">
        <is>
          <t>Naturvårdsverket</t>
        </is>
      </c>
      <c r="G318" t="n">
        <v>1.4</v>
      </c>
      <c r="H318" t="n">
        <v>0</v>
      </c>
      <c r="I318" t="n">
        <v>0</v>
      </c>
      <c r="J318" t="n">
        <v>0</v>
      </c>
      <c r="K318" t="n">
        <v>0</v>
      </c>
      <c r="L318" t="n">
        <v>0</v>
      </c>
      <c r="M318" t="n">
        <v>0</v>
      </c>
      <c r="N318" t="n">
        <v>0</v>
      </c>
      <c r="O318" t="n">
        <v>0</v>
      </c>
      <c r="P318" t="n">
        <v>0</v>
      </c>
      <c r="Q318" t="n">
        <v>0</v>
      </c>
      <c r="R318" s="2" t="inlineStr"/>
    </row>
    <row r="319" ht="15" customHeight="1">
      <c r="A319" t="inlineStr">
        <is>
          <t>A 50004-2021</t>
        </is>
      </c>
      <c r="B319" s="1" t="n">
        <v>44456</v>
      </c>
      <c r="C319" s="1" t="n">
        <v>45364</v>
      </c>
      <c r="D319" t="inlineStr">
        <is>
          <t>DALARNAS LÄN</t>
        </is>
      </c>
      <c r="E319" t="inlineStr">
        <is>
          <t>LUDVIKA</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49977-2021</t>
        </is>
      </c>
      <c r="B320" s="1" t="n">
        <v>44456</v>
      </c>
      <c r="C320" s="1" t="n">
        <v>45364</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50273-2021</t>
        </is>
      </c>
      <c r="B321" s="1" t="n">
        <v>44459</v>
      </c>
      <c r="C321" s="1" t="n">
        <v>45364</v>
      </c>
      <c r="D321" t="inlineStr">
        <is>
          <t>DALARNAS LÄN</t>
        </is>
      </c>
      <c r="E321" t="inlineStr">
        <is>
          <t>LUDVIKA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50347-2021</t>
        </is>
      </c>
      <c r="B322" s="1" t="n">
        <v>44459</v>
      </c>
      <c r="C322" s="1" t="n">
        <v>45364</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50995-2021</t>
        </is>
      </c>
      <c r="B323" s="1" t="n">
        <v>44460</v>
      </c>
      <c r="C323" s="1" t="n">
        <v>45364</v>
      </c>
      <c r="D323" t="inlineStr">
        <is>
          <t>DALARNAS LÄN</t>
        </is>
      </c>
      <c r="E323" t="inlineStr">
        <is>
          <t>LUDVIKA</t>
        </is>
      </c>
      <c r="G323" t="n">
        <v>0.9</v>
      </c>
      <c r="H323" t="n">
        <v>0</v>
      </c>
      <c r="I323" t="n">
        <v>0</v>
      </c>
      <c r="J323" t="n">
        <v>0</v>
      </c>
      <c r="K323" t="n">
        <v>0</v>
      </c>
      <c r="L323" t="n">
        <v>0</v>
      </c>
      <c r="M323" t="n">
        <v>0</v>
      </c>
      <c r="N323" t="n">
        <v>0</v>
      </c>
      <c r="O323" t="n">
        <v>0</v>
      </c>
      <c r="P323" t="n">
        <v>0</v>
      </c>
      <c r="Q323" t="n">
        <v>0</v>
      </c>
      <c r="R323" s="2" t="inlineStr"/>
    </row>
    <row r="324" ht="15" customHeight="1">
      <c r="A324" t="inlineStr">
        <is>
          <t>A 51485-2021</t>
        </is>
      </c>
      <c r="B324" s="1" t="n">
        <v>44462</v>
      </c>
      <c r="C324" s="1" t="n">
        <v>45364</v>
      </c>
      <c r="D324" t="inlineStr">
        <is>
          <t>DALARNAS LÄN</t>
        </is>
      </c>
      <c r="E324" t="inlineStr">
        <is>
          <t>LUDVIKA</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54279-2021</t>
        </is>
      </c>
      <c r="B325" s="1" t="n">
        <v>44470</v>
      </c>
      <c r="C325" s="1" t="n">
        <v>45364</v>
      </c>
      <c r="D325" t="inlineStr">
        <is>
          <t>DALARNAS LÄN</t>
        </is>
      </c>
      <c r="E325" t="inlineStr">
        <is>
          <t>LUDVIKA</t>
        </is>
      </c>
      <c r="G325" t="n">
        <v>1.1</v>
      </c>
      <c r="H325" t="n">
        <v>0</v>
      </c>
      <c r="I325" t="n">
        <v>0</v>
      </c>
      <c r="J325" t="n">
        <v>0</v>
      </c>
      <c r="K325" t="n">
        <v>0</v>
      </c>
      <c r="L325" t="n">
        <v>0</v>
      </c>
      <c r="M325" t="n">
        <v>0</v>
      </c>
      <c r="N325" t="n">
        <v>0</v>
      </c>
      <c r="O325" t="n">
        <v>0</v>
      </c>
      <c r="P325" t="n">
        <v>0</v>
      </c>
      <c r="Q325" t="n">
        <v>0</v>
      </c>
      <c r="R325" s="2" t="inlineStr"/>
    </row>
    <row r="326" ht="15" customHeight="1">
      <c r="A326" t="inlineStr">
        <is>
          <t>A 55633-2021</t>
        </is>
      </c>
      <c r="B326" s="1" t="n">
        <v>44476</v>
      </c>
      <c r="C326" s="1" t="n">
        <v>45364</v>
      </c>
      <c r="D326" t="inlineStr">
        <is>
          <t>DALARNAS LÄN</t>
        </is>
      </c>
      <c r="E326" t="inlineStr">
        <is>
          <t>LUDVIKA</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56113-2021</t>
        </is>
      </c>
      <c r="B327" s="1" t="n">
        <v>44477</v>
      </c>
      <c r="C327" s="1" t="n">
        <v>45364</v>
      </c>
      <c r="D327" t="inlineStr">
        <is>
          <t>DALARNAS LÄN</t>
        </is>
      </c>
      <c r="E327" t="inlineStr">
        <is>
          <t>LUDVIKA</t>
        </is>
      </c>
      <c r="F327" t="inlineStr">
        <is>
          <t>Bergvik skog väst AB</t>
        </is>
      </c>
      <c r="G327" t="n">
        <v>6.5</v>
      </c>
      <c r="H327" t="n">
        <v>0</v>
      </c>
      <c r="I327" t="n">
        <v>0</v>
      </c>
      <c r="J327" t="n">
        <v>0</v>
      </c>
      <c r="K327" t="n">
        <v>0</v>
      </c>
      <c r="L327" t="n">
        <v>0</v>
      </c>
      <c r="M327" t="n">
        <v>0</v>
      </c>
      <c r="N327" t="n">
        <v>0</v>
      </c>
      <c r="O327" t="n">
        <v>0</v>
      </c>
      <c r="P327" t="n">
        <v>0</v>
      </c>
      <c r="Q327" t="n">
        <v>0</v>
      </c>
      <c r="R327" s="2" t="inlineStr"/>
    </row>
    <row r="328" ht="15" customHeight="1">
      <c r="A328" t="inlineStr">
        <is>
          <t>A 56119-2021</t>
        </is>
      </c>
      <c r="B328" s="1" t="n">
        <v>44477</v>
      </c>
      <c r="C328" s="1" t="n">
        <v>45364</v>
      </c>
      <c r="D328" t="inlineStr">
        <is>
          <t>DALARNAS LÄN</t>
        </is>
      </c>
      <c r="E328" t="inlineStr">
        <is>
          <t>LUDVIKA</t>
        </is>
      </c>
      <c r="G328" t="n">
        <v>1.3</v>
      </c>
      <c r="H328" t="n">
        <v>0</v>
      </c>
      <c r="I328" t="n">
        <v>0</v>
      </c>
      <c r="J328" t="n">
        <v>0</v>
      </c>
      <c r="K328" t="n">
        <v>0</v>
      </c>
      <c r="L328" t="n">
        <v>0</v>
      </c>
      <c r="M328" t="n">
        <v>0</v>
      </c>
      <c r="N328" t="n">
        <v>0</v>
      </c>
      <c r="O328" t="n">
        <v>0</v>
      </c>
      <c r="P328" t="n">
        <v>0</v>
      </c>
      <c r="Q328" t="n">
        <v>0</v>
      </c>
      <c r="R328" s="2" t="inlineStr"/>
    </row>
    <row r="329" ht="15" customHeight="1">
      <c r="A329" t="inlineStr">
        <is>
          <t>A 56996-2021</t>
        </is>
      </c>
      <c r="B329" s="1" t="n">
        <v>44482</v>
      </c>
      <c r="C329" s="1" t="n">
        <v>45364</v>
      </c>
      <c r="D329" t="inlineStr">
        <is>
          <t>DALARNAS LÄN</t>
        </is>
      </c>
      <c r="E329" t="inlineStr">
        <is>
          <t>LUDVIKA</t>
        </is>
      </c>
      <c r="G329" t="n">
        <v>0.9</v>
      </c>
      <c r="H329" t="n">
        <v>0</v>
      </c>
      <c r="I329" t="n">
        <v>0</v>
      </c>
      <c r="J329" t="n">
        <v>0</v>
      </c>
      <c r="K329" t="n">
        <v>0</v>
      </c>
      <c r="L329" t="n">
        <v>0</v>
      </c>
      <c r="M329" t="n">
        <v>0</v>
      </c>
      <c r="N329" t="n">
        <v>0</v>
      </c>
      <c r="O329" t="n">
        <v>0</v>
      </c>
      <c r="P329" t="n">
        <v>0</v>
      </c>
      <c r="Q329" t="n">
        <v>0</v>
      </c>
      <c r="R329" s="2" t="inlineStr"/>
    </row>
    <row r="330" ht="15" customHeight="1">
      <c r="A330" t="inlineStr">
        <is>
          <t>A 57076-2021</t>
        </is>
      </c>
      <c r="B330" s="1" t="n">
        <v>44482</v>
      </c>
      <c r="C330" s="1" t="n">
        <v>45364</v>
      </c>
      <c r="D330" t="inlineStr">
        <is>
          <t>DALARNAS LÄN</t>
        </is>
      </c>
      <c r="E330" t="inlineStr">
        <is>
          <t>LUDVIKA</t>
        </is>
      </c>
      <c r="G330" t="n">
        <v>4.7</v>
      </c>
      <c r="H330" t="n">
        <v>0</v>
      </c>
      <c r="I330" t="n">
        <v>0</v>
      </c>
      <c r="J330" t="n">
        <v>0</v>
      </c>
      <c r="K330" t="n">
        <v>0</v>
      </c>
      <c r="L330" t="n">
        <v>0</v>
      </c>
      <c r="M330" t="n">
        <v>0</v>
      </c>
      <c r="N330" t="n">
        <v>0</v>
      </c>
      <c r="O330" t="n">
        <v>0</v>
      </c>
      <c r="P330" t="n">
        <v>0</v>
      </c>
      <c r="Q330" t="n">
        <v>0</v>
      </c>
      <c r="R330" s="2" t="inlineStr"/>
    </row>
    <row r="331" ht="15" customHeight="1">
      <c r="A331" t="inlineStr">
        <is>
          <t>A 57002-2021</t>
        </is>
      </c>
      <c r="B331" s="1" t="n">
        <v>44482</v>
      </c>
      <c r="C331" s="1" t="n">
        <v>45364</v>
      </c>
      <c r="D331" t="inlineStr">
        <is>
          <t>DALARNAS LÄN</t>
        </is>
      </c>
      <c r="E331" t="inlineStr">
        <is>
          <t>LUDVIKA</t>
        </is>
      </c>
      <c r="G331" t="n">
        <v>3.5</v>
      </c>
      <c r="H331" t="n">
        <v>0</v>
      </c>
      <c r="I331" t="n">
        <v>0</v>
      </c>
      <c r="J331" t="n">
        <v>0</v>
      </c>
      <c r="K331" t="n">
        <v>0</v>
      </c>
      <c r="L331" t="n">
        <v>0</v>
      </c>
      <c r="M331" t="n">
        <v>0</v>
      </c>
      <c r="N331" t="n">
        <v>0</v>
      </c>
      <c r="O331" t="n">
        <v>0</v>
      </c>
      <c r="P331" t="n">
        <v>0</v>
      </c>
      <c r="Q331" t="n">
        <v>0</v>
      </c>
      <c r="R331" s="2" t="inlineStr"/>
    </row>
    <row r="332" ht="15" customHeight="1">
      <c r="A332" t="inlineStr">
        <is>
          <t>A 62152-2021</t>
        </is>
      </c>
      <c r="B332" s="1" t="n">
        <v>44502</v>
      </c>
      <c r="C332" s="1" t="n">
        <v>45364</v>
      </c>
      <c r="D332" t="inlineStr">
        <is>
          <t>DALARNAS LÄN</t>
        </is>
      </c>
      <c r="E332" t="inlineStr">
        <is>
          <t>LUDVIKA</t>
        </is>
      </c>
      <c r="G332" t="n">
        <v>6.1</v>
      </c>
      <c r="H332" t="n">
        <v>0</v>
      </c>
      <c r="I332" t="n">
        <v>0</v>
      </c>
      <c r="J332" t="n">
        <v>0</v>
      </c>
      <c r="K332" t="n">
        <v>0</v>
      </c>
      <c r="L332" t="n">
        <v>0</v>
      </c>
      <c r="M332" t="n">
        <v>0</v>
      </c>
      <c r="N332" t="n">
        <v>0</v>
      </c>
      <c r="O332" t="n">
        <v>0</v>
      </c>
      <c r="P332" t="n">
        <v>0</v>
      </c>
      <c r="Q332" t="n">
        <v>0</v>
      </c>
      <c r="R332" s="2" t="inlineStr"/>
    </row>
    <row r="333" ht="15" customHeight="1">
      <c r="A333" t="inlineStr">
        <is>
          <t>A 62467-2021</t>
        </is>
      </c>
      <c r="B333" s="1" t="n">
        <v>44503</v>
      </c>
      <c r="C333" s="1" t="n">
        <v>45364</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63267-2021</t>
        </is>
      </c>
      <c r="B334" s="1" t="n">
        <v>44508</v>
      </c>
      <c r="C334" s="1" t="n">
        <v>45364</v>
      </c>
      <c r="D334" t="inlineStr">
        <is>
          <t>DALARNAS LÄN</t>
        </is>
      </c>
      <c r="E334" t="inlineStr">
        <is>
          <t>LUDVIKA</t>
        </is>
      </c>
      <c r="F334" t="inlineStr">
        <is>
          <t>Bergvik skog väst AB</t>
        </is>
      </c>
      <c r="G334" t="n">
        <v>0.2</v>
      </c>
      <c r="H334" t="n">
        <v>0</v>
      </c>
      <c r="I334" t="n">
        <v>0</v>
      </c>
      <c r="J334" t="n">
        <v>0</v>
      </c>
      <c r="K334" t="n">
        <v>0</v>
      </c>
      <c r="L334" t="n">
        <v>0</v>
      </c>
      <c r="M334" t="n">
        <v>0</v>
      </c>
      <c r="N334" t="n">
        <v>0</v>
      </c>
      <c r="O334" t="n">
        <v>0</v>
      </c>
      <c r="P334" t="n">
        <v>0</v>
      </c>
      <c r="Q334" t="n">
        <v>0</v>
      </c>
      <c r="R334" s="2" t="inlineStr"/>
    </row>
    <row r="335" ht="15" customHeight="1">
      <c r="A335" t="inlineStr">
        <is>
          <t>A 65195-2021</t>
        </is>
      </c>
      <c r="B335" s="1" t="n">
        <v>44515</v>
      </c>
      <c r="C335" s="1" t="n">
        <v>45364</v>
      </c>
      <c r="D335" t="inlineStr">
        <is>
          <t>DALARNAS LÄN</t>
        </is>
      </c>
      <c r="E335" t="inlineStr">
        <is>
          <t>LUDVIKA</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65699-2021</t>
        </is>
      </c>
      <c r="B336" s="1" t="n">
        <v>44516</v>
      </c>
      <c r="C336" s="1" t="n">
        <v>45364</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65667-2021</t>
        </is>
      </c>
      <c r="B337" s="1" t="n">
        <v>44516</v>
      </c>
      <c r="C337" s="1" t="n">
        <v>45364</v>
      </c>
      <c r="D337" t="inlineStr">
        <is>
          <t>DALARNAS LÄN</t>
        </is>
      </c>
      <c r="E337" t="inlineStr">
        <is>
          <t>LUDVIKA</t>
        </is>
      </c>
      <c r="G337" t="n">
        <v>1.5</v>
      </c>
      <c r="H337" t="n">
        <v>0</v>
      </c>
      <c r="I337" t="n">
        <v>0</v>
      </c>
      <c r="J337" t="n">
        <v>0</v>
      </c>
      <c r="K337" t="n">
        <v>0</v>
      </c>
      <c r="L337" t="n">
        <v>0</v>
      </c>
      <c r="M337" t="n">
        <v>0</v>
      </c>
      <c r="N337" t="n">
        <v>0</v>
      </c>
      <c r="O337" t="n">
        <v>0</v>
      </c>
      <c r="P337" t="n">
        <v>0</v>
      </c>
      <c r="Q337" t="n">
        <v>0</v>
      </c>
      <c r="R337" s="2" t="inlineStr"/>
    </row>
    <row r="338" ht="15" customHeight="1">
      <c r="A338" t="inlineStr">
        <is>
          <t>A 65685-2021</t>
        </is>
      </c>
      <c r="B338" s="1" t="n">
        <v>44516</v>
      </c>
      <c r="C338" s="1" t="n">
        <v>45364</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70046-2021</t>
        </is>
      </c>
      <c r="B339" s="1" t="n">
        <v>44533</v>
      </c>
      <c r="C339" s="1" t="n">
        <v>45364</v>
      </c>
      <c r="D339" t="inlineStr">
        <is>
          <t>DALARNAS LÄN</t>
        </is>
      </c>
      <c r="E339" t="inlineStr">
        <is>
          <t>LUDVIKA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70291-2021</t>
        </is>
      </c>
      <c r="B340" s="1" t="n">
        <v>44536</v>
      </c>
      <c r="C340" s="1" t="n">
        <v>45364</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71639-2021</t>
        </is>
      </c>
      <c r="B341" s="1" t="n">
        <v>44543</v>
      </c>
      <c r="C341" s="1" t="n">
        <v>45364</v>
      </c>
      <c r="D341" t="inlineStr">
        <is>
          <t>DALARNAS LÄN</t>
        </is>
      </c>
      <c r="E341" t="inlineStr">
        <is>
          <t>LUDVIKA</t>
        </is>
      </c>
      <c r="F341" t="inlineStr">
        <is>
          <t>Naturvårdsverket</t>
        </is>
      </c>
      <c r="G341" t="n">
        <v>2.2</v>
      </c>
      <c r="H341" t="n">
        <v>0</v>
      </c>
      <c r="I341" t="n">
        <v>0</v>
      </c>
      <c r="J341" t="n">
        <v>0</v>
      </c>
      <c r="K341" t="n">
        <v>0</v>
      </c>
      <c r="L341" t="n">
        <v>0</v>
      </c>
      <c r="M341" t="n">
        <v>0</v>
      </c>
      <c r="N341" t="n">
        <v>0</v>
      </c>
      <c r="O341" t="n">
        <v>0</v>
      </c>
      <c r="P341" t="n">
        <v>0</v>
      </c>
      <c r="Q341" t="n">
        <v>0</v>
      </c>
      <c r="R341" s="2" t="inlineStr"/>
    </row>
    <row r="342" ht="15" customHeight="1">
      <c r="A342" t="inlineStr">
        <is>
          <t>A 73167-2021</t>
        </is>
      </c>
      <c r="B342" s="1" t="n">
        <v>44550</v>
      </c>
      <c r="C342" s="1" t="n">
        <v>45364</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73703-2021</t>
        </is>
      </c>
      <c r="B343" s="1" t="n">
        <v>44552</v>
      </c>
      <c r="C343" s="1" t="n">
        <v>45364</v>
      </c>
      <c r="D343" t="inlineStr">
        <is>
          <t>DALARNAS LÄN</t>
        </is>
      </c>
      <c r="E343" t="inlineStr">
        <is>
          <t>LUDVIKA</t>
        </is>
      </c>
      <c r="G343" t="n">
        <v>0.5</v>
      </c>
      <c r="H343" t="n">
        <v>0</v>
      </c>
      <c r="I343" t="n">
        <v>0</v>
      </c>
      <c r="J343" t="n">
        <v>0</v>
      </c>
      <c r="K343" t="n">
        <v>0</v>
      </c>
      <c r="L343" t="n">
        <v>0</v>
      </c>
      <c r="M343" t="n">
        <v>0</v>
      </c>
      <c r="N343" t="n">
        <v>0</v>
      </c>
      <c r="O343" t="n">
        <v>0</v>
      </c>
      <c r="P343" t="n">
        <v>0</v>
      </c>
      <c r="Q343" t="n">
        <v>0</v>
      </c>
      <c r="R343" s="2" t="inlineStr"/>
    </row>
    <row r="344" ht="15" customHeight="1">
      <c r="A344" t="inlineStr">
        <is>
          <t>A 74427-2021</t>
        </is>
      </c>
      <c r="B344" s="1" t="n">
        <v>44560</v>
      </c>
      <c r="C344" s="1" t="n">
        <v>45364</v>
      </c>
      <c r="D344" t="inlineStr">
        <is>
          <t>DALARNAS LÄN</t>
        </is>
      </c>
      <c r="E344" t="inlineStr">
        <is>
          <t>LUDVIKA</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74432-2021</t>
        </is>
      </c>
      <c r="B345" s="1" t="n">
        <v>44560</v>
      </c>
      <c r="C345" s="1" t="n">
        <v>45364</v>
      </c>
      <c r="D345" t="inlineStr">
        <is>
          <t>DALARNAS LÄN</t>
        </is>
      </c>
      <c r="E345" t="inlineStr">
        <is>
          <t>LUDVIKA</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1299-2022</t>
        </is>
      </c>
      <c r="B346" s="1" t="n">
        <v>44572</v>
      </c>
      <c r="C346" s="1" t="n">
        <v>45364</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2422-2022</t>
        </is>
      </c>
      <c r="B347" s="1" t="n">
        <v>44579</v>
      </c>
      <c r="C347" s="1" t="n">
        <v>45364</v>
      </c>
      <c r="D347" t="inlineStr">
        <is>
          <t>DALARNAS LÄN</t>
        </is>
      </c>
      <c r="E347" t="inlineStr">
        <is>
          <t>LUDVIKA</t>
        </is>
      </c>
      <c r="G347" t="n">
        <v>2.3</v>
      </c>
      <c r="H347" t="n">
        <v>0</v>
      </c>
      <c r="I347" t="n">
        <v>0</v>
      </c>
      <c r="J347" t="n">
        <v>0</v>
      </c>
      <c r="K347" t="n">
        <v>0</v>
      </c>
      <c r="L347" t="n">
        <v>0</v>
      </c>
      <c r="M347" t="n">
        <v>0</v>
      </c>
      <c r="N347" t="n">
        <v>0</v>
      </c>
      <c r="O347" t="n">
        <v>0</v>
      </c>
      <c r="P347" t="n">
        <v>0</v>
      </c>
      <c r="Q347" t="n">
        <v>0</v>
      </c>
      <c r="R347" s="2" t="inlineStr"/>
    </row>
    <row r="348" ht="15" customHeight="1">
      <c r="A348" t="inlineStr">
        <is>
          <t>A 2491-2022</t>
        </is>
      </c>
      <c r="B348" s="1" t="n">
        <v>44579</v>
      </c>
      <c r="C348" s="1" t="n">
        <v>45364</v>
      </c>
      <c r="D348" t="inlineStr">
        <is>
          <t>DALARNAS LÄN</t>
        </is>
      </c>
      <c r="E348" t="inlineStr">
        <is>
          <t>LUDVIKA</t>
        </is>
      </c>
      <c r="G348" t="n">
        <v>2.8</v>
      </c>
      <c r="H348" t="n">
        <v>0</v>
      </c>
      <c r="I348" t="n">
        <v>0</v>
      </c>
      <c r="J348" t="n">
        <v>0</v>
      </c>
      <c r="K348" t="n">
        <v>0</v>
      </c>
      <c r="L348" t="n">
        <v>0</v>
      </c>
      <c r="M348" t="n">
        <v>0</v>
      </c>
      <c r="N348" t="n">
        <v>0</v>
      </c>
      <c r="O348" t="n">
        <v>0</v>
      </c>
      <c r="P348" t="n">
        <v>0</v>
      </c>
      <c r="Q348" t="n">
        <v>0</v>
      </c>
      <c r="R348" s="2" t="inlineStr"/>
    </row>
    <row r="349" ht="15" customHeight="1">
      <c r="A349" t="inlineStr">
        <is>
          <t>A 2838-2022</t>
        </is>
      </c>
      <c r="B349" s="1" t="n">
        <v>44581</v>
      </c>
      <c r="C349" s="1" t="n">
        <v>45364</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4551-2022</t>
        </is>
      </c>
      <c r="B350" s="1" t="n">
        <v>44590</v>
      </c>
      <c r="C350" s="1" t="n">
        <v>45364</v>
      </c>
      <c r="D350" t="inlineStr">
        <is>
          <t>DALARNAS LÄN</t>
        </is>
      </c>
      <c r="E350" t="inlineStr">
        <is>
          <t>LUDVIKA</t>
        </is>
      </c>
      <c r="G350" t="n">
        <v>1.1</v>
      </c>
      <c r="H350" t="n">
        <v>0</v>
      </c>
      <c r="I350" t="n">
        <v>0</v>
      </c>
      <c r="J350" t="n">
        <v>0</v>
      </c>
      <c r="K350" t="n">
        <v>0</v>
      </c>
      <c r="L350" t="n">
        <v>0</v>
      </c>
      <c r="M350" t="n">
        <v>0</v>
      </c>
      <c r="N350" t="n">
        <v>0</v>
      </c>
      <c r="O350" t="n">
        <v>0</v>
      </c>
      <c r="P350" t="n">
        <v>0</v>
      </c>
      <c r="Q350" t="n">
        <v>0</v>
      </c>
      <c r="R350" s="2" t="inlineStr"/>
    </row>
    <row r="351" ht="15" customHeight="1">
      <c r="A351" t="inlineStr">
        <is>
          <t>A 5970-2022</t>
        </is>
      </c>
      <c r="B351" s="1" t="n">
        <v>44599</v>
      </c>
      <c r="C351" s="1" t="n">
        <v>45364</v>
      </c>
      <c r="D351" t="inlineStr">
        <is>
          <t>DALARNAS LÄN</t>
        </is>
      </c>
      <c r="E351" t="inlineStr">
        <is>
          <t>LUDVIKA</t>
        </is>
      </c>
      <c r="G351" t="n">
        <v>8.4</v>
      </c>
      <c r="H351" t="n">
        <v>0</v>
      </c>
      <c r="I351" t="n">
        <v>0</v>
      </c>
      <c r="J351" t="n">
        <v>0</v>
      </c>
      <c r="K351" t="n">
        <v>0</v>
      </c>
      <c r="L351" t="n">
        <v>0</v>
      </c>
      <c r="M351" t="n">
        <v>0</v>
      </c>
      <c r="N351" t="n">
        <v>0</v>
      </c>
      <c r="O351" t="n">
        <v>0</v>
      </c>
      <c r="P351" t="n">
        <v>0</v>
      </c>
      <c r="Q351" t="n">
        <v>0</v>
      </c>
      <c r="R351" s="2" t="inlineStr"/>
    </row>
    <row r="352" ht="15" customHeight="1">
      <c r="A352" t="inlineStr">
        <is>
          <t>A 6364-2022</t>
        </is>
      </c>
      <c r="B352" s="1" t="n">
        <v>44600</v>
      </c>
      <c r="C352" s="1" t="n">
        <v>45364</v>
      </c>
      <c r="D352" t="inlineStr">
        <is>
          <t>DALARNAS LÄN</t>
        </is>
      </c>
      <c r="E352" t="inlineStr">
        <is>
          <t>LUDVIKA</t>
        </is>
      </c>
      <c r="F352" t="inlineStr">
        <is>
          <t>Övriga Aktiebolag</t>
        </is>
      </c>
      <c r="G352" t="n">
        <v>52.3</v>
      </c>
      <c r="H352" t="n">
        <v>0</v>
      </c>
      <c r="I352" t="n">
        <v>0</v>
      </c>
      <c r="J352" t="n">
        <v>0</v>
      </c>
      <c r="K352" t="n">
        <v>0</v>
      </c>
      <c r="L352" t="n">
        <v>0</v>
      </c>
      <c r="M352" t="n">
        <v>0</v>
      </c>
      <c r="N352" t="n">
        <v>0</v>
      </c>
      <c r="O352" t="n">
        <v>0</v>
      </c>
      <c r="P352" t="n">
        <v>0</v>
      </c>
      <c r="Q352" t="n">
        <v>0</v>
      </c>
      <c r="R352" s="2" t="inlineStr"/>
    </row>
    <row r="353" ht="15" customHeight="1">
      <c r="A353" t="inlineStr">
        <is>
          <t>A 6836-2022</t>
        </is>
      </c>
      <c r="B353" s="1" t="n">
        <v>44602</v>
      </c>
      <c r="C353" s="1" t="n">
        <v>45364</v>
      </c>
      <c r="D353" t="inlineStr">
        <is>
          <t>DALARNAS LÄN</t>
        </is>
      </c>
      <c r="E353" t="inlineStr">
        <is>
          <t>LUDVIKA</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7011-2022</t>
        </is>
      </c>
      <c r="B354" s="1" t="n">
        <v>44603</v>
      </c>
      <c r="C354" s="1" t="n">
        <v>45364</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9464-2022</t>
        </is>
      </c>
      <c r="B355" s="1" t="n">
        <v>44616</v>
      </c>
      <c r="C355" s="1" t="n">
        <v>45364</v>
      </c>
      <c r="D355" t="inlineStr">
        <is>
          <t>DALARNAS LÄN</t>
        </is>
      </c>
      <c r="E355" t="inlineStr">
        <is>
          <t>LUDVIKA</t>
        </is>
      </c>
      <c r="G355" t="n">
        <v>4.1</v>
      </c>
      <c r="H355" t="n">
        <v>0</v>
      </c>
      <c r="I355" t="n">
        <v>0</v>
      </c>
      <c r="J355" t="n">
        <v>0</v>
      </c>
      <c r="K355" t="n">
        <v>0</v>
      </c>
      <c r="L355" t="n">
        <v>0</v>
      </c>
      <c r="M355" t="n">
        <v>0</v>
      </c>
      <c r="N355" t="n">
        <v>0</v>
      </c>
      <c r="O355" t="n">
        <v>0</v>
      </c>
      <c r="P355" t="n">
        <v>0</v>
      </c>
      <c r="Q355" t="n">
        <v>0</v>
      </c>
      <c r="R355" s="2" t="inlineStr"/>
    </row>
    <row r="356" ht="15" customHeight="1">
      <c r="A356" t="inlineStr">
        <is>
          <t>A 13051-2022</t>
        </is>
      </c>
      <c r="B356" s="1" t="n">
        <v>44643</v>
      </c>
      <c r="C356" s="1" t="n">
        <v>45364</v>
      </c>
      <c r="D356" t="inlineStr">
        <is>
          <t>DALARNAS LÄN</t>
        </is>
      </c>
      <c r="E356" t="inlineStr">
        <is>
          <t>LUDVIKA</t>
        </is>
      </c>
      <c r="G356" t="n">
        <v>1.4</v>
      </c>
      <c r="H356" t="n">
        <v>0</v>
      </c>
      <c r="I356" t="n">
        <v>0</v>
      </c>
      <c r="J356" t="n">
        <v>0</v>
      </c>
      <c r="K356" t="n">
        <v>0</v>
      </c>
      <c r="L356" t="n">
        <v>0</v>
      </c>
      <c r="M356" t="n">
        <v>0</v>
      </c>
      <c r="N356" t="n">
        <v>0</v>
      </c>
      <c r="O356" t="n">
        <v>0</v>
      </c>
      <c r="P356" t="n">
        <v>0</v>
      </c>
      <c r="Q356" t="n">
        <v>0</v>
      </c>
      <c r="R356" s="2" t="inlineStr"/>
    </row>
    <row r="357" ht="15" customHeight="1">
      <c r="A357" t="inlineStr">
        <is>
          <t>A 14387-2022</t>
        </is>
      </c>
      <c r="B357" s="1" t="n">
        <v>44652</v>
      </c>
      <c r="C357" s="1" t="n">
        <v>45364</v>
      </c>
      <c r="D357" t="inlineStr">
        <is>
          <t>DALARNAS LÄN</t>
        </is>
      </c>
      <c r="E357" t="inlineStr">
        <is>
          <t>LUDVIKA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14872-2022</t>
        </is>
      </c>
      <c r="B358" s="1" t="n">
        <v>44656</v>
      </c>
      <c r="C358" s="1" t="n">
        <v>45364</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15145-2022</t>
        </is>
      </c>
      <c r="B359" s="1" t="n">
        <v>44658</v>
      </c>
      <c r="C359" s="1" t="n">
        <v>45364</v>
      </c>
      <c r="D359" t="inlineStr">
        <is>
          <t>DALARNAS LÄN</t>
        </is>
      </c>
      <c r="E359" t="inlineStr">
        <is>
          <t>LUDVIKA</t>
        </is>
      </c>
      <c r="G359" t="n">
        <v>3.7</v>
      </c>
      <c r="H359" t="n">
        <v>0</v>
      </c>
      <c r="I359" t="n">
        <v>0</v>
      </c>
      <c r="J359" t="n">
        <v>0</v>
      </c>
      <c r="K359" t="n">
        <v>0</v>
      </c>
      <c r="L359" t="n">
        <v>0</v>
      </c>
      <c r="M359" t="n">
        <v>0</v>
      </c>
      <c r="N359" t="n">
        <v>0</v>
      </c>
      <c r="O359" t="n">
        <v>0</v>
      </c>
      <c r="P359" t="n">
        <v>0</v>
      </c>
      <c r="Q359" t="n">
        <v>0</v>
      </c>
      <c r="R359" s="2" t="inlineStr"/>
    </row>
    <row r="360" ht="15" customHeight="1">
      <c r="A360" t="inlineStr">
        <is>
          <t>A 15617-2022</t>
        </is>
      </c>
      <c r="B360" s="1" t="n">
        <v>44662</v>
      </c>
      <c r="C360" s="1" t="n">
        <v>45364</v>
      </c>
      <c r="D360" t="inlineStr">
        <is>
          <t>DALARNAS LÄN</t>
        </is>
      </c>
      <c r="E360" t="inlineStr">
        <is>
          <t>LUDVIKA</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17677-2022</t>
        </is>
      </c>
      <c r="B361" s="1" t="n">
        <v>44680</v>
      </c>
      <c r="C361" s="1" t="n">
        <v>45364</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18289-2022</t>
        </is>
      </c>
      <c r="B362" s="1" t="n">
        <v>44685</v>
      </c>
      <c r="C362" s="1" t="n">
        <v>45364</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18703-2022</t>
        </is>
      </c>
      <c r="B363" s="1" t="n">
        <v>44687</v>
      </c>
      <c r="C363" s="1" t="n">
        <v>45364</v>
      </c>
      <c r="D363" t="inlineStr">
        <is>
          <t>DALARNAS LÄN</t>
        </is>
      </c>
      <c r="E363" t="inlineStr">
        <is>
          <t>LUDVIKA</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18724-2022</t>
        </is>
      </c>
      <c r="B364" s="1" t="n">
        <v>44687</v>
      </c>
      <c r="C364" s="1" t="n">
        <v>45364</v>
      </c>
      <c r="D364" t="inlineStr">
        <is>
          <t>DALARNAS LÄN</t>
        </is>
      </c>
      <c r="E364" t="inlineStr">
        <is>
          <t>LUDVIKA</t>
        </is>
      </c>
      <c r="G364" t="n">
        <v>4.3</v>
      </c>
      <c r="H364" t="n">
        <v>0</v>
      </c>
      <c r="I364" t="n">
        <v>0</v>
      </c>
      <c r="J364" t="n">
        <v>0</v>
      </c>
      <c r="K364" t="n">
        <v>0</v>
      </c>
      <c r="L364" t="n">
        <v>0</v>
      </c>
      <c r="M364" t="n">
        <v>0</v>
      </c>
      <c r="N364" t="n">
        <v>0</v>
      </c>
      <c r="O364" t="n">
        <v>0</v>
      </c>
      <c r="P364" t="n">
        <v>0</v>
      </c>
      <c r="Q364" t="n">
        <v>0</v>
      </c>
      <c r="R364" s="2" t="inlineStr"/>
    </row>
    <row r="365" ht="15" customHeight="1">
      <c r="A365" t="inlineStr">
        <is>
          <t>A 20656-2022</t>
        </is>
      </c>
      <c r="B365" s="1" t="n">
        <v>44700</v>
      </c>
      <c r="C365" s="1" t="n">
        <v>45364</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20852-2022</t>
        </is>
      </c>
      <c r="B366" s="1" t="n">
        <v>44701</v>
      </c>
      <c r="C366" s="1" t="n">
        <v>45364</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21466-2022</t>
        </is>
      </c>
      <c r="B367" s="1" t="n">
        <v>44706</v>
      </c>
      <c r="C367" s="1" t="n">
        <v>45364</v>
      </c>
      <c r="D367" t="inlineStr">
        <is>
          <t>DALARNAS LÄN</t>
        </is>
      </c>
      <c r="E367" t="inlineStr">
        <is>
          <t>LUDVIKA</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21502-2022</t>
        </is>
      </c>
      <c r="B368" s="1" t="n">
        <v>44706</v>
      </c>
      <c r="C368" s="1" t="n">
        <v>45364</v>
      </c>
      <c r="D368" t="inlineStr">
        <is>
          <t>DALARNAS LÄN</t>
        </is>
      </c>
      <c r="E368" t="inlineStr">
        <is>
          <t>LUDVIKA</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21741-2022</t>
        </is>
      </c>
      <c r="B369" s="1" t="n">
        <v>44708</v>
      </c>
      <c r="C369" s="1" t="n">
        <v>45364</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22000-2022</t>
        </is>
      </c>
      <c r="B370" s="1" t="n">
        <v>44711</v>
      </c>
      <c r="C370" s="1" t="n">
        <v>45364</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22920-2022</t>
        </is>
      </c>
      <c r="B371" s="1" t="n">
        <v>44715</v>
      </c>
      <c r="C371" s="1" t="n">
        <v>45364</v>
      </c>
      <c r="D371" t="inlineStr">
        <is>
          <t>DALARNAS LÄN</t>
        </is>
      </c>
      <c r="E371" t="inlineStr">
        <is>
          <t>LUDVIKA</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23258-2022</t>
        </is>
      </c>
      <c r="B372" s="1" t="n">
        <v>44720</v>
      </c>
      <c r="C372" s="1" t="n">
        <v>45364</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23345-2022</t>
        </is>
      </c>
      <c r="B373" s="1" t="n">
        <v>44720</v>
      </c>
      <c r="C373" s="1" t="n">
        <v>45364</v>
      </c>
      <c r="D373" t="inlineStr">
        <is>
          <t>DALARNAS LÄN</t>
        </is>
      </c>
      <c r="E373" t="inlineStr">
        <is>
          <t>LUDVIKA</t>
        </is>
      </c>
      <c r="G373" t="n">
        <v>0.5</v>
      </c>
      <c r="H373" t="n">
        <v>0</v>
      </c>
      <c r="I373" t="n">
        <v>0</v>
      </c>
      <c r="J373" t="n">
        <v>0</v>
      </c>
      <c r="K373" t="n">
        <v>0</v>
      </c>
      <c r="L373" t="n">
        <v>0</v>
      </c>
      <c r="M373" t="n">
        <v>0</v>
      </c>
      <c r="N373" t="n">
        <v>0</v>
      </c>
      <c r="O373" t="n">
        <v>0</v>
      </c>
      <c r="P373" t="n">
        <v>0</v>
      </c>
      <c r="Q373" t="n">
        <v>0</v>
      </c>
      <c r="R373" s="2" t="inlineStr"/>
    </row>
    <row r="374" ht="15" customHeight="1">
      <c r="A374" t="inlineStr">
        <is>
          <t>A 24160-2022</t>
        </is>
      </c>
      <c r="B374" s="1" t="n">
        <v>44725</v>
      </c>
      <c r="C374" s="1" t="n">
        <v>45364</v>
      </c>
      <c r="D374" t="inlineStr">
        <is>
          <t>DALARNAS LÄN</t>
        </is>
      </c>
      <c r="E374" t="inlineStr">
        <is>
          <t>LUDVIKA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25095-2022</t>
        </is>
      </c>
      <c r="B375" s="1" t="n">
        <v>44729</v>
      </c>
      <c r="C375" s="1" t="n">
        <v>45364</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25243-2022</t>
        </is>
      </c>
      <c r="B376" s="1" t="n">
        <v>44730</v>
      </c>
      <c r="C376" s="1" t="n">
        <v>45364</v>
      </c>
      <c r="D376" t="inlineStr">
        <is>
          <t>DALARNAS LÄN</t>
        </is>
      </c>
      <c r="E376" t="inlineStr">
        <is>
          <t>LUDVIKA</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25272-2022</t>
        </is>
      </c>
      <c r="B377" s="1" t="n">
        <v>44730</v>
      </c>
      <c r="C377" s="1" t="n">
        <v>45364</v>
      </c>
      <c r="D377" t="inlineStr">
        <is>
          <t>DALARNAS LÄN</t>
        </is>
      </c>
      <c r="E377" t="inlineStr">
        <is>
          <t>LUDVIKA</t>
        </is>
      </c>
      <c r="F377" t="inlineStr">
        <is>
          <t>Bergvik skog väst AB</t>
        </is>
      </c>
      <c r="G377" t="n">
        <v>9.6</v>
      </c>
      <c r="H377" t="n">
        <v>0</v>
      </c>
      <c r="I377" t="n">
        <v>0</v>
      </c>
      <c r="J377" t="n">
        <v>0</v>
      </c>
      <c r="K377" t="n">
        <v>0</v>
      </c>
      <c r="L377" t="n">
        <v>0</v>
      </c>
      <c r="M377" t="n">
        <v>0</v>
      </c>
      <c r="N377" t="n">
        <v>0</v>
      </c>
      <c r="O377" t="n">
        <v>0</v>
      </c>
      <c r="P377" t="n">
        <v>0</v>
      </c>
      <c r="Q377" t="n">
        <v>0</v>
      </c>
      <c r="R377" s="2" t="inlineStr"/>
    </row>
    <row r="378" ht="15" customHeight="1">
      <c r="A378" t="inlineStr">
        <is>
          <t>A 25274-2022</t>
        </is>
      </c>
      <c r="B378" s="1" t="n">
        <v>44730</v>
      </c>
      <c r="C378" s="1" t="n">
        <v>45364</v>
      </c>
      <c r="D378" t="inlineStr">
        <is>
          <t>DALARNAS LÄN</t>
        </is>
      </c>
      <c r="E378" t="inlineStr">
        <is>
          <t>LUDVIKA</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25273-2022</t>
        </is>
      </c>
      <c r="B379" s="1" t="n">
        <v>44730</v>
      </c>
      <c r="C379" s="1" t="n">
        <v>45364</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25292-2022</t>
        </is>
      </c>
      <c r="B380" s="1" t="n">
        <v>44731</v>
      </c>
      <c r="C380" s="1" t="n">
        <v>45364</v>
      </c>
      <c r="D380" t="inlineStr">
        <is>
          <t>DALARNAS LÄN</t>
        </is>
      </c>
      <c r="E380" t="inlineStr">
        <is>
          <t>LUDVIKA</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25296-2022</t>
        </is>
      </c>
      <c r="B381" s="1" t="n">
        <v>44731</v>
      </c>
      <c r="C381" s="1" t="n">
        <v>45364</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25300-2022</t>
        </is>
      </c>
      <c r="B382" s="1" t="n">
        <v>44731</v>
      </c>
      <c r="C382" s="1" t="n">
        <v>45364</v>
      </c>
      <c r="D382" t="inlineStr">
        <is>
          <t>DALARNAS LÄN</t>
        </is>
      </c>
      <c r="E382" t="inlineStr">
        <is>
          <t>LUDVIKA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25289-2022</t>
        </is>
      </c>
      <c r="B383" s="1" t="n">
        <v>44731</v>
      </c>
      <c r="C383" s="1" t="n">
        <v>45364</v>
      </c>
      <c r="D383" t="inlineStr">
        <is>
          <t>DALARNAS LÄN</t>
        </is>
      </c>
      <c r="E383" t="inlineStr">
        <is>
          <t>LUDVIKA</t>
        </is>
      </c>
      <c r="F383" t="inlineStr">
        <is>
          <t>Bergvik skog väst AB</t>
        </is>
      </c>
      <c r="G383" t="n">
        <v>10.1</v>
      </c>
      <c r="H383" t="n">
        <v>0</v>
      </c>
      <c r="I383" t="n">
        <v>0</v>
      </c>
      <c r="J383" t="n">
        <v>0</v>
      </c>
      <c r="K383" t="n">
        <v>0</v>
      </c>
      <c r="L383" t="n">
        <v>0</v>
      </c>
      <c r="M383" t="n">
        <v>0</v>
      </c>
      <c r="N383" t="n">
        <v>0</v>
      </c>
      <c r="O383" t="n">
        <v>0</v>
      </c>
      <c r="P383" t="n">
        <v>0</v>
      </c>
      <c r="Q383" t="n">
        <v>0</v>
      </c>
      <c r="R383" s="2" t="inlineStr"/>
    </row>
    <row r="384" ht="15" customHeight="1">
      <c r="A384" t="inlineStr">
        <is>
          <t>A 25293-2022</t>
        </is>
      </c>
      <c r="B384" s="1" t="n">
        <v>44731</v>
      </c>
      <c r="C384" s="1" t="n">
        <v>45364</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25297-2022</t>
        </is>
      </c>
      <c r="B385" s="1" t="n">
        <v>44731</v>
      </c>
      <c r="C385" s="1" t="n">
        <v>45364</v>
      </c>
      <c r="D385" t="inlineStr">
        <is>
          <t>DALARNAS LÄN</t>
        </is>
      </c>
      <c r="E385" t="inlineStr">
        <is>
          <t>LUDVIKA</t>
        </is>
      </c>
      <c r="F385" t="inlineStr">
        <is>
          <t>Bergvik skog väst AB</t>
        </is>
      </c>
      <c r="G385" t="n">
        <v>0.4</v>
      </c>
      <c r="H385" t="n">
        <v>0</v>
      </c>
      <c r="I385" t="n">
        <v>0</v>
      </c>
      <c r="J385" t="n">
        <v>0</v>
      </c>
      <c r="K385" t="n">
        <v>0</v>
      </c>
      <c r="L385" t="n">
        <v>0</v>
      </c>
      <c r="M385" t="n">
        <v>0</v>
      </c>
      <c r="N385" t="n">
        <v>0</v>
      </c>
      <c r="O385" t="n">
        <v>0</v>
      </c>
      <c r="P385" t="n">
        <v>0</v>
      </c>
      <c r="Q385" t="n">
        <v>0</v>
      </c>
      <c r="R385" s="2" t="inlineStr"/>
    </row>
    <row r="386" ht="15" customHeight="1">
      <c r="A386" t="inlineStr">
        <is>
          <t>A 25301-2022</t>
        </is>
      </c>
      <c r="B386" s="1" t="n">
        <v>44731</v>
      </c>
      <c r="C386" s="1" t="n">
        <v>45364</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25290-2022</t>
        </is>
      </c>
      <c r="B387" s="1" t="n">
        <v>44731</v>
      </c>
      <c r="C387" s="1" t="n">
        <v>45364</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25294-2022</t>
        </is>
      </c>
      <c r="B388" s="1" t="n">
        <v>44730</v>
      </c>
      <c r="C388" s="1" t="n">
        <v>45364</v>
      </c>
      <c r="D388" t="inlineStr">
        <is>
          <t>DALARNAS LÄN</t>
        </is>
      </c>
      <c r="E388" t="inlineStr">
        <is>
          <t>LUDVIKA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25298-2022</t>
        </is>
      </c>
      <c r="B389" s="1" t="n">
        <v>44731</v>
      </c>
      <c r="C389" s="1" t="n">
        <v>45364</v>
      </c>
      <c r="D389" t="inlineStr">
        <is>
          <t>DALARNAS LÄN</t>
        </is>
      </c>
      <c r="E389" t="inlineStr">
        <is>
          <t>LUDVIKA</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ht="15" customHeight="1">
      <c r="A390" t="inlineStr">
        <is>
          <t>A 25291-2022</t>
        </is>
      </c>
      <c r="B390" s="1" t="n">
        <v>44731</v>
      </c>
      <c r="C390" s="1" t="n">
        <v>45364</v>
      </c>
      <c r="D390" t="inlineStr">
        <is>
          <t>DALARNAS LÄN</t>
        </is>
      </c>
      <c r="E390" t="inlineStr">
        <is>
          <t>LUDVIKA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25299-2022</t>
        </is>
      </c>
      <c r="B391" s="1" t="n">
        <v>44731</v>
      </c>
      <c r="C391" s="1" t="n">
        <v>45364</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25328-2022</t>
        </is>
      </c>
      <c r="B392" s="1" t="n">
        <v>44731</v>
      </c>
      <c r="C392" s="1" t="n">
        <v>45364</v>
      </c>
      <c r="D392" t="inlineStr">
        <is>
          <t>DALARNAS LÄN</t>
        </is>
      </c>
      <c r="E392" t="inlineStr">
        <is>
          <t>LUDVIKA</t>
        </is>
      </c>
      <c r="F392" t="inlineStr">
        <is>
          <t>Bergvik skog väst AB</t>
        </is>
      </c>
      <c r="G392" t="n">
        <v>17.2</v>
      </c>
      <c r="H392" t="n">
        <v>0</v>
      </c>
      <c r="I392" t="n">
        <v>0</v>
      </c>
      <c r="J392" t="n">
        <v>0</v>
      </c>
      <c r="K392" t="n">
        <v>0</v>
      </c>
      <c r="L392" t="n">
        <v>0</v>
      </c>
      <c r="M392" t="n">
        <v>0</v>
      </c>
      <c r="N392" t="n">
        <v>0</v>
      </c>
      <c r="O392" t="n">
        <v>0</v>
      </c>
      <c r="P392" t="n">
        <v>0</v>
      </c>
      <c r="Q392" t="n">
        <v>0</v>
      </c>
      <c r="R392" s="2" t="inlineStr"/>
    </row>
    <row r="393" ht="15" customHeight="1">
      <c r="A393" t="inlineStr">
        <is>
          <t>A 25454-2022</t>
        </is>
      </c>
      <c r="B393" s="1" t="n">
        <v>44732</v>
      </c>
      <c r="C393" s="1" t="n">
        <v>45364</v>
      </c>
      <c r="D393" t="inlineStr">
        <is>
          <t>DALARNAS LÄN</t>
        </is>
      </c>
      <c r="E393" t="inlineStr">
        <is>
          <t>LUDVIKA</t>
        </is>
      </c>
      <c r="G393" t="n">
        <v>1.8</v>
      </c>
      <c r="H393" t="n">
        <v>0</v>
      </c>
      <c r="I393" t="n">
        <v>0</v>
      </c>
      <c r="J393" t="n">
        <v>0</v>
      </c>
      <c r="K393" t="n">
        <v>0</v>
      </c>
      <c r="L393" t="n">
        <v>0</v>
      </c>
      <c r="M393" t="n">
        <v>0</v>
      </c>
      <c r="N393" t="n">
        <v>0</v>
      </c>
      <c r="O393" t="n">
        <v>0</v>
      </c>
      <c r="P393" t="n">
        <v>0</v>
      </c>
      <c r="Q393" t="n">
        <v>0</v>
      </c>
      <c r="R393" s="2" t="inlineStr"/>
    </row>
    <row r="394" ht="15" customHeight="1">
      <c r="A394" t="inlineStr">
        <is>
          <t>A 25755-2022</t>
        </is>
      </c>
      <c r="B394" s="1" t="n">
        <v>44733</v>
      </c>
      <c r="C394" s="1" t="n">
        <v>45364</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27226-2022</t>
        </is>
      </c>
      <c r="B395" s="1" t="n">
        <v>44741</v>
      </c>
      <c r="C395" s="1" t="n">
        <v>45364</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27738-2022</t>
        </is>
      </c>
      <c r="B396" s="1" t="n">
        <v>44743</v>
      </c>
      <c r="C396" s="1" t="n">
        <v>45364</v>
      </c>
      <c r="D396" t="inlineStr">
        <is>
          <t>DALARNAS LÄN</t>
        </is>
      </c>
      <c r="E396" t="inlineStr">
        <is>
          <t>LUDVIKA</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31273-2022</t>
        </is>
      </c>
      <c r="B397" s="1" t="n">
        <v>44771</v>
      </c>
      <c r="C397" s="1" t="n">
        <v>45364</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31270-2022</t>
        </is>
      </c>
      <c r="B398" s="1" t="n">
        <v>44771</v>
      </c>
      <c r="C398" s="1" t="n">
        <v>45364</v>
      </c>
      <c r="D398" t="inlineStr">
        <is>
          <t>DALARNAS LÄN</t>
        </is>
      </c>
      <c r="E398" t="inlineStr">
        <is>
          <t>LUDVIKA</t>
        </is>
      </c>
      <c r="G398" t="n">
        <v>1.2</v>
      </c>
      <c r="H398" t="n">
        <v>0</v>
      </c>
      <c r="I398" t="n">
        <v>0</v>
      </c>
      <c r="J398" t="n">
        <v>0</v>
      </c>
      <c r="K398" t="n">
        <v>0</v>
      </c>
      <c r="L398" t="n">
        <v>0</v>
      </c>
      <c r="M398" t="n">
        <v>0</v>
      </c>
      <c r="N398" t="n">
        <v>0</v>
      </c>
      <c r="O398" t="n">
        <v>0</v>
      </c>
      <c r="P398" t="n">
        <v>0</v>
      </c>
      <c r="Q398" t="n">
        <v>0</v>
      </c>
      <c r="R398" s="2" t="inlineStr"/>
    </row>
    <row r="399" ht="15" customHeight="1">
      <c r="A399" t="inlineStr">
        <is>
          <t>A 31272-2022</t>
        </is>
      </c>
      <c r="B399" s="1" t="n">
        <v>44771</v>
      </c>
      <c r="C399" s="1" t="n">
        <v>45364</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33108-2022</t>
        </is>
      </c>
      <c r="B400" s="1" t="n">
        <v>44785</v>
      </c>
      <c r="C400" s="1" t="n">
        <v>45364</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33673-2022</t>
        </is>
      </c>
      <c r="B401" s="1" t="n">
        <v>44789</v>
      </c>
      <c r="C401" s="1" t="n">
        <v>45364</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36770-2022</t>
        </is>
      </c>
      <c r="B402" s="1" t="n">
        <v>44805</v>
      </c>
      <c r="C402" s="1" t="n">
        <v>45364</v>
      </c>
      <c r="D402" t="inlineStr">
        <is>
          <t>DALARNAS LÄN</t>
        </is>
      </c>
      <c r="E402" t="inlineStr">
        <is>
          <t>LUDVIKA</t>
        </is>
      </c>
      <c r="F402" t="inlineStr">
        <is>
          <t>Bergvik skog väst AB</t>
        </is>
      </c>
      <c r="G402" t="n">
        <v>4.1</v>
      </c>
      <c r="H402" t="n">
        <v>0</v>
      </c>
      <c r="I402" t="n">
        <v>0</v>
      </c>
      <c r="J402" t="n">
        <v>0</v>
      </c>
      <c r="K402" t="n">
        <v>0</v>
      </c>
      <c r="L402" t="n">
        <v>0</v>
      </c>
      <c r="M402" t="n">
        <v>0</v>
      </c>
      <c r="N402" t="n">
        <v>0</v>
      </c>
      <c r="O402" t="n">
        <v>0</v>
      </c>
      <c r="P402" t="n">
        <v>0</v>
      </c>
      <c r="Q402" t="n">
        <v>0</v>
      </c>
      <c r="R402" s="2" t="inlineStr"/>
    </row>
    <row r="403" ht="15" customHeight="1">
      <c r="A403" t="inlineStr">
        <is>
          <t>A 36852-2022</t>
        </is>
      </c>
      <c r="B403" s="1" t="n">
        <v>44805</v>
      </c>
      <c r="C403" s="1" t="n">
        <v>45364</v>
      </c>
      <c r="D403" t="inlineStr">
        <is>
          <t>DALARNAS LÄN</t>
        </is>
      </c>
      <c r="E403" t="inlineStr">
        <is>
          <t>LUDVIKA</t>
        </is>
      </c>
      <c r="F403" t="inlineStr">
        <is>
          <t>Bergvik skog väst AB</t>
        </is>
      </c>
      <c r="G403" t="n">
        <v>5.7</v>
      </c>
      <c r="H403" t="n">
        <v>0</v>
      </c>
      <c r="I403" t="n">
        <v>0</v>
      </c>
      <c r="J403" t="n">
        <v>0</v>
      </c>
      <c r="K403" t="n">
        <v>0</v>
      </c>
      <c r="L403" t="n">
        <v>0</v>
      </c>
      <c r="M403" t="n">
        <v>0</v>
      </c>
      <c r="N403" t="n">
        <v>0</v>
      </c>
      <c r="O403" t="n">
        <v>0</v>
      </c>
      <c r="P403" t="n">
        <v>0</v>
      </c>
      <c r="Q403" t="n">
        <v>0</v>
      </c>
      <c r="R403" s="2" t="inlineStr"/>
    </row>
    <row r="404" ht="15" customHeight="1">
      <c r="A404" t="inlineStr">
        <is>
          <t>A 37495-2022</t>
        </is>
      </c>
      <c r="B404" s="1" t="n">
        <v>44809</v>
      </c>
      <c r="C404" s="1" t="n">
        <v>45364</v>
      </c>
      <c r="D404" t="inlineStr">
        <is>
          <t>DALARNAS LÄN</t>
        </is>
      </c>
      <c r="E404" t="inlineStr">
        <is>
          <t>LUDVIKA</t>
        </is>
      </c>
      <c r="F404" t="inlineStr">
        <is>
          <t>Naturvårdsverket</t>
        </is>
      </c>
      <c r="G404" t="n">
        <v>3.2</v>
      </c>
      <c r="H404" t="n">
        <v>0</v>
      </c>
      <c r="I404" t="n">
        <v>0</v>
      </c>
      <c r="J404" t="n">
        <v>0</v>
      </c>
      <c r="K404" t="n">
        <v>0</v>
      </c>
      <c r="L404" t="n">
        <v>0</v>
      </c>
      <c r="M404" t="n">
        <v>0</v>
      </c>
      <c r="N404" t="n">
        <v>0</v>
      </c>
      <c r="O404" t="n">
        <v>0</v>
      </c>
      <c r="P404" t="n">
        <v>0</v>
      </c>
      <c r="Q404" t="n">
        <v>0</v>
      </c>
      <c r="R404" s="2" t="inlineStr"/>
    </row>
    <row r="405" ht="15" customHeight="1">
      <c r="A405" t="inlineStr">
        <is>
          <t>A 37479-2022</t>
        </is>
      </c>
      <c r="B405" s="1" t="n">
        <v>44809</v>
      </c>
      <c r="C405" s="1" t="n">
        <v>45364</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38014-2022</t>
        </is>
      </c>
      <c r="B406" s="1" t="n">
        <v>44811</v>
      </c>
      <c r="C406" s="1" t="n">
        <v>45364</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38565-2022</t>
        </is>
      </c>
      <c r="B407" s="1" t="n">
        <v>44813</v>
      </c>
      <c r="C407" s="1" t="n">
        <v>45364</v>
      </c>
      <c r="D407" t="inlineStr">
        <is>
          <t>DALARNAS LÄN</t>
        </is>
      </c>
      <c r="E407" t="inlineStr">
        <is>
          <t>LUDVIKA</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39090-2022</t>
        </is>
      </c>
      <c r="B408" s="1" t="n">
        <v>44817</v>
      </c>
      <c r="C408" s="1" t="n">
        <v>45364</v>
      </c>
      <c r="D408" t="inlineStr">
        <is>
          <t>DALARNAS LÄN</t>
        </is>
      </c>
      <c r="E408" t="inlineStr">
        <is>
          <t>LUDVIKA</t>
        </is>
      </c>
      <c r="F408" t="inlineStr">
        <is>
          <t>Naturvårdsverket</t>
        </is>
      </c>
      <c r="G408" t="n">
        <v>2.4</v>
      </c>
      <c r="H408" t="n">
        <v>0</v>
      </c>
      <c r="I408" t="n">
        <v>0</v>
      </c>
      <c r="J408" t="n">
        <v>0</v>
      </c>
      <c r="K408" t="n">
        <v>0</v>
      </c>
      <c r="L408" t="n">
        <v>0</v>
      </c>
      <c r="M408" t="n">
        <v>0</v>
      </c>
      <c r="N408" t="n">
        <v>0</v>
      </c>
      <c r="O408" t="n">
        <v>0</v>
      </c>
      <c r="P408" t="n">
        <v>0</v>
      </c>
      <c r="Q408" t="n">
        <v>0</v>
      </c>
      <c r="R408" s="2" t="inlineStr"/>
    </row>
    <row r="409" ht="15" customHeight="1">
      <c r="A409" t="inlineStr">
        <is>
          <t>A 39257-2022</t>
        </is>
      </c>
      <c r="B409" s="1" t="n">
        <v>44817</v>
      </c>
      <c r="C409" s="1" t="n">
        <v>45364</v>
      </c>
      <c r="D409" t="inlineStr">
        <is>
          <t>DALARNAS LÄN</t>
        </is>
      </c>
      <c r="E409" t="inlineStr">
        <is>
          <t>LUDVIKA</t>
        </is>
      </c>
      <c r="F409" t="inlineStr">
        <is>
          <t>Bergvik skog väst AB</t>
        </is>
      </c>
      <c r="G409" t="n">
        <v>10</v>
      </c>
      <c r="H409" t="n">
        <v>0</v>
      </c>
      <c r="I409" t="n">
        <v>0</v>
      </c>
      <c r="J409" t="n">
        <v>0</v>
      </c>
      <c r="K409" t="n">
        <v>0</v>
      </c>
      <c r="L409" t="n">
        <v>0</v>
      </c>
      <c r="M409" t="n">
        <v>0</v>
      </c>
      <c r="N409" t="n">
        <v>0</v>
      </c>
      <c r="O409" t="n">
        <v>0</v>
      </c>
      <c r="P409" t="n">
        <v>0</v>
      </c>
      <c r="Q409" t="n">
        <v>0</v>
      </c>
      <c r="R409" s="2" t="inlineStr"/>
    </row>
    <row r="410" ht="15" customHeight="1">
      <c r="A410" t="inlineStr">
        <is>
          <t>A 39761-2022</t>
        </is>
      </c>
      <c r="B410" s="1" t="n">
        <v>44819</v>
      </c>
      <c r="C410" s="1" t="n">
        <v>45364</v>
      </c>
      <c r="D410" t="inlineStr">
        <is>
          <t>DALARNAS LÄN</t>
        </is>
      </c>
      <c r="E410" t="inlineStr">
        <is>
          <t>LUDVIKA</t>
        </is>
      </c>
      <c r="F410" t="inlineStr">
        <is>
          <t>Naturvårdsverket</t>
        </is>
      </c>
      <c r="G410" t="n">
        <v>1</v>
      </c>
      <c r="H410" t="n">
        <v>0</v>
      </c>
      <c r="I410" t="n">
        <v>0</v>
      </c>
      <c r="J410" t="n">
        <v>0</v>
      </c>
      <c r="K410" t="n">
        <v>0</v>
      </c>
      <c r="L410" t="n">
        <v>0</v>
      </c>
      <c r="M410" t="n">
        <v>0</v>
      </c>
      <c r="N410" t="n">
        <v>0</v>
      </c>
      <c r="O410" t="n">
        <v>0</v>
      </c>
      <c r="P410" t="n">
        <v>0</v>
      </c>
      <c r="Q410" t="n">
        <v>0</v>
      </c>
      <c r="R410" s="2" t="inlineStr"/>
    </row>
    <row r="411" ht="15" customHeight="1">
      <c r="A411" t="inlineStr">
        <is>
          <t>A 40151-2022</t>
        </is>
      </c>
      <c r="B411" s="1" t="n">
        <v>44820</v>
      </c>
      <c r="C411" s="1" t="n">
        <v>45364</v>
      </c>
      <c r="D411" t="inlineStr">
        <is>
          <t>DALARNAS LÄN</t>
        </is>
      </c>
      <c r="E411" t="inlineStr">
        <is>
          <t>LUDVIKA</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40137-2022</t>
        </is>
      </c>
      <c r="B412" s="1" t="n">
        <v>44820</v>
      </c>
      <c r="C412" s="1" t="n">
        <v>45364</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40142-2022</t>
        </is>
      </c>
      <c r="B413" s="1" t="n">
        <v>44820</v>
      </c>
      <c r="C413" s="1" t="n">
        <v>45364</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41090-2022</t>
        </is>
      </c>
      <c r="B414" s="1" t="n">
        <v>44825</v>
      </c>
      <c r="C414" s="1" t="n">
        <v>45364</v>
      </c>
      <c r="D414" t="inlineStr">
        <is>
          <t>DALARNAS LÄN</t>
        </is>
      </c>
      <c r="E414" t="inlineStr">
        <is>
          <t>LUDVIKA</t>
        </is>
      </c>
      <c r="F414" t="inlineStr">
        <is>
          <t>Bergvik skog väst AB</t>
        </is>
      </c>
      <c r="G414" t="n">
        <v>2.5</v>
      </c>
      <c r="H414" t="n">
        <v>0</v>
      </c>
      <c r="I414" t="n">
        <v>0</v>
      </c>
      <c r="J414" t="n">
        <v>0</v>
      </c>
      <c r="K414" t="n">
        <v>0</v>
      </c>
      <c r="L414" t="n">
        <v>0</v>
      </c>
      <c r="M414" t="n">
        <v>0</v>
      </c>
      <c r="N414" t="n">
        <v>0</v>
      </c>
      <c r="O414" t="n">
        <v>0</v>
      </c>
      <c r="P414" t="n">
        <v>0</v>
      </c>
      <c r="Q414" t="n">
        <v>0</v>
      </c>
      <c r="R414" s="2" t="inlineStr"/>
    </row>
    <row r="415" ht="15" customHeight="1">
      <c r="A415" t="inlineStr">
        <is>
          <t>A 41158-2022</t>
        </is>
      </c>
      <c r="B415" s="1" t="n">
        <v>44825</v>
      </c>
      <c r="C415" s="1" t="n">
        <v>45364</v>
      </c>
      <c r="D415" t="inlineStr">
        <is>
          <t>DALARNAS LÄN</t>
        </is>
      </c>
      <c r="E415" t="inlineStr">
        <is>
          <t>LUDVIKA</t>
        </is>
      </c>
      <c r="G415" t="n">
        <v>2.1</v>
      </c>
      <c r="H415" t="n">
        <v>0</v>
      </c>
      <c r="I415" t="n">
        <v>0</v>
      </c>
      <c r="J415" t="n">
        <v>0</v>
      </c>
      <c r="K415" t="n">
        <v>0</v>
      </c>
      <c r="L415" t="n">
        <v>0</v>
      </c>
      <c r="M415" t="n">
        <v>0</v>
      </c>
      <c r="N415" t="n">
        <v>0</v>
      </c>
      <c r="O415" t="n">
        <v>0</v>
      </c>
      <c r="P415" t="n">
        <v>0</v>
      </c>
      <c r="Q415" t="n">
        <v>0</v>
      </c>
      <c r="R415" s="2" t="inlineStr"/>
    </row>
    <row r="416" ht="15" customHeight="1">
      <c r="A416" t="inlineStr">
        <is>
          <t>A 41123-2022</t>
        </is>
      </c>
      <c r="B416" s="1" t="n">
        <v>44825</v>
      </c>
      <c r="C416" s="1" t="n">
        <v>45364</v>
      </c>
      <c r="D416" t="inlineStr">
        <is>
          <t>DALARNAS LÄN</t>
        </is>
      </c>
      <c r="E416" t="inlineStr">
        <is>
          <t>LUDVIKA</t>
        </is>
      </c>
      <c r="F416" t="inlineStr">
        <is>
          <t>Naturvårdsverket</t>
        </is>
      </c>
      <c r="G416" t="n">
        <v>1</v>
      </c>
      <c r="H416" t="n">
        <v>0</v>
      </c>
      <c r="I416" t="n">
        <v>0</v>
      </c>
      <c r="J416" t="n">
        <v>0</v>
      </c>
      <c r="K416" t="n">
        <v>0</v>
      </c>
      <c r="L416" t="n">
        <v>0</v>
      </c>
      <c r="M416" t="n">
        <v>0</v>
      </c>
      <c r="N416" t="n">
        <v>0</v>
      </c>
      <c r="O416" t="n">
        <v>0</v>
      </c>
      <c r="P416" t="n">
        <v>0</v>
      </c>
      <c r="Q416" t="n">
        <v>0</v>
      </c>
      <c r="R416" s="2" t="inlineStr"/>
    </row>
    <row r="417" ht="15" customHeight="1">
      <c r="A417" t="inlineStr">
        <is>
          <t>A 41400-2022</t>
        </is>
      </c>
      <c r="B417" s="1" t="n">
        <v>44826</v>
      </c>
      <c r="C417" s="1" t="n">
        <v>45364</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41328-2022</t>
        </is>
      </c>
      <c r="B418" s="1" t="n">
        <v>44826</v>
      </c>
      <c r="C418" s="1" t="n">
        <v>45364</v>
      </c>
      <c r="D418" t="inlineStr">
        <is>
          <t>DALARNAS LÄN</t>
        </is>
      </c>
      <c r="E418" t="inlineStr">
        <is>
          <t>LUDVIKA</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41712-2022</t>
        </is>
      </c>
      <c r="B419" s="1" t="n">
        <v>44827</v>
      </c>
      <c r="C419" s="1" t="n">
        <v>45364</v>
      </c>
      <c r="D419" t="inlineStr">
        <is>
          <t>DALARNAS LÄN</t>
        </is>
      </c>
      <c r="E419" t="inlineStr">
        <is>
          <t>LUDVIKA</t>
        </is>
      </c>
      <c r="G419" t="n">
        <v>1.5</v>
      </c>
      <c r="H419" t="n">
        <v>0</v>
      </c>
      <c r="I419" t="n">
        <v>0</v>
      </c>
      <c r="J419" t="n">
        <v>0</v>
      </c>
      <c r="K419" t="n">
        <v>0</v>
      </c>
      <c r="L419" t="n">
        <v>0</v>
      </c>
      <c r="M419" t="n">
        <v>0</v>
      </c>
      <c r="N419" t="n">
        <v>0</v>
      </c>
      <c r="O419" t="n">
        <v>0</v>
      </c>
      <c r="P419" t="n">
        <v>0</v>
      </c>
      <c r="Q419" t="n">
        <v>0</v>
      </c>
      <c r="R419" s="2" t="inlineStr"/>
    </row>
    <row r="420" ht="15" customHeight="1">
      <c r="A420" t="inlineStr">
        <is>
          <t>A 41594-2022</t>
        </is>
      </c>
      <c r="B420" s="1" t="n">
        <v>44827</v>
      </c>
      <c r="C420" s="1" t="n">
        <v>45364</v>
      </c>
      <c r="D420" t="inlineStr">
        <is>
          <t>DALARNAS LÄN</t>
        </is>
      </c>
      <c r="E420" t="inlineStr">
        <is>
          <t>LUDVIKA</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41796-2022</t>
        </is>
      </c>
      <c r="B421" s="1" t="n">
        <v>44827</v>
      </c>
      <c r="C421" s="1" t="n">
        <v>45364</v>
      </c>
      <c r="D421" t="inlineStr">
        <is>
          <t>DALARNAS LÄN</t>
        </is>
      </c>
      <c r="E421" t="inlineStr">
        <is>
          <t>LUDVIKA</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41797-2022</t>
        </is>
      </c>
      <c r="B422" s="1" t="n">
        <v>44827</v>
      </c>
      <c r="C422" s="1" t="n">
        <v>45364</v>
      </c>
      <c r="D422" t="inlineStr">
        <is>
          <t>DALARNAS LÄN</t>
        </is>
      </c>
      <c r="E422" t="inlineStr">
        <is>
          <t>LUDVIKA</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42140-2022</t>
        </is>
      </c>
      <c r="B423" s="1" t="n">
        <v>44830</v>
      </c>
      <c r="C423" s="1" t="n">
        <v>45364</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42329-2022</t>
        </is>
      </c>
      <c r="B424" s="1" t="n">
        <v>44831</v>
      </c>
      <c r="C424" s="1" t="n">
        <v>45364</v>
      </c>
      <c r="D424" t="inlineStr">
        <is>
          <t>DALARNAS LÄN</t>
        </is>
      </c>
      <c r="E424" t="inlineStr">
        <is>
          <t>LUDVIKA</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42440-2022</t>
        </is>
      </c>
      <c r="B425" s="1" t="n">
        <v>44831</v>
      </c>
      <c r="C425" s="1" t="n">
        <v>45364</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42572-2022</t>
        </is>
      </c>
      <c r="B426" s="1" t="n">
        <v>44831</v>
      </c>
      <c r="C426" s="1" t="n">
        <v>45364</v>
      </c>
      <c r="D426" t="inlineStr">
        <is>
          <t>DALARNAS LÄN</t>
        </is>
      </c>
      <c r="E426" t="inlineStr">
        <is>
          <t>LUDVIKA</t>
        </is>
      </c>
      <c r="F426" t="inlineStr">
        <is>
          <t>Bergvik skog väst AB</t>
        </is>
      </c>
      <c r="G426" t="n">
        <v>9.1</v>
      </c>
      <c r="H426" t="n">
        <v>0</v>
      </c>
      <c r="I426" t="n">
        <v>0</v>
      </c>
      <c r="J426" t="n">
        <v>0</v>
      </c>
      <c r="K426" t="n">
        <v>0</v>
      </c>
      <c r="L426" t="n">
        <v>0</v>
      </c>
      <c r="M426" t="n">
        <v>0</v>
      </c>
      <c r="N426" t="n">
        <v>0</v>
      </c>
      <c r="O426" t="n">
        <v>0</v>
      </c>
      <c r="P426" t="n">
        <v>0</v>
      </c>
      <c r="Q426" t="n">
        <v>0</v>
      </c>
      <c r="R426" s="2" t="inlineStr"/>
    </row>
    <row r="427" ht="15" customHeight="1">
      <c r="A427" t="inlineStr">
        <is>
          <t>A 42709-2022</t>
        </is>
      </c>
      <c r="B427" s="1" t="n">
        <v>44832</v>
      </c>
      <c r="C427" s="1" t="n">
        <v>45364</v>
      </c>
      <c r="D427" t="inlineStr">
        <is>
          <t>DALARNAS LÄN</t>
        </is>
      </c>
      <c r="E427" t="inlineStr">
        <is>
          <t>LUDVIKA</t>
        </is>
      </c>
      <c r="F427" t="inlineStr">
        <is>
          <t>Naturvårdsverket</t>
        </is>
      </c>
      <c r="G427" t="n">
        <v>4.5</v>
      </c>
      <c r="H427" t="n">
        <v>0</v>
      </c>
      <c r="I427" t="n">
        <v>0</v>
      </c>
      <c r="J427" t="n">
        <v>0</v>
      </c>
      <c r="K427" t="n">
        <v>0</v>
      </c>
      <c r="L427" t="n">
        <v>0</v>
      </c>
      <c r="M427" t="n">
        <v>0</v>
      </c>
      <c r="N427" t="n">
        <v>0</v>
      </c>
      <c r="O427" t="n">
        <v>0</v>
      </c>
      <c r="P427" t="n">
        <v>0</v>
      </c>
      <c r="Q427" t="n">
        <v>0</v>
      </c>
      <c r="R427" s="2" t="inlineStr"/>
    </row>
    <row r="428" ht="15" customHeight="1">
      <c r="A428" t="inlineStr">
        <is>
          <t>A 43008-2022</t>
        </is>
      </c>
      <c r="B428" s="1" t="n">
        <v>44833</v>
      </c>
      <c r="C428" s="1" t="n">
        <v>45364</v>
      </c>
      <c r="D428" t="inlineStr">
        <is>
          <t>DALARNAS LÄN</t>
        </is>
      </c>
      <c r="E428" t="inlineStr">
        <is>
          <t>LUDVIKA</t>
        </is>
      </c>
      <c r="G428" t="n">
        <v>0.8</v>
      </c>
      <c r="H428" t="n">
        <v>0</v>
      </c>
      <c r="I428" t="n">
        <v>0</v>
      </c>
      <c r="J428" t="n">
        <v>0</v>
      </c>
      <c r="K428" t="n">
        <v>0</v>
      </c>
      <c r="L428" t="n">
        <v>0</v>
      </c>
      <c r="M428" t="n">
        <v>0</v>
      </c>
      <c r="N428" t="n">
        <v>0</v>
      </c>
      <c r="O428" t="n">
        <v>0</v>
      </c>
      <c r="P428" t="n">
        <v>0</v>
      </c>
      <c r="Q428" t="n">
        <v>0</v>
      </c>
      <c r="R428" s="2" t="inlineStr"/>
    </row>
    <row r="429" ht="15" customHeight="1">
      <c r="A429" t="inlineStr">
        <is>
          <t>A 43047-2022</t>
        </is>
      </c>
      <c r="B429" s="1" t="n">
        <v>44833</v>
      </c>
      <c r="C429" s="1" t="n">
        <v>45364</v>
      </c>
      <c r="D429" t="inlineStr">
        <is>
          <t>DALARNAS LÄN</t>
        </is>
      </c>
      <c r="E429" t="inlineStr">
        <is>
          <t>LUDVIKA</t>
        </is>
      </c>
      <c r="F429" t="inlineStr">
        <is>
          <t>Bergvik skog väst AB</t>
        </is>
      </c>
      <c r="G429" t="n">
        <v>9.5</v>
      </c>
      <c r="H429" t="n">
        <v>0</v>
      </c>
      <c r="I429" t="n">
        <v>0</v>
      </c>
      <c r="J429" t="n">
        <v>0</v>
      </c>
      <c r="K429" t="n">
        <v>0</v>
      </c>
      <c r="L429" t="n">
        <v>0</v>
      </c>
      <c r="M429" t="n">
        <v>0</v>
      </c>
      <c r="N429" t="n">
        <v>0</v>
      </c>
      <c r="O429" t="n">
        <v>0</v>
      </c>
      <c r="P429" t="n">
        <v>0</v>
      </c>
      <c r="Q429" t="n">
        <v>0</v>
      </c>
      <c r="R429" s="2" t="inlineStr"/>
    </row>
    <row r="430" ht="15" customHeight="1">
      <c r="A430" t="inlineStr">
        <is>
          <t>A 45060-2022</t>
        </is>
      </c>
      <c r="B430" s="1" t="n">
        <v>44841</v>
      </c>
      <c r="C430" s="1" t="n">
        <v>45364</v>
      </c>
      <c r="D430" t="inlineStr">
        <is>
          <t>DALARNAS LÄN</t>
        </is>
      </c>
      <c r="E430" t="inlineStr">
        <is>
          <t>LUDVIKA</t>
        </is>
      </c>
      <c r="G430" t="n">
        <v>1.1</v>
      </c>
      <c r="H430" t="n">
        <v>0</v>
      </c>
      <c r="I430" t="n">
        <v>0</v>
      </c>
      <c r="J430" t="n">
        <v>0</v>
      </c>
      <c r="K430" t="n">
        <v>0</v>
      </c>
      <c r="L430" t="n">
        <v>0</v>
      </c>
      <c r="M430" t="n">
        <v>0</v>
      </c>
      <c r="N430" t="n">
        <v>0</v>
      </c>
      <c r="O430" t="n">
        <v>0</v>
      </c>
      <c r="P430" t="n">
        <v>0</v>
      </c>
      <c r="Q430" t="n">
        <v>0</v>
      </c>
      <c r="R430" s="2" t="inlineStr"/>
    </row>
    <row r="431" ht="15" customHeight="1">
      <c r="A431" t="inlineStr">
        <is>
          <t>A 45235-2022</t>
        </is>
      </c>
      <c r="B431" s="1" t="n">
        <v>44844</v>
      </c>
      <c r="C431" s="1" t="n">
        <v>45364</v>
      </c>
      <c r="D431" t="inlineStr">
        <is>
          <t>DALARNAS LÄN</t>
        </is>
      </c>
      <c r="E431" t="inlineStr">
        <is>
          <t>LUDVIKA</t>
        </is>
      </c>
      <c r="F431" t="inlineStr">
        <is>
          <t>Naturvårdsverket</t>
        </is>
      </c>
      <c r="G431" t="n">
        <v>4.1</v>
      </c>
      <c r="H431" t="n">
        <v>0</v>
      </c>
      <c r="I431" t="n">
        <v>0</v>
      </c>
      <c r="J431" t="n">
        <v>0</v>
      </c>
      <c r="K431" t="n">
        <v>0</v>
      </c>
      <c r="L431" t="n">
        <v>0</v>
      </c>
      <c r="M431" t="n">
        <v>0</v>
      </c>
      <c r="N431" t="n">
        <v>0</v>
      </c>
      <c r="O431" t="n">
        <v>0</v>
      </c>
      <c r="P431" t="n">
        <v>0</v>
      </c>
      <c r="Q431" t="n">
        <v>0</v>
      </c>
      <c r="R431" s="2" t="inlineStr"/>
    </row>
    <row r="432" ht="15" customHeight="1">
      <c r="A432" t="inlineStr">
        <is>
          <t>A 45179-2022</t>
        </is>
      </c>
      <c r="B432" s="1" t="n">
        <v>44844</v>
      </c>
      <c r="C432" s="1" t="n">
        <v>45364</v>
      </c>
      <c r="D432" t="inlineStr">
        <is>
          <t>DALARNAS LÄN</t>
        </is>
      </c>
      <c r="E432" t="inlineStr">
        <is>
          <t>LUDVIKA</t>
        </is>
      </c>
      <c r="F432" t="inlineStr">
        <is>
          <t>Naturvårdsverket</t>
        </is>
      </c>
      <c r="G432" t="n">
        <v>4.3</v>
      </c>
      <c r="H432" t="n">
        <v>0</v>
      </c>
      <c r="I432" t="n">
        <v>0</v>
      </c>
      <c r="J432" t="n">
        <v>0</v>
      </c>
      <c r="K432" t="n">
        <v>0</v>
      </c>
      <c r="L432" t="n">
        <v>0</v>
      </c>
      <c r="M432" t="n">
        <v>0</v>
      </c>
      <c r="N432" t="n">
        <v>0</v>
      </c>
      <c r="O432" t="n">
        <v>0</v>
      </c>
      <c r="P432" t="n">
        <v>0</v>
      </c>
      <c r="Q432" t="n">
        <v>0</v>
      </c>
      <c r="R432" s="2" t="inlineStr"/>
    </row>
    <row r="433" ht="15" customHeight="1">
      <c r="A433" t="inlineStr">
        <is>
          <t>A 45230-2022</t>
        </is>
      </c>
      <c r="B433" s="1" t="n">
        <v>44844</v>
      </c>
      <c r="C433" s="1" t="n">
        <v>45364</v>
      </c>
      <c r="D433" t="inlineStr">
        <is>
          <t>DALARNAS LÄN</t>
        </is>
      </c>
      <c r="E433" t="inlineStr">
        <is>
          <t>LUDVIKA</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45268-2022</t>
        </is>
      </c>
      <c r="B434" s="1" t="n">
        <v>44844</v>
      </c>
      <c r="C434" s="1" t="n">
        <v>45364</v>
      </c>
      <c r="D434" t="inlineStr">
        <is>
          <t>DALARNAS LÄN</t>
        </is>
      </c>
      <c r="E434" t="inlineStr">
        <is>
          <t>LUDVIKA</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45361-2022</t>
        </is>
      </c>
      <c r="B435" s="1" t="n">
        <v>44844</v>
      </c>
      <c r="C435" s="1" t="n">
        <v>45364</v>
      </c>
      <c r="D435" t="inlineStr">
        <is>
          <t>DALARNAS LÄN</t>
        </is>
      </c>
      <c r="E435" t="inlineStr">
        <is>
          <t>LUDVIKA</t>
        </is>
      </c>
      <c r="F435" t="inlineStr">
        <is>
          <t>Bergvik skog väst AB</t>
        </is>
      </c>
      <c r="G435" t="n">
        <v>0.8</v>
      </c>
      <c r="H435" t="n">
        <v>0</v>
      </c>
      <c r="I435" t="n">
        <v>0</v>
      </c>
      <c r="J435" t="n">
        <v>0</v>
      </c>
      <c r="K435" t="n">
        <v>0</v>
      </c>
      <c r="L435" t="n">
        <v>0</v>
      </c>
      <c r="M435" t="n">
        <v>0</v>
      </c>
      <c r="N435" t="n">
        <v>0</v>
      </c>
      <c r="O435" t="n">
        <v>0</v>
      </c>
      <c r="P435" t="n">
        <v>0</v>
      </c>
      <c r="Q435" t="n">
        <v>0</v>
      </c>
      <c r="R435" s="2" t="inlineStr"/>
    </row>
    <row r="436" ht="15" customHeight="1">
      <c r="A436" t="inlineStr">
        <is>
          <t>A 45458-2022</t>
        </is>
      </c>
      <c r="B436" s="1" t="n">
        <v>44845</v>
      </c>
      <c r="C436" s="1" t="n">
        <v>45364</v>
      </c>
      <c r="D436" t="inlineStr">
        <is>
          <t>DALARNAS LÄN</t>
        </is>
      </c>
      <c r="E436" t="inlineStr">
        <is>
          <t>LUDVIKA</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46878-2022</t>
        </is>
      </c>
      <c r="B437" s="1" t="n">
        <v>44848</v>
      </c>
      <c r="C437" s="1" t="n">
        <v>45364</v>
      </c>
      <c r="D437" t="inlineStr">
        <is>
          <t>DALARNAS LÄN</t>
        </is>
      </c>
      <c r="E437" t="inlineStr">
        <is>
          <t>LUDVIKA</t>
        </is>
      </c>
      <c r="G437" t="n">
        <v>4</v>
      </c>
      <c r="H437" t="n">
        <v>0</v>
      </c>
      <c r="I437" t="n">
        <v>0</v>
      </c>
      <c r="J437" t="n">
        <v>0</v>
      </c>
      <c r="K437" t="n">
        <v>0</v>
      </c>
      <c r="L437" t="n">
        <v>0</v>
      </c>
      <c r="M437" t="n">
        <v>0</v>
      </c>
      <c r="N437" t="n">
        <v>0</v>
      </c>
      <c r="O437" t="n">
        <v>0</v>
      </c>
      <c r="P437" t="n">
        <v>0</v>
      </c>
      <c r="Q437" t="n">
        <v>0</v>
      </c>
      <c r="R437" s="2" t="inlineStr"/>
    </row>
    <row r="438" ht="15" customHeight="1">
      <c r="A438" t="inlineStr">
        <is>
          <t>A 46680-2022</t>
        </is>
      </c>
      <c r="B438" s="1" t="n">
        <v>44851</v>
      </c>
      <c r="C438" s="1" t="n">
        <v>45364</v>
      </c>
      <c r="D438" t="inlineStr">
        <is>
          <t>DALARNAS LÄN</t>
        </is>
      </c>
      <c r="E438" t="inlineStr">
        <is>
          <t>LUDVIKA</t>
        </is>
      </c>
      <c r="G438" t="n">
        <v>2.6</v>
      </c>
      <c r="H438" t="n">
        <v>0</v>
      </c>
      <c r="I438" t="n">
        <v>0</v>
      </c>
      <c r="J438" t="n">
        <v>0</v>
      </c>
      <c r="K438" t="n">
        <v>0</v>
      </c>
      <c r="L438" t="n">
        <v>0</v>
      </c>
      <c r="M438" t="n">
        <v>0</v>
      </c>
      <c r="N438" t="n">
        <v>0</v>
      </c>
      <c r="O438" t="n">
        <v>0</v>
      </c>
      <c r="P438" t="n">
        <v>0</v>
      </c>
      <c r="Q438" t="n">
        <v>0</v>
      </c>
      <c r="R438" s="2" t="inlineStr"/>
    </row>
    <row r="439" ht="15" customHeight="1">
      <c r="A439" t="inlineStr">
        <is>
          <t>A 46905-2022</t>
        </is>
      </c>
      <c r="B439" s="1" t="n">
        <v>44851</v>
      </c>
      <c r="C439" s="1" t="n">
        <v>45364</v>
      </c>
      <c r="D439" t="inlineStr">
        <is>
          <t>DALARNAS LÄN</t>
        </is>
      </c>
      <c r="E439" t="inlineStr">
        <is>
          <t>LUDVIKA</t>
        </is>
      </c>
      <c r="F439" t="inlineStr">
        <is>
          <t>Naturvårdsverket</t>
        </is>
      </c>
      <c r="G439" t="n">
        <v>0.6</v>
      </c>
      <c r="H439" t="n">
        <v>0</v>
      </c>
      <c r="I439" t="n">
        <v>0</v>
      </c>
      <c r="J439" t="n">
        <v>0</v>
      </c>
      <c r="K439" t="n">
        <v>0</v>
      </c>
      <c r="L439" t="n">
        <v>0</v>
      </c>
      <c r="M439" t="n">
        <v>0</v>
      </c>
      <c r="N439" t="n">
        <v>0</v>
      </c>
      <c r="O439" t="n">
        <v>0</v>
      </c>
      <c r="P439" t="n">
        <v>0</v>
      </c>
      <c r="Q439" t="n">
        <v>0</v>
      </c>
      <c r="R439" s="2" t="inlineStr"/>
    </row>
    <row r="440" ht="15" customHeight="1">
      <c r="A440" t="inlineStr">
        <is>
          <t>A 47071-2022</t>
        </is>
      </c>
      <c r="B440" s="1" t="n">
        <v>44852</v>
      </c>
      <c r="C440" s="1" t="n">
        <v>45364</v>
      </c>
      <c r="D440" t="inlineStr">
        <is>
          <t>DALARNAS LÄN</t>
        </is>
      </c>
      <c r="E440" t="inlineStr">
        <is>
          <t>LUDVIKA</t>
        </is>
      </c>
      <c r="G440" t="n">
        <v>1.2</v>
      </c>
      <c r="H440" t="n">
        <v>0</v>
      </c>
      <c r="I440" t="n">
        <v>0</v>
      </c>
      <c r="J440" t="n">
        <v>0</v>
      </c>
      <c r="K440" t="n">
        <v>0</v>
      </c>
      <c r="L440" t="n">
        <v>0</v>
      </c>
      <c r="M440" t="n">
        <v>0</v>
      </c>
      <c r="N440" t="n">
        <v>0</v>
      </c>
      <c r="O440" t="n">
        <v>0</v>
      </c>
      <c r="P440" t="n">
        <v>0</v>
      </c>
      <c r="Q440" t="n">
        <v>0</v>
      </c>
      <c r="R440" s="2" t="inlineStr"/>
    </row>
    <row r="441" ht="15" customHeight="1">
      <c r="A441" t="inlineStr">
        <is>
          <t>A 47496-2022</t>
        </is>
      </c>
      <c r="B441" s="1" t="n">
        <v>44853</v>
      </c>
      <c r="C441" s="1" t="n">
        <v>45364</v>
      </c>
      <c r="D441" t="inlineStr">
        <is>
          <t>DALARNAS LÄN</t>
        </is>
      </c>
      <c r="E441" t="inlineStr">
        <is>
          <t>LUDVIKA</t>
        </is>
      </c>
      <c r="F441" t="inlineStr">
        <is>
          <t>Bergvik skog väst AB</t>
        </is>
      </c>
      <c r="G441" t="n">
        <v>0.4</v>
      </c>
      <c r="H441" t="n">
        <v>0</v>
      </c>
      <c r="I441" t="n">
        <v>0</v>
      </c>
      <c r="J441" t="n">
        <v>0</v>
      </c>
      <c r="K441" t="n">
        <v>0</v>
      </c>
      <c r="L441" t="n">
        <v>0</v>
      </c>
      <c r="M441" t="n">
        <v>0</v>
      </c>
      <c r="N441" t="n">
        <v>0</v>
      </c>
      <c r="O441" t="n">
        <v>0</v>
      </c>
      <c r="P441" t="n">
        <v>0</v>
      </c>
      <c r="Q441" t="n">
        <v>0</v>
      </c>
      <c r="R441" s="2" t="inlineStr"/>
    </row>
    <row r="442" ht="15" customHeight="1">
      <c r="A442" t="inlineStr">
        <is>
          <t>A 47731-2022</t>
        </is>
      </c>
      <c r="B442" s="1" t="n">
        <v>44854</v>
      </c>
      <c r="C442" s="1" t="n">
        <v>45364</v>
      </c>
      <c r="D442" t="inlineStr">
        <is>
          <t>DALARNAS LÄN</t>
        </is>
      </c>
      <c r="E442" t="inlineStr">
        <is>
          <t>LUDVIKA</t>
        </is>
      </c>
      <c r="F442" t="inlineStr">
        <is>
          <t>Naturvårdsverket</t>
        </is>
      </c>
      <c r="G442" t="n">
        <v>2.1</v>
      </c>
      <c r="H442" t="n">
        <v>0</v>
      </c>
      <c r="I442" t="n">
        <v>0</v>
      </c>
      <c r="J442" t="n">
        <v>0</v>
      </c>
      <c r="K442" t="n">
        <v>0</v>
      </c>
      <c r="L442" t="n">
        <v>0</v>
      </c>
      <c r="M442" t="n">
        <v>0</v>
      </c>
      <c r="N442" t="n">
        <v>0</v>
      </c>
      <c r="O442" t="n">
        <v>0</v>
      </c>
      <c r="P442" t="n">
        <v>0</v>
      </c>
      <c r="Q442" t="n">
        <v>0</v>
      </c>
      <c r="R442" s="2" t="inlineStr"/>
    </row>
    <row r="443" ht="15" customHeight="1">
      <c r="A443" t="inlineStr">
        <is>
          <t>A 48740-2022</t>
        </is>
      </c>
      <c r="B443" s="1" t="n">
        <v>44859</v>
      </c>
      <c r="C443" s="1" t="n">
        <v>45364</v>
      </c>
      <c r="D443" t="inlineStr">
        <is>
          <t>DALARNAS LÄN</t>
        </is>
      </c>
      <c r="E443" t="inlineStr">
        <is>
          <t>LUDVIKA</t>
        </is>
      </c>
      <c r="F443" t="inlineStr">
        <is>
          <t>Bergvik skog väst AB</t>
        </is>
      </c>
      <c r="G443" t="n">
        <v>0.3</v>
      </c>
      <c r="H443" t="n">
        <v>0</v>
      </c>
      <c r="I443" t="n">
        <v>0</v>
      </c>
      <c r="J443" t="n">
        <v>0</v>
      </c>
      <c r="K443" t="n">
        <v>0</v>
      </c>
      <c r="L443" t="n">
        <v>0</v>
      </c>
      <c r="M443" t="n">
        <v>0</v>
      </c>
      <c r="N443" t="n">
        <v>0</v>
      </c>
      <c r="O443" t="n">
        <v>0</v>
      </c>
      <c r="P443" t="n">
        <v>0</v>
      </c>
      <c r="Q443" t="n">
        <v>0</v>
      </c>
      <c r="R443" s="2" t="inlineStr"/>
    </row>
    <row r="444" ht="15" customHeight="1">
      <c r="A444" t="inlineStr">
        <is>
          <t>A 48804-2022</t>
        </is>
      </c>
      <c r="B444" s="1" t="n">
        <v>44859</v>
      </c>
      <c r="C444" s="1" t="n">
        <v>45364</v>
      </c>
      <c r="D444" t="inlineStr">
        <is>
          <t>DALARNAS LÄN</t>
        </is>
      </c>
      <c r="E444" t="inlineStr">
        <is>
          <t>LUDVIKA</t>
        </is>
      </c>
      <c r="F444" t="inlineStr">
        <is>
          <t>Naturvårdsverket</t>
        </is>
      </c>
      <c r="G444" t="n">
        <v>5.1</v>
      </c>
      <c r="H444" t="n">
        <v>0</v>
      </c>
      <c r="I444" t="n">
        <v>0</v>
      </c>
      <c r="J444" t="n">
        <v>0</v>
      </c>
      <c r="K444" t="n">
        <v>0</v>
      </c>
      <c r="L444" t="n">
        <v>0</v>
      </c>
      <c r="M444" t="n">
        <v>0</v>
      </c>
      <c r="N444" t="n">
        <v>0</v>
      </c>
      <c r="O444" t="n">
        <v>0</v>
      </c>
      <c r="P444" t="n">
        <v>0</v>
      </c>
      <c r="Q444" t="n">
        <v>0</v>
      </c>
      <c r="R444" s="2" t="inlineStr"/>
    </row>
    <row r="445" ht="15" customHeight="1">
      <c r="A445" t="inlineStr">
        <is>
          <t>A 48642-2022</t>
        </is>
      </c>
      <c r="B445" s="1" t="n">
        <v>44859</v>
      </c>
      <c r="C445" s="1" t="n">
        <v>45364</v>
      </c>
      <c r="D445" t="inlineStr">
        <is>
          <t>DALARNAS LÄN</t>
        </is>
      </c>
      <c r="E445" t="inlineStr">
        <is>
          <t>LUDVIKA</t>
        </is>
      </c>
      <c r="F445" t="inlineStr">
        <is>
          <t>Naturvårdsverket</t>
        </is>
      </c>
      <c r="G445" t="n">
        <v>1.5</v>
      </c>
      <c r="H445" t="n">
        <v>0</v>
      </c>
      <c r="I445" t="n">
        <v>0</v>
      </c>
      <c r="J445" t="n">
        <v>0</v>
      </c>
      <c r="K445" t="n">
        <v>0</v>
      </c>
      <c r="L445" t="n">
        <v>0</v>
      </c>
      <c r="M445" t="n">
        <v>0</v>
      </c>
      <c r="N445" t="n">
        <v>0</v>
      </c>
      <c r="O445" t="n">
        <v>0</v>
      </c>
      <c r="P445" t="n">
        <v>0</v>
      </c>
      <c r="Q445" t="n">
        <v>0</v>
      </c>
      <c r="R445" s="2" t="inlineStr"/>
    </row>
    <row r="446" ht="15" customHeight="1">
      <c r="A446" t="inlineStr">
        <is>
          <t>A 48715-2022</t>
        </is>
      </c>
      <c r="B446" s="1" t="n">
        <v>44859</v>
      </c>
      <c r="C446" s="1" t="n">
        <v>45364</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48748-2022</t>
        </is>
      </c>
      <c r="B447" s="1" t="n">
        <v>44859</v>
      </c>
      <c r="C447" s="1" t="n">
        <v>45364</v>
      </c>
      <c r="D447" t="inlineStr">
        <is>
          <t>DALARNAS LÄN</t>
        </is>
      </c>
      <c r="E447" t="inlineStr">
        <is>
          <t>LUDVIKA</t>
        </is>
      </c>
      <c r="F447" t="inlineStr">
        <is>
          <t>Naturvårdsverket</t>
        </is>
      </c>
      <c r="G447" t="n">
        <v>1.2</v>
      </c>
      <c r="H447" t="n">
        <v>0</v>
      </c>
      <c r="I447" t="n">
        <v>0</v>
      </c>
      <c r="J447" t="n">
        <v>0</v>
      </c>
      <c r="K447" t="n">
        <v>0</v>
      </c>
      <c r="L447" t="n">
        <v>0</v>
      </c>
      <c r="M447" t="n">
        <v>0</v>
      </c>
      <c r="N447" t="n">
        <v>0</v>
      </c>
      <c r="O447" t="n">
        <v>0</v>
      </c>
      <c r="P447" t="n">
        <v>0</v>
      </c>
      <c r="Q447" t="n">
        <v>0</v>
      </c>
      <c r="R447" s="2" t="inlineStr"/>
    </row>
    <row r="448" ht="15" customHeight="1">
      <c r="A448" t="inlineStr">
        <is>
          <t>A 48857-2022</t>
        </is>
      </c>
      <c r="B448" s="1" t="n">
        <v>44859</v>
      </c>
      <c r="C448" s="1" t="n">
        <v>45364</v>
      </c>
      <c r="D448" t="inlineStr">
        <is>
          <t>DALARNAS LÄN</t>
        </is>
      </c>
      <c r="E448" t="inlineStr">
        <is>
          <t>LUDVIKA</t>
        </is>
      </c>
      <c r="G448" t="n">
        <v>1.8</v>
      </c>
      <c r="H448" t="n">
        <v>0</v>
      </c>
      <c r="I448" t="n">
        <v>0</v>
      </c>
      <c r="J448" t="n">
        <v>0</v>
      </c>
      <c r="K448" t="n">
        <v>0</v>
      </c>
      <c r="L448" t="n">
        <v>0</v>
      </c>
      <c r="M448" t="n">
        <v>0</v>
      </c>
      <c r="N448" t="n">
        <v>0</v>
      </c>
      <c r="O448" t="n">
        <v>0</v>
      </c>
      <c r="P448" t="n">
        <v>0</v>
      </c>
      <c r="Q448" t="n">
        <v>0</v>
      </c>
      <c r="R448" s="2" t="inlineStr"/>
    </row>
    <row r="449" ht="15" customHeight="1">
      <c r="A449" t="inlineStr">
        <is>
          <t>A 48673-2022</t>
        </is>
      </c>
      <c r="B449" s="1" t="n">
        <v>44859</v>
      </c>
      <c r="C449" s="1" t="n">
        <v>45364</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48759-2022</t>
        </is>
      </c>
      <c r="B450" s="1" t="n">
        <v>44859</v>
      </c>
      <c r="C450" s="1" t="n">
        <v>45364</v>
      </c>
      <c r="D450" t="inlineStr">
        <is>
          <t>DALARNAS LÄN</t>
        </is>
      </c>
      <c r="E450" t="inlineStr">
        <is>
          <t>LUDVIKA</t>
        </is>
      </c>
      <c r="F450" t="inlineStr">
        <is>
          <t>Naturvårdsverket</t>
        </is>
      </c>
      <c r="G450" t="n">
        <v>4.2</v>
      </c>
      <c r="H450" t="n">
        <v>0</v>
      </c>
      <c r="I450" t="n">
        <v>0</v>
      </c>
      <c r="J450" t="n">
        <v>0</v>
      </c>
      <c r="K450" t="n">
        <v>0</v>
      </c>
      <c r="L450" t="n">
        <v>0</v>
      </c>
      <c r="M450" t="n">
        <v>0</v>
      </c>
      <c r="N450" t="n">
        <v>0</v>
      </c>
      <c r="O450" t="n">
        <v>0</v>
      </c>
      <c r="P450" t="n">
        <v>0</v>
      </c>
      <c r="Q450" t="n">
        <v>0</v>
      </c>
      <c r="R450" s="2" t="inlineStr"/>
    </row>
    <row r="451" ht="15" customHeight="1">
      <c r="A451" t="inlineStr">
        <is>
          <t>A 49371-2022</t>
        </is>
      </c>
      <c r="B451" s="1" t="n">
        <v>44861</v>
      </c>
      <c r="C451" s="1" t="n">
        <v>45364</v>
      </c>
      <c r="D451" t="inlineStr">
        <is>
          <t>DALARNAS LÄN</t>
        </is>
      </c>
      <c r="E451" t="inlineStr">
        <is>
          <t>LUDVIKA</t>
        </is>
      </c>
      <c r="F451" t="inlineStr">
        <is>
          <t>Bergvik skog väst AB</t>
        </is>
      </c>
      <c r="G451" t="n">
        <v>9.300000000000001</v>
      </c>
      <c r="H451" t="n">
        <v>0</v>
      </c>
      <c r="I451" t="n">
        <v>0</v>
      </c>
      <c r="J451" t="n">
        <v>0</v>
      </c>
      <c r="K451" t="n">
        <v>0</v>
      </c>
      <c r="L451" t="n">
        <v>0</v>
      </c>
      <c r="M451" t="n">
        <v>0</v>
      </c>
      <c r="N451" t="n">
        <v>0</v>
      </c>
      <c r="O451" t="n">
        <v>0</v>
      </c>
      <c r="P451" t="n">
        <v>0</v>
      </c>
      <c r="Q451" t="n">
        <v>0</v>
      </c>
      <c r="R451" s="2" t="inlineStr"/>
    </row>
    <row r="452" ht="15" customHeight="1">
      <c r="A452" t="inlineStr">
        <is>
          <t>A 49564-2022</t>
        </is>
      </c>
      <c r="B452" s="1" t="n">
        <v>44862</v>
      </c>
      <c r="C452" s="1" t="n">
        <v>45364</v>
      </c>
      <c r="D452" t="inlineStr">
        <is>
          <t>DALARNAS LÄN</t>
        </is>
      </c>
      <c r="E452" t="inlineStr">
        <is>
          <t>LUDVIKA</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50078-2022</t>
        </is>
      </c>
      <c r="B453" s="1" t="n">
        <v>44865</v>
      </c>
      <c r="C453" s="1" t="n">
        <v>45364</v>
      </c>
      <c r="D453" t="inlineStr">
        <is>
          <t>DALARNAS LÄN</t>
        </is>
      </c>
      <c r="E453" t="inlineStr">
        <is>
          <t>LUDVIKA</t>
        </is>
      </c>
      <c r="F453" t="inlineStr">
        <is>
          <t>Naturvårdsverket</t>
        </is>
      </c>
      <c r="G453" t="n">
        <v>0.7</v>
      </c>
      <c r="H453" t="n">
        <v>0</v>
      </c>
      <c r="I453" t="n">
        <v>0</v>
      </c>
      <c r="J453" t="n">
        <v>0</v>
      </c>
      <c r="K453" t="n">
        <v>0</v>
      </c>
      <c r="L453" t="n">
        <v>0</v>
      </c>
      <c r="M453" t="n">
        <v>0</v>
      </c>
      <c r="N453" t="n">
        <v>0</v>
      </c>
      <c r="O453" t="n">
        <v>0</v>
      </c>
      <c r="P453" t="n">
        <v>0</v>
      </c>
      <c r="Q453" t="n">
        <v>0</v>
      </c>
      <c r="R453" s="2" t="inlineStr"/>
    </row>
    <row r="454" ht="15" customHeight="1">
      <c r="A454" t="inlineStr">
        <is>
          <t>A 49951-2022</t>
        </is>
      </c>
      <c r="B454" s="1" t="n">
        <v>44865</v>
      </c>
      <c r="C454" s="1" t="n">
        <v>45364</v>
      </c>
      <c r="D454" t="inlineStr">
        <is>
          <t>DALARNAS LÄN</t>
        </is>
      </c>
      <c r="E454" t="inlineStr">
        <is>
          <t>LUDVIKA</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50057-2022</t>
        </is>
      </c>
      <c r="B455" s="1" t="n">
        <v>44865</v>
      </c>
      <c r="C455" s="1" t="n">
        <v>45364</v>
      </c>
      <c r="D455" t="inlineStr">
        <is>
          <t>DALARNAS LÄN</t>
        </is>
      </c>
      <c r="E455" t="inlineStr">
        <is>
          <t>LUDVIKA</t>
        </is>
      </c>
      <c r="F455" t="inlineStr">
        <is>
          <t>Naturvårdsverket</t>
        </is>
      </c>
      <c r="G455" t="n">
        <v>2.3</v>
      </c>
      <c r="H455" t="n">
        <v>0</v>
      </c>
      <c r="I455" t="n">
        <v>0</v>
      </c>
      <c r="J455" t="n">
        <v>0</v>
      </c>
      <c r="K455" t="n">
        <v>0</v>
      </c>
      <c r="L455" t="n">
        <v>0</v>
      </c>
      <c r="M455" t="n">
        <v>0</v>
      </c>
      <c r="N455" t="n">
        <v>0</v>
      </c>
      <c r="O455" t="n">
        <v>0</v>
      </c>
      <c r="P455" t="n">
        <v>0</v>
      </c>
      <c r="Q455" t="n">
        <v>0</v>
      </c>
      <c r="R455" s="2" t="inlineStr"/>
    </row>
    <row r="456" ht="15" customHeight="1">
      <c r="A456" t="inlineStr">
        <is>
          <t>A 50814-2022</t>
        </is>
      </c>
      <c r="B456" s="1" t="n">
        <v>44867</v>
      </c>
      <c r="C456" s="1" t="n">
        <v>45364</v>
      </c>
      <c r="D456" t="inlineStr">
        <is>
          <t>DALARNAS LÄN</t>
        </is>
      </c>
      <c r="E456" t="inlineStr">
        <is>
          <t>LUDVIKA</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50862-2022</t>
        </is>
      </c>
      <c r="B457" s="1" t="n">
        <v>44867</v>
      </c>
      <c r="C457" s="1" t="n">
        <v>45364</v>
      </c>
      <c r="D457" t="inlineStr">
        <is>
          <t>DALARNAS LÄN</t>
        </is>
      </c>
      <c r="E457" t="inlineStr">
        <is>
          <t>LUDVIKA</t>
        </is>
      </c>
      <c r="F457" t="inlineStr">
        <is>
          <t>Naturvårdsverket</t>
        </is>
      </c>
      <c r="G457" t="n">
        <v>14</v>
      </c>
      <c r="H457" t="n">
        <v>0</v>
      </c>
      <c r="I457" t="n">
        <v>0</v>
      </c>
      <c r="J457" t="n">
        <v>0</v>
      </c>
      <c r="K457" t="n">
        <v>0</v>
      </c>
      <c r="L457" t="n">
        <v>0</v>
      </c>
      <c r="M457" t="n">
        <v>0</v>
      </c>
      <c r="N457" t="n">
        <v>0</v>
      </c>
      <c r="O457" t="n">
        <v>0</v>
      </c>
      <c r="P457" t="n">
        <v>0</v>
      </c>
      <c r="Q457" t="n">
        <v>0</v>
      </c>
      <c r="R457" s="2" t="inlineStr"/>
    </row>
    <row r="458" ht="15" customHeight="1">
      <c r="A458" t="inlineStr">
        <is>
          <t>A 51386-2022</t>
        </is>
      </c>
      <c r="B458" s="1" t="n">
        <v>44869</v>
      </c>
      <c r="C458" s="1" t="n">
        <v>45364</v>
      </c>
      <c r="D458" t="inlineStr">
        <is>
          <t>DALARNAS LÄN</t>
        </is>
      </c>
      <c r="E458" t="inlineStr">
        <is>
          <t>LUDVIKA</t>
        </is>
      </c>
      <c r="F458" t="inlineStr">
        <is>
          <t>Bergvik skog väst AB</t>
        </is>
      </c>
      <c r="G458" t="n">
        <v>5.2</v>
      </c>
      <c r="H458" t="n">
        <v>0</v>
      </c>
      <c r="I458" t="n">
        <v>0</v>
      </c>
      <c r="J458" t="n">
        <v>0</v>
      </c>
      <c r="K458" t="n">
        <v>0</v>
      </c>
      <c r="L458" t="n">
        <v>0</v>
      </c>
      <c r="M458" t="n">
        <v>0</v>
      </c>
      <c r="N458" t="n">
        <v>0</v>
      </c>
      <c r="O458" t="n">
        <v>0</v>
      </c>
      <c r="P458" t="n">
        <v>0</v>
      </c>
      <c r="Q458" t="n">
        <v>0</v>
      </c>
      <c r="R458" s="2" t="inlineStr"/>
    </row>
    <row r="459" ht="15" customHeight="1">
      <c r="A459" t="inlineStr">
        <is>
          <t>A 51453-2022</t>
        </is>
      </c>
      <c r="B459" s="1" t="n">
        <v>44869</v>
      </c>
      <c r="C459" s="1" t="n">
        <v>45364</v>
      </c>
      <c r="D459" t="inlineStr">
        <is>
          <t>DALARNAS LÄN</t>
        </is>
      </c>
      <c r="E459" t="inlineStr">
        <is>
          <t>LUDVIKA</t>
        </is>
      </c>
      <c r="F459" t="inlineStr">
        <is>
          <t>Bergvik skog väst AB</t>
        </is>
      </c>
      <c r="G459" t="n">
        <v>8</v>
      </c>
      <c r="H459" t="n">
        <v>0</v>
      </c>
      <c r="I459" t="n">
        <v>0</v>
      </c>
      <c r="J459" t="n">
        <v>0</v>
      </c>
      <c r="K459" t="n">
        <v>0</v>
      </c>
      <c r="L459" t="n">
        <v>0</v>
      </c>
      <c r="M459" t="n">
        <v>0</v>
      </c>
      <c r="N459" t="n">
        <v>0</v>
      </c>
      <c r="O459" t="n">
        <v>0</v>
      </c>
      <c r="P459" t="n">
        <v>0</v>
      </c>
      <c r="Q459" t="n">
        <v>0</v>
      </c>
      <c r="R459" s="2" t="inlineStr"/>
    </row>
    <row r="460" ht="15" customHeight="1">
      <c r="A460" t="inlineStr">
        <is>
          <t>A 52303-2022</t>
        </is>
      </c>
      <c r="B460" s="1" t="n">
        <v>44869</v>
      </c>
      <c r="C460" s="1" t="n">
        <v>45364</v>
      </c>
      <c r="D460" t="inlineStr">
        <is>
          <t>DALARNAS LÄN</t>
        </is>
      </c>
      <c r="E460" t="inlineStr">
        <is>
          <t>LUDVIKA</t>
        </is>
      </c>
      <c r="G460" t="n">
        <v>1</v>
      </c>
      <c r="H460" t="n">
        <v>0</v>
      </c>
      <c r="I460" t="n">
        <v>0</v>
      </c>
      <c r="J460" t="n">
        <v>0</v>
      </c>
      <c r="K460" t="n">
        <v>0</v>
      </c>
      <c r="L460" t="n">
        <v>0</v>
      </c>
      <c r="M460" t="n">
        <v>0</v>
      </c>
      <c r="N460" t="n">
        <v>0</v>
      </c>
      <c r="O460" t="n">
        <v>0</v>
      </c>
      <c r="P460" t="n">
        <v>0</v>
      </c>
      <c r="Q460" t="n">
        <v>0</v>
      </c>
      <c r="R460" s="2" t="inlineStr"/>
    </row>
    <row r="461" ht="15" customHeight="1">
      <c r="A461" t="inlineStr">
        <is>
          <t>A 51713-2022</t>
        </is>
      </c>
      <c r="B461" s="1" t="n">
        <v>44872</v>
      </c>
      <c r="C461" s="1" t="n">
        <v>45364</v>
      </c>
      <c r="D461" t="inlineStr">
        <is>
          <t>DALARNAS LÄN</t>
        </is>
      </c>
      <c r="E461" t="inlineStr">
        <is>
          <t>LUDVIKA</t>
        </is>
      </c>
      <c r="F461" t="inlineStr">
        <is>
          <t>Bergvik skog väst AB</t>
        </is>
      </c>
      <c r="G461" t="n">
        <v>1.6</v>
      </c>
      <c r="H461" t="n">
        <v>0</v>
      </c>
      <c r="I461" t="n">
        <v>0</v>
      </c>
      <c r="J461" t="n">
        <v>0</v>
      </c>
      <c r="K461" t="n">
        <v>0</v>
      </c>
      <c r="L461" t="n">
        <v>0</v>
      </c>
      <c r="M461" t="n">
        <v>0</v>
      </c>
      <c r="N461" t="n">
        <v>0</v>
      </c>
      <c r="O461" t="n">
        <v>0</v>
      </c>
      <c r="P461" t="n">
        <v>0</v>
      </c>
      <c r="Q461" t="n">
        <v>0</v>
      </c>
      <c r="R461" s="2" t="inlineStr"/>
    </row>
    <row r="462" ht="15" customHeight="1">
      <c r="A462" t="inlineStr">
        <is>
          <t>A 51659-2022</t>
        </is>
      </c>
      <c r="B462" s="1" t="n">
        <v>44872</v>
      </c>
      <c r="C462" s="1" t="n">
        <v>45364</v>
      </c>
      <c r="D462" t="inlineStr">
        <is>
          <t>DALARNAS LÄN</t>
        </is>
      </c>
      <c r="E462" t="inlineStr">
        <is>
          <t>LUDVIKA</t>
        </is>
      </c>
      <c r="G462" t="n">
        <v>0.7</v>
      </c>
      <c r="H462" t="n">
        <v>0</v>
      </c>
      <c r="I462" t="n">
        <v>0</v>
      </c>
      <c r="J462" t="n">
        <v>0</v>
      </c>
      <c r="K462" t="n">
        <v>0</v>
      </c>
      <c r="L462" t="n">
        <v>0</v>
      </c>
      <c r="M462" t="n">
        <v>0</v>
      </c>
      <c r="N462" t="n">
        <v>0</v>
      </c>
      <c r="O462" t="n">
        <v>0</v>
      </c>
      <c r="P462" t="n">
        <v>0</v>
      </c>
      <c r="Q462" t="n">
        <v>0</v>
      </c>
      <c r="R462" s="2" t="inlineStr"/>
    </row>
    <row r="463" ht="15" customHeight="1">
      <c r="A463" t="inlineStr">
        <is>
          <t>A 51709-2022</t>
        </is>
      </c>
      <c r="B463" s="1" t="n">
        <v>44872</v>
      </c>
      <c r="C463" s="1" t="n">
        <v>45364</v>
      </c>
      <c r="D463" t="inlineStr">
        <is>
          <t>DALARNAS LÄN</t>
        </is>
      </c>
      <c r="E463" t="inlineStr">
        <is>
          <t>LUDVIKA</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51886-2022</t>
        </is>
      </c>
      <c r="B464" s="1" t="n">
        <v>44872</v>
      </c>
      <c r="C464" s="1" t="n">
        <v>45364</v>
      </c>
      <c r="D464" t="inlineStr">
        <is>
          <t>DALARNAS LÄN</t>
        </is>
      </c>
      <c r="E464" t="inlineStr">
        <is>
          <t>LUDVIKA</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52432-2022</t>
        </is>
      </c>
      <c r="B465" s="1" t="n">
        <v>44874</v>
      </c>
      <c r="C465" s="1" t="n">
        <v>45364</v>
      </c>
      <c r="D465" t="inlineStr">
        <is>
          <t>DALARNAS LÄN</t>
        </is>
      </c>
      <c r="E465" t="inlineStr">
        <is>
          <t>LUDVIKA</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53509-2022</t>
        </is>
      </c>
      <c r="B466" s="1" t="n">
        <v>44879</v>
      </c>
      <c r="C466" s="1" t="n">
        <v>45364</v>
      </c>
      <c r="D466" t="inlineStr">
        <is>
          <t>DALARNAS LÄN</t>
        </is>
      </c>
      <c r="E466" t="inlineStr">
        <is>
          <t>LUDVIKA</t>
        </is>
      </c>
      <c r="F466" t="inlineStr">
        <is>
          <t>Naturvårdsverket</t>
        </is>
      </c>
      <c r="G466" t="n">
        <v>4.9</v>
      </c>
      <c r="H466" t="n">
        <v>0</v>
      </c>
      <c r="I466" t="n">
        <v>0</v>
      </c>
      <c r="J466" t="n">
        <v>0</v>
      </c>
      <c r="K466" t="n">
        <v>0</v>
      </c>
      <c r="L466" t="n">
        <v>0</v>
      </c>
      <c r="M466" t="n">
        <v>0</v>
      </c>
      <c r="N466" t="n">
        <v>0</v>
      </c>
      <c r="O466" t="n">
        <v>0</v>
      </c>
      <c r="P466" t="n">
        <v>0</v>
      </c>
      <c r="Q466" t="n">
        <v>0</v>
      </c>
      <c r="R466" s="2" t="inlineStr"/>
    </row>
    <row r="467" ht="15" customHeight="1">
      <c r="A467" t="inlineStr">
        <is>
          <t>A 53619-2022</t>
        </is>
      </c>
      <c r="B467" s="1" t="n">
        <v>44879</v>
      </c>
      <c r="C467" s="1" t="n">
        <v>45364</v>
      </c>
      <c r="D467" t="inlineStr">
        <is>
          <t>DALARNAS LÄN</t>
        </is>
      </c>
      <c r="E467" t="inlineStr">
        <is>
          <t>LUDVIKA</t>
        </is>
      </c>
      <c r="G467" t="n">
        <v>1</v>
      </c>
      <c r="H467" t="n">
        <v>0</v>
      </c>
      <c r="I467" t="n">
        <v>0</v>
      </c>
      <c r="J467" t="n">
        <v>0</v>
      </c>
      <c r="K467" t="n">
        <v>0</v>
      </c>
      <c r="L467" t="n">
        <v>0</v>
      </c>
      <c r="M467" t="n">
        <v>0</v>
      </c>
      <c r="N467" t="n">
        <v>0</v>
      </c>
      <c r="O467" t="n">
        <v>0</v>
      </c>
      <c r="P467" t="n">
        <v>0</v>
      </c>
      <c r="Q467" t="n">
        <v>0</v>
      </c>
      <c r="R467" s="2" t="inlineStr"/>
    </row>
    <row r="468" ht="15" customHeight="1">
      <c r="A468" t="inlineStr">
        <is>
          <t>A 53620-2022</t>
        </is>
      </c>
      <c r="B468" s="1" t="n">
        <v>44879</v>
      </c>
      <c r="C468" s="1" t="n">
        <v>45364</v>
      </c>
      <c r="D468" t="inlineStr">
        <is>
          <t>DALARNAS LÄN</t>
        </is>
      </c>
      <c r="E468" t="inlineStr">
        <is>
          <t>LUDVIKA</t>
        </is>
      </c>
      <c r="G468" t="n">
        <v>3.7</v>
      </c>
      <c r="H468" t="n">
        <v>0</v>
      </c>
      <c r="I468" t="n">
        <v>0</v>
      </c>
      <c r="J468" t="n">
        <v>0</v>
      </c>
      <c r="K468" t="n">
        <v>0</v>
      </c>
      <c r="L468" t="n">
        <v>0</v>
      </c>
      <c r="M468" t="n">
        <v>0</v>
      </c>
      <c r="N468" t="n">
        <v>0</v>
      </c>
      <c r="O468" t="n">
        <v>0</v>
      </c>
      <c r="P468" t="n">
        <v>0</v>
      </c>
      <c r="Q468" t="n">
        <v>0</v>
      </c>
      <c r="R468" s="2" t="inlineStr"/>
    </row>
    <row r="469" ht="15" customHeight="1">
      <c r="A469" t="inlineStr">
        <is>
          <t>A 53705-2022</t>
        </is>
      </c>
      <c r="B469" s="1" t="n">
        <v>44880</v>
      </c>
      <c r="C469" s="1" t="n">
        <v>45364</v>
      </c>
      <c r="D469" t="inlineStr">
        <is>
          <t>DALARNAS LÄN</t>
        </is>
      </c>
      <c r="E469" t="inlineStr">
        <is>
          <t>LUDVIKA</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54730-2022</t>
        </is>
      </c>
      <c r="B470" s="1" t="n">
        <v>44883</v>
      </c>
      <c r="C470" s="1" t="n">
        <v>45364</v>
      </c>
      <c r="D470" t="inlineStr">
        <is>
          <t>DALARNAS LÄN</t>
        </is>
      </c>
      <c r="E470" t="inlineStr">
        <is>
          <t>LUDVIKA</t>
        </is>
      </c>
      <c r="F470" t="inlineStr">
        <is>
          <t>Bergvik skog väst AB</t>
        </is>
      </c>
      <c r="G470" t="n">
        <v>2.4</v>
      </c>
      <c r="H470" t="n">
        <v>0</v>
      </c>
      <c r="I470" t="n">
        <v>0</v>
      </c>
      <c r="J470" t="n">
        <v>0</v>
      </c>
      <c r="K470" t="n">
        <v>0</v>
      </c>
      <c r="L470" t="n">
        <v>0</v>
      </c>
      <c r="M470" t="n">
        <v>0</v>
      </c>
      <c r="N470" t="n">
        <v>0</v>
      </c>
      <c r="O470" t="n">
        <v>0</v>
      </c>
      <c r="P470" t="n">
        <v>0</v>
      </c>
      <c r="Q470" t="n">
        <v>0</v>
      </c>
      <c r="R470" s="2" t="inlineStr"/>
    </row>
    <row r="471" ht="15" customHeight="1">
      <c r="A471" t="inlineStr">
        <is>
          <t>A 54767-2022</t>
        </is>
      </c>
      <c r="B471" s="1" t="n">
        <v>44883</v>
      </c>
      <c r="C471" s="1" t="n">
        <v>45364</v>
      </c>
      <c r="D471" t="inlineStr">
        <is>
          <t>DALARNAS LÄN</t>
        </is>
      </c>
      <c r="E471" t="inlineStr">
        <is>
          <t>LUDVIKA</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54914-2022</t>
        </is>
      </c>
      <c r="B472" s="1" t="n">
        <v>44886</v>
      </c>
      <c r="C472" s="1" t="n">
        <v>45364</v>
      </c>
      <c r="D472" t="inlineStr">
        <is>
          <t>DALARNAS LÄN</t>
        </is>
      </c>
      <c r="E472" t="inlineStr">
        <is>
          <t>LUDVIKA</t>
        </is>
      </c>
      <c r="F472" t="inlineStr">
        <is>
          <t>Naturvårdsverket</t>
        </is>
      </c>
      <c r="G472" t="n">
        <v>0.6</v>
      </c>
      <c r="H472" t="n">
        <v>0</v>
      </c>
      <c r="I472" t="n">
        <v>0</v>
      </c>
      <c r="J472" t="n">
        <v>0</v>
      </c>
      <c r="K472" t="n">
        <v>0</v>
      </c>
      <c r="L472" t="n">
        <v>0</v>
      </c>
      <c r="M472" t="n">
        <v>0</v>
      </c>
      <c r="N472" t="n">
        <v>0</v>
      </c>
      <c r="O472" t="n">
        <v>0</v>
      </c>
      <c r="P472" t="n">
        <v>0</v>
      </c>
      <c r="Q472" t="n">
        <v>0</v>
      </c>
      <c r="R472" s="2" t="inlineStr"/>
    </row>
    <row r="473" ht="15" customHeight="1">
      <c r="A473" t="inlineStr">
        <is>
          <t>A 55262-2022</t>
        </is>
      </c>
      <c r="B473" s="1" t="n">
        <v>44887</v>
      </c>
      <c r="C473" s="1" t="n">
        <v>45364</v>
      </c>
      <c r="D473" t="inlineStr">
        <is>
          <t>DALARNAS LÄN</t>
        </is>
      </c>
      <c r="E473" t="inlineStr">
        <is>
          <t>LUDVIKA</t>
        </is>
      </c>
      <c r="F473" t="inlineStr">
        <is>
          <t>Bergvik skog väst AB</t>
        </is>
      </c>
      <c r="G473" t="n">
        <v>4.4</v>
      </c>
      <c r="H473" t="n">
        <v>0</v>
      </c>
      <c r="I473" t="n">
        <v>0</v>
      </c>
      <c r="J473" t="n">
        <v>0</v>
      </c>
      <c r="K473" t="n">
        <v>0</v>
      </c>
      <c r="L473" t="n">
        <v>0</v>
      </c>
      <c r="M473" t="n">
        <v>0</v>
      </c>
      <c r="N473" t="n">
        <v>0</v>
      </c>
      <c r="O473" t="n">
        <v>0</v>
      </c>
      <c r="P473" t="n">
        <v>0</v>
      </c>
      <c r="Q473" t="n">
        <v>0</v>
      </c>
      <c r="R473" s="2" t="inlineStr"/>
    </row>
    <row r="474" ht="15" customHeight="1">
      <c r="A474" t="inlineStr">
        <is>
          <t>A 56346-2022</t>
        </is>
      </c>
      <c r="B474" s="1" t="n">
        <v>44890</v>
      </c>
      <c r="C474" s="1" t="n">
        <v>45364</v>
      </c>
      <c r="D474" t="inlineStr">
        <is>
          <t>DALARNAS LÄN</t>
        </is>
      </c>
      <c r="E474" t="inlineStr">
        <is>
          <t>LUDVIKA</t>
        </is>
      </c>
      <c r="F474" t="inlineStr">
        <is>
          <t>Bergvik skog väst AB</t>
        </is>
      </c>
      <c r="G474" t="n">
        <v>1.2</v>
      </c>
      <c r="H474" t="n">
        <v>0</v>
      </c>
      <c r="I474" t="n">
        <v>0</v>
      </c>
      <c r="J474" t="n">
        <v>0</v>
      </c>
      <c r="K474" t="n">
        <v>0</v>
      </c>
      <c r="L474" t="n">
        <v>0</v>
      </c>
      <c r="M474" t="n">
        <v>0</v>
      </c>
      <c r="N474" t="n">
        <v>0</v>
      </c>
      <c r="O474" t="n">
        <v>0</v>
      </c>
      <c r="P474" t="n">
        <v>0</v>
      </c>
      <c r="Q474" t="n">
        <v>0</v>
      </c>
      <c r="R474" s="2" t="inlineStr"/>
    </row>
    <row r="475" ht="15" customHeight="1">
      <c r="A475" t="inlineStr">
        <is>
          <t>A 56347-2022</t>
        </is>
      </c>
      <c r="B475" s="1" t="n">
        <v>44890</v>
      </c>
      <c r="C475" s="1" t="n">
        <v>45364</v>
      </c>
      <c r="D475" t="inlineStr">
        <is>
          <t>DALARNAS LÄN</t>
        </is>
      </c>
      <c r="E475" t="inlineStr">
        <is>
          <t>LUDVIKA</t>
        </is>
      </c>
      <c r="F475" t="inlineStr">
        <is>
          <t>Bergvik skog väst AB</t>
        </is>
      </c>
      <c r="G475" t="n">
        <v>1</v>
      </c>
      <c r="H475" t="n">
        <v>0</v>
      </c>
      <c r="I475" t="n">
        <v>0</v>
      </c>
      <c r="J475" t="n">
        <v>0</v>
      </c>
      <c r="K475" t="n">
        <v>0</v>
      </c>
      <c r="L475" t="n">
        <v>0</v>
      </c>
      <c r="M475" t="n">
        <v>0</v>
      </c>
      <c r="N475" t="n">
        <v>0</v>
      </c>
      <c r="O475" t="n">
        <v>0</v>
      </c>
      <c r="P475" t="n">
        <v>0</v>
      </c>
      <c r="Q475" t="n">
        <v>0</v>
      </c>
      <c r="R475" s="2" t="inlineStr"/>
    </row>
    <row r="476" ht="15" customHeight="1">
      <c r="A476" t="inlineStr">
        <is>
          <t>A 56680-2022</t>
        </is>
      </c>
      <c r="B476" s="1" t="n">
        <v>44893</v>
      </c>
      <c r="C476" s="1" t="n">
        <v>45364</v>
      </c>
      <c r="D476" t="inlineStr">
        <is>
          <t>DALARNAS LÄN</t>
        </is>
      </c>
      <c r="E476" t="inlineStr">
        <is>
          <t>LUDVIKA</t>
        </is>
      </c>
      <c r="G476" t="n">
        <v>0.4</v>
      </c>
      <c r="H476" t="n">
        <v>0</v>
      </c>
      <c r="I476" t="n">
        <v>0</v>
      </c>
      <c r="J476" t="n">
        <v>0</v>
      </c>
      <c r="K476" t="n">
        <v>0</v>
      </c>
      <c r="L476" t="n">
        <v>0</v>
      </c>
      <c r="M476" t="n">
        <v>0</v>
      </c>
      <c r="N476" t="n">
        <v>0</v>
      </c>
      <c r="O476" t="n">
        <v>0</v>
      </c>
      <c r="P476" t="n">
        <v>0</v>
      </c>
      <c r="Q476" t="n">
        <v>0</v>
      </c>
      <c r="R476" s="2" t="inlineStr"/>
    </row>
    <row r="477" ht="15" customHeight="1">
      <c r="A477" t="inlineStr">
        <is>
          <t>A 56686-2022</t>
        </is>
      </c>
      <c r="B477" s="1" t="n">
        <v>44893</v>
      </c>
      <c r="C477" s="1" t="n">
        <v>45364</v>
      </c>
      <c r="D477" t="inlineStr">
        <is>
          <t>DALARNAS LÄN</t>
        </is>
      </c>
      <c r="E477" t="inlineStr">
        <is>
          <t>LUDVIKA</t>
        </is>
      </c>
      <c r="G477" t="n">
        <v>0.7</v>
      </c>
      <c r="H477" t="n">
        <v>0</v>
      </c>
      <c r="I477" t="n">
        <v>0</v>
      </c>
      <c r="J477" t="n">
        <v>0</v>
      </c>
      <c r="K477" t="n">
        <v>0</v>
      </c>
      <c r="L477" t="n">
        <v>0</v>
      </c>
      <c r="M477" t="n">
        <v>0</v>
      </c>
      <c r="N477" t="n">
        <v>0</v>
      </c>
      <c r="O477" t="n">
        <v>0</v>
      </c>
      <c r="P477" t="n">
        <v>0</v>
      </c>
      <c r="Q477" t="n">
        <v>0</v>
      </c>
      <c r="R477" s="2" t="inlineStr"/>
    </row>
    <row r="478" ht="15" customHeight="1">
      <c r="A478" t="inlineStr">
        <is>
          <t>A 56685-2022</t>
        </is>
      </c>
      <c r="B478" s="1" t="n">
        <v>44893</v>
      </c>
      <c r="C478" s="1" t="n">
        <v>45364</v>
      </c>
      <c r="D478" t="inlineStr">
        <is>
          <t>DALARNAS LÄN</t>
        </is>
      </c>
      <c r="E478" t="inlineStr">
        <is>
          <t>LUDVIKA</t>
        </is>
      </c>
      <c r="G478" t="n">
        <v>0.6</v>
      </c>
      <c r="H478" t="n">
        <v>0</v>
      </c>
      <c r="I478" t="n">
        <v>0</v>
      </c>
      <c r="J478" t="n">
        <v>0</v>
      </c>
      <c r="K478" t="n">
        <v>0</v>
      </c>
      <c r="L478" t="n">
        <v>0</v>
      </c>
      <c r="M478" t="n">
        <v>0</v>
      </c>
      <c r="N478" t="n">
        <v>0</v>
      </c>
      <c r="O478" t="n">
        <v>0</v>
      </c>
      <c r="P478" t="n">
        <v>0</v>
      </c>
      <c r="Q478" t="n">
        <v>0</v>
      </c>
      <c r="R478" s="2" t="inlineStr"/>
    </row>
    <row r="479" ht="15" customHeight="1">
      <c r="A479" t="inlineStr">
        <is>
          <t>A 57193-2022</t>
        </is>
      </c>
      <c r="B479" s="1" t="n">
        <v>44895</v>
      </c>
      <c r="C479" s="1" t="n">
        <v>45364</v>
      </c>
      <c r="D479" t="inlineStr">
        <is>
          <t>DALARNAS LÄN</t>
        </is>
      </c>
      <c r="E479" t="inlineStr">
        <is>
          <t>LUDVIKA</t>
        </is>
      </c>
      <c r="F479" t="inlineStr">
        <is>
          <t>Bergvik skog väst AB</t>
        </is>
      </c>
      <c r="G479" t="n">
        <v>3.4</v>
      </c>
      <c r="H479" t="n">
        <v>0</v>
      </c>
      <c r="I479" t="n">
        <v>0</v>
      </c>
      <c r="J479" t="n">
        <v>0</v>
      </c>
      <c r="K479" t="n">
        <v>0</v>
      </c>
      <c r="L479" t="n">
        <v>0</v>
      </c>
      <c r="M479" t="n">
        <v>0</v>
      </c>
      <c r="N479" t="n">
        <v>0</v>
      </c>
      <c r="O479" t="n">
        <v>0</v>
      </c>
      <c r="P479" t="n">
        <v>0</v>
      </c>
      <c r="Q479" t="n">
        <v>0</v>
      </c>
      <c r="R479" s="2" t="inlineStr"/>
    </row>
    <row r="480" ht="15" customHeight="1">
      <c r="A480" t="inlineStr">
        <is>
          <t>A 58021-2022</t>
        </is>
      </c>
      <c r="B480" s="1" t="n">
        <v>44900</v>
      </c>
      <c r="C480" s="1" t="n">
        <v>45364</v>
      </c>
      <c r="D480" t="inlineStr">
        <is>
          <t>DALARNAS LÄN</t>
        </is>
      </c>
      <c r="E480" t="inlineStr">
        <is>
          <t>LUDVIKA</t>
        </is>
      </c>
      <c r="F480" t="inlineStr">
        <is>
          <t>Bergvik skog väst AB</t>
        </is>
      </c>
      <c r="G480" t="n">
        <v>22.3</v>
      </c>
      <c r="H480" t="n">
        <v>0</v>
      </c>
      <c r="I480" t="n">
        <v>0</v>
      </c>
      <c r="J480" t="n">
        <v>0</v>
      </c>
      <c r="K480" t="n">
        <v>0</v>
      </c>
      <c r="L480" t="n">
        <v>0</v>
      </c>
      <c r="M480" t="n">
        <v>0</v>
      </c>
      <c r="N480" t="n">
        <v>0</v>
      </c>
      <c r="O480" t="n">
        <v>0</v>
      </c>
      <c r="P480" t="n">
        <v>0</v>
      </c>
      <c r="Q480" t="n">
        <v>0</v>
      </c>
      <c r="R480" s="2" t="inlineStr"/>
    </row>
    <row r="481" ht="15" customHeight="1">
      <c r="A481" t="inlineStr">
        <is>
          <t>A 59050-2022</t>
        </is>
      </c>
      <c r="B481" s="1" t="n">
        <v>44903</v>
      </c>
      <c r="C481" s="1" t="n">
        <v>45364</v>
      </c>
      <c r="D481" t="inlineStr">
        <is>
          <t>DALARNAS LÄN</t>
        </is>
      </c>
      <c r="E481" t="inlineStr">
        <is>
          <t>LUDVIKA</t>
        </is>
      </c>
      <c r="G481" t="n">
        <v>2.8</v>
      </c>
      <c r="H481" t="n">
        <v>0</v>
      </c>
      <c r="I481" t="n">
        <v>0</v>
      </c>
      <c r="J481" t="n">
        <v>0</v>
      </c>
      <c r="K481" t="n">
        <v>0</v>
      </c>
      <c r="L481" t="n">
        <v>0</v>
      </c>
      <c r="M481" t="n">
        <v>0</v>
      </c>
      <c r="N481" t="n">
        <v>0</v>
      </c>
      <c r="O481" t="n">
        <v>0</v>
      </c>
      <c r="P481" t="n">
        <v>0</v>
      </c>
      <c r="Q481" t="n">
        <v>0</v>
      </c>
      <c r="R481" s="2" t="inlineStr"/>
    </row>
    <row r="482" ht="15" customHeight="1">
      <c r="A482" t="inlineStr">
        <is>
          <t>A 59415-2022</t>
        </is>
      </c>
      <c r="B482" s="1" t="n">
        <v>44907</v>
      </c>
      <c r="C482" s="1" t="n">
        <v>45364</v>
      </c>
      <c r="D482" t="inlineStr">
        <is>
          <t>DALARNAS LÄN</t>
        </is>
      </c>
      <c r="E482" t="inlineStr">
        <is>
          <t>LUDVIKA</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59413-2022</t>
        </is>
      </c>
      <c r="B483" s="1" t="n">
        <v>44907</v>
      </c>
      <c r="C483" s="1" t="n">
        <v>45364</v>
      </c>
      <c r="D483" t="inlineStr">
        <is>
          <t>DALARNAS LÄN</t>
        </is>
      </c>
      <c r="E483" t="inlineStr">
        <is>
          <t>LUDVIKA</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61050-2022</t>
        </is>
      </c>
      <c r="B484" s="1" t="n">
        <v>44915</v>
      </c>
      <c r="C484" s="1" t="n">
        <v>45364</v>
      </c>
      <c r="D484" t="inlineStr">
        <is>
          <t>DALARNAS LÄN</t>
        </is>
      </c>
      <c r="E484" t="inlineStr">
        <is>
          <t>LUDVIKA</t>
        </is>
      </c>
      <c r="G484" t="n">
        <v>2.4</v>
      </c>
      <c r="H484" t="n">
        <v>0</v>
      </c>
      <c r="I484" t="n">
        <v>0</v>
      </c>
      <c r="J484" t="n">
        <v>0</v>
      </c>
      <c r="K484" t="n">
        <v>0</v>
      </c>
      <c r="L484" t="n">
        <v>0</v>
      </c>
      <c r="M484" t="n">
        <v>0</v>
      </c>
      <c r="N484" t="n">
        <v>0</v>
      </c>
      <c r="O484" t="n">
        <v>0</v>
      </c>
      <c r="P484" t="n">
        <v>0</v>
      </c>
      <c r="Q484" t="n">
        <v>0</v>
      </c>
      <c r="R484" s="2" t="inlineStr"/>
    </row>
    <row r="485" ht="15" customHeight="1">
      <c r="A485" t="inlineStr">
        <is>
          <t>A 61309-2022</t>
        </is>
      </c>
      <c r="B485" s="1" t="n">
        <v>44915</v>
      </c>
      <c r="C485" s="1" t="n">
        <v>45364</v>
      </c>
      <c r="D485" t="inlineStr">
        <is>
          <t>DALARNAS LÄN</t>
        </is>
      </c>
      <c r="E485" t="inlineStr">
        <is>
          <t>LUDVIKA</t>
        </is>
      </c>
      <c r="F485" t="inlineStr">
        <is>
          <t>Bergvik skog väst AB</t>
        </is>
      </c>
      <c r="G485" t="n">
        <v>2.3</v>
      </c>
      <c r="H485" t="n">
        <v>0</v>
      </c>
      <c r="I485" t="n">
        <v>0</v>
      </c>
      <c r="J485" t="n">
        <v>0</v>
      </c>
      <c r="K485" t="n">
        <v>0</v>
      </c>
      <c r="L485" t="n">
        <v>0</v>
      </c>
      <c r="M485" t="n">
        <v>0</v>
      </c>
      <c r="N485" t="n">
        <v>0</v>
      </c>
      <c r="O485" t="n">
        <v>0</v>
      </c>
      <c r="P485" t="n">
        <v>0</v>
      </c>
      <c r="Q485" t="n">
        <v>0</v>
      </c>
      <c r="R485" s="2" t="inlineStr"/>
    </row>
    <row r="486" ht="15" customHeight="1">
      <c r="A486" t="inlineStr">
        <is>
          <t>A 61278-2022</t>
        </is>
      </c>
      <c r="B486" s="1" t="n">
        <v>44915</v>
      </c>
      <c r="C486" s="1" t="n">
        <v>45364</v>
      </c>
      <c r="D486" t="inlineStr">
        <is>
          <t>DALARNAS LÄN</t>
        </is>
      </c>
      <c r="E486" t="inlineStr">
        <is>
          <t>LUDVIKA</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61621-2022</t>
        </is>
      </c>
      <c r="B487" s="1" t="n">
        <v>44916</v>
      </c>
      <c r="C487" s="1" t="n">
        <v>45364</v>
      </c>
      <c r="D487" t="inlineStr">
        <is>
          <t>DALARNAS LÄN</t>
        </is>
      </c>
      <c r="E487" t="inlineStr">
        <is>
          <t>LUDVIKA</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62275-2022</t>
        </is>
      </c>
      <c r="B488" s="1" t="n">
        <v>44923</v>
      </c>
      <c r="C488" s="1" t="n">
        <v>45364</v>
      </c>
      <c r="D488" t="inlineStr">
        <is>
          <t>DALARNAS LÄN</t>
        </is>
      </c>
      <c r="E488" t="inlineStr">
        <is>
          <t>LUDVIKA</t>
        </is>
      </c>
      <c r="G488" t="n">
        <v>4.6</v>
      </c>
      <c r="H488" t="n">
        <v>0</v>
      </c>
      <c r="I488" t="n">
        <v>0</v>
      </c>
      <c r="J488" t="n">
        <v>0</v>
      </c>
      <c r="K488" t="n">
        <v>0</v>
      </c>
      <c r="L488" t="n">
        <v>0</v>
      </c>
      <c r="M488" t="n">
        <v>0</v>
      </c>
      <c r="N488" t="n">
        <v>0</v>
      </c>
      <c r="O488" t="n">
        <v>0</v>
      </c>
      <c r="P488" t="n">
        <v>0</v>
      </c>
      <c r="Q488" t="n">
        <v>0</v>
      </c>
      <c r="R488" s="2" t="inlineStr"/>
    </row>
    <row r="489" ht="15" customHeight="1">
      <c r="A489" t="inlineStr">
        <is>
          <t>A 400-2023</t>
        </is>
      </c>
      <c r="B489" s="1" t="n">
        <v>44929</v>
      </c>
      <c r="C489" s="1" t="n">
        <v>45364</v>
      </c>
      <c r="D489" t="inlineStr">
        <is>
          <t>DALARNAS LÄN</t>
        </is>
      </c>
      <c r="E489" t="inlineStr">
        <is>
          <t>LUDVIKA</t>
        </is>
      </c>
      <c r="G489" t="n">
        <v>3.6</v>
      </c>
      <c r="H489" t="n">
        <v>0</v>
      </c>
      <c r="I489" t="n">
        <v>0</v>
      </c>
      <c r="J489" t="n">
        <v>0</v>
      </c>
      <c r="K489" t="n">
        <v>0</v>
      </c>
      <c r="L489" t="n">
        <v>0</v>
      </c>
      <c r="M489" t="n">
        <v>0</v>
      </c>
      <c r="N489" t="n">
        <v>0</v>
      </c>
      <c r="O489" t="n">
        <v>0</v>
      </c>
      <c r="P489" t="n">
        <v>0</v>
      </c>
      <c r="Q489" t="n">
        <v>0</v>
      </c>
      <c r="R489" s="2" t="inlineStr"/>
    </row>
    <row r="490" ht="15" customHeight="1">
      <c r="A490" t="inlineStr">
        <is>
          <t>A 381-2023</t>
        </is>
      </c>
      <c r="B490" s="1" t="n">
        <v>44929</v>
      </c>
      <c r="C490" s="1" t="n">
        <v>45364</v>
      </c>
      <c r="D490" t="inlineStr">
        <is>
          <t>DALARNAS LÄN</t>
        </is>
      </c>
      <c r="E490" t="inlineStr">
        <is>
          <t>LUDVIKA</t>
        </is>
      </c>
      <c r="G490" t="n">
        <v>7.9</v>
      </c>
      <c r="H490" t="n">
        <v>0</v>
      </c>
      <c r="I490" t="n">
        <v>0</v>
      </c>
      <c r="J490" t="n">
        <v>0</v>
      </c>
      <c r="K490" t="n">
        <v>0</v>
      </c>
      <c r="L490" t="n">
        <v>0</v>
      </c>
      <c r="M490" t="n">
        <v>0</v>
      </c>
      <c r="N490" t="n">
        <v>0</v>
      </c>
      <c r="O490" t="n">
        <v>0</v>
      </c>
      <c r="P490" t="n">
        <v>0</v>
      </c>
      <c r="Q490" t="n">
        <v>0</v>
      </c>
      <c r="R490" s="2" t="inlineStr"/>
    </row>
    <row r="491" ht="15" customHeight="1">
      <c r="A491" t="inlineStr">
        <is>
          <t>A 1047-2023</t>
        </is>
      </c>
      <c r="B491" s="1" t="n">
        <v>44929</v>
      </c>
      <c r="C491" s="1" t="n">
        <v>45364</v>
      </c>
      <c r="D491" t="inlineStr">
        <is>
          <t>DALARNAS LÄN</t>
        </is>
      </c>
      <c r="E491" t="inlineStr">
        <is>
          <t>LUDVIKA</t>
        </is>
      </c>
      <c r="F491" t="inlineStr">
        <is>
          <t>Kommuner</t>
        </is>
      </c>
      <c r="G491" t="n">
        <v>3.2</v>
      </c>
      <c r="H491" t="n">
        <v>0</v>
      </c>
      <c r="I491" t="n">
        <v>0</v>
      </c>
      <c r="J491" t="n">
        <v>0</v>
      </c>
      <c r="K491" t="n">
        <v>0</v>
      </c>
      <c r="L491" t="n">
        <v>0</v>
      </c>
      <c r="M491" t="n">
        <v>0</v>
      </c>
      <c r="N491" t="n">
        <v>0</v>
      </c>
      <c r="O491" t="n">
        <v>0</v>
      </c>
      <c r="P491" t="n">
        <v>0</v>
      </c>
      <c r="Q491" t="n">
        <v>0</v>
      </c>
      <c r="R491" s="2" t="inlineStr"/>
    </row>
    <row r="492" ht="15" customHeight="1">
      <c r="A492" t="inlineStr">
        <is>
          <t>A 1647-2023</t>
        </is>
      </c>
      <c r="B492" s="1" t="n">
        <v>44937</v>
      </c>
      <c r="C492" s="1" t="n">
        <v>45364</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1852-2023</t>
        </is>
      </c>
      <c r="B493" s="1" t="n">
        <v>44938</v>
      </c>
      <c r="C493" s="1" t="n">
        <v>45364</v>
      </c>
      <c r="D493" t="inlineStr">
        <is>
          <t>DALARNAS LÄN</t>
        </is>
      </c>
      <c r="E493" t="inlineStr">
        <is>
          <t>LUDVIKA</t>
        </is>
      </c>
      <c r="G493" t="n">
        <v>4</v>
      </c>
      <c r="H493" t="n">
        <v>0</v>
      </c>
      <c r="I493" t="n">
        <v>0</v>
      </c>
      <c r="J493" t="n">
        <v>0</v>
      </c>
      <c r="K493" t="n">
        <v>0</v>
      </c>
      <c r="L493" t="n">
        <v>0</v>
      </c>
      <c r="M493" t="n">
        <v>0</v>
      </c>
      <c r="N493" t="n">
        <v>0</v>
      </c>
      <c r="O493" t="n">
        <v>0</v>
      </c>
      <c r="P493" t="n">
        <v>0</v>
      </c>
      <c r="Q493" t="n">
        <v>0</v>
      </c>
      <c r="R493" s="2" t="inlineStr"/>
    </row>
    <row r="494" ht="15" customHeight="1">
      <c r="A494" t="inlineStr">
        <is>
          <t>A 1878-2023</t>
        </is>
      </c>
      <c r="B494" s="1" t="n">
        <v>44939</v>
      </c>
      <c r="C494" s="1" t="n">
        <v>45364</v>
      </c>
      <c r="D494" t="inlineStr">
        <is>
          <t>DALARNAS LÄN</t>
        </is>
      </c>
      <c r="E494" t="inlineStr">
        <is>
          <t>LUDVIKA</t>
        </is>
      </c>
      <c r="G494" t="n">
        <v>1.5</v>
      </c>
      <c r="H494" t="n">
        <v>0</v>
      </c>
      <c r="I494" t="n">
        <v>0</v>
      </c>
      <c r="J494" t="n">
        <v>0</v>
      </c>
      <c r="K494" t="n">
        <v>0</v>
      </c>
      <c r="L494" t="n">
        <v>0</v>
      </c>
      <c r="M494" t="n">
        <v>0</v>
      </c>
      <c r="N494" t="n">
        <v>0</v>
      </c>
      <c r="O494" t="n">
        <v>0</v>
      </c>
      <c r="P494" t="n">
        <v>0</v>
      </c>
      <c r="Q494" t="n">
        <v>0</v>
      </c>
      <c r="R494" s="2" t="inlineStr"/>
    </row>
    <row r="495" ht="15" customHeight="1">
      <c r="A495" t="inlineStr">
        <is>
          <t>A 2614-2023</t>
        </is>
      </c>
      <c r="B495" s="1" t="n">
        <v>44942</v>
      </c>
      <c r="C495" s="1" t="n">
        <v>45364</v>
      </c>
      <c r="D495" t="inlineStr">
        <is>
          <t>DALARNAS LÄN</t>
        </is>
      </c>
      <c r="E495" t="inlineStr">
        <is>
          <t>LUDVIKA</t>
        </is>
      </c>
      <c r="G495" t="n">
        <v>13.1</v>
      </c>
      <c r="H495" t="n">
        <v>0</v>
      </c>
      <c r="I495" t="n">
        <v>0</v>
      </c>
      <c r="J495" t="n">
        <v>0</v>
      </c>
      <c r="K495" t="n">
        <v>0</v>
      </c>
      <c r="L495" t="n">
        <v>0</v>
      </c>
      <c r="M495" t="n">
        <v>0</v>
      </c>
      <c r="N495" t="n">
        <v>0</v>
      </c>
      <c r="O495" t="n">
        <v>0</v>
      </c>
      <c r="P495" t="n">
        <v>0</v>
      </c>
      <c r="Q495" t="n">
        <v>0</v>
      </c>
      <c r="R495" s="2" t="inlineStr"/>
    </row>
    <row r="496" ht="15" customHeight="1">
      <c r="A496" t="inlineStr">
        <is>
          <t>A 3509-2023</t>
        </is>
      </c>
      <c r="B496" s="1" t="n">
        <v>44950</v>
      </c>
      <c r="C496" s="1" t="n">
        <v>45364</v>
      </c>
      <c r="D496" t="inlineStr">
        <is>
          <t>DALARNAS LÄN</t>
        </is>
      </c>
      <c r="E496" t="inlineStr">
        <is>
          <t>LUDVIKA</t>
        </is>
      </c>
      <c r="F496" t="inlineStr">
        <is>
          <t>Naturvårdsverket</t>
        </is>
      </c>
      <c r="G496" t="n">
        <v>5.1</v>
      </c>
      <c r="H496" t="n">
        <v>0</v>
      </c>
      <c r="I496" t="n">
        <v>0</v>
      </c>
      <c r="J496" t="n">
        <v>0</v>
      </c>
      <c r="K496" t="n">
        <v>0</v>
      </c>
      <c r="L496" t="n">
        <v>0</v>
      </c>
      <c r="M496" t="n">
        <v>0</v>
      </c>
      <c r="N496" t="n">
        <v>0</v>
      </c>
      <c r="O496" t="n">
        <v>0</v>
      </c>
      <c r="P496" t="n">
        <v>0</v>
      </c>
      <c r="Q496" t="n">
        <v>0</v>
      </c>
      <c r="R496" s="2" t="inlineStr"/>
    </row>
    <row r="497" ht="15" customHeight="1">
      <c r="A497" t="inlineStr">
        <is>
          <t>A 4705-2023</t>
        </is>
      </c>
      <c r="B497" s="1" t="n">
        <v>44957</v>
      </c>
      <c r="C497" s="1" t="n">
        <v>45364</v>
      </c>
      <c r="D497" t="inlineStr">
        <is>
          <t>DALARNAS LÄN</t>
        </is>
      </c>
      <c r="E497" t="inlineStr">
        <is>
          <t>LUDVIKA</t>
        </is>
      </c>
      <c r="F497" t="inlineStr">
        <is>
          <t>Bergvik skog väst AB</t>
        </is>
      </c>
      <c r="G497" t="n">
        <v>2.8</v>
      </c>
      <c r="H497" t="n">
        <v>0</v>
      </c>
      <c r="I497" t="n">
        <v>0</v>
      </c>
      <c r="J497" t="n">
        <v>0</v>
      </c>
      <c r="K497" t="n">
        <v>0</v>
      </c>
      <c r="L497" t="n">
        <v>0</v>
      </c>
      <c r="M497" t="n">
        <v>0</v>
      </c>
      <c r="N497" t="n">
        <v>0</v>
      </c>
      <c r="O497" t="n">
        <v>0</v>
      </c>
      <c r="P497" t="n">
        <v>0</v>
      </c>
      <c r="Q497" t="n">
        <v>0</v>
      </c>
      <c r="R497" s="2" t="inlineStr"/>
    </row>
    <row r="498" ht="15" customHeight="1">
      <c r="A498" t="inlineStr">
        <is>
          <t>A 4703-2023</t>
        </is>
      </c>
      <c r="B498" s="1" t="n">
        <v>44957</v>
      </c>
      <c r="C498" s="1" t="n">
        <v>45364</v>
      </c>
      <c r="D498" t="inlineStr">
        <is>
          <t>DALARNAS LÄN</t>
        </is>
      </c>
      <c r="E498" t="inlineStr">
        <is>
          <t>LUDVIKA</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4903-2023</t>
        </is>
      </c>
      <c r="B499" s="1" t="n">
        <v>44958</v>
      </c>
      <c r="C499" s="1" t="n">
        <v>45364</v>
      </c>
      <c r="D499" t="inlineStr">
        <is>
          <t>DALARNAS LÄN</t>
        </is>
      </c>
      <c r="E499" t="inlineStr">
        <is>
          <t>LUDVIKA</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4890-2023</t>
        </is>
      </c>
      <c r="B500" s="1" t="n">
        <v>44958</v>
      </c>
      <c r="C500" s="1" t="n">
        <v>45364</v>
      </c>
      <c r="D500" t="inlineStr">
        <is>
          <t>DALARNAS LÄN</t>
        </is>
      </c>
      <c r="E500" t="inlineStr">
        <is>
          <t>LUDVIKA</t>
        </is>
      </c>
      <c r="F500" t="inlineStr">
        <is>
          <t>Bergvik skog väst AB</t>
        </is>
      </c>
      <c r="G500" t="n">
        <v>3.9</v>
      </c>
      <c r="H500" t="n">
        <v>0</v>
      </c>
      <c r="I500" t="n">
        <v>0</v>
      </c>
      <c r="J500" t="n">
        <v>0</v>
      </c>
      <c r="K500" t="n">
        <v>0</v>
      </c>
      <c r="L500" t="n">
        <v>0</v>
      </c>
      <c r="M500" t="n">
        <v>0</v>
      </c>
      <c r="N500" t="n">
        <v>0</v>
      </c>
      <c r="O500" t="n">
        <v>0</v>
      </c>
      <c r="P500" t="n">
        <v>0</v>
      </c>
      <c r="Q500" t="n">
        <v>0</v>
      </c>
      <c r="R500" s="2" t="inlineStr"/>
    </row>
    <row r="501" ht="15" customHeight="1">
      <c r="A501" t="inlineStr">
        <is>
          <t>A 5672-2023</t>
        </is>
      </c>
      <c r="B501" s="1" t="n">
        <v>44960</v>
      </c>
      <c r="C501" s="1" t="n">
        <v>45364</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5673-2023</t>
        </is>
      </c>
      <c r="B502" s="1" t="n">
        <v>44960</v>
      </c>
      <c r="C502" s="1" t="n">
        <v>45364</v>
      </c>
      <c r="D502" t="inlineStr">
        <is>
          <t>DALARNAS LÄN</t>
        </is>
      </c>
      <c r="E502" t="inlineStr">
        <is>
          <t>LUDVIKA</t>
        </is>
      </c>
      <c r="F502" t="inlineStr">
        <is>
          <t>Naturvårdsverket</t>
        </is>
      </c>
      <c r="G502" t="n">
        <v>0.7</v>
      </c>
      <c r="H502" t="n">
        <v>0</v>
      </c>
      <c r="I502" t="n">
        <v>0</v>
      </c>
      <c r="J502" t="n">
        <v>0</v>
      </c>
      <c r="K502" t="n">
        <v>0</v>
      </c>
      <c r="L502" t="n">
        <v>0</v>
      </c>
      <c r="M502" t="n">
        <v>0</v>
      </c>
      <c r="N502" t="n">
        <v>0</v>
      </c>
      <c r="O502" t="n">
        <v>0</v>
      </c>
      <c r="P502" t="n">
        <v>0</v>
      </c>
      <c r="Q502" t="n">
        <v>0</v>
      </c>
      <c r="R502" s="2" t="inlineStr"/>
    </row>
    <row r="503" ht="15" customHeight="1">
      <c r="A503" t="inlineStr">
        <is>
          <t>A 6579-2023</t>
        </is>
      </c>
      <c r="B503" s="1" t="n">
        <v>44960</v>
      </c>
      <c r="C503" s="1" t="n">
        <v>45364</v>
      </c>
      <c r="D503" t="inlineStr">
        <is>
          <t>DALARNAS LÄN</t>
        </is>
      </c>
      <c r="E503" t="inlineStr">
        <is>
          <t>LUDVIKA</t>
        </is>
      </c>
      <c r="G503" t="n">
        <v>3.4</v>
      </c>
      <c r="H503" t="n">
        <v>0</v>
      </c>
      <c r="I503" t="n">
        <v>0</v>
      </c>
      <c r="J503" t="n">
        <v>0</v>
      </c>
      <c r="K503" t="n">
        <v>0</v>
      </c>
      <c r="L503" t="n">
        <v>0</v>
      </c>
      <c r="M503" t="n">
        <v>0</v>
      </c>
      <c r="N503" t="n">
        <v>0</v>
      </c>
      <c r="O503" t="n">
        <v>0</v>
      </c>
      <c r="P503" t="n">
        <v>0</v>
      </c>
      <c r="Q503" t="n">
        <v>0</v>
      </c>
      <c r="R503" s="2" t="inlineStr"/>
    </row>
    <row r="504" ht="15" customHeight="1">
      <c r="A504" t="inlineStr">
        <is>
          <t>A 6593-2023</t>
        </is>
      </c>
      <c r="B504" s="1" t="n">
        <v>44960</v>
      </c>
      <c r="C504" s="1" t="n">
        <v>45364</v>
      </c>
      <c r="D504" t="inlineStr">
        <is>
          <t>DALARNAS LÄN</t>
        </is>
      </c>
      <c r="E504" t="inlineStr">
        <is>
          <t>LUDVIKA</t>
        </is>
      </c>
      <c r="G504" t="n">
        <v>3.8</v>
      </c>
      <c r="H504" t="n">
        <v>0</v>
      </c>
      <c r="I504" t="n">
        <v>0</v>
      </c>
      <c r="J504" t="n">
        <v>0</v>
      </c>
      <c r="K504" t="n">
        <v>0</v>
      </c>
      <c r="L504" t="n">
        <v>0</v>
      </c>
      <c r="M504" t="n">
        <v>0</v>
      </c>
      <c r="N504" t="n">
        <v>0</v>
      </c>
      <c r="O504" t="n">
        <v>0</v>
      </c>
      <c r="P504" t="n">
        <v>0</v>
      </c>
      <c r="Q504" t="n">
        <v>0</v>
      </c>
      <c r="R504" s="2" t="inlineStr"/>
    </row>
    <row r="505" ht="15" customHeight="1">
      <c r="A505" t="inlineStr">
        <is>
          <t>A 5599-2023</t>
        </is>
      </c>
      <c r="B505" s="1" t="n">
        <v>44960</v>
      </c>
      <c r="C505" s="1" t="n">
        <v>45364</v>
      </c>
      <c r="D505" t="inlineStr">
        <is>
          <t>DALARNAS LÄN</t>
        </is>
      </c>
      <c r="E505" t="inlineStr">
        <is>
          <t>LUDVIKA</t>
        </is>
      </c>
      <c r="F505" t="inlineStr">
        <is>
          <t>Bergvik skog väst AB</t>
        </is>
      </c>
      <c r="G505" t="n">
        <v>3.5</v>
      </c>
      <c r="H505" t="n">
        <v>0</v>
      </c>
      <c r="I505" t="n">
        <v>0</v>
      </c>
      <c r="J505" t="n">
        <v>0</v>
      </c>
      <c r="K505" t="n">
        <v>0</v>
      </c>
      <c r="L505" t="n">
        <v>0</v>
      </c>
      <c r="M505" t="n">
        <v>0</v>
      </c>
      <c r="N505" t="n">
        <v>0</v>
      </c>
      <c r="O505" t="n">
        <v>0</v>
      </c>
      <c r="P505" t="n">
        <v>0</v>
      </c>
      <c r="Q505" t="n">
        <v>0</v>
      </c>
      <c r="R505" s="2" t="inlineStr"/>
    </row>
    <row r="506" ht="15" customHeight="1">
      <c r="A506" t="inlineStr">
        <is>
          <t>A 5752-2023</t>
        </is>
      </c>
      <c r="B506" s="1" t="n">
        <v>44963</v>
      </c>
      <c r="C506" s="1" t="n">
        <v>45364</v>
      </c>
      <c r="D506" t="inlineStr">
        <is>
          <t>DALARNAS LÄN</t>
        </is>
      </c>
      <c r="E506" t="inlineStr">
        <is>
          <t>LUDVIKA</t>
        </is>
      </c>
      <c r="F506" t="inlineStr">
        <is>
          <t>Bergvik skog väst AB</t>
        </is>
      </c>
      <c r="G506" t="n">
        <v>7.7</v>
      </c>
      <c r="H506" t="n">
        <v>0</v>
      </c>
      <c r="I506" t="n">
        <v>0</v>
      </c>
      <c r="J506" t="n">
        <v>0</v>
      </c>
      <c r="K506" t="n">
        <v>0</v>
      </c>
      <c r="L506" t="n">
        <v>0</v>
      </c>
      <c r="M506" t="n">
        <v>0</v>
      </c>
      <c r="N506" t="n">
        <v>0</v>
      </c>
      <c r="O506" t="n">
        <v>0</v>
      </c>
      <c r="P506" t="n">
        <v>0</v>
      </c>
      <c r="Q506" t="n">
        <v>0</v>
      </c>
      <c r="R506" s="2" t="inlineStr"/>
    </row>
    <row r="507" ht="15" customHeight="1">
      <c r="A507" t="inlineStr">
        <is>
          <t>A 6010-2023</t>
        </is>
      </c>
      <c r="B507" s="1" t="n">
        <v>44964</v>
      </c>
      <c r="C507" s="1" t="n">
        <v>45364</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6281-2023</t>
        </is>
      </c>
      <c r="B508" s="1" t="n">
        <v>44965</v>
      </c>
      <c r="C508" s="1" t="n">
        <v>45364</v>
      </c>
      <c r="D508" t="inlineStr">
        <is>
          <t>DALARNAS LÄN</t>
        </is>
      </c>
      <c r="E508" t="inlineStr">
        <is>
          <t>LUDVIKA</t>
        </is>
      </c>
      <c r="G508" t="n">
        <v>7.7</v>
      </c>
      <c r="H508" t="n">
        <v>0</v>
      </c>
      <c r="I508" t="n">
        <v>0</v>
      </c>
      <c r="J508" t="n">
        <v>0</v>
      </c>
      <c r="K508" t="n">
        <v>0</v>
      </c>
      <c r="L508" t="n">
        <v>0</v>
      </c>
      <c r="M508" t="n">
        <v>0</v>
      </c>
      <c r="N508" t="n">
        <v>0</v>
      </c>
      <c r="O508" t="n">
        <v>0</v>
      </c>
      <c r="P508" t="n">
        <v>0</v>
      </c>
      <c r="Q508" t="n">
        <v>0</v>
      </c>
      <c r="R508" s="2" t="inlineStr"/>
    </row>
    <row r="509" ht="15" customHeight="1">
      <c r="A509" t="inlineStr">
        <is>
          <t>A 6564-2023</t>
        </is>
      </c>
      <c r="B509" s="1" t="n">
        <v>44966</v>
      </c>
      <c r="C509" s="1" t="n">
        <v>45364</v>
      </c>
      <c r="D509" t="inlineStr">
        <is>
          <t>DALARNAS LÄN</t>
        </is>
      </c>
      <c r="E509" t="inlineStr">
        <is>
          <t>LUDVIKA</t>
        </is>
      </c>
      <c r="F509" t="inlineStr">
        <is>
          <t>Naturvårdsverket</t>
        </is>
      </c>
      <c r="G509" t="n">
        <v>2.3</v>
      </c>
      <c r="H509" t="n">
        <v>0</v>
      </c>
      <c r="I509" t="n">
        <v>0</v>
      </c>
      <c r="J509" t="n">
        <v>0</v>
      </c>
      <c r="K509" t="n">
        <v>0</v>
      </c>
      <c r="L509" t="n">
        <v>0</v>
      </c>
      <c r="M509" t="n">
        <v>0</v>
      </c>
      <c r="N509" t="n">
        <v>0</v>
      </c>
      <c r="O509" t="n">
        <v>0</v>
      </c>
      <c r="P509" t="n">
        <v>0</v>
      </c>
      <c r="Q509" t="n">
        <v>0</v>
      </c>
      <c r="R509" s="2" t="inlineStr"/>
    </row>
    <row r="510" ht="15" customHeight="1">
      <c r="A510" t="inlineStr">
        <is>
          <t>A 6975-2023</t>
        </is>
      </c>
      <c r="B510" s="1" t="n">
        <v>44967</v>
      </c>
      <c r="C510" s="1" t="n">
        <v>45364</v>
      </c>
      <c r="D510" t="inlineStr">
        <is>
          <t>DALARNAS LÄN</t>
        </is>
      </c>
      <c r="E510" t="inlineStr">
        <is>
          <t>LUDVIKA</t>
        </is>
      </c>
      <c r="G510" t="n">
        <v>2.1</v>
      </c>
      <c r="H510" t="n">
        <v>0</v>
      </c>
      <c r="I510" t="n">
        <v>0</v>
      </c>
      <c r="J510" t="n">
        <v>0</v>
      </c>
      <c r="K510" t="n">
        <v>0</v>
      </c>
      <c r="L510" t="n">
        <v>0</v>
      </c>
      <c r="M510" t="n">
        <v>0</v>
      </c>
      <c r="N510" t="n">
        <v>0</v>
      </c>
      <c r="O510" t="n">
        <v>0</v>
      </c>
      <c r="P510" t="n">
        <v>0</v>
      </c>
      <c r="Q510" t="n">
        <v>0</v>
      </c>
      <c r="R510" s="2" t="inlineStr"/>
    </row>
    <row r="511" ht="15" customHeight="1">
      <c r="A511" t="inlineStr">
        <is>
          <t>A 7243-2023</t>
        </is>
      </c>
      <c r="B511" s="1" t="n">
        <v>44970</v>
      </c>
      <c r="C511" s="1" t="n">
        <v>45364</v>
      </c>
      <c r="D511" t="inlineStr">
        <is>
          <t>DALARNAS LÄN</t>
        </is>
      </c>
      <c r="E511" t="inlineStr">
        <is>
          <t>LUDVIKA</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7238-2023</t>
        </is>
      </c>
      <c r="B512" s="1" t="n">
        <v>44970</v>
      </c>
      <c r="C512" s="1" t="n">
        <v>45364</v>
      </c>
      <c r="D512" t="inlineStr">
        <is>
          <t>DALARNAS LÄN</t>
        </is>
      </c>
      <c r="E512" t="inlineStr">
        <is>
          <t>LUDVIKA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7173-2023</t>
        </is>
      </c>
      <c r="B513" s="1" t="n">
        <v>44970</v>
      </c>
      <c r="C513" s="1" t="n">
        <v>45364</v>
      </c>
      <c r="D513" t="inlineStr">
        <is>
          <t>DALARNAS LÄN</t>
        </is>
      </c>
      <c r="E513" t="inlineStr">
        <is>
          <t>LUDVIKA</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7435-2023</t>
        </is>
      </c>
      <c r="B514" s="1" t="n">
        <v>44971</v>
      </c>
      <c r="C514" s="1" t="n">
        <v>45364</v>
      </c>
      <c r="D514" t="inlineStr">
        <is>
          <t>DALARNAS LÄN</t>
        </is>
      </c>
      <c r="E514" t="inlineStr">
        <is>
          <t>LUDVIKA</t>
        </is>
      </c>
      <c r="F514" t="inlineStr">
        <is>
          <t>Naturvårdsverket</t>
        </is>
      </c>
      <c r="G514" t="n">
        <v>0.8</v>
      </c>
      <c r="H514" t="n">
        <v>0</v>
      </c>
      <c r="I514" t="n">
        <v>0</v>
      </c>
      <c r="J514" t="n">
        <v>0</v>
      </c>
      <c r="K514" t="n">
        <v>0</v>
      </c>
      <c r="L514" t="n">
        <v>0</v>
      </c>
      <c r="M514" t="n">
        <v>0</v>
      </c>
      <c r="N514" t="n">
        <v>0</v>
      </c>
      <c r="O514" t="n">
        <v>0</v>
      </c>
      <c r="P514" t="n">
        <v>0</v>
      </c>
      <c r="Q514" t="n">
        <v>0</v>
      </c>
      <c r="R514" s="2" t="inlineStr"/>
    </row>
    <row r="515" ht="15" customHeight="1">
      <c r="A515" t="inlineStr">
        <is>
          <t>A 7539-2023</t>
        </is>
      </c>
      <c r="B515" s="1" t="n">
        <v>44972</v>
      </c>
      <c r="C515" s="1" t="n">
        <v>45364</v>
      </c>
      <c r="D515" t="inlineStr">
        <is>
          <t>DALARNAS LÄN</t>
        </is>
      </c>
      <c r="E515" t="inlineStr">
        <is>
          <t>LUDVIKA</t>
        </is>
      </c>
      <c r="G515" t="n">
        <v>0.6</v>
      </c>
      <c r="H515" t="n">
        <v>0</v>
      </c>
      <c r="I515" t="n">
        <v>0</v>
      </c>
      <c r="J515" t="n">
        <v>0</v>
      </c>
      <c r="K515" t="n">
        <v>0</v>
      </c>
      <c r="L515" t="n">
        <v>0</v>
      </c>
      <c r="M515" t="n">
        <v>0</v>
      </c>
      <c r="N515" t="n">
        <v>0</v>
      </c>
      <c r="O515" t="n">
        <v>0</v>
      </c>
      <c r="P515" t="n">
        <v>0</v>
      </c>
      <c r="Q515" t="n">
        <v>0</v>
      </c>
      <c r="R515" s="2" t="inlineStr"/>
    </row>
    <row r="516" ht="15" customHeight="1">
      <c r="A516" t="inlineStr">
        <is>
          <t>A 8076-2023</t>
        </is>
      </c>
      <c r="B516" s="1" t="n">
        <v>44974</v>
      </c>
      <c r="C516" s="1" t="n">
        <v>45364</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8703-2023</t>
        </is>
      </c>
      <c r="B517" s="1" t="n">
        <v>44978</v>
      </c>
      <c r="C517" s="1" t="n">
        <v>45364</v>
      </c>
      <c r="D517" t="inlineStr">
        <is>
          <t>DALARNAS LÄN</t>
        </is>
      </c>
      <c r="E517" t="inlineStr">
        <is>
          <t>LUDVIKA</t>
        </is>
      </c>
      <c r="G517" t="n">
        <v>0.5</v>
      </c>
      <c r="H517" t="n">
        <v>0</v>
      </c>
      <c r="I517" t="n">
        <v>0</v>
      </c>
      <c r="J517" t="n">
        <v>0</v>
      </c>
      <c r="K517" t="n">
        <v>0</v>
      </c>
      <c r="L517" t="n">
        <v>0</v>
      </c>
      <c r="M517" t="n">
        <v>0</v>
      </c>
      <c r="N517" t="n">
        <v>0</v>
      </c>
      <c r="O517" t="n">
        <v>0</v>
      </c>
      <c r="P517" t="n">
        <v>0</v>
      </c>
      <c r="Q517" t="n">
        <v>0</v>
      </c>
      <c r="R517" s="2" t="inlineStr"/>
    </row>
    <row r="518" ht="15" customHeight="1">
      <c r="A518" t="inlineStr">
        <is>
          <t>A 9386-2023</t>
        </is>
      </c>
      <c r="B518" s="1" t="n">
        <v>44981</v>
      </c>
      <c r="C518" s="1" t="n">
        <v>45364</v>
      </c>
      <c r="D518" t="inlineStr">
        <is>
          <t>DALARNAS LÄN</t>
        </is>
      </c>
      <c r="E518" t="inlineStr">
        <is>
          <t>LUDVIKA</t>
        </is>
      </c>
      <c r="G518" t="n">
        <v>6.2</v>
      </c>
      <c r="H518" t="n">
        <v>0</v>
      </c>
      <c r="I518" t="n">
        <v>0</v>
      </c>
      <c r="J518" t="n">
        <v>0</v>
      </c>
      <c r="K518" t="n">
        <v>0</v>
      </c>
      <c r="L518" t="n">
        <v>0</v>
      </c>
      <c r="M518" t="n">
        <v>0</v>
      </c>
      <c r="N518" t="n">
        <v>0</v>
      </c>
      <c r="O518" t="n">
        <v>0</v>
      </c>
      <c r="P518" t="n">
        <v>0</v>
      </c>
      <c r="Q518" t="n">
        <v>0</v>
      </c>
      <c r="R518" s="2" t="inlineStr"/>
    </row>
    <row r="519" ht="15" customHeight="1">
      <c r="A519" t="inlineStr">
        <is>
          <t>A 11797-2023</t>
        </is>
      </c>
      <c r="B519" s="1" t="n">
        <v>44994</v>
      </c>
      <c r="C519" s="1" t="n">
        <v>45364</v>
      </c>
      <c r="D519" t="inlineStr">
        <is>
          <t>DALARNAS LÄN</t>
        </is>
      </c>
      <c r="E519" t="inlineStr">
        <is>
          <t>LUDVIKA</t>
        </is>
      </c>
      <c r="G519" t="n">
        <v>0.7</v>
      </c>
      <c r="H519" t="n">
        <v>0</v>
      </c>
      <c r="I519" t="n">
        <v>0</v>
      </c>
      <c r="J519" t="n">
        <v>0</v>
      </c>
      <c r="K519" t="n">
        <v>0</v>
      </c>
      <c r="L519" t="n">
        <v>0</v>
      </c>
      <c r="M519" t="n">
        <v>0</v>
      </c>
      <c r="N519" t="n">
        <v>0</v>
      </c>
      <c r="O519" t="n">
        <v>0</v>
      </c>
      <c r="P519" t="n">
        <v>0</v>
      </c>
      <c r="Q519" t="n">
        <v>0</v>
      </c>
      <c r="R519" s="2" t="inlineStr"/>
    </row>
    <row r="520" ht="15" customHeight="1">
      <c r="A520" t="inlineStr">
        <is>
          <t>A 11755-2023</t>
        </is>
      </c>
      <c r="B520" s="1" t="n">
        <v>44994</v>
      </c>
      <c r="C520" s="1" t="n">
        <v>45364</v>
      </c>
      <c r="D520" t="inlineStr">
        <is>
          <t>DALARNAS LÄN</t>
        </is>
      </c>
      <c r="E520" t="inlineStr">
        <is>
          <t>LUDVIKA</t>
        </is>
      </c>
      <c r="F520" t="inlineStr">
        <is>
          <t>Övriga Aktiebolag</t>
        </is>
      </c>
      <c r="G520" t="n">
        <v>7</v>
      </c>
      <c r="H520" t="n">
        <v>0</v>
      </c>
      <c r="I520" t="n">
        <v>0</v>
      </c>
      <c r="J520" t="n">
        <v>0</v>
      </c>
      <c r="K520" t="n">
        <v>0</v>
      </c>
      <c r="L520" t="n">
        <v>0</v>
      </c>
      <c r="M520" t="n">
        <v>0</v>
      </c>
      <c r="N520" t="n">
        <v>0</v>
      </c>
      <c r="O520" t="n">
        <v>0</v>
      </c>
      <c r="P520" t="n">
        <v>0</v>
      </c>
      <c r="Q520" t="n">
        <v>0</v>
      </c>
      <c r="R520" s="2" t="inlineStr"/>
    </row>
    <row r="521" ht="15" customHeight="1">
      <c r="A521" t="inlineStr">
        <is>
          <t>A 12096-2023</t>
        </is>
      </c>
      <c r="B521" s="1" t="n">
        <v>44998</v>
      </c>
      <c r="C521" s="1" t="n">
        <v>45364</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13180-2023</t>
        </is>
      </c>
      <c r="B522" s="1" t="n">
        <v>45002</v>
      </c>
      <c r="C522" s="1" t="n">
        <v>45364</v>
      </c>
      <c r="D522" t="inlineStr">
        <is>
          <t>DALARNAS LÄN</t>
        </is>
      </c>
      <c r="E522" t="inlineStr">
        <is>
          <t>LUDVIKA</t>
        </is>
      </c>
      <c r="F522" t="inlineStr">
        <is>
          <t>Bergvik skog väst AB</t>
        </is>
      </c>
      <c r="G522" t="n">
        <v>1.7</v>
      </c>
      <c r="H522" t="n">
        <v>0</v>
      </c>
      <c r="I522" t="n">
        <v>0</v>
      </c>
      <c r="J522" t="n">
        <v>0</v>
      </c>
      <c r="K522" t="n">
        <v>0</v>
      </c>
      <c r="L522" t="n">
        <v>0</v>
      </c>
      <c r="M522" t="n">
        <v>0</v>
      </c>
      <c r="N522" t="n">
        <v>0</v>
      </c>
      <c r="O522" t="n">
        <v>0</v>
      </c>
      <c r="P522" t="n">
        <v>0</v>
      </c>
      <c r="Q522" t="n">
        <v>0</v>
      </c>
      <c r="R522" s="2" t="inlineStr"/>
    </row>
    <row r="523" ht="15" customHeight="1">
      <c r="A523" t="inlineStr">
        <is>
          <t>A 13215-2023</t>
        </is>
      </c>
      <c r="B523" s="1" t="n">
        <v>45002</v>
      </c>
      <c r="C523" s="1" t="n">
        <v>45364</v>
      </c>
      <c r="D523" t="inlineStr">
        <is>
          <t>DALARNAS LÄN</t>
        </is>
      </c>
      <c r="E523" t="inlineStr">
        <is>
          <t>LUDVIKA</t>
        </is>
      </c>
      <c r="G523" t="n">
        <v>1.2</v>
      </c>
      <c r="H523" t="n">
        <v>0</v>
      </c>
      <c r="I523" t="n">
        <v>0</v>
      </c>
      <c r="J523" t="n">
        <v>0</v>
      </c>
      <c r="K523" t="n">
        <v>0</v>
      </c>
      <c r="L523" t="n">
        <v>0</v>
      </c>
      <c r="M523" t="n">
        <v>0</v>
      </c>
      <c r="N523" t="n">
        <v>0</v>
      </c>
      <c r="O523" t="n">
        <v>0</v>
      </c>
      <c r="P523" t="n">
        <v>0</v>
      </c>
      <c r="Q523" t="n">
        <v>0</v>
      </c>
      <c r="R523" s="2" t="inlineStr"/>
    </row>
    <row r="524" ht="15" customHeight="1">
      <c r="A524" t="inlineStr">
        <is>
          <t>A 13217-2023</t>
        </is>
      </c>
      <c r="B524" s="1" t="n">
        <v>45002</v>
      </c>
      <c r="C524" s="1" t="n">
        <v>45364</v>
      </c>
      <c r="D524" t="inlineStr">
        <is>
          <t>DALARNAS LÄN</t>
        </is>
      </c>
      <c r="E524" t="inlineStr">
        <is>
          <t>LUDVIKA</t>
        </is>
      </c>
      <c r="G524" t="n">
        <v>0.8</v>
      </c>
      <c r="H524" t="n">
        <v>0</v>
      </c>
      <c r="I524" t="n">
        <v>0</v>
      </c>
      <c r="J524" t="n">
        <v>0</v>
      </c>
      <c r="K524" t="n">
        <v>0</v>
      </c>
      <c r="L524" t="n">
        <v>0</v>
      </c>
      <c r="M524" t="n">
        <v>0</v>
      </c>
      <c r="N524" t="n">
        <v>0</v>
      </c>
      <c r="O524" t="n">
        <v>0</v>
      </c>
      <c r="P524" t="n">
        <v>0</v>
      </c>
      <c r="Q524" t="n">
        <v>0</v>
      </c>
      <c r="R524" s="2" t="inlineStr"/>
    </row>
    <row r="525" ht="15" customHeight="1">
      <c r="A525" t="inlineStr">
        <is>
          <t>A 14632-2023</t>
        </is>
      </c>
      <c r="B525" s="1" t="n">
        <v>45013</v>
      </c>
      <c r="C525" s="1" t="n">
        <v>45364</v>
      </c>
      <c r="D525" t="inlineStr">
        <is>
          <t>DALARNAS LÄN</t>
        </is>
      </c>
      <c r="E525" t="inlineStr">
        <is>
          <t>LUDVIKA</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15754-2023</t>
        </is>
      </c>
      <c r="B526" s="1" t="n">
        <v>45021</v>
      </c>
      <c r="C526" s="1" t="n">
        <v>45364</v>
      </c>
      <c r="D526" t="inlineStr">
        <is>
          <t>DALARNAS LÄN</t>
        </is>
      </c>
      <c r="E526" t="inlineStr">
        <is>
          <t>LUDVIKA</t>
        </is>
      </c>
      <c r="F526" t="inlineStr">
        <is>
          <t>Naturvårdsverket</t>
        </is>
      </c>
      <c r="G526" t="n">
        <v>1.2</v>
      </c>
      <c r="H526" t="n">
        <v>0</v>
      </c>
      <c r="I526" t="n">
        <v>0</v>
      </c>
      <c r="J526" t="n">
        <v>0</v>
      </c>
      <c r="K526" t="n">
        <v>0</v>
      </c>
      <c r="L526" t="n">
        <v>0</v>
      </c>
      <c r="M526" t="n">
        <v>0</v>
      </c>
      <c r="N526" t="n">
        <v>0</v>
      </c>
      <c r="O526" t="n">
        <v>0</v>
      </c>
      <c r="P526" t="n">
        <v>0</v>
      </c>
      <c r="Q526" t="n">
        <v>0</v>
      </c>
      <c r="R526" s="2" t="inlineStr"/>
    </row>
    <row r="527" ht="15" customHeight="1">
      <c r="A527" t="inlineStr">
        <is>
          <t>A 16630-2023</t>
        </is>
      </c>
      <c r="B527" s="1" t="n">
        <v>45030</v>
      </c>
      <c r="C527" s="1" t="n">
        <v>45364</v>
      </c>
      <c r="D527" t="inlineStr">
        <is>
          <t>DALARNAS LÄN</t>
        </is>
      </c>
      <c r="E527" t="inlineStr">
        <is>
          <t>LUDVIKA</t>
        </is>
      </c>
      <c r="F527" t="inlineStr">
        <is>
          <t>Bergvik skog väst AB</t>
        </is>
      </c>
      <c r="G527" t="n">
        <v>3.9</v>
      </c>
      <c r="H527" t="n">
        <v>0</v>
      </c>
      <c r="I527" t="n">
        <v>0</v>
      </c>
      <c r="J527" t="n">
        <v>0</v>
      </c>
      <c r="K527" t="n">
        <v>0</v>
      </c>
      <c r="L527" t="n">
        <v>0</v>
      </c>
      <c r="M527" t="n">
        <v>0</v>
      </c>
      <c r="N527" t="n">
        <v>0</v>
      </c>
      <c r="O527" t="n">
        <v>0</v>
      </c>
      <c r="P527" t="n">
        <v>0</v>
      </c>
      <c r="Q527" t="n">
        <v>0</v>
      </c>
      <c r="R527" s="2" t="inlineStr"/>
    </row>
    <row r="528" ht="15" customHeight="1">
      <c r="A528" t="inlineStr">
        <is>
          <t>A 17032-2023</t>
        </is>
      </c>
      <c r="B528" s="1" t="n">
        <v>45034</v>
      </c>
      <c r="C528" s="1" t="n">
        <v>45364</v>
      </c>
      <c r="D528" t="inlineStr">
        <is>
          <t>DALARNAS LÄN</t>
        </is>
      </c>
      <c r="E528" t="inlineStr">
        <is>
          <t>LUDVIKA</t>
        </is>
      </c>
      <c r="F528" t="inlineStr">
        <is>
          <t>Naturvårdsverket</t>
        </is>
      </c>
      <c r="G528" t="n">
        <v>1</v>
      </c>
      <c r="H528" t="n">
        <v>0</v>
      </c>
      <c r="I528" t="n">
        <v>0</v>
      </c>
      <c r="J528" t="n">
        <v>0</v>
      </c>
      <c r="K528" t="n">
        <v>0</v>
      </c>
      <c r="L528" t="n">
        <v>0</v>
      </c>
      <c r="M528" t="n">
        <v>0</v>
      </c>
      <c r="N528" t="n">
        <v>0</v>
      </c>
      <c r="O528" t="n">
        <v>0</v>
      </c>
      <c r="P528" t="n">
        <v>0</v>
      </c>
      <c r="Q528" t="n">
        <v>0</v>
      </c>
      <c r="R528" s="2" t="inlineStr"/>
    </row>
    <row r="529" ht="15" customHeight="1">
      <c r="A529" t="inlineStr">
        <is>
          <t>A 17037-2023</t>
        </is>
      </c>
      <c r="B529" s="1" t="n">
        <v>45034</v>
      </c>
      <c r="C529" s="1" t="n">
        <v>45364</v>
      </c>
      <c r="D529" t="inlineStr">
        <is>
          <t>DALARNAS LÄN</t>
        </is>
      </c>
      <c r="E529" t="inlineStr">
        <is>
          <t>LUDVIKA</t>
        </is>
      </c>
      <c r="F529" t="inlineStr">
        <is>
          <t>Naturvårdsverket</t>
        </is>
      </c>
      <c r="G529" t="n">
        <v>1.4</v>
      </c>
      <c r="H529" t="n">
        <v>0</v>
      </c>
      <c r="I529" t="n">
        <v>0</v>
      </c>
      <c r="J529" t="n">
        <v>0</v>
      </c>
      <c r="K529" t="n">
        <v>0</v>
      </c>
      <c r="L529" t="n">
        <v>0</v>
      </c>
      <c r="M529" t="n">
        <v>0</v>
      </c>
      <c r="N529" t="n">
        <v>0</v>
      </c>
      <c r="O529" t="n">
        <v>0</v>
      </c>
      <c r="P529" t="n">
        <v>0</v>
      </c>
      <c r="Q529" t="n">
        <v>0</v>
      </c>
      <c r="R529" s="2" t="inlineStr"/>
    </row>
    <row r="530" ht="15" customHeight="1">
      <c r="A530" t="inlineStr">
        <is>
          <t>A 17035-2023</t>
        </is>
      </c>
      <c r="B530" s="1" t="n">
        <v>45034</v>
      </c>
      <c r="C530" s="1" t="n">
        <v>45364</v>
      </c>
      <c r="D530" t="inlineStr">
        <is>
          <t>DALARNAS LÄN</t>
        </is>
      </c>
      <c r="E530" t="inlineStr">
        <is>
          <t>LUDVIKA</t>
        </is>
      </c>
      <c r="F530" t="inlineStr">
        <is>
          <t>Naturvårdsverket</t>
        </is>
      </c>
      <c r="G530" t="n">
        <v>1.7</v>
      </c>
      <c r="H530" t="n">
        <v>0</v>
      </c>
      <c r="I530" t="n">
        <v>0</v>
      </c>
      <c r="J530" t="n">
        <v>0</v>
      </c>
      <c r="K530" t="n">
        <v>0</v>
      </c>
      <c r="L530" t="n">
        <v>0</v>
      </c>
      <c r="M530" t="n">
        <v>0</v>
      </c>
      <c r="N530" t="n">
        <v>0</v>
      </c>
      <c r="O530" t="n">
        <v>0</v>
      </c>
      <c r="P530" t="n">
        <v>0</v>
      </c>
      <c r="Q530" t="n">
        <v>0</v>
      </c>
      <c r="R530" s="2" t="inlineStr"/>
    </row>
    <row r="531" ht="15" customHeight="1">
      <c r="A531" t="inlineStr">
        <is>
          <t>A 17138-2023</t>
        </is>
      </c>
      <c r="B531" s="1" t="n">
        <v>45034</v>
      </c>
      <c r="C531" s="1" t="n">
        <v>45364</v>
      </c>
      <c r="D531" t="inlineStr">
        <is>
          <t>DALARNAS LÄN</t>
        </is>
      </c>
      <c r="E531" t="inlineStr">
        <is>
          <t>LUDVIKA</t>
        </is>
      </c>
      <c r="F531" t="inlineStr">
        <is>
          <t>Naturvårdsverket</t>
        </is>
      </c>
      <c r="G531" t="n">
        <v>2.7</v>
      </c>
      <c r="H531" t="n">
        <v>0</v>
      </c>
      <c r="I531" t="n">
        <v>0</v>
      </c>
      <c r="J531" t="n">
        <v>0</v>
      </c>
      <c r="K531" t="n">
        <v>0</v>
      </c>
      <c r="L531" t="n">
        <v>0</v>
      </c>
      <c r="M531" t="n">
        <v>0</v>
      </c>
      <c r="N531" t="n">
        <v>0</v>
      </c>
      <c r="O531" t="n">
        <v>0</v>
      </c>
      <c r="P531" t="n">
        <v>0</v>
      </c>
      <c r="Q531" t="n">
        <v>0</v>
      </c>
      <c r="R531" s="2" t="inlineStr"/>
    </row>
    <row r="532" ht="15" customHeight="1">
      <c r="A532" t="inlineStr">
        <is>
          <t>A 18585-2023</t>
        </is>
      </c>
      <c r="B532" s="1" t="n">
        <v>45043</v>
      </c>
      <c r="C532" s="1" t="n">
        <v>45364</v>
      </c>
      <c r="D532" t="inlineStr">
        <is>
          <t>DALARNAS LÄN</t>
        </is>
      </c>
      <c r="E532" t="inlineStr">
        <is>
          <t>LUDVIKA</t>
        </is>
      </c>
      <c r="F532" t="inlineStr">
        <is>
          <t>Bergvik skog väst AB</t>
        </is>
      </c>
      <c r="G532" t="n">
        <v>4.8</v>
      </c>
      <c r="H532" t="n">
        <v>0</v>
      </c>
      <c r="I532" t="n">
        <v>0</v>
      </c>
      <c r="J532" t="n">
        <v>0</v>
      </c>
      <c r="K532" t="n">
        <v>0</v>
      </c>
      <c r="L532" t="n">
        <v>0</v>
      </c>
      <c r="M532" t="n">
        <v>0</v>
      </c>
      <c r="N532" t="n">
        <v>0</v>
      </c>
      <c r="O532" t="n">
        <v>0</v>
      </c>
      <c r="P532" t="n">
        <v>0</v>
      </c>
      <c r="Q532" t="n">
        <v>0</v>
      </c>
      <c r="R532" s="2" t="inlineStr"/>
    </row>
    <row r="533" ht="15" customHeight="1">
      <c r="A533" t="inlineStr">
        <is>
          <t>A 18708-2023</t>
        </is>
      </c>
      <c r="B533" s="1" t="n">
        <v>45043</v>
      </c>
      <c r="C533" s="1" t="n">
        <v>45364</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18660-2023</t>
        </is>
      </c>
      <c r="B534" s="1" t="n">
        <v>45043</v>
      </c>
      <c r="C534" s="1" t="n">
        <v>45364</v>
      </c>
      <c r="D534" t="inlineStr">
        <is>
          <t>DALARNAS LÄN</t>
        </is>
      </c>
      <c r="E534" t="inlineStr">
        <is>
          <t>LUDVIKA</t>
        </is>
      </c>
      <c r="F534" t="inlineStr">
        <is>
          <t>Bergvik skog väst AB</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18936-2023</t>
        </is>
      </c>
      <c r="B535" s="1" t="n">
        <v>45044</v>
      </c>
      <c r="C535" s="1" t="n">
        <v>45364</v>
      </c>
      <c r="D535" t="inlineStr">
        <is>
          <t>DALARNAS LÄN</t>
        </is>
      </c>
      <c r="E535" t="inlineStr">
        <is>
          <t>LUDVIKA</t>
        </is>
      </c>
      <c r="F535" t="inlineStr">
        <is>
          <t>Bergvik skog väst AB</t>
        </is>
      </c>
      <c r="G535" t="n">
        <v>7.2</v>
      </c>
      <c r="H535" t="n">
        <v>0</v>
      </c>
      <c r="I535" t="n">
        <v>0</v>
      </c>
      <c r="J535" t="n">
        <v>0</v>
      </c>
      <c r="K535" t="n">
        <v>0</v>
      </c>
      <c r="L535" t="n">
        <v>0</v>
      </c>
      <c r="M535" t="n">
        <v>0</v>
      </c>
      <c r="N535" t="n">
        <v>0</v>
      </c>
      <c r="O535" t="n">
        <v>0</v>
      </c>
      <c r="P535" t="n">
        <v>0</v>
      </c>
      <c r="Q535" t="n">
        <v>0</v>
      </c>
      <c r="R535" s="2" t="inlineStr"/>
    </row>
    <row r="536" ht="15" customHeight="1">
      <c r="A536" t="inlineStr">
        <is>
          <t>A 18850-2023</t>
        </is>
      </c>
      <c r="B536" s="1" t="n">
        <v>45044</v>
      </c>
      <c r="C536" s="1" t="n">
        <v>45364</v>
      </c>
      <c r="D536" t="inlineStr">
        <is>
          <t>DALARNAS LÄN</t>
        </is>
      </c>
      <c r="E536" t="inlineStr">
        <is>
          <t>LUDVIKA</t>
        </is>
      </c>
      <c r="F536" t="inlineStr">
        <is>
          <t>Naturvårdsverket</t>
        </is>
      </c>
      <c r="G536" t="n">
        <v>1.2</v>
      </c>
      <c r="H536" t="n">
        <v>0</v>
      </c>
      <c r="I536" t="n">
        <v>0</v>
      </c>
      <c r="J536" t="n">
        <v>0</v>
      </c>
      <c r="K536" t="n">
        <v>0</v>
      </c>
      <c r="L536" t="n">
        <v>0</v>
      </c>
      <c r="M536" t="n">
        <v>0</v>
      </c>
      <c r="N536" t="n">
        <v>0</v>
      </c>
      <c r="O536" t="n">
        <v>0</v>
      </c>
      <c r="P536" t="n">
        <v>0</v>
      </c>
      <c r="Q536" t="n">
        <v>0</v>
      </c>
      <c r="R536" s="2" t="inlineStr"/>
    </row>
    <row r="537" ht="15" customHeight="1">
      <c r="A537" t="inlineStr">
        <is>
          <t>A 18864-2023</t>
        </is>
      </c>
      <c r="B537" s="1" t="n">
        <v>45044</v>
      </c>
      <c r="C537" s="1" t="n">
        <v>45364</v>
      </c>
      <c r="D537" t="inlineStr">
        <is>
          <t>DALARNAS LÄN</t>
        </is>
      </c>
      <c r="E537" t="inlineStr">
        <is>
          <t>LUDVIKA</t>
        </is>
      </c>
      <c r="F537" t="inlineStr">
        <is>
          <t>Naturvårdsverket</t>
        </is>
      </c>
      <c r="G537" t="n">
        <v>0.5</v>
      </c>
      <c r="H537" t="n">
        <v>0</v>
      </c>
      <c r="I537" t="n">
        <v>0</v>
      </c>
      <c r="J537" t="n">
        <v>0</v>
      </c>
      <c r="K537" t="n">
        <v>0</v>
      </c>
      <c r="L537" t="n">
        <v>0</v>
      </c>
      <c r="M537" t="n">
        <v>0</v>
      </c>
      <c r="N537" t="n">
        <v>0</v>
      </c>
      <c r="O537" t="n">
        <v>0</v>
      </c>
      <c r="P537" t="n">
        <v>0</v>
      </c>
      <c r="Q537" t="n">
        <v>0</v>
      </c>
      <c r="R537" s="2" t="inlineStr"/>
    </row>
    <row r="538" ht="15" customHeight="1">
      <c r="A538" t="inlineStr">
        <is>
          <t>A 19449-2023</t>
        </is>
      </c>
      <c r="B538" s="1" t="n">
        <v>45050</v>
      </c>
      <c r="C538" s="1" t="n">
        <v>45364</v>
      </c>
      <c r="D538" t="inlineStr">
        <is>
          <t>DALARNAS LÄN</t>
        </is>
      </c>
      <c r="E538" t="inlineStr">
        <is>
          <t>LUDVIKA</t>
        </is>
      </c>
      <c r="F538" t="inlineStr">
        <is>
          <t>Bergvik skog väst AB</t>
        </is>
      </c>
      <c r="G538" t="n">
        <v>5.6</v>
      </c>
      <c r="H538" t="n">
        <v>0</v>
      </c>
      <c r="I538" t="n">
        <v>0</v>
      </c>
      <c r="J538" t="n">
        <v>0</v>
      </c>
      <c r="K538" t="n">
        <v>0</v>
      </c>
      <c r="L538" t="n">
        <v>0</v>
      </c>
      <c r="M538" t="n">
        <v>0</v>
      </c>
      <c r="N538" t="n">
        <v>0</v>
      </c>
      <c r="O538" t="n">
        <v>0</v>
      </c>
      <c r="P538" t="n">
        <v>0</v>
      </c>
      <c r="Q538" t="n">
        <v>0</v>
      </c>
      <c r="R538" s="2" t="inlineStr"/>
    </row>
    <row r="539" ht="15" customHeight="1">
      <c r="A539" t="inlineStr">
        <is>
          <t>A 19643-2023</t>
        </is>
      </c>
      <c r="B539" s="1" t="n">
        <v>45051</v>
      </c>
      <c r="C539" s="1" t="n">
        <v>45364</v>
      </c>
      <c r="D539" t="inlineStr">
        <is>
          <t>DALARNAS LÄN</t>
        </is>
      </c>
      <c r="E539" t="inlineStr">
        <is>
          <t>LUDVIKA</t>
        </is>
      </c>
      <c r="F539" t="inlineStr">
        <is>
          <t>Naturvårdsverket</t>
        </is>
      </c>
      <c r="G539" t="n">
        <v>25</v>
      </c>
      <c r="H539" t="n">
        <v>0</v>
      </c>
      <c r="I539" t="n">
        <v>0</v>
      </c>
      <c r="J539" t="n">
        <v>0</v>
      </c>
      <c r="K539" t="n">
        <v>0</v>
      </c>
      <c r="L539" t="n">
        <v>0</v>
      </c>
      <c r="M539" t="n">
        <v>0</v>
      </c>
      <c r="N539" t="n">
        <v>0</v>
      </c>
      <c r="O539" t="n">
        <v>0</v>
      </c>
      <c r="P539" t="n">
        <v>0</v>
      </c>
      <c r="Q539" t="n">
        <v>0</v>
      </c>
      <c r="R539" s="2" t="inlineStr"/>
    </row>
    <row r="540" ht="15" customHeight="1">
      <c r="A540" t="inlineStr">
        <is>
          <t>A 19651-2023</t>
        </is>
      </c>
      <c r="B540" s="1" t="n">
        <v>45051</v>
      </c>
      <c r="C540" s="1" t="n">
        <v>45364</v>
      </c>
      <c r="D540" t="inlineStr">
        <is>
          <t>DALARNAS LÄN</t>
        </is>
      </c>
      <c r="E540" t="inlineStr">
        <is>
          <t>LUDVIKA</t>
        </is>
      </c>
      <c r="F540" t="inlineStr">
        <is>
          <t>Bergvik skog väst AB</t>
        </is>
      </c>
      <c r="G540" t="n">
        <v>7.4</v>
      </c>
      <c r="H540" t="n">
        <v>0</v>
      </c>
      <c r="I540" t="n">
        <v>0</v>
      </c>
      <c r="J540" t="n">
        <v>0</v>
      </c>
      <c r="K540" t="n">
        <v>0</v>
      </c>
      <c r="L540" t="n">
        <v>0</v>
      </c>
      <c r="M540" t="n">
        <v>0</v>
      </c>
      <c r="N540" t="n">
        <v>0</v>
      </c>
      <c r="O540" t="n">
        <v>0</v>
      </c>
      <c r="P540" t="n">
        <v>0</v>
      </c>
      <c r="Q540" t="n">
        <v>0</v>
      </c>
      <c r="R540" s="2" t="inlineStr"/>
    </row>
    <row r="541" ht="15" customHeight="1">
      <c r="A541" t="inlineStr">
        <is>
          <t>A 20225-2023</t>
        </is>
      </c>
      <c r="B541" s="1" t="n">
        <v>45054</v>
      </c>
      <c r="C541" s="1" t="n">
        <v>45364</v>
      </c>
      <c r="D541" t="inlineStr">
        <is>
          <t>DALARNAS LÄN</t>
        </is>
      </c>
      <c r="E541" t="inlineStr">
        <is>
          <t>LUDVIKA</t>
        </is>
      </c>
      <c r="G541" t="n">
        <v>4.7</v>
      </c>
      <c r="H541" t="n">
        <v>0</v>
      </c>
      <c r="I541" t="n">
        <v>0</v>
      </c>
      <c r="J541" t="n">
        <v>0</v>
      </c>
      <c r="K541" t="n">
        <v>0</v>
      </c>
      <c r="L541" t="n">
        <v>0</v>
      </c>
      <c r="M541" t="n">
        <v>0</v>
      </c>
      <c r="N541" t="n">
        <v>0</v>
      </c>
      <c r="O541" t="n">
        <v>0</v>
      </c>
      <c r="P541" t="n">
        <v>0</v>
      </c>
      <c r="Q541" t="n">
        <v>0</v>
      </c>
      <c r="R541" s="2" t="inlineStr"/>
    </row>
    <row r="542" ht="15" customHeight="1">
      <c r="A542" t="inlineStr">
        <is>
          <t>A 20202-2023</t>
        </is>
      </c>
      <c r="B542" s="1" t="n">
        <v>45055</v>
      </c>
      <c r="C542" s="1" t="n">
        <v>45364</v>
      </c>
      <c r="D542" t="inlineStr">
        <is>
          <t>DALARNAS LÄN</t>
        </is>
      </c>
      <c r="E542" t="inlineStr">
        <is>
          <t>LUDVIKA</t>
        </is>
      </c>
      <c r="G542" t="n">
        <v>2.2</v>
      </c>
      <c r="H542" t="n">
        <v>0</v>
      </c>
      <c r="I542" t="n">
        <v>0</v>
      </c>
      <c r="J542" t="n">
        <v>0</v>
      </c>
      <c r="K542" t="n">
        <v>0</v>
      </c>
      <c r="L542" t="n">
        <v>0</v>
      </c>
      <c r="M542" t="n">
        <v>0</v>
      </c>
      <c r="N542" t="n">
        <v>0</v>
      </c>
      <c r="O542" t="n">
        <v>0</v>
      </c>
      <c r="P542" t="n">
        <v>0</v>
      </c>
      <c r="Q542" t="n">
        <v>0</v>
      </c>
      <c r="R542" s="2" t="inlineStr"/>
    </row>
    <row r="543" ht="15" customHeight="1">
      <c r="A543" t="inlineStr">
        <is>
          <t>A 20559-2023</t>
        </is>
      </c>
      <c r="B543" s="1" t="n">
        <v>45055</v>
      </c>
      <c r="C543" s="1" t="n">
        <v>45364</v>
      </c>
      <c r="D543" t="inlineStr">
        <is>
          <t>DALARNAS LÄN</t>
        </is>
      </c>
      <c r="E543" t="inlineStr">
        <is>
          <t>LUDVIKA</t>
        </is>
      </c>
      <c r="G543" t="n">
        <v>3.8</v>
      </c>
      <c r="H543" t="n">
        <v>0</v>
      </c>
      <c r="I543" t="n">
        <v>0</v>
      </c>
      <c r="J543" t="n">
        <v>0</v>
      </c>
      <c r="K543" t="n">
        <v>0</v>
      </c>
      <c r="L543" t="n">
        <v>0</v>
      </c>
      <c r="M543" t="n">
        <v>0</v>
      </c>
      <c r="N543" t="n">
        <v>0</v>
      </c>
      <c r="O543" t="n">
        <v>0</v>
      </c>
      <c r="P543" t="n">
        <v>0</v>
      </c>
      <c r="Q543" t="n">
        <v>0</v>
      </c>
      <c r="R543" s="2" t="inlineStr"/>
    </row>
    <row r="544" ht="15" customHeight="1">
      <c r="A544" t="inlineStr">
        <is>
          <t>A 20411-2023</t>
        </is>
      </c>
      <c r="B544" s="1" t="n">
        <v>45056</v>
      </c>
      <c r="C544" s="1" t="n">
        <v>45364</v>
      </c>
      <c r="D544" t="inlineStr">
        <is>
          <t>DALARNAS LÄN</t>
        </is>
      </c>
      <c r="E544" t="inlineStr">
        <is>
          <t>LUDVIKA</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20688-2023</t>
        </is>
      </c>
      <c r="B545" s="1" t="n">
        <v>45058</v>
      </c>
      <c r="C545" s="1" t="n">
        <v>45364</v>
      </c>
      <c r="D545" t="inlineStr">
        <is>
          <t>DALARNAS LÄN</t>
        </is>
      </c>
      <c r="E545" t="inlineStr">
        <is>
          <t>LUDVIKA</t>
        </is>
      </c>
      <c r="F545" t="inlineStr">
        <is>
          <t>Bergvik skog väst AB</t>
        </is>
      </c>
      <c r="G545" t="n">
        <v>2.5</v>
      </c>
      <c r="H545" t="n">
        <v>0</v>
      </c>
      <c r="I545" t="n">
        <v>0</v>
      </c>
      <c r="J545" t="n">
        <v>0</v>
      </c>
      <c r="K545" t="n">
        <v>0</v>
      </c>
      <c r="L545" t="n">
        <v>0</v>
      </c>
      <c r="M545" t="n">
        <v>0</v>
      </c>
      <c r="N545" t="n">
        <v>0</v>
      </c>
      <c r="O545" t="n">
        <v>0</v>
      </c>
      <c r="P545" t="n">
        <v>0</v>
      </c>
      <c r="Q545" t="n">
        <v>0</v>
      </c>
      <c r="R545" s="2" t="inlineStr"/>
    </row>
    <row r="546" ht="15" customHeight="1">
      <c r="A546" t="inlineStr">
        <is>
          <t>A 20826-2023</t>
        </is>
      </c>
      <c r="B546" s="1" t="n">
        <v>45058</v>
      </c>
      <c r="C546" s="1" t="n">
        <v>45364</v>
      </c>
      <c r="D546" t="inlineStr">
        <is>
          <t>DALARNAS LÄN</t>
        </is>
      </c>
      <c r="E546" t="inlineStr">
        <is>
          <t>LUDVIKA</t>
        </is>
      </c>
      <c r="F546" t="inlineStr">
        <is>
          <t>Bergvik skog väst AB</t>
        </is>
      </c>
      <c r="G546" t="n">
        <v>10</v>
      </c>
      <c r="H546" t="n">
        <v>0</v>
      </c>
      <c r="I546" t="n">
        <v>0</v>
      </c>
      <c r="J546" t="n">
        <v>0</v>
      </c>
      <c r="K546" t="n">
        <v>0</v>
      </c>
      <c r="L546" t="n">
        <v>0</v>
      </c>
      <c r="M546" t="n">
        <v>0</v>
      </c>
      <c r="N546" t="n">
        <v>0</v>
      </c>
      <c r="O546" t="n">
        <v>0</v>
      </c>
      <c r="P546" t="n">
        <v>0</v>
      </c>
      <c r="Q546" t="n">
        <v>0</v>
      </c>
      <c r="R546" s="2" t="inlineStr"/>
    </row>
    <row r="547" ht="15" customHeight="1">
      <c r="A547" t="inlineStr">
        <is>
          <t>A 20764-2023</t>
        </is>
      </c>
      <c r="B547" s="1" t="n">
        <v>45058</v>
      </c>
      <c r="C547" s="1" t="n">
        <v>45364</v>
      </c>
      <c r="D547" t="inlineStr">
        <is>
          <t>DALARNAS LÄN</t>
        </is>
      </c>
      <c r="E547" t="inlineStr">
        <is>
          <t>LUDVIKA</t>
        </is>
      </c>
      <c r="F547" t="inlineStr">
        <is>
          <t>Bergvik skog väst AB</t>
        </is>
      </c>
      <c r="G547" t="n">
        <v>3.3</v>
      </c>
      <c r="H547" t="n">
        <v>0</v>
      </c>
      <c r="I547" t="n">
        <v>0</v>
      </c>
      <c r="J547" t="n">
        <v>0</v>
      </c>
      <c r="K547" t="n">
        <v>0</v>
      </c>
      <c r="L547" t="n">
        <v>0</v>
      </c>
      <c r="M547" t="n">
        <v>0</v>
      </c>
      <c r="N547" t="n">
        <v>0</v>
      </c>
      <c r="O547" t="n">
        <v>0</v>
      </c>
      <c r="P547" t="n">
        <v>0</v>
      </c>
      <c r="Q547" t="n">
        <v>0</v>
      </c>
      <c r="R547" s="2" t="inlineStr"/>
    </row>
    <row r="548" ht="15" customHeight="1">
      <c r="A548" t="inlineStr">
        <is>
          <t>A 21145-2023</t>
        </is>
      </c>
      <c r="B548" s="1" t="n">
        <v>45062</v>
      </c>
      <c r="C548" s="1" t="n">
        <v>45364</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21152-2023</t>
        </is>
      </c>
      <c r="B549" s="1" t="n">
        <v>45062</v>
      </c>
      <c r="C549" s="1" t="n">
        <v>45364</v>
      </c>
      <c r="D549" t="inlineStr">
        <is>
          <t>DALARNAS LÄN</t>
        </is>
      </c>
      <c r="E549" t="inlineStr">
        <is>
          <t>LUDVIKA</t>
        </is>
      </c>
      <c r="F549" t="inlineStr">
        <is>
          <t>Bergvik skog väst AB</t>
        </is>
      </c>
      <c r="G549" t="n">
        <v>13.6</v>
      </c>
      <c r="H549" t="n">
        <v>0</v>
      </c>
      <c r="I549" t="n">
        <v>0</v>
      </c>
      <c r="J549" t="n">
        <v>0</v>
      </c>
      <c r="K549" t="n">
        <v>0</v>
      </c>
      <c r="L549" t="n">
        <v>0</v>
      </c>
      <c r="M549" t="n">
        <v>0</v>
      </c>
      <c r="N549" t="n">
        <v>0</v>
      </c>
      <c r="O549" t="n">
        <v>0</v>
      </c>
      <c r="P549" t="n">
        <v>0</v>
      </c>
      <c r="Q549" t="n">
        <v>0</v>
      </c>
      <c r="R549" s="2" t="inlineStr"/>
    </row>
    <row r="550" ht="15" customHeight="1">
      <c r="A550" t="inlineStr">
        <is>
          <t>A 21297-2023</t>
        </is>
      </c>
      <c r="B550" s="1" t="n">
        <v>45062</v>
      </c>
      <c r="C550" s="1" t="n">
        <v>45364</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21247-2023</t>
        </is>
      </c>
      <c r="B551" s="1" t="n">
        <v>45062</v>
      </c>
      <c r="C551" s="1" t="n">
        <v>45364</v>
      </c>
      <c r="D551" t="inlineStr">
        <is>
          <t>DALARNAS LÄN</t>
        </is>
      </c>
      <c r="E551" t="inlineStr">
        <is>
          <t>LUDVIKA</t>
        </is>
      </c>
      <c r="F551" t="inlineStr">
        <is>
          <t>Bergvik skog väst AB</t>
        </is>
      </c>
      <c r="G551" t="n">
        <v>2.4</v>
      </c>
      <c r="H551" t="n">
        <v>0</v>
      </c>
      <c r="I551" t="n">
        <v>0</v>
      </c>
      <c r="J551" t="n">
        <v>0</v>
      </c>
      <c r="K551" t="n">
        <v>0</v>
      </c>
      <c r="L551" t="n">
        <v>0</v>
      </c>
      <c r="M551" t="n">
        <v>0</v>
      </c>
      <c r="N551" t="n">
        <v>0</v>
      </c>
      <c r="O551" t="n">
        <v>0</v>
      </c>
      <c r="P551" t="n">
        <v>0</v>
      </c>
      <c r="Q551" t="n">
        <v>0</v>
      </c>
      <c r="R551" s="2" t="inlineStr"/>
    </row>
    <row r="552" ht="15" customHeight="1">
      <c r="A552" t="inlineStr">
        <is>
          <t>A 21539-2023</t>
        </is>
      </c>
      <c r="B552" s="1" t="n">
        <v>45063</v>
      </c>
      <c r="C552" s="1" t="n">
        <v>45364</v>
      </c>
      <c r="D552" t="inlineStr">
        <is>
          <t>DALARNAS LÄN</t>
        </is>
      </c>
      <c r="E552" t="inlineStr">
        <is>
          <t>LUDVIKA</t>
        </is>
      </c>
      <c r="F552" t="inlineStr">
        <is>
          <t>Bergvik skog väst AB</t>
        </is>
      </c>
      <c r="G552" t="n">
        <v>7.4</v>
      </c>
      <c r="H552" t="n">
        <v>0</v>
      </c>
      <c r="I552" t="n">
        <v>0</v>
      </c>
      <c r="J552" t="n">
        <v>0</v>
      </c>
      <c r="K552" t="n">
        <v>0</v>
      </c>
      <c r="L552" t="n">
        <v>0</v>
      </c>
      <c r="M552" t="n">
        <v>0</v>
      </c>
      <c r="N552" t="n">
        <v>0</v>
      </c>
      <c r="O552" t="n">
        <v>0</v>
      </c>
      <c r="P552" t="n">
        <v>0</v>
      </c>
      <c r="Q552" t="n">
        <v>0</v>
      </c>
      <c r="R552" s="2" t="inlineStr"/>
    </row>
    <row r="553" ht="15" customHeight="1">
      <c r="A553" t="inlineStr">
        <is>
          <t>A 21370-2023</t>
        </is>
      </c>
      <c r="B553" s="1" t="n">
        <v>45063</v>
      </c>
      <c r="C553" s="1" t="n">
        <v>45364</v>
      </c>
      <c r="D553" t="inlineStr">
        <is>
          <t>DALARNAS LÄN</t>
        </is>
      </c>
      <c r="E553" t="inlineStr">
        <is>
          <t>LUDVIKA</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21369-2023</t>
        </is>
      </c>
      <c r="B554" s="1" t="n">
        <v>45063</v>
      </c>
      <c r="C554" s="1" t="n">
        <v>45364</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21554-2023</t>
        </is>
      </c>
      <c r="B555" s="1" t="n">
        <v>45063</v>
      </c>
      <c r="C555" s="1" t="n">
        <v>45364</v>
      </c>
      <c r="D555" t="inlineStr">
        <is>
          <t>DALARNAS LÄN</t>
        </is>
      </c>
      <c r="E555" t="inlineStr">
        <is>
          <t>LUDVIKA</t>
        </is>
      </c>
      <c r="F555" t="inlineStr">
        <is>
          <t>Bergvik skog väst AB</t>
        </is>
      </c>
      <c r="G555" t="n">
        <v>2.3</v>
      </c>
      <c r="H555" t="n">
        <v>0</v>
      </c>
      <c r="I555" t="n">
        <v>0</v>
      </c>
      <c r="J555" t="n">
        <v>0</v>
      </c>
      <c r="K555" t="n">
        <v>0</v>
      </c>
      <c r="L555" t="n">
        <v>0</v>
      </c>
      <c r="M555" t="n">
        <v>0</v>
      </c>
      <c r="N555" t="n">
        <v>0</v>
      </c>
      <c r="O555" t="n">
        <v>0</v>
      </c>
      <c r="P555" t="n">
        <v>0</v>
      </c>
      <c r="Q555" t="n">
        <v>0</v>
      </c>
      <c r="R555" s="2" t="inlineStr"/>
    </row>
    <row r="556" ht="15" customHeight="1">
      <c r="A556" t="inlineStr">
        <is>
          <t>A 21548-2023</t>
        </is>
      </c>
      <c r="B556" s="1" t="n">
        <v>45063</v>
      </c>
      <c r="C556" s="1" t="n">
        <v>45364</v>
      </c>
      <c r="D556" t="inlineStr">
        <is>
          <t>DALARNAS LÄN</t>
        </is>
      </c>
      <c r="E556" t="inlineStr">
        <is>
          <t>LUDVIKA</t>
        </is>
      </c>
      <c r="F556" t="inlineStr">
        <is>
          <t>Bergvik skog väst AB</t>
        </is>
      </c>
      <c r="G556" t="n">
        <v>6</v>
      </c>
      <c r="H556" t="n">
        <v>0</v>
      </c>
      <c r="I556" t="n">
        <v>0</v>
      </c>
      <c r="J556" t="n">
        <v>0</v>
      </c>
      <c r="K556" t="n">
        <v>0</v>
      </c>
      <c r="L556" t="n">
        <v>0</v>
      </c>
      <c r="M556" t="n">
        <v>0</v>
      </c>
      <c r="N556" t="n">
        <v>0</v>
      </c>
      <c r="O556" t="n">
        <v>0</v>
      </c>
      <c r="P556" t="n">
        <v>0</v>
      </c>
      <c r="Q556" t="n">
        <v>0</v>
      </c>
      <c r="R556" s="2" t="inlineStr"/>
    </row>
    <row r="557" ht="15" customHeight="1">
      <c r="A557" t="inlineStr">
        <is>
          <t>A 21551-2023</t>
        </is>
      </c>
      <c r="B557" s="1" t="n">
        <v>45063</v>
      </c>
      <c r="C557" s="1" t="n">
        <v>45364</v>
      </c>
      <c r="D557" t="inlineStr">
        <is>
          <t>DALARNAS LÄN</t>
        </is>
      </c>
      <c r="E557" t="inlineStr">
        <is>
          <t>LUDVIKA</t>
        </is>
      </c>
      <c r="G557" t="n">
        <v>8.4</v>
      </c>
      <c r="H557" t="n">
        <v>0</v>
      </c>
      <c r="I557" t="n">
        <v>0</v>
      </c>
      <c r="J557" t="n">
        <v>0</v>
      </c>
      <c r="K557" t="n">
        <v>0</v>
      </c>
      <c r="L557" t="n">
        <v>0</v>
      </c>
      <c r="M557" t="n">
        <v>0</v>
      </c>
      <c r="N557" t="n">
        <v>0</v>
      </c>
      <c r="O557" t="n">
        <v>0</v>
      </c>
      <c r="P557" t="n">
        <v>0</v>
      </c>
      <c r="Q557" t="n">
        <v>0</v>
      </c>
      <c r="R557" s="2" t="inlineStr"/>
    </row>
    <row r="558" ht="15" customHeight="1">
      <c r="A558" t="inlineStr">
        <is>
          <t>A 21598-2023</t>
        </is>
      </c>
      <c r="B558" s="1" t="n">
        <v>45063</v>
      </c>
      <c r="C558" s="1" t="n">
        <v>45364</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21649-2023</t>
        </is>
      </c>
      <c r="B559" s="1" t="n">
        <v>45063</v>
      </c>
      <c r="C559" s="1" t="n">
        <v>45364</v>
      </c>
      <c r="D559" t="inlineStr">
        <is>
          <t>DALARNAS LÄN</t>
        </is>
      </c>
      <c r="E559" t="inlineStr">
        <is>
          <t>LUDVIKA</t>
        </is>
      </c>
      <c r="F559" t="inlineStr">
        <is>
          <t>Bergvik skog väst AB</t>
        </is>
      </c>
      <c r="G559" t="n">
        <v>10.3</v>
      </c>
      <c r="H559" t="n">
        <v>0</v>
      </c>
      <c r="I559" t="n">
        <v>0</v>
      </c>
      <c r="J559" t="n">
        <v>0</v>
      </c>
      <c r="K559" t="n">
        <v>0</v>
      </c>
      <c r="L559" t="n">
        <v>0</v>
      </c>
      <c r="M559" t="n">
        <v>0</v>
      </c>
      <c r="N559" t="n">
        <v>0</v>
      </c>
      <c r="O559" t="n">
        <v>0</v>
      </c>
      <c r="P559" t="n">
        <v>0</v>
      </c>
      <c r="Q559" t="n">
        <v>0</v>
      </c>
      <c r="R559" s="2" t="inlineStr"/>
    </row>
    <row r="560" ht="15" customHeight="1">
      <c r="A560" t="inlineStr">
        <is>
          <t>A 21843-2023</t>
        </is>
      </c>
      <c r="B560" s="1" t="n">
        <v>45068</v>
      </c>
      <c r="C560" s="1" t="n">
        <v>45364</v>
      </c>
      <c r="D560" t="inlineStr">
        <is>
          <t>DALARNAS LÄN</t>
        </is>
      </c>
      <c r="E560" t="inlineStr">
        <is>
          <t>LUDVIKA</t>
        </is>
      </c>
      <c r="G560" t="n">
        <v>4.3</v>
      </c>
      <c r="H560" t="n">
        <v>0</v>
      </c>
      <c r="I560" t="n">
        <v>0</v>
      </c>
      <c r="J560" t="n">
        <v>0</v>
      </c>
      <c r="K560" t="n">
        <v>0</v>
      </c>
      <c r="L560" t="n">
        <v>0</v>
      </c>
      <c r="M560" t="n">
        <v>0</v>
      </c>
      <c r="N560" t="n">
        <v>0</v>
      </c>
      <c r="O560" t="n">
        <v>0</v>
      </c>
      <c r="P560" t="n">
        <v>0</v>
      </c>
      <c r="Q560" t="n">
        <v>0</v>
      </c>
      <c r="R560" s="2" t="inlineStr"/>
    </row>
    <row r="561" ht="15" customHeight="1">
      <c r="A561" t="inlineStr">
        <is>
          <t>A 21842-2023</t>
        </is>
      </c>
      <c r="B561" s="1" t="n">
        <v>45068</v>
      </c>
      <c r="C561" s="1" t="n">
        <v>45364</v>
      </c>
      <c r="D561" t="inlineStr">
        <is>
          <t>DALARNAS LÄN</t>
        </is>
      </c>
      <c r="E561" t="inlineStr">
        <is>
          <t>LUDVIKA</t>
        </is>
      </c>
      <c r="G561" t="n">
        <v>3.5</v>
      </c>
      <c r="H561" t="n">
        <v>0</v>
      </c>
      <c r="I561" t="n">
        <v>0</v>
      </c>
      <c r="J561" t="n">
        <v>0</v>
      </c>
      <c r="K561" t="n">
        <v>0</v>
      </c>
      <c r="L561" t="n">
        <v>0</v>
      </c>
      <c r="M561" t="n">
        <v>0</v>
      </c>
      <c r="N561" t="n">
        <v>0</v>
      </c>
      <c r="O561" t="n">
        <v>0</v>
      </c>
      <c r="P561" t="n">
        <v>0</v>
      </c>
      <c r="Q561" t="n">
        <v>0</v>
      </c>
      <c r="R561" s="2" t="inlineStr"/>
    </row>
    <row r="562" ht="15" customHeight="1">
      <c r="A562" t="inlineStr">
        <is>
          <t>A 21870-2023</t>
        </is>
      </c>
      <c r="B562" s="1" t="n">
        <v>45068</v>
      </c>
      <c r="C562" s="1" t="n">
        <v>45364</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21841-2023</t>
        </is>
      </c>
      <c r="B563" s="1" t="n">
        <v>45068</v>
      </c>
      <c r="C563" s="1" t="n">
        <v>45364</v>
      </c>
      <c r="D563" t="inlineStr">
        <is>
          <t>DALARNAS LÄN</t>
        </is>
      </c>
      <c r="E563" t="inlineStr">
        <is>
          <t>LUDVIKA</t>
        </is>
      </c>
      <c r="G563" t="n">
        <v>4.5</v>
      </c>
      <c r="H563" t="n">
        <v>0</v>
      </c>
      <c r="I563" t="n">
        <v>0</v>
      </c>
      <c r="J563" t="n">
        <v>0</v>
      </c>
      <c r="K563" t="n">
        <v>0</v>
      </c>
      <c r="L563" t="n">
        <v>0</v>
      </c>
      <c r="M563" t="n">
        <v>0</v>
      </c>
      <c r="N563" t="n">
        <v>0</v>
      </c>
      <c r="O563" t="n">
        <v>0</v>
      </c>
      <c r="P563" t="n">
        <v>0</v>
      </c>
      <c r="Q563" t="n">
        <v>0</v>
      </c>
      <c r="R563" s="2" t="inlineStr"/>
    </row>
    <row r="564" ht="15" customHeight="1">
      <c r="A564" t="inlineStr">
        <is>
          <t>A 21933-2023</t>
        </is>
      </c>
      <c r="B564" s="1" t="n">
        <v>45068</v>
      </c>
      <c r="C564" s="1" t="n">
        <v>45364</v>
      </c>
      <c r="D564" t="inlineStr">
        <is>
          <t>DALARNAS LÄN</t>
        </is>
      </c>
      <c r="E564" t="inlineStr">
        <is>
          <t>LUDVIKA</t>
        </is>
      </c>
      <c r="F564" t="inlineStr">
        <is>
          <t>Bergvik skog väst AB</t>
        </is>
      </c>
      <c r="G564" t="n">
        <v>12.5</v>
      </c>
      <c r="H564" t="n">
        <v>0</v>
      </c>
      <c r="I564" t="n">
        <v>0</v>
      </c>
      <c r="J564" t="n">
        <v>0</v>
      </c>
      <c r="K564" t="n">
        <v>0</v>
      </c>
      <c r="L564" t="n">
        <v>0</v>
      </c>
      <c r="M564" t="n">
        <v>0</v>
      </c>
      <c r="N564" t="n">
        <v>0</v>
      </c>
      <c r="O564" t="n">
        <v>0</v>
      </c>
      <c r="P564" t="n">
        <v>0</v>
      </c>
      <c r="Q564" t="n">
        <v>0</v>
      </c>
      <c r="R564" s="2" t="inlineStr"/>
    </row>
    <row r="565" ht="15" customHeight="1">
      <c r="A565" t="inlineStr">
        <is>
          <t>A 22149-2023</t>
        </is>
      </c>
      <c r="B565" s="1" t="n">
        <v>45069</v>
      </c>
      <c r="C565" s="1" t="n">
        <v>45364</v>
      </c>
      <c r="D565" t="inlineStr">
        <is>
          <t>DALARNAS LÄN</t>
        </is>
      </c>
      <c r="E565" t="inlineStr">
        <is>
          <t>LUDVIKA</t>
        </is>
      </c>
      <c r="F565" t="inlineStr">
        <is>
          <t>Bergvik skog väst AB</t>
        </is>
      </c>
      <c r="G565" t="n">
        <v>12.9</v>
      </c>
      <c r="H565" t="n">
        <v>0</v>
      </c>
      <c r="I565" t="n">
        <v>0</v>
      </c>
      <c r="J565" t="n">
        <v>0</v>
      </c>
      <c r="K565" t="n">
        <v>0</v>
      </c>
      <c r="L565" t="n">
        <v>0</v>
      </c>
      <c r="M565" t="n">
        <v>0</v>
      </c>
      <c r="N565" t="n">
        <v>0</v>
      </c>
      <c r="O565" t="n">
        <v>0</v>
      </c>
      <c r="P565" t="n">
        <v>0</v>
      </c>
      <c r="Q565" t="n">
        <v>0</v>
      </c>
      <c r="R565" s="2" t="inlineStr"/>
    </row>
    <row r="566" ht="15" customHeight="1">
      <c r="A566" t="inlineStr">
        <is>
          <t>A 22151-2023</t>
        </is>
      </c>
      <c r="B566" s="1" t="n">
        <v>45069</v>
      </c>
      <c r="C566" s="1" t="n">
        <v>45364</v>
      </c>
      <c r="D566" t="inlineStr">
        <is>
          <t>DALARNAS LÄN</t>
        </is>
      </c>
      <c r="E566" t="inlineStr">
        <is>
          <t>LUDVIKA</t>
        </is>
      </c>
      <c r="F566" t="inlineStr">
        <is>
          <t>Bergvik skog väst AB</t>
        </is>
      </c>
      <c r="G566" t="n">
        <v>1.1</v>
      </c>
      <c r="H566" t="n">
        <v>0</v>
      </c>
      <c r="I566" t="n">
        <v>0</v>
      </c>
      <c r="J566" t="n">
        <v>0</v>
      </c>
      <c r="K566" t="n">
        <v>0</v>
      </c>
      <c r="L566" t="n">
        <v>0</v>
      </c>
      <c r="M566" t="n">
        <v>0</v>
      </c>
      <c r="N566" t="n">
        <v>0</v>
      </c>
      <c r="O566" t="n">
        <v>0</v>
      </c>
      <c r="P566" t="n">
        <v>0</v>
      </c>
      <c r="Q566" t="n">
        <v>0</v>
      </c>
      <c r="R566" s="2" t="inlineStr"/>
    </row>
    <row r="567" ht="15" customHeight="1">
      <c r="A567" t="inlineStr">
        <is>
          <t>A 22286-2023</t>
        </is>
      </c>
      <c r="B567" s="1" t="n">
        <v>45070</v>
      </c>
      <c r="C567" s="1" t="n">
        <v>45364</v>
      </c>
      <c r="D567" t="inlineStr">
        <is>
          <t>DALARNAS LÄN</t>
        </is>
      </c>
      <c r="E567" t="inlineStr">
        <is>
          <t>LUDVIKA</t>
        </is>
      </c>
      <c r="F567" t="inlineStr">
        <is>
          <t>Bergvik skog väst AB</t>
        </is>
      </c>
      <c r="G567" t="n">
        <v>3.5</v>
      </c>
      <c r="H567" t="n">
        <v>0</v>
      </c>
      <c r="I567" t="n">
        <v>0</v>
      </c>
      <c r="J567" t="n">
        <v>0</v>
      </c>
      <c r="K567" t="n">
        <v>0</v>
      </c>
      <c r="L567" t="n">
        <v>0</v>
      </c>
      <c r="M567" t="n">
        <v>0</v>
      </c>
      <c r="N567" t="n">
        <v>0</v>
      </c>
      <c r="O567" t="n">
        <v>0</v>
      </c>
      <c r="P567" t="n">
        <v>0</v>
      </c>
      <c r="Q567" t="n">
        <v>0</v>
      </c>
      <c r="R567" s="2" t="inlineStr"/>
    </row>
    <row r="568" ht="15" customHeight="1">
      <c r="A568" t="inlineStr">
        <is>
          <t>A 22306-2023</t>
        </is>
      </c>
      <c r="B568" s="1" t="n">
        <v>45070</v>
      </c>
      <c r="C568" s="1" t="n">
        <v>45364</v>
      </c>
      <c r="D568" t="inlineStr">
        <is>
          <t>DALARNAS LÄN</t>
        </is>
      </c>
      <c r="E568" t="inlineStr">
        <is>
          <t>LUDVIKA</t>
        </is>
      </c>
      <c r="F568" t="inlineStr">
        <is>
          <t>Bergvik skog väst AB</t>
        </is>
      </c>
      <c r="G568" t="n">
        <v>2.4</v>
      </c>
      <c r="H568" t="n">
        <v>0</v>
      </c>
      <c r="I568" t="n">
        <v>0</v>
      </c>
      <c r="J568" t="n">
        <v>0</v>
      </c>
      <c r="K568" t="n">
        <v>0</v>
      </c>
      <c r="L568" t="n">
        <v>0</v>
      </c>
      <c r="M568" t="n">
        <v>0</v>
      </c>
      <c r="N568" t="n">
        <v>0</v>
      </c>
      <c r="O568" t="n">
        <v>0</v>
      </c>
      <c r="P568" t="n">
        <v>0</v>
      </c>
      <c r="Q568" t="n">
        <v>0</v>
      </c>
      <c r="R568" s="2" t="inlineStr"/>
    </row>
    <row r="569" ht="15" customHeight="1">
      <c r="A569" t="inlineStr">
        <is>
          <t>A 22375-2023</t>
        </is>
      </c>
      <c r="B569" s="1" t="n">
        <v>45070</v>
      </c>
      <c r="C569" s="1" t="n">
        <v>45364</v>
      </c>
      <c r="D569" t="inlineStr">
        <is>
          <t>DALARNAS LÄN</t>
        </is>
      </c>
      <c r="E569" t="inlineStr">
        <is>
          <t>LUDVIKA</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22420-2023</t>
        </is>
      </c>
      <c r="B570" s="1" t="n">
        <v>45070</v>
      </c>
      <c r="C570" s="1" t="n">
        <v>45364</v>
      </c>
      <c r="D570" t="inlineStr">
        <is>
          <t>DALARNAS LÄN</t>
        </is>
      </c>
      <c r="E570" t="inlineStr">
        <is>
          <t>LUDVIKA</t>
        </is>
      </c>
      <c r="F570" t="inlineStr">
        <is>
          <t>Bergvik skog väst AB</t>
        </is>
      </c>
      <c r="G570" t="n">
        <v>6.5</v>
      </c>
      <c r="H570" t="n">
        <v>0</v>
      </c>
      <c r="I570" t="n">
        <v>0</v>
      </c>
      <c r="J570" t="n">
        <v>0</v>
      </c>
      <c r="K570" t="n">
        <v>0</v>
      </c>
      <c r="L570" t="n">
        <v>0</v>
      </c>
      <c r="M570" t="n">
        <v>0</v>
      </c>
      <c r="N570" t="n">
        <v>0</v>
      </c>
      <c r="O570" t="n">
        <v>0</v>
      </c>
      <c r="P570" t="n">
        <v>0</v>
      </c>
      <c r="Q570" t="n">
        <v>0</v>
      </c>
      <c r="R570" s="2" t="inlineStr"/>
    </row>
    <row r="571" ht="15" customHeight="1">
      <c r="A571" t="inlineStr">
        <is>
          <t>A 22555-2023</t>
        </is>
      </c>
      <c r="B571" s="1" t="n">
        <v>45071</v>
      </c>
      <c r="C571" s="1" t="n">
        <v>45364</v>
      </c>
      <c r="D571" t="inlineStr">
        <is>
          <t>DALARNAS LÄN</t>
        </is>
      </c>
      <c r="E571" t="inlineStr">
        <is>
          <t>LUDVIKA</t>
        </is>
      </c>
      <c r="F571" t="inlineStr">
        <is>
          <t>Bergvik skog väst AB</t>
        </is>
      </c>
      <c r="G571" t="n">
        <v>6</v>
      </c>
      <c r="H571" t="n">
        <v>0</v>
      </c>
      <c r="I571" t="n">
        <v>0</v>
      </c>
      <c r="J571" t="n">
        <v>0</v>
      </c>
      <c r="K571" t="n">
        <v>0</v>
      </c>
      <c r="L571" t="n">
        <v>0</v>
      </c>
      <c r="M571" t="n">
        <v>0</v>
      </c>
      <c r="N571" t="n">
        <v>0</v>
      </c>
      <c r="O571" t="n">
        <v>0</v>
      </c>
      <c r="P571" t="n">
        <v>0</v>
      </c>
      <c r="Q571" t="n">
        <v>0</v>
      </c>
      <c r="R571" s="2" t="inlineStr"/>
    </row>
    <row r="572" ht="15" customHeight="1">
      <c r="A572" t="inlineStr">
        <is>
          <t>A 23999-2023</t>
        </is>
      </c>
      <c r="B572" s="1" t="n">
        <v>45078</v>
      </c>
      <c r="C572" s="1" t="n">
        <v>45364</v>
      </c>
      <c r="D572" t="inlineStr">
        <is>
          <t>DALARNAS LÄN</t>
        </is>
      </c>
      <c r="E572" t="inlineStr">
        <is>
          <t>LUDVIKA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24224-2023</t>
        </is>
      </c>
      <c r="B573" s="1" t="n">
        <v>45079</v>
      </c>
      <c r="C573" s="1" t="n">
        <v>45364</v>
      </c>
      <c r="D573" t="inlineStr">
        <is>
          <t>DALARNAS LÄN</t>
        </is>
      </c>
      <c r="E573" t="inlineStr">
        <is>
          <t>LUDVIKA</t>
        </is>
      </c>
      <c r="F573" t="inlineStr">
        <is>
          <t>Bergvik skog väst AB</t>
        </is>
      </c>
      <c r="G573" t="n">
        <v>12.1</v>
      </c>
      <c r="H573" t="n">
        <v>0</v>
      </c>
      <c r="I573" t="n">
        <v>0</v>
      </c>
      <c r="J573" t="n">
        <v>0</v>
      </c>
      <c r="K573" t="n">
        <v>0</v>
      </c>
      <c r="L573" t="n">
        <v>0</v>
      </c>
      <c r="M573" t="n">
        <v>0</v>
      </c>
      <c r="N573" t="n">
        <v>0</v>
      </c>
      <c r="O573" t="n">
        <v>0</v>
      </c>
      <c r="P573" t="n">
        <v>0</v>
      </c>
      <c r="Q573" t="n">
        <v>0</v>
      </c>
      <c r="R573" s="2" t="inlineStr"/>
    </row>
    <row r="574" ht="15" customHeight="1">
      <c r="A574" t="inlineStr">
        <is>
          <t>A 24256-2023</t>
        </is>
      </c>
      <c r="B574" s="1" t="n">
        <v>45079</v>
      </c>
      <c r="C574" s="1" t="n">
        <v>45364</v>
      </c>
      <c r="D574" t="inlineStr">
        <is>
          <t>DALARNAS LÄN</t>
        </is>
      </c>
      <c r="E574" t="inlineStr">
        <is>
          <t>LUDVIKA</t>
        </is>
      </c>
      <c r="F574" t="inlineStr">
        <is>
          <t>Bergvik skog väst AB</t>
        </is>
      </c>
      <c r="G574" t="n">
        <v>10.9</v>
      </c>
      <c r="H574" t="n">
        <v>0</v>
      </c>
      <c r="I574" t="n">
        <v>0</v>
      </c>
      <c r="J574" t="n">
        <v>0</v>
      </c>
      <c r="K574" t="n">
        <v>0</v>
      </c>
      <c r="L574" t="n">
        <v>0</v>
      </c>
      <c r="M574" t="n">
        <v>0</v>
      </c>
      <c r="N574" t="n">
        <v>0</v>
      </c>
      <c r="O574" t="n">
        <v>0</v>
      </c>
      <c r="P574" t="n">
        <v>0</v>
      </c>
      <c r="Q574" t="n">
        <v>0</v>
      </c>
      <c r="R574" s="2" t="inlineStr"/>
    </row>
    <row r="575" ht="15" customHeight="1">
      <c r="A575" t="inlineStr">
        <is>
          <t>A 24379-2023</t>
        </is>
      </c>
      <c r="B575" s="1" t="n">
        <v>45082</v>
      </c>
      <c r="C575" s="1" t="n">
        <v>45364</v>
      </c>
      <c r="D575" t="inlineStr">
        <is>
          <t>DALARNAS LÄN</t>
        </is>
      </c>
      <c r="E575" t="inlineStr">
        <is>
          <t>LUDVIKA</t>
        </is>
      </c>
      <c r="F575" t="inlineStr">
        <is>
          <t>Naturvårdsverket</t>
        </is>
      </c>
      <c r="G575" t="n">
        <v>2.1</v>
      </c>
      <c r="H575" t="n">
        <v>0</v>
      </c>
      <c r="I575" t="n">
        <v>0</v>
      </c>
      <c r="J575" t="n">
        <v>0</v>
      </c>
      <c r="K575" t="n">
        <v>0</v>
      </c>
      <c r="L575" t="n">
        <v>0</v>
      </c>
      <c r="M575" t="n">
        <v>0</v>
      </c>
      <c r="N575" t="n">
        <v>0</v>
      </c>
      <c r="O575" t="n">
        <v>0</v>
      </c>
      <c r="P575" t="n">
        <v>0</v>
      </c>
      <c r="Q575" t="n">
        <v>0</v>
      </c>
      <c r="R575" s="2" t="inlineStr"/>
    </row>
    <row r="576" ht="15" customHeight="1">
      <c r="A576" t="inlineStr">
        <is>
          <t>A 24469-2023</t>
        </is>
      </c>
      <c r="B576" s="1" t="n">
        <v>45082</v>
      </c>
      <c r="C576" s="1" t="n">
        <v>45364</v>
      </c>
      <c r="D576" t="inlineStr">
        <is>
          <t>DALARNAS LÄN</t>
        </is>
      </c>
      <c r="E576" t="inlineStr">
        <is>
          <t>LUDVIKA</t>
        </is>
      </c>
      <c r="F576" t="inlineStr">
        <is>
          <t>Naturvårdsverket</t>
        </is>
      </c>
      <c r="G576" t="n">
        <v>4</v>
      </c>
      <c r="H576" t="n">
        <v>0</v>
      </c>
      <c r="I576" t="n">
        <v>0</v>
      </c>
      <c r="J576" t="n">
        <v>0</v>
      </c>
      <c r="K576" t="n">
        <v>0</v>
      </c>
      <c r="L576" t="n">
        <v>0</v>
      </c>
      <c r="M576" t="n">
        <v>0</v>
      </c>
      <c r="N576" t="n">
        <v>0</v>
      </c>
      <c r="O576" t="n">
        <v>0</v>
      </c>
      <c r="P576" t="n">
        <v>0</v>
      </c>
      <c r="Q576" t="n">
        <v>0</v>
      </c>
      <c r="R576" s="2" t="inlineStr"/>
    </row>
    <row r="577" ht="15" customHeight="1">
      <c r="A577" t="inlineStr">
        <is>
          <t>A 24612-2023</t>
        </is>
      </c>
      <c r="B577" s="1" t="n">
        <v>45084</v>
      </c>
      <c r="C577" s="1" t="n">
        <v>45364</v>
      </c>
      <c r="D577" t="inlineStr">
        <is>
          <t>DALARNAS LÄN</t>
        </is>
      </c>
      <c r="E577" t="inlineStr">
        <is>
          <t>LUDVIKA</t>
        </is>
      </c>
      <c r="F577" t="inlineStr">
        <is>
          <t>Bergvik skog väst AB</t>
        </is>
      </c>
      <c r="G577" t="n">
        <v>11.7</v>
      </c>
      <c r="H577" t="n">
        <v>0</v>
      </c>
      <c r="I577" t="n">
        <v>0</v>
      </c>
      <c r="J577" t="n">
        <v>0</v>
      </c>
      <c r="K577" t="n">
        <v>0</v>
      </c>
      <c r="L577" t="n">
        <v>0</v>
      </c>
      <c r="M577" t="n">
        <v>0</v>
      </c>
      <c r="N577" t="n">
        <v>0</v>
      </c>
      <c r="O577" t="n">
        <v>0</v>
      </c>
      <c r="P577" t="n">
        <v>0</v>
      </c>
      <c r="Q577" t="n">
        <v>0</v>
      </c>
      <c r="R577" s="2" t="inlineStr"/>
    </row>
    <row r="578" ht="15" customHeight="1">
      <c r="A578" t="inlineStr">
        <is>
          <t>A 25077-2023</t>
        </is>
      </c>
      <c r="B578" s="1" t="n">
        <v>45086</v>
      </c>
      <c r="C578" s="1" t="n">
        <v>45364</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25099-2023</t>
        </is>
      </c>
      <c r="B579" s="1" t="n">
        <v>45086</v>
      </c>
      <c r="C579" s="1" t="n">
        <v>45364</v>
      </c>
      <c r="D579" t="inlineStr">
        <is>
          <t>DALARNAS LÄN</t>
        </is>
      </c>
      <c r="E579" t="inlineStr">
        <is>
          <t>LUDVIKA</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25624-2023</t>
        </is>
      </c>
      <c r="B580" s="1" t="n">
        <v>45089</v>
      </c>
      <c r="C580" s="1" t="n">
        <v>45364</v>
      </c>
      <c r="D580" t="inlineStr">
        <is>
          <t>DALARNAS LÄN</t>
        </is>
      </c>
      <c r="E580" t="inlineStr">
        <is>
          <t>LUDVIKA</t>
        </is>
      </c>
      <c r="F580" t="inlineStr">
        <is>
          <t>Bergvik skog väst AB</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26147-2023</t>
        </is>
      </c>
      <c r="B581" s="1" t="n">
        <v>45091</v>
      </c>
      <c r="C581" s="1" t="n">
        <v>45364</v>
      </c>
      <c r="D581" t="inlineStr">
        <is>
          <t>DALARNAS LÄN</t>
        </is>
      </c>
      <c r="E581" t="inlineStr">
        <is>
          <t>LUDVIKA</t>
        </is>
      </c>
      <c r="F581" t="inlineStr">
        <is>
          <t>Naturvårdsverket</t>
        </is>
      </c>
      <c r="G581" t="n">
        <v>4.1</v>
      </c>
      <c r="H581" t="n">
        <v>0</v>
      </c>
      <c r="I581" t="n">
        <v>0</v>
      </c>
      <c r="J581" t="n">
        <v>0</v>
      </c>
      <c r="K581" t="n">
        <v>0</v>
      </c>
      <c r="L581" t="n">
        <v>0</v>
      </c>
      <c r="M581" t="n">
        <v>0</v>
      </c>
      <c r="N581" t="n">
        <v>0</v>
      </c>
      <c r="O581" t="n">
        <v>0</v>
      </c>
      <c r="P581" t="n">
        <v>0</v>
      </c>
      <c r="Q581" t="n">
        <v>0</v>
      </c>
      <c r="R581" s="2" t="inlineStr"/>
    </row>
    <row r="582" ht="15" customHeight="1">
      <c r="A582" t="inlineStr">
        <is>
          <t>A 26766-2023</t>
        </is>
      </c>
      <c r="B582" s="1" t="n">
        <v>45093</v>
      </c>
      <c r="C582" s="1" t="n">
        <v>45364</v>
      </c>
      <c r="D582" t="inlineStr">
        <is>
          <t>DALARNAS LÄN</t>
        </is>
      </c>
      <c r="E582" t="inlineStr">
        <is>
          <t>LUDVIKA</t>
        </is>
      </c>
      <c r="F582" t="inlineStr">
        <is>
          <t>Naturvårdsverket</t>
        </is>
      </c>
      <c r="G582" t="n">
        <v>1.6</v>
      </c>
      <c r="H582" t="n">
        <v>0</v>
      </c>
      <c r="I582" t="n">
        <v>0</v>
      </c>
      <c r="J582" t="n">
        <v>0</v>
      </c>
      <c r="K582" t="n">
        <v>0</v>
      </c>
      <c r="L582" t="n">
        <v>0</v>
      </c>
      <c r="M582" t="n">
        <v>0</v>
      </c>
      <c r="N582" t="n">
        <v>0</v>
      </c>
      <c r="O582" t="n">
        <v>0</v>
      </c>
      <c r="P582" t="n">
        <v>0</v>
      </c>
      <c r="Q582" t="n">
        <v>0</v>
      </c>
      <c r="R582" s="2" t="inlineStr"/>
    </row>
    <row r="583" ht="15" customHeight="1">
      <c r="A583" t="inlineStr">
        <is>
          <t>A 26884-2023</t>
        </is>
      </c>
      <c r="B583" s="1" t="n">
        <v>45093</v>
      </c>
      <c r="C583" s="1" t="n">
        <v>45364</v>
      </c>
      <c r="D583" t="inlineStr">
        <is>
          <t>DALARNAS LÄN</t>
        </is>
      </c>
      <c r="E583" t="inlineStr">
        <is>
          <t>LUDVIKA</t>
        </is>
      </c>
      <c r="F583" t="inlineStr">
        <is>
          <t>Naturvårdsverket</t>
        </is>
      </c>
      <c r="G583" t="n">
        <v>3.5</v>
      </c>
      <c r="H583" t="n">
        <v>0</v>
      </c>
      <c r="I583" t="n">
        <v>0</v>
      </c>
      <c r="J583" t="n">
        <v>0</v>
      </c>
      <c r="K583" t="n">
        <v>0</v>
      </c>
      <c r="L583" t="n">
        <v>0</v>
      </c>
      <c r="M583" t="n">
        <v>0</v>
      </c>
      <c r="N583" t="n">
        <v>0</v>
      </c>
      <c r="O583" t="n">
        <v>0</v>
      </c>
      <c r="P583" t="n">
        <v>0</v>
      </c>
      <c r="Q583" t="n">
        <v>0</v>
      </c>
      <c r="R583" s="2" t="inlineStr"/>
    </row>
    <row r="584" ht="15" customHeight="1">
      <c r="A584" t="inlineStr">
        <is>
          <t>A 26789-2023</t>
        </is>
      </c>
      <c r="B584" s="1" t="n">
        <v>45093</v>
      </c>
      <c r="C584" s="1" t="n">
        <v>45364</v>
      </c>
      <c r="D584" t="inlineStr">
        <is>
          <t>DALARNAS LÄN</t>
        </is>
      </c>
      <c r="E584" t="inlineStr">
        <is>
          <t>LUDVIKA</t>
        </is>
      </c>
      <c r="F584" t="inlineStr">
        <is>
          <t>Bergvik skog väst AB</t>
        </is>
      </c>
      <c r="G584" t="n">
        <v>3.2</v>
      </c>
      <c r="H584" t="n">
        <v>0</v>
      </c>
      <c r="I584" t="n">
        <v>0</v>
      </c>
      <c r="J584" t="n">
        <v>0</v>
      </c>
      <c r="K584" t="n">
        <v>0</v>
      </c>
      <c r="L584" t="n">
        <v>0</v>
      </c>
      <c r="M584" t="n">
        <v>0</v>
      </c>
      <c r="N584" t="n">
        <v>0</v>
      </c>
      <c r="O584" t="n">
        <v>0</v>
      </c>
      <c r="P584" t="n">
        <v>0</v>
      </c>
      <c r="Q584" t="n">
        <v>0</v>
      </c>
      <c r="R584" s="2" t="inlineStr"/>
    </row>
    <row r="585" ht="15" customHeight="1">
      <c r="A585" t="inlineStr">
        <is>
          <t>A 27870-2023</t>
        </is>
      </c>
      <c r="B585" s="1" t="n">
        <v>45098</v>
      </c>
      <c r="C585" s="1" t="n">
        <v>45364</v>
      </c>
      <c r="D585" t="inlineStr">
        <is>
          <t>DALARNAS LÄN</t>
        </is>
      </c>
      <c r="E585" t="inlineStr">
        <is>
          <t>LUDVIKA</t>
        </is>
      </c>
      <c r="F585" t="inlineStr">
        <is>
          <t>Bergvik skog väst AB</t>
        </is>
      </c>
      <c r="G585" t="n">
        <v>24.7</v>
      </c>
      <c r="H585" t="n">
        <v>0</v>
      </c>
      <c r="I585" t="n">
        <v>0</v>
      </c>
      <c r="J585" t="n">
        <v>0</v>
      </c>
      <c r="K585" t="n">
        <v>0</v>
      </c>
      <c r="L585" t="n">
        <v>0</v>
      </c>
      <c r="M585" t="n">
        <v>0</v>
      </c>
      <c r="N585" t="n">
        <v>0</v>
      </c>
      <c r="O585" t="n">
        <v>0</v>
      </c>
      <c r="P585" t="n">
        <v>0</v>
      </c>
      <c r="Q585" t="n">
        <v>0</v>
      </c>
      <c r="R585" s="2" t="inlineStr"/>
    </row>
    <row r="586" ht="15" customHeight="1">
      <c r="A586" t="inlineStr">
        <is>
          <t>A 27917-2023</t>
        </is>
      </c>
      <c r="B586" s="1" t="n">
        <v>45098</v>
      </c>
      <c r="C586" s="1" t="n">
        <v>45364</v>
      </c>
      <c r="D586" t="inlineStr">
        <is>
          <t>DALARNAS LÄN</t>
        </is>
      </c>
      <c r="E586" t="inlineStr">
        <is>
          <t>LUDVIKA</t>
        </is>
      </c>
      <c r="F586" t="inlineStr">
        <is>
          <t>Bergvik skog väst AB</t>
        </is>
      </c>
      <c r="G586" t="n">
        <v>10.4</v>
      </c>
      <c r="H586" t="n">
        <v>0</v>
      </c>
      <c r="I586" t="n">
        <v>0</v>
      </c>
      <c r="J586" t="n">
        <v>0</v>
      </c>
      <c r="K586" t="n">
        <v>0</v>
      </c>
      <c r="L586" t="n">
        <v>0</v>
      </c>
      <c r="M586" t="n">
        <v>0</v>
      </c>
      <c r="N586" t="n">
        <v>0</v>
      </c>
      <c r="O586" t="n">
        <v>0</v>
      </c>
      <c r="P586" t="n">
        <v>0</v>
      </c>
      <c r="Q586" t="n">
        <v>0</v>
      </c>
      <c r="R586" s="2" t="inlineStr"/>
    </row>
    <row r="587" ht="15" customHeight="1">
      <c r="A587" t="inlineStr">
        <is>
          <t>A 27954-2023</t>
        </is>
      </c>
      <c r="B587" s="1" t="n">
        <v>45098</v>
      </c>
      <c r="C587" s="1" t="n">
        <v>45364</v>
      </c>
      <c r="D587" t="inlineStr">
        <is>
          <t>DALARNAS LÄN</t>
        </is>
      </c>
      <c r="E587" t="inlineStr">
        <is>
          <t>LUDVIKA</t>
        </is>
      </c>
      <c r="F587" t="inlineStr">
        <is>
          <t>Bergvik skog väst AB</t>
        </is>
      </c>
      <c r="G587" t="n">
        <v>6.2</v>
      </c>
      <c r="H587" t="n">
        <v>0</v>
      </c>
      <c r="I587" t="n">
        <v>0</v>
      </c>
      <c r="J587" t="n">
        <v>0</v>
      </c>
      <c r="K587" t="n">
        <v>0</v>
      </c>
      <c r="L587" t="n">
        <v>0</v>
      </c>
      <c r="M587" t="n">
        <v>0</v>
      </c>
      <c r="N587" t="n">
        <v>0</v>
      </c>
      <c r="O587" t="n">
        <v>0</v>
      </c>
      <c r="P587" t="n">
        <v>0</v>
      </c>
      <c r="Q587" t="n">
        <v>0</v>
      </c>
      <c r="R587" s="2" t="inlineStr"/>
    </row>
    <row r="588" ht="15" customHeight="1">
      <c r="A588" t="inlineStr">
        <is>
          <t>A 27929-2023</t>
        </is>
      </c>
      <c r="B588" s="1" t="n">
        <v>45098</v>
      </c>
      <c r="C588" s="1" t="n">
        <v>45364</v>
      </c>
      <c r="D588" t="inlineStr">
        <is>
          <t>DALARNAS LÄN</t>
        </is>
      </c>
      <c r="E588" t="inlineStr">
        <is>
          <t>LUDVIKA</t>
        </is>
      </c>
      <c r="F588" t="inlineStr">
        <is>
          <t>Bergvik skog väst AB</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28144-2023</t>
        </is>
      </c>
      <c r="B589" s="1" t="n">
        <v>45099</v>
      </c>
      <c r="C589" s="1" t="n">
        <v>45364</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28134-2023</t>
        </is>
      </c>
      <c r="B590" s="1" t="n">
        <v>45099</v>
      </c>
      <c r="C590" s="1" t="n">
        <v>45364</v>
      </c>
      <c r="D590" t="inlineStr">
        <is>
          <t>DALARNAS LÄN</t>
        </is>
      </c>
      <c r="E590" t="inlineStr">
        <is>
          <t>LUDVIKA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28125-2023</t>
        </is>
      </c>
      <c r="B591" s="1" t="n">
        <v>45099</v>
      </c>
      <c r="C591" s="1" t="n">
        <v>45364</v>
      </c>
      <c r="D591" t="inlineStr">
        <is>
          <t>DALARNAS LÄN</t>
        </is>
      </c>
      <c r="E591" t="inlineStr">
        <is>
          <t>LUDVIKA</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28138-2023</t>
        </is>
      </c>
      <c r="B592" s="1" t="n">
        <v>45099</v>
      </c>
      <c r="C592" s="1" t="n">
        <v>45364</v>
      </c>
      <c r="D592" t="inlineStr">
        <is>
          <t>DALARNAS LÄN</t>
        </is>
      </c>
      <c r="E592" t="inlineStr">
        <is>
          <t>LUDVIKA</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28157-2023</t>
        </is>
      </c>
      <c r="B593" s="1" t="n">
        <v>45099</v>
      </c>
      <c r="C593" s="1" t="n">
        <v>45364</v>
      </c>
      <c r="D593" t="inlineStr">
        <is>
          <t>DALARNAS LÄN</t>
        </is>
      </c>
      <c r="E593" t="inlineStr">
        <is>
          <t>LUDVIKA</t>
        </is>
      </c>
      <c r="F593" t="inlineStr">
        <is>
          <t>Bergvik skog väst AB</t>
        </is>
      </c>
      <c r="G593" t="n">
        <v>0.8</v>
      </c>
      <c r="H593" t="n">
        <v>0</v>
      </c>
      <c r="I593" t="n">
        <v>0</v>
      </c>
      <c r="J593" t="n">
        <v>0</v>
      </c>
      <c r="K593" t="n">
        <v>0</v>
      </c>
      <c r="L593" t="n">
        <v>0</v>
      </c>
      <c r="M593" t="n">
        <v>0</v>
      </c>
      <c r="N593" t="n">
        <v>0</v>
      </c>
      <c r="O593" t="n">
        <v>0</v>
      </c>
      <c r="P593" t="n">
        <v>0</v>
      </c>
      <c r="Q593" t="n">
        <v>0</v>
      </c>
      <c r="R593" s="2" t="inlineStr"/>
    </row>
    <row r="594" ht="15" customHeight="1">
      <c r="A594" t="inlineStr">
        <is>
          <t>A 28141-2023</t>
        </is>
      </c>
      <c r="B594" s="1" t="n">
        <v>45099</v>
      </c>
      <c r="C594" s="1" t="n">
        <v>45364</v>
      </c>
      <c r="D594" t="inlineStr">
        <is>
          <t>DALARNAS LÄN</t>
        </is>
      </c>
      <c r="E594" t="inlineStr">
        <is>
          <t>LUDVIKA</t>
        </is>
      </c>
      <c r="F594" t="inlineStr">
        <is>
          <t>Bergvik skog väst AB</t>
        </is>
      </c>
      <c r="G594" t="n">
        <v>2.3</v>
      </c>
      <c r="H594" t="n">
        <v>0</v>
      </c>
      <c r="I594" t="n">
        <v>0</v>
      </c>
      <c r="J594" t="n">
        <v>0</v>
      </c>
      <c r="K594" t="n">
        <v>0</v>
      </c>
      <c r="L594" t="n">
        <v>0</v>
      </c>
      <c r="M594" t="n">
        <v>0</v>
      </c>
      <c r="N594" t="n">
        <v>0</v>
      </c>
      <c r="O594" t="n">
        <v>0</v>
      </c>
      <c r="P594" t="n">
        <v>0</v>
      </c>
      <c r="Q594" t="n">
        <v>0</v>
      </c>
      <c r="R594" s="2" t="inlineStr"/>
    </row>
    <row r="595" ht="15" customHeight="1">
      <c r="A595" t="inlineStr">
        <is>
          <t>A 28150-2023</t>
        </is>
      </c>
      <c r="B595" s="1" t="n">
        <v>45099</v>
      </c>
      <c r="C595" s="1" t="n">
        <v>45364</v>
      </c>
      <c r="D595" t="inlineStr">
        <is>
          <t>DALARNAS LÄN</t>
        </is>
      </c>
      <c r="E595" t="inlineStr">
        <is>
          <t>LUDVIKA</t>
        </is>
      </c>
      <c r="F595" t="inlineStr">
        <is>
          <t>Bergvik skog väst AB</t>
        </is>
      </c>
      <c r="G595" t="n">
        <v>2.2</v>
      </c>
      <c r="H595" t="n">
        <v>0</v>
      </c>
      <c r="I595" t="n">
        <v>0</v>
      </c>
      <c r="J595" t="n">
        <v>0</v>
      </c>
      <c r="K595" t="n">
        <v>0</v>
      </c>
      <c r="L595" t="n">
        <v>0</v>
      </c>
      <c r="M595" t="n">
        <v>0</v>
      </c>
      <c r="N595" t="n">
        <v>0</v>
      </c>
      <c r="O595" t="n">
        <v>0</v>
      </c>
      <c r="P595" t="n">
        <v>0</v>
      </c>
      <c r="Q595" t="n">
        <v>0</v>
      </c>
      <c r="R595" s="2" t="inlineStr"/>
    </row>
    <row r="596" ht="15" customHeight="1">
      <c r="A596" t="inlineStr">
        <is>
          <t>A 28507-2023</t>
        </is>
      </c>
      <c r="B596" s="1" t="n">
        <v>45103</v>
      </c>
      <c r="C596" s="1" t="n">
        <v>45364</v>
      </c>
      <c r="D596" t="inlineStr">
        <is>
          <t>DALARNAS LÄN</t>
        </is>
      </c>
      <c r="E596" t="inlineStr">
        <is>
          <t>LUDVIKA</t>
        </is>
      </c>
      <c r="G596" t="n">
        <v>2.4</v>
      </c>
      <c r="H596" t="n">
        <v>0</v>
      </c>
      <c r="I596" t="n">
        <v>0</v>
      </c>
      <c r="J596" t="n">
        <v>0</v>
      </c>
      <c r="K596" t="n">
        <v>0</v>
      </c>
      <c r="L596" t="n">
        <v>0</v>
      </c>
      <c r="M596" t="n">
        <v>0</v>
      </c>
      <c r="N596" t="n">
        <v>0</v>
      </c>
      <c r="O596" t="n">
        <v>0</v>
      </c>
      <c r="P596" t="n">
        <v>0</v>
      </c>
      <c r="Q596" t="n">
        <v>0</v>
      </c>
      <c r="R596" s="2" t="inlineStr"/>
    </row>
    <row r="597" ht="15" customHeight="1">
      <c r="A597" t="inlineStr">
        <is>
          <t>A 29242-2023</t>
        </is>
      </c>
      <c r="B597" s="1" t="n">
        <v>45105</v>
      </c>
      <c r="C597" s="1" t="n">
        <v>45364</v>
      </c>
      <c r="D597" t="inlineStr">
        <is>
          <t>DALARNAS LÄN</t>
        </is>
      </c>
      <c r="E597" t="inlineStr">
        <is>
          <t>LUDVIKA</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31702-2023</t>
        </is>
      </c>
      <c r="B598" s="1" t="n">
        <v>45105</v>
      </c>
      <c r="C598" s="1" t="n">
        <v>45364</v>
      </c>
      <c r="D598" t="inlineStr">
        <is>
          <t>DALARNAS LÄN</t>
        </is>
      </c>
      <c r="E598" t="inlineStr">
        <is>
          <t>LUDVIKA</t>
        </is>
      </c>
      <c r="G598" t="n">
        <v>2.3</v>
      </c>
      <c r="H598" t="n">
        <v>0</v>
      </c>
      <c r="I598" t="n">
        <v>0</v>
      </c>
      <c r="J598" t="n">
        <v>0</v>
      </c>
      <c r="K598" t="n">
        <v>0</v>
      </c>
      <c r="L598" t="n">
        <v>0</v>
      </c>
      <c r="M598" t="n">
        <v>0</v>
      </c>
      <c r="N598" t="n">
        <v>0</v>
      </c>
      <c r="O598" t="n">
        <v>0</v>
      </c>
      <c r="P598" t="n">
        <v>0</v>
      </c>
      <c r="Q598" t="n">
        <v>0</v>
      </c>
      <c r="R598" s="2" t="inlineStr"/>
    </row>
    <row r="599" ht="15" customHeight="1">
      <c r="A599" t="inlineStr">
        <is>
          <t>A 29535-2023</t>
        </is>
      </c>
      <c r="B599" s="1" t="n">
        <v>45106</v>
      </c>
      <c r="C599" s="1" t="n">
        <v>45364</v>
      </c>
      <c r="D599" t="inlineStr">
        <is>
          <t>DALARNAS LÄN</t>
        </is>
      </c>
      <c r="E599" t="inlineStr">
        <is>
          <t>LUDVIKA</t>
        </is>
      </c>
      <c r="G599" t="n">
        <v>2.8</v>
      </c>
      <c r="H599" t="n">
        <v>0</v>
      </c>
      <c r="I599" t="n">
        <v>0</v>
      </c>
      <c r="J599" t="n">
        <v>0</v>
      </c>
      <c r="K599" t="n">
        <v>0</v>
      </c>
      <c r="L599" t="n">
        <v>0</v>
      </c>
      <c r="M599" t="n">
        <v>0</v>
      </c>
      <c r="N599" t="n">
        <v>0</v>
      </c>
      <c r="O599" t="n">
        <v>0</v>
      </c>
      <c r="P599" t="n">
        <v>0</v>
      </c>
      <c r="Q599" t="n">
        <v>0</v>
      </c>
      <c r="R599" s="2" t="inlineStr"/>
    </row>
    <row r="600" ht="15" customHeight="1">
      <c r="A600" t="inlineStr">
        <is>
          <t>A 29666-2023</t>
        </is>
      </c>
      <c r="B600" s="1" t="n">
        <v>45107</v>
      </c>
      <c r="C600" s="1" t="n">
        <v>45364</v>
      </c>
      <c r="D600" t="inlineStr">
        <is>
          <t>DALARNAS LÄN</t>
        </is>
      </c>
      <c r="E600" t="inlineStr">
        <is>
          <t>LUDVIKA</t>
        </is>
      </c>
      <c r="F600" t="inlineStr">
        <is>
          <t>Bergvik skog väst AB</t>
        </is>
      </c>
      <c r="G600" t="n">
        <v>1.5</v>
      </c>
      <c r="H600" t="n">
        <v>0</v>
      </c>
      <c r="I600" t="n">
        <v>0</v>
      </c>
      <c r="J600" t="n">
        <v>0</v>
      </c>
      <c r="K600" t="n">
        <v>0</v>
      </c>
      <c r="L600" t="n">
        <v>0</v>
      </c>
      <c r="M600" t="n">
        <v>0</v>
      </c>
      <c r="N600" t="n">
        <v>0</v>
      </c>
      <c r="O600" t="n">
        <v>0</v>
      </c>
      <c r="P600" t="n">
        <v>0</v>
      </c>
      <c r="Q600" t="n">
        <v>0</v>
      </c>
      <c r="R600" s="2" t="inlineStr"/>
    </row>
    <row r="601" ht="15" customHeight="1">
      <c r="A601" t="inlineStr">
        <is>
          <t>A 29698-2023</t>
        </is>
      </c>
      <c r="B601" s="1" t="n">
        <v>45107</v>
      </c>
      <c r="C601" s="1" t="n">
        <v>45364</v>
      </c>
      <c r="D601" t="inlineStr">
        <is>
          <t>DALARNAS LÄN</t>
        </is>
      </c>
      <c r="E601" t="inlineStr">
        <is>
          <t>LUDVIKA</t>
        </is>
      </c>
      <c r="G601" t="n">
        <v>2.7</v>
      </c>
      <c r="H601" t="n">
        <v>0</v>
      </c>
      <c r="I601" t="n">
        <v>0</v>
      </c>
      <c r="J601" t="n">
        <v>0</v>
      </c>
      <c r="K601" t="n">
        <v>0</v>
      </c>
      <c r="L601" t="n">
        <v>0</v>
      </c>
      <c r="M601" t="n">
        <v>0</v>
      </c>
      <c r="N601" t="n">
        <v>0</v>
      </c>
      <c r="O601" t="n">
        <v>0</v>
      </c>
      <c r="P601" t="n">
        <v>0</v>
      </c>
      <c r="Q601" t="n">
        <v>0</v>
      </c>
      <c r="R601" s="2" t="inlineStr"/>
    </row>
    <row r="602" ht="15" customHeight="1">
      <c r="A602" t="inlineStr">
        <is>
          <t>A 30113-2023</t>
        </is>
      </c>
      <c r="B602" s="1" t="n">
        <v>45110</v>
      </c>
      <c r="C602" s="1" t="n">
        <v>45364</v>
      </c>
      <c r="D602" t="inlineStr">
        <is>
          <t>DALARNAS LÄN</t>
        </is>
      </c>
      <c r="E602" t="inlineStr">
        <is>
          <t>LUDVIKA</t>
        </is>
      </c>
      <c r="G602" t="n">
        <v>3.3</v>
      </c>
      <c r="H602" t="n">
        <v>0</v>
      </c>
      <c r="I602" t="n">
        <v>0</v>
      </c>
      <c r="J602" t="n">
        <v>0</v>
      </c>
      <c r="K602" t="n">
        <v>0</v>
      </c>
      <c r="L602" t="n">
        <v>0</v>
      </c>
      <c r="M602" t="n">
        <v>0</v>
      </c>
      <c r="N602" t="n">
        <v>0</v>
      </c>
      <c r="O602" t="n">
        <v>0</v>
      </c>
      <c r="P602" t="n">
        <v>0</v>
      </c>
      <c r="Q602" t="n">
        <v>0</v>
      </c>
      <c r="R602" s="2" t="inlineStr"/>
    </row>
    <row r="603" ht="15" customHeight="1">
      <c r="A603" t="inlineStr">
        <is>
          <t>A 30123-2023</t>
        </is>
      </c>
      <c r="B603" s="1" t="n">
        <v>45110</v>
      </c>
      <c r="C603" s="1" t="n">
        <v>45364</v>
      </c>
      <c r="D603" t="inlineStr">
        <is>
          <t>DALARNAS LÄN</t>
        </is>
      </c>
      <c r="E603" t="inlineStr">
        <is>
          <t>LUDVIKA</t>
        </is>
      </c>
      <c r="G603" t="n">
        <v>1.9</v>
      </c>
      <c r="H603" t="n">
        <v>0</v>
      </c>
      <c r="I603" t="n">
        <v>0</v>
      </c>
      <c r="J603" t="n">
        <v>0</v>
      </c>
      <c r="K603" t="n">
        <v>0</v>
      </c>
      <c r="L603" t="n">
        <v>0</v>
      </c>
      <c r="M603" t="n">
        <v>0</v>
      </c>
      <c r="N603" t="n">
        <v>0</v>
      </c>
      <c r="O603" t="n">
        <v>0</v>
      </c>
      <c r="P603" t="n">
        <v>0</v>
      </c>
      <c r="Q603" t="n">
        <v>0</v>
      </c>
      <c r="R603" s="2" t="inlineStr"/>
    </row>
    <row r="604" ht="15" customHeight="1">
      <c r="A604" t="inlineStr">
        <is>
          <t>A 30127-2023</t>
        </is>
      </c>
      <c r="B604" s="1" t="n">
        <v>45110</v>
      </c>
      <c r="C604" s="1" t="n">
        <v>45364</v>
      </c>
      <c r="D604" t="inlineStr">
        <is>
          <t>DALARNAS LÄN</t>
        </is>
      </c>
      <c r="E604" t="inlineStr">
        <is>
          <t>LUDVIKA</t>
        </is>
      </c>
      <c r="G604" t="n">
        <v>1.1</v>
      </c>
      <c r="H604" t="n">
        <v>0</v>
      </c>
      <c r="I604" t="n">
        <v>0</v>
      </c>
      <c r="J604" t="n">
        <v>0</v>
      </c>
      <c r="K604" t="n">
        <v>0</v>
      </c>
      <c r="L604" t="n">
        <v>0</v>
      </c>
      <c r="M604" t="n">
        <v>0</v>
      </c>
      <c r="N604" t="n">
        <v>0</v>
      </c>
      <c r="O604" t="n">
        <v>0</v>
      </c>
      <c r="P604" t="n">
        <v>0</v>
      </c>
      <c r="Q604" t="n">
        <v>0</v>
      </c>
      <c r="R604" s="2" t="inlineStr"/>
    </row>
    <row r="605" ht="15" customHeight="1">
      <c r="A605" t="inlineStr">
        <is>
          <t>A 30581-2023</t>
        </is>
      </c>
      <c r="B605" s="1" t="n">
        <v>45112</v>
      </c>
      <c r="C605" s="1" t="n">
        <v>45364</v>
      </c>
      <c r="D605" t="inlineStr">
        <is>
          <t>DALARNAS LÄN</t>
        </is>
      </c>
      <c r="E605" t="inlineStr">
        <is>
          <t>LUDVIKA</t>
        </is>
      </c>
      <c r="F605" t="inlineStr">
        <is>
          <t>Bergvik skog väst AB</t>
        </is>
      </c>
      <c r="G605" t="n">
        <v>14.4</v>
      </c>
      <c r="H605" t="n">
        <v>0</v>
      </c>
      <c r="I605" t="n">
        <v>0</v>
      </c>
      <c r="J605" t="n">
        <v>0</v>
      </c>
      <c r="K605" t="n">
        <v>0</v>
      </c>
      <c r="L605" t="n">
        <v>0</v>
      </c>
      <c r="M605" t="n">
        <v>0</v>
      </c>
      <c r="N605" t="n">
        <v>0</v>
      </c>
      <c r="O605" t="n">
        <v>0</v>
      </c>
      <c r="P605" t="n">
        <v>0</v>
      </c>
      <c r="Q605" t="n">
        <v>0</v>
      </c>
      <c r="R605" s="2" t="inlineStr"/>
    </row>
    <row r="606" ht="15" customHeight="1">
      <c r="A606" t="inlineStr">
        <is>
          <t>A 32852-2023</t>
        </is>
      </c>
      <c r="B606" s="1" t="n">
        <v>45112</v>
      </c>
      <c r="C606" s="1" t="n">
        <v>45364</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32854-2023</t>
        </is>
      </c>
      <c r="B607" s="1" t="n">
        <v>45112</v>
      </c>
      <c r="C607" s="1" t="n">
        <v>45364</v>
      </c>
      <c r="D607" t="inlineStr">
        <is>
          <t>DALARNAS LÄN</t>
        </is>
      </c>
      <c r="E607" t="inlineStr">
        <is>
          <t>LUDVIKA</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30892-2023</t>
        </is>
      </c>
      <c r="B608" s="1" t="n">
        <v>45113</v>
      </c>
      <c r="C608" s="1" t="n">
        <v>45364</v>
      </c>
      <c r="D608" t="inlineStr">
        <is>
          <t>DALARNAS LÄN</t>
        </is>
      </c>
      <c r="E608" t="inlineStr">
        <is>
          <t>LUDVIKA</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32995-2023</t>
        </is>
      </c>
      <c r="B609" s="1" t="n">
        <v>45113</v>
      </c>
      <c r="C609" s="1" t="n">
        <v>45364</v>
      </c>
      <c r="D609" t="inlineStr">
        <is>
          <t>DALARNAS LÄN</t>
        </is>
      </c>
      <c r="E609" t="inlineStr">
        <is>
          <t>LUDVIKA</t>
        </is>
      </c>
      <c r="F609" t="inlineStr">
        <is>
          <t>Kommuner</t>
        </is>
      </c>
      <c r="G609" t="n">
        <v>5.8</v>
      </c>
      <c r="H609" t="n">
        <v>0</v>
      </c>
      <c r="I609" t="n">
        <v>0</v>
      </c>
      <c r="J609" t="n">
        <v>0</v>
      </c>
      <c r="K609" t="n">
        <v>0</v>
      </c>
      <c r="L609" t="n">
        <v>0</v>
      </c>
      <c r="M609" t="n">
        <v>0</v>
      </c>
      <c r="N609" t="n">
        <v>0</v>
      </c>
      <c r="O609" t="n">
        <v>0</v>
      </c>
      <c r="P609" t="n">
        <v>0</v>
      </c>
      <c r="Q609" t="n">
        <v>0</v>
      </c>
      <c r="R609" s="2" t="inlineStr"/>
    </row>
    <row r="610" ht="15" customHeight="1">
      <c r="A610" t="inlineStr">
        <is>
          <t>A 31353-2023</t>
        </is>
      </c>
      <c r="B610" s="1" t="n">
        <v>45114</v>
      </c>
      <c r="C610" s="1" t="n">
        <v>45364</v>
      </c>
      <c r="D610" t="inlineStr">
        <is>
          <t>DALARNAS LÄN</t>
        </is>
      </c>
      <c r="E610" t="inlineStr">
        <is>
          <t>LUDVIKA</t>
        </is>
      </c>
      <c r="F610" t="inlineStr">
        <is>
          <t>Naturvårdsverket</t>
        </is>
      </c>
      <c r="G610" t="n">
        <v>2.5</v>
      </c>
      <c r="H610" t="n">
        <v>0</v>
      </c>
      <c r="I610" t="n">
        <v>0</v>
      </c>
      <c r="J610" t="n">
        <v>0</v>
      </c>
      <c r="K610" t="n">
        <v>0</v>
      </c>
      <c r="L610" t="n">
        <v>0</v>
      </c>
      <c r="M610" t="n">
        <v>0</v>
      </c>
      <c r="N610" t="n">
        <v>0</v>
      </c>
      <c r="O610" t="n">
        <v>0</v>
      </c>
      <c r="P610" t="n">
        <v>0</v>
      </c>
      <c r="Q610" t="n">
        <v>0</v>
      </c>
      <c r="R610" s="2" t="inlineStr"/>
    </row>
    <row r="611" ht="15" customHeight="1">
      <c r="A611" t="inlineStr">
        <is>
          <t>A 31478-2023</t>
        </is>
      </c>
      <c r="B611" s="1" t="n">
        <v>45114</v>
      </c>
      <c r="C611" s="1" t="n">
        <v>45364</v>
      </c>
      <c r="D611" t="inlineStr">
        <is>
          <t>DALARNAS LÄN</t>
        </is>
      </c>
      <c r="E611" t="inlineStr">
        <is>
          <t>LUDVIKA</t>
        </is>
      </c>
      <c r="G611" t="n">
        <v>6.2</v>
      </c>
      <c r="H611" t="n">
        <v>0</v>
      </c>
      <c r="I611" t="n">
        <v>0</v>
      </c>
      <c r="J611" t="n">
        <v>0</v>
      </c>
      <c r="K611" t="n">
        <v>0</v>
      </c>
      <c r="L611" t="n">
        <v>0</v>
      </c>
      <c r="M611" t="n">
        <v>0</v>
      </c>
      <c r="N611" t="n">
        <v>0</v>
      </c>
      <c r="O611" t="n">
        <v>0</v>
      </c>
      <c r="P611" t="n">
        <v>0</v>
      </c>
      <c r="Q611" t="n">
        <v>0</v>
      </c>
      <c r="R611" s="2" t="inlineStr"/>
    </row>
    <row r="612" ht="15" customHeight="1">
      <c r="A612" t="inlineStr">
        <is>
          <t>A 31341-2023</t>
        </is>
      </c>
      <c r="B612" s="1" t="n">
        <v>45114</v>
      </c>
      <c r="C612" s="1" t="n">
        <v>45364</v>
      </c>
      <c r="D612" t="inlineStr">
        <is>
          <t>DALARNAS LÄN</t>
        </is>
      </c>
      <c r="E612" t="inlineStr">
        <is>
          <t>LUDVIKA</t>
        </is>
      </c>
      <c r="F612" t="inlineStr">
        <is>
          <t>Naturvårdsverket</t>
        </is>
      </c>
      <c r="G612" t="n">
        <v>2.4</v>
      </c>
      <c r="H612" t="n">
        <v>0</v>
      </c>
      <c r="I612" t="n">
        <v>0</v>
      </c>
      <c r="J612" t="n">
        <v>0</v>
      </c>
      <c r="K612" t="n">
        <v>0</v>
      </c>
      <c r="L612" t="n">
        <v>0</v>
      </c>
      <c r="M612" t="n">
        <v>0</v>
      </c>
      <c r="N612" t="n">
        <v>0</v>
      </c>
      <c r="O612" t="n">
        <v>0</v>
      </c>
      <c r="P612" t="n">
        <v>0</v>
      </c>
      <c r="Q612" t="n">
        <v>0</v>
      </c>
      <c r="R612" s="2" t="inlineStr"/>
    </row>
    <row r="613" ht="15" customHeight="1">
      <c r="A613" t="inlineStr">
        <is>
          <t>A 31477-2023</t>
        </is>
      </c>
      <c r="B613" s="1" t="n">
        <v>45114</v>
      </c>
      <c r="C613" s="1" t="n">
        <v>45364</v>
      </c>
      <c r="D613" t="inlineStr">
        <is>
          <t>DALARNAS LÄN</t>
        </is>
      </c>
      <c r="E613" t="inlineStr">
        <is>
          <t>LUDVIKA</t>
        </is>
      </c>
      <c r="G613" t="n">
        <v>3.4</v>
      </c>
      <c r="H613" t="n">
        <v>0</v>
      </c>
      <c r="I613" t="n">
        <v>0</v>
      </c>
      <c r="J613" t="n">
        <v>0</v>
      </c>
      <c r="K613" t="n">
        <v>0</v>
      </c>
      <c r="L613" t="n">
        <v>0</v>
      </c>
      <c r="M613" t="n">
        <v>0</v>
      </c>
      <c r="N613" t="n">
        <v>0</v>
      </c>
      <c r="O613" t="n">
        <v>0</v>
      </c>
      <c r="P613" t="n">
        <v>0</v>
      </c>
      <c r="Q613" t="n">
        <v>0</v>
      </c>
      <c r="R613" s="2" t="inlineStr"/>
    </row>
    <row r="614" ht="15" customHeight="1">
      <c r="A614" t="inlineStr">
        <is>
          <t>A 31625-2023</t>
        </is>
      </c>
      <c r="B614" s="1" t="n">
        <v>45117</v>
      </c>
      <c r="C614" s="1" t="n">
        <v>45364</v>
      </c>
      <c r="D614" t="inlineStr">
        <is>
          <t>DALARNAS LÄN</t>
        </is>
      </c>
      <c r="E614" t="inlineStr">
        <is>
          <t>LUDVIKA</t>
        </is>
      </c>
      <c r="G614" t="n">
        <v>4.1</v>
      </c>
      <c r="H614" t="n">
        <v>0</v>
      </c>
      <c r="I614" t="n">
        <v>0</v>
      </c>
      <c r="J614" t="n">
        <v>0</v>
      </c>
      <c r="K614" t="n">
        <v>0</v>
      </c>
      <c r="L614" t="n">
        <v>0</v>
      </c>
      <c r="M614" t="n">
        <v>0</v>
      </c>
      <c r="N614" t="n">
        <v>0</v>
      </c>
      <c r="O614" t="n">
        <v>0</v>
      </c>
      <c r="P614" t="n">
        <v>0</v>
      </c>
      <c r="Q614" t="n">
        <v>0</v>
      </c>
      <c r="R614" s="2" t="inlineStr"/>
    </row>
    <row r="615" ht="15" customHeight="1">
      <c r="A615" t="inlineStr">
        <is>
          <t>A 33535-2023</t>
        </is>
      </c>
      <c r="B615" s="1" t="n">
        <v>45118</v>
      </c>
      <c r="C615" s="1" t="n">
        <v>45364</v>
      </c>
      <c r="D615" t="inlineStr">
        <is>
          <t>DALARNAS LÄN</t>
        </is>
      </c>
      <c r="E615" t="inlineStr">
        <is>
          <t>LUDVIKA</t>
        </is>
      </c>
      <c r="F615" t="inlineStr">
        <is>
          <t>Kommuner</t>
        </is>
      </c>
      <c r="G615" t="n">
        <v>0.6</v>
      </c>
      <c r="H615" t="n">
        <v>0</v>
      </c>
      <c r="I615" t="n">
        <v>0</v>
      </c>
      <c r="J615" t="n">
        <v>0</v>
      </c>
      <c r="K615" t="n">
        <v>0</v>
      </c>
      <c r="L615" t="n">
        <v>0</v>
      </c>
      <c r="M615" t="n">
        <v>0</v>
      </c>
      <c r="N615" t="n">
        <v>0</v>
      </c>
      <c r="O615" t="n">
        <v>0</v>
      </c>
      <c r="P615" t="n">
        <v>0</v>
      </c>
      <c r="Q615" t="n">
        <v>0</v>
      </c>
      <c r="R615" s="2" t="inlineStr"/>
    </row>
    <row r="616" ht="15" customHeight="1">
      <c r="A616" t="inlineStr">
        <is>
          <t>A 32119-2023</t>
        </is>
      </c>
      <c r="B616" s="1" t="n">
        <v>45119</v>
      </c>
      <c r="C616" s="1" t="n">
        <v>45364</v>
      </c>
      <c r="D616" t="inlineStr">
        <is>
          <t>DALARNAS LÄN</t>
        </is>
      </c>
      <c r="E616" t="inlineStr">
        <is>
          <t>LUDVIKA</t>
        </is>
      </c>
      <c r="F616" t="inlineStr">
        <is>
          <t>Naturvårdsverket</t>
        </is>
      </c>
      <c r="G616" t="n">
        <v>1</v>
      </c>
      <c r="H616" t="n">
        <v>0</v>
      </c>
      <c r="I616" t="n">
        <v>0</v>
      </c>
      <c r="J616" t="n">
        <v>0</v>
      </c>
      <c r="K616" t="n">
        <v>0</v>
      </c>
      <c r="L616" t="n">
        <v>0</v>
      </c>
      <c r="M616" t="n">
        <v>0</v>
      </c>
      <c r="N616" t="n">
        <v>0</v>
      </c>
      <c r="O616" t="n">
        <v>0</v>
      </c>
      <c r="P616" t="n">
        <v>0</v>
      </c>
      <c r="Q616" t="n">
        <v>0</v>
      </c>
      <c r="R616" s="2" t="inlineStr"/>
    </row>
    <row r="617" ht="15" customHeight="1">
      <c r="A617" t="inlineStr">
        <is>
          <t>A 32091-2023</t>
        </is>
      </c>
      <c r="B617" s="1" t="n">
        <v>45119</v>
      </c>
      <c r="C617" s="1" t="n">
        <v>45364</v>
      </c>
      <c r="D617" t="inlineStr">
        <is>
          <t>DALARNAS LÄN</t>
        </is>
      </c>
      <c r="E617" t="inlineStr">
        <is>
          <t>LUDVIKA</t>
        </is>
      </c>
      <c r="F617" t="inlineStr">
        <is>
          <t>Bergvik skog väst AB</t>
        </is>
      </c>
      <c r="G617" t="n">
        <v>7.3</v>
      </c>
      <c r="H617" t="n">
        <v>0</v>
      </c>
      <c r="I617" t="n">
        <v>0</v>
      </c>
      <c r="J617" t="n">
        <v>0</v>
      </c>
      <c r="K617" t="n">
        <v>0</v>
      </c>
      <c r="L617" t="n">
        <v>0</v>
      </c>
      <c r="M617" t="n">
        <v>0</v>
      </c>
      <c r="N617" t="n">
        <v>0</v>
      </c>
      <c r="O617" t="n">
        <v>0</v>
      </c>
      <c r="P617" t="n">
        <v>0</v>
      </c>
      <c r="Q617" t="n">
        <v>0</v>
      </c>
      <c r="R617" s="2" t="inlineStr"/>
    </row>
    <row r="618" ht="15" customHeight="1">
      <c r="A618" t="inlineStr">
        <is>
          <t>A 32124-2023</t>
        </is>
      </c>
      <c r="B618" s="1" t="n">
        <v>45119</v>
      </c>
      <c r="C618" s="1" t="n">
        <v>45364</v>
      </c>
      <c r="D618" t="inlineStr">
        <is>
          <t>DALARNAS LÄN</t>
        </is>
      </c>
      <c r="E618" t="inlineStr">
        <is>
          <t>LUDVIKA</t>
        </is>
      </c>
      <c r="F618" t="inlineStr">
        <is>
          <t>Naturvårdsverket</t>
        </is>
      </c>
      <c r="G618" t="n">
        <v>1.5</v>
      </c>
      <c r="H618" t="n">
        <v>0</v>
      </c>
      <c r="I618" t="n">
        <v>0</v>
      </c>
      <c r="J618" t="n">
        <v>0</v>
      </c>
      <c r="K618" t="n">
        <v>0</v>
      </c>
      <c r="L618" t="n">
        <v>0</v>
      </c>
      <c r="M618" t="n">
        <v>0</v>
      </c>
      <c r="N618" t="n">
        <v>0</v>
      </c>
      <c r="O618" t="n">
        <v>0</v>
      </c>
      <c r="P618" t="n">
        <v>0</v>
      </c>
      <c r="Q618" t="n">
        <v>0</v>
      </c>
      <c r="R618" s="2" t="inlineStr"/>
    </row>
    <row r="619" ht="15" customHeight="1">
      <c r="A619" t="inlineStr">
        <is>
          <t>A 32526-2023</t>
        </is>
      </c>
      <c r="B619" s="1" t="n">
        <v>45121</v>
      </c>
      <c r="C619" s="1" t="n">
        <v>45364</v>
      </c>
      <c r="D619" t="inlineStr">
        <is>
          <t>DALARNAS LÄN</t>
        </is>
      </c>
      <c r="E619" t="inlineStr">
        <is>
          <t>LUDVIKA</t>
        </is>
      </c>
      <c r="F619" t="inlineStr">
        <is>
          <t>Bergvik skog väst AB</t>
        </is>
      </c>
      <c r="G619" t="n">
        <v>5.1</v>
      </c>
      <c r="H619" t="n">
        <v>0</v>
      </c>
      <c r="I619" t="n">
        <v>0</v>
      </c>
      <c r="J619" t="n">
        <v>0</v>
      </c>
      <c r="K619" t="n">
        <v>0</v>
      </c>
      <c r="L619" t="n">
        <v>0</v>
      </c>
      <c r="M619" t="n">
        <v>0</v>
      </c>
      <c r="N619" t="n">
        <v>0</v>
      </c>
      <c r="O619" t="n">
        <v>0</v>
      </c>
      <c r="P619" t="n">
        <v>0</v>
      </c>
      <c r="Q619" t="n">
        <v>0</v>
      </c>
      <c r="R619" s="2" t="inlineStr"/>
    </row>
    <row r="620" ht="15" customHeight="1">
      <c r="A620" t="inlineStr">
        <is>
          <t>A 32527-2023</t>
        </is>
      </c>
      <c r="B620" s="1" t="n">
        <v>45121</v>
      </c>
      <c r="C620" s="1" t="n">
        <v>45364</v>
      </c>
      <c r="D620" t="inlineStr">
        <is>
          <t>DALARNAS LÄN</t>
        </is>
      </c>
      <c r="E620" t="inlineStr">
        <is>
          <t>LUDVIKA</t>
        </is>
      </c>
      <c r="F620" t="inlineStr">
        <is>
          <t>Bergvik skog väst AB</t>
        </is>
      </c>
      <c r="G620" t="n">
        <v>0.9</v>
      </c>
      <c r="H620" t="n">
        <v>0</v>
      </c>
      <c r="I620" t="n">
        <v>0</v>
      </c>
      <c r="J620" t="n">
        <v>0</v>
      </c>
      <c r="K620" t="n">
        <v>0</v>
      </c>
      <c r="L620" t="n">
        <v>0</v>
      </c>
      <c r="M620" t="n">
        <v>0</v>
      </c>
      <c r="N620" t="n">
        <v>0</v>
      </c>
      <c r="O620" t="n">
        <v>0</v>
      </c>
      <c r="P620" t="n">
        <v>0</v>
      </c>
      <c r="Q620" t="n">
        <v>0</v>
      </c>
      <c r="R620" s="2" t="inlineStr"/>
    </row>
    <row r="621" ht="15" customHeight="1">
      <c r="A621" t="inlineStr">
        <is>
          <t>A 32927-2023</t>
        </is>
      </c>
      <c r="B621" s="1" t="n">
        <v>45125</v>
      </c>
      <c r="C621" s="1" t="n">
        <v>45364</v>
      </c>
      <c r="D621" t="inlineStr">
        <is>
          <t>DALARNAS LÄN</t>
        </is>
      </c>
      <c r="E621" t="inlineStr">
        <is>
          <t>LUDVIKA</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32930-2023</t>
        </is>
      </c>
      <c r="B622" s="1" t="n">
        <v>45125</v>
      </c>
      <c r="C622" s="1" t="n">
        <v>45364</v>
      </c>
      <c r="D622" t="inlineStr">
        <is>
          <t>DALARNAS LÄN</t>
        </is>
      </c>
      <c r="E622" t="inlineStr">
        <is>
          <t>LUDVIKA</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34041-2023</t>
        </is>
      </c>
      <c r="B623" s="1" t="n">
        <v>45125</v>
      </c>
      <c r="C623" s="1" t="n">
        <v>45364</v>
      </c>
      <c r="D623" t="inlineStr">
        <is>
          <t>DALARNAS LÄN</t>
        </is>
      </c>
      <c r="E623" t="inlineStr">
        <is>
          <t>LUDVIKA</t>
        </is>
      </c>
      <c r="G623" t="n">
        <v>4.2</v>
      </c>
      <c r="H623" t="n">
        <v>0</v>
      </c>
      <c r="I623" t="n">
        <v>0</v>
      </c>
      <c r="J623" t="n">
        <v>0</v>
      </c>
      <c r="K623" t="n">
        <v>0</v>
      </c>
      <c r="L623" t="n">
        <v>0</v>
      </c>
      <c r="M623" t="n">
        <v>0</v>
      </c>
      <c r="N623" t="n">
        <v>0</v>
      </c>
      <c r="O623" t="n">
        <v>0</v>
      </c>
      <c r="P623" t="n">
        <v>0</v>
      </c>
      <c r="Q623" t="n">
        <v>0</v>
      </c>
      <c r="R623" s="2" t="inlineStr"/>
    </row>
    <row r="624" ht="15" customHeight="1">
      <c r="A624" t="inlineStr">
        <is>
          <t>A 33063-2023</t>
        </is>
      </c>
      <c r="B624" s="1" t="n">
        <v>45126</v>
      </c>
      <c r="C624" s="1" t="n">
        <v>45364</v>
      </c>
      <c r="D624" t="inlineStr">
        <is>
          <t>DALARNAS LÄN</t>
        </is>
      </c>
      <c r="E624" t="inlineStr">
        <is>
          <t>LUDVIKA</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33275-2023</t>
        </is>
      </c>
      <c r="B625" s="1" t="n">
        <v>45127</v>
      </c>
      <c r="C625" s="1" t="n">
        <v>45364</v>
      </c>
      <c r="D625" t="inlineStr">
        <is>
          <t>DALARNAS LÄN</t>
        </is>
      </c>
      <c r="E625" t="inlineStr">
        <is>
          <t>LUDVIKA</t>
        </is>
      </c>
      <c r="F625" t="inlineStr">
        <is>
          <t>Naturvårdsverket</t>
        </is>
      </c>
      <c r="G625" t="n">
        <v>3.2</v>
      </c>
      <c r="H625" t="n">
        <v>0</v>
      </c>
      <c r="I625" t="n">
        <v>0</v>
      </c>
      <c r="J625" t="n">
        <v>0</v>
      </c>
      <c r="K625" t="n">
        <v>0</v>
      </c>
      <c r="L625" t="n">
        <v>0</v>
      </c>
      <c r="M625" t="n">
        <v>0</v>
      </c>
      <c r="N625" t="n">
        <v>0</v>
      </c>
      <c r="O625" t="n">
        <v>0</v>
      </c>
      <c r="P625" t="n">
        <v>0</v>
      </c>
      <c r="Q625" t="n">
        <v>0</v>
      </c>
      <c r="R625" s="2" t="inlineStr"/>
    </row>
    <row r="626" ht="15" customHeight="1">
      <c r="A626" t="inlineStr">
        <is>
          <t>A 33347-2023</t>
        </is>
      </c>
      <c r="B626" s="1" t="n">
        <v>45128</v>
      </c>
      <c r="C626" s="1" t="n">
        <v>45364</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33344-2023</t>
        </is>
      </c>
      <c r="B627" s="1" t="n">
        <v>45128</v>
      </c>
      <c r="C627" s="1" t="n">
        <v>45364</v>
      </c>
      <c r="D627" t="inlineStr">
        <is>
          <t>DALARNAS LÄN</t>
        </is>
      </c>
      <c r="E627" t="inlineStr">
        <is>
          <t>LUDVIKA</t>
        </is>
      </c>
      <c r="F627" t="inlineStr">
        <is>
          <t>Bergvik skog väst AB</t>
        </is>
      </c>
      <c r="G627" t="n">
        <v>2.7</v>
      </c>
      <c r="H627" t="n">
        <v>0</v>
      </c>
      <c r="I627" t="n">
        <v>0</v>
      </c>
      <c r="J627" t="n">
        <v>0</v>
      </c>
      <c r="K627" t="n">
        <v>0</v>
      </c>
      <c r="L627" t="n">
        <v>0</v>
      </c>
      <c r="M627" t="n">
        <v>0</v>
      </c>
      <c r="N627" t="n">
        <v>0</v>
      </c>
      <c r="O627" t="n">
        <v>0</v>
      </c>
      <c r="P627" t="n">
        <v>0</v>
      </c>
      <c r="Q627" t="n">
        <v>0</v>
      </c>
      <c r="R627" s="2" t="inlineStr"/>
    </row>
    <row r="628" ht="15" customHeight="1">
      <c r="A628" t="inlineStr">
        <is>
          <t>A 33361-2023</t>
        </is>
      </c>
      <c r="B628" s="1" t="n">
        <v>45128</v>
      </c>
      <c r="C628" s="1" t="n">
        <v>45364</v>
      </c>
      <c r="D628" t="inlineStr">
        <is>
          <t>DALARNAS LÄN</t>
        </is>
      </c>
      <c r="E628" t="inlineStr">
        <is>
          <t>LUDVIKA</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33560-2023</t>
        </is>
      </c>
      <c r="B629" s="1" t="n">
        <v>45131</v>
      </c>
      <c r="C629" s="1" t="n">
        <v>45364</v>
      </c>
      <c r="D629" t="inlineStr">
        <is>
          <t>DALARNAS LÄN</t>
        </is>
      </c>
      <c r="E629" t="inlineStr">
        <is>
          <t>LUDVIKA</t>
        </is>
      </c>
      <c r="G629" t="n">
        <v>7</v>
      </c>
      <c r="H629" t="n">
        <v>0</v>
      </c>
      <c r="I629" t="n">
        <v>0</v>
      </c>
      <c r="J629" t="n">
        <v>0</v>
      </c>
      <c r="K629" t="n">
        <v>0</v>
      </c>
      <c r="L629" t="n">
        <v>0</v>
      </c>
      <c r="M629" t="n">
        <v>0</v>
      </c>
      <c r="N629" t="n">
        <v>0</v>
      </c>
      <c r="O629" t="n">
        <v>0</v>
      </c>
      <c r="P629" t="n">
        <v>0</v>
      </c>
      <c r="Q629" t="n">
        <v>0</v>
      </c>
      <c r="R629" s="2" t="inlineStr"/>
    </row>
    <row r="630" ht="15" customHeight="1">
      <c r="A630" t="inlineStr">
        <is>
          <t>A 34341-2023</t>
        </is>
      </c>
      <c r="B630" s="1" t="n">
        <v>45131</v>
      </c>
      <c r="C630" s="1" t="n">
        <v>45364</v>
      </c>
      <c r="D630" t="inlineStr">
        <is>
          <t>DALARNAS LÄN</t>
        </is>
      </c>
      <c r="E630" t="inlineStr">
        <is>
          <t>LUDVIKA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33620-2023</t>
        </is>
      </c>
      <c r="B631" s="1" t="n">
        <v>45132</v>
      </c>
      <c r="C631" s="1" t="n">
        <v>45364</v>
      </c>
      <c r="D631" t="inlineStr">
        <is>
          <t>DALARNAS LÄN</t>
        </is>
      </c>
      <c r="E631" t="inlineStr">
        <is>
          <t>LUDVIKA</t>
        </is>
      </c>
      <c r="F631" t="inlineStr">
        <is>
          <t>Bergvik skog väst AB</t>
        </is>
      </c>
      <c r="G631" t="n">
        <v>7.4</v>
      </c>
      <c r="H631" t="n">
        <v>0</v>
      </c>
      <c r="I631" t="n">
        <v>0</v>
      </c>
      <c r="J631" t="n">
        <v>0</v>
      </c>
      <c r="K631" t="n">
        <v>0</v>
      </c>
      <c r="L631" t="n">
        <v>0</v>
      </c>
      <c r="M631" t="n">
        <v>0</v>
      </c>
      <c r="N631" t="n">
        <v>0</v>
      </c>
      <c r="O631" t="n">
        <v>0</v>
      </c>
      <c r="P631" t="n">
        <v>0</v>
      </c>
      <c r="Q631" t="n">
        <v>0</v>
      </c>
      <c r="R631" s="2" t="inlineStr"/>
    </row>
    <row r="632" ht="15" customHeight="1">
      <c r="A632" t="inlineStr">
        <is>
          <t>A 33914-2023</t>
        </is>
      </c>
      <c r="B632" s="1" t="n">
        <v>45134</v>
      </c>
      <c r="C632" s="1" t="n">
        <v>45364</v>
      </c>
      <c r="D632" t="inlineStr">
        <is>
          <t>DALARNAS LÄN</t>
        </is>
      </c>
      <c r="E632" t="inlineStr">
        <is>
          <t>LUDVIKA</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33933-2023</t>
        </is>
      </c>
      <c r="B633" s="1" t="n">
        <v>45134</v>
      </c>
      <c r="C633" s="1" t="n">
        <v>45364</v>
      </c>
      <c r="D633" t="inlineStr">
        <is>
          <t>DALARNAS LÄN</t>
        </is>
      </c>
      <c r="E633" t="inlineStr">
        <is>
          <t>LUDVIKA</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33916-2023</t>
        </is>
      </c>
      <c r="B634" s="1" t="n">
        <v>45134</v>
      </c>
      <c r="C634" s="1" t="n">
        <v>45364</v>
      </c>
      <c r="D634" t="inlineStr">
        <is>
          <t>DALARNAS LÄN</t>
        </is>
      </c>
      <c r="E634" t="inlineStr">
        <is>
          <t>LUDVIKA</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33917-2023</t>
        </is>
      </c>
      <c r="B635" s="1" t="n">
        <v>45134</v>
      </c>
      <c r="C635" s="1" t="n">
        <v>45364</v>
      </c>
      <c r="D635" t="inlineStr">
        <is>
          <t>DALARNAS LÄN</t>
        </is>
      </c>
      <c r="E635" t="inlineStr">
        <is>
          <t>LUDVIKA</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33947-2023</t>
        </is>
      </c>
      <c r="B636" s="1" t="n">
        <v>45134</v>
      </c>
      <c r="C636" s="1" t="n">
        <v>45364</v>
      </c>
      <c r="D636" t="inlineStr">
        <is>
          <t>DALARNAS LÄN</t>
        </is>
      </c>
      <c r="E636" t="inlineStr">
        <is>
          <t>LUDVIKA</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34024-2023</t>
        </is>
      </c>
      <c r="B637" s="1" t="n">
        <v>45135</v>
      </c>
      <c r="C637" s="1" t="n">
        <v>45364</v>
      </c>
      <c r="D637" t="inlineStr">
        <is>
          <t>DALARNAS LÄN</t>
        </is>
      </c>
      <c r="E637" t="inlineStr">
        <is>
          <t>LUDVIKA</t>
        </is>
      </c>
      <c r="F637" t="inlineStr">
        <is>
          <t>Bergvik skog väst AB</t>
        </is>
      </c>
      <c r="G637" t="n">
        <v>18.3</v>
      </c>
      <c r="H637" t="n">
        <v>0</v>
      </c>
      <c r="I637" t="n">
        <v>0</v>
      </c>
      <c r="J637" t="n">
        <v>0</v>
      </c>
      <c r="K637" t="n">
        <v>0</v>
      </c>
      <c r="L637" t="n">
        <v>0</v>
      </c>
      <c r="M637" t="n">
        <v>0</v>
      </c>
      <c r="N637" t="n">
        <v>0</v>
      </c>
      <c r="O637" t="n">
        <v>0</v>
      </c>
      <c r="P637" t="n">
        <v>0</v>
      </c>
      <c r="Q637" t="n">
        <v>0</v>
      </c>
      <c r="R637" s="2" t="inlineStr"/>
    </row>
    <row r="638" ht="15" customHeight="1">
      <c r="A638" t="inlineStr">
        <is>
          <t>A 34503-2023</t>
        </is>
      </c>
      <c r="B638" s="1" t="n">
        <v>45140</v>
      </c>
      <c r="C638" s="1" t="n">
        <v>45364</v>
      </c>
      <c r="D638" t="inlineStr">
        <is>
          <t>DALARNAS LÄN</t>
        </is>
      </c>
      <c r="E638" t="inlineStr">
        <is>
          <t>LUDVIKA</t>
        </is>
      </c>
      <c r="F638" t="inlineStr">
        <is>
          <t>Bergvik skog väst AB</t>
        </is>
      </c>
      <c r="G638" t="n">
        <v>7.4</v>
      </c>
      <c r="H638" t="n">
        <v>0</v>
      </c>
      <c r="I638" t="n">
        <v>0</v>
      </c>
      <c r="J638" t="n">
        <v>0</v>
      </c>
      <c r="K638" t="n">
        <v>0</v>
      </c>
      <c r="L638" t="n">
        <v>0</v>
      </c>
      <c r="M638" t="n">
        <v>0</v>
      </c>
      <c r="N638" t="n">
        <v>0</v>
      </c>
      <c r="O638" t="n">
        <v>0</v>
      </c>
      <c r="P638" t="n">
        <v>0</v>
      </c>
      <c r="Q638" t="n">
        <v>0</v>
      </c>
      <c r="R638" s="2" t="inlineStr"/>
    </row>
    <row r="639" ht="15" customHeight="1">
      <c r="A639" t="inlineStr">
        <is>
          <t>A 34555-2023</t>
        </is>
      </c>
      <c r="B639" s="1" t="n">
        <v>45140</v>
      </c>
      <c r="C639" s="1" t="n">
        <v>45364</v>
      </c>
      <c r="D639" t="inlineStr">
        <is>
          <t>DALARNAS LÄN</t>
        </is>
      </c>
      <c r="E639" t="inlineStr">
        <is>
          <t>LUDVIKA</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34895-2023</t>
        </is>
      </c>
      <c r="B640" s="1" t="n">
        <v>45142</v>
      </c>
      <c r="C640" s="1" t="n">
        <v>45364</v>
      </c>
      <c r="D640" t="inlineStr">
        <is>
          <t>DALARNAS LÄN</t>
        </is>
      </c>
      <c r="E640" t="inlineStr">
        <is>
          <t>LUDVIKA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35791-2023</t>
        </is>
      </c>
      <c r="B641" s="1" t="n">
        <v>45148</v>
      </c>
      <c r="C641" s="1" t="n">
        <v>45364</v>
      </c>
      <c r="D641" t="inlineStr">
        <is>
          <t>DALARNAS LÄN</t>
        </is>
      </c>
      <c r="E641" t="inlineStr">
        <is>
          <t>LUDVIKA</t>
        </is>
      </c>
      <c r="F641" t="inlineStr">
        <is>
          <t>Bergvik skog väst AB</t>
        </is>
      </c>
      <c r="G641" t="n">
        <v>9.4</v>
      </c>
      <c r="H641" t="n">
        <v>0</v>
      </c>
      <c r="I641" t="n">
        <v>0</v>
      </c>
      <c r="J641" t="n">
        <v>0</v>
      </c>
      <c r="K641" t="n">
        <v>0</v>
      </c>
      <c r="L641" t="n">
        <v>0</v>
      </c>
      <c r="M641" t="n">
        <v>0</v>
      </c>
      <c r="N641" t="n">
        <v>0</v>
      </c>
      <c r="O641" t="n">
        <v>0</v>
      </c>
      <c r="P641" t="n">
        <v>0</v>
      </c>
      <c r="Q641" t="n">
        <v>0</v>
      </c>
      <c r="R641" s="2" t="inlineStr"/>
    </row>
    <row r="642" ht="15" customHeight="1">
      <c r="A642" t="inlineStr">
        <is>
          <t>A 35789-2023</t>
        </is>
      </c>
      <c r="B642" s="1" t="n">
        <v>45148</v>
      </c>
      <c r="C642" s="1" t="n">
        <v>45364</v>
      </c>
      <c r="D642" t="inlineStr">
        <is>
          <t>DALARNAS LÄN</t>
        </is>
      </c>
      <c r="E642" t="inlineStr">
        <is>
          <t>LUDVIKA</t>
        </is>
      </c>
      <c r="G642" t="n">
        <v>2.1</v>
      </c>
      <c r="H642" t="n">
        <v>0</v>
      </c>
      <c r="I642" t="n">
        <v>0</v>
      </c>
      <c r="J642" t="n">
        <v>0</v>
      </c>
      <c r="K642" t="n">
        <v>0</v>
      </c>
      <c r="L642" t="n">
        <v>0</v>
      </c>
      <c r="M642" t="n">
        <v>0</v>
      </c>
      <c r="N642" t="n">
        <v>0</v>
      </c>
      <c r="O642" t="n">
        <v>0</v>
      </c>
      <c r="P642" t="n">
        <v>0</v>
      </c>
      <c r="Q642" t="n">
        <v>0</v>
      </c>
      <c r="R642" s="2" t="inlineStr"/>
    </row>
    <row r="643" ht="15" customHeight="1">
      <c r="A643" t="inlineStr">
        <is>
          <t>A 36079-2023</t>
        </is>
      </c>
      <c r="B643" s="1" t="n">
        <v>45149</v>
      </c>
      <c r="C643" s="1" t="n">
        <v>45364</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36083-2023</t>
        </is>
      </c>
      <c r="B644" s="1" t="n">
        <v>45149</v>
      </c>
      <c r="C644" s="1" t="n">
        <v>45364</v>
      </c>
      <c r="D644" t="inlineStr">
        <is>
          <t>DALARNAS LÄN</t>
        </is>
      </c>
      <c r="E644" t="inlineStr">
        <is>
          <t>LUDVIKA</t>
        </is>
      </c>
      <c r="F644" t="inlineStr">
        <is>
          <t>Bergvik skog väst AB</t>
        </is>
      </c>
      <c r="G644" t="n">
        <v>12.1</v>
      </c>
      <c r="H644" t="n">
        <v>0</v>
      </c>
      <c r="I644" t="n">
        <v>0</v>
      </c>
      <c r="J644" t="n">
        <v>0</v>
      </c>
      <c r="K644" t="n">
        <v>0</v>
      </c>
      <c r="L644" t="n">
        <v>0</v>
      </c>
      <c r="M644" t="n">
        <v>0</v>
      </c>
      <c r="N644" t="n">
        <v>0</v>
      </c>
      <c r="O644" t="n">
        <v>0</v>
      </c>
      <c r="P644" t="n">
        <v>0</v>
      </c>
      <c r="Q644" t="n">
        <v>0</v>
      </c>
      <c r="R644" s="2" t="inlineStr"/>
    </row>
    <row r="645" ht="15" customHeight="1">
      <c r="A645" t="inlineStr">
        <is>
          <t>A 36073-2023</t>
        </is>
      </c>
      <c r="B645" s="1" t="n">
        <v>45149</v>
      </c>
      <c r="C645" s="1" t="n">
        <v>45364</v>
      </c>
      <c r="D645" t="inlineStr">
        <is>
          <t>DALARNAS LÄN</t>
        </is>
      </c>
      <c r="E645" t="inlineStr">
        <is>
          <t>LUDVIKA</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36296-2023</t>
        </is>
      </c>
      <c r="B646" s="1" t="n">
        <v>45152</v>
      </c>
      <c r="C646" s="1" t="n">
        <v>45364</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36294-2023</t>
        </is>
      </c>
      <c r="B647" s="1" t="n">
        <v>45152</v>
      </c>
      <c r="C647" s="1" t="n">
        <v>45364</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36297-2023</t>
        </is>
      </c>
      <c r="B648" s="1" t="n">
        <v>45152</v>
      </c>
      <c r="C648" s="1" t="n">
        <v>45364</v>
      </c>
      <c r="D648" t="inlineStr">
        <is>
          <t>DALARNAS LÄN</t>
        </is>
      </c>
      <c r="E648" t="inlineStr">
        <is>
          <t>LUDVIKA</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37008-2023</t>
        </is>
      </c>
      <c r="B649" s="1" t="n">
        <v>45155</v>
      </c>
      <c r="C649" s="1" t="n">
        <v>45364</v>
      </c>
      <c r="D649" t="inlineStr">
        <is>
          <t>DALARNAS LÄN</t>
        </is>
      </c>
      <c r="E649" t="inlineStr">
        <is>
          <t>LUDVIKA</t>
        </is>
      </c>
      <c r="G649" t="n">
        <v>3</v>
      </c>
      <c r="H649" t="n">
        <v>0</v>
      </c>
      <c r="I649" t="n">
        <v>0</v>
      </c>
      <c r="J649" t="n">
        <v>0</v>
      </c>
      <c r="K649" t="n">
        <v>0</v>
      </c>
      <c r="L649" t="n">
        <v>0</v>
      </c>
      <c r="M649" t="n">
        <v>0</v>
      </c>
      <c r="N649" t="n">
        <v>0</v>
      </c>
      <c r="O649" t="n">
        <v>0</v>
      </c>
      <c r="P649" t="n">
        <v>0</v>
      </c>
      <c r="Q649" t="n">
        <v>0</v>
      </c>
      <c r="R649" s="2" t="inlineStr"/>
    </row>
    <row r="650" ht="15" customHeight="1">
      <c r="A650" t="inlineStr">
        <is>
          <t>A 37273-2023</t>
        </is>
      </c>
      <c r="B650" s="1" t="n">
        <v>45156</v>
      </c>
      <c r="C650" s="1" t="n">
        <v>45364</v>
      </c>
      <c r="D650" t="inlineStr">
        <is>
          <t>DALARNAS LÄN</t>
        </is>
      </c>
      <c r="E650" t="inlineStr">
        <is>
          <t>LUDVIKA</t>
        </is>
      </c>
      <c r="G650" t="n">
        <v>4</v>
      </c>
      <c r="H650" t="n">
        <v>0</v>
      </c>
      <c r="I650" t="n">
        <v>0</v>
      </c>
      <c r="J650" t="n">
        <v>0</v>
      </c>
      <c r="K650" t="n">
        <v>0</v>
      </c>
      <c r="L650" t="n">
        <v>0</v>
      </c>
      <c r="M650" t="n">
        <v>0</v>
      </c>
      <c r="N650" t="n">
        <v>0</v>
      </c>
      <c r="O650" t="n">
        <v>0</v>
      </c>
      <c r="P650" t="n">
        <v>0</v>
      </c>
      <c r="Q650" t="n">
        <v>0</v>
      </c>
      <c r="R650" s="2" t="inlineStr"/>
    </row>
    <row r="651" ht="15" customHeight="1">
      <c r="A651" t="inlineStr">
        <is>
          <t>A 37272-2023</t>
        </is>
      </c>
      <c r="B651" s="1" t="n">
        <v>45156</v>
      </c>
      <c r="C651" s="1" t="n">
        <v>45364</v>
      </c>
      <c r="D651" t="inlineStr">
        <is>
          <t>DALARNAS LÄN</t>
        </is>
      </c>
      <c r="E651" t="inlineStr">
        <is>
          <t>LUDVIKA</t>
        </is>
      </c>
      <c r="G651" t="n">
        <v>6</v>
      </c>
      <c r="H651" t="n">
        <v>0</v>
      </c>
      <c r="I651" t="n">
        <v>0</v>
      </c>
      <c r="J651" t="n">
        <v>0</v>
      </c>
      <c r="K651" t="n">
        <v>0</v>
      </c>
      <c r="L651" t="n">
        <v>0</v>
      </c>
      <c r="M651" t="n">
        <v>0</v>
      </c>
      <c r="N651" t="n">
        <v>0</v>
      </c>
      <c r="O651" t="n">
        <v>0</v>
      </c>
      <c r="P651" t="n">
        <v>0</v>
      </c>
      <c r="Q651" t="n">
        <v>0</v>
      </c>
      <c r="R651" s="2" t="inlineStr"/>
    </row>
    <row r="652" ht="15" customHeight="1">
      <c r="A652" t="inlineStr">
        <is>
          <t>A 37333-2023</t>
        </is>
      </c>
      <c r="B652" s="1" t="n">
        <v>45156</v>
      </c>
      <c r="C652" s="1" t="n">
        <v>45364</v>
      </c>
      <c r="D652" t="inlineStr">
        <is>
          <t>DALARNAS LÄN</t>
        </is>
      </c>
      <c r="E652" t="inlineStr">
        <is>
          <t>LUDVIKA</t>
        </is>
      </c>
      <c r="F652" t="inlineStr">
        <is>
          <t>Bergvik skog väst AB</t>
        </is>
      </c>
      <c r="G652" t="n">
        <v>5</v>
      </c>
      <c r="H652" t="n">
        <v>0</v>
      </c>
      <c r="I652" t="n">
        <v>0</v>
      </c>
      <c r="J652" t="n">
        <v>0</v>
      </c>
      <c r="K652" t="n">
        <v>0</v>
      </c>
      <c r="L652" t="n">
        <v>0</v>
      </c>
      <c r="M652" t="n">
        <v>0</v>
      </c>
      <c r="N652" t="n">
        <v>0</v>
      </c>
      <c r="O652" t="n">
        <v>0</v>
      </c>
      <c r="P652" t="n">
        <v>0</v>
      </c>
      <c r="Q652" t="n">
        <v>0</v>
      </c>
      <c r="R652" s="2" t="inlineStr"/>
    </row>
    <row r="653" ht="15" customHeight="1">
      <c r="A653" t="inlineStr">
        <is>
          <t>A 37366-2023</t>
        </is>
      </c>
      <c r="B653" s="1" t="n">
        <v>45156</v>
      </c>
      <c r="C653" s="1" t="n">
        <v>45364</v>
      </c>
      <c r="D653" t="inlineStr">
        <is>
          <t>DALARNAS LÄN</t>
        </is>
      </c>
      <c r="E653" t="inlineStr">
        <is>
          <t>LUDVIKA</t>
        </is>
      </c>
      <c r="F653" t="inlineStr">
        <is>
          <t>Bergvik skog väst AB</t>
        </is>
      </c>
      <c r="G653" t="n">
        <v>6.7</v>
      </c>
      <c r="H653" t="n">
        <v>0</v>
      </c>
      <c r="I653" t="n">
        <v>0</v>
      </c>
      <c r="J653" t="n">
        <v>0</v>
      </c>
      <c r="K653" t="n">
        <v>0</v>
      </c>
      <c r="L653" t="n">
        <v>0</v>
      </c>
      <c r="M653" t="n">
        <v>0</v>
      </c>
      <c r="N653" t="n">
        <v>0</v>
      </c>
      <c r="O653" t="n">
        <v>0</v>
      </c>
      <c r="P653" t="n">
        <v>0</v>
      </c>
      <c r="Q653" t="n">
        <v>0</v>
      </c>
      <c r="R653" s="2" t="inlineStr"/>
    </row>
    <row r="654" ht="15" customHeight="1">
      <c r="A654" t="inlineStr">
        <is>
          <t>A 37392-2023</t>
        </is>
      </c>
      <c r="B654" s="1" t="n">
        <v>45156</v>
      </c>
      <c r="C654" s="1" t="n">
        <v>45364</v>
      </c>
      <c r="D654" t="inlineStr">
        <is>
          <t>DALARNAS LÄN</t>
        </is>
      </c>
      <c r="E654" t="inlineStr">
        <is>
          <t>LUDVIKA</t>
        </is>
      </c>
      <c r="G654" t="n">
        <v>0.5</v>
      </c>
      <c r="H654" t="n">
        <v>0</v>
      </c>
      <c r="I654" t="n">
        <v>0</v>
      </c>
      <c r="J654" t="n">
        <v>0</v>
      </c>
      <c r="K654" t="n">
        <v>0</v>
      </c>
      <c r="L654" t="n">
        <v>0</v>
      </c>
      <c r="M654" t="n">
        <v>0</v>
      </c>
      <c r="N654" t="n">
        <v>0</v>
      </c>
      <c r="O654" t="n">
        <v>0</v>
      </c>
      <c r="P654" t="n">
        <v>0</v>
      </c>
      <c r="Q654" t="n">
        <v>0</v>
      </c>
      <c r="R654" s="2" t="inlineStr"/>
    </row>
    <row r="655" ht="15" customHeight="1">
      <c r="A655" t="inlineStr">
        <is>
          <t>A 38170-2023</t>
        </is>
      </c>
      <c r="B655" s="1" t="n">
        <v>45161</v>
      </c>
      <c r="C655" s="1" t="n">
        <v>45364</v>
      </c>
      <c r="D655" t="inlineStr">
        <is>
          <t>DALARNAS LÄN</t>
        </is>
      </c>
      <c r="E655" t="inlineStr">
        <is>
          <t>LUDVIKA</t>
        </is>
      </c>
      <c r="F655" t="inlineStr">
        <is>
          <t>Bergvik skog väst AB</t>
        </is>
      </c>
      <c r="G655" t="n">
        <v>1.3</v>
      </c>
      <c r="H655" t="n">
        <v>0</v>
      </c>
      <c r="I655" t="n">
        <v>0</v>
      </c>
      <c r="J655" t="n">
        <v>0</v>
      </c>
      <c r="K655" t="n">
        <v>0</v>
      </c>
      <c r="L655" t="n">
        <v>0</v>
      </c>
      <c r="M655" t="n">
        <v>0</v>
      </c>
      <c r="N655" t="n">
        <v>0</v>
      </c>
      <c r="O655" t="n">
        <v>0</v>
      </c>
      <c r="P655" t="n">
        <v>0</v>
      </c>
      <c r="Q655" t="n">
        <v>0</v>
      </c>
      <c r="R655" s="2" t="inlineStr"/>
    </row>
    <row r="656" ht="15" customHeight="1">
      <c r="A656" t="inlineStr">
        <is>
          <t>A 38138-2023</t>
        </is>
      </c>
      <c r="B656" s="1" t="n">
        <v>45161</v>
      </c>
      <c r="C656" s="1" t="n">
        <v>45364</v>
      </c>
      <c r="D656" t="inlineStr">
        <is>
          <t>DALARNAS LÄN</t>
        </is>
      </c>
      <c r="E656" t="inlineStr">
        <is>
          <t>LUDVIKA</t>
        </is>
      </c>
      <c r="G656" t="n">
        <v>2.5</v>
      </c>
      <c r="H656" t="n">
        <v>0</v>
      </c>
      <c r="I656" t="n">
        <v>0</v>
      </c>
      <c r="J656" t="n">
        <v>0</v>
      </c>
      <c r="K656" t="n">
        <v>0</v>
      </c>
      <c r="L656" t="n">
        <v>0</v>
      </c>
      <c r="M656" t="n">
        <v>0</v>
      </c>
      <c r="N656" t="n">
        <v>0</v>
      </c>
      <c r="O656" t="n">
        <v>0</v>
      </c>
      <c r="P656" t="n">
        <v>0</v>
      </c>
      <c r="Q656" t="n">
        <v>0</v>
      </c>
      <c r="R656" s="2" t="inlineStr"/>
    </row>
    <row r="657" ht="15" customHeight="1">
      <c r="A657" t="inlineStr">
        <is>
          <t>A 38279-2023</t>
        </is>
      </c>
      <c r="B657" s="1" t="n">
        <v>45161</v>
      </c>
      <c r="C657" s="1" t="n">
        <v>45364</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38168-2023</t>
        </is>
      </c>
      <c r="B658" s="1" t="n">
        <v>45161</v>
      </c>
      <c r="C658" s="1" t="n">
        <v>45364</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38197-2023</t>
        </is>
      </c>
      <c r="B659" s="1" t="n">
        <v>45161</v>
      </c>
      <c r="C659" s="1" t="n">
        <v>45364</v>
      </c>
      <c r="D659" t="inlineStr">
        <is>
          <t>DALARNAS LÄN</t>
        </is>
      </c>
      <c r="E659" t="inlineStr">
        <is>
          <t>LUDVIKA</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38243-2023</t>
        </is>
      </c>
      <c r="B660" s="1" t="n">
        <v>45161</v>
      </c>
      <c r="C660" s="1" t="n">
        <v>45364</v>
      </c>
      <c r="D660" t="inlineStr">
        <is>
          <t>DALARNAS LÄN</t>
        </is>
      </c>
      <c r="E660" t="inlineStr">
        <is>
          <t>LUDVIKA</t>
        </is>
      </c>
      <c r="G660" t="n">
        <v>1.2</v>
      </c>
      <c r="H660" t="n">
        <v>0</v>
      </c>
      <c r="I660" t="n">
        <v>0</v>
      </c>
      <c r="J660" t="n">
        <v>0</v>
      </c>
      <c r="K660" t="n">
        <v>0</v>
      </c>
      <c r="L660" t="n">
        <v>0</v>
      </c>
      <c r="M660" t="n">
        <v>0</v>
      </c>
      <c r="N660" t="n">
        <v>0</v>
      </c>
      <c r="O660" t="n">
        <v>0</v>
      </c>
      <c r="P660" t="n">
        <v>0</v>
      </c>
      <c r="Q660" t="n">
        <v>0</v>
      </c>
      <c r="R660" s="2" t="inlineStr"/>
    </row>
    <row r="661" ht="15" customHeight="1">
      <c r="A661" t="inlineStr">
        <is>
          <t>A 38280-2023</t>
        </is>
      </c>
      <c r="B661" s="1" t="n">
        <v>45161</v>
      </c>
      <c r="C661" s="1" t="n">
        <v>45364</v>
      </c>
      <c r="D661" t="inlineStr">
        <is>
          <t>DALARNAS LÄN</t>
        </is>
      </c>
      <c r="E661" t="inlineStr">
        <is>
          <t>LUDVIKA</t>
        </is>
      </c>
      <c r="F661" t="inlineStr">
        <is>
          <t>Bergvik skog väst AB</t>
        </is>
      </c>
      <c r="G661" t="n">
        <v>2.9</v>
      </c>
      <c r="H661" t="n">
        <v>0</v>
      </c>
      <c r="I661" t="n">
        <v>0</v>
      </c>
      <c r="J661" t="n">
        <v>0</v>
      </c>
      <c r="K661" t="n">
        <v>0</v>
      </c>
      <c r="L661" t="n">
        <v>0</v>
      </c>
      <c r="M661" t="n">
        <v>0</v>
      </c>
      <c r="N661" t="n">
        <v>0</v>
      </c>
      <c r="O661" t="n">
        <v>0</v>
      </c>
      <c r="P661" t="n">
        <v>0</v>
      </c>
      <c r="Q661" t="n">
        <v>0</v>
      </c>
      <c r="R661" s="2" t="inlineStr"/>
    </row>
    <row r="662" ht="15" customHeight="1">
      <c r="A662" t="inlineStr">
        <is>
          <t>A 38963-2023</t>
        </is>
      </c>
      <c r="B662" s="1" t="n">
        <v>45163</v>
      </c>
      <c r="C662" s="1" t="n">
        <v>45364</v>
      </c>
      <c r="D662" t="inlineStr">
        <is>
          <t>DALARNAS LÄN</t>
        </is>
      </c>
      <c r="E662" t="inlineStr">
        <is>
          <t>LUDVIKA</t>
        </is>
      </c>
      <c r="F662" t="inlineStr">
        <is>
          <t>Bergvik skog väst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38925-2023</t>
        </is>
      </c>
      <c r="B663" s="1" t="n">
        <v>45163</v>
      </c>
      <c r="C663" s="1" t="n">
        <v>45364</v>
      </c>
      <c r="D663" t="inlineStr">
        <is>
          <t>DALARNAS LÄN</t>
        </is>
      </c>
      <c r="E663" t="inlineStr">
        <is>
          <t>LUDVIKA</t>
        </is>
      </c>
      <c r="G663" t="n">
        <v>3</v>
      </c>
      <c r="H663" t="n">
        <v>0</v>
      </c>
      <c r="I663" t="n">
        <v>0</v>
      </c>
      <c r="J663" t="n">
        <v>0</v>
      </c>
      <c r="K663" t="n">
        <v>0</v>
      </c>
      <c r="L663" t="n">
        <v>0</v>
      </c>
      <c r="M663" t="n">
        <v>0</v>
      </c>
      <c r="N663" t="n">
        <v>0</v>
      </c>
      <c r="O663" t="n">
        <v>0</v>
      </c>
      <c r="P663" t="n">
        <v>0</v>
      </c>
      <c r="Q663" t="n">
        <v>0</v>
      </c>
      <c r="R663" s="2" t="inlineStr"/>
    </row>
    <row r="664" ht="15" customHeight="1">
      <c r="A664" t="inlineStr">
        <is>
          <t>A 39400-2023</t>
        </is>
      </c>
      <c r="B664" s="1" t="n">
        <v>45166</v>
      </c>
      <c r="C664" s="1" t="n">
        <v>45364</v>
      </c>
      <c r="D664" t="inlineStr">
        <is>
          <t>DALARNAS LÄN</t>
        </is>
      </c>
      <c r="E664" t="inlineStr">
        <is>
          <t>LUDVIKA</t>
        </is>
      </c>
      <c r="F664" t="inlineStr">
        <is>
          <t>Bergvik skog väst AB</t>
        </is>
      </c>
      <c r="G664" t="n">
        <v>1.1</v>
      </c>
      <c r="H664" t="n">
        <v>0</v>
      </c>
      <c r="I664" t="n">
        <v>0</v>
      </c>
      <c r="J664" t="n">
        <v>0</v>
      </c>
      <c r="K664" t="n">
        <v>0</v>
      </c>
      <c r="L664" t="n">
        <v>0</v>
      </c>
      <c r="M664" t="n">
        <v>0</v>
      </c>
      <c r="N664" t="n">
        <v>0</v>
      </c>
      <c r="O664" t="n">
        <v>0</v>
      </c>
      <c r="P664" t="n">
        <v>0</v>
      </c>
      <c r="Q664" t="n">
        <v>0</v>
      </c>
      <c r="R664" s="2" t="inlineStr"/>
    </row>
    <row r="665" ht="15" customHeight="1">
      <c r="A665" t="inlineStr">
        <is>
          <t>A 39437-2023</t>
        </is>
      </c>
      <c r="B665" s="1" t="n">
        <v>45166</v>
      </c>
      <c r="C665" s="1" t="n">
        <v>45364</v>
      </c>
      <c r="D665" t="inlineStr">
        <is>
          <t>DALARNAS LÄN</t>
        </is>
      </c>
      <c r="E665" t="inlineStr">
        <is>
          <t>LUDVIKA</t>
        </is>
      </c>
      <c r="F665" t="inlineStr">
        <is>
          <t>Bergvik skog väst AB</t>
        </is>
      </c>
      <c r="G665" t="n">
        <v>2</v>
      </c>
      <c r="H665" t="n">
        <v>0</v>
      </c>
      <c r="I665" t="n">
        <v>0</v>
      </c>
      <c r="J665" t="n">
        <v>0</v>
      </c>
      <c r="K665" t="n">
        <v>0</v>
      </c>
      <c r="L665" t="n">
        <v>0</v>
      </c>
      <c r="M665" t="n">
        <v>0</v>
      </c>
      <c r="N665" t="n">
        <v>0</v>
      </c>
      <c r="O665" t="n">
        <v>0</v>
      </c>
      <c r="P665" t="n">
        <v>0</v>
      </c>
      <c r="Q665" t="n">
        <v>0</v>
      </c>
      <c r="R665" s="2" t="inlineStr"/>
    </row>
    <row r="666" ht="15" customHeight="1">
      <c r="A666" t="inlineStr">
        <is>
          <t>A 39405-2023</t>
        </is>
      </c>
      <c r="B666" s="1" t="n">
        <v>45166</v>
      </c>
      <c r="C666" s="1" t="n">
        <v>45364</v>
      </c>
      <c r="D666" t="inlineStr">
        <is>
          <t>DALARNAS LÄN</t>
        </is>
      </c>
      <c r="E666" t="inlineStr">
        <is>
          <t>LUDVIKA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39417-2023</t>
        </is>
      </c>
      <c r="B667" s="1" t="n">
        <v>45166</v>
      </c>
      <c r="C667" s="1" t="n">
        <v>45364</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39438-2023</t>
        </is>
      </c>
      <c r="B668" s="1" t="n">
        <v>45166</v>
      </c>
      <c r="C668" s="1" t="n">
        <v>45364</v>
      </c>
      <c r="D668" t="inlineStr">
        <is>
          <t>DALARNAS LÄN</t>
        </is>
      </c>
      <c r="E668" t="inlineStr">
        <is>
          <t>LUDVIKA</t>
        </is>
      </c>
      <c r="F668" t="inlineStr">
        <is>
          <t>Bergvik skog väst AB</t>
        </is>
      </c>
      <c r="G668" t="n">
        <v>3.2</v>
      </c>
      <c r="H668" t="n">
        <v>0</v>
      </c>
      <c r="I668" t="n">
        <v>0</v>
      </c>
      <c r="J668" t="n">
        <v>0</v>
      </c>
      <c r="K668" t="n">
        <v>0</v>
      </c>
      <c r="L668" t="n">
        <v>0</v>
      </c>
      <c r="M668" t="n">
        <v>0</v>
      </c>
      <c r="N668" t="n">
        <v>0</v>
      </c>
      <c r="O668" t="n">
        <v>0</v>
      </c>
      <c r="P668" t="n">
        <v>0</v>
      </c>
      <c r="Q668" t="n">
        <v>0</v>
      </c>
      <c r="R668" s="2" t="inlineStr"/>
    </row>
    <row r="669" ht="15" customHeight="1">
      <c r="A669" t="inlineStr">
        <is>
          <t>A 39441-2023</t>
        </is>
      </c>
      <c r="B669" s="1" t="n">
        <v>45166</v>
      </c>
      <c r="C669" s="1" t="n">
        <v>45364</v>
      </c>
      <c r="D669" t="inlineStr">
        <is>
          <t>DALARNAS LÄN</t>
        </is>
      </c>
      <c r="E669" t="inlineStr">
        <is>
          <t>LUDVIKA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39447-2023</t>
        </is>
      </c>
      <c r="B670" s="1" t="n">
        <v>45166</v>
      </c>
      <c r="C670" s="1" t="n">
        <v>45364</v>
      </c>
      <c r="D670" t="inlineStr">
        <is>
          <t>DALARNAS LÄN</t>
        </is>
      </c>
      <c r="E670" t="inlineStr">
        <is>
          <t>LUDVIKA</t>
        </is>
      </c>
      <c r="F670" t="inlineStr">
        <is>
          <t>Bergvik skog väst AB</t>
        </is>
      </c>
      <c r="G670" t="n">
        <v>4.4</v>
      </c>
      <c r="H670" t="n">
        <v>0</v>
      </c>
      <c r="I670" t="n">
        <v>0</v>
      </c>
      <c r="J670" t="n">
        <v>0</v>
      </c>
      <c r="K670" t="n">
        <v>0</v>
      </c>
      <c r="L670" t="n">
        <v>0</v>
      </c>
      <c r="M670" t="n">
        <v>0</v>
      </c>
      <c r="N670" t="n">
        <v>0</v>
      </c>
      <c r="O670" t="n">
        <v>0</v>
      </c>
      <c r="P670" t="n">
        <v>0</v>
      </c>
      <c r="Q670" t="n">
        <v>0</v>
      </c>
      <c r="R670" s="2" t="inlineStr"/>
    </row>
    <row r="671" ht="15" customHeight="1">
      <c r="A671" t="inlineStr">
        <is>
          <t>A 39675-2023</t>
        </is>
      </c>
      <c r="B671" s="1" t="n">
        <v>45167</v>
      </c>
      <c r="C671" s="1" t="n">
        <v>45364</v>
      </c>
      <c r="D671" t="inlineStr">
        <is>
          <t>DALARNAS LÄN</t>
        </is>
      </c>
      <c r="E671" t="inlineStr">
        <is>
          <t>LUDVIKA</t>
        </is>
      </c>
      <c r="F671" t="inlineStr">
        <is>
          <t>Naturvårdsverket</t>
        </is>
      </c>
      <c r="G671" t="n">
        <v>0.9</v>
      </c>
      <c r="H671" t="n">
        <v>0</v>
      </c>
      <c r="I671" t="n">
        <v>0</v>
      </c>
      <c r="J671" t="n">
        <v>0</v>
      </c>
      <c r="K671" t="n">
        <v>0</v>
      </c>
      <c r="L671" t="n">
        <v>0</v>
      </c>
      <c r="M671" t="n">
        <v>0</v>
      </c>
      <c r="N671" t="n">
        <v>0</v>
      </c>
      <c r="O671" t="n">
        <v>0</v>
      </c>
      <c r="P671" t="n">
        <v>0</v>
      </c>
      <c r="Q671" t="n">
        <v>0</v>
      </c>
      <c r="R671" s="2" t="inlineStr"/>
    </row>
    <row r="672" ht="15" customHeight="1">
      <c r="A672" t="inlineStr">
        <is>
          <t>A 39673-2023</t>
        </is>
      </c>
      <c r="B672" s="1" t="n">
        <v>45167</v>
      </c>
      <c r="C672" s="1" t="n">
        <v>45364</v>
      </c>
      <c r="D672" t="inlineStr">
        <is>
          <t>DALARNAS LÄN</t>
        </is>
      </c>
      <c r="E672" t="inlineStr">
        <is>
          <t>LUDVIKA</t>
        </is>
      </c>
      <c r="F672" t="inlineStr">
        <is>
          <t>Naturvårdsverket</t>
        </is>
      </c>
      <c r="G672" t="n">
        <v>1.1</v>
      </c>
      <c r="H672" t="n">
        <v>0</v>
      </c>
      <c r="I672" t="n">
        <v>0</v>
      </c>
      <c r="J672" t="n">
        <v>0</v>
      </c>
      <c r="K672" t="n">
        <v>0</v>
      </c>
      <c r="L672" t="n">
        <v>0</v>
      </c>
      <c r="M672" t="n">
        <v>0</v>
      </c>
      <c r="N672" t="n">
        <v>0</v>
      </c>
      <c r="O672" t="n">
        <v>0</v>
      </c>
      <c r="P672" t="n">
        <v>0</v>
      </c>
      <c r="Q672" t="n">
        <v>0</v>
      </c>
      <c r="R672" s="2" t="inlineStr"/>
    </row>
    <row r="673" ht="15" customHeight="1">
      <c r="A673" t="inlineStr">
        <is>
          <t>A 39678-2023</t>
        </is>
      </c>
      <c r="B673" s="1" t="n">
        <v>45167</v>
      </c>
      <c r="C673" s="1" t="n">
        <v>45364</v>
      </c>
      <c r="D673" t="inlineStr">
        <is>
          <t>DALARNAS LÄN</t>
        </is>
      </c>
      <c r="E673" t="inlineStr">
        <is>
          <t>LUDVIKA</t>
        </is>
      </c>
      <c r="F673" t="inlineStr">
        <is>
          <t>Naturvårdsverket</t>
        </is>
      </c>
      <c r="G673" t="n">
        <v>1</v>
      </c>
      <c r="H673" t="n">
        <v>0</v>
      </c>
      <c r="I673" t="n">
        <v>0</v>
      </c>
      <c r="J673" t="n">
        <v>0</v>
      </c>
      <c r="K673" t="n">
        <v>0</v>
      </c>
      <c r="L673" t="n">
        <v>0</v>
      </c>
      <c r="M673" t="n">
        <v>0</v>
      </c>
      <c r="N673" t="n">
        <v>0</v>
      </c>
      <c r="O673" t="n">
        <v>0</v>
      </c>
      <c r="P673" t="n">
        <v>0</v>
      </c>
      <c r="Q673" t="n">
        <v>0</v>
      </c>
      <c r="R673" s="2" t="inlineStr"/>
    </row>
    <row r="674" ht="15" customHeight="1">
      <c r="A674" t="inlineStr">
        <is>
          <t>A 39670-2023</t>
        </is>
      </c>
      <c r="B674" s="1" t="n">
        <v>45167</v>
      </c>
      <c r="C674" s="1" t="n">
        <v>45364</v>
      </c>
      <c r="D674" t="inlineStr">
        <is>
          <t>DALARNAS LÄN</t>
        </is>
      </c>
      <c r="E674" t="inlineStr">
        <is>
          <t>LUDVIKA</t>
        </is>
      </c>
      <c r="F674" t="inlineStr">
        <is>
          <t>Naturvårdsverket</t>
        </is>
      </c>
      <c r="G674" t="n">
        <v>3.9</v>
      </c>
      <c r="H674" t="n">
        <v>0</v>
      </c>
      <c r="I674" t="n">
        <v>0</v>
      </c>
      <c r="J674" t="n">
        <v>0</v>
      </c>
      <c r="K674" t="n">
        <v>0</v>
      </c>
      <c r="L674" t="n">
        <v>0</v>
      </c>
      <c r="M674" t="n">
        <v>0</v>
      </c>
      <c r="N674" t="n">
        <v>0</v>
      </c>
      <c r="O674" t="n">
        <v>0</v>
      </c>
      <c r="P674" t="n">
        <v>0</v>
      </c>
      <c r="Q674" t="n">
        <v>0</v>
      </c>
      <c r="R674" s="2" t="inlineStr"/>
    </row>
    <row r="675" ht="15" customHeight="1">
      <c r="A675" t="inlineStr">
        <is>
          <t>A 39849-2023</t>
        </is>
      </c>
      <c r="B675" s="1" t="n">
        <v>45168</v>
      </c>
      <c r="C675" s="1" t="n">
        <v>45364</v>
      </c>
      <c r="D675" t="inlineStr">
        <is>
          <t>DALARNAS LÄN</t>
        </is>
      </c>
      <c r="E675" t="inlineStr">
        <is>
          <t>LUDVIKA</t>
        </is>
      </c>
      <c r="F675" t="inlineStr">
        <is>
          <t>Bergvik skog väst AB</t>
        </is>
      </c>
      <c r="G675" t="n">
        <v>0.7</v>
      </c>
      <c r="H675" t="n">
        <v>0</v>
      </c>
      <c r="I675" t="n">
        <v>0</v>
      </c>
      <c r="J675" t="n">
        <v>0</v>
      </c>
      <c r="K675" t="n">
        <v>0</v>
      </c>
      <c r="L675" t="n">
        <v>0</v>
      </c>
      <c r="M675" t="n">
        <v>0</v>
      </c>
      <c r="N675" t="n">
        <v>0</v>
      </c>
      <c r="O675" t="n">
        <v>0</v>
      </c>
      <c r="P675" t="n">
        <v>0</v>
      </c>
      <c r="Q675" t="n">
        <v>0</v>
      </c>
      <c r="R675" s="2" t="inlineStr"/>
    </row>
    <row r="676" ht="15" customHeight="1">
      <c r="A676" t="inlineStr">
        <is>
          <t>A 39878-2023</t>
        </is>
      </c>
      <c r="B676" s="1" t="n">
        <v>45168</v>
      </c>
      <c r="C676" s="1" t="n">
        <v>45364</v>
      </c>
      <c r="D676" t="inlineStr">
        <is>
          <t>DALARNAS LÄN</t>
        </is>
      </c>
      <c r="E676" t="inlineStr">
        <is>
          <t>LUDVIKA</t>
        </is>
      </c>
      <c r="F676" t="inlineStr">
        <is>
          <t>Bergvik skog väst AB</t>
        </is>
      </c>
      <c r="G676" t="n">
        <v>2.7</v>
      </c>
      <c r="H676" t="n">
        <v>0</v>
      </c>
      <c r="I676" t="n">
        <v>0</v>
      </c>
      <c r="J676" t="n">
        <v>0</v>
      </c>
      <c r="K676" t="n">
        <v>0</v>
      </c>
      <c r="L676" t="n">
        <v>0</v>
      </c>
      <c r="M676" t="n">
        <v>0</v>
      </c>
      <c r="N676" t="n">
        <v>0</v>
      </c>
      <c r="O676" t="n">
        <v>0</v>
      </c>
      <c r="P676" t="n">
        <v>0</v>
      </c>
      <c r="Q676" t="n">
        <v>0</v>
      </c>
      <c r="R676" s="2" t="inlineStr"/>
    </row>
    <row r="677" ht="15" customHeight="1">
      <c r="A677" t="inlineStr">
        <is>
          <t>A 40016-2023</t>
        </is>
      </c>
      <c r="B677" s="1" t="n">
        <v>45168</v>
      </c>
      <c r="C677" s="1" t="n">
        <v>45364</v>
      </c>
      <c r="D677" t="inlineStr">
        <is>
          <t>DALARNAS LÄN</t>
        </is>
      </c>
      <c r="E677" t="inlineStr">
        <is>
          <t>LUDVIKA</t>
        </is>
      </c>
      <c r="F677" t="inlineStr">
        <is>
          <t>Bergvik skog väst AB</t>
        </is>
      </c>
      <c r="G677" t="n">
        <v>7.6</v>
      </c>
      <c r="H677" t="n">
        <v>0</v>
      </c>
      <c r="I677" t="n">
        <v>0</v>
      </c>
      <c r="J677" t="n">
        <v>0</v>
      </c>
      <c r="K677" t="n">
        <v>0</v>
      </c>
      <c r="L677" t="n">
        <v>0</v>
      </c>
      <c r="M677" t="n">
        <v>0</v>
      </c>
      <c r="N677" t="n">
        <v>0</v>
      </c>
      <c r="O677" t="n">
        <v>0</v>
      </c>
      <c r="P677" t="n">
        <v>0</v>
      </c>
      <c r="Q677" t="n">
        <v>0</v>
      </c>
      <c r="R677" s="2" t="inlineStr"/>
    </row>
    <row r="678" ht="15" customHeight="1">
      <c r="A678" t="inlineStr">
        <is>
          <t>A 39971-2023</t>
        </is>
      </c>
      <c r="B678" s="1" t="n">
        <v>45168</v>
      </c>
      <c r="C678" s="1" t="n">
        <v>45364</v>
      </c>
      <c r="D678" t="inlineStr">
        <is>
          <t>DALARNAS LÄN</t>
        </is>
      </c>
      <c r="E678" t="inlineStr">
        <is>
          <t>LUDVIKA</t>
        </is>
      </c>
      <c r="F678" t="inlineStr">
        <is>
          <t>Bergvik skog väst AB</t>
        </is>
      </c>
      <c r="G678" t="n">
        <v>4.4</v>
      </c>
      <c r="H678" t="n">
        <v>0</v>
      </c>
      <c r="I678" t="n">
        <v>0</v>
      </c>
      <c r="J678" t="n">
        <v>0</v>
      </c>
      <c r="K678" t="n">
        <v>0</v>
      </c>
      <c r="L678" t="n">
        <v>0</v>
      </c>
      <c r="M678" t="n">
        <v>0</v>
      </c>
      <c r="N678" t="n">
        <v>0</v>
      </c>
      <c r="O678" t="n">
        <v>0</v>
      </c>
      <c r="P678" t="n">
        <v>0</v>
      </c>
      <c r="Q678" t="n">
        <v>0</v>
      </c>
      <c r="R678" s="2" t="inlineStr"/>
    </row>
    <row r="679" ht="15" customHeight="1">
      <c r="A679" t="inlineStr">
        <is>
          <t>A 39886-2023</t>
        </is>
      </c>
      <c r="B679" s="1" t="n">
        <v>45168</v>
      </c>
      <c r="C679" s="1" t="n">
        <v>45364</v>
      </c>
      <c r="D679" t="inlineStr">
        <is>
          <t>DALARNAS LÄN</t>
        </is>
      </c>
      <c r="E679" t="inlineStr">
        <is>
          <t>LUDVIKA</t>
        </is>
      </c>
      <c r="F679" t="inlineStr">
        <is>
          <t>Bergvik skog väst AB</t>
        </is>
      </c>
      <c r="G679" t="n">
        <v>28.4</v>
      </c>
      <c r="H679" t="n">
        <v>0</v>
      </c>
      <c r="I679" t="n">
        <v>0</v>
      </c>
      <c r="J679" t="n">
        <v>0</v>
      </c>
      <c r="K679" t="n">
        <v>0</v>
      </c>
      <c r="L679" t="n">
        <v>0</v>
      </c>
      <c r="M679" t="n">
        <v>0</v>
      </c>
      <c r="N679" t="n">
        <v>0</v>
      </c>
      <c r="O679" t="n">
        <v>0</v>
      </c>
      <c r="P679" t="n">
        <v>0</v>
      </c>
      <c r="Q679" t="n">
        <v>0</v>
      </c>
      <c r="R679" s="2" t="inlineStr"/>
    </row>
    <row r="680" ht="15" customHeight="1">
      <c r="A680" t="inlineStr">
        <is>
          <t>A 40020-2023</t>
        </is>
      </c>
      <c r="B680" s="1" t="n">
        <v>45168</v>
      </c>
      <c r="C680" s="1" t="n">
        <v>45364</v>
      </c>
      <c r="D680" t="inlineStr">
        <is>
          <t>DALARNAS LÄN</t>
        </is>
      </c>
      <c r="E680" t="inlineStr">
        <is>
          <t>LUDVIKA</t>
        </is>
      </c>
      <c r="F680" t="inlineStr">
        <is>
          <t>Bergvik skog väst AB</t>
        </is>
      </c>
      <c r="G680" t="n">
        <v>8.4</v>
      </c>
      <c r="H680" t="n">
        <v>0</v>
      </c>
      <c r="I680" t="n">
        <v>0</v>
      </c>
      <c r="J680" t="n">
        <v>0</v>
      </c>
      <c r="K680" t="n">
        <v>0</v>
      </c>
      <c r="L680" t="n">
        <v>0</v>
      </c>
      <c r="M680" t="n">
        <v>0</v>
      </c>
      <c r="N680" t="n">
        <v>0</v>
      </c>
      <c r="O680" t="n">
        <v>0</v>
      </c>
      <c r="P680" t="n">
        <v>0</v>
      </c>
      <c r="Q680" t="n">
        <v>0</v>
      </c>
      <c r="R680" s="2" t="inlineStr"/>
    </row>
    <row r="681" ht="15" customHeight="1">
      <c r="A681" t="inlineStr">
        <is>
          <t>A 40489-2023</t>
        </is>
      </c>
      <c r="B681" s="1" t="n">
        <v>45170</v>
      </c>
      <c r="C681" s="1" t="n">
        <v>45364</v>
      </c>
      <c r="D681" t="inlineStr">
        <is>
          <t>DALARNAS LÄN</t>
        </is>
      </c>
      <c r="E681" t="inlineStr">
        <is>
          <t>LUDVIKA</t>
        </is>
      </c>
      <c r="F681" t="inlineStr">
        <is>
          <t>Sveaskog</t>
        </is>
      </c>
      <c r="G681" t="n">
        <v>22.5</v>
      </c>
      <c r="H681" t="n">
        <v>0</v>
      </c>
      <c r="I681" t="n">
        <v>0</v>
      </c>
      <c r="J681" t="n">
        <v>0</v>
      </c>
      <c r="K681" t="n">
        <v>0</v>
      </c>
      <c r="L681" t="n">
        <v>0</v>
      </c>
      <c r="M681" t="n">
        <v>0</v>
      </c>
      <c r="N681" t="n">
        <v>0</v>
      </c>
      <c r="O681" t="n">
        <v>0</v>
      </c>
      <c r="P681" t="n">
        <v>0</v>
      </c>
      <c r="Q681" t="n">
        <v>0</v>
      </c>
      <c r="R681" s="2" t="inlineStr"/>
    </row>
    <row r="682" ht="15" customHeight="1">
      <c r="A682" t="inlineStr">
        <is>
          <t>A 40499-2023</t>
        </is>
      </c>
      <c r="B682" s="1" t="n">
        <v>45170</v>
      </c>
      <c r="C682" s="1" t="n">
        <v>45364</v>
      </c>
      <c r="D682" t="inlineStr">
        <is>
          <t>DALARNAS LÄN</t>
        </is>
      </c>
      <c r="E682" t="inlineStr">
        <is>
          <t>LUDVIKA</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40672-2023</t>
        </is>
      </c>
      <c r="B683" s="1" t="n">
        <v>45170</v>
      </c>
      <c r="C683" s="1" t="n">
        <v>45364</v>
      </c>
      <c r="D683" t="inlineStr">
        <is>
          <t>DALARNAS LÄN</t>
        </is>
      </c>
      <c r="E683" t="inlineStr">
        <is>
          <t>LUDVIKA</t>
        </is>
      </c>
      <c r="F683" t="inlineStr">
        <is>
          <t>Bergvik skog väst AB</t>
        </is>
      </c>
      <c r="G683" t="n">
        <v>1.5</v>
      </c>
      <c r="H683" t="n">
        <v>0</v>
      </c>
      <c r="I683" t="n">
        <v>0</v>
      </c>
      <c r="J683" t="n">
        <v>0</v>
      </c>
      <c r="K683" t="n">
        <v>0</v>
      </c>
      <c r="L683" t="n">
        <v>0</v>
      </c>
      <c r="M683" t="n">
        <v>0</v>
      </c>
      <c r="N683" t="n">
        <v>0</v>
      </c>
      <c r="O683" t="n">
        <v>0</v>
      </c>
      <c r="P683" t="n">
        <v>0</v>
      </c>
      <c r="Q683" t="n">
        <v>0</v>
      </c>
      <c r="R683" s="2" t="inlineStr"/>
    </row>
    <row r="684" ht="15" customHeight="1">
      <c r="A684" t="inlineStr">
        <is>
          <t>A 40646-2023</t>
        </is>
      </c>
      <c r="B684" s="1" t="n">
        <v>45170</v>
      </c>
      <c r="C684" s="1" t="n">
        <v>45364</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40473-2023</t>
        </is>
      </c>
      <c r="B685" s="1" t="n">
        <v>45170</v>
      </c>
      <c r="C685" s="1" t="n">
        <v>45364</v>
      </c>
      <c r="D685" t="inlineStr">
        <is>
          <t>DALARNAS LÄN</t>
        </is>
      </c>
      <c r="E685" t="inlineStr">
        <is>
          <t>LUDVIKA</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40687-2023</t>
        </is>
      </c>
      <c r="B686" s="1" t="n">
        <v>45170</v>
      </c>
      <c r="C686" s="1" t="n">
        <v>45364</v>
      </c>
      <c r="D686" t="inlineStr">
        <is>
          <t>DALARNAS LÄN</t>
        </is>
      </c>
      <c r="E686" t="inlineStr">
        <is>
          <t>LUDVIKA</t>
        </is>
      </c>
      <c r="F686" t="inlineStr">
        <is>
          <t>Bergvik skog väst AB</t>
        </is>
      </c>
      <c r="G686" t="n">
        <v>0.7</v>
      </c>
      <c r="H686" t="n">
        <v>0</v>
      </c>
      <c r="I686" t="n">
        <v>0</v>
      </c>
      <c r="J686" t="n">
        <v>0</v>
      </c>
      <c r="K686" t="n">
        <v>0</v>
      </c>
      <c r="L686" t="n">
        <v>0</v>
      </c>
      <c r="M686" t="n">
        <v>0</v>
      </c>
      <c r="N686" t="n">
        <v>0</v>
      </c>
      <c r="O686" t="n">
        <v>0</v>
      </c>
      <c r="P686" t="n">
        <v>0</v>
      </c>
      <c r="Q686" t="n">
        <v>0</v>
      </c>
      <c r="R686" s="2" t="inlineStr"/>
    </row>
    <row r="687" ht="15" customHeight="1">
      <c r="A687" t="inlineStr">
        <is>
          <t>A 40869-2023</t>
        </is>
      </c>
      <c r="B687" s="1" t="n">
        <v>45173</v>
      </c>
      <c r="C687" s="1" t="n">
        <v>45364</v>
      </c>
      <c r="D687" t="inlineStr">
        <is>
          <t>DALARNAS LÄN</t>
        </is>
      </c>
      <c r="E687" t="inlineStr">
        <is>
          <t>LUDVIKA</t>
        </is>
      </c>
      <c r="F687" t="inlineStr">
        <is>
          <t>Bergvik skog väst AB</t>
        </is>
      </c>
      <c r="G687" t="n">
        <v>1</v>
      </c>
      <c r="H687" t="n">
        <v>0</v>
      </c>
      <c r="I687" t="n">
        <v>0</v>
      </c>
      <c r="J687" t="n">
        <v>0</v>
      </c>
      <c r="K687" t="n">
        <v>0</v>
      </c>
      <c r="L687" t="n">
        <v>0</v>
      </c>
      <c r="M687" t="n">
        <v>0</v>
      </c>
      <c r="N687" t="n">
        <v>0</v>
      </c>
      <c r="O687" t="n">
        <v>0</v>
      </c>
      <c r="P687" t="n">
        <v>0</v>
      </c>
      <c r="Q687" t="n">
        <v>0</v>
      </c>
      <c r="R687" s="2" t="inlineStr"/>
    </row>
    <row r="688" ht="15" customHeight="1">
      <c r="A688" t="inlineStr">
        <is>
          <t>A 41177-2023</t>
        </is>
      </c>
      <c r="B688" s="1" t="n">
        <v>45174</v>
      </c>
      <c r="C688" s="1" t="n">
        <v>45364</v>
      </c>
      <c r="D688" t="inlineStr">
        <is>
          <t>DALARNAS LÄN</t>
        </is>
      </c>
      <c r="E688" t="inlineStr">
        <is>
          <t>LUDVIKA</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41628-2023</t>
        </is>
      </c>
      <c r="B689" s="1" t="n">
        <v>45175</v>
      </c>
      <c r="C689" s="1" t="n">
        <v>45364</v>
      </c>
      <c r="D689" t="inlineStr">
        <is>
          <t>DALARNAS LÄN</t>
        </is>
      </c>
      <c r="E689" t="inlineStr">
        <is>
          <t>LUDVIKA</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41627-2023</t>
        </is>
      </c>
      <c r="B690" s="1" t="n">
        <v>45175</v>
      </c>
      <c r="C690" s="1" t="n">
        <v>45364</v>
      </c>
      <c r="D690" t="inlineStr">
        <is>
          <t>DALARNAS LÄN</t>
        </is>
      </c>
      <c r="E690" t="inlineStr">
        <is>
          <t>LUDVIKA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41631-2023</t>
        </is>
      </c>
      <c r="B691" s="1" t="n">
        <v>45175</v>
      </c>
      <c r="C691" s="1" t="n">
        <v>45364</v>
      </c>
      <c r="D691" t="inlineStr">
        <is>
          <t>DALARNAS LÄN</t>
        </is>
      </c>
      <c r="E691" t="inlineStr">
        <is>
          <t>LUDVIKA</t>
        </is>
      </c>
      <c r="F691" t="inlineStr">
        <is>
          <t>Bergvik skog väst AB</t>
        </is>
      </c>
      <c r="G691" t="n">
        <v>3.8</v>
      </c>
      <c r="H691" t="n">
        <v>0</v>
      </c>
      <c r="I691" t="n">
        <v>0</v>
      </c>
      <c r="J691" t="n">
        <v>0</v>
      </c>
      <c r="K691" t="n">
        <v>0</v>
      </c>
      <c r="L691" t="n">
        <v>0</v>
      </c>
      <c r="M691" t="n">
        <v>0</v>
      </c>
      <c r="N691" t="n">
        <v>0</v>
      </c>
      <c r="O691" t="n">
        <v>0</v>
      </c>
      <c r="P691" t="n">
        <v>0</v>
      </c>
      <c r="Q691" t="n">
        <v>0</v>
      </c>
      <c r="R691" s="2" t="inlineStr"/>
    </row>
    <row r="692" ht="15" customHeight="1">
      <c r="A692" t="inlineStr">
        <is>
          <t>A 41668-2023</t>
        </is>
      </c>
      <c r="B692" s="1" t="n">
        <v>45176</v>
      </c>
      <c r="C692" s="1" t="n">
        <v>45364</v>
      </c>
      <c r="D692" t="inlineStr">
        <is>
          <t>DALARNAS LÄN</t>
        </is>
      </c>
      <c r="E692" t="inlineStr">
        <is>
          <t>LUDVIKA</t>
        </is>
      </c>
      <c r="G692" t="n">
        <v>1.4</v>
      </c>
      <c r="H692" t="n">
        <v>0</v>
      </c>
      <c r="I692" t="n">
        <v>0</v>
      </c>
      <c r="J692" t="n">
        <v>0</v>
      </c>
      <c r="K692" t="n">
        <v>0</v>
      </c>
      <c r="L692" t="n">
        <v>0</v>
      </c>
      <c r="M692" t="n">
        <v>0</v>
      </c>
      <c r="N692" t="n">
        <v>0</v>
      </c>
      <c r="O692" t="n">
        <v>0</v>
      </c>
      <c r="P692" t="n">
        <v>0</v>
      </c>
      <c r="Q692" t="n">
        <v>0</v>
      </c>
      <c r="R692" s="2" t="inlineStr"/>
    </row>
    <row r="693" ht="15" customHeight="1">
      <c r="A693" t="inlineStr">
        <is>
          <t>A 41993-2023</t>
        </is>
      </c>
      <c r="B693" s="1" t="n">
        <v>45177</v>
      </c>
      <c r="C693" s="1" t="n">
        <v>45364</v>
      </c>
      <c r="D693" t="inlineStr">
        <is>
          <t>DALARNAS LÄN</t>
        </is>
      </c>
      <c r="E693" t="inlineStr">
        <is>
          <t>LUDVIKA</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41988-2023</t>
        </is>
      </c>
      <c r="B694" s="1" t="n">
        <v>45177</v>
      </c>
      <c r="C694" s="1" t="n">
        <v>45364</v>
      </c>
      <c r="D694" t="inlineStr">
        <is>
          <t>DALARNAS LÄN</t>
        </is>
      </c>
      <c r="E694" t="inlineStr">
        <is>
          <t>LUDVIKA</t>
        </is>
      </c>
      <c r="F694" t="inlineStr">
        <is>
          <t>Sveaskog</t>
        </is>
      </c>
      <c r="G694" t="n">
        <v>22.2</v>
      </c>
      <c r="H694" t="n">
        <v>0</v>
      </c>
      <c r="I694" t="n">
        <v>0</v>
      </c>
      <c r="J694" t="n">
        <v>0</v>
      </c>
      <c r="K694" t="n">
        <v>0</v>
      </c>
      <c r="L694" t="n">
        <v>0</v>
      </c>
      <c r="M694" t="n">
        <v>0</v>
      </c>
      <c r="N694" t="n">
        <v>0</v>
      </c>
      <c r="O694" t="n">
        <v>0</v>
      </c>
      <c r="P694" t="n">
        <v>0</v>
      </c>
      <c r="Q694" t="n">
        <v>0</v>
      </c>
      <c r="R694" s="2" t="inlineStr"/>
    </row>
    <row r="695" ht="15" customHeight="1">
      <c r="A695" t="inlineStr">
        <is>
          <t>A 42022-2023</t>
        </is>
      </c>
      <c r="B695" s="1" t="n">
        <v>45177</v>
      </c>
      <c r="C695" s="1" t="n">
        <v>45364</v>
      </c>
      <c r="D695" t="inlineStr">
        <is>
          <t>DALARNAS LÄN</t>
        </is>
      </c>
      <c r="E695" t="inlineStr">
        <is>
          <t>LUDVIKA</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41991-2023</t>
        </is>
      </c>
      <c r="B696" s="1" t="n">
        <v>45177</v>
      </c>
      <c r="C696" s="1" t="n">
        <v>45364</v>
      </c>
      <c r="D696" t="inlineStr">
        <is>
          <t>DALARNAS LÄN</t>
        </is>
      </c>
      <c r="E696" t="inlineStr">
        <is>
          <t>LUDVIKA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42268-2023</t>
        </is>
      </c>
      <c r="B697" s="1" t="n">
        <v>45180</v>
      </c>
      <c r="C697" s="1" t="n">
        <v>45364</v>
      </c>
      <c r="D697" t="inlineStr">
        <is>
          <t>DALARNAS LÄN</t>
        </is>
      </c>
      <c r="E697" t="inlineStr">
        <is>
          <t>LUDVIKA</t>
        </is>
      </c>
      <c r="F697" t="inlineStr">
        <is>
          <t>Bergvik skog väst AB</t>
        </is>
      </c>
      <c r="G697" t="n">
        <v>10.6</v>
      </c>
      <c r="H697" t="n">
        <v>0</v>
      </c>
      <c r="I697" t="n">
        <v>0</v>
      </c>
      <c r="J697" t="n">
        <v>0</v>
      </c>
      <c r="K697" t="n">
        <v>0</v>
      </c>
      <c r="L697" t="n">
        <v>0</v>
      </c>
      <c r="M697" t="n">
        <v>0</v>
      </c>
      <c r="N697" t="n">
        <v>0</v>
      </c>
      <c r="O697" t="n">
        <v>0</v>
      </c>
      <c r="P697" t="n">
        <v>0</v>
      </c>
      <c r="Q697" t="n">
        <v>0</v>
      </c>
      <c r="R697" s="2" t="inlineStr"/>
    </row>
    <row r="698" ht="15" customHeight="1">
      <c r="A698" t="inlineStr">
        <is>
          <t>A 42367-2023</t>
        </is>
      </c>
      <c r="B698" s="1" t="n">
        <v>45180</v>
      </c>
      <c r="C698" s="1" t="n">
        <v>45364</v>
      </c>
      <c r="D698" t="inlineStr">
        <is>
          <t>DALARNAS LÄN</t>
        </is>
      </c>
      <c r="E698" t="inlineStr">
        <is>
          <t>LUDVIKA</t>
        </is>
      </c>
      <c r="F698" t="inlineStr">
        <is>
          <t>Övriga Aktiebolag</t>
        </is>
      </c>
      <c r="G698" t="n">
        <v>17.9</v>
      </c>
      <c r="H698" t="n">
        <v>0</v>
      </c>
      <c r="I698" t="n">
        <v>0</v>
      </c>
      <c r="J698" t="n">
        <v>0</v>
      </c>
      <c r="K698" t="n">
        <v>0</v>
      </c>
      <c r="L698" t="n">
        <v>0</v>
      </c>
      <c r="M698" t="n">
        <v>0</v>
      </c>
      <c r="N698" t="n">
        <v>0</v>
      </c>
      <c r="O698" t="n">
        <v>0</v>
      </c>
      <c r="P698" t="n">
        <v>0</v>
      </c>
      <c r="Q698" t="n">
        <v>0</v>
      </c>
      <c r="R698" s="2" t="inlineStr"/>
    </row>
    <row r="699" ht="15" customHeight="1">
      <c r="A699" t="inlineStr">
        <is>
          <t>A 42860-2023</t>
        </is>
      </c>
      <c r="B699" s="1" t="n">
        <v>45182</v>
      </c>
      <c r="C699" s="1" t="n">
        <v>45364</v>
      </c>
      <c r="D699" t="inlineStr">
        <is>
          <t>DALARNAS LÄN</t>
        </is>
      </c>
      <c r="E699" t="inlineStr">
        <is>
          <t>LUDVIKA</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42843-2023</t>
        </is>
      </c>
      <c r="B700" s="1" t="n">
        <v>45182</v>
      </c>
      <c r="C700" s="1" t="n">
        <v>45364</v>
      </c>
      <c r="D700" t="inlineStr">
        <is>
          <t>DALARNAS LÄN</t>
        </is>
      </c>
      <c r="E700" t="inlineStr">
        <is>
          <t>LUDVIKA</t>
        </is>
      </c>
      <c r="F700" t="inlineStr">
        <is>
          <t>Bergvik skog väst AB</t>
        </is>
      </c>
      <c r="G700" t="n">
        <v>15.6</v>
      </c>
      <c r="H700" t="n">
        <v>0</v>
      </c>
      <c r="I700" t="n">
        <v>0</v>
      </c>
      <c r="J700" t="n">
        <v>0</v>
      </c>
      <c r="K700" t="n">
        <v>0</v>
      </c>
      <c r="L700" t="n">
        <v>0</v>
      </c>
      <c r="M700" t="n">
        <v>0</v>
      </c>
      <c r="N700" t="n">
        <v>0</v>
      </c>
      <c r="O700" t="n">
        <v>0</v>
      </c>
      <c r="P700" t="n">
        <v>0</v>
      </c>
      <c r="Q700" t="n">
        <v>0</v>
      </c>
      <c r="R700" s="2" t="inlineStr"/>
    </row>
    <row r="701" ht="15" customHeight="1">
      <c r="A701" t="inlineStr">
        <is>
          <t>A 42857-2023</t>
        </is>
      </c>
      <c r="B701" s="1" t="n">
        <v>45182</v>
      </c>
      <c r="C701" s="1" t="n">
        <v>45364</v>
      </c>
      <c r="D701" t="inlineStr">
        <is>
          <t>DALARNAS LÄN</t>
        </is>
      </c>
      <c r="E701" t="inlineStr">
        <is>
          <t>LUDVIKA</t>
        </is>
      </c>
      <c r="F701" t="inlineStr">
        <is>
          <t>Bergvik skog väst AB</t>
        </is>
      </c>
      <c r="G701" t="n">
        <v>6.7</v>
      </c>
      <c r="H701" t="n">
        <v>0</v>
      </c>
      <c r="I701" t="n">
        <v>0</v>
      </c>
      <c r="J701" t="n">
        <v>0</v>
      </c>
      <c r="K701" t="n">
        <v>0</v>
      </c>
      <c r="L701" t="n">
        <v>0</v>
      </c>
      <c r="M701" t="n">
        <v>0</v>
      </c>
      <c r="N701" t="n">
        <v>0</v>
      </c>
      <c r="O701" t="n">
        <v>0</v>
      </c>
      <c r="P701" t="n">
        <v>0</v>
      </c>
      <c r="Q701" t="n">
        <v>0</v>
      </c>
      <c r="R701" s="2" t="inlineStr"/>
    </row>
    <row r="702" ht="15" customHeight="1">
      <c r="A702" t="inlineStr">
        <is>
          <t>A 43214-2023</t>
        </is>
      </c>
      <c r="B702" s="1" t="n">
        <v>45183</v>
      </c>
      <c r="C702" s="1" t="n">
        <v>45364</v>
      </c>
      <c r="D702" t="inlineStr">
        <is>
          <t>DALARNAS LÄN</t>
        </is>
      </c>
      <c r="E702" t="inlineStr">
        <is>
          <t>LUDVIKA</t>
        </is>
      </c>
      <c r="F702" t="inlineStr">
        <is>
          <t>Bergvik skog väst AB</t>
        </is>
      </c>
      <c r="G702" t="n">
        <v>4.3</v>
      </c>
      <c r="H702" t="n">
        <v>0</v>
      </c>
      <c r="I702" t="n">
        <v>0</v>
      </c>
      <c r="J702" t="n">
        <v>0</v>
      </c>
      <c r="K702" t="n">
        <v>0</v>
      </c>
      <c r="L702" t="n">
        <v>0</v>
      </c>
      <c r="M702" t="n">
        <v>0</v>
      </c>
      <c r="N702" t="n">
        <v>0</v>
      </c>
      <c r="O702" t="n">
        <v>0</v>
      </c>
      <c r="P702" t="n">
        <v>0</v>
      </c>
      <c r="Q702" t="n">
        <v>0</v>
      </c>
      <c r="R702" s="2" t="inlineStr"/>
    </row>
    <row r="703" ht="15" customHeight="1">
      <c r="A703" t="inlineStr">
        <is>
          <t>A 43470-2023</t>
        </is>
      </c>
      <c r="B703" s="1" t="n">
        <v>45184</v>
      </c>
      <c r="C703" s="1" t="n">
        <v>45364</v>
      </c>
      <c r="D703" t="inlineStr">
        <is>
          <t>DALARNAS LÄN</t>
        </is>
      </c>
      <c r="E703" t="inlineStr">
        <is>
          <t>LUDVIKA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43586-2023</t>
        </is>
      </c>
      <c r="B704" s="1" t="n">
        <v>45184</v>
      </c>
      <c r="C704" s="1" t="n">
        <v>45364</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43589-2023</t>
        </is>
      </c>
      <c r="B705" s="1" t="n">
        <v>45184</v>
      </c>
      <c r="C705" s="1" t="n">
        <v>45364</v>
      </c>
      <c r="D705" t="inlineStr">
        <is>
          <t>DALARNAS LÄN</t>
        </is>
      </c>
      <c r="E705" t="inlineStr">
        <is>
          <t>LUDVIKA</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43681-2023</t>
        </is>
      </c>
      <c r="B706" s="1" t="n">
        <v>45187</v>
      </c>
      <c r="C706" s="1" t="n">
        <v>45364</v>
      </c>
      <c r="D706" t="inlineStr">
        <is>
          <t>DALARNAS LÄN</t>
        </is>
      </c>
      <c r="E706" t="inlineStr">
        <is>
          <t>LUDVIKA</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43679-2023</t>
        </is>
      </c>
      <c r="B707" s="1" t="n">
        <v>45187</v>
      </c>
      <c r="C707" s="1" t="n">
        <v>45364</v>
      </c>
      <c r="D707" t="inlineStr">
        <is>
          <t>DALARNAS LÄN</t>
        </is>
      </c>
      <c r="E707" t="inlineStr">
        <is>
          <t>LUDVIKA</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43674-2023</t>
        </is>
      </c>
      <c r="B708" s="1" t="n">
        <v>45187</v>
      </c>
      <c r="C708" s="1" t="n">
        <v>45364</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43797-2023</t>
        </is>
      </c>
      <c r="B709" s="1" t="n">
        <v>45187</v>
      </c>
      <c r="C709" s="1" t="n">
        <v>45364</v>
      </c>
      <c r="D709" t="inlineStr">
        <is>
          <t>DALARNAS LÄN</t>
        </is>
      </c>
      <c r="E709" t="inlineStr">
        <is>
          <t>LUDVIKA</t>
        </is>
      </c>
      <c r="F709" t="inlineStr">
        <is>
          <t>Bergvik skog väst AB</t>
        </is>
      </c>
      <c r="G709" t="n">
        <v>5.7</v>
      </c>
      <c r="H709" t="n">
        <v>0</v>
      </c>
      <c r="I709" t="n">
        <v>0</v>
      </c>
      <c r="J709" t="n">
        <v>0</v>
      </c>
      <c r="K709" t="n">
        <v>0</v>
      </c>
      <c r="L709" t="n">
        <v>0</v>
      </c>
      <c r="M709" t="n">
        <v>0</v>
      </c>
      <c r="N709" t="n">
        <v>0</v>
      </c>
      <c r="O709" t="n">
        <v>0</v>
      </c>
      <c r="P709" t="n">
        <v>0</v>
      </c>
      <c r="Q709" t="n">
        <v>0</v>
      </c>
      <c r="R709" s="2" t="inlineStr"/>
    </row>
    <row r="710" ht="15" customHeight="1">
      <c r="A710" t="inlineStr">
        <is>
          <t>A 43839-2023</t>
        </is>
      </c>
      <c r="B710" s="1" t="n">
        <v>45187</v>
      </c>
      <c r="C710" s="1" t="n">
        <v>45364</v>
      </c>
      <c r="D710" t="inlineStr">
        <is>
          <t>DALARNAS LÄN</t>
        </is>
      </c>
      <c r="E710" t="inlineStr">
        <is>
          <t>LUDVIKA</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43867-2023</t>
        </is>
      </c>
      <c r="B711" s="1" t="n">
        <v>45187</v>
      </c>
      <c r="C711" s="1" t="n">
        <v>45364</v>
      </c>
      <c r="D711" t="inlineStr">
        <is>
          <t>DALARNAS LÄN</t>
        </is>
      </c>
      <c r="E711" t="inlineStr">
        <is>
          <t>LUDVIKA</t>
        </is>
      </c>
      <c r="F711" t="inlineStr">
        <is>
          <t>Bergvik skog väst AB</t>
        </is>
      </c>
      <c r="G711" t="n">
        <v>3.4</v>
      </c>
      <c r="H711" t="n">
        <v>0</v>
      </c>
      <c r="I711" t="n">
        <v>0</v>
      </c>
      <c r="J711" t="n">
        <v>0</v>
      </c>
      <c r="K711" t="n">
        <v>0</v>
      </c>
      <c r="L711" t="n">
        <v>0</v>
      </c>
      <c r="M711" t="n">
        <v>0</v>
      </c>
      <c r="N711" t="n">
        <v>0</v>
      </c>
      <c r="O711" t="n">
        <v>0</v>
      </c>
      <c r="P711" t="n">
        <v>0</v>
      </c>
      <c r="Q711" t="n">
        <v>0</v>
      </c>
      <c r="R711" s="2" t="inlineStr"/>
    </row>
    <row r="712" ht="15" customHeight="1">
      <c r="A712" t="inlineStr">
        <is>
          <t>A 44088-2023</t>
        </is>
      </c>
      <c r="B712" s="1" t="n">
        <v>45188</v>
      </c>
      <c r="C712" s="1" t="n">
        <v>45364</v>
      </c>
      <c r="D712" t="inlineStr">
        <is>
          <t>DALARNAS LÄN</t>
        </is>
      </c>
      <c r="E712" t="inlineStr">
        <is>
          <t>LUDVIKA</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44099-2023</t>
        </is>
      </c>
      <c r="B713" s="1" t="n">
        <v>45188</v>
      </c>
      <c r="C713" s="1" t="n">
        <v>45364</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44103-2023</t>
        </is>
      </c>
      <c r="B714" s="1" t="n">
        <v>45188</v>
      </c>
      <c r="C714" s="1" t="n">
        <v>45364</v>
      </c>
      <c r="D714" t="inlineStr">
        <is>
          <t>DALARNAS LÄN</t>
        </is>
      </c>
      <c r="E714" t="inlineStr">
        <is>
          <t>LUDVIKA</t>
        </is>
      </c>
      <c r="F714" t="inlineStr">
        <is>
          <t>Bergvik skog väst AB</t>
        </is>
      </c>
      <c r="G714" t="n">
        <v>2.3</v>
      </c>
      <c r="H714" t="n">
        <v>0</v>
      </c>
      <c r="I714" t="n">
        <v>0</v>
      </c>
      <c r="J714" t="n">
        <v>0</v>
      </c>
      <c r="K714" t="n">
        <v>0</v>
      </c>
      <c r="L714" t="n">
        <v>0</v>
      </c>
      <c r="M714" t="n">
        <v>0</v>
      </c>
      <c r="N714" t="n">
        <v>0</v>
      </c>
      <c r="O714" t="n">
        <v>0</v>
      </c>
      <c r="P714" t="n">
        <v>0</v>
      </c>
      <c r="Q714" t="n">
        <v>0</v>
      </c>
      <c r="R714" s="2" t="inlineStr"/>
    </row>
    <row r="715" ht="15" customHeight="1">
      <c r="A715" t="inlineStr">
        <is>
          <t>A 44312-2023</t>
        </is>
      </c>
      <c r="B715" s="1" t="n">
        <v>45188</v>
      </c>
      <c r="C715" s="1" t="n">
        <v>45364</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44093-2023</t>
        </is>
      </c>
      <c r="B716" s="1" t="n">
        <v>45188</v>
      </c>
      <c r="C716" s="1" t="n">
        <v>45364</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44110-2023</t>
        </is>
      </c>
      <c r="B717" s="1" t="n">
        <v>45188</v>
      </c>
      <c r="C717" s="1" t="n">
        <v>45364</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44520-2023</t>
        </is>
      </c>
      <c r="B718" s="1" t="n">
        <v>45189</v>
      </c>
      <c r="C718" s="1" t="n">
        <v>45364</v>
      </c>
      <c r="D718" t="inlineStr">
        <is>
          <t>DALARNAS LÄN</t>
        </is>
      </c>
      <c r="E718" t="inlineStr">
        <is>
          <t>LUDVIKA</t>
        </is>
      </c>
      <c r="G718" t="n">
        <v>0.7</v>
      </c>
      <c r="H718" t="n">
        <v>0</v>
      </c>
      <c r="I718" t="n">
        <v>0</v>
      </c>
      <c r="J718" t="n">
        <v>0</v>
      </c>
      <c r="K718" t="n">
        <v>0</v>
      </c>
      <c r="L718" t="n">
        <v>0</v>
      </c>
      <c r="M718" t="n">
        <v>0</v>
      </c>
      <c r="N718" t="n">
        <v>0</v>
      </c>
      <c r="O718" t="n">
        <v>0</v>
      </c>
      <c r="P718" t="n">
        <v>0</v>
      </c>
      <c r="Q718" t="n">
        <v>0</v>
      </c>
      <c r="R718" s="2" t="inlineStr"/>
    </row>
    <row r="719" ht="15" customHeight="1">
      <c r="A719" t="inlineStr">
        <is>
          <t>A 45094-2023</t>
        </is>
      </c>
      <c r="B719" s="1" t="n">
        <v>45191</v>
      </c>
      <c r="C719" s="1" t="n">
        <v>45364</v>
      </c>
      <c r="D719" t="inlineStr">
        <is>
          <t>DALARNAS LÄN</t>
        </is>
      </c>
      <c r="E719" t="inlineStr">
        <is>
          <t>LUDVIKA</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45045-2023</t>
        </is>
      </c>
      <c r="B720" s="1" t="n">
        <v>45191</v>
      </c>
      <c r="C720" s="1" t="n">
        <v>45364</v>
      </c>
      <c r="D720" t="inlineStr">
        <is>
          <t>DALARNAS LÄN</t>
        </is>
      </c>
      <c r="E720" t="inlineStr">
        <is>
          <t>LUDVIKA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45046-2023</t>
        </is>
      </c>
      <c r="B721" s="1" t="n">
        <v>45191</v>
      </c>
      <c r="C721" s="1" t="n">
        <v>45364</v>
      </c>
      <c r="D721" t="inlineStr">
        <is>
          <t>DALARNAS LÄN</t>
        </is>
      </c>
      <c r="E721" t="inlineStr">
        <is>
          <t>LUDVIKA</t>
        </is>
      </c>
      <c r="F721" t="inlineStr">
        <is>
          <t>Sveaskog</t>
        </is>
      </c>
      <c r="G721" t="n">
        <v>3.3</v>
      </c>
      <c r="H721" t="n">
        <v>0</v>
      </c>
      <c r="I721" t="n">
        <v>0</v>
      </c>
      <c r="J721" t="n">
        <v>0</v>
      </c>
      <c r="K721" t="n">
        <v>0</v>
      </c>
      <c r="L721" t="n">
        <v>0</v>
      </c>
      <c r="M721" t="n">
        <v>0</v>
      </c>
      <c r="N721" t="n">
        <v>0</v>
      </c>
      <c r="O721" t="n">
        <v>0</v>
      </c>
      <c r="P721" t="n">
        <v>0</v>
      </c>
      <c r="Q721" t="n">
        <v>0</v>
      </c>
      <c r="R721" s="2" t="inlineStr"/>
    </row>
    <row r="722" ht="15" customHeight="1">
      <c r="A722" t="inlineStr">
        <is>
          <t>A 45083-2023</t>
        </is>
      </c>
      <c r="B722" s="1" t="n">
        <v>45191</v>
      </c>
      <c r="C722" s="1" t="n">
        <v>45364</v>
      </c>
      <c r="D722" t="inlineStr">
        <is>
          <t>DALARNAS LÄN</t>
        </is>
      </c>
      <c r="E722" t="inlineStr">
        <is>
          <t>LUDVIKA</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45128-2023</t>
        </is>
      </c>
      <c r="B723" s="1" t="n">
        <v>45191</v>
      </c>
      <c r="C723" s="1" t="n">
        <v>45364</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45140-2023</t>
        </is>
      </c>
      <c r="B724" s="1" t="n">
        <v>45191</v>
      </c>
      <c r="C724" s="1" t="n">
        <v>45364</v>
      </c>
      <c r="D724" t="inlineStr">
        <is>
          <t>DALARNAS LÄN</t>
        </is>
      </c>
      <c r="E724" t="inlineStr">
        <is>
          <t>LUDVIKA</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45127-2023</t>
        </is>
      </c>
      <c r="B725" s="1" t="n">
        <v>45191</v>
      </c>
      <c r="C725" s="1" t="n">
        <v>45364</v>
      </c>
      <c r="D725" t="inlineStr">
        <is>
          <t>DALARNAS LÄN</t>
        </is>
      </c>
      <c r="E725" t="inlineStr">
        <is>
          <t>LUDVIKA</t>
        </is>
      </c>
      <c r="F725" t="inlineStr">
        <is>
          <t>Bergvik skog väst AB</t>
        </is>
      </c>
      <c r="G725" t="n">
        <v>1.5</v>
      </c>
      <c r="H725" t="n">
        <v>0</v>
      </c>
      <c r="I725" t="n">
        <v>0</v>
      </c>
      <c r="J725" t="n">
        <v>0</v>
      </c>
      <c r="K725" t="n">
        <v>0</v>
      </c>
      <c r="L725" t="n">
        <v>0</v>
      </c>
      <c r="M725" t="n">
        <v>0</v>
      </c>
      <c r="N725" t="n">
        <v>0</v>
      </c>
      <c r="O725" t="n">
        <v>0</v>
      </c>
      <c r="P725" t="n">
        <v>0</v>
      </c>
      <c r="Q725" t="n">
        <v>0</v>
      </c>
      <c r="R725" s="2" t="inlineStr"/>
    </row>
    <row r="726" ht="15" customHeight="1">
      <c r="A726" t="inlineStr">
        <is>
          <t>A 45124-2023</t>
        </is>
      </c>
      <c r="B726" s="1" t="n">
        <v>45191</v>
      </c>
      <c r="C726" s="1" t="n">
        <v>45364</v>
      </c>
      <c r="D726" t="inlineStr">
        <is>
          <t>DALARNAS LÄN</t>
        </is>
      </c>
      <c r="E726" t="inlineStr">
        <is>
          <t>LUDVIKA</t>
        </is>
      </c>
      <c r="F726" t="inlineStr">
        <is>
          <t>Bergvik skog väst AB</t>
        </is>
      </c>
      <c r="G726" t="n">
        <v>1.1</v>
      </c>
      <c r="H726" t="n">
        <v>0</v>
      </c>
      <c r="I726" t="n">
        <v>0</v>
      </c>
      <c r="J726" t="n">
        <v>0</v>
      </c>
      <c r="K726" t="n">
        <v>0</v>
      </c>
      <c r="L726" t="n">
        <v>0</v>
      </c>
      <c r="M726" t="n">
        <v>0</v>
      </c>
      <c r="N726" t="n">
        <v>0</v>
      </c>
      <c r="O726" t="n">
        <v>0</v>
      </c>
      <c r="P726" t="n">
        <v>0</v>
      </c>
      <c r="Q726" t="n">
        <v>0</v>
      </c>
      <c r="R726" s="2" t="inlineStr"/>
    </row>
    <row r="727" ht="15" customHeight="1">
      <c r="A727" t="inlineStr">
        <is>
          <t>A 45541-2023</t>
        </is>
      </c>
      <c r="B727" s="1" t="n">
        <v>45194</v>
      </c>
      <c r="C727" s="1" t="n">
        <v>45364</v>
      </c>
      <c r="D727" t="inlineStr">
        <is>
          <t>DALARNAS LÄN</t>
        </is>
      </c>
      <c r="E727" t="inlineStr">
        <is>
          <t>LUDVIKA</t>
        </is>
      </c>
      <c r="G727" t="n">
        <v>2.8</v>
      </c>
      <c r="H727" t="n">
        <v>0</v>
      </c>
      <c r="I727" t="n">
        <v>0</v>
      </c>
      <c r="J727" t="n">
        <v>0</v>
      </c>
      <c r="K727" t="n">
        <v>0</v>
      </c>
      <c r="L727" t="n">
        <v>0</v>
      </c>
      <c r="M727" t="n">
        <v>0</v>
      </c>
      <c r="N727" t="n">
        <v>0</v>
      </c>
      <c r="O727" t="n">
        <v>0</v>
      </c>
      <c r="P727" t="n">
        <v>0</v>
      </c>
      <c r="Q727" t="n">
        <v>0</v>
      </c>
      <c r="R727" s="2" t="inlineStr"/>
    </row>
    <row r="728" ht="15" customHeight="1">
      <c r="A728" t="inlineStr">
        <is>
          <t>A 45853-2023</t>
        </is>
      </c>
      <c r="B728" s="1" t="n">
        <v>45195</v>
      </c>
      <c r="C728" s="1" t="n">
        <v>45364</v>
      </c>
      <c r="D728" t="inlineStr">
        <is>
          <t>DALARNAS LÄN</t>
        </is>
      </c>
      <c r="E728" t="inlineStr">
        <is>
          <t>LUDVIKA</t>
        </is>
      </c>
      <c r="G728" t="n">
        <v>3.8</v>
      </c>
      <c r="H728" t="n">
        <v>0</v>
      </c>
      <c r="I728" t="n">
        <v>0</v>
      </c>
      <c r="J728" t="n">
        <v>0</v>
      </c>
      <c r="K728" t="n">
        <v>0</v>
      </c>
      <c r="L728" t="n">
        <v>0</v>
      </c>
      <c r="M728" t="n">
        <v>0</v>
      </c>
      <c r="N728" t="n">
        <v>0</v>
      </c>
      <c r="O728" t="n">
        <v>0</v>
      </c>
      <c r="P728" t="n">
        <v>0</v>
      </c>
      <c r="Q728" t="n">
        <v>0</v>
      </c>
      <c r="R728" s="2" t="inlineStr"/>
    </row>
    <row r="729" ht="15" customHeight="1">
      <c r="A729" t="inlineStr">
        <is>
          <t>A 46074-2023</t>
        </is>
      </c>
      <c r="B729" s="1" t="n">
        <v>45196</v>
      </c>
      <c r="C729" s="1" t="n">
        <v>45364</v>
      </c>
      <c r="D729" t="inlineStr">
        <is>
          <t>DALARNAS LÄN</t>
        </is>
      </c>
      <c r="E729" t="inlineStr">
        <is>
          <t>LUDVIKA</t>
        </is>
      </c>
      <c r="F729" t="inlineStr">
        <is>
          <t>Bergvik skog väst AB</t>
        </is>
      </c>
      <c r="G729" t="n">
        <v>0.6</v>
      </c>
      <c r="H729" t="n">
        <v>0</v>
      </c>
      <c r="I729" t="n">
        <v>0</v>
      </c>
      <c r="J729" t="n">
        <v>0</v>
      </c>
      <c r="K729" t="n">
        <v>0</v>
      </c>
      <c r="L729" t="n">
        <v>0</v>
      </c>
      <c r="M729" t="n">
        <v>0</v>
      </c>
      <c r="N729" t="n">
        <v>0</v>
      </c>
      <c r="O729" t="n">
        <v>0</v>
      </c>
      <c r="P729" t="n">
        <v>0</v>
      </c>
      <c r="Q729" t="n">
        <v>0</v>
      </c>
      <c r="R729" s="2" t="inlineStr"/>
    </row>
    <row r="730" ht="15" customHeight="1">
      <c r="A730" t="inlineStr">
        <is>
          <t>A 46140-2023</t>
        </is>
      </c>
      <c r="B730" s="1" t="n">
        <v>45196</v>
      </c>
      <c r="C730" s="1" t="n">
        <v>45364</v>
      </c>
      <c r="D730" t="inlineStr">
        <is>
          <t>DALARNAS LÄN</t>
        </is>
      </c>
      <c r="E730" t="inlineStr">
        <is>
          <t>LUDVIKA</t>
        </is>
      </c>
      <c r="F730" t="inlineStr">
        <is>
          <t>Bergvik skog väst AB</t>
        </is>
      </c>
      <c r="G730" t="n">
        <v>4.7</v>
      </c>
      <c r="H730" t="n">
        <v>0</v>
      </c>
      <c r="I730" t="n">
        <v>0</v>
      </c>
      <c r="J730" t="n">
        <v>0</v>
      </c>
      <c r="K730" t="n">
        <v>0</v>
      </c>
      <c r="L730" t="n">
        <v>0</v>
      </c>
      <c r="M730" t="n">
        <v>0</v>
      </c>
      <c r="N730" t="n">
        <v>0</v>
      </c>
      <c r="O730" t="n">
        <v>0</v>
      </c>
      <c r="P730" t="n">
        <v>0</v>
      </c>
      <c r="Q730" t="n">
        <v>0</v>
      </c>
      <c r="R730" s="2" t="inlineStr"/>
    </row>
    <row r="731" ht="15" customHeight="1">
      <c r="A731" t="inlineStr">
        <is>
          <t>A 46571-2023</t>
        </is>
      </c>
      <c r="B731" s="1" t="n">
        <v>45198</v>
      </c>
      <c r="C731" s="1" t="n">
        <v>45364</v>
      </c>
      <c r="D731" t="inlineStr">
        <is>
          <t>DALARNAS LÄN</t>
        </is>
      </c>
      <c r="E731" t="inlineStr">
        <is>
          <t>LUDVIKA</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46570-2023</t>
        </is>
      </c>
      <c r="B732" s="1" t="n">
        <v>45198</v>
      </c>
      <c r="C732" s="1" t="n">
        <v>45364</v>
      </c>
      <c r="D732" t="inlineStr">
        <is>
          <t>DALARNAS LÄN</t>
        </is>
      </c>
      <c r="E732" t="inlineStr">
        <is>
          <t>LUDVIKA</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46622-2023</t>
        </is>
      </c>
      <c r="B733" s="1" t="n">
        <v>45198</v>
      </c>
      <c r="C733" s="1" t="n">
        <v>45364</v>
      </c>
      <c r="D733" t="inlineStr">
        <is>
          <t>DALARNAS LÄN</t>
        </is>
      </c>
      <c r="E733" t="inlineStr">
        <is>
          <t>LUDVIKA</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46654-2023</t>
        </is>
      </c>
      <c r="B734" s="1" t="n">
        <v>45198</v>
      </c>
      <c r="C734" s="1" t="n">
        <v>45364</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46647-2023</t>
        </is>
      </c>
      <c r="B735" s="1" t="n">
        <v>45198</v>
      </c>
      <c r="C735" s="1" t="n">
        <v>45364</v>
      </c>
      <c r="D735" t="inlineStr">
        <is>
          <t>DALARNAS LÄN</t>
        </is>
      </c>
      <c r="E735" t="inlineStr">
        <is>
          <t>LUDVIKA</t>
        </is>
      </c>
      <c r="F735" t="inlineStr">
        <is>
          <t>Bergvik skog väst AB</t>
        </is>
      </c>
      <c r="G735" t="n">
        <v>0.8</v>
      </c>
      <c r="H735" t="n">
        <v>0</v>
      </c>
      <c r="I735" t="n">
        <v>0</v>
      </c>
      <c r="J735" t="n">
        <v>0</v>
      </c>
      <c r="K735" t="n">
        <v>0</v>
      </c>
      <c r="L735" t="n">
        <v>0</v>
      </c>
      <c r="M735" t="n">
        <v>0</v>
      </c>
      <c r="N735" t="n">
        <v>0</v>
      </c>
      <c r="O735" t="n">
        <v>0</v>
      </c>
      <c r="P735" t="n">
        <v>0</v>
      </c>
      <c r="Q735" t="n">
        <v>0</v>
      </c>
      <c r="R735" s="2" t="inlineStr"/>
    </row>
    <row r="736" ht="15" customHeight="1">
      <c r="A736" t="inlineStr">
        <is>
          <t>A 46656-2023</t>
        </is>
      </c>
      <c r="B736" s="1" t="n">
        <v>45198</v>
      </c>
      <c r="C736" s="1" t="n">
        <v>45364</v>
      </c>
      <c r="D736" t="inlineStr">
        <is>
          <t>DALARNAS LÄN</t>
        </is>
      </c>
      <c r="E736" t="inlineStr">
        <is>
          <t>LUDVIKA</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46660-2023</t>
        </is>
      </c>
      <c r="B737" s="1" t="n">
        <v>45198</v>
      </c>
      <c r="C737" s="1" t="n">
        <v>45364</v>
      </c>
      <c r="D737" t="inlineStr">
        <is>
          <t>DALARNAS LÄN</t>
        </is>
      </c>
      <c r="E737" t="inlineStr">
        <is>
          <t>LUDVIKA</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46620-2023</t>
        </is>
      </c>
      <c r="B738" s="1" t="n">
        <v>45198</v>
      </c>
      <c r="C738" s="1" t="n">
        <v>45364</v>
      </c>
      <c r="D738" t="inlineStr">
        <is>
          <t>DALARNAS LÄN</t>
        </is>
      </c>
      <c r="E738" t="inlineStr">
        <is>
          <t>LUDVIKA</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46657-2023</t>
        </is>
      </c>
      <c r="B739" s="1" t="n">
        <v>45198</v>
      </c>
      <c r="C739" s="1" t="n">
        <v>45364</v>
      </c>
      <c r="D739" t="inlineStr">
        <is>
          <t>DALARNAS LÄN</t>
        </is>
      </c>
      <c r="E739" t="inlineStr">
        <is>
          <t>LUDVIKA</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47269-2023</t>
        </is>
      </c>
      <c r="B740" s="1" t="n">
        <v>45202</v>
      </c>
      <c r="C740" s="1" t="n">
        <v>45364</v>
      </c>
      <c r="D740" t="inlineStr">
        <is>
          <t>DALARNAS LÄN</t>
        </is>
      </c>
      <c r="E740" t="inlineStr">
        <is>
          <t>LUDVIKA</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47349-2023</t>
        </is>
      </c>
      <c r="B741" s="1" t="n">
        <v>45202</v>
      </c>
      <c r="C741" s="1" t="n">
        <v>45364</v>
      </c>
      <c r="D741" t="inlineStr">
        <is>
          <t>DALARNAS LÄN</t>
        </is>
      </c>
      <c r="E741" t="inlineStr">
        <is>
          <t>LUDVIKA</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47281-2023</t>
        </is>
      </c>
      <c r="B742" s="1" t="n">
        <v>45202</v>
      </c>
      <c r="C742" s="1" t="n">
        <v>45364</v>
      </c>
      <c r="D742" t="inlineStr">
        <is>
          <t>DALARNAS LÄN</t>
        </is>
      </c>
      <c r="E742" t="inlineStr">
        <is>
          <t>LUDVIKA</t>
        </is>
      </c>
      <c r="G742" t="n">
        <v>2.6</v>
      </c>
      <c r="H742" t="n">
        <v>0</v>
      </c>
      <c r="I742" t="n">
        <v>0</v>
      </c>
      <c r="J742" t="n">
        <v>0</v>
      </c>
      <c r="K742" t="n">
        <v>0</v>
      </c>
      <c r="L742" t="n">
        <v>0</v>
      </c>
      <c r="M742" t="n">
        <v>0</v>
      </c>
      <c r="N742" t="n">
        <v>0</v>
      </c>
      <c r="O742" t="n">
        <v>0</v>
      </c>
      <c r="P742" t="n">
        <v>0</v>
      </c>
      <c r="Q742" t="n">
        <v>0</v>
      </c>
      <c r="R742" s="2" t="inlineStr"/>
    </row>
    <row r="743" ht="15" customHeight="1">
      <c r="A743" t="inlineStr">
        <is>
          <t>A 47366-2023</t>
        </is>
      </c>
      <c r="B743" s="1" t="n">
        <v>45202</v>
      </c>
      <c r="C743" s="1" t="n">
        <v>45364</v>
      </c>
      <c r="D743" t="inlineStr">
        <is>
          <t>DALARNAS LÄN</t>
        </is>
      </c>
      <c r="E743" t="inlineStr">
        <is>
          <t>LUDVIKA</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47429-2023</t>
        </is>
      </c>
      <c r="B744" s="1" t="n">
        <v>45202</v>
      </c>
      <c r="C744" s="1" t="n">
        <v>45364</v>
      </c>
      <c r="D744" t="inlineStr">
        <is>
          <t>DALARNAS LÄN</t>
        </is>
      </c>
      <c r="E744" t="inlineStr">
        <is>
          <t>LUDVIKA</t>
        </is>
      </c>
      <c r="F744" t="inlineStr">
        <is>
          <t>Övriga Aktiebolag</t>
        </is>
      </c>
      <c r="G744" t="n">
        <v>7.4</v>
      </c>
      <c r="H744" t="n">
        <v>0</v>
      </c>
      <c r="I744" t="n">
        <v>0</v>
      </c>
      <c r="J744" t="n">
        <v>0</v>
      </c>
      <c r="K744" t="n">
        <v>0</v>
      </c>
      <c r="L744" t="n">
        <v>0</v>
      </c>
      <c r="M744" t="n">
        <v>0</v>
      </c>
      <c r="N744" t="n">
        <v>0</v>
      </c>
      <c r="O744" t="n">
        <v>0</v>
      </c>
      <c r="P744" t="n">
        <v>0</v>
      </c>
      <c r="Q744" t="n">
        <v>0</v>
      </c>
      <c r="R744" s="2" t="inlineStr"/>
    </row>
    <row r="745" ht="15" customHeight="1">
      <c r="A745" t="inlineStr">
        <is>
          <t>A 47940-2023</t>
        </is>
      </c>
      <c r="B745" s="1" t="n">
        <v>45204</v>
      </c>
      <c r="C745" s="1" t="n">
        <v>45364</v>
      </c>
      <c r="D745" t="inlineStr">
        <is>
          <t>DALARNAS LÄN</t>
        </is>
      </c>
      <c r="E745" t="inlineStr">
        <is>
          <t>LUDVIKA</t>
        </is>
      </c>
      <c r="F745" t="inlineStr">
        <is>
          <t>Bergvik skog väst AB</t>
        </is>
      </c>
      <c r="G745" t="n">
        <v>2.1</v>
      </c>
      <c r="H745" t="n">
        <v>0</v>
      </c>
      <c r="I745" t="n">
        <v>0</v>
      </c>
      <c r="J745" t="n">
        <v>0</v>
      </c>
      <c r="K745" t="n">
        <v>0</v>
      </c>
      <c r="L745" t="n">
        <v>0</v>
      </c>
      <c r="M745" t="n">
        <v>0</v>
      </c>
      <c r="N745" t="n">
        <v>0</v>
      </c>
      <c r="O745" t="n">
        <v>0</v>
      </c>
      <c r="P745" t="n">
        <v>0</v>
      </c>
      <c r="Q745" t="n">
        <v>0</v>
      </c>
      <c r="R745" s="2" t="inlineStr"/>
    </row>
    <row r="746" ht="15" customHeight="1">
      <c r="A746" t="inlineStr">
        <is>
          <t>A 48003-2023</t>
        </is>
      </c>
      <c r="B746" s="1" t="n">
        <v>45204</v>
      </c>
      <c r="C746" s="1" t="n">
        <v>45364</v>
      </c>
      <c r="D746" t="inlineStr">
        <is>
          <t>DALARNAS LÄN</t>
        </is>
      </c>
      <c r="E746" t="inlineStr">
        <is>
          <t>LUDVIKA</t>
        </is>
      </c>
      <c r="F746" t="inlineStr">
        <is>
          <t>Bergvik skog väst AB</t>
        </is>
      </c>
      <c r="G746" t="n">
        <v>1.2</v>
      </c>
      <c r="H746" t="n">
        <v>0</v>
      </c>
      <c r="I746" t="n">
        <v>0</v>
      </c>
      <c r="J746" t="n">
        <v>0</v>
      </c>
      <c r="K746" t="n">
        <v>0</v>
      </c>
      <c r="L746" t="n">
        <v>0</v>
      </c>
      <c r="M746" t="n">
        <v>0</v>
      </c>
      <c r="N746" t="n">
        <v>0</v>
      </c>
      <c r="O746" t="n">
        <v>0</v>
      </c>
      <c r="P746" t="n">
        <v>0</v>
      </c>
      <c r="Q746" t="n">
        <v>0</v>
      </c>
      <c r="R746" s="2" t="inlineStr"/>
    </row>
    <row r="747" ht="15" customHeight="1">
      <c r="A747" t="inlineStr">
        <is>
          <t>A 48212-2023</t>
        </is>
      </c>
      <c r="B747" s="1" t="n">
        <v>45205</v>
      </c>
      <c r="C747" s="1" t="n">
        <v>45364</v>
      </c>
      <c r="D747" t="inlineStr">
        <is>
          <t>DALARNAS LÄN</t>
        </is>
      </c>
      <c r="E747" t="inlineStr">
        <is>
          <t>LUDVIKA</t>
        </is>
      </c>
      <c r="F747" t="inlineStr">
        <is>
          <t>Bergvik skog väst AB</t>
        </is>
      </c>
      <c r="G747" t="n">
        <v>6.5</v>
      </c>
      <c r="H747" t="n">
        <v>0</v>
      </c>
      <c r="I747" t="n">
        <v>0</v>
      </c>
      <c r="J747" t="n">
        <v>0</v>
      </c>
      <c r="K747" t="n">
        <v>0</v>
      </c>
      <c r="L747" t="n">
        <v>0</v>
      </c>
      <c r="M747" t="n">
        <v>0</v>
      </c>
      <c r="N747" t="n">
        <v>0</v>
      </c>
      <c r="O747" t="n">
        <v>0</v>
      </c>
      <c r="P747" t="n">
        <v>0</v>
      </c>
      <c r="Q747" t="n">
        <v>0</v>
      </c>
      <c r="R747" s="2" t="inlineStr"/>
    </row>
    <row r="748" ht="15" customHeight="1">
      <c r="A748" t="inlineStr">
        <is>
          <t>A 48288-2023</t>
        </is>
      </c>
      <c r="B748" s="1" t="n">
        <v>45205</v>
      </c>
      <c r="C748" s="1" t="n">
        <v>45364</v>
      </c>
      <c r="D748" t="inlineStr">
        <is>
          <t>DALARNAS LÄN</t>
        </is>
      </c>
      <c r="E748" t="inlineStr">
        <is>
          <t>LUDVIKA</t>
        </is>
      </c>
      <c r="F748" t="inlineStr">
        <is>
          <t>Bergvik skog väst AB</t>
        </is>
      </c>
      <c r="G748" t="n">
        <v>1.2</v>
      </c>
      <c r="H748" t="n">
        <v>0</v>
      </c>
      <c r="I748" t="n">
        <v>0</v>
      </c>
      <c r="J748" t="n">
        <v>0</v>
      </c>
      <c r="K748" t="n">
        <v>0</v>
      </c>
      <c r="L748" t="n">
        <v>0</v>
      </c>
      <c r="M748" t="n">
        <v>0</v>
      </c>
      <c r="N748" t="n">
        <v>0</v>
      </c>
      <c r="O748" t="n">
        <v>0</v>
      </c>
      <c r="P748" t="n">
        <v>0</v>
      </c>
      <c r="Q748" t="n">
        <v>0</v>
      </c>
      <c r="R748" s="2" t="inlineStr"/>
    </row>
    <row r="749" ht="15" customHeight="1">
      <c r="A749" t="inlineStr">
        <is>
          <t>A 48352-2023</t>
        </is>
      </c>
      <c r="B749" s="1" t="n">
        <v>45205</v>
      </c>
      <c r="C749" s="1" t="n">
        <v>45364</v>
      </c>
      <c r="D749" t="inlineStr">
        <is>
          <t>DALARNAS LÄN</t>
        </is>
      </c>
      <c r="E749" t="inlineStr">
        <is>
          <t>LUDVIKA</t>
        </is>
      </c>
      <c r="F749" t="inlineStr">
        <is>
          <t>Bergvik skog väst AB</t>
        </is>
      </c>
      <c r="G749" t="n">
        <v>12.8</v>
      </c>
      <c r="H749" t="n">
        <v>0</v>
      </c>
      <c r="I749" t="n">
        <v>0</v>
      </c>
      <c r="J749" t="n">
        <v>0</v>
      </c>
      <c r="K749" t="n">
        <v>0</v>
      </c>
      <c r="L749" t="n">
        <v>0</v>
      </c>
      <c r="M749" t="n">
        <v>0</v>
      </c>
      <c r="N749" t="n">
        <v>0</v>
      </c>
      <c r="O749" t="n">
        <v>0</v>
      </c>
      <c r="P749" t="n">
        <v>0</v>
      </c>
      <c r="Q749" t="n">
        <v>0</v>
      </c>
      <c r="R749" s="2" t="inlineStr"/>
    </row>
    <row r="750" ht="15" customHeight="1">
      <c r="A750" t="inlineStr">
        <is>
          <t>A 48331-2023</t>
        </is>
      </c>
      <c r="B750" s="1" t="n">
        <v>45205</v>
      </c>
      <c r="C750" s="1" t="n">
        <v>45364</v>
      </c>
      <c r="D750" t="inlineStr">
        <is>
          <t>DALARNAS LÄN</t>
        </is>
      </c>
      <c r="E750" t="inlineStr">
        <is>
          <t>LUDVIKA</t>
        </is>
      </c>
      <c r="F750" t="inlineStr">
        <is>
          <t>Bergvik skog väst AB</t>
        </is>
      </c>
      <c r="G750" t="n">
        <v>4.2</v>
      </c>
      <c r="H750" t="n">
        <v>0</v>
      </c>
      <c r="I750" t="n">
        <v>0</v>
      </c>
      <c r="J750" t="n">
        <v>0</v>
      </c>
      <c r="K750" t="n">
        <v>0</v>
      </c>
      <c r="L750" t="n">
        <v>0</v>
      </c>
      <c r="M750" t="n">
        <v>0</v>
      </c>
      <c r="N750" t="n">
        <v>0</v>
      </c>
      <c r="O750" t="n">
        <v>0</v>
      </c>
      <c r="P750" t="n">
        <v>0</v>
      </c>
      <c r="Q750" t="n">
        <v>0</v>
      </c>
      <c r="R750" s="2" t="inlineStr"/>
    </row>
    <row r="751" ht="15" customHeight="1">
      <c r="A751" t="inlineStr">
        <is>
          <t>A 48559-2023</t>
        </is>
      </c>
      <c r="B751" s="1" t="n">
        <v>45208</v>
      </c>
      <c r="C751" s="1" t="n">
        <v>45364</v>
      </c>
      <c r="D751" t="inlineStr">
        <is>
          <t>DALARNAS LÄN</t>
        </is>
      </c>
      <c r="E751" t="inlineStr">
        <is>
          <t>LUDVIKA</t>
        </is>
      </c>
      <c r="F751" t="inlineStr">
        <is>
          <t>Bergvik skog väst AB</t>
        </is>
      </c>
      <c r="G751" t="n">
        <v>1.6</v>
      </c>
      <c r="H751" t="n">
        <v>0</v>
      </c>
      <c r="I751" t="n">
        <v>0</v>
      </c>
      <c r="J751" t="n">
        <v>0</v>
      </c>
      <c r="K751" t="n">
        <v>0</v>
      </c>
      <c r="L751" t="n">
        <v>0</v>
      </c>
      <c r="M751" t="n">
        <v>0</v>
      </c>
      <c r="N751" t="n">
        <v>0</v>
      </c>
      <c r="O751" t="n">
        <v>0</v>
      </c>
      <c r="P751" t="n">
        <v>0</v>
      </c>
      <c r="Q751" t="n">
        <v>0</v>
      </c>
      <c r="R751" s="2" t="inlineStr"/>
    </row>
    <row r="752" ht="15" customHeight="1">
      <c r="A752" t="inlineStr">
        <is>
          <t>A 48589-2023</t>
        </is>
      </c>
      <c r="B752" s="1" t="n">
        <v>45208</v>
      </c>
      <c r="C752" s="1" t="n">
        <v>45364</v>
      </c>
      <c r="D752" t="inlineStr">
        <is>
          <t>DALARNAS LÄN</t>
        </is>
      </c>
      <c r="E752" t="inlineStr">
        <is>
          <t>LUDVIKA</t>
        </is>
      </c>
      <c r="F752" t="inlineStr">
        <is>
          <t>Naturvårdsverket</t>
        </is>
      </c>
      <c r="G752" t="n">
        <v>0.7</v>
      </c>
      <c r="H752" t="n">
        <v>0</v>
      </c>
      <c r="I752" t="n">
        <v>0</v>
      </c>
      <c r="J752" t="n">
        <v>0</v>
      </c>
      <c r="K752" t="n">
        <v>0</v>
      </c>
      <c r="L752" t="n">
        <v>0</v>
      </c>
      <c r="M752" t="n">
        <v>0</v>
      </c>
      <c r="N752" t="n">
        <v>0</v>
      </c>
      <c r="O752" t="n">
        <v>0</v>
      </c>
      <c r="P752" t="n">
        <v>0</v>
      </c>
      <c r="Q752" t="n">
        <v>0</v>
      </c>
      <c r="R752" s="2" t="inlineStr"/>
    </row>
    <row r="753" ht="15" customHeight="1">
      <c r="A753" t="inlineStr">
        <is>
          <t>A 48522-2023</t>
        </is>
      </c>
      <c r="B753" s="1" t="n">
        <v>45208</v>
      </c>
      <c r="C753" s="1" t="n">
        <v>45364</v>
      </c>
      <c r="D753" t="inlineStr">
        <is>
          <t>DALARNAS LÄN</t>
        </is>
      </c>
      <c r="E753" t="inlineStr">
        <is>
          <t>LUDVIKA</t>
        </is>
      </c>
      <c r="F753" t="inlineStr">
        <is>
          <t>Bergvik skog väst AB</t>
        </is>
      </c>
      <c r="G753" t="n">
        <v>1.7</v>
      </c>
      <c r="H753" t="n">
        <v>0</v>
      </c>
      <c r="I753" t="n">
        <v>0</v>
      </c>
      <c r="J753" t="n">
        <v>0</v>
      </c>
      <c r="K753" t="n">
        <v>0</v>
      </c>
      <c r="L753" t="n">
        <v>0</v>
      </c>
      <c r="M753" t="n">
        <v>0</v>
      </c>
      <c r="N753" t="n">
        <v>0</v>
      </c>
      <c r="O753" t="n">
        <v>0</v>
      </c>
      <c r="P753" t="n">
        <v>0</v>
      </c>
      <c r="Q753" t="n">
        <v>0</v>
      </c>
      <c r="R753" s="2" t="inlineStr"/>
    </row>
    <row r="754" ht="15" customHeight="1">
      <c r="A754" t="inlineStr">
        <is>
          <t>A 48615-2023</t>
        </is>
      </c>
      <c r="B754" s="1" t="n">
        <v>45208</v>
      </c>
      <c r="C754" s="1" t="n">
        <v>45364</v>
      </c>
      <c r="D754" t="inlineStr">
        <is>
          <t>DALARNAS LÄN</t>
        </is>
      </c>
      <c r="E754" t="inlineStr">
        <is>
          <t>LUDVIKA</t>
        </is>
      </c>
      <c r="F754" t="inlineStr">
        <is>
          <t>Bergvik skog väst AB</t>
        </is>
      </c>
      <c r="G754" t="n">
        <v>1</v>
      </c>
      <c r="H754" t="n">
        <v>0</v>
      </c>
      <c r="I754" t="n">
        <v>0</v>
      </c>
      <c r="J754" t="n">
        <v>0</v>
      </c>
      <c r="K754" t="n">
        <v>0</v>
      </c>
      <c r="L754" t="n">
        <v>0</v>
      </c>
      <c r="M754" t="n">
        <v>0</v>
      </c>
      <c r="N754" t="n">
        <v>0</v>
      </c>
      <c r="O754" t="n">
        <v>0</v>
      </c>
      <c r="P754" t="n">
        <v>0</v>
      </c>
      <c r="Q754" t="n">
        <v>0</v>
      </c>
      <c r="R754" s="2" t="inlineStr"/>
    </row>
    <row r="755" ht="15" customHeight="1">
      <c r="A755" t="inlineStr">
        <is>
          <t>A 48683-2023</t>
        </is>
      </c>
      <c r="B755" s="1" t="n">
        <v>45208</v>
      </c>
      <c r="C755" s="1" t="n">
        <v>45364</v>
      </c>
      <c r="D755" t="inlineStr">
        <is>
          <t>DALARNAS LÄN</t>
        </is>
      </c>
      <c r="E755" t="inlineStr">
        <is>
          <t>LUDVIKA</t>
        </is>
      </c>
      <c r="G755" t="n">
        <v>1.3</v>
      </c>
      <c r="H755" t="n">
        <v>0</v>
      </c>
      <c r="I755" t="n">
        <v>0</v>
      </c>
      <c r="J755" t="n">
        <v>0</v>
      </c>
      <c r="K755" t="n">
        <v>0</v>
      </c>
      <c r="L755" t="n">
        <v>0</v>
      </c>
      <c r="M755" t="n">
        <v>0</v>
      </c>
      <c r="N755" t="n">
        <v>0</v>
      </c>
      <c r="O755" t="n">
        <v>0</v>
      </c>
      <c r="P755" t="n">
        <v>0</v>
      </c>
      <c r="Q755" t="n">
        <v>0</v>
      </c>
      <c r="R755" s="2" t="inlineStr"/>
    </row>
    <row r="756" ht="15" customHeight="1">
      <c r="A756" t="inlineStr">
        <is>
          <t>A 49060-2023</t>
        </is>
      </c>
      <c r="B756" s="1" t="n">
        <v>45210</v>
      </c>
      <c r="C756" s="1" t="n">
        <v>45364</v>
      </c>
      <c r="D756" t="inlineStr">
        <is>
          <t>DALARNAS LÄN</t>
        </is>
      </c>
      <c r="E756" t="inlineStr">
        <is>
          <t>LUDVIKA</t>
        </is>
      </c>
      <c r="F756" t="inlineStr">
        <is>
          <t>Naturvårdsverket</t>
        </is>
      </c>
      <c r="G756" t="n">
        <v>0.8</v>
      </c>
      <c r="H756" t="n">
        <v>0</v>
      </c>
      <c r="I756" t="n">
        <v>0</v>
      </c>
      <c r="J756" t="n">
        <v>0</v>
      </c>
      <c r="K756" t="n">
        <v>0</v>
      </c>
      <c r="L756" t="n">
        <v>0</v>
      </c>
      <c r="M756" t="n">
        <v>0</v>
      </c>
      <c r="N756" t="n">
        <v>0</v>
      </c>
      <c r="O756" t="n">
        <v>0</v>
      </c>
      <c r="P756" t="n">
        <v>0</v>
      </c>
      <c r="Q756" t="n">
        <v>0</v>
      </c>
      <c r="R756" s="2" t="inlineStr"/>
    </row>
    <row r="757" ht="15" customHeight="1">
      <c r="A757" t="inlineStr">
        <is>
          <t>A 49114-2023</t>
        </is>
      </c>
      <c r="B757" s="1" t="n">
        <v>45210</v>
      </c>
      <c r="C757" s="1" t="n">
        <v>45364</v>
      </c>
      <c r="D757" t="inlineStr">
        <is>
          <t>DALARNAS LÄN</t>
        </is>
      </c>
      <c r="E757" t="inlineStr">
        <is>
          <t>LUDVIKA</t>
        </is>
      </c>
      <c r="F757" t="inlineStr">
        <is>
          <t>Naturvårdsverket</t>
        </is>
      </c>
      <c r="G757" t="n">
        <v>4</v>
      </c>
      <c r="H757" t="n">
        <v>0</v>
      </c>
      <c r="I757" t="n">
        <v>0</v>
      </c>
      <c r="J757" t="n">
        <v>0</v>
      </c>
      <c r="K757" t="n">
        <v>0</v>
      </c>
      <c r="L757" t="n">
        <v>0</v>
      </c>
      <c r="M757" t="n">
        <v>0</v>
      </c>
      <c r="N757" t="n">
        <v>0</v>
      </c>
      <c r="O757" t="n">
        <v>0</v>
      </c>
      <c r="P757" t="n">
        <v>0</v>
      </c>
      <c r="Q757" t="n">
        <v>0</v>
      </c>
      <c r="R757" s="2" t="inlineStr"/>
    </row>
    <row r="758" ht="15" customHeight="1">
      <c r="A758" t="inlineStr">
        <is>
          <t>A 49714-2023</t>
        </is>
      </c>
      <c r="B758" s="1" t="n">
        <v>45212</v>
      </c>
      <c r="C758" s="1" t="n">
        <v>45364</v>
      </c>
      <c r="D758" t="inlineStr">
        <is>
          <t>DALARNAS LÄN</t>
        </is>
      </c>
      <c r="E758" t="inlineStr">
        <is>
          <t>LUDVIKA</t>
        </is>
      </c>
      <c r="F758" t="inlineStr">
        <is>
          <t>Bergvik skog väst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49798-2023</t>
        </is>
      </c>
      <c r="B759" s="1" t="n">
        <v>45212</v>
      </c>
      <c r="C759" s="1" t="n">
        <v>45364</v>
      </c>
      <c r="D759" t="inlineStr">
        <is>
          <t>DALARNAS LÄN</t>
        </is>
      </c>
      <c r="E759" t="inlineStr">
        <is>
          <t>LUDVIKA</t>
        </is>
      </c>
      <c r="F759" t="inlineStr">
        <is>
          <t>Bergvik skog väst AB</t>
        </is>
      </c>
      <c r="G759" t="n">
        <v>9.6</v>
      </c>
      <c r="H759" t="n">
        <v>0</v>
      </c>
      <c r="I759" t="n">
        <v>0</v>
      </c>
      <c r="J759" t="n">
        <v>0</v>
      </c>
      <c r="K759" t="n">
        <v>0</v>
      </c>
      <c r="L759" t="n">
        <v>0</v>
      </c>
      <c r="M759" t="n">
        <v>0</v>
      </c>
      <c r="N759" t="n">
        <v>0</v>
      </c>
      <c r="O759" t="n">
        <v>0</v>
      </c>
      <c r="P759" t="n">
        <v>0</v>
      </c>
      <c r="Q759" t="n">
        <v>0</v>
      </c>
      <c r="R759" s="2" t="inlineStr"/>
    </row>
    <row r="760" ht="15" customHeight="1">
      <c r="A760" t="inlineStr">
        <is>
          <t>A 49805-2023</t>
        </is>
      </c>
      <c r="B760" s="1" t="n">
        <v>45212</v>
      </c>
      <c r="C760" s="1" t="n">
        <v>45364</v>
      </c>
      <c r="D760" t="inlineStr">
        <is>
          <t>DALARNAS LÄN</t>
        </is>
      </c>
      <c r="E760" t="inlineStr">
        <is>
          <t>LUDVIKA</t>
        </is>
      </c>
      <c r="G760" t="n">
        <v>1.9</v>
      </c>
      <c r="H760" t="n">
        <v>0</v>
      </c>
      <c r="I760" t="n">
        <v>0</v>
      </c>
      <c r="J760" t="n">
        <v>0</v>
      </c>
      <c r="K760" t="n">
        <v>0</v>
      </c>
      <c r="L760" t="n">
        <v>0</v>
      </c>
      <c r="M760" t="n">
        <v>0</v>
      </c>
      <c r="N760" t="n">
        <v>0</v>
      </c>
      <c r="O760" t="n">
        <v>0</v>
      </c>
      <c r="P760" t="n">
        <v>0</v>
      </c>
      <c r="Q760" t="n">
        <v>0</v>
      </c>
      <c r="R760" s="2" t="inlineStr"/>
    </row>
    <row r="761" ht="15" customHeight="1">
      <c r="A761" t="inlineStr">
        <is>
          <t>A 50132-2023</t>
        </is>
      </c>
      <c r="B761" s="1" t="n">
        <v>45215</v>
      </c>
      <c r="C761" s="1" t="n">
        <v>45364</v>
      </c>
      <c r="D761" t="inlineStr">
        <is>
          <t>DALARNAS LÄN</t>
        </is>
      </c>
      <c r="E761" t="inlineStr">
        <is>
          <t>LUDVIKA</t>
        </is>
      </c>
      <c r="F761" t="inlineStr">
        <is>
          <t>Bergvik skog väst AB</t>
        </is>
      </c>
      <c r="G761" t="n">
        <v>3.1</v>
      </c>
      <c r="H761" t="n">
        <v>0</v>
      </c>
      <c r="I761" t="n">
        <v>0</v>
      </c>
      <c r="J761" t="n">
        <v>0</v>
      </c>
      <c r="K761" t="n">
        <v>0</v>
      </c>
      <c r="L761" t="n">
        <v>0</v>
      </c>
      <c r="M761" t="n">
        <v>0</v>
      </c>
      <c r="N761" t="n">
        <v>0</v>
      </c>
      <c r="O761" t="n">
        <v>0</v>
      </c>
      <c r="P761" t="n">
        <v>0</v>
      </c>
      <c r="Q761" t="n">
        <v>0</v>
      </c>
      <c r="R761" s="2" t="inlineStr"/>
    </row>
    <row r="762" ht="15" customHeight="1">
      <c r="A762" t="inlineStr">
        <is>
          <t>A 50054-2023</t>
        </is>
      </c>
      <c r="B762" s="1" t="n">
        <v>45215</v>
      </c>
      <c r="C762" s="1" t="n">
        <v>45364</v>
      </c>
      <c r="D762" t="inlineStr">
        <is>
          <t>DALARNAS LÄN</t>
        </is>
      </c>
      <c r="E762" t="inlineStr">
        <is>
          <t>LUDVIKA</t>
        </is>
      </c>
      <c r="F762" t="inlineStr">
        <is>
          <t>Bergvik skog väst AB</t>
        </is>
      </c>
      <c r="G762" t="n">
        <v>11.4</v>
      </c>
      <c r="H762" t="n">
        <v>0</v>
      </c>
      <c r="I762" t="n">
        <v>0</v>
      </c>
      <c r="J762" t="n">
        <v>0</v>
      </c>
      <c r="K762" t="n">
        <v>0</v>
      </c>
      <c r="L762" t="n">
        <v>0</v>
      </c>
      <c r="M762" t="n">
        <v>0</v>
      </c>
      <c r="N762" t="n">
        <v>0</v>
      </c>
      <c r="O762" t="n">
        <v>0</v>
      </c>
      <c r="P762" t="n">
        <v>0</v>
      </c>
      <c r="Q762" t="n">
        <v>0</v>
      </c>
      <c r="R762" s="2" t="inlineStr"/>
    </row>
    <row r="763" ht="15" customHeight="1">
      <c r="A763" t="inlineStr">
        <is>
          <t>A 50310-2023</t>
        </is>
      </c>
      <c r="B763" s="1" t="n">
        <v>45216</v>
      </c>
      <c r="C763" s="1" t="n">
        <v>45364</v>
      </c>
      <c r="D763" t="inlineStr">
        <is>
          <t>DALARNAS LÄN</t>
        </is>
      </c>
      <c r="E763" t="inlineStr">
        <is>
          <t>LUDVIKA</t>
        </is>
      </c>
      <c r="G763" t="n">
        <v>2</v>
      </c>
      <c r="H763" t="n">
        <v>0</v>
      </c>
      <c r="I763" t="n">
        <v>0</v>
      </c>
      <c r="J763" t="n">
        <v>0</v>
      </c>
      <c r="K763" t="n">
        <v>0</v>
      </c>
      <c r="L763" t="n">
        <v>0</v>
      </c>
      <c r="M763" t="n">
        <v>0</v>
      </c>
      <c r="N763" t="n">
        <v>0</v>
      </c>
      <c r="O763" t="n">
        <v>0</v>
      </c>
      <c r="P763" t="n">
        <v>0</v>
      </c>
      <c r="Q763" t="n">
        <v>0</v>
      </c>
      <c r="R763" s="2" t="inlineStr"/>
    </row>
    <row r="764" ht="15" customHeight="1">
      <c r="A764" t="inlineStr">
        <is>
          <t>A 50594-2023</t>
        </is>
      </c>
      <c r="B764" s="1" t="n">
        <v>45217</v>
      </c>
      <c r="C764" s="1" t="n">
        <v>45364</v>
      </c>
      <c r="D764" t="inlineStr">
        <is>
          <t>DALARNAS LÄN</t>
        </is>
      </c>
      <c r="E764" t="inlineStr">
        <is>
          <t>LUDVIKA</t>
        </is>
      </c>
      <c r="F764" t="inlineStr">
        <is>
          <t>Bergvik skog väst AB</t>
        </is>
      </c>
      <c r="G764" t="n">
        <v>10.3</v>
      </c>
      <c r="H764" t="n">
        <v>0</v>
      </c>
      <c r="I764" t="n">
        <v>0</v>
      </c>
      <c r="J764" t="n">
        <v>0</v>
      </c>
      <c r="K764" t="n">
        <v>0</v>
      </c>
      <c r="L764" t="n">
        <v>0</v>
      </c>
      <c r="M764" t="n">
        <v>0</v>
      </c>
      <c r="N764" t="n">
        <v>0</v>
      </c>
      <c r="O764" t="n">
        <v>0</v>
      </c>
      <c r="P764" t="n">
        <v>0</v>
      </c>
      <c r="Q764" t="n">
        <v>0</v>
      </c>
      <c r="R764" s="2" t="inlineStr"/>
    </row>
    <row r="765" ht="15" customHeight="1">
      <c r="A765" t="inlineStr">
        <is>
          <t>A 51015-2023</t>
        </is>
      </c>
      <c r="B765" s="1" t="n">
        <v>45218</v>
      </c>
      <c r="C765" s="1" t="n">
        <v>45364</v>
      </c>
      <c r="D765" t="inlineStr">
        <is>
          <t>DALARNAS LÄN</t>
        </is>
      </c>
      <c r="E765" t="inlineStr">
        <is>
          <t>LUDVIKA</t>
        </is>
      </c>
      <c r="G765" t="n">
        <v>5.9</v>
      </c>
      <c r="H765" t="n">
        <v>0</v>
      </c>
      <c r="I765" t="n">
        <v>0</v>
      </c>
      <c r="J765" t="n">
        <v>0</v>
      </c>
      <c r="K765" t="n">
        <v>0</v>
      </c>
      <c r="L765" t="n">
        <v>0</v>
      </c>
      <c r="M765" t="n">
        <v>0</v>
      </c>
      <c r="N765" t="n">
        <v>0</v>
      </c>
      <c r="O765" t="n">
        <v>0</v>
      </c>
      <c r="P765" t="n">
        <v>0</v>
      </c>
      <c r="Q765" t="n">
        <v>0</v>
      </c>
      <c r="R765" s="2" t="inlineStr"/>
    </row>
    <row r="766" ht="15" customHeight="1">
      <c r="A766" t="inlineStr">
        <is>
          <t>A 51208-2023</t>
        </is>
      </c>
      <c r="B766" s="1" t="n">
        <v>45219</v>
      </c>
      <c r="C766" s="1" t="n">
        <v>45364</v>
      </c>
      <c r="D766" t="inlineStr">
        <is>
          <t>DALARNAS LÄN</t>
        </is>
      </c>
      <c r="E766" t="inlineStr">
        <is>
          <t>LUDVIKA</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51181-2023</t>
        </is>
      </c>
      <c r="B767" s="1" t="n">
        <v>45219</v>
      </c>
      <c r="C767" s="1" t="n">
        <v>45364</v>
      </c>
      <c r="D767" t="inlineStr">
        <is>
          <t>DALARNAS LÄN</t>
        </is>
      </c>
      <c r="E767" t="inlineStr">
        <is>
          <t>LUDVIKA</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51160-2023</t>
        </is>
      </c>
      <c r="B768" s="1" t="n">
        <v>45219</v>
      </c>
      <c r="C768" s="1" t="n">
        <v>45364</v>
      </c>
      <c r="D768" t="inlineStr">
        <is>
          <t>DALARNAS LÄN</t>
        </is>
      </c>
      <c r="E768" t="inlineStr">
        <is>
          <t>LUDVIKA</t>
        </is>
      </c>
      <c r="F768" t="inlineStr">
        <is>
          <t>Bergvik skog väst AB</t>
        </is>
      </c>
      <c r="G768" t="n">
        <v>0.9</v>
      </c>
      <c r="H768" t="n">
        <v>0</v>
      </c>
      <c r="I768" t="n">
        <v>0</v>
      </c>
      <c r="J768" t="n">
        <v>0</v>
      </c>
      <c r="K768" t="n">
        <v>0</v>
      </c>
      <c r="L768" t="n">
        <v>0</v>
      </c>
      <c r="M768" t="n">
        <v>0</v>
      </c>
      <c r="N768" t="n">
        <v>0</v>
      </c>
      <c r="O768" t="n">
        <v>0</v>
      </c>
      <c r="P768" t="n">
        <v>0</v>
      </c>
      <c r="Q768" t="n">
        <v>0</v>
      </c>
      <c r="R768" s="2" t="inlineStr"/>
    </row>
    <row r="769" ht="15" customHeight="1">
      <c r="A769" t="inlineStr">
        <is>
          <t>A 51200-2023</t>
        </is>
      </c>
      <c r="B769" s="1" t="n">
        <v>45219</v>
      </c>
      <c r="C769" s="1" t="n">
        <v>45364</v>
      </c>
      <c r="D769" t="inlineStr">
        <is>
          <t>DALARNAS LÄN</t>
        </is>
      </c>
      <c r="E769" t="inlineStr">
        <is>
          <t>LUDVIKA</t>
        </is>
      </c>
      <c r="F769" t="inlineStr">
        <is>
          <t>Bergvik skog väst AB</t>
        </is>
      </c>
      <c r="G769" t="n">
        <v>1.6</v>
      </c>
      <c r="H769" t="n">
        <v>0</v>
      </c>
      <c r="I769" t="n">
        <v>0</v>
      </c>
      <c r="J769" t="n">
        <v>0</v>
      </c>
      <c r="K769" t="n">
        <v>0</v>
      </c>
      <c r="L769" t="n">
        <v>0</v>
      </c>
      <c r="M769" t="n">
        <v>0</v>
      </c>
      <c r="N769" t="n">
        <v>0</v>
      </c>
      <c r="O769" t="n">
        <v>0</v>
      </c>
      <c r="P769" t="n">
        <v>0</v>
      </c>
      <c r="Q769" t="n">
        <v>0</v>
      </c>
      <c r="R769" s="2" t="inlineStr"/>
    </row>
    <row r="770" ht="15" customHeight="1">
      <c r="A770" t="inlineStr">
        <is>
          <t>A 52038-2023</t>
        </is>
      </c>
      <c r="B770" s="1" t="n">
        <v>45223</v>
      </c>
      <c r="C770" s="1" t="n">
        <v>45364</v>
      </c>
      <c r="D770" t="inlineStr">
        <is>
          <t>DALARNAS LÄN</t>
        </is>
      </c>
      <c r="E770" t="inlineStr">
        <is>
          <t>LUDVIKA</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52230-2023</t>
        </is>
      </c>
      <c r="B771" s="1" t="n">
        <v>45224</v>
      </c>
      <c r="C771" s="1" t="n">
        <v>45364</v>
      </c>
      <c r="D771" t="inlineStr">
        <is>
          <t>DALARNAS LÄN</t>
        </is>
      </c>
      <c r="E771" t="inlineStr">
        <is>
          <t>LUDVIKA</t>
        </is>
      </c>
      <c r="G771" t="n">
        <v>3.5</v>
      </c>
      <c r="H771" t="n">
        <v>0</v>
      </c>
      <c r="I771" t="n">
        <v>0</v>
      </c>
      <c r="J771" t="n">
        <v>0</v>
      </c>
      <c r="K771" t="n">
        <v>0</v>
      </c>
      <c r="L771" t="n">
        <v>0</v>
      </c>
      <c r="M771" t="n">
        <v>0</v>
      </c>
      <c r="N771" t="n">
        <v>0</v>
      </c>
      <c r="O771" t="n">
        <v>0</v>
      </c>
      <c r="P771" t="n">
        <v>0</v>
      </c>
      <c r="Q771" t="n">
        <v>0</v>
      </c>
      <c r="R771" s="2" t="inlineStr"/>
    </row>
    <row r="772" ht="15" customHeight="1">
      <c r="A772" t="inlineStr">
        <is>
          <t>A 52440-2023</t>
        </is>
      </c>
      <c r="B772" s="1" t="n">
        <v>45225</v>
      </c>
      <c r="C772" s="1" t="n">
        <v>45364</v>
      </c>
      <c r="D772" t="inlineStr">
        <is>
          <t>DALARNAS LÄN</t>
        </is>
      </c>
      <c r="E772" t="inlineStr">
        <is>
          <t>LUDVIKA</t>
        </is>
      </c>
      <c r="F772" t="inlineStr">
        <is>
          <t>Bergvik skog väst AB</t>
        </is>
      </c>
      <c r="G772" t="n">
        <v>4.8</v>
      </c>
      <c r="H772" t="n">
        <v>0</v>
      </c>
      <c r="I772" t="n">
        <v>0</v>
      </c>
      <c r="J772" t="n">
        <v>0</v>
      </c>
      <c r="K772" t="n">
        <v>0</v>
      </c>
      <c r="L772" t="n">
        <v>0</v>
      </c>
      <c r="M772" t="n">
        <v>0</v>
      </c>
      <c r="N772" t="n">
        <v>0</v>
      </c>
      <c r="O772" t="n">
        <v>0</v>
      </c>
      <c r="P772" t="n">
        <v>0</v>
      </c>
      <c r="Q772" t="n">
        <v>0</v>
      </c>
      <c r="R772" s="2" t="inlineStr"/>
    </row>
    <row r="773" ht="15" customHeight="1">
      <c r="A773" t="inlineStr">
        <is>
          <t>A 52466-2023</t>
        </is>
      </c>
      <c r="B773" s="1" t="n">
        <v>45225</v>
      </c>
      <c r="C773" s="1" t="n">
        <v>45364</v>
      </c>
      <c r="D773" t="inlineStr">
        <is>
          <t>DALARNAS LÄN</t>
        </is>
      </c>
      <c r="E773" t="inlineStr">
        <is>
          <t>LUDVIKA</t>
        </is>
      </c>
      <c r="F773" t="inlineStr">
        <is>
          <t>Bergvik skog väst AB</t>
        </is>
      </c>
      <c r="G773" t="n">
        <v>3.6</v>
      </c>
      <c r="H773" t="n">
        <v>0</v>
      </c>
      <c r="I773" t="n">
        <v>0</v>
      </c>
      <c r="J773" t="n">
        <v>0</v>
      </c>
      <c r="K773" t="n">
        <v>0</v>
      </c>
      <c r="L773" t="n">
        <v>0</v>
      </c>
      <c r="M773" t="n">
        <v>0</v>
      </c>
      <c r="N773" t="n">
        <v>0</v>
      </c>
      <c r="O773" t="n">
        <v>0</v>
      </c>
      <c r="P773" t="n">
        <v>0</v>
      </c>
      <c r="Q773" t="n">
        <v>0</v>
      </c>
      <c r="R773" s="2" t="inlineStr"/>
    </row>
    <row r="774" ht="15" customHeight="1">
      <c r="A774" t="inlineStr">
        <is>
          <t>A 52461-2023</t>
        </is>
      </c>
      <c r="B774" s="1" t="n">
        <v>45225</v>
      </c>
      <c r="C774" s="1" t="n">
        <v>45364</v>
      </c>
      <c r="D774" t="inlineStr">
        <is>
          <t>DALARNAS LÄN</t>
        </is>
      </c>
      <c r="E774" t="inlineStr">
        <is>
          <t>LUDVIKA</t>
        </is>
      </c>
      <c r="F774" t="inlineStr">
        <is>
          <t>Bergvik skog väst AB</t>
        </is>
      </c>
      <c r="G774" t="n">
        <v>1.6</v>
      </c>
      <c r="H774" t="n">
        <v>0</v>
      </c>
      <c r="I774" t="n">
        <v>0</v>
      </c>
      <c r="J774" t="n">
        <v>0</v>
      </c>
      <c r="K774" t="n">
        <v>0</v>
      </c>
      <c r="L774" t="n">
        <v>0</v>
      </c>
      <c r="M774" t="n">
        <v>0</v>
      </c>
      <c r="N774" t="n">
        <v>0</v>
      </c>
      <c r="O774" t="n">
        <v>0</v>
      </c>
      <c r="P774" t="n">
        <v>0</v>
      </c>
      <c r="Q774" t="n">
        <v>0</v>
      </c>
      <c r="R774" s="2" t="inlineStr"/>
    </row>
    <row r="775" ht="15" customHeight="1">
      <c r="A775" t="inlineStr">
        <is>
          <t>A 52720-2023</t>
        </is>
      </c>
      <c r="B775" s="1" t="n">
        <v>45225</v>
      </c>
      <c r="C775" s="1" t="n">
        <v>45364</v>
      </c>
      <c r="D775" t="inlineStr">
        <is>
          <t>DALARNAS LÄN</t>
        </is>
      </c>
      <c r="E775" t="inlineStr">
        <is>
          <t>LUDVIKA</t>
        </is>
      </c>
      <c r="G775" t="n">
        <v>6.2</v>
      </c>
      <c r="H775" t="n">
        <v>0</v>
      </c>
      <c r="I775" t="n">
        <v>0</v>
      </c>
      <c r="J775" t="n">
        <v>0</v>
      </c>
      <c r="K775" t="n">
        <v>0</v>
      </c>
      <c r="L775" t="n">
        <v>0</v>
      </c>
      <c r="M775" t="n">
        <v>0</v>
      </c>
      <c r="N775" t="n">
        <v>0</v>
      </c>
      <c r="O775" t="n">
        <v>0</v>
      </c>
      <c r="P775" t="n">
        <v>0</v>
      </c>
      <c r="Q775" t="n">
        <v>0</v>
      </c>
      <c r="R775" s="2" t="inlineStr"/>
    </row>
    <row r="776" ht="15" customHeight="1">
      <c r="A776" t="inlineStr">
        <is>
          <t>A 52868-2023</t>
        </is>
      </c>
      <c r="B776" s="1" t="n">
        <v>45226</v>
      </c>
      <c r="C776" s="1" t="n">
        <v>45364</v>
      </c>
      <c r="D776" t="inlineStr">
        <is>
          <t>DALARNAS LÄN</t>
        </is>
      </c>
      <c r="E776" t="inlineStr">
        <is>
          <t>LUDVIKA</t>
        </is>
      </c>
      <c r="F776" t="inlineStr">
        <is>
          <t>Bergvik skog väst AB</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52894-2023</t>
        </is>
      </c>
      <c r="B777" s="1" t="n">
        <v>45226</v>
      </c>
      <c r="C777" s="1" t="n">
        <v>45364</v>
      </c>
      <c r="D777" t="inlineStr">
        <is>
          <t>DALARNAS LÄN</t>
        </is>
      </c>
      <c r="E777" t="inlineStr">
        <is>
          <t>LUDVIKA</t>
        </is>
      </c>
      <c r="F777" t="inlineStr">
        <is>
          <t>Bergvik skog väst AB</t>
        </is>
      </c>
      <c r="G777" t="n">
        <v>6.9</v>
      </c>
      <c r="H777" t="n">
        <v>0</v>
      </c>
      <c r="I777" t="n">
        <v>0</v>
      </c>
      <c r="J777" t="n">
        <v>0</v>
      </c>
      <c r="K777" t="n">
        <v>0</v>
      </c>
      <c r="L777" t="n">
        <v>0</v>
      </c>
      <c r="M777" t="n">
        <v>0</v>
      </c>
      <c r="N777" t="n">
        <v>0</v>
      </c>
      <c r="O777" t="n">
        <v>0</v>
      </c>
      <c r="P777" t="n">
        <v>0</v>
      </c>
      <c r="Q777" t="n">
        <v>0</v>
      </c>
      <c r="R777" s="2" t="inlineStr"/>
    </row>
    <row r="778" ht="15" customHeight="1">
      <c r="A778" t="inlineStr">
        <is>
          <t>A 52932-2023</t>
        </is>
      </c>
      <c r="B778" s="1" t="n">
        <v>45226</v>
      </c>
      <c r="C778" s="1" t="n">
        <v>45364</v>
      </c>
      <c r="D778" t="inlineStr">
        <is>
          <t>DALARNAS LÄN</t>
        </is>
      </c>
      <c r="E778" t="inlineStr">
        <is>
          <t>LUDVIKA</t>
        </is>
      </c>
      <c r="F778" t="inlineStr">
        <is>
          <t>Bergvik skog väst AB</t>
        </is>
      </c>
      <c r="G778" t="n">
        <v>4.5</v>
      </c>
      <c r="H778" t="n">
        <v>0</v>
      </c>
      <c r="I778" t="n">
        <v>0</v>
      </c>
      <c r="J778" t="n">
        <v>0</v>
      </c>
      <c r="K778" t="n">
        <v>0</v>
      </c>
      <c r="L778" t="n">
        <v>0</v>
      </c>
      <c r="M778" t="n">
        <v>0</v>
      </c>
      <c r="N778" t="n">
        <v>0</v>
      </c>
      <c r="O778" t="n">
        <v>0</v>
      </c>
      <c r="P778" t="n">
        <v>0</v>
      </c>
      <c r="Q778" t="n">
        <v>0</v>
      </c>
      <c r="R778" s="2" t="inlineStr"/>
    </row>
    <row r="779" ht="15" customHeight="1">
      <c r="A779" t="inlineStr">
        <is>
          <t>A 53632-2023</t>
        </is>
      </c>
      <c r="B779" s="1" t="n">
        <v>45230</v>
      </c>
      <c r="C779" s="1" t="n">
        <v>45364</v>
      </c>
      <c r="D779" t="inlineStr">
        <is>
          <t>DALARNAS LÄN</t>
        </is>
      </c>
      <c r="E779" t="inlineStr">
        <is>
          <t>LUDVIKA</t>
        </is>
      </c>
      <c r="F779" t="inlineStr">
        <is>
          <t>Bergvik skog väst AB</t>
        </is>
      </c>
      <c r="G779" t="n">
        <v>0.9</v>
      </c>
      <c r="H779" t="n">
        <v>0</v>
      </c>
      <c r="I779" t="n">
        <v>0</v>
      </c>
      <c r="J779" t="n">
        <v>0</v>
      </c>
      <c r="K779" t="n">
        <v>0</v>
      </c>
      <c r="L779" t="n">
        <v>0</v>
      </c>
      <c r="M779" t="n">
        <v>0</v>
      </c>
      <c r="N779" t="n">
        <v>0</v>
      </c>
      <c r="O779" t="n">
        <v>0</v>
      </c>
      <c r="P779" t="n">
        <v>0</v>
      </c>
      <c r="Q779" t="n">
        <v>0</v>
      </c>
      <c r="R779" s="2" t="inlineStr"/>
    </row>
    <row r="780" ht="15" customHeight="1">
      <c r="A780" t="inlineStr">
        <is>
          <t>A 53622-2023</t>
        </is>
      </c>
      <c r="B780" s="1" t="n">
        <v>45230</v>
      </c>
      <c r="C780" s="1" t="n">
        <v>45364</v>
      </c>
      <c r="D780" t="inlineStr">
        <is>
          <t>DALARNAS LÄN</t>
        </is>
      </c>
      <c r="E780" t="inlineStr">
        <is>
          <t>LUDVIKA</t>
        </is>
      </c>
      <c r="G780" t="n">
        <v>2.3</v>
      </c>
      <c r="H780" t="n">
        <v>0</v>
      </c>
      <c r="I780" t="n">
        <v>0</v>
      </c>
      <c r="J780" t="n">
        <v>0</v>
      </c>
      <c r="K780" t="n">
        <v>0</v>
      </c>
      <c r="L780" t="n">
        <v>0</v>
      </c>
      <c r="M780" t="n">
        <v>0</v>
      </c>
      <c r="N780" t="n">
        <v>0</v>
      </c>
      <c r="O780" t="n">
        <v>0</v>
      </c>
      <c r="P780" t="n">
        <v>0</v>
      </c>
      <c r="Q780" t="n">
        <v>0</v>
      </c>
      <c r="R780" s="2" t="inlineStr"/>
    </row>
    <row r="781" ht="15" customHeight="1">
      <c r="A781" t="inlineStr">
        <is>
          <t>A 53602-2023</t>
        </is>
      </c>
      <c r="B781" s="1" t="n">
        <v>45230</v>
      </c>
      <c r="C781" s="1" t="n">
        <v>45364</v>
      </c>
      <c r="D781" t="inlineStr">
        <is>
          <t>DALARNAS LÄN</t>
        </is>
      </c>
      <c r="E781" t="inlineStr">
        <is>
          <t>LUDVIKA</t>
        </is>
      </c>
      <c r="F781" t="inlineStr">
        <is>
          <t>Bergvik skog väst AB</t>
        </is>
      </c>
      <c r="G781" t="n">
        <v>4.9</v>
      </c>
      <c r="H781" t="n">
        <v>0</v>
      </c>
      <c r="I781" t="n">
        <v>0</v>
      </c>
      <c r="J781" t="n">
        <v>0</v>
      </c>
      <c r="K781" t="n">
        <v>0</v>
      </c>
      <c r="L781" t="n">
        <v>0</v>
      </c>
      <c r="M781" t="n">
        <v>0</v>
      </c>
      <c r="N781" t="n">
        <v>0</v>
      </c>
      <c r="O781" t="n">
        <v>0</v>
      </c>
      <c r="P781" t="n">
        <v>0</v>
      </c>
      <c r="Q781" t="n">
        <v>0</v>
      </c>
      <c r="R781" s="2" t="inlineStr"/>
    </row>
    <row r="782" ht="15" customHeight="1">
      <c r="A782" t="inlineStr">
        <is>
          <t>A 53633-2023</t>
        </is>
      </c>
      <c r="B782" s="1" t="n">
        <v>45230</v>
      </c>
      <c r="C782" s="1" t="n">
        <v>45364</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53570-2023</t>
        </is>
      </c>
      <c r="B783" s="1" t="n">
        <v>45230</v>
      </c>
      <c r="C783" s="1" t="n">
        <v>45364</v>
      </c>
      <c r="D783" t="inlineStr">
        <is>
          <t>DALARNAS LÄN</t>
        </is>
      </c>
      <c r="E783" t="inlineStr">
        <is>
          <t>LUDVIKA</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54744-2023</t>
        </is>
      </c>
      <c r="B784" s="1" t="n">
        <v>45236</v>
      </c>
      <c r="C784" s="1" t="n">
        <v>45364</v>
      </c>
      <c r="D784" t="inlineStr">
        <is>
          <t>DALARNAS LÄN</t>
        </is>
      </c>
      <c r="E784" t="inlineStr">
        <is>
          <t>LUDVIKA</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54886-2023</t>
        </is>
      </c>
      <c r="B785" s="1" t="n">
        <v>45236</v>
      </c>
      <c r="C785" s="1" t="n">
        <v>45364</v>
      </c>
      <c r="D785" t="inlineStr">
        <is>
          <t>DALARNAS LÄN</t>
        </is>
      </c>
      <c r="E785" t="inlineStr">
        <is>
          <t>LUDVIKA</t>
        </is>
      </c>
      <c r="F785" t="inlineStr">
        <is>
          <t>Bergvik skog väst AB</t>
        </is>
      </c>
      <c r="G785" t="n">
        <v>4.6</v>
      </c>
      <c r="H785" t="n">
        <v>0</v>
      </c>
      <c r="I785" t="n">
        <v>0</v>
      </c>
      <c r="J785" t="n">
        <v>0</v>
      </c>
      <c r="K785" t="n">
        <v>0</v>
      </c>
      <c r="L785" t="n">
        <v>0</v>
      </c>
      <c r="M785" t="n">
        <v>0</v>
      </c>
      <c r="N785" t="n">
        <v>0</v>
      </c>
      <c r="O785" t="n">
        <v>0</v>
      </c>
      <c r="P785" t="n">
        <v>0</v>
      </c>
      <c r="Q785" t="n">
        <v>0</v>
      </c>
      <c r="R785" s="2" t="inlineStr"/>
    </row>
    <row r="786" ht="15" customHeight="1">
      <c r="A786" t="inlineStr">
        <is>
          <t>A 55213-2023</t>
        </is>
      </c>
      <c r="B786" s="1" t="n">
        <v>45237</v>
      </c>
      <c r="C786" s="1" t="n">
        <v>45364</v>
      </c>
      <c r="D786" t="inlineStr">
        <is>
          <t>DALARNAS LÄN</t>
        </is>
      </c>
      <c r="E786" t="inlineStr">
        <is>
          <t>LUDVIKA</t>
        </is>
      </c>
      <c r="G786" t="n">
        <v>5.1</v>
      </c>
      <c r="H786" t="n">
        <v>0</v>
      </c>
      <c r="I786" t="n">
        <v>0</v>
      </c>
      <c r="J786" t="n">
        <v>0</v>
      </c>
      <c r="K786" t="n">
        <v>0</v>
      </c>
      <c r="L786" t="n">
        <v>0</v>
      </c>
      <c r="M786" t="n">
        <v>0</v>
      </c>
      <c r="N786" t="n">
        <v>0</v>
      </c>
      <c r="O786" t="n">
        <v>0</v>
      </c>
      <c r="P786" t="n">
        <v>0</v>
      </c>
      <c r="Q786" t="n">
        <v>0</v>
      </c>
      <c r="R786" s="2" t="inlineStr"/>
    </row>
    <row r="787" ht="15" customHeight="1">
      <c r="A787" t="inlineStr">
        <is>
          <t>A 55760-2023</t>
        </is>
      </c>
      <c r="B787" s="1" t="n">
        <v>45239</v>
      </c>
      <c r="C787" s="1" t="n">
        <v>45364</v>
      </c>
      <c r="D787" t="inlineStr">
        <is>
          <t>DALARNAS LÄN</t>
        </is>
      </c>
      <c r="E787" t="inlineStr">
        <is>
          <t>LUDVIKA</t>
        </is>
      </c>
      <c r="F787" t="inlineStr">
        <is>
          <t>Bergvik skog väst AB</t>
        </is>
      </c>
      <c r="G787" t="n">
        <v>9.1</v>
      </c>
      <c r="H787" t="n">
        <v>0</v>
      </c>
      <c r="I787" t="n">
        <v>0</v>
      </c>
      <c r="J787" t="n">
        <v>0</v>
      </c>
      <c r="K787" t="n">
        <v>0</v>
      </c>
      <c r="L787" t="n">
        <v>0</v>
      </c>
      <c r="M787" t="n">
        <v>0</v>
      </c>
      <c r="N787" t="n">
        <v>0</v>
      </c>
      <c r="O787" t="n">
        <v>0</v>
      </c>
      <c r="P787" t="n">
        <v>0</v>
      </c>
      <c r="Q787" t="n">
        <v>0</v>
      </c>
      <c r="R787" s="2" t="inlineStr"/>
    </row>
    <row r="788" ht="15" customHeight="1">
      <c r="A788" t="inlineStr">
        <is>
          <t>A 56604-2023</t>
        </is>
      </c>
      <c r="B788" s="1" t="n">
        <v>45243</v>
      </c>
      <c r="C788" s="1" t="n">
        <v>45364</v>
      </c>
      <c r="D788" t="inlineStr">
        <is>
          <t>DALARNAS LÄN</t>
        </is>
      </c>
      <c r="E788" t="inlineStr">
        <is>
          <t>LUDVIKA</t>
        </is>
      </c>
      <c r="G788" t="n">
        <v>2.5</v>
      </c>
      <c r="H788" t="n">
        <v>0</v>
      </c>
      <c r="I788" t="n">
        <v>0</v>
      </c>
      <c r="J788" t="n">
        <v>0</v>
      </c>
      <c r="K788" t="n">
        <v>0</v>
      </c>
      <c r="L788" t="n">
        <v>0</v>
      </c>
      <c r="M788" t="n">
        <v>0</v>
      </c>
      <c r="N788" t="n">
        <v>0</v>
      </c>
      <c r="O788" t="n">
        <v>0</v>
      </c>
      <c r="P788" t="n">
        <v>0</v>
      </c>
      <c r="Q788" t="n">
        <v>0</v>
      </c>
      <c r="R788" s="2" t="inlineStr"/>
    </row>
    <row r="789" ht="15" customHeight="1">
      <c r="A789" t="inlineStr">
        <is>
          <t>A 56672-2023</t>
        </is>
      </c>
      <c r="B789" s="1" t="n">
        <v>45243</v>
      </c>
      <c r="C789" s="1" t="n">
        <v>45364</v>
      </c>
      <c r="D789" t="inlineStr">
        <is>
          <t>DALARNAS LÄN</t>
        </is>
      </c>
      <c r="E789" t="inlineStr">
        <is>
          <t>LUDVIKA</t>
        </is>
      </c>
      <c r="G789" t="n">
        <v>2.9</v>
      </c>
      <c r="H789" t="n">
        <v>0</v>
      </c>
      <c r="I789" t="n">
        <v>0</v>
      </c>
      <c r="J789" t="n">
        <v>0</v>
      </c>
      <c r="K789" t="n">
        <v>0</v>
      </c>
      <c r="L789" t="n">
        <v>0</v>
      </c>
      <c r="M789" t="n">
        <v>0</v>
      </c>
      <c r="N789" t="n">
        <v>0</v>
      </c>
      <c r="O789" t="n">
        <v>0</v>
      </c>
      <c r="P789" t="n">
        <v>0</v>
      </c>
      <c r="Q789" t="n">
        <v>0</v>
      </c>
      <c r="R789" s="2" t="inlineStr"/>
    </row>
    <row r="790" ht="15" customHeight="1">
      <c r="A790" t="inlineStr">
        <is>
          <t>A 56621-2023</t>
        </is>
      </c>
      <c r="B790" s="1" t="n">
        <v>45243</v>
      </c>
      <c r="C790" s="1" t="n">
        <v>45364</v>
      </c>
      <c r="D790" t="inlineStr">
        <is>
          <t>DALARNAS LÄN</t>
        </is>
      </c>
      <c r="E790" t="inlineStr">
        <is>
          <t>LUDVIKA</t>
        </is>
      </c>
      <c r="G790" t="n">
        <v>0.5</v>
      </c>
      <c r="H790" t="n">
        <v>0</v>
      </c>
      <c r="I790" t="n">
        <v>0</v>
      </c>
      <c r="J790" t="n">
        <v>0</v>
      </c>
      <c r="K790" t="n">
        <v>0</v>
      </c>
      <c r="L790" t="n">
        <v>0</v>
      </c>
      <c r="M790" t="n">
        <v>0</v>
      </c>
      <c r="N790" t="n">
        <v>0</v>
      </c>
      <c r="O790" t="n">
        <v>0</v>
      </c>
      <c r="P790" t="n">
        <v>0</v>
      </c>
      <c r="Q790" t="n">
        <v>0</v>
      </c>
      <c r="R790" s="2" t="inlineStr"/>
    </row>
    <row r="791" ht="15" customHeight="1">
      <c r="A791" t="inlineStr">
        <is>
          <t>A 56818-2023</t>
        </is>
      </c>
      <c r="B791" s="1" t="n">
        <v>45244</v>
      </c>
      <c r="C791" s="1" t="n">
        <v>45364</v>
      </c>
      <c r="D791" t="inlineStr">
        <is>
          <t>DALARNAS LÄN</t>
        </is>
      </c>
      <c r="E791" t="inlineStr">
        <is>
          <t>LUDVIKA</t>
        </is>
      </c>
      <c r="G791" t="n">
        <v>1.4</v>
      </c>
      <c r="H791" t="n">
        <v>0</v>
      </c>
      <c r="I791" t="n">
        <v>0</v>
      </c>
      <c r="J791" t="n">
        <v>0</v>
      </c>
      <c r="K791" t="n">
        <v>0</v>
      </c>
      <c r="L791" t="n">
        <v>0</v>
      </c>
      <c r="M791" t="n">
        <v>0</v>
      </c>
      <c r="N791" t="n">
        <v>0</v>
      </c>
      <c r="O791" t="n">
        <v>0</v>
      </c>
      <c r="P791" t="n">
        <v>0</v>
      </c>
      <c r="Q791" t="n">
        <v>0</v>
      </c>
      <c r="R791" s="2" t="inlineStr"/>
    </row>
    <row r="792" ht="15" customHeight="1">
      <c r="A792" t="inlineStr">
        <is>
          <t>A 57557-2023</t>
        </is>
      </c>
      <c r="B792" s="1" t="n">
        <v>45246</v>
      </c>
      <c r="C792" s="1" t="n">
        <v>45364</v>
      </c>
      <c r="D792" t="inlineStr">
        <is>
          <t>DALARNAS LÄN</t>
        </is>
      </c>
      <c r="E792" t="inlineStr">
        <is>
          <t>LUDVIKA</t>
        </is>
      </c>
      <c r="G792" t="n">
        <v>12.7</v>
      </c>
      <c r="H792" t="n">
        <v>0</v>
      </c>
      <c r="I792" t="n">
        <v>0</v>
      </c>
      <c r="J792" t="n">
        <v>0</v>
      </c>
      <c r="K792" t="n">
        <v>0</v>
      </c>
      <c r="L792" t="n">
        <v>0</v>
      </c>
      <c r="M792" t="n">
        <v>0</v>
      </c>
      <c r="N792" t="n">
        <v>0</v>
      </c>
      <c r="O792" t="n">
        <v>0</v>
      </c>
      <c r="P792" t="n">
        <v>0</v>
      </c>
      <c r="Q792" t="n">
        <v>0</v>
      </c>
      <c r="R792" s="2" t="inlineStr"/>
    </row>
    <row r="793" ht="15" customHeight="1">
      <c r="A793" t="inlineStr">
        <is>
          <t>A 57424-2023</t>
        </is>
      </c>
      <c r="B793" s="1" t="n">
        <v>45246</v>
      </c>
      <c r="C793" s="1" t="n">
        <v>45364</v>
      </c>
      <c r="D793" t="inlineStr">
        <is>
          <t>DALARNAS LÄN</t>
        </is>
      </c>
      <c r="E793" t="inlineStr">
        <is>
          <t>LUDVIKA</t>
        </is>
      </c>
      <c r="G793" t="n">
        <v>4.5</v>
      </c>
      <c r="H793" t="n">
        <v>0</v>
      </c>
      <c r="I793" t="n">
        <v>0</v>
      </c>
      <c r="J793" t="n">
        <v>0</v>
      </c>
      <c r="K793" t="n">
        <v>0</v>
      </c>
      <c r="L793" t="n">
        <v>0</v>
      </c>
      <c r="M793" t="n">
        <v>0</v>
      </c>
      <c r="N793" t="n">
        <v>0</v>
      </c>
      <c r="O793" t="n">
        <v>0</v>
      </c>
      <c r="P793" t="n">
        <v>0</v>
      </c>
      <c r="Q793" t="n">
        <v>0</v>
      </c>
      <c r="R793" s="2" t="inlineStr"/>
    </row>
    <row r="794" ht="15" customHeight="1">
      <c r="A794" t="inlineStr">
        <is>
          <t>A 57803-2023</t>
        </is>
      </c>
      <c r="B794" s="1" t="n">
        <v>45246</v>
      </c>
      <c r="C794" s="1" t="n">
        <v>45364</v>
      </c>
      <c r="D794" t="inlineStr">
        <is>
          <t>DALARNAS LÄN</t>
        </is>
      </c>
      <c r="E794" t="inlineStr">
        <is>
          <t>LUDVIKA</t>
        </is>
      </c>
      <c r="G794" t="n">
        <v>3.3</v>
      </c>
      <c r="H794" t="n">
        <v>0</v>
      </c>
      <c r="I794" t="n">
        <v>0</v>
      </c>
      <c r="J794" t="n">
        <v>0</v>
      </c>
      <c r="K794" t="n">
        <v>0</v>
      </c>
      <c r="L794" t="n">
        <v>0</v>
      </c>
      <c r="M794" t="n">
        <v>0</v>
      </c>
      <c r="N794" t="n">
        <v>0</v>
      </c>
      <c r="O794" t="n">
        <v>0</v>
      </c>
      <c r="P794" t="n">
        <v>0</v>
      </c>
      <c r="Q794" t="n">
        <v>0</v>
      </c>
      <c r="R794" s="2" t="inlineStr"/>
    </row>
    <row r="795" ht="15" customHeight="1">
      <c r="A795" t="inlineStr">
        <is>
          <t>A 57858-2023</t>
        </is>
      </c>
      <c r="B795" s="1" t="n">
        <v>45247</v>
      </c>
      <c r="C795" s="1" t="n">
        <v>45364</v>
      </c>
      <c r="D795" t="inlineStr">
        <is>
          <t>DALARNAS LÄN</t>
        </is>
      </c>
      <c r="E795" t="inlineStr">
        <is>
          <t>LUDVIKA</t>
        </is>
      </c>
      <c r="F795" t="inlineStr">
        <is>
          <t>Bergvik skog väst AB</t>
        </is>
      </c>
      <c r="G795" t="n">
        <v>14.2</v>
      </c>
      <c r="H795" t="n">
        <v>0</v>
      </c>
      <c r="I795" t="n">
        <v>0</v>
      </c>
      <c r="J795" t="n">
        <v>0</v>
      </c>
      <c r="K795" t="n">
        <v>0</v>
      </c>
      <c r="L795" t="n">
        <v>0</v>
      </c>
      <c r="M795" t="n">
        <v>0</v>
      </c>
      <c r="N795" t="n">
        <v>0</v>
      </c>
      <c r="O795" t="n">
        <v>0</v>
      </c>
      <c r="P795" t="n">
        <v>0</v>
      </c>
      <c r="Q795" t="n">
        <v>0</v>
      </c>
      <c r="R795" s="2" t="inlineStr"/>
    </row>
    <row r="796" ht="15" customHeight="1">
      <c r="A796" t="inlineStr">
        <is>
          <t>A 57922-2023</t>
        </is>
      </c>
      <c r="B796" s="1" t="n">
        <v>45247</v>
      </c>
      <c r="C796" s="1" t="n">
        <v>45364</v>
      </c>
      <c r="D796" t="inlineStr">
        <is>
          <t>DALARNAS LÄN</t>
        </is>
      </c>
      <c r="E796" t="inlineStr">
        <is>
          <t>LUDVIKA</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57982-2023</t>
        </is>
      </c>
      <c r="B797" s="1" t="n">
        <v>45247</v>
      </c>
      <c r="C797" s="1" t="n">
        <v>45364</v>
      </c>
      <c r="D797" t="inlineStr">
        <is>
          <t>DALARNAS LÄN</t>
        </is>
      </c>
      <c r="E797" t="inlineStr">
        <is>
          <t>LUDVIKA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58112-2023</t>
        </is>
      </c>
      <c r="B798" s="1" t="n">
        <v>45249</v>
      </c>
      <c r="C798" s="1" t="n">
        <v>45364</v>
      </c>
      <c r="D798" t="inlineStr">
        <is>
          <t>DALARNAS LÄN</t>
        </is>
      </c>
      <c r="E798" t="inlineStr">
        <is>
          <t>LUDVIKA</t>
        </is>
      </c>
      <c r="G798" t="n">
        <v>4.7</v>
      </c>
      <c r="H798" t="n">
        <v>0</v>
      </c>
      <c r="I798" t="n">
        <v>0</v>
      </c>
      <c r="J798" t="n">
        <v>0</v>
      </c>
      <c r="K798" t="n">
        <v>0</v>
      </c>
      <c r="L798" t="n">
        <v>0</v>
      </c>
      <c r="M798" t="n">
        <v>0</v>
      </c>
      <c r="N798" t="n">
        <v>0</v>
      </c>
      <c r="O798" t="n">
        <v>0</v>
      </c>
      <c r="P798" t="n">
        <v>0</v>
      </c>
      <c r="Q798" t="n">
        <v>0</v>
      </c>
      <c r="R798" s="2" t="inlineStr"/>
    </row>
    <row r="799" ht="15" customHeight="1">
      <c r="A799" t="inlineStr">
        <is>
          <t>A 59201-2023</t>
        </is>
      </c>
      <c r="B799" s="1" t="n">
        <v>45253</v>
      </c>
      <c r="C799" s="1" t="n">
        <v>45364</v>
      </c>
      <c r="D799" t="inlineStr">
        <is>
          <t>DALARNAS LÄN</t>
        </is>
      </c>
      <c r="E799" t="inlineStr">
        <is>
          <t>LUDVIKA</t>
        </is>
      </c>
      <c r="F799" t="inlineStr">
        <is>
          <t>Bergvik skog väst AB</t>
        </is>
      </c>
      <c r="G799" t="n">
        <v>2.4</v>
      </c>
      <c r="H799" t="n">
        <v>0</v>
      </c>
      <c r="I799" t="n">
        <v>0</v>
      </c>
      <c r="J799" t="n">
        <v>0</v>
      </c>
      <c r="K799" t="n">
        <v>0</v>
      </c>
      <c r="L799" t="n">
        <v>0</v>
      </c>
      <c r="M799" t="n">
        <v>0</v>
      </c>
      <c r="N799" t="n">
        <v>0</v>
      </c>
      <c r="O799" t="n">
        <v>0</v>
      </c>
      <c r="P799" t="n">
        <v>0</v>
      </c>
      <c r="Q799" t="n">
        <v>0</v>
      </c>
      <c r="R799" s="2" t="inlineStr"/>
    </row>
    <row r="800" ht="15" customHeight="1">
      <c r="A800" t="inlineStr">
        <is>
          <t>A 59206-2023</t>
        </is>
      </c>
      <c r="B800" s="1" t="n">
        <v>45253</v>
      </c>
      <c r="C800" s="1" t="n">
        <v>45364</v>
      </c>
      <c r="D800" t="inlineStr">
        <is>
          <t>DALARNAS LÄN</t>
        </is>
      </c>
      <c r="E800" t="inlineStr">
        <is>
          <t>LUDVIKA</t>
        </is>
      </c>
      <c r="F800" t="inlineStr">
        <is>
          <t>Bergvik skog väst AB</t>
        </is>
      </c>
      <c r="G800" t="n">
        <v>2.2</v>
      </c>
      <c r="H800" t="n">
        <v>0</v>
      </c>
      <c r="I800" t="n">
        <v>0</v>
      </c>
      <c r="J800" t="n">
        <v>0</v>
      </c>
      <c r="K800" t="n">
        <v>0</v>
      </c>
      <c r="L800" t="n">
        <v>0</v>
      </c>
      <c r="M800" t="n">
        <v>0</v>
      </c>
      <c r="N800" t="n">
        <v>0</v>
      </c>
      <c r="O800" t="n">
        <v>0</v>
      </c>
      <c r="P800" t="n">
        <v>0</v>
      </c>
      <c r="Q800" t="n">
        <v>0</v>
      </c>
      <c r="R800" s="2" t="inlineStr"/>
    </row>
    <row r="801" ht="15" customHeight="1">
      <c r="A801" t="inlineStr">
        <is>
          <t>A 59219-2023</t>
        </is>
      </c>
      <c r="B801" s="1" t="n">
        <v>45253</v>
      </c>
      <c r="C801" s="1" t="n">
        <v>45364</v>
      </c>
      <c r="D801" t="inlineStr">
        <is>
          <t>DALARNAS LÄN</t>
        </is>
      </c>
      <c r="E801" t="inlineStr">
        <is>
          <t>LUDVIKA</t>
        </is>
      </c>
      <c r="F801" t="inlineStr">
        <is>
          <t>Bergvik skog väst AB</t>
        </is>
      </c>
      <c r="G801" t="n">
        <v>3.2</v>
      </c>
      <c r="H801" t="n">
        <v>0</v>
      </c>
      <c r="I801" t="n">
        <v>0</v>
      </c>
      <c r="J801" t="n">
        <v>0</v>
      </c>
      <c r="K801" t="n">
        <v>0</v>
      </c>
      <c r="L801" t="n">
        <v>0</v>
      </c>
      <c r="M801" t="n">
        <v>0</v>
      </c>
      <c r="N801" t="n">
        <v>0</v>
      </c>
      <c r="O801" t="n">
        <v>0</v>
      </c>
      <c r="P801" t="n">
        <v>0</v>
      </c>
      <c r="Q801" t="n">
        <v>0</v>
      </c>
      <c r="R801" s="2" t="inlineStr"/>
    </row>
    <row r="802" ht="15" customHeight="1">
      <c r="A802" t="inlineStr">
        <is>
          <t>A 59285-2023</t>
        </is>
      </c>
      <c r="B802" s="1" t="n">
        <v>45253</v>
      </c>
      <c r="C802" s="1" t="n">
        <v>45364</v>
      </c>
      <c r="D802" t="inlineStr">
        <is>
          <t>DALARNAS LÄN</t>
        </is>
      </c>
      <c r="E802" t="inlineStr">
        <is>
          <t>LUDVIKA</t>
        </is>
      </c>
      <c r="F802" t="inlineStr">
        <is>
          <t>Bergvik skog väst AB</t>
        </is>
      </c>
      <c r="G802" t="n">
        <v>2.8</v>
      </c>
      <c r="H802" t="n">
        <v>0</v>
      </c>
      <c r="I802" t="n">
        <v>0</v>
      </c>
      <c r="J802" t="n">
        <v>0</v>
      </c>
      <c r="K802" t="n">
        <v>0</v>
      </c>
      <c r="L802" t="n">
        <v>0</v>
      </c>
      <c r="M802" t="n">
        <v>0</v>
      </c>
      <c r="N802" t="n">
        <v>0</v>
      </c>
      <c r="O802" t="n">
        <v>0</v>
      </c>
      <c r="P802" t="n">
        <v>0</v>
      </c>
      <c r="Q802" t="n">
        <v>0</v>
      </c>
      <c r="R802" s="2" t="inlineStr"/>
    </row>
    <row r="803" ht="15" customHeight="1">
      <c r="A803" t="inlineStr">
        <is>
          <t>A 59351-2023</t>
        </is>
      </c>
      <c r="B803" s="1" t="n">
        <v>45253</v>
      </c>
      <c r="C803" s="1" t="n">
        <v>45364</v>
      </c>
      <c r="D803" t="inlineStr">
        <is>
          <t>DALARNAS LÄN</t>
        </is>
      </c>
      <c r="E803" t="inlineStr">
        <is>
          <t>LUDVIKA</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59437-2023</t>
        </is>
      </c>
      <c r="B804" s="1" t="n">
        <v>45254</v>
      </c>
      <c r="C804" s="1" t="n">
        <v>45364</v>
      </c>
      <c r="D804" t="inlineStr">
        <is>
          <t>DALARNAS LÄN</t>
        </is>
      </c>
      <c r="E804" t="inlineStr">
        <is>
          <t>LUDVIKA</t>
        </is>
      </c>
      <c r="F804" t="inlineStr">
        <is>
          <t>Bergvik skog väst AB</t>
        </is>
      </c>
      <c r="G804" t="n">
        <v>0.8</v>
      </c>
      <c r="H804" t="n">
        <v>0</v>
      </c>
      <c r="I804" t="n">
        <v>0</v>
      </c>
      <c r="J804" t="n">
        <v>0</v>
      </c>
      <c r="K804" t="n">
        <v>0</v>
      </c>
      <c r="L804" t="n">
        <v>0</v>
      </c>
      <c r="M804" t="n">
        <v>0</v>
      </c>
      <c r="N804" t="n">
        <v>0</v>
      </c>
      <c r="O804" t="n">
        <v>0</v>
      </c>
      <c r="P804" t="n">
        <v>0</v>
      </c>
      <c r="Q804" t="n">
        <v>0</v>
      </c>
      <c r="R804" s="2" t="inlineStr"/>
    </row>
    <row r="805" ht="15" customHeight="1">
      <c r="A805" t="inlineStr">
        <is>
          <t>A 59646-2023</t>
        </is>
      </c>
      <c r="B805" s="1" t="n">
        <v>45254</v>
      </c>
      <c r="C805" s="1" t="n">
        <v>45364</v>
      </c>
      <c r="D805" t="inlineStr">
        <is>
          <t>DALARNAS LÄN</t>
        </is>
      </c>
      <c r="E805" t="inlineStr">
        <is>
          <t>LUDVIKA</t>
        </is>
      </c>
      <c r="G805" t="n">
        <v>7.6</v>
      </c>
      <c r="H805" t="n">
        <v>0</v>
      </c>
      <c r="I805" t="n">
        <v>0</v>
      </c>
      <c r="J805" t="n">
        <v>0</v>
      </c>
      <c r="K805" t="n">
        <v>0</v>
      </c>
      <c r="L805" t="n">
        <v>0</v>
      </c>
      <c r="M805" t="n">
        <v>0</v>
      </c>
      <c r="N805" t="n">
        <v>0</v>
      </c>
      <c r="O805" t="n">
        <v>0</v>
      </c>
      <c r="P805" t="n">
        <v>0</v>
      </c>
      <c r="Q805" t="n">
        <v>0</v>
      </c>
      <c r="R805" s="2" t="inlineStr"/>
    </row>
    <row r="806" ht="15" customHeight="1">
      <c r="A806" t="inlineStr">
        <is>
          <t>A 59918-2023</t>
        </is>
      </c>
      <c r="B806" s="1" t="n">
        <v>45257</v>
      </c>
      <c r="C806" s="1" t="n">
        <v>45364</v>
      </c>
      <c r="D806" t="inlineStr">
        <is>
          <t>DALARNAS LÄN</t>
        </is>
      </c>
      <c r="E806" t="inlineStr">
        <is>
          <t>LUDVIKA</t>
        </is>
      </c>
      <c r="F806" t="inlineStr">
        <is>
          <t>Bergvik skog väst AB</t>
        </is>
      </c>
      <c r="G806" t="n">
        <v>5.9</v>
      </c>
      <c r="H806" t="n">
        <v>0</v>
      </c>
      <c r="I806" t="n">
        <v>0</v>
      </c>
      <c r="J806" t="n">
        <v>0</v>
      </c>
      <c r="K806" t="n">
        <v>0</v>
      </c>
      <c r="L806" t="n">
        <v>0</v>
      </c>
      <c r="M806" t="n">
        <v>0</v>
      </c>
      <c r="N806" t="n">
        <v>0</v>
      </c>
      <c r="O806" t="n">
        <v>0</v>
      </c>
      <c r="P806" t="n">
        <v>0</v>
      </c>
      <c r="Q806" t="n">
        <v>0</v>
      </c>
      <c r="R806" s="2" t="inlineStr"/>
    </row>
    <row r="807" ht="15" customHeight="1">
      <c r="A807" t="inlineStr">
        <is>
          <t>A 60183-2023</t>
        </is>
      </c>
      <c r="B807" s="1" t="n">
        <v>45257</v>
      </c>
      <c r="C807" s="1" t="n">
        <v>45364</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60180-2023</t>
        </is>
      </c>
      <c r="B808" s="1" t="n">
        <v>45257</v>
      </c>
      <c r="C808" s="1" t="n">
        <v>45364</v>
      </c>
      <c r="D808" t="inlineStr">
        <is>
          <t>DALARNAS LÄN</t>
        </is>
      </c>
      <c r="E808" t="inlineStr">
        <is>
          <t>LUDVIKA</t>
        </is>
      </c>
      <c r="G808" t="n">
        <v>2.4</v>
      </c>
      <c r="H808" t="n">
        <v>0</v>
      </c>
      <c r="I808" t="n">
        <v>0</v>
      </c>
      <c r="J808" t="n">
        <v>0</v>
      </c>
      <c r="K808" t="n">
        <v>0</v>
      </c>
      <c r="L808" t="n">
        <v>0</v>
      </c>
      <c r="M808" t="n">
        <v>0</v>
      </c>
      <c r="N808" t="n">
        <v>0</v>
      </c>
      <c r="O808" t="n">
        <v>0</v>
      </c>
      <c r="P808" t="n">
        <v>0</v>
      </c>
      <c r="Q808" t="n">
        <v>0</v>
      </c>
      <c r="R808" s="2" t="inlineStr"/>
    </row>
    <row r="809" ht="15" customHeight="1">
      <c r="A809" t="inlineStr">
        <is>
          <t>A 60138-2023</t>
        </is>
      </c>
      <c r="B809" s="1" t="n">
        <v>45258</v>
      </c>
      <c r="C809" s="1" t="n">
        <v>45364</v>
      </c>
      <c r="D809" t="inlineStr">
        <is>
          <t>DALARNAS LÄN</t>
        </is>
      </c>
      <c r="E809" t="inlineStr">
        <is>
          <t>LUDVIKA</t>
        </is>
      </c>
      <c r="G809" t="n">
        <v>1.3</v>
      </c>
      <c r="H809" t="n">
        <v>0</v>
      </c>
      <c r="I809" t="n">
        <v>0</v>
      </c>
      <c r="J809" t="n">
        <v>0</v>
      </c>
      <c r="K809" t="n">
        <v>0</v>
      </c>
      <c r="L809" t="n">
        <v>0</v>
      </c>
      <c r="M809" t="n">
        <v>0</v>
      </c>
      <c r="N809" t="n">
        <v>0</v>
      </c>
      <c r="O809" t="n">
        <v>0</v>
      </c>
      <c r="P809" t="n">
        <v>0</v>
      </c>
      <c r="Q809" t="n">
        <v>0</v>
      </c>
      <c r="R809" s="2" t="inlineStr"/>
    </row>
    <row r="810" ht="15" customHeight="1">
      <c r="A810" t="inlineStr">
        <is>
          <t>A 60636-2023</t>
        </is>
      </c>
      <c r="B810" s="1" t="n">
        <v>45260</v>
      </c>
      <c r="C810" s="1" t="n">
        <v>45364</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61507-2023</t>
        </is>
      </c>
      <c r="B811" s="1" t="n">
        <v>45265</v>
      </c>
      <c r="C811" s="1" t="n">
        <v>45364</v>
      </c>
      <c r="D811" t="inlineStr">
        <is>
          <t>DALARNAS LÄN</t>
        </is>
      </c>
      <c r="E811" t="inlineStr">
        <is>
          <t>LUDVIKA</t>
        </is>
      </c>
      <c r="G811" t="n">
        <v>3</v>
      </c>
      <c r="H811" t="n">
        <v>0</v>
      </c>
      <c r="I811" t="n">
        <v>0</v>
      </c>
      <c r="J811" t="n">
        <v>0</v>
      </c>
      <c r="K811" t="n">
        <v>0</v>
      </c>
      <c r="L811" t="n">
        <v>0</v>
      </c>
      <c r="M811" t="n">
        <v>0</v>
      </c>
      <c r="N811" t="n">
        <v>0</v>
      </c>
      <c r="O811" t="n">
        <v>0</v>
      </c>
      <c r="P811" t="n">
        <v>0</v>
      </c>
      <c r="Q811" t="n">
        <v>0</v>
      </c>
      <c r="R811" s="2" t="inlineStr"/>
    </row>
    <row r="812" ht="15" customHeight="1">
      <c r="A812" t="inlineStr">
        <is>
          <t>A 63131-2023</t>
        </is>
      </c>
      <c r="B812" s="1" t="n">
        <v>45273</v>
      </c>
      <c r="C812" s="1" t="n">
        <v>45364</v>
      </c>
      <c r="D812" t="inlineStr">
        <is>
          <t>DALARNAS LÄN</t>
        </is>
      </c>
      <c r="E812" t="inlineStr">
        <is>
          <t>LUDVIKA</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64171-2023</t>
        </is>
      </c>
      <c r="B813" s="1" t="n">
        <v>45279</v>
      </c>
      <c r="C813" s="1" t="n">
        <v>45364</v>
      </c>
      <c r="D813" t="inlineStr">
        <is>
          <t>DALARNAS LÄN</t>
        </is>
      </c>
      <c r="E813" t="inlineStr">
        <is>
          <t>LUDVIKA</t>
        </is>
      </c>
      <c r="G813" t="n">
        <v>8.6</v>
      </c>
      <c r="H813" t="n">
        <v>0</v>
      </c>
      <c r="I813" t="n">
        <v>0</v>
      </c>
      <c r="J813" t="n">
        <v>0</v>
      </c>
      <c r="K813" t="n">
        <v>0</v>
      </c>
      <c r="L813" t="n">
        <v>0</v>
      </c>
      <c r="M813" t="n">
        <v>0</v>
      </c>
      <c r="N813" t="n">
        <v>0</v>
      </c>
      <c r="O813" t="n">
        <v>0</v>
      </c>
      <c r="P813" t="n">
        <v>0</v>
      </c>
      <c r="Q813" t="n">
        <v>0</v>
      </c>
      <c r="R813" s="2" t="inlineStr"/>
    </row>
    <row r="814" ht="15" customHeight="1">
      <c r="A814" t="inlineStr">
        <is>
          <t>A 64447-2023</t>
        </is>
      </c>
      <c r="B814" s="1" t="n">
        <v>45280</v>
      </c>
      <c r="C814" s="1" t="n">
        <v>45364</v>
      </c>
      <c r="D814" t="inlineStr">
        <is>
          <t>DALARNAS LÄN</t>
        </is>
      </c>
      <c r="E814" t="inlineStr">
        <is>
          <t>LUDVIKA</t>
        </is>
      </c>
      <c r="G814" t="n">
        <v>2</v>
      </c>
      <c r="H814" t="n">
        <v>0</v>
      </c>
      <c r="I814" t="n">
        <v>0</v>
      </c>
      <c r="J814" t="n">
        <v>0</v>
      </c>
      <c r="K814" t="n">
        <v>0</v>
      </c>
      <c r="L814" t="n">
        <v>0</v>
      </c>
      <c r="M814" t="n">
        <v>0</v>
      </c>
      <c r="N814" t="n">
        <v>0</v>
      </c>
      <c r="O814" t="n">
        <v>0</v>
      </c>
      <c r="P814" t="n">
        <v>0</v>
      </c>
      <c r="Q814" t="n">
        <v>0</v>
      </c>
      <c r="R814" s="2" t="inlineStr"/>
    </row>
    <row r="815" ht="15" customHeight="1">
      <c r="A815" t="inlineStr">
        <is>
          <t>A 64450-2023</t>
        </is>
      </c>
      <c r="B815" s="1" t="n">
        <v>45280</v>
      </c>
      <c r="C815" s="1" t="n">
        <v>45364</v>
      </c>
      <c r="D815" t="inlineStr">
        <is>
          <t>DALARNAS LÄN</t>
        </is>
      </c>
      <c r="E815" t="inlineStr">
        <is>
          <t>LUDVIKA</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64449-2023</t>
        </is>
      </c>
      <c r="B816" s="1" t="n">
        <v>45280</v>
      </c>
      <c r="C816" s="1" t="n">
        <v>45364</v>
      </c>
      <c r="D816" t="inlineStr">
        <is>
          <t>DALARNAS LÄN</t>
        </is>
      </c>
      <c r="E816" t="inlineStr">
        <is>
          <t>LUDVIKA</t>
        </is>
      </c>
      <c r="G816" t="n">
        <v>10.2</v>
      </c>
      <c r="H816" t="n">
        <v>0</v>
      </c>
      <c r="I816" t="n">
        <v>0</v>
      </c>
      <c r="J816" t="n">
        <v>0</v>
      </c>
      <c r="K816" t="n">
        <v>0</v>
      </c>
      <c r="L816" t="n">
        <v>0</v>
      </c>
      <c r="M816" t="n">
        <v>0</v>
      </c>
      <c r="N816" t="n">
        <v>0</v>
      </c>
      <c r="O816" t="n">
        <v>0</v>
      </c>
      <c r="P816" t="n">
        <v>0</v>
      </c>
      <c r="Q816" t="n">
        <v>0</v>
      </c>
      <c r="R816" s="2" t="inlineStr"/>
    </row>
    <row r="817" ht="15" customHeight="1">
      <c r="A817" t="inlineStr">
        <is>
          <t>A 65104-2023</t>
        </is>
      </c>
      <c r="B817" s="1" t="n">
        <v>45288</v>
      </c>
      <c r="C817" s="1" t="n">
        <v>45364</v>
      </c>
      <c r="D817" t="inlineStr">
        <is>
          <t>DALARNAS LÄN</t>
        </is>
      </c>
      <c r="E817" t="inlineStr">
        <is>
          <t>LUDVIKA</t>
        </is>
      </c>
      <c r="G817" t="n">
        <v>1.3</v>
      </c>
      <c r="H817" t="n">
        <v>0</v>
      </c>
      <c r="I817" t="n">
        <v>0</v>
      </c>
      <c r="J817" t="n">
        <v>0</v>
      </c>
      <c r="K817" t="n">
        <v>0</v>
      </c>
      <c r="L817" t="n">
        <v>0</v>
      </c>
      <c r="M817" t="n">
        <v>0</v>
      </c>
      <c r="N817" t="n">
        <v>0</v>
      </c>
      <c r="O817" t="n">
        <v>0</v>
      </c>
      <c r="P817" t="n">
        <v>0</v>
      </c>
      <c r="Q817" t="n">
        <v>0</v>
      </c>
      <c r="R817" s="2" t="inlineStr"/>
    </row>
    <row r="818" ht="15" customHeight="1">
      <c r="A818" t="inlineStr">
        <is>
          <t>A 451-2024</t>
        </is>
      </c>
      <c r="B818" s="1" t="n">
        <v>45296</v>
      </c>
      <c r="C818" s="1" t="n">
        <v>45364</v>
      </c>
      <c r="D818" t="inlineStr">
        <is>
          <t>DALARNAS LÄN</t>
        </is>
      </c>
      <c r="E818" t="inlineStr">
        <is>
          <t>LUDVIKA</t>
        </is>
      </c>
      <c r="F818" t="inlineStr">
        <is>
          <t>Bergvik skog väst AB</t>
        </is>
      </c>
      <c r="G818" t="n">
        <v>8.300000000000001</v>
      </c>
      <c r="H818" t="n">
        <v>0</v>
      </c>
      <c r="I818" t="n">
        <v>0</v>
      </c>
      <c r="J818" t="n">
        <v>0</v>
      </c>
      <c r="K818" t="n">
        <v>0</v>
      </c>
      <c r="L818" t="n">
        <v>0</v>
      </c>
      <c r="M818" t="n">
        <v>0</v>
      </c>
      <c r="N818" t="n">
        <v>0</v>
      </c>
      <c r="O818" t="n">
        <v>0</v>
      </c>
      <c r="P818" t="n">
        <v>0</v>
      </c>
      <c r="Q818" t="n">
        <v>0</v>
      </c>
      <c r="R818" s="2" t="inlineStr"/>
    </row>
    <row r="819" ht="15" customHeight="1">
      <c r="A819" t="inlineStr">
        <is>
          <t>A 478-2024</t>
        </is>
      </c>
      <c r="B819" s="1" t="n">
        <v>45297</v>
      </c>
      <c r="C819" s="1" t="n">
        <v>45364</v>
      </c>
      <c r="D819" t="inlineStr">
        <is>
          <t>DALARNAS LÄN</t>
        </is>
      </c>
      <c r="E819" t="inlineStr">
        <is>
          <t>LUDVIKA</t>
        </is>
      </c>
      <c r="G819" t="n">
        <v>3.2</v>
      </c>
      <c r="H819" t="n">
        <v>0</v>
      </c>
      <c r="I819" t="n">
        <v>0</v>
      </c>
      <c r="J819" t="n">
        <v>0</v>
      </c>
      <c r="K819" t="n">
        <v>0</v>
      </c>
      <c r="L819" t="n">
        <v>0</v>
      </c>
      <c r="M819" t="n">
        <v>0</v>
      </c>
      <c r="N819" t="n">
        <v>0</v>
      </c>
      <c r="O819" t="n">
        <v>0</v>
      </c>
      <c r="P819" t="n">
        <v>0</v>
      </c>
      <c r="Q819" t="n">
        <v>0</v>
      </c>
      <c r="R819" s="2" t="inlineStr"/>
    </row>
    <row r="820" ht="15" customHeight="1">
      <c r="A820" t="inlineStr">
        <is>
          <t>A 918-2024</t>
        </is>
      </c>
      <c r="B820" s="1" t="n">
        <v>45301</v>
      </c>
      <c r="C820" s="1" t="n">
        <v>45364</v>
      </c>
      <c r="D820" t="inlineStr">
        <is>
          <t>DALARNAS LÄN</t>
        </is>
      </c>
      <c r="E820" t="inlineStr">
        <is>
          <t>LUDVIKA</t>
        </is>
      </c>
      <c r="G820" t="n">
        <v>6</v>
      </c>
      <c r="H820" t="n">
        <v>0</v>
      </c>
      <c r="I820" t="n">
        <v>0</v>
      </c>
      <c r="J820" t="n">
        <v>0</v>
      </c>
      <c r="K820" t="n">
        <v>0</v>
      </c>
      <c r="L820" t="n">
        <v>0</v>
      </c>
      <c r="M820" t="n">
        <v>0</v>
      </c>
      <c r="N820" t="n">
        <v>0</v>
      </c>
      <c r="O820" t="n">
        <v>0</v>
      </c>
      <c r="P820" t="n">
        <v>0</v>
      </c>
      <c r="Q820" t="n">
        <v>0</v>
      </c>
      <c r="R820" s="2" t="inlineStr"/>
    </row>
    <row r="821" ht="15" customHeight="1">
      <c r="A821" t="inlineStr">
        <is>
          <t>A 923-2024</t>
        </is>
      </c>
      <c r="B821" s="1" t="n">
        <v>45301</v>
      </c>
      <c r="C821" s="1" t="n">
        <v>45364</v>
      </c>
      <c r="D821" t="inlineStr">
        <is>
          <t>DALARNAS LÄN</t>
        </is>
      </c>
      <c r="E821" t="inlineStr">
        <is>
          <t>LUDVIKA</t>
        </is>
      </c>
      <c r="G821" t="n">
        <v>0.3</v>
      </c>
      <c r="H821" t="n">
        <v>0</v>
      </c>
      <c r="I821" t="n">
        <v>0</v>
      </c>
      <c r="J821" t="n">
        <v>0</v>
      </c>
      <c r="K821" t="n">
        <v>0</v>
      </c>
      <c r="L821" t="n">
        <v>0</v>
      </c>
      <c r="M821" t="n">
        <v>0</v>
      </c>
      <c r="N821" t="n">
        <v>0</v>
      </c>
      <c r="O821" t="n">
        <v>0</v>
      </c>
      <c r="P821" t="n">
        <v>0</v>
      </c>
      <c r="Q821" t="n">
        <v>0</v>
      </c>
      <c r="R821" s="2" t="inlineStr"/>
    </row>
    <row r="822" ht="15" customHeight="1">
      <c r="A822" t="inlineStr">
        <is>
          <t>A 1133-2024</t>
        </is>
      </c>
      <c r="B822" s="1" t="n">
        <v>45302</v>
      </c>
      <c r="C822" s="1" t="n">
        <v>45364</v>
      </c>
      <c r="D822" t="inlineStr">
        <is>
          <t>DALARNAS LÄN</t>
        </is>
      </c>
      <c r="E822" t="inlineStr">
        <is>
          <t>LUDVIKA</t>
        </is>
      </c>
      <c r="G822" t="n">
        <v>2.6</v>
      </c>
      <c r="H822" t="n">
        <v>0</v>
      </c>
      <c r="I822" t="n">
        <v>0</v>
      </c>
      <c r="J822" t="n">
        <v>0</v>
      </c>
      <c r="K822" t="n">
        <v>0</v>
      </c>
      <c r="L822" t="n">
        <v>0</v>
      </c>
      <c r="M822" t="n">
        <v>0</v>
      </c>
      <c r="N822" t="n">
        <v>0</v>
      </c>
      <c r="O822" t="n">
        <v>0</v>
      </c>
      <c r="P822" t="n">
        <v>0</v>
      </c>
      <c r="Q822" t="n">
        <v>0</v>
      </c>
      <c r="R822" s="2" t="inlineStr"/>
    </row>
    <row r="823" ht="15" customHeight="1">
      <c r="A823" t="inlineStr">
        <is>
          <t>A 1444-2024</t>
        </is>
      </c>
      <c r="B823" s="1" t="n">
        <v>45303</v>
      </c>
      <c r="C823" s="1" t="n">
        <v>45364</v>
      </c>
      <c r="D823" t="inlineStr">
        <is>
          <t>DALARNAS LÄN</t>
        </is>
      </c>
      <c r="E823" t="inlineStr">
        <is>
          <t>LUDVIKA</t>
        </is>
      </c>
      <c r="G823" t="n">
        <v>0.9</v>
      </c>
      <c r="H823" t="n">
        <v>0</v>
      </c>
      <c r="I823" t="n">
        <v>0</v>
      </c>
      <c r="J823" t="n">
        <v>0</v>
      </c>
      <c r="K823" t="n">
        <v>0</v>
      </c>
      <c r="L823" t="n">
        <v>0</v>
      </c>
      <c r="M823" t="n">
        <v>0</v>
      </c>
      <c r="N823" t="n">
        <v>0</v>
      </c>
      <c r="O823" t="n">
        <v>0</v>
      </c>
      <c r="P823" t="n">
        <v>0</v>
      </c>
      <c r="Q823" t="n">
        <v>0</v>
      </c>
      <c r="R823" s="2" t="inlineStr"/>
    </row>
    <row r="824" ht="15" customHeight="1">
      <c r="A824" t="inlineStr">
        <is>
          <t>A 1761-2024</t>
        </is>
      </c>
      <c r="B824" s="1" t="n">
        <v>45307</v>
      </c>
      <c r="C824" s="1" t="n">
        <v>45364</v>
      </c>
      <c r="D824" t="inlineStr">
        <is>
          <t>DALARNAS LÄN</t>
        </is>
      </c>
      <c r="E824" t="inlineStr">
        <is>
          <t>LUDVIKA</t>
        </is>
      </c>
      <c r="F824" t="inlineStr">
        <is>
          <t>Naturvårdsverket</t>
        </is>
      </c>
      <c r="G824" t="n">
        <v>1.5</v>
      </c>
      <c r="H824" t="n">
        <v>0</v>
      </c>
      <c r="I824" t="n">
        <v>0</v>
      </c>
      <c r="J824" t="n">
        <v>0</v>
      </c>
      <c r="K824" t="n">
        <v>0</v>
      </c>
      <c r="L824" t="n">
        <v>0</v>
      </c>
      <c r="M824" t="n">
        <v>0</v>
      </c>
      <c r="N824" t="n">
        <v>0</v>
      </c>
      <c r="O824" t="n">
        <v>0</v>
      </c>
      <c r="P824" t="n">
        <v>0</v>
      </c>
      <c r="Q824" t="n">
        <v>0</v>
      </c>
      <c r="R824" s="2" t="inlineStr"/>
    </row>
    <row r="825" ht="15" customHeight="1">
      <c r="A825" t="inlineStr">
        <is>
          <t>A 1988-2024</t>
        </is>
      </c>
      <c r="B825" s="1" t="n">
        <v>45308</v>
      </c>
      <c r="C825" s="1" t="n">
        <v>45364</v>
      </c>
      <c r="D825" t="inlineStr">
        <is>
          <t>DALARNAS LÄN</t>
        </is>
      </c>
      <c r="E825" t="inlineStr">
        <is>
          <t>LUDVIKA</t>
        </is>
      </c>
      <c r="G825" t="n">
        <v>4.2</v>
      </c>
      <c r="H825" t="n">
        <v>0</v>
      </c>
      <c r="I825" t="n">
        <v>0</v>
      </c>
      <c r="J825" t="n">
        <v>0</v>
      </c>
      <c r="K825" t="n">
        <v>0</v>
      </c>
      <c r="L825" t="n">
        <v>0</v>
      </c>
      <c r="M825" t="n">
        <v>0</v>
      </c>
      <c r="N825" t="n">
        <v>0</v>
      </c>
      <c r="O825" t="n">
        <v>0</v>
      </c>
      <c r="P825" t="n">
        <v>0</v>
      </c>
      <c r="Q825" t="n">
        <v>0</v>
      </c>
      <c r="R825" s="2" t="inlineStr"/>
    </row>
    <row r="826" ht="15" customHeight="1">
      <c r="A826" t="inlineStr">
        <is>
          <t>A 2484-2024</t>
        </is>
      </c>
      <c r="B826" s="1" t="n">
        <v>45313</v>
      </c>
      <c r="C826" s="1" t="n">
        <v>45364</v>
      </c>
      <c r="D826" t="inlineStr">
        <is>
          <t>DALARNAS LÄN</t>
        </is>
      </c>
      <c r="E826" t="inlineStr">
        <is>
          <t>LUDVIKA</t>
        </is>
      </c>
      <c r="G826" t="n">
        <v>1</v>
      </c>
      <c r="H826" t="n">
        <v>0</v>
      </c>
      <c r="I826" t="n">
        <v>0</v>
      </c>
      <c r="J826" t="n">
        <v>0</v>
      </c>
      <c r="K826" t="n">
        <v>0</v>
      </c>
      <c r="L826" t="n">
        <v>0</v>
      </c>
      <c r="M826" t="n">
        <v>0</v>
      </c>
      <c r="N826" t="n">
        <v>0</v>
      </c>
      <c r="O826" t="n">
        <v>0</v>
      </c>
      <c r="P826" t="n">
        <v>0</v>
      </c>
      <c r="Q826" t="n">
        <v>0</v>
      </c>
      <c r="R826" s="2" t="inlineStr"/>
    </row>
    <row r="827" ht="15" customHeight="1">
      <c r="A827" t="inlineStr">
        <is>
          <t>A 2481-2024</t>
        </is>
      </c>
      <c r="B827" s="1" t="n">
        <v>45313</v>
      </c>
      <c r="C827" s="1" t="n">
        <v>45364</v>
      </c>
      <c r="D827" t="inlineStr">
        <is>
          <t>DALARNAS LÄN</t>
        </is>
      </c>
      <c r="E827" t="inlineStr">
        <is>
          <t>LUDVIKA</t>
        </is>
      </c>
      <c r="G827" t="n">
        <v>4.8</v>
      </c>
      <c r="H827" t="n">
        <v>0</v>
      </c>
      <c r="I827" t="n">
        <v>0</v>
      </c>
      <c r="J827" t="n">
        <v>0</v>
      </c>
      <c r="K827" t="n">
        <v>0</v>
      </c>
      <c r="L827" t="n">
        <v>0</v>
      </c>
      <c r="M827" t="n">
        <v>0</v>
      </c>
      <c r="N827" t="n">
        <v>0</v>
      </c>
      <c r="O827" t="n">
        <v>0</v>
      </c>
      <c r="P827" t="n">
        <v>0</v>
      </c>
      <c r="Q827" t="n">
        <v>0</v>
      </c>
      <c r="R827" s="2" t="inlineStr"/>
      <c r="U827">
        <f>HYPERLINK("https://klasma.github.io/Logging_2085/knärot/A 2481-2024 karta knärot.png", "A 2481-2024")</f>
        <v/>
      </c>
      <c r="V827">
        <f>HYPERLINK("https://klasma.github.io/Logging_2085/klagomål/A 2481-2024 FSC-klagomål.docx", "A 2481-2024")</f>
        <v/>
      </c>
      <c r="W827">
        <f>HYPERLINK("https://klasma.github.io/Logging_2085/klagomålsmail/A 2481-2024 FSC-klagomål mail.docx", "A 2481-2024")</f>
        <v/>
      </c>
      <c r="X827">
        <f>HYPERLINK("https://klasma.github.io/Logging_2085/tillsyn/A 2481-2024 tillsynsbegäran.docx", "A 2481-2024")</f>
        <v/>
      </c>
      <c r="Y827">
        <f>HYPERLINK("https://klasma.github.io/Logging_2085/tillsynsmail/A 2481-2024 tillsynsbegäran mail.docx", "A 2481-2024")</f>
        <v/>
      </c>
    </row>
    <row r="828" ht="15" customHeight="1">
      <c r="A828" t="inlineStr">
        <is>
          <t>A 2485-2024</t>
        </is>
      </c>
      <c r="B828" s="1" t="n">
        <v>45313</v>
      </c>
      <c r="C828" s="1" t="n">
        <v>45364</v>
      </c>
      <c r="D828" t="inlineStr">
        <is>
          <t>DALARNAS LÄN</t>
        </is>
      </c>
      <c r="E828" t="inlineStr">
        <is>
          <t>LUDVIKA</t>
        </is>
      </c>
      <c r="G828" t="n">
        <v>2</v>
      </c>
      <c r="H828" t="n">
        <v>0</v>
      </c>
      <c r="I828" t="n">
        <v>0</v>
      </c>
      <c r="J828" t="n">
        <v>0</v>
      </c>
      <c r="K828" t="n">
        <v>0</v>
      </c>
      <c r="L828" t="n">
        <v>0</v>
      </c>
      <c r="M828" t="n">
        <v>0</v>
      </c>
      <c r="N828" t="n">
        <v>0</v>
      </c>
      <c r="O828" t="n">
        <v>0</v>
      </c>
      <c r="P828" t="n">
        <v>0</v>
      </c>
      <c r="Q828" t="n">
        <v>0</v>
      </c>
      <c r="R828" s="2" t="inlineStr"/>
    </row>
    <row r="829" ht="15" customHeight="1">
      <c r="A829" t="inlineStr">
        <is>
          <t>A 2603-2024</t>
        </is>
      </c>
      <c r="B829" s="1" t="n">
        <v>45313</v>
      </c>
      <c r="C829" s="1" t="n">
        <v>45364</v>
      </c>
      <c r="D829" t="inlineStr">
        <is>
          <t>DALARNAS LÄN</t>
        </is>
      </c>
      <c r="E829" t="inlineStr">
        <is>
          <t>LUDVIKA</t>
        </is>
      </c>
      <c r="G829" t="n">
        <v>0.8</v>
      </c>
      <c r="H829" t="n">
        <v>0</v>
      </c>
      <c r="I829" t="n">
        <v>0</v>
      </c>
      <c r="J829" t="n">
        <v>0</v>
      </c>
      <c r="K829" t="n">
        <v>0</v>
      </c>
      <c r="L829" t="n">
        <v>0</v>
      </c>
      <c r="M829" t="n">
        <v>0</v>
      </c>
      <c r="N829" t="n">
        <v>0</v>
      </c>
      <c r="O829" t="n">
        <v>0</v>
      </c>
      <c r="P829" t="n">
        <v>0</v>
      </c>
      <c r="Q829" t="n">
        <v>0</v>
      </c>
      <c r="R829" s="2" t="inlineStr"/>
    </row>
    <row r="830" ht="15" customHeight="1">
      <c r="A830" t="inlineStr">
        <is>
          <t>A 3277-2024</t>
        </is>
      </c>
      <c r="B830" s="1" t="n">
        <v>45317</v>
      </c>
      <c r="C830" s="1" t="n">
        <v>45364</v>
      </c>
      <c r="D830" t="inlineStr">
        <is>
          <t>DALARNAS LÄN</t>
        </is>
      </c>
      <c r="E830" t="inlineStr">
        <is>
          <t>LUDVIKA</t>
        </is>
      </c>
      <c r="G830" t="n">
        <v>0.3</v>
      </c>
      <c r="H830" t="n">
        <v>0</v>
      </c>
      <c r="I830" t="n">
        <v>0</v>
      </c>
      <c r="J830" t="n">
        <v>0</v>
      </c>
      <c r="K830" t="n">
        <v>0</v>
      </c>
      <c r="L830" t="n">
        <v>0</v>
      </c>
      <c r="M830" t="n">
        <v>0</v>
      </c>
      <c r="N830" t="n">
        <v>0</v>
      </c>
      <c r="O830" t="n">
        <v>0</v>
      </c>
      <c r="P830" t="n">
        <v>0</v>
      </c>
      <c r="Q830" t="n">
        <v>0</v>
      </c>
      <c r="R830" s="2" t="inlineStr"/>
    </row>
    <row r="831" ht="15" customHeight="1">
      <c r="A831" t="inlineStr">
        <is>
          <t>A 3280-2024</t>
        </is>
      </c>
      <c r="B831" s="1" t="n">
        <v>45317</v>
      </c>
      <c r="C831" s="1" t="n">
        <v>45364</v>
      </c>
      <c r="D831" t="inlineStr">
        <is>
          <t>DALARNAS LÄN</t>
        </is>
      </c>
      <c r="E831" t="inlineStr">
        <is>
          <t>LUDVIKA</t>
        </is>
      </c>
      <c r="G831" t="n">
        <v>0.4</v>
      </c>
      <c r="H831" t="n">
        <v>0</v>
      </c>
      <c r="I831" t="n">
        <v>0</v>
      </c>
      <c r="J831" t="n">
        <v>0</v>
      </c>
      <c r="K831" t="n">
        <v>0</v>
      </c>
      <c r="L831" t="n">
        <v>0</v>
      </c>
      <c r="M831" t="n">
        <v>0</v>
      </c>
      <c r="N831" t="n">
        <v>0</v>
      </c>
      <c r="O831" t="n">
        <v>0</v>
      </c>
      <c r="P831" t="n">
        <v>0</v>
      </c>
      <c r="Q831" t="n">
        <v>0</v>
      </c>
      <c r="R831" s="2" t="inlineStr"/>
    </row>
    <row r="832" ht="15" customHeight="1">
      <c r="A832" t="inlineStr">
        <is>
          <t>A 3349-2024</t>
        </is>
      </c>
      <c r="B832" s="1" t="n">
        <v>45317</v>
      </c>
      <c r="C832" s="1" t="n">
        <v>45364</v>
      </c>
      <c r="D832" t="inlineStr">
        <is>
          <t>DALARNAS LÄN</t>
        </is>
      </c>
      <c r="E832" t="inlineStr">
        <is>
          <t>LUDVIKA</t>
        </is>
      </c>
      <c r="G832" t="n">
        <v>3.8</v>
      </c>
      <c r="H832" t="n">
        <v>0</v>
      </c>
      <c r="I832" t="n">
        <v>0</v>
      </c>
      <c r="J832" t="n">
        <v>0</v>
      </c>
      <c r="K832" t="n">
        <v>0</v>
      </c>
      <c r="L832" t="n">
        <v>0</v>
      </c>
      <c r="M832" t="n">
        <v>0</v>
      </c>
      <c r="N832" t="n">
        <v>0</v>
      </c>
      <c r="O832" t="n">
        <v>0</v>
      </c>
      <c r="P832" t="n">
        <v>0</v>
      </c>
      <c r="Q832" t="n">
        <v>0</v>
      </c>
      <c r="R832" s="2" t="inlineStr"/>
    </row>
    <row r="833" ht="15" customHeight="1">
      <c r="A833" t="inlineStr">
        <is>
          <t>A 3687-2024</t>
        </is>
      </c>
      <c r="B833" s="1" t="n">
        <v>45321</v>
      </c>
      <c r="C833" s="1" t="n">
        <v>45364</v>
      </c>
      <c r="D833" t="inlineStr">
        <is>
          <t>DALARNAS LÄN</t>
        </is>
      </c>
      <c r="E833" t="inlineStr">
        <is>
          <t>LUDVIKA</t>
        </is>
      </c>
      <c r="G833" t="n">
        <v>5</v>
      </c>
      <c r="H833" t="n">
        <v>0</v>
      </c>
      <c r="I833" t="n">
        <v>0</v>
      </c>
      <c r="J833" t="n">
        <v>0</v>
      </c>
      <c r="K833" t="n">
        <v>0</v>
      </c>
      <c r="L833" t="n">
        <v>0</v>
      </c>
      <c r="M833" t="n">
        <v>0</v>
      </c>
      <c r="N833" t="n">
        <v>0</v>
      </c>
      <c r="O833" t="n">
        <v>0</v>
      </c>
      <c r="P833" t="n">
        <v>0</v>
      </c>
      <c r="Q833" t="n">
        <v>0</v>
      </c>
      <c r="R833" s="2" t="inlineStr"/>
    </row>
    <row r="834" ht="15" customHeight="1">
      <c r="A834" t="inlineStr">
        <is>
          <t>A 3809-2024</t>
        </is>
      </c>
      <c r="B834" s="1" t="n">
        <v>45321</v>
      </c>
      <c r="C834" s="1" t="n">
        <v>45364</v>
      </c>
      <c r="D834" t="inlineStr">
        <is>
          <t>DALARNAS LÄN</t>
        </is>
      </c>
      <c r="E834" t="inlineStr">
        <is>
          <t>LUDVIKA</t>
        </is>
      </c>
      <c r="G834" t="n">
        <v>0.5</v>
      </c>
      <c r="H834" t="n">
        <v>0</v>
      </c>
      <c r="I834" t="n">
        <v>0</v>
      </c>
      <c r="J834" t="n">
        <v>0</v>
      </c>
      <c r="K834" t="n">
        <v>0</v>
      </c>
      <c r="L834" t="n">
        <v>0</v>
      </c>
      <c r="M834" t="n">
        <v>0</v>
      </c>
      <c r="N834" t="n">
        <v>0</v>
      </c>
      <c r="O834" t="n">
        <v>0</v>
      </c>
      <c r="P834" t="n">
        <v>0</v>
      </c>
      <c r="Q834" t="n">
        <v>0</v>
      </c>
      <c r="R834" s="2" t="inlineStr"/>
    </row>
    <row r="835" ht="15" customHeight="1">
      <c r="A835" t="inlineStr">
        <is>
          <t>A 5576-2024</t>
        </is>
      </c>
      <c r="B835" s="1" t="n">
        <v>45334</v>
      </c>
      <c r="C835" s="1" t="n">
        <v>45364</v>
      </c>
      <c r="D835" t="inlineStr">
        <is>
          <t>DALARNAS LÄN</t>
        </is>
      </c>
      <c r="E835" t="inlineStr">
        <is>
          <t>LUDVIKA</t>
        </is>
      </c>
      <c r="G835" t="n">
        <v>7</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45364</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5841-2024</t>
        </is>
      </c>
      <c r="B837" s="1" t="n">
        <v>45335</v>
      </c>
      <c r="C837" s="1" t="n">
        <v>45364</v>
      </c>
      <c r="D837" t="inlineStr">
        <is>
          <t>DALARNAS LÄN</t>
        </is>
      </c>
      <c r="E837" t="inlineStr">
        <is>
          <t>LUDVIKA</t>
        </is>
      </c>
      <c r="G837" t="n">
        <v>1.6</v>
      </c>
      <c r="H837" t="n">
        <v>0</v>
      </c>
      <c r="I837" t="n">
        <v>0</v>
      </c>
      <c r="J837" t="n">
        <v>0</v>
      </c>
      <c r="K837" t="n">
        <v>0</v>
      </c>
      <c r="L837" t="n">
        <v>0</v>
      </c>
      <c r="M837" t="n">
        <v>0</v>
      </c>
      <c r="N837" t="n">
        <v>0</v>
      </c>
      <c r="O837" t="n">
        <v>0</v>
      </c>
      <c r="P837" t="n">
        <v>0</v>
      </c>
      <c r="Q837" t="n">
        <v>0</v>
      </c>
      <c r="R837" s="2" t="inlineStr"/>
    </row>
    <row r="838" ht="15" customHeight="1">
      <c r="A838" t="inlineStr">
        <is>
          <t>A 6151-2024</t>
        </is>
      </c>
      <c r="B838" s="1" t="n">
        <v>45337</v>
      </c>
      <c r="C838" s="1" t="n">
        <v>45364</v>
      </c>
      <c r="D838" t="inlineStr">
        <is>
          <t>DALARNAS LÄN</t>
        </is>
      </c>
      <c r="E838" t="inlineStr">
        <is>
          <t>LUDVIKA</t>
        </is>
      </c>
      <c r="G838" t="n">
        <v>1.7</v>
      </c>
      <c r="H838" t="n">
        <v>0</v>
      </c>
      <c r="I838" t="n">
        <v>0</v>
      </c>
      <c r="J838" t="n">
        <v>0</v>
      </c>
      <c r="K838" t="n">
        <v>0</v>
      </c>
      <c r="L838" t="n">
        <v>0</v>
      </c>
      <c r="M838" t="n">
        <v>0</v>
      </c>
      <c r="N838" t="n">
        <v>0</v>
      </c>
      <c r="O838" t="n">
        <v>0</v>
      </c>
      <c r="P838" t="n">
        <v>0</v>
      </c>
      <c r="Q838" t="n">
        <v>0</v>
      </c>
      <c r="R838" s="2" t="inlineStr"/>
    </row>
    <row r="839" ht="15" customHeight="1">
      <c r="A839" t="inlineStr">
        <is>
          <t>A 7317-2024</t>
        </is>
      </c>
      <c r="B839" s="1" t="n">
        <v>45345</v>
      </c>
      <c r="C839" s="1" t="n">
        <v>45364</v>
      </c>
      <c r="D839" t="inlineStr">
        <is>
          <t>DALARNAS LÄN</t>
        </is>
      </c>
      <c r="E839" t="inlineStr">
        <is>
          <t>LUDVIKA</t>
        </is>
      </c>
      <c r="G839" t="n">
        <v>3.9</v>
      </c>
      <c r="H839" t="n">
        <v>0</v>
      </c>
      <c r="I839" t="n">
        <v>0</v>
      </c>
      <c r="J839" t="n">
        <v>0</v>
      </c>
      <c r="K839" t="n">
        <v>0</v>
      </c>
      <c r="L839" t="n">
        <v>0</v>
      </c>
      <c r="M839" t="n">
        <v>0</v>
      </c>
      <c r="N839" t="n">
        <v>0</v>
      </c>
      <c r="O839" t="n">
        <v>0</v>
      </c>
      <c r="P839" t="n">
        <v>0</v>
      </c>
      <c r="Q839" t="n">
        <v>0</v>
      </c>
      <c r="R839" s="2" t="inlineStr"/>
    </row>
    <row r="840" ht="15" customHeight="1">
      <c r="A840" t="inlineStr">
        <is>
          <t>A 8170-2024</t>
        </is>
      </c>
      <c r="B840" s="1" t="n">
        <v>45349</v>
      </c>
      <c r="C840" s="1" t="n">
        <v>45364</v>
      </c>
      <c r="D840" t="inlineStr">
        <is>
          <t>DALARNAS LÄN</t>
        </is>
      </c>
      <c r="E840" t="inlineStr">
        <is>
          <t>LUDVIKA</t>
        </is>
      </c>
      <c r="F840" t="inlineStr">
        <is>
          <t>Allmännings- och besparingsskogar</t>
        </is>
      </c>
      <c r="G840" t="n">
        <v>5.7</v>
      </c>
      <c r="H840" t="n">
        <v>0</v>
      </c>
      <c r="I840" t="n">
        <v>0</v>
      </c>
      <c r="J840" t="n">
        <v>0</v>
      </c>
      <c r="K840" t="n">
        <v>0</v>
      </c>
      <c r="L840" t="n">
        <v>0</v>
      </c>
      <c r="M840" t="n">
        <v>0</v>
      </c>
      <c r="N840" t="n">
        <v>0</v>
      </c>
      <c r="O840" t="n">
        <v>0</v>
      </c>
      <c r="P840" t="n">
        <v>0</v>
      </c>
      <c r="Q840" t="n">
        <v>0</v>
      </c>
      <c r="R840" s="2" t="inlineStr"/>
    </row>
    <row r="841" ht="15" customHeight="1">
      <c r="A841" t="inlineStr">
        <is>
          <t>A 8175-2024</t>
        </is>
      </c>
      <c r="B841" s="1" t="n">
        <v>45349</v>
      </c>
      <c r="C841" s="1" t="n">
        <v>45364</v>
      </c>
      <c r="D841" t="inlineStr">
        <is>
          <t>DALARNAS LÄN</t>
        </is>
      </c>
      <c r="E841" t="inlineStr">
        <is>
          <t>LUDVIKA</t>
        </is>
      </c>
      <c r="F841" t="inlineStr">
        <is>
          <t>Allmännings- och besparingsskogar</t>
        </is>
      </c>
      <c r="G841" t="n">
        <v>3.8</v>
      </c>
      <c r="H841" t="n">
        <v>0</v>
      </c>
      <c r="I841" t="n">
        <v>0</v>
      </c>
      <c r="J841" t="n">
        <v>0</v>
      </c>
      <c r="K841" t="n">
        <v>0</v>
      </c>
      <c r="L841" t="n">
        <v>0</v>
      </c>
      <c r="M841" t="n">
        <v>0</v>
      </c>
      <c r="N841" t="n">
        <v>0</v>
      </c>
      <c r="O841" t="n">
        <v>0</v>
      </c>
      <c r="P841" t="n">
        <v>0</v>
      </c>
      <c r="Q841" t="n">
        <v>0</v>
      </c>
      <c r="R841" s="2" t="inlineStr"/>
    </row>
    <row r="842" ht="15" customHeight="1">
      <c r="A842" t="inlineStr">
        <is>
          <t>A 8162-2024</t>
        </is>
      </c>
      <c r="B842" s="1" t="n">
        <v>45349</v>
      </c>
      <c r="C842" s="1" t="n">
        <v>45364</v>
      </c>
      <c r="D842" t="inlineStr">
        <is>
          <t>DALARNAS LÄN</t>
        </is>
      </c>
      <c r="E842" t="inlineStr">
        <is>
          <t>LUDVIKA</t>
        </is>
      </c>
      <c r="F842" t="inlineStr">
        <is>
          <t>Allmännings- och besparingsskogar</t>
        </is>
      </c>
      <c r="G842" t="n">
        <v>6.9</v>
      </c>
      <c r="H842" t="n">
        <v>0</v>
      </c>
      <c r="I842" t="n">
        <v>0</v>
      </c>
      <c r="J842" t="n">
        <v>0</v>
      </c>
      <c r="K842" t="n">
        <v>0</v>
      </c>
      <c r="L842" t="n">
        <v>0</v>
      </c>
      <c r="M842" t="n">
        <v>0</v>
      </c>
      <c r="N842" t="n">
        <v>0</v>
      </c>
      <c r="O842" t="n">
        <v>0</v>
      </c>
      <c r="P842" t="n">
        <v>0</v>
      </c>
      <c r="Q842" t="n">
        <v>0</v>
      </c>
      <c r="R842" s="2" t="inlineStr"/>
      <c r="U842">
        <f>HYPERLINK("https://klasma.github.io/Logging_2085/knärot/A 8162-2024 karta knärot.png", "A 8162-2024")</f>
        <v/>
      </c>
      <c r="V842">
        <f>HYPERLINK("https://klasma.github.io/Logging_2085/klagomål/A 8162-2024 FSC-klagomål.docx", "A 8162-2024")</f>
        <v/>
      </c>
      <c r="W842">
        <f>HYPERLINK("https://klasma.github.io/Logging_2085/klagomålsmail/A 8162-2024 FSC-klagomål mail.docx", "A 8162-2024")</f>
        <v/>
      </c>
      <c r="X842">
        <f>HYPERLINK("https://klasma.github.io/Logging_2085/tillsyn/A 8162-2024 tillsynsbegäran.docx", "A 8162-2024")</f>
        <v/>
      </c>
      <c r="Y842">
        <f>HYPERLINK("https://klasma.github.io/Logging_2085/tillsynsmail/A 8162-2024 tillsynsbegäran mail.docx", "A 8162-2024")</f>
        <v/>
      </c>
    </row>
    <row r="843" ht="15" customHeight="1">
      <c r="A843" t="inlineStr">
        <is>
          <t>A 8172-2024</t>
        </is>
      </c>
      <c r="B843" s="1" t="n">
        <v>45349</v>
      </c>
      <c r="C843" s="1" t="n">
        <v>45364</v>
      </c>
      <c r="D843" t="inlineStr">
        <is>
          <t>DALARNAS LÄN</t>
        </is>
      </c>
      <c r="E843" t="inlineStr">
        <is>
          <t>LUDVIKA</t>
        </is>
      </c>
      <c r="F843" t="inlineStr">
        <is>
          <t>Allmännings- och besparingsskogar</t>
        </is>
      </c>
      <c r="G843" t="n">
        <v>2</v>
      </c>
      <c r="H843" t="n">
        <v>0</v>
      </c>
      <c r="I843" t="n">
        <v>0</v>
      </c>
      <c r="J843" t="n">
        <v>0</v>
      </c>
      <c r="K843" t="n">
        <v>0</v>
      </c>
      <c r="L843" t="n">
        <v>0</v>
      </c>
      <c r="M843" t="n">
        <v>0</v>
      </c>
      <c r="N843" t="n">
        <v>0</v>
      </c>
      <c r="O843" t="n">
        <v>0</v>
      </c>
      <c r="P843" t="n">
        <v>0</v>
      </c>
      <c r="Q843" t="n">
        <v>0</v>
      </c>
      <c r="R843" s="2" t="inlineStr"/>
    </row>
    <row r="844">
      <c r="A844" t="inlineStr">
        <is>
          <t>A 7996-2024</t>
        </is>
      </c>
      <c r="B844" s="1" t="n">
        <v>45350</v>
      </c>
      <c r="C844" s="1" t="n">
        <v>45364</v>
      </c>
      <c r="D844" t="inlineStr">
        <is>
          <t>DALARNAS LÄN</t>
        </is>
      </c>
      <c r="E844" t="inlineStr">
        <is>
          <t>LUDVIKA</t>
        </is>
      </c>
      <c r="G844" t="n">
        <v>1</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2024-03-13T13:56:46Z</dcterms:created>
  <dcterms:modified xmlns:dcterms="http://purl.org/dc/terms/" xmlns:xsi="http://www.w3.org/2001/XMLSchema-instance" xsi:type="dcterms:W3CDTF">2024-03-13T13:56:47Z</dcterms:modified>
</cp:coreProperties>
</file>
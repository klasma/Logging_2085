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45802</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45802</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45802</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45802</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45802</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45802</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45802</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45802</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45802</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45802</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45802</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45802</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45802</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45802</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45802</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45802</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45802</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25293-2025</t>
        </is>
      </c>
      <c r="B42" s="1" t="n">
        <v>45800</v>
      </c>
      <c r="C42" s="1" t="n">
        <v>45802</v>
      </c>
      <c r="D42" t="inlineStr">
        <is>
          <t>DALARNAS LÄN</t>
        </is>
      </c>
      <c r="E42" t="inlineStr">
        <is>
          <t>LUDVIKA</t>
        </is>
      </c>
      <c r="F42" t="inlineStr">
        <is>
          <t>Bergvik skog väst AB</t>
        </is>
      </c>
      <c r="G42" t="n">
        <v>19.6</v>
      </c>
      <c r="H42" t="n">
        <v>0</v>
      </c>
      <c r="I42" t="n">
        <v>1</v>
      </c>
      <c r="J42" t="n">
        <v>1</v>
      </c>
      <c r="K42" t="n">
        <v>0</v>
      </c>
      <c r="L42" t="n">
        <v>0</v>
      </c>
      <c r="M42" t="n">
        <v>0</v>
      </c>
      <c r="N42" t="n">
        <v>0</v>
      </c>
      <c r="O42" t="n">
        <v>1</v>
      </c>
      <c r="P42" t="n">
        <v>0</v>
      </c>
      <c r="Q42" t="n">
        <v>2</v>
      </c>
      <c r="R42" s="2" t="inlineStr">
        <is>
          <t>Garnlav
Nästlav</t>
        </is>
      </c>
      <c r="S42">
        <f>HYPERLINK("https://klasma.github.io/Logging_202085/artfynd/A 25293-2025 artfynd.xlsx", "A 25293-2025")</f>
        <v/>
      </c>
      <c r="T42">
        <f>HYPERLINK("https://klasma.github.io/Logging_202085/kartor/A 25293-2025 karta.png", "A 25293-2025")</f>
        <v/>
      </c>
      <c r="V42">
        <f>HYPERLINK("https://klasma.github.io/Logging_202085/klagomål/A 25293-2025 FSC-klagomål.docx", "A 25293-2025")</f>
        <v/>
      </c>
      <c r="W42">
        <f>HYPERLINK("https://klasma.github.io/Logging_202085/klagomålsmail/A 25293-2025 FSC-klagomål mail.docx", "A 25293-2025")</f>
        <v/>
      </c>
      <c r="X42">
        <f>HYPERLINK("https://klasma.github.io/Logging_202085/tillsyn/A 25293-2025 tillsynsbegäran.docx", "A 25293-2025")</f>
        <v/>
      </c>
      <c r="Y42">
        <f>HYPERLINK("https://klasma.github.io/Logging_202085/tillsynsmail/A 25293-2025 tillsynsbegäran mail.docx", "A 25293-2025")</f>
        <v/>
      </c>
    </row>
    <row r="43" ht="15" customHeight="1">
      <c r="A43" t="inlineStr">
        <is>
          <t>A 21672-2019</t>
        </is>
      </c>
      <c r="B43" s="1" t="n">
        <v>43581</v>
      </c>
      <c r="C43" s="1" t="n">
        <v>45802</v>
      </c>
      <c r="D43" t="inlineStr">
        <is>
          <t>DALARNAS LÄN</t>
        </is>
      </c>
      <c r="E43" t="inlineStr">
        <is>
          <t>LUDVIKA</t>
        </is>
      </c>
      <c r="G43" t="n">
        <v>6.3</v>
      </c>
      <c r="H43" t="n">
        <v>1</v>
      </c>
      <c r="I43" t="n">
        <v>0</v>
      </c>
      <c r="J43" t="n">
        <v>0</v>
      </c>
      <c r="K43" t="n">
        <v>0</v>
      </c>
      <c r="L43" t="n">
        <v>1</v>
      </c>
      <c r="M43" t="n">
        <v>0</v>
      </c>
      <c r="N43" t="n">
        <v>0</v>
      </c>
      <c r="O43" t="n">
        <v>1</v>
      </c>
      <c r="P43" t="n">
        <v>1</v>
      </c>
      <c r="Q43" t="n">
        <v>1</v>
      </c>
      <c r="R43" s="2" t="inlineStr">
        <is>
          <t>Mosippa</t>
        </is>
      </c>
      <c r="S43">
        <f>HYPERLINK("https://klasma.github.io/Logging_2085/artfynd/A 21672-2019 artfynd.xlsx", "A 21672-2019")</f>
        <v/>
      </c>
      <c r="T43">
        <f>HYPERLINK("https://klasma.github.io/Logging_2085/kartor/A 21672-2019 karta.png", "A 21672-2019")</f>
        <v/>
      </c>
      <c r="V43">
        <f>HYPERLINK("https://klasma.github.io/Logging_2085/klagomål/A 21672-2019 FSC-klagomål.docx", "A 21672-2019")</f>
        <v/>
      </c>
      <c r="W43">
        <f>HYPERLINK("https://klasma.github.io/Logging_2085/klagomålsmail/A 21672-2019 FSC-klagomål mail.docx", "A 21672-2019")</f>
        <v/>
      </c>
      <c r="X43">
        <f>HYPERLINK("https://klasma.github.io/Logging_2085/tillsyn/A 21672-2019 tillsynsbegäran.docx", "A 21672-2019")</f>
        <v/>
      </c>
      <c r="Y43">
        <f>HYPERLINK("https://klasma.github.io/Logging_2085/tillsynsmail/A 21672-2019 tillsynsbegäran mail.docx", "A 21672-2019")</f>
        <v/>
      </c>
    </row>
    <row r="44" ht="15" customHeight="1">
      <c r="A44" t="inlineStr">
        <is>
          <t>A 27562-2020</t>
        </is>
      </c>
      <c r="B44" s="1" t="n">
        <v>43993</v>
      </c>
      <c r="C44" s="1" t="n">
        <v>45802</v>
      </c>
      <c r="D44" t="inlineStr">
        <is>
          <t>DALARNAS LÄN</t>
        </is>
      </c>
      <c r="E44" t="inlineStr">
        <is>
          <t>LUDVIKA</t>
        </is>
      </c>
      <c r="F44" t="inlineStr">
        <is>
          <t>Bergvik skog väst AB</t>
        </is>
      </c>
      <c r="G44" t="n">
        <v>2</v>
      </c>
      <c r="H44" t="n">
        <v>0</v>
      </c>
      <c r="I44" t="n">
        <v>1</v>
      </c>
      <c r="J44" t="n">
        <v>0</v>
      </c>
      <c r="K44" t="n">
        <v>0</v>
      </c>
      <c r="L44" t="n">
        <v>0</v>
      </c>
      <c r="M44" t="n">
        <v>0</v>
      </c>
      <c r="N44" t="n">
        <v>0</v>
      </c>
      <c r="O44" t="n">
        <v>0</v>
      </c>
      <c r="P44" t="n">
        <v>0</v>
      </c>
      <c r="Q44" t="n">
        <v>1</v>
      </c>
      <c r="R44" s="2" t="inlineStr">
        <is>
          <t>Skinnlav</t>
        </is>
      </c>
      <c r="S44">
        <f>HYPERLINK("https://klasma.github.io/Logging_2085/artfynd/A 27562-2020 artfynd.xlsx", "A 27562-2020")</f>
        <v/>
      </c>
      <c r="T44">
        <f>HYPERLINK("https://klasma.github.io/Logging_2085/kartor/A 27562-2020 karta.png", "A 27562-2020")</f>
        <v/>
      </c>
      <c r="V44">
        <f>HYPERLINK("https://klasma.github.io/Logging_2085/klagomål/A 27562-2020 FSC-klagomål.docx", "A 27562-2020")</f>
        <v/>
      </c>
      <c r="W44">
        <f>HYPERLINK("https://klasma.github.io/Logging_2085/klagomålsmail/A 27562-2020 FSC-klagomål mail.docx", "A 27562-2020")</f>
        <v/>
      </c>
      <c r="X44">
        <f>HYPERLINK("https://klasma.github.io/Logging_2085/tillsyn/A 27562-2020 tillsynsbegäran.docx", "A 27562-2020")</f>
        <v/>
      </c>
      <c r="Y44">
        <f>HYPERLINK("https://klasma.github.io/Logging_2085/tillsynsmail/A 27562-2020 tillsynsbegäran mail.docx", "A 27562-2020")</f>
        <v/>
      </c>
    </row>
    <row r="45" ht="15" customHeight="1">
      <c r="A45" t="inlineStr">
        <is>
          <t>A 54641-2020</t>
        </is>
      </c>
      <c r="B45" s="1" t="n">
        <v>44127</v>
      </c>
      <c r="C45" s="1" t="n">
        <v>45802</v>
      </c>
      <c r="D45" t="inlineStr">
        <is>
          <t>DALARNAS LÄN</t>
        </is>
      </c>
      <c r="E45" t="inlineStr">
        <is>
          <t>LUDVIKA</t>
        </is>
      </c>
      <c r="F45" t="inlineStr">
        <is>
          <t>Övriga Aktiebolag</t>
        </is>
      </c>
      <c r="G45" t="n">
        <v>38.7</v>
      </c>
      <c r="H45" t="n">
        <v>0</v>
      </c>
      <c r="I45" t="n">
        <v>1</v>
      </c>
      <c r="J45" t="n">
        <v>0</v>
      </c>
      <c r="K45" t="n">
        <v>0</v>
      </c>
      <c r="L45" t="n">
        <v>0</v>
      </c>
      <c r="M45" t="n">
        <v>0</v>
      </c>
      <c r="N45" t="n">
        <v>0</v>
      </c>
      <c r="O45" t="n">
        <v>0</v>
      </c>
      <c r="P45" t="n">
        <v>0</v>
      </c>
      <c r="Q45" t="n">
        <v>1</v>
      </c>
      <c r="R45" s="2" t="inlineStr">
        <is>
          <t>Bronshjon</t>
        </is>
      </c>
      <c r="S45">
        <f>HYPERLINK("https://klasma.github.io/Logging_2085/artfynd/A 54641-2020 artfynd.xlsx", "A 54641-2020")</f>
        <v/>
      </c>
      <c r="T45">
        <f>HYPERLINK("https://klasma.github.io/Logging_2085/kartor/A 54641-2020 karta.png", "A 54641-2020")</f>
        <v/>
      </c>
      <c r="V45">
        <f>HYPERLINK("https://klasma.github.io/Logging_2085/klagomål/A 54641-2020 FSC-klagomål.docx", "A 54641-2020")</f>
        <v/>
      </c>
      <c r="W45">
        <f>HYPERLINK("https://klasma.github.io/Logging_2085/klagomålsmail/A 54641-2020 FSC-klagomål mail.docx", "A 54641-2020")</f>
        <v/>
      </c>
      <c r="X45">
        <f>HYPERLINK("https://klasma.github.io/Logging_2085/tillsyn/A 54641-2020 tillsynsbegäran.docx", "A 54641-2020")</f>
        <v/>
      </c>
      <c r="Y45">
        <f>HYPERLINK("https://klasma.github.io/Logging_2085/tillsynsmail/A 54641-2020 tillsynsbegäran mail.docx", "A 54641-2020")</f>
        <v/>
      </c>
    </row>
    <row r="46" ht="15" customHeight="1">
      <c r="A46" t="inlineStr">
        <is>
          <t>A 64068-2020</t>
        </is>
      </c>
      <c r="B46" s="1" t="n">
        <v>44167</v>
      </c>
      <c r="C46" s="1" t="n">
        <v>45802</v>
      </c>
      <c r="D46" t="inlineStr">
        <is>
          <t>DALARNAS LÄN</t>
        </is>
      </c>
      <c r="E46" t="inlineStr">
        <is>
          <t>LUDVIKA</t>
        </is>
      </c>
      <c r="F46" t="inlineStr">
        <is>
          <t>Kommuner</t>
        </is>
      </c>
      <c r="G46" t="n">
        <v>4.5</v>
      </c>
      <c r="H46" t="n">
        <v>0</v>
      </c>
      <c r="I46" t="n">
        <v>0</v>
      </c>
      <c r="J46" t="n">
        <v>1</v>
      </c>
      <c r="K46" t="n">
        <v>0</v>
      </c>
      <c r="L46" t="n">
        <v>0</v>
      </c>
      <c r="M46" t="n">
        <v>0</v>
      </c>
      <c r="N46" t="n">
        <v>0</v>
      </c>
      <c r="O46" t="n">
        <v>1</v>
      </c>
      <c r="P46" t="n">
        <v>0</v>
      </c>
      <c r="Q46" t="n">
        <v>1</v>
      </c>
      <c r="R46" s="2" t="inlineStr">
        <is>
          <t>Garnlav</t>
        </is>
      </c>
      <c r="S46">
        <f>HYPERLINK("https://klasma.github.io/Logging_2085/artfynd/A 64068-2020 artfynd.xlsx", "A 64068-2020")</f>
        <v/>
      </c>
      <c r="T46">
        <f>HYPERLINK("https://klasma.github.io/Logging_2085/kartor/A 64068-2020 karta.png", "A 64068-2020")</f>
        <v/>
      </c>
      <c r="U46">
        <f>HYPERLINK("https://klasma.github.io/Logging_2085/knärot/A 64068-2020 karta knärot.png", "A 64068-2020")</f>
        <v/>
      </c>
      <c r="V46">
        <f>HYPERLINK("https://klasma.github.io/Logging_2085/klagomål/A 64068-2020 FSC-klagomål.docx", "A 64068-2020")</f>
        <v/>
      </c>
      <c r="W46">
        <f>HYPERLINK("https://klasma.github.io/Logging_2085/klagomålsmail/A 64068-2020 FSC-klagomål mail.docx", "A 64068-2020")</f>
        <v/>
      </c>
      <c r="X46">
        <f>HYPERLINK("https://klasma.github.io/Logging_2085/tillsyn/A 64068-2020 tillsynsbegäran.docx", "A 64068-2020")</f>
        <v/>
      </c>
      <c r="Y46">
        <f>HYPERLINK("https://klasma.github.io/Logging_2085/tillsynsmail/A 64068-2020 tillsynsbegäran mail.docx", "A 64068-2020")</f>
        <v/>
      </c>
    </row>
    <row r="47" ht="15" customHeight="1">
      <c r="A47" t="inlineStr">
        <is>
          <t>A 69166-2020</t>
        </is>
      </c>
      <c r="B47" s="1" t="n">
        <v>44188</v>
      </c>
      <c r="C47" s="1" t="n">
        <v>45802</v>
      </c>
      <c r="D47" t="inlineStr">
        <is>
          <t>DALARNAS LÄN</t>
        </is>
      </c>
      <c r="E47" t="inlineStr">
        <is>
          <t>LUDVIKA</t>
        </is>
      </c>
      <c r="F47" t="inlineStr">
        <is>
          <t>Kommuner</t>
        </is>
      </c>
      <c r="G47" t="n">
        <v>4.9</v>
      </c>
      <c r="H47" t="n">
        <v>1</v>
      </c>
      <c r="I47" t="n">
        <v>0</v>
      </c>
      <c r="J47" t="n">
        <v>0</v>
      </c>
      <c r="K47" t="n">
        <v>0</v>
      </c>
      <c r="L47" t="n">
        <v>0</v>
      </c>
      <c r="M47" t="n">
        <v>0</v>
      </c>
      <c r="N47" t="n">
        <v>0</v>
      </c>
      <c r="O47" t="n">
        <v>0</v>
      </c>
      <c r="P47" t="n">
        <v>0</v>
      </c>
      <c r="Q47" t="n">
        <v>1</v>
      </c>
      <c r="R47" s="2" t="inlineStr">
        <is>
          <t>Fläcknycklar</t>
        </is>
      </c>
      <c r="S47">
        <f>HYPERLINK("https://klasma.github.io/Logging_2085/artfynd/A 69166-2020 artfynd.xlsx", "A 69166-2020")</f>
        <v/>
      </c>
      <c r="T47">
        <f>HYPERLINK("https://klasma.github.io/Logging_2085/kartor/A 69166-2020 karta.png", "A 69166-2020")</f>
        <v/>
      </c>
      <c r="V47">
        <f>HYPERLINK("https://klasma.github.io/Logging_2085/klagomål/A 69166-2020 FSC-klagomål.docx", "A 69166-2020")</f>
        <v/>
      </c>
      <c r="W47">
        <f>HYPERLINK("https://klasma.github.io/Logging_2085/klagomålsmail/A 69166-2020 FSC-klagomål mail.docx", "A 69166-2020")</f>
        <v/>
      </c>
      <c r="X47">
        <f>HYPERLINK("https://klasma.github.io/Logging_2085/tillsyn/A 69166-2020 tillsynsbegäran.docx", "A 69166-2020")</f>
        <v/>
      </c>
      <c r="Y47">
        <f>HYPERLINK("https://klasma.github.io/Logging_2085/tillsynsmail/A 69166-2020 tillsynsbegäran mail.docx", "A 69166-2020")</f>
        <v/>
      </c>
    </row>
    <row r="48" ht="15" customHeight="1">
      <c r="A48" t="inlineStr">
        <is>
          <t>A 38674-2021</t>
        </is>
      </c>
      <c r="B48" s="1" t="n">
        <v>44410</v>
      </c>
      <c r="C48" s="1" t="n">
        <v>45802</v>
      </c>
      <c r="D48" t="inlineStr">
        <is>
          <t>DALARNAS LÄN</t>
        </is>
      </c>
      <c r="E48" t="inlineStr">
        <is>
          <t>LUDVIKA</t>
        </is>
      </c>
      <c r="G48" t="n">
        <v>6.3</v>
      </c>
      <c r="H48" t="n">
        <v>0</v>
      </c>
      <c r="I48" t="n">
        <v>0</v>
      </c>
      <c r="J48" t="n">
        <v>1</v>
      </c>
      <c r="K48" t="n">
        <v>0</v>
      </c>
      <c r="L48" t="n">
        <v>0</v>
      </c>
      <c r="M48" t="n">
        <v>0</v>
      </c>
      <c r="N48" t="n">
        <v>0</v>
      </c>
      <c r="O48" t="n">
        <v>1</v>
      </c>
      <c r="P48" t="n">
        <v>0</v>
      </c>
      <c r="Q48" t="n">
        <v>1</v>
      </c>
      <c r="R48" s="2" t="inlineStr">
        <is>
          <t>Dvärgbägarlav</t>
        </is>
      </c>
      <c r="S48">
        <f>HYPERLINK("https://klasma.github.io/Logging_2085/artfynd/A 38674-2021 artfynd.xlsx", "A 38674-2021")</f>
        <v/>
      </c>
      <c r="T48">
        <f>HYPERLINK("https://klasma.github.io/Logging_2085/kartor/A 38674-2021 karta.png", "A 38674-2021")</f>
        <v/>
      </c>
      <c r="V48">
        <f>HYPERLINK("https://klasma.github.io/Logging_2085/klagomål/A 38674-2021 FSC-klagomål.docx", "A 38674-2021")</f>
        <v/>
      </c>
      <c r="W48">
        <f>HYPERLINK("https://klasma.github.io/Logging_2085/klagomålsmail/A 38674-2021 FSC-klagomål mail.docx", "A 38674-2021")</f>
        <v/>
      </c>
      <c r="X48">
        <f>HYPERLINK("https://klasma.github.io/Logging_2085/tillsyn/A 38674-2021 tillsynsbegäran.docx", "A 38674-2021")</f>
        <v/>
      </c>
      <c r="Y48">
        <f>HYPERLINK("https://klasma.github.io/Logging_2085/tillsynsmail/A 38674-2021 tillsynsbegäran mail.docx", "A 38674-2021")</f>
        <v/>
      </c>
    </row>
    <row r="49" ht="15" customHeight="1">
      <c r="A49" t="inlineStr">
        <is>
          <t>A 45995-2021</t>
        </is>
      </c>
      <c r="B49" s="1" t="n">
        <v>44441</v>
      </c>
      <c r="C49" s="1" t="n">
        <v>45802</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50052-2021</t>
        </is>
      </c>
      <c r="B50" s="1" t="n">
        <v>44456</v>
      </c>
      <c r="C50" s="1" t="n">
        <v>45802</v>
      </c>
      <c r="D50" t="inlineStr">
        <is>
          <t>DALARNAS LÄN</t>
        </is>
      </c>
      <c r="E50" t="inlineStr">
        <is>
          <t>LUDVIKA</t>
        </is>
      </c>
      <c r="F50" t="inlineStr">
        <is>
          <t>Bergvik skog väst AB</t>
        </is>
      </c>
      <c r="G50" t="n">
        <v>2</v>
      </c>
      <c r="H50" t="n">
        <v>1</v>
      </c>
      <c r="I50" t="n">
        <v>0</v>
      </c>
      <c r="J50" t="n">
        <v>0</v>
      </c>
      <c r="K50" t="n">
        <v>0</v>
      </c>
      <c r="L50" t="n">
        <v>0</v>
      </c>
      <c r="M50" t="n">
        <v>0</v>
      </c>
      <c r="N50" t="n">
        <v>0</v>
      </c>
      <c r="O50" t="n">
        <v>0</v>
      </c>
      <c r="P50" t="n">
        <v>0</v>
      </c>
      <c r="Q50" t="n">
        <v>1</v>
      </c>
      <c r="R50" s="2" t="inlineStr">
        <is>
          <t>Buskmus</t>
        </is>
      </c>
      <c r="S50">
        <f>HYPERLINK("https://klasma.github.io/Logging_2085/artfynd/A 50052-2021 artfynd.xlsx", "A 50052-2021")</f>
        <v/>
      </c>
      <c r="T50">
        <f>HYPERLINK("https://klasma.github.io/Logging_2085/kartor/A 50052-2021 karta.png", "A 50052-2021")</f>
        <v/>
      </c>
      <c r="V50">
        <f>HYPERLINK("https://klasma.github.io/Logging_2085/klagomål/A 50052-2021 FSC-klagomål.docx", "A 50052-2021")</f>
        <v/>
      </c>
      <c r="W50">
        <f>HYPERLINK("https://klasma.github.io/Logging_2085/klagomålsmail/A 50052-2021 FSC-klagomål mail.docx", "A 50052-2021")</f>
        <v/>
      </c>
      <c r="X50">
        <f>HYPERLINK("https://klasma.github.io/Logging_2085/tillsyn/A 50052-2021 tillsynsbegäran.docx", "A 50052-2021")</f>
        <v/>
      </c>
      <c r="Y50">
        <f>HYPERLINK("https://klasma.github.io/Logging_2085/tillsynsmail/A 50052-2021 tillsynsbegäran mail.docx", "A 50052-2021")</f>
        <v/>
      </c>
    </row>
    <row r="51" ht="15" customHeight="1">
      <c r="A51" t="inlineStr">
        <is>
          <t>A 72858-2021</t>
        </is>
      </c>
      <c r="B51" s="1" t="n">
        <v>44547</v>
      </c>
      <c r="C51" s="1" t="n">
        <v>45802</v>
      </c>
      <c r="D51" t="inlineStr">
        <is>
          <t>DALARNAS LÄN</t>
        </is>
      </c>
      <c r="E51" t="inlineStr">
        <is>
          <t>LUDVIKA</t>
        </is>
      </c>
      <c r="F51" t="inlineStr">
        <is>
          <t>Kommuner</t>
        </is>
      </c>
      <c r="G51" t="n">
        <v>7</v>
      </c>
      <c r="H51" t="n">
        <v>0</v>
      </c>
      <c r="I51" t="n">
        <v>0</v>
      </c>
      <c r="J51" t="n">
        <v>0</v>
      </c>
      <c r="K51" t="n">
        <v>1</v>
      </c>
      <c r="L51" t="n">
        <v>0</v>
      </c>
      <c r="M51" t="n">
        <v>0</v>
      </c>
      <c r="N51" t="n">
        <v>0</v>
      </c>
      <c r="O51" t="n">
        <v>1</v>
      </c>
      <c r="P51" t="n">
        <v>1</v>
      </c>
      <c r="Q51" t="n">
        <v>1</v>
      </c>
      <c r="R51" s="2" t="inlineStr">
        <is>
          <t>Rynkskinn</t>
        </is>
      </c>
      <c r="S51">
        <f>HYPERLINK("https://klasma.github.io/Logging_2085/artfynd/A 72858-2021 artfynd.xlsx", "A 72858-2021")</f>
        <v/>
      </c>
      <c r="T51">
        <f>HYPERLINK("https://klasma.github.io/Logging_2085/kartor/A 72858-2021 karta.png", "A 72858-2021")</f>
        <v/>
      </c>
      <c r="V51">
        <f>HYPERLINK("https://klasma.github.io/Logging_2085/klagomål/A 72858-2021 FSC-klagomål.docx", "A 72858-2021")</f>
        <v/>
      </c>
      <c r="W51">
        <f>HYPERLINK("https://klasma.github.io/Logging_2085/klagomålsmail/A 72858-2021 FSC-klagomål mail.docx", "A 72858-2021")</f>
        <v/>
      </c>
      <c r="X51">
        <f>HYPERLINK("https://klasma.github.io/Logging_2085/tillsyn/A 72858-2021 tillsynsbegäran.docx", "A 72858-2021")</f>
        <v/>
      </c>
      <c r="Y51">
        <f>HYPERLINK("https://klasma.github.io/Logging_2085/tillsynsmail/A 72858-2021 tillsynsbegäran mail.docx", "A 72858-2021")</f>
        <v/>
      </c>
    </row>
    <row r="52" ht="15" customHeight="1">
      <c r="A52" t="inlineStr">
        <is>
          <t>A 74401-2021</t>
        </is>
      </c>
      <c r="B52" s="1" t="n">
        <v>44560</v>
      </c>
      <c r="C52" s="1" t="n">
        <v>45802</v>
      </c>
      <c r="D52" t="inlineStr">
        <is>
          <t>DALARNAS LÄN</t>
        </is>
      </c>
      <c r="E52" t="inlineStr">
        <is>
          <t>LUDVIKA</t>
        </is>
      </c>
      <c r="F52" t="inlineStr">
        <is>
          <t>Kommuner</t>
        </is>
      </c>
      <c r="G52" t="n">
        <v>0.6</v>
      </c>
      <c r="H52" t="n">
        <v>0</v>
      </c>
      <c r="I52" t="n">
        <v>1</v>
      </c>
      <c r="J52" t="n">
        <v>0</v>
      </c>
      <c r="K52" t="n">
        <v>0</v>
      </c>
      <c r="L52" t="n">
        <v>0</v>
      </c>
      <c r="M52" t="n">
        <v>0</v>
      </c>
      <c r="N52" t="n">
        <v>0</v>
      </c>
      <c r="O52" t="n">
        <v>0</v>
      </c>
      <c r="P52" t="n">
        <v>0</v>
      </c>
      <c r="Q52" t="n">
        <v>1</v>
      </c>
      <c r="R52" s="2" t="inlineStr">
        <is>
          <t>Gullgröppa</t>
        </is>
      </c>
      <c r="S52">
        <f>HYPERLINK("https://klasma.github.io/Logging_2085/artfynd/A 74401-2021 artfynd.xlsx", "A 74401-2021")</f>
        <v/>
      </c>
      <c r="T52">
        <f>HYPERLINK("https://klasma.github.io/Logging_2085/kartor/A 74401-2021 karta.png", "A 74401-2021")</f>
        <v/>
      </c>
      <c r="V52">
        <f>HYPERLINK("https://klasma.github.io/Logging_2085/klagomål/A 74401-2021 FSC-klagomål.docx", "A 74401-2021")</f>
        <v/>
      </c>
      <c r="W52">
        <f>HYPERLINK("https://klasma.github.io/Logging_2085/klagomålsmail/A 74401-2021 FSC-klagomål mail.docx", "A 74401-2021")</f>
        <v/>
      </c>
      <c r="X52">
        <f>HYPERLINK("https://klasma.github.io/Logging_2085/tillsyn/A 74401-2021 tillsynsbegäran.docx", "A 74401-2021")</f>
        <v/>
      </c>
      <c r="Y52">
        <f>HYPERLINK("https://klasma.github.io/Logging_2085/tillsynsmail/A 74401-2021 tillsynsbegäran mail.docx", "A 74401-2021")</f>
        <v/>
      </c>
    </row>
    <row r="53" ht="15" customHeight="1">
      <c r="A53" t="inlineStr">
        <is>
          <t>A 927-2022</t>
        </is>
      </c>
      <c r="B53" s="1" t="n">
        <v>44571</v>
      </c>
      <c r="C53" s="1" t="n">
        <v>45802</v>
      </c>
      <c r="D53" t="inlineStr">
        <is>
          <t>DALARNAS LÄN</t>
        </is>
      </c>
      <c r="E53" t="inlineStr">
        <is>
          <t>LUDVIKA</t>
        </is>
      </c>
      <c r="F53" t="inlineStr">
        <is>
          <t>Allmännings- och besparingsskogar</t>
        </is>
      </c>
      <c r="G53" t="n">
        <v>2.4</v>
      </c>
      <c r="H53" t="n">
        <v>0</v>
      </c>
      <c r="I53" t="n">
        <v>0</v>
      </c>
      <c r="J53" t="n">
        <v>1</v>
      </c>
      <c r="K53" t="n">
        <v>0</v>
      </c>
      <c r="L53" t="n">
        <v>0</v>
      </c>
      <c r="M53" t="n">
        <v>0</v>
      </c>
      <c r="N53" t="n">
        <v>0</v>
      </c>
      <c r="O53" t="n">
        <v>1</v>
      </c>
      <c r="P53" t="n">
        <v>0</v>
      </c>
      <c r="Q53" t="n">
        <v>1</v>
      </c>
      <c r="R53" s="2" t="inlineStr">
        <is>
          <t>Brunklöver</t>
        </is>
      </c>
      <c r="S53">
        <f>HYPERLINK("https://klasma.github.io/Logging_2085/artfynd/A 927-2022 artfynd.xlsx", "A 927-2022")</f>
        <v/>
      </c>
      <c r="T53">
        <f>HYPERLINK("https://klasma.github.io/Logging_2085/kartor/A 927-2022 karta.png", "A 927-2022")</f>
        <v/>
      </c>
      <c r="V53">
        <f>HYPERLINK("https://klasma.github.io/Logging_2085/klagomål/A 927-2022 FSC-klagomål.docx", "A 927-2022")</f>
        <v/>
      </c>
      <c r="W53">
        <f>HYPERLINK("https://klasma.github.io/Logging_2085/klagomålsmail/A 927-2022 FSC-klagomål mail.docx", "A 927-2022")</f>
        <v/>
      </c>
      <c r="X53">
        <f>HYPERLINK("https://klasma.github.io/Logging_2085/tillsyn/A 927-2022 tillsynsbegäran.docx", "A 927-2022")</f>
        <v/>
      </c>
      <c r="Y53">
        <f>HYPERLINK("https://klasma.github.io/Logging_2085/tillsynsmail/A 927-2022 tillsynsbegäran mail.docx", "A 927-2022")</f>
        <v/>
      </c>
    </row>
    <row r="54" ht="15" customHeight="1">
      <c r="A54" t="inlineStr">
        <is>
          <t>A 19512-2022</t>
        </is>
      </c>
      <c r="B54" s="1" t="n">
        <v>44693</v>
      </c>
      <c r="C54" s="1" t="n">
        <v>45802</v>
      </c>
      <c r="D54" t="inlineStr">
        <is>
          <t>DALARNAS LÄN</t>
        </is>
      </c>
      <c r="E54" t="inlineStr">
        <is>
          <t>LUDVIKA</t>
        </is>
      </c>
      <c r="F54" t="inlineStr">
        <is>
          <t>Bergvik skog väst AB</t>
        </is>
      </c>
      <c r="G54" t="n">
        <v>2.8</v>
      </c>
      <c r="H54" t="n">
        <v>0</v>
      </c>
      <c r="I54" t="n">
        <v>1</v>
      </c>
      <c r="J54" t="n">
        <v>0</v>
      </c>
      <c r="K54" t="n">
        <v>0</v>
      </c>
      <c r="L54" t="n">
        <v>0</v>
      </c>
      <c r="M54" t="n">
        <v>0</v>
      </c>
      <c r="N54" t="n">
        <v>0</v>
      </c>
      <c r="O54" t="n">
        <v>0</v>
      </c>
      <c r="P54" t="n">
        <v>0</v>
      </c>
      <c r="Q54" t="n">
        <v>1</v>
      </c>
      <c r="R54" s="2" t="inlineStr">
        <is>
          <t>Nästlav</t>
        </is>
      </c>
      <c r="S54">
        <f>HYPERLINK("https://klasma.github.io/Logging_2085/artfynd/A 19512-2022 artfynd.xlsx", "A 19512-2022")</f>
        <v/>
      </c>
      <c r="T54">
        <f>HYPERLINK("https://klasma.github.io/Logging_2085/kartor/A 19512-2022 karta.png", "A 19512-2022")</f>
        <v/>
      </c>
      <c r="V54">
        <f>HYPERLINK("https://klasma.github.io/Logging_2085/klagomål/A 19512-2022 FSC-klagomål.docx", "A 19512-2022")</f>
        <v/>
      </c>
      <c r="W54">
        <f>HYPERLINK("https://klasma.github.io/Logging_2085/klagomålsmail/A 19512-2022 FSC-klagomål mail.docx", "A 19512-2022")</f>
        <v/>
      </c>
      <c r="X54">
        <f>HYPERLINK("https://klasma.github.io/Logging_2085/tillsyn/A 19512-2022 tillsynsbegäran.docx", "A 19512-2022")</f>
        <v/>
      </c>
      <c r="Y54">
        <f>HYPERLINK("https://klasma.github.io/Logging_2085/tillsynsmail/A 19512-2022 tillsynsbegäran mail.docx", "A 19512-2022")</f>
        <v/>
      </c>
    </row>
    <row r="55" ht="15" customHeight="1">
      <c r="A55" t="inlineStr">
        <is>
          <t>A 19717-2022</t>
        </is>
      </c>
      <c r="B55" s="1" t="n">
        <v>44694</v>
      </c>
      <c r="C55" s="1" t="n">
        <v>45802</v>
      </c>
      <c r="D55" t="inlineStr">
        <is>
          <t>DALARNAS LÄN</t>
        </is>
      </c>
      <c r="E55" t="inlineStr">
        <is>
          <t>LUDVIKA</t>
        </is>
      </c>
      <c r="F55" t="inlineStr">
        <is>
          <t>Bergvik skog väst AB</t>
        </is>
      </c>
      <c r="G55" t="n">
        <v>1.1</v>
      </c>
      <c r="H55" t="n">
        <v>0</v>
      </c>
      <c r="I55" t="n">
        <v>1</v>
      </c>
      <c r="J55" t="n">
        <v>0</v>
      </c>
      <c r="K55" t="n">
        <v>0</v>
      </c>
      <c r="L55" t="n">
        <v>0</v>
      </c>
      <c r="M55" t="n">
        <v>0</v>
      </c>
      <c r="N55" t="n">
        <v>0</v>
      </c>
      <c r="O55" t="n">
        <v>0</v>
      </c>
      <c r="P55" t="n">
        <v>0</v>
      </c>
      <c r="Q55" t="n">
        <v>1</v>
      </c>
      <c r="R55" s="2" t="inlineStr">
        <is>
          <t>Vedticka</t>
        </is>
      </c>
      <c r="S55">
        <f>HYPERLINK("https://klasma.github.io/Logging_2085/artfynd/A 19717-2022 artfynd.xlsx", "A 19717-2022")</f>
        <v/>
      </c>
      <c r="T55">
        <f>HYPERLINK("https://klasma.github.io/Logging_2085/kartor/A 19717-2022 karta.png", "A 19717-2022")</f>
        <v/>
      </c>
      <c r="V55">
        <f>HYPERLINK("https://klasma.github.io/Logging_2085/klagomål/A 19717-2022 FSC-klagomål.docx", "A 19717-2022")</f>
        <v/>
      </c>
      <c r="W55">
        <f>HYPERLINK("https://klasma.github.io/Logging_2085/klagomålsmail/A 19717-2022 FSC-klagomål mail.docx", "A 19717-2022")</f>
        <v/>
      </c>
      <c r="X55">
        <f>HYPERLINK("https://klasma.github.io/Logging_2085/tillsyn/A 19717-2022 tillsynsbegäran.docx", "A 19717-2022")</f>
        <v/>
      </c>
      <c r="Y55">
        <f>HYPERLINK("https://klasma.github.io/Logging_2085/tillsynsmail/A 19717-2022 tillsynsbegäran mail.docx", "A 19717-2022")</f>
        <v/>
      </c>
    </row>
    <row r="56" ht="15" customHeight="1">
      <c r="A56" t="inlineStr">
        <is>
          <t>A 21499-2022</t>
        </is>
      </c>
      <c r="B56" s="1" t="n">
        <v>44706</v>
      </c>
      <c r="C56" s="1" t="n">
        <v>45802</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41028-2022</t>
        </is>
      </c>
      <c r="B57" s="1" t="n">
        <v>44825</v>
      </c>
      <c r="C57" s="1" t="n">
        <v>45802</v>
      </c>
      <c r="D57" t="inlineStr">
        <is>
          <t>DALARNAS LÄN</t>
        </is>
      </c>
      <c r="E57" t="inlineStr">
        <is>
          <t>LUDVIKA</t>
        </is>
      </c>
      <c r="F57" t="inlineStr">
        <is>
          <t>Naturvårdsverket</t>
        </is>
      </c>
      <c r="G57" t="n">
        <v>8.300000000000001</v>
      </c>
      <c r="H57" t="n">
        <v>0</v>
      </c>
      <c r="I57" t="n">
        <v>0</v>
      </c>
      <c r="J57" t="n">
        <v>1</v>
      </c>
      <c r="K57" t="n">
        <v>0</v>
      </c>
      <c r="L57" t="n">
        <v>0</v>
      </c>
      <c r="M57" t="n">
        <v>0</v>
      </c>
      <c r="N57" t="n">
        <v>0</v>
      </c>
      <c r="O57" t="n">
        <v>1</v>
      </c>
      <c r="P57" t="n">
        <v>0</v>
      </c>
      <c r="Q57" t="n">
        <v>1</v>
      </c>
      <c r="R57" s="2" t="inlineStr">
        <is>
          <t>Vårtsporigt stålskinn</t>
        </is>
      </c>
      <c r="S57">
        <f>HYPERLINK("https://klasma.github.io/Logging_2085/artfynd/A 41028-2022 artfynd.xlsx", "A 41028-2022")</f>
        <v/>
      </c>
      <c r="T57">
        <f>HYPERLINK("https://klasma.github.io/Logging_2085/kartor/A 41028-2022 karta.png", "A 41028-2022")</f>
        <v/>
      </c>
      <c r="V57">
        <f>HYPERLINK("https://klasma.github.io/Logging_2085/klagomål/A 41028-2022 FSC-klagomål.docx", "A 41028-2022")</f>
        <v/>
      </c>
      <c r="W57">
        <f>HYPERLINK("https://klasma.github.io/Logging_2085/klagomålsmail/A 41028-2022 FSC-klagomål mail.docx", "A 41028-2022")</f>
        <v/>
      </c>
      <c r="X57">
        <f>HYPERLINK("https://klasma.github.io/Logging_2085/tillsyn/A 41028-2022 tillsynsbegäran.docx", "A 41028-2022")</f>
        <v/>
      </c>
      <c r="Y57">
        <f>HYPERLINK("https://klasma.github.io/Logging_2085/tillsynsmail/A 41028-2022 tillsynsbegäran mail.docx", "A 41028-2022")</f>
        <v/>
      </c>
    </row>
    <row r="58" ht="15" customHeight="1">
      <c r="A58" t="inlineStr">
        <is>
          <t>A 42558-2022</t>
        </is>
      </c>
      <c r="B58" s="1" t="n">
        <v>44831</v>
      </c>
      <c r="C58" s="1" t="n">
        <v>45802</v>
      </c>
      <c r="D58" t="inlineStr">
        <is>
          <t>DALARNAS LÄN</t>
        </is>
      </c>
      <c r="E58" t="inlineStr">
        <is>
          <t>LUDVIKA</t>
        </is>
      </c>
      <c r="F58" t="inlineStr">
        <is>
          <t>Naturvårdsverket</t>
        </is>
      </c>
      <c r="G58" t="n">
        <v>4.9</v>
      </c>
      <c r="H58" t="n">
        <v>0</v>
      </c>
      <c r="I58" t="n">
        <v>0</v>
      </c>
      <c r="J58" t="n">
        <v>0</v>
      </c>
      <c r="K58" t="n">
        <v>1</v>
      </c>
      <c r="L58" t="n">
        <v>0</v>
      </c>
      <c r="M58" t="n">
        <v>0</v>
      </c>
      <c r="N58" t="n">
        <v>0</v>
      </c>
      <c r="O58" t="n">
        <v>1</v>
      </c>
      <c r="P58" t="n">
        <v>1</v>
      </c>
      <c r="Q58" t="n">
        <v>1</v>
      </c>
      <c r="R58" s="2" t="inlineStr">
        <is>
          <t>Gräddporing</t>
        </is>
      </c>
      <c r="S58">
        <f>HYPERLINK("https://klasma.github.io/Logging_2085/artfynd/A 42558-2022 artfynd.xlsx", "A 42558-2022")</f>
        <v/>
      </c>
      <c r="T58">
        <f>HYPERLINK("https://klasma.github.io/Logging_2085/kartor/A 42558-2022 karta.png", "A 42558-2022")</f>
        <v/>
      </c>
      <c r="V58">
        <f>HYPERLINK("https://klasma.github.io/Logging_2085/klagomål/A 42558-2022 FSC-klagomål.docx", "A 42558-2022")</f>
        <v/>
      </c>
      <c r="W58">
        <f>HYPERLINK("https://klasma.github.io/Logging_2085/klagomålsmail/A 42558-2022 FSC-klagomål mail.docx", "A 42558-2022")</f>
        <v/>
      </c>
      <c r="X58">
        <f>HYPERLINK("https://klasma.github.io/Logging_2085/tillsyn/A 42558-2022 tillsynsbegäran.docx", "A 42558-2022")</f>
        <v/>
      </c>
      <c r="Y58">
        <f>HYPERLINK("https://klasma.github.io/Logging_2085/tillsynsmail/A 42558-2022 tillsynsbegäran mail.docx", "A 42558-2022")</f>
        <v/>
      </c>
    </row>
    <row r="59" ht="15" customHeight="1">
      <c r="A59" t="inlineStr">
        <is>
          <t>A 42758-2022</t>
        </is>
      </c>
      <c r="B59" s="1" t="n">
        <v>44832</v>
      </c>
      <c r="C59" s="1" t="n">
        <v>45802</v>
      </c>
      <c r="D59" t="inlineStr">
        <is>
          <t>DALARNAS LÄN</t>
        </is>
      </c>
      <c r="E59" t="inlineStr">
        <is>
          <t>LUDVIKA</t>
        </is>
      </c>
      <c r="F59" t="inlineStr">
        <is>
          <t>Bergvik skog väst AB</t>
        </is>
      </c>
      <c r="G59" t="n">
        <v>1.6</v>
      </c>
      <c r="H59" t="n">
        <v>0</v>
      </c>
      <c r="I59" t="n">
        <v>0</v>
      </c>
      <c r="J59" t="n">
        <v>0</v>
      </c>
      <c r="K59" t="n">
        <v>1</v>
      </c>
      <c r="L59" t="n">
        <v>0</v>
      </c>
      <c r="M59" t="n">
        <v>0</v>
      </c>
      <c r="N59" t="n">
        <v>0</v>
      </c>
      <c r="O59" t="n">
        <v>1</v>
      </c>
      <c r="P59" t="n">
        <v>1</v>
      </c>
      <c r="Q59" t="n">
        <v>1</v>
      </c>
      <c r="R59" s="2" t="inlineStr">
        <is>
          <t>Aspgelélav</t>
        </is>
      </c>
      <c r="S59">
        <f>HYPERLINK("https://klasma.github.io/Logging_2085/artfynd/A 42758-2022 artfynd.xlsx", "A 42758-2022")</f>
        <v/>
      </c>
      <c r="T59">
        <f>HYPERLINK("https://klasma.github.io/Logging_2085/kartor/A 42758-2022 karta.png", "A 42758-2022")</f>
        <v/>
      </c>
      <c r="V59">
        <f>HYPERLINK("https://klasma.github.io/Logging_2085/klagomål/A 42758-2022 FSC-klagomål.docx", "A 42758-2022")</f>
        <v/>
      </c>
      <c r="W59">
        <f>HYPERLINK("https://klasma.github.io/Logging_2085/klagomålsmail/A 42758-2022 FSC-klagomål mail.docx", "A 42758-2022")</f>
        <v/>
      </c>
      <c r="X59">
        <f>HYPERLINK("https://klasma.github.io/Logging_2085/tillsyn/A 42758-2022 tillsynsbegäran.docx", "A 42758-2022")</f>
        <v/>
      </c>
      <c r="Y59">
        <f>HYPERLINK("https://klasma.github.io/Logging_2085/tillsynsmail/A 42758-2022 tillsynsbegäran mail.docx", "A 42758-2022")</f>
        <v/>
      </c>
    </row>
    <row r="60" ht="15" customHeight="1">
      <c r="A60" t="inlineStr">
        <is>
          <t>A 52452-2022</t>
        </is>
      </c>
      <c r="B60" s="1" t="n">
        <v>44874</v>
      </c>
      <c r="C60" s="1" t="n">
        <v>45802</v>
      </c>
      <c r="D60" t="inlineStr">
        <is>
          <t>DALARNAS LÄN</t>
        </is>
      </c>
      <c r="E60" t="inlineStr">
        <is>
          <t>LUDVIKA</t>
        </is>
      </c>
      <c r="F60" t="inlineStr">
        <is>
          <t>Bergvik skog väst AB</t>
        </is>
      </c>
      <c r="G60" t="n">
        <v>1.9</v>
      </c>
      <c r="H60" t="n">
        <v>0</v>
      </c>
      <c r="I60" t="n">
        <v>0</v>
      </c>
      <c r="J60" t="n">
        <v>1</v>
      </c>
      <c r="K60" t="n">
        <v>0</v>
      </c>
      <c r="L60" t="n">
        <v>0</v>
      </c>
      <c r="M60" t="n">
        <v>0</v>
      </c>
      <c r="N60" t="n">
        <v>0</v>
      </c>
      <c r="O60" t="n">
        <v>1</v>
      </c>
      <c r="P60" t="n">
        <v>0</v>
      </c>
      <c r="Q60" t="n">
        <v>1</v>
      </c>
      <c r="R60" s="2" t="inlineStr">
        <is>
          <t>Garnlav</t>
        </is>
      </c>
      <c r="S60">
        <f>HYPERLINK("https://klasma.github.io/Logging_2085/artfynd/A 52452-2022 artfynd.xlsx", "A 52452-2022")</f>
        <v/>
      </c>
      <c r="T60">
        <f>HYPERLINK("https://klasma.github.io/Logging_2085/kartor/A 52452-2022 karta.png", "A 52452-2022")</f>
        <v/>
      </c>
      <c r="V60">
        <f>HYPERLINK("https://klasma.github.io/Logging_2085/klagomål/A 52452-2022 FSC-klagomål.docx", "A 52452-2022")</f>
        <v/>
      </c>
      <c r="W60">
        <f>HYPERLINK("https://klasma.github.io/Logging_2085/klagomålsmail/A 52452-2022 FSC-klagomål mail.docx", "A 52452-2022")</f>
        <v/>
      </c>
      <c r="X60">
        <f>HYPERLINK("https://klasma.github.io/Logging_2085/tillsyn/A 52452-2022 tillsynsbegäran.docx", "A 52452-2022")</f>
        <v/>
      </c>
      <c r="Y60">
        <f>HYPERLINK("https://klasma.github.io/Logging_2085/tillsynsmail/A 52452-2022 tillsynsbegäran mail.docx", "A 52452-2022")</f>
        <v/>
      </c>
    </row>
    <row r="61" ht="15" customHeight="1">
      <c r="A61" t="inlineStr">
        <is>
          <t>A 55550-2022</t>
        </is>
      </c>
      <c r="B61" s="1" t="n">
        <v>44888</v>
      </c>
      <c r="C61" s="1" t="n">
        <v>45802</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381-2023</t>
        </is>
      </c>
      <c r="B62" s="1" t="n">
        <v>44929</v>
      </c>
      <c r="C62" s="1" t="n">
        <v>45802</v>
      </c>
      <c r="D62" t="inlineStr">
        <is>
          <t>DALARNAS LÄN</t>
        </is>
      </c>
      <c r="E62" t="inlineStr">
        <is>
          <t>LUDVIKA</t>
        </is>
      </c>
      <c r="G62" t="n">
        <v>7.9</v>
      </c>
      <c r="H62" t="n">
        <v>1</v>
      </c>
      <c r="I62" t="n">
        <v>0</v>
      </c>
      <c r="J62" t="n">
        <v>0</v>
      </c>
      <c r="K62" t="n">
        <v>0</v>
      </c>
      <c r="L62" t="n">
        <v>0</v>
      </c>
      <c r="M62" t="n">
        <v>0</v>
      </c>
      <c r="N62" t="n">
        <v>0</v>
      </c>
      <c r="O62" t="n">
        <v>0</v>
      </c>
      <c r="P62" t="n">
        <v>0</v>
      </c>
      <c r="Q62" t="n">
        <v>1</v>
      </c>
      <c r="R62" s="2" t="inlineStr">
        <is>
          <t>Fläcknycklar</t>
        </is>
      </c>
      <c r="S62">
        <f>HYPERLINK("https://klasma.github.io/Logging_2085/artfynd/A 381-2023 artfynd.xlsx", "A 381-2023")</f>
        <v/>
      </c>
      <c r="T62">
        <f>HYPERLINK("https://klasma.github.io/Logging_2085/kartor/A 381-2023 karta.png", "A 381-2023")</f>
        <v/>
      </c>
      <c r="V62">
        <f>HYPERLINK("https://klasma.github.io/Logging_2085/klagomål/A 381-2023 FSC-klagomål.docx", "A 381-2023")</f>
        <v/>
      </c>
      <c r="W62">
        <f>HYPERLINK("https://klasma.github.io/Logging_2085/klagomålsmail/A 381-2023 FSC-klagomål mail.docx", "A 381-2023")</f>
        <v/>
      </c>
      <c r="X62">
        <f>HYPERLINK("https://klasma.github.io/Logging_2085/tillsyn/A 381-2023 tillsynsbegäran.docx", "A 381-2023")</f>
        <v/>
      </c>
      <c r="Y62">
        <f>HYPERLINK("https://klasma.github.io/Logging_2085/tillsynsmail/A 381-2023 tillsynsbegäran mail.docx", "A 381-2023")</f>
        <v/>
      </c>
    </row>
    <row r="63" ht="15" customHeight="1">
      <c r="A63" t="inlineStr">
        <is>
          <t>A 17310-2023</t>
        </is>
      </c>
      <c r="B63" s="1" t="n">
        <v>45035</v>
      </c>
      <c r="C63" s="1" t="n">
        <v>45802</v>
      </c>
      <c r="D63" t="inlineStr">
        <is>
          <t>DALARNAS LÄN</t>
        </is>
      </c>
      <c r="E63" t="inlineStr">
        <is>
          <t>LUDVIKA</t>
        </is>
      </c>
      <c r="G63" t="n">
        <v>10.2</v>
      </c>
      <c r="H63" t="n">
        <v>0</v>
      </c>
      <c r="I63" t="n">
        <v>0</v>
      </c>
      <c r="J63" t="n">
        <v>1</v>
      </c>
      <c r="K63" t="n">
        <v>0</v>
      </c>
      <c r="L63" t="n">
        <v>0</v>
      </c>
      <c r="M63" t="n">
        <v>0</v>
      </c>
      <c r="N63" t="n">
        <v>0</v>
      </c>
      <c r="O63" t="n">
        <v>1</v>
      </c>
      <c r="P63" t="n">
        <v>0</v>
      </c>
      <c r="Q63" t="n">
        <v>1</v>
      </c>
      <c r="R63" s="2" t="inlineStr">
        <is>
          <t>Barrpraktbagge</t>
        </is>
      </c>
      <c r="S63">
        <f>HYPERLINK("https://klasma.github.io/Logging_2085/artfynd/A 17310-2023 artfynd.xlsx", "A 17310-2023")</f>
        <v/>
      </c>
      <c r="T63">
        <f>HYPERLINK("https://klasma.github.io/Logging_2085/kartor/A 17310-2023 karta.png", "A 17310-2023")</f>
        <v/>
      </c>
      <c r="V63">
        <f>HYPERLINK("https://klasma.github.io/Logging_2085/klagomål/A 17310-2023 FSC-klagomål.docx", "A 17310-2023")</f>
        <v/>
      </c>
      <c r="W63">
        <f>HYPERLINK("https://klasma.github.io/Logging_2085/klagomålsmail/A 17310-2023 FSC-klagomål mail.docx", "A 17310-2023")</f>
        <v/>
      </c>
      <c r="X63">
        <f>HYPERLINK("https://klasma.github.io/Logging_2085/tillsyn/A 17310-2023 tillsynsbegäran.docx", "A 17310-2023")</f>
        <v/>
      </c>
      <c r="Y63">
        <f>HYPERLINK("https://klasma.github.io/Logging_2085/tillsynsmail/A 17310-2023 tillsynsbegäran mail.docx", "A 17310-2023")</f>
        <v/>
      </c>
    </row>
    <row r="64" ht="15" customHeight="1">
      <c r="A64" t="inlineStr">
        <is>
          <t>A 18298-2023</t>
        </is>
      </c>
      <c r="B64" s="1" t="n">
        <v>45041</v>
      </c>
      <c r="C64" s="1" t="n">
        <v>45802</v>
      </c>
      <c r="D64" t="inlineStr">
        <is>
          <t>DALARNAS LÄN</t>
        </is>
      </c>
      <c r="E64" t="inlineStr">
        <is>
          <t>LUDVIKA</t>
        </is>
      </c>
      <c r="G64" t="n">
        <v>3.4</v>
      </c>
      <c r="H64" t="n">
        <v>1</v>
      </c>
      <c r="I64" t="n">
        <v>0</v>
      </c>
      <c r="J64" t="n">
        <v>0</v>
      </c>
      <c r="K64" t="n">
        <v>0</v>
      </c>
      <c r="L64" t="n">
        <v>0</v>
      </c>
      <c r="M64" t="n">
        <v>0</v>
      </c>
      <c r="N64" t="n">
        <v>0</v>
      </c>
      <c r="O64" t="n">
        <v>0</v>
      </c>
      <c r="P64" t="n">
        <v>0</v>
      </c>
      <c r="Q64" t="n">
        <v>1</v>
      </c>
      <c r="R64" s="2" t="inlineStr">
        <is>
          <t>Fläcknycklar</t>
        </is>
      </c>
      <c r="S64">
        <f>HYPERLINK("https://klasma.github.io/Logging_2085/artfynd/A 18298-2023 artfynd.xlsx", "A 18298-2023")</f>
        <v/>
      </c>
      <c r="T64">
        <f>HYPERLINK("https://klasma.github.io/Logging_2085/kartor/A 18298-2023 karta.png", "A 18298-2023")</f>
        <v/>
      </c>
      <c r="V64">
        <f>HYPERLINK("https://klasma.github.io/Logging_2085/klagomål/A 18298-2023 FSC-klagomål.docx", "A 18298-2023")</f>
        <v/>
      </c>
      <c r="W64">
        <f>HYPERLINK("https://klasma.github.io/Logging_2085/klagomålsmail/A 18298-2023 FSC-klagomål mail.docx", "A 18298-2023")</f>
        <v/>
      </c>
      <c r="X64">
        <f>HYPERLINK("https://klasma.github.io/Logging_2085/tillsyn/A 18298-2023 tillsynsbegäran.docx", "A 18298-2023")</f>
        <v/>
      </c>
      <c r="Y64">
        <f>HYPERLINK("https://klasma.github.io/Logging_2085/tillsynsmail/A 18298-2023 tillsynsbegäran mail.docx", "A 18298-2023")</f>
        <v/>
      </c>
    </row>
    <row r="65" ht="15" customHeight="1">
      <c r="A65" t="inlineStr">
        <is>
          <t>A 25588-2023</t>
        </is>
      </c>
      <c r="B65" s="1" t="n">
        <v>45089</v>
      </c>
      <c r="C65" s="1" t="n">
        <v>45802</v>
      </c>
      <c r="D65" t="inlineStr">
        <is>
          <t>DALARNAS LÄN</t>
        </is>
      </c>
      <c r="E65" t="inlineStr">
        <is>
          <t>LUDVIKA</t>
        </is>
      </c>
      <c r="G65" t="n">
        <v>9.4</v>
      </c>
      <c r="H65" t="n">
        <v>0</v>
      </c>
      <c r="I65" t="n">
        <v>0</v>
      </c>
      <c r="J65" t="n">
        <v>1</v>
      </c>
      <c r="K65" t="n">
        <v>0</v>
      </c>
      <c r="L65" t="n">
        <v>0</v>
      </c>
      <c r="M65" t="n">
        <v>0</v>
      </c>
      <c r="N65" t="n">
        <v>0</v>
      </c>
      <c r="O65" t="n">
        <v>1</v>
      </c>
      <c r="P65" t="n">
        <v>0</v>
      </c>
      <c r="Q65" t="n">
        <v>1</v>
      </c>
      <c r="R65" s="2" t="inlineStr">
        <is>
          <t>Garnlav</t>
        </is>
      </c>
      <c r="S65">
        <f>HYPERLINK("https://klasma.github.io/Logging_2085/artfynd/A 25588-2023 artfynd.xlsx", "A 25588-2023")</f>
        <v/>
      </c>
      <c r="T65">
        <f>HYPERLINK("https://klasma.github.io/Logging_2085/kartor/A 25588-2023 karta.png", "A 25588-2023")</f>
        <v/>
      </c>
      <c r="V65">
        <f>HYPERLINK("https://klasma.github.io/Logging_2085/klagomål/A 25588-2023 FSC-klagomål.docx", "A 25588-2023")</f>
        <v/>
      </c>
      <c r="W65">
        <f>HYPERLINK("https://klasma.github.io/Logging_2085/klagomålsmail/A 25588-2023 FSC-klagomål mail.docx", "A 25588-2023")</f>
        <v/>
      </c>
      <c r="X65">
        <f>HYPERLINK("https://klasma.github.io/Logging_2085/tillsyn/A 25588-2023 tillsynsbegäran.docx", "A 25588-2023")</f>
        <v/>
      </c>
      <c r="Y65">
        <f>HYPERLINK("https://klasma.github.io/Logging_2085/tillsynsmail/A 25588-2023 tillsynsbegäran mail.docx", "A 25588-2023")</f>
        <v/>
      </c>
    </row>
    <row r="66" ht="15" customHeight="1">
      <c r="A66" t="inlineStr">
        <is>
          <t>A 26850-2023</t>
        </is>
      </c>
      <c r="B66" s="1" t="n">
        <v>45093</v>
      </c>
      <c r="C66" s="1" t="n">
        <v>45802</v>
      </c>
      <c r="D66" t="inlineStr">
        <is>
          <t>DALARNAS LÄN</t>
        </is>
      </c>
      <c r="E66" t="inlineStr">
        <is>
          <t>LUDVIKA</t>
        </is>
      </c>
      <c r="F66" t="inlineStr">
        <is>
          <t>Naturvårdsverket</t>
        </is>
      </c>
      <c r="G66" t="n">
        <v>2.7</v>
      </c>
      <c r="H66" t="n">
        <v>0</v>
      </c>
      <c r="I66" t="n">
        <v>0</v>
      </c>
      <c r="J66" t="n">
        <v>1</v>
      </c>
      <c r="K66" t="n">
        <v>0</v>
      </c>
      <c r="L66" t="n">
        <v>0</v>
      </c>
      <c r="M66" t="n">
        <v>0</v>
      </c>
      <c r="N66" t="n">
        <v>0</v>
      </c>
      <c r="O66" t="n">
        <v>1</v>
      </c>
      <c r="P66" t="n">
        <v>0</v>
      </c>
      <c r="Q66" t="n">
        <v>1</v>
      </c>
      <c r="R66" s="2" t="inlineStr">
        <is>
          <t>Motaggsvamp</t>
        </is>
      </c>
      <c r="S66">
        <f>HYPERLINK("https://klasma.github.io/Logging_2085/artfynd/A 26850-2023 artfynd.xlsx", "A 26850-2023")</f>
        <v/>
      </c>
      <c r="T66">
        <f>HYPERLINK("https://klasma.github.io/Logging_2085/kartor/A 26850-2023 karta.png", "A 26850-2023")</f>
        <v/>
      </c>
      <c r="V66">
        <f>HYPERLINK("https://klasma.github.io/Logging_2085/klagomål/A 26850-2023 FSC-klagomål.docx", "A 26850-2023")</f>
        <v/>
      </c>
      <c r="W66">
        <f>HYPERLINK("https://klasma.github.io/Logging_2085/klagomålsmail/A 26850-2023 FSC-klagomål mail.docx", "A 26850-2023")</f>
        <v/>
      </c>
      <c r="X66">
        <f>HYPERLINK("https://klasma.github.io/Logging_2085/tillsyn/A 26850-2023 tillsynsbegäran.docx", "A 26850-2023")</f>
        <v/>
      </c>
      <c r="Y66">
        <f>HYPERLINK("https://klasma.github.io/Logging_2085/tillsynsmail/A 26850-2023 tillsynsbegäran mail.docx", "A 26850-2023")</f>
        <v/>
      </c>
    </row>
    <row r="67" ht="15" customHeight="1">
      <c r="A67" t="inlineStr">
        <is>
          <t>A 29144-2023</t>
        </is>
      </c>
      <c r="B67" s="1" t="n">
        <v>45105</v>
      </c>
      <c r="C67" s="1" t="n">
        <v>45802</v>
      </c>
      <c r="D67" t="inlineStr">
        <is>
          <t>DALARNAS LÄN</t>
        </is>
      </c>
      <c r="E67" t="inlineStr">
        <is>
          <t>LUDVIKA</t>
        </is>
      </c>
      <c r="F67" t="inlineStr">
        <is>
          <t>Allmännings- och besparingsskogar</t>
        </is>
      </c>
      <c r="G67" t="n">
        <v>7.2</v>
      </c>
      <c r="H67" t="n">
        <v>1</v>
      </c>
      <c r="I67" t="n">
        <v>0</v>
      </c>
      <c r="J67" t="n">
        <v>0</v>
      </c>
      <c r="K67" t="n">
        <v>1</v>
      </c>
      <c r="L67" t="n">
        <v>0</v>
      </c>
      <c r="M67" t="n">
        <v>0</v>
      </c>
      <c r="N67" t="n">
        <v>0</v>
      </c>
      <c r="O67" t="n">
        <v>1</v>
      </c>
      <c r="P67" t="n">
        <v>1</v>
      </c>
      <c r="Q67" t="n">
        <v>1</v>
      </c>
      <c r="R67" s="2" t="inlineStr">
        <is>
          <t>Knärot</t>
        </is>
      </c>
      <c r="S67">
        <f>HYPERLINK("https://klasma.github.io/Logging_2085/artfynd/A 29144-2023 artfynd.xlsx", "A 29144-2023")</f>
        <v/>
      </c>
      <c r="T67">
        <f>HYPERLINK("https://klasma.github.io/Logging_2085/kartor/A 29144-2023 karta.png", "A 29144-2023")</f>
        <v/>
      </c>
      <c r="U67">
        <f>HYPERLINK("https://klasma.github.io/Logging_2085/knärot/A 29144-2023 karta knärot.png", "A 29144-2023")</f>
        <v/>
      </c>
      <c r="V67">
        <f>HYPERLINK("https://klasma.github.io/Logging_2085/klagomål/A 29144-2023 FSC-klagomål.docx", "A 29144-2023")</f>
        <v/>
      </c>
      <c r="W67">
        <f>HYPERLINK("https://klasma.github.io/Logging_2085/klagomålsmail/A 29144-2023 FSC-klagomål mail.docx", "A 29144-2023")</f>
        <v/>
      </c>
      <c r="X67">
        <f>HYPERLINK("https://klasma.github.io/Logging_2085/tillsyn/A 29144-2023 tillsynsbegäran.docx", "A 29144-2023")</f>
        <v/>
      </c>
      <c r="Y67">
        <f>HYPERLINK("https://klasma.github.io/Logging_2085/tillsynsmail/A 29144-2023 tillsynsbegäran mail.docx", "A 29144-2023")</f>
        <v/>
      </c>
    </row>
    <row r="68" ht="15" customHeight="1">
      <c r="A68" t="inlineStr">
        <is>
          <t>A 30053-2023</t>
        </is>
      </c>
      <c r="B68" s="1" t="n">
        <v>45110</v>
      </c>
      <c r="C68" s="1" t="n">
        <v>45802</v>
      </c>
      <c r="D68" t="inlineStr">
        <is>
          <t>DALARNAS LÄN</t>
        </is>
      </c>
      <c r="E68" t="inlineStr">
        <is>
          <t>LUDVIKA</t>
        </is>
      </c>
      <c r="F68" t="inlineStr">
        <is>
          <t>Bergvik skog väst AB</t>
        </is>
      </c>
      <c r="G68" t="n">
        <v>6.8</v>
      </c>
      <c r="H68" t="n">
        <v>0</v>
      </c>
      <c r="I68" t="n">
        <v>0</v>
      </c>
      <c r="J68" t="n">
        <v>1</v>
      </c>
      <c r="K68" t="n">
        <v>0</v>
      </c>
      <c r="L68" t="n">
        <v>0</v>
      </c>
      <c r="M68" t="n">
        <v>0</v>
      </c>
      <c r="N68" t="n">
        <v>0</v>
      </c>
      <c r="O68" t="n">
        <v>1</v>
      </c>
      <c r="P68" t="n">
        <v>0</v>
      </c>
      <c r="Q68" t="n">
        <v>1</v>
      </c>
      <c r="R68" s="2" t="inlineStr">
        <is>
          <t>Garnlav</t>
        </is>
      </c>
      <c r="S68">
        <f>HYPERLINK("https://klasma.github.io/Logging_2085/artfynd/A 30053-2023 artfynd.xlsx", "A 30053-2023")</f>
        <v/>
      </c>
      <c r="T68">
        <f>HYPERLINK("https://klasma.github.io/Logging_2085/kartor/A 30053-2023 karta.png", "A 30053-2023")</f>
        <v/>
      </c>
      <c r="V68">
        <f>HYPERLINK("https://klasma.github.io/Logging_2085/klagomål/A 30053-2023 FSC-klagomål.docx", "A 30053-2023")</f>
        <v/>
      </c>
      <c r="W68">
        <f>HYPERLINK("https://klasma.github.io/Logging_2085/klagomålsmail/A 30053-2023 FSC-klagomål mail.docx", "A 30053-2023")</f>
        <v/>
      </c>
      <c r="X68">
        <f>HYPERLINK("https://klasma.github.io/Logging_2085/tillsyn/A 30053-2023 tillsynsbegäran.docx", "A 30053-2023")</f>
        <v/>
      </c>
      <c r="Y68">
        <f>HYPERLINK("https://klasma.github.io/Logging_2085/tillsynsmail/A 30053-2023 tillsynsbegäran mail.docx", "A 30053-2023")</f>
        <v/>
      </c>
    </row>
    <row r="69" ht="15" customHeight="1">
      <c r="A69" t="inlineStr">
        <is>
          <t>A 33055-2023</t>
        </is>
      </c>
      <c r="B69" s="1" t="n">
        <v>45126</v>
      </c>
      <c r="C69" s="1" t="n">
        <v>45802</v>
      </c>
      <c r="D69" t="inlineStr">
        <is>
          <t>DALARNAS LÄN</t>
        </is>
      </c>
      <c r="E69" t="inlineStr">
        <is>
          <t>LUDVIKA</t>
        </is>
      </c>
      <c r="F69" t="inlineStr">
        <is>
          <t>Bergvik skog väst AB</t>
        </is>
      </c>
      <c r="G69" t="n">
        <v>6</v>
      </c>
      <c r="H69" t="n">
        <v>0</v>
      </c>
      <c r="I69" t="n">
        <v>1</v>
      </c>
      <c r="J69" t="n">
        <v>0</v>
      </c>
      <c r="K69" t="n">
        <v>0</v>
      </c>
      <c r="L69" t="n">
        <v>0</v>
      </c>
      <c r="M69" t="n">
        <v>0</v>
      </c>
      <c r="N69" t="n">
        <v>0</v>
      </c>
      <c r="O69" t="n">
        <v>0</v>
      </c>
      <c r="P69" t="n">
        <v>0</v>
      </c>
      <c r="Q69" t="n">
        <v>1</v>
      </c>
      <c r="R69" s="2" t="inlineStr">
        <is>
          <t>Vedticka</t>
        </is>
      </c>
      <c r="S69">
        <f>HYPERLINK("https://klasma.github.io/Logging_2085/artfynd/A 33055-2023 artfynd.xlsx", "A 33055-2023")</f>
        <v/>
      </c>
      <c r="T69">
        <f>HYPERLINK("https://klasma.github.io/Logging_2085/kartor/A 33055-2023 karta.png", "A 33055-2023")</f>
        <v/>
      </c>
      <c r="V69">
        <f>HYPERLINK("https://klasma.github.io/Logging_2085/klagomål/A 33055-2023 FSC-klagomål.docx", "A 33055-2023")</f>
        <v/>
      </c>
      <c r="W69">
        <f>HYPERLINK("https://klasma.github.io/Logging_2085/klagomålsmail/A 33055-2023 FSC-klagomål mail.docx", "A 33055-2023")</f>
        <v/>
      </c>
      <c r="X69">
        <f>HYPERLINK("https://klasma.github.io/Logging_2085/tillsyn/A 33055-2023 tillsynsbegäran.docx", "A 33055-2023")</f>
        <v/>
      </c>
      <c r="Y69">
        <f>HYPERLINK("https://klasma.github.io/Logging_2085/tillsynsmail/A 33055-2023 tillsynsbegäran mail.docx", "A 33055-2023")</f>
        <v/>
      </c>
    </row>
    <row r="70" ht="15" customHeight="1">
      <c r="A70" t="inlineStr">
        <is>
          <t>A 34539-2023</t>
        </is>
      </c>
      <c r="B70" s="1" t="n">
        <v>45140</v>
      </c>
      <c r="C70" s="1" t="n">
        <v>45802</v>
      </c>
      <c r="D70" t="inlineStr">
        <is>
          <t>DALARNAS LÄN</t>
        </is>
      </c>
      <c r="E70" t="inlineStr">
        <is>
          <t>LUDVIKA</t>
        </is>
      </c>
      <c r="F70" t="inlineStr">
        <is>
          <t>Bergvik skog väst AB</t>
        </is>
      </c>
      <c r="G70" t="n">
        <v>6.1</v>
      </c>
      <c r="H70" t="n">
        <v>1</v>
      </c>
      <c r="I70" t="n">
        <v>0</v>
      </c>
      <c r="J70" t="n">
        <v>0</v>
      </c>
      <c r="K70" t="n">
        <v>0</v>
      </c>
      <c r="L70" t="n">
        <v>0</v>
      </c>
      <c r="M70" t="n">
        <v>0</v>
      </c>
      <c r="N70" t="n">
        <v>0</v>
      </c>
      <c r="O70" t="n">
        <v>0</v>
      </c>
      <c r="P70" t="n">
        <v>0</v>
      </c>
      <c r="Q70" t="n">
        <v>1</v>
      </c>
      <c r="R70" s="2" t="inlineStr">
        <is>
          <t>Gullviva</t>
        </is>
      </c>
      <c r="S70">
        <f>HYPERLINK("https://klasma.github.io/Logging_2085/artfynd/A 34539-2023 artfynd.xlsx", "A 34539-2023")</f>
        <v/>
      </c>
      <c r="T70">
        <f>HYPERLINK("https://klasma.github.io/Logging_2085/kartor/A 34539-2023 karta.png", "A 34539-2023")</f>
        <v/>
      </c>
      <c r="V70">
        <f>HYPERLINK("https://klasma.github.io/Logging_2085/klagomål/A 34539-2023 FSC-klagomål.docx", "A 34539-2023")</f>
        <v/>
      </c>
      <c r="W70">
        <f>HYPERLINK("https://klasma.github.io/Logging_2085/klagomålsmail/A 34539-2023 FSC-klagomål mail.docx", "A 34539-2023")</f>
        <v/>
      </c>
      <c r="X70">
        <f>HYPERLINK("https://klasma.github.io/Logging_2085/tillsyn/A 34539-2023 tillsynsbegäran.docx", "A 34539-2023")</f>
        <v/>
      </c>
      <c r="Y70">
        <f>HYPERLINK("https://klasma.github.io/Logging_2085/tillsynsmail/A 34539-2023 tillsynsbegäran mail.docx", "A 34539-2023")</f>
        <v/>
      </c>
    </row>
    <row r="71" ht="15" customHeight="1">
      <c r="A71" t="inlineStr">
        <is>
          <t>A 36559-2023</t>
        </is>
      </c>
      <c r="B71" s="1" t="n">
        <v>45153</v>
      </c>
      <c r="C71" s="1" t="n">
        <v>45802</v>
      </c>
      <c r="D71" t="inlineStr">
        <is>
          <t>DALARNAS LÄN</t>
        </is>
      </c>
      <c r="E71" t="inlineStr">
        <is>
          <t>LUDVIKA</t>
        </is>
      </c>
      <c r="F71" t="inlineStr">
        <is>
          <t>Bergvik skog väst AB</t>
        </is>
      </c>
      <c r="G71" t="n">
        <v>34.7</v>
      </c>
      <c r="H71" t="n">
        <v>0</v>
      </c>
      <c r="I71" t="n">
        <v>0</v>
      </c>
      <c r="J71" t="n">
        <v>1</v>
      </c>
      <c r="K71" t="n">
        <v>0</v>
      </c>
      <c r="L71" t="n">
        <v>0</v>
      </c>
      <c r="M71" t="n">
        <v>0</v>
      </c>
      <c r="N71" t="n">
        <v>0</v>
      </c>
      <c r="O71" t="n">
        <v>1</v>
      </c>
      <c r="P71" t="n">
        <v>0</v>
      </c>
      <c r="Q71" t="n">
        <v>1</v>
      </c>
      <c r="R71" s="2" t="inlineStr">
        <is>
          <t>Garnlav</t>
        </is>
      </c>
      <c r="S71">
        <f>HYPERLINK("https://klasma.github.io/Logging_2085/artfynd/A 36559-2023 artfynd.xlsx", "A 36559-2023")</f>
        <v/>
      </c>
      <c r="T71">
        <f>HYPERLINK("https://klasma.github.io/Logging_2085/kartor/A 36559-2023 karta.png", "A 36559-2023")</f>
        <v/>
      </c>
      <c r="V71">
        <f>HYPERLINK("https://klasma.github.io/Logging_2085/klagomål/A 36559-2023 FSC-klagomål.docx", "A 36559-2023")</f>
        <v/>
      </c>
      <c r="W71">
        <f>HYPERLINK("https://klasma.github.io/Logging_2085/klagomålsmail/A 36559-2023 FSC-klagomål mail.docx", "A 36559-2023")</f>
        <v/>
      </c>
      <c r="X71">
        <f>HYPERLINK("https://klasma.github.io/Logging_2085/tillsyn/A 36559-2023 tillsynsbegäran.docx", "A 36559-2023")</f>
        <v/>
      </c>
      <c r="Y71">
        <f>HYPERLINK("https://klasma.github.io/Logging_2085/tillsynsmail/A 36559-2023 tillsynsbegäran mail.docx", "A 36559-2023")</f>
        <v/>
      </c>
    </row>
    <row r="72" ht="15" customHeight="1">
      <c r="A72" t="inlineStr">
        <is>
          <t>A 42089-2023</t>
        </is>
      </c>
      <c r="B72" s="1" t="n">
        <v>45177</v>
      </c>
      <c r="C72" s="1" t="n">
        <v>45802</v>
      </c>
      <c r="D72" t="inlineStr">
        <is>
          <t>DALARNAS LÄN</t>
        </is>
      </c>
      <c r="E72" t="inlineStr">
        <is>
          <t>LUDVIKA</t>
        </is>
      </c>
      <c r="F72" t="inlineStr">
        <is>
          <t>Bergvik skog väst AB</t>
        </is>
      </c>
      <c r="G72" t="n">
        <v>2.5</v>
      </c>
      <c r="H72" t="n">
        <v>0</v>
      </c>
      <c r="I72" t="n">
        <v>0</v>
      </c>
      <c r="J72" t="n">
        <v>1</v>
      </c>
      <c r="K72" t="n">
        <v>0</v>
      </c>
      <c r="L72" t="n">
        <v>0</v>
      </c>
      <c r="M72" t="n">
        <v>0</v>
      </c>
      <c r="N72" t="n">
        <v>0</v>
      </c>
      <c r="O72" t="n">
        <v>1</v>
      </c>
      <c r="P72" t="n">
        <v>0</v>
      </c>
      <c r="Q72" t="n">
        <v>1</v>
      </c>
      <c r="R72" s="2" t="inlineStr">
        <is>
          <t>Ullticka</t>
        </is>
      </c>
      <c r="S72">
        <f>HYPERLINK("https://klasma.github.io/Logging_2085/artfynd/A 42089-2023 artfynd.xlsx", "A 42089-2023")</f>
        <v/>
      </c>
      <c r="T72">
        <f>HYPERLINK("https://klasma.github.io/Logging_2085/kartor/A 42089-2023 karta.png", "A 42089-2023")</f>
        <v/>
      </c>
      <c r="V72">
        <f>HYPERLINK("https://klasma.github.io/Logging_2085/klagomål/A 42089-2023 FSC-klagomål.docx", "A 42089-2023")</f>
        <v/>
      </c>
      <c r="W72">
        <f>HYPERLINK("https://klasma.github.io/Logging_2085/klagomålsmail/A 42089-2023 FSC-klagomål mail.docx", "A 42089-2023")</f>
        <v/>
      </c>
      <c r="X72">
        <f>HYPERLINK("https://klasma.github.io/Logging_2085/tillsyn/A 42089-2023 tillsynsbegäran.docx", "A 42089-2023")</f>
        <v/>
      </c>
      <c r="Y72">
        <f>HYPERLINK("https://klasma.github.io/Logging_2085/tillsynsmail/A 42089-2023 tillsynsbegäran mail.docx", "A 42089-2023")</f>
        <v/>
      </c>
    </row>
    <row r="73" ht="15" customHeight="1">
      <c r="A73" t="inlineStr">
        <is>
          <t>A 44578-2023</t>
        </is>
      </c>
      <c r="B73" s="1" t="n">
        <v>45189</v>
      </c>
      <c r="C73" s="1" t="n">
        <v>45802</v>
      </c>
      <c r="D73" t="inlineStr">
        <is>
          <t>DALARNAS LÄN</t>
        </is>
      </c>
      <c r="E73" t="inlineStr">
        <is>
          <t>LUDVIKA</t>
        </is>
      </c>
      <c r="F73" t="inlineStr">
        <is>
          <t>Övriga Aktiebolag</t>
        </is>
      </c>
      <c r="G73" t="n">
        <v>12</v>
      </c>
      <c r="H73" t="n">
        <v>0</v>
      </c>
      <c r="I73" t="n">
        <v>0</v>
      </c>
      <c r="J73" t="n">
        <v>1</v>
      </c>
      <c r="K73" t="n">
        <v>0</v>
      </c>
      <c r="L73" t="n">
        <v>0</v>
      </c>
      <c r="M73" t="n">
        <v>0</v>
      </c>
      <c r="N73" t="n">
        <v>0</v>
      </c>
      <c r="O73" t="n">
        <v>1</v>
      </c>
      <c r="P73" t="n">
        <v>0</v>
      </c>
      <c r="Q73" t="n">
        <v>1</v>
      </c>
      <c r="R73" s="2" t="inlineStr">
        <is>
          <t>Dofttaggsvamp</t>
        </is>
      </c>
      <c r="S73">
        <f>HYPERLINK("https://klasma.github.io/Logging_2085/artfynd/A 44578-2023 artfynd.xlsx", "A 44578-2023")</f>
        <v/>
      </c>
      <c r="T73">
        <f>HYPERLINK("https://klasma.github.io/Logging_2085/kartor/A 44578-2023 karta.png", "A 44578-2023")</f>
        <v/>
      </c>
      <c r="V73">
        <f>HYPERLINK("https://klasma.github.io/Logging_2085/klagomål/A 44578-2023 FSC-klagomål.docx", "A 44578-2023")</f>
        <v/>
      </c>
      <c r="W73">
        <f>HYPERLINK("https://klasma.github.io/Logging_2085/klagomålsmail/A 44578-2023 FSC-klagomål mail.docx", "A 44578-2023")</f>
        <v/>
      </c>
      <c r="X73">
        <f>HYPERLINK("https://klasma.github.io/Logging_2085/tillsyn/A 44578-2023 tillsynsbegäran.docx", "A 44578-2023")</f>
        <v/>
      </c>
      <c r="Y73">
        <f>HYPERLINK("https://klasma.github.io/Logging_2085/tillsynsmail/A 44578-2023 tillsynsbegäran mail.docx", "A 44578-2023")</f>
        <v/>
      </c>
    </row>
    <row r="74" ht="15" customHeight="1">
      <c r="A74" t="inlineStr">
        <is>
          <t>A 46398-2023</t>
        </is>
      </c>
      <c r="B74" s="1" t="n">
        <v>45197</v>
      </c>
      <c r="C74" s="1" t="n">
        <v>45802</v>
      </c>
      <c r="D74" t="inlineStr">
        <is>
          <t>DALARNAS LÄN</t>
        </is>
      </c>
      <c r="E74" t="inlineStr">
        <is>
          <t>LUDVIKA</t>
        </is>
      </c>
      <c r="G74" t="n">
        <v>2.1</v>
      </c>
      <c r="H74" t="n">
        <v>1</v>
      </c>
      <c r="I74" t="n">
        <v>0</v>
      </c>
      <c r="J74" t="n">
        <v>0</v>
      </c>
      <c r="K74" t="n">
        <v>1</v>
      </c>
      <c r="L74" t="n">
        <v>0</v>
      </c>
      <c r="M74" t="n">
        <v>0</v>
      </c>
      <c r="N74" t="n">
        <v>0</v>
      </c>
      <c r="O74" t="n">
        <v>1</v>
      </c>
      <c r="P74" t="n">
        <v>1</v>
      </c>
      <c r="Q74" t="n">
        <v>1</v>
      </c>
      <c r="R74" s="2" t="inlineStr">
        <is>
          <t>Knärot</t>
        </is>
      </c>
      <c r="S74">
        <f>HYPERLINK("https://klasma.github.io/Logging_2085/artfynd/A 46398-2023 artfynd.xlsx", "A 46398-2023")</f>
        <v/>
      </c>
      <c r="T74">
        <f>HYPERLINK("https://klasma.github.io/Logging_2085/kartor/A 46398-2023 karta.png", "A 46398-2023")</f>
        <v/>
      </c>
      <c r="U74">
        <f>HYPERLINK("https://klasma.github.io/Logging_2085/knärot/A 46398-2023 karta knärot.png", "A 46398-2023")</f>
        <v/>
      </c>
      <c r="V74">
        <f>HYPERLINK("https://klasma.github.io/Logging_2085/klagomål/A 46398-2023 FSC-klagomål.docx", "A 46398-2023")</f>
        <v/>
      </c>
      <c r="W74">
        <f>HYPERLINK("https://klasma.github.io/Logging_2085/klagomålsmail/A 46398-2023 FSC-klagomål mail.docx", "A 46398-2023")</f>
        <v/>
      </c>
      <c r="X74">
        <f>HYPERLINK("https://klasma.github.io/Logging_2085/tillsyn/A 46398-2023 tillsynsbegäran.docx", "A 46398-2023")</f>
        <v/>
      </c>
      <c r="Y74">
        <f>HYPERLINK("https://klasma.github.io/Logging_2085/tillsynsmail/A 46398-2023 tillsynsbegäran mail.docx", "A 46398-2023")</f>
        <v/>
      </c>
    </row>
    <row r="75" ht="15" customHeight="1">
      <c r="A75" t="inlineStr">
        <is>
          <t>A 47429-2023</t>
        </is>
      </c>
      <c r="B75" s="1" t="n">
        <v>45202</v>
      </c>
      <c r="C75" s="1" t="n">
        <v>45802</v>
      </c>
      <c r="D75" t="inlineStr">
        <is>
          <t>DALARNAS LÄN</t>
        </is>
      </c>
      <c r="E75" t="inlineStr">
        <is>
          <t>LUDVIKA</t>
        </is>
      </c>
      <c r="F75" t="inlineStr">
        <is>
          <t>Övriga Aktiebolag</t>
        </is>
      </c>
      <c r="G75" t="n">
        <v>7.4</v>
      </c>
      <c r="H75" t="n">
        <v>1</v>
      </c>
      <c r="I75" t="n">
        <v>0</v>
      </c>
      <c r="J75" t="n">
        <v>0</v>
      </c>
      <c r="K75" t="n">
        <v>0</v>
      </c>
      <c r="L75" t="n">
        <v>0</v>
      </c>
      <c r="M75" t="n">
        <v>0</v>
      </c>
      <c r="N75" t="n">
        <v>0</v>
      </c>
      <c r="O75" t="n">
        <v>0</v>
      </c>
      <c r="P75" t="n">
        <v>0</v>
      </c>
      <c r="Q75" t="n">
        <v>1</v>
      </c>
      <c r="R75" s="2" t="inlineStr">
        <is>
          <t>Sångsvan</t>
        </is>
      </c>
      <c r="S75">
        <f>HYPERLINK("https://klasma.github.io/Logging_2085/artfynd/A 47429-2023 artfynd.xlsx", "A 47429-2023")</f>
        <v/>
      </c>
      <c r="T75">
        <f>HYPERLINK("https://klasma.github.io/Logging_2085/kartor/A 47429-2023 karta.png", "A 47429-2023")</f>
        <v/>
      </c>
      <c r="V75">
        <f>HYPERLINK("https://klasma.github.io/Logging_2085/klagomål/A 47429-2023 FSC-klagomål.docx", "A 47429-2023")</f>
        <v/>
      </c>
      <c r="W75">
        <f>HYPERLINK("https://klasma.github.io/Logging_2085/klagomålsmail/A 47429-2023 FSC-klagomål mail.docx", "A 47429-2023")</f>
        <v/>
      </c>
      <c r="X75">
        <f>HYPERLINK("https://klasma.github.io/Logging_2085/tillsyn/A 47429-2023 tillsynsbegäran.docx", "A 47429-2023")</f>
        <v/>
      </c>
      <c r="Y75">
        <f>HYPERLINK("https://klasma.github.io/Logging_2085/tillsynsmail/A 47429-2023 tillsynsbegäran mail.docx", "A 47429-2023")</f>
        <v/>
      </c>
      <c r="Z75">
        <f>HYPERLINK("https://klasma.github.io/Logging_2085/fåglar/A 47429-2023 prioriterade fågelarter.docx", "A 47429-2023")</f>
        <v/>
      </c>
    </row>
    <row r="76" ht="15" customHeight="1">
      <c r="A76" t="inlineStr">
        <is>
          <t>A 48544-2023</t>
        </is>
      </c>
      <c r="B76" s="1" t="n">
        <v>45208</v>
      </c>
      <c r="C76" s="1" t="n">
        <v>45802</v>
      </c>
      <c r="D76" t="inlineStr">
        <is>
          <t>DALARNAS LÄN</t>
        </is>
      </c>
      <c r="E76" t="inlineStr">
        <is>
          <t>LUDVIKA</t>
        </is>
      </c>
      <c r="F76" t="inlineStr">
        <is>
          <t>Bergvik skog väst AB</t>
        </is>
      </c>
      <c r="G76" t="n">
        <v>0.9</v>
      </c>
      <c r="H76" t="n">
        <v>0</v>
      </c>
      <c r="I76" t="n">
        <v>0</v>
      </c>
      <c r="J76" t="n">
        <v>1</v>
      </c>
      <c r="K76" t="n">
        <v>0</v>
      </c>
      <c r="L76" t="n">
        <v>0</v>
      </c>
      <c r="M76" t="n">
        <v>0</v>
      </c>
      <c r="N76" t="n">
        <v>0</v>
      </c>
      <c r="O76" t="n">
        <v>1</v>
      </c>
      <c r="P76" t="n">
        <v>0</v>
      </c>
      <c r="Q76" t="n">
        <v>1</v>
      </c>
      <c r="R76" s="2" t="inlineStr">
        <is>
          <t>Garnlav</t>
        </is>
      </c>
      <c r="S76">
        <f>HYPERLINK("https://klasma.github.io/Logging_2085/artfynd/A 48544-2023 artfynd.xlsx", "A 48544-2023")</f>
        <v/>
      </c>
      <c r="T76">
        <f>HYPERLINK("https://klasma.github.io/Logging_2085/kartor/A 48544-2023 karta.png", "A 48544-2023")</f>
        <v/>
      </c>
      <c r="V76">
        <f>HYPERLINK("https://klasma.github.io/Logging_2085/klagomål/A 48544-2023 FSC-klagomål.docx", "A 48544-2023")</f>
        <v/>
      </c>
      <c r="W76">
        <f>HYPERLINK("https://klasma.github.io/Logging_2085/klagomålsmail/A 48544-2023 FSC-klagomål mail.docx", "A 48544-2023")</f>
        <v/>
      </c>
      <c r="X76">
        <f>HYPERLINK("https://klasma.github.io/Logging_2085/tillsyn/A 48544-2023 tillsynsbegäran.docx", "A 48544-2023")</f>
        <v/>
      </c>
      <c r="Y76">
        <f>HYPERLINK("https://klasma.github.io/Logging_2085/tillsynsmail/A 48544-2023 tillsynsbegäran mail.docx", "A 48544-2023")</f>
        <v/>
      </c>
    </row>
    <row r="77" ht="15" customHeight="1">
      <c r="A77" t="inlineStr">
        <is>
          <t>A 3809-2024</t>
        </is>
      </c>
      <c r="B77" s="1" t="n">
        <v>45321</v>
      </c>
      <c r="C77" s="1" t="n">
        <v>45802</v>
      </c>
      <c r="D77" t="inlineStr">
        <is>
          <t>DALARNAS LÄN</t>
        </is>
      </c>
      <c r="E77" t="inlineStr">
        <is>
          <t>LUDVIKA</t>
        </is>
      </c>
      <c r="G77" t="n">
        <v>0.5</v>
      </c>
      <c r="H77" t="n">
        <v>1</v>
      </c>
      <c r="I77" t="n">
        <v>0</v>
      </c>
      <c r="J77" t="n">
        <v>0</v>
      </c>
      <c r="K77" t="n">
        <v>0</v>
      </c>
      <c r="L77" t="n">
        <v>0</v>
      </c>
      <c r="M77" t="n">
        <v>0</v>
      </c>
      <c r="N77" t="n">
        <v>0</v>
      </c>
      <c r="O77" t="n">
        <v>0</v>
      </c>
      <c r="P77" t="n">
        <v>0</v>
      </c>
      <c r="Q77" t="n">
        <v>1</v>
      </c>
      <c r="R77" s="2" t="inlineStr">
        <is>
          <t>Fläcknycklar</t>
        </is>
      </c>
      <c r="S77">
        <f>HYPERLINK("https://klasma.github.io/Logging_2085/artfynd/A 3809-2024 artfynd.xlsx", "A 3809-2024")</f>
        <v/>
      </c>
      <c r="T77">
        <f>HYPERLINK("https://klasma.github.io/Logging_2085/kartor/A 3809-2024 karta.png", "A 3809-2024")</f>
        <v/>
      </c>
      <c r="V77">
        <f>HYPERLINK("https://klasma.github.io/Logging_2085/klagomål/A 3809-2024 FSC-klagomål.docx", "A 3809-2024")</f>
        <v/>
      </c>
      <c r="W77">
        <f>HYPERLINK("https://klasma.github.io/Logging_2085/klagomålsmail/A 3809-2024 FSC-klagomål mail.docx", "A 3809-2024")</f>
        <v/>
      </c>
      <c r="X77">
        <f>HYPERLINK("https://klasma.github.io/Logging_2085/tillsyn/A 3809-2024 tillsynsbegäran.docx", "A 3809-2024")</f>
        <v/>
      </c>
      <c r="Y77">
        <f>HYPERLINK("https://klasma.github.io/Logging_2085/tillsynsmail/A 3809-2024 tillsynsbegäran mail.docx", "A 3809-2024")</f>
        <v/>
      </c>
    </row>
    <row r="78" ht="15" customHeight="1">
      <c r="A78" t="inlineStr">
        <is>
          <t>A 9998-2024</t>
        </is>
      </c>
      <c r="B78" s="1" t="n">
        <v>45363</v>
      </c>
      <c r="C78" s="1" t="n">
        <v>45802</v>
      </c>
      <c r="D78" t="inlineStr">
        <is>
          <t>DALARNAS LÄN</t>
        </is>
      </c>
      <c r="E78" t="inlineStr">
        <is>
          <t>LUDVIKA</t>
        </is>
      </c>
      <c r="G78" t="n">
        <v>8.199999999999999</v>
      </c>
      <c r="H78" t="n">
        <v>1</v>
      </c>
      <c r="I78" t="n">
        <v>0</v>
      </c>
      <c r="J78" t="n">
        <v>0</v>
      </c>
      <c r="K78" t="n">
        <v>0</v>
      </c>
      <c r="L78" t="n">
        <v>0</v>
      </c>
      <c r="M78" t="n">
        <v>0</v>
      </c>
      <c r="N78" t="n">
        <v>0</v>
      </c>
      <c r="O78" t="n">
        <v>0</v>
      </c>
      <c r="P78" t="n">
        <v>0</v>
      </c>
      <c r="Q78" t="n">
        <v>1</v>
      </c>
      <c r="R78" s="2" t="inlineStr">
        <is>
          <t>Tjäder</t>
        </is>
      </c>
      <c r="S78">
        <f>HYPERLINK("https://klasma.github.io/Logging_2085/artfynd/A 9998-2024 artfynd.xlsx", "A 9998-2024")</f>
        <v/>
      </c>
      <c r="T78">
        <f>HYPERLINK("https://klasma.github.io/Logging_2085/kartor/A 9998-2024 karta.png", "A 9998-2024")</f>
        <v/>
      </c>
      <c r="V78">
        <f>HYPERLINK("https://klasma.github.io/Logging_2085/klagomål/A 9998-2024 FSC-klagomål.docx", "A 9998-2024")</f>
        <v/>
      </c>
      <c r="W78">
        <f>HYPERLINK("https://klasma.github.io/Logging_2085/klagomålsmail/A 9998-2024 FSC-klagomål mail.docx", "A 9998-2024")</f>
        <v/>
      </c>
      <c r="X78">
        <f>HYPERLINK("https://klasma.github.io/Logging_2085/tillsyn/A 9998-2024 tillsynsbegäran.docx", "A 9998-2024")</f>
        <v/>
      </c>
      <c r="Y78">
        <f>HYPERLINK("https://klasma.github.io/Logging_2085/tillsynsmail/A 9998-2024 tillsynsbegäran mail.docx", "A 9998-2024")</f>
        <v/>
      </c>
      <c r="Z78">
        <f>HYPERLINK("https://klasma.github.io/Logging_2085/fåglar/A 9998-2024 prioriterade fågelarter.docx", "A 9998-2024")</f>
        <v/>
      </c>
    </row>
    <row r="79" ht="15" customHeight="1">
      <c r="A79" t="inlineStr">
        <is>
          <t>A 11705-2024</t>
        </is>
      </c>
      <c r="B79" s="1" t="n">
        <v>45373</v>
      </c>
      <c r="C79" s="1" t="n">
        <v>45802</v>
      </c>
      <c r="D79" t="inlineStr">
        <is>
          <t>DALARNAS LÄN</t>
        </is>
      </c>
      <c r="E79" t="inlineStr">
        <is>
          <t>LUDVIKA</t>
        </is>
      </c>
      <c r="G79" t="n">
        <v>35.4</v>
      </c>
      <c r="H79" t="n">
        <v>0</v>
      </c>
      <c r="I79" t="n">
        <v>0</v>
      </c>
      <c r="J79" t="n">
        <v>1</v>
      </c>
      <c r="K79" t="n">
        <v>0</v>
      </c>
      <c r="L79" t="n">
        <v>0</v>
      </c>
      <c r="M79" t="n">
        <v>0</v>
      </c>
      <c r="N79" t="n">
        <v>0</v>
      </c>
      <c r="O79" t="n">
        <v>1</v>
      </c>
      <c r="P79" t="n">
        <v>0</v>
      </c>
      <c r="Q79" t="n">
        <v>1</v>
      </c>
      <c r="R79" s="2" t="inlineStr">
        <is>
          <t>Brunpudrad nållav</t>
        </is>
      </c>
      <c r="S79">
        <f>HYPERLINK("https://klasma.github.io/Logging_2085/artfynd/A 11705-2024 artfynd.xlsx", "A 11705-2024")</f>
        <v/>
      </c>
      <c r="T79">
        <f>HYPERLINK("https://klasma.github.io/Logging_2085/kartor/A 11705-2024 karta.png", "A 11705-2024")</f>
        <v/>
      </c>
      <c r="V79">
        <f>HYPERLINK("https://klasma.github.io/Logging_2085/klagomål/A 11705-2024 FSC-klagomål.docx", "A 11705-2024")</f>
        <v/>
      </c>
      <c r="W79">
        <f>HYPERLINK("https://klasma.github.io/Logging_2085/klagomålsmail/A 11705-2024 FSC-klagomål mail.docx", "A 11705-2024")</f>
        <v/>
      </c>
      <c r="X79">
        <f>HYPERLINK("https://klasma.github.io/Logging_2085/tillsyn/A 11705-2024 tillsynsbegäran.docx", "A 11705-2024")</f>
        <v/>
      </c>
      <c r="Y79">
        <f>HYPERLINK("https://klasma.github.io/Logging_2085/tillsynsmail/A 11705-2024 tillsynsbegäran mail.docx", "A 11705-2024")</f>
        <v/>
      </c>
    </row>
    <row r="80" ht="15" customHeight="1">
      <c r="A80" t="inlineStr">
        <is>
          <t>A 29161-2024</t>
        </is>
      </c>
      <c r="B80" s="1" t="n">
        <v>45482</v>
      </c>
      <c r="C80" s="1" t="n">
        <v>45802</v>
      </c>
      <c r="D80" t="inlineStr">
        <is>
          <t>DALARNAS LÄN</t>
        </is>
      </c>
      <c r="E80" t="inlineStr">
        <is>
          <t>LUDVIKA</t>
        </is>
      </c>
      <c r="G80" t="n">
        <v>3.4</v>
      </c>
      <c r="H80" t="n">
        <v>0</v>
      </c>
      <c r="I80" t="n">
        <v>0</v>
      </c>
      <c r="J80" t="n">
        <v>1</v>
      </c>
      <c r="K80" t="n">
        <v>0</v>
      </c>
      <c r="L80" t="n">
        <v>0</v>
      </c>
      <c r="M80" t="n">
        <v>0</v>
      </c>
      <c r="N80" t="n">
        <v>0</v>
      </c>
      <c r="O80" t="n">
        <v>1</v>
      </c>
      <c r="P80" t="n">
        <v>0</v>
      </c>
      <c r="Q80" t="n">
        <v>1</v>
      </c>
      <c r="R80" s="2" t="inlineStr">
        <is>
          <t>Ullticka</t>
        </is>
      </c>
      <c r="S80">
        <f>HYPERLINK("https://klasma.github.io/Logging_2085/artfynd/A 29161-2024 artfynd.xlsx", "A 29161-2024")</f>
        <v/>
      </c>
      <c r="T80">
        <f>HYPERLINK("https://klasma.github.io/Logging_2085/kartor/A 29161-2024 karta.png", "A 29161-2024")</f>
        <v/>
      </c>
      <c r="V80">
        <f>HYPERLINK("https://klasma.github.io/Logging_2085/klagomål/A 29161-2024 FSC-klagomål.docx", "A 29161-2024")</f>
        <v/>
      </c>
      <c r="W80">
        <f>HYPERLINK("https://klasma.github.io/Logging_2085/klagomålsmail/A 29161-2024 FSC-klagomål mail.docx", "A 29161-2024")</f>
        <v/>
      </c>
      <c r="X80">
        <f>HYPERLINK("https://klasma.github.io/Logging_2085/tillsyn/A 29161-2024 tillsynsbegäran.docx", "A 29161-2024")</f>
        <v/>
      </c>
      <c r="Y80">
        <f>HYPERLINK("https://klasma.github.io/Logging_2085/tillsynsmail/A 29161-2024 tillsynsbegäran mail.docx", "A 29161-2024")</f>
        <v/>
      </c>
    </row>
    <row r="81" ht="15" customHeight="1">
      <c r="A81" t="inlineStr">
        <is>
          <t>A 31862-2024</t>
        </is>
      </c>
      <c r="B81" s="1" t="n">
        <v>45509</v>
      </c>
      <c r="C81" s="1" t="n">
        <v>45802</v>
      </c>
      <c r="D81" t="inlineStr">
        <is>
          <t>DALARNAS LÄN</t>
        </is>
      </c>
      <c r="E81" t="inlineStr">
        <is>
          <t>LUDVIKA</t>
        </is>
      </c>
      <c r="F81" t="inlineStr">
        <is>
          <t>Bergvik skog väst AB</t>
        </is>
      </c>
      <c r="G81" t="n">
        <v>7.4</v>
      </c>
      <c r="H81" t="n">
        <v>0</v>
      </c>
      <c r="I81" t="n">
        <v>0</v>
      </c>
      <c r="J81" t="n">
        <v>1</v>
      </c>
      <c r="K81" t="n">
        <v>0</v>
      </c>
      <c r="L81" t="n">
        <v>0</v>
      </c>
      <c r="M81" t="n">
        <v>0</v>
      </c>
      <c r="N81" t="n">
        <v>0</v>
      </c>
      <c r="O81" t="n">
        <v>1</v>
      </c>
      <c r="P81" t="n">
        <v>0</v>
      </c>
      <c r="Q81" t="n">
        <v>1</v>
      </c>
      <c r="R81" s="2" t="inlineStr">
        <is>
          <t>Gultoppig fingersvamp</t>
        </is>
      </c>
      <c r="S81">
        <f>HYPERLINK("https://klasma.github.io/Logging_2085/artfynd/A 31862-2024 artfynd.xlsx", "A 31862-2024")</f>
        <v/>
      </c>
      <c r="T81">
        <f>HYPERLINK("https://klasma.github.io/Logging_2085/kartor/A 31862-2024 karta.png", "A 31862-2024")</f>
        <v/>
      </c>
      <c r="V81">
        <f>HYPERLINK("https://klasma.github.io/Logging_2085/klagomål/A 31862-2024 FSC-klagomål.docx", "A 31862-2024")</f>
        <v/>
      </c>
      <c r="W81">
        <f>HYPERLINK("https://klasma.github.io/Logging_2085/klagomålsmail/A 31862-2024 FSC-klagomål mail.docx", "A 31862-2024")</f>
        <v/>
      </c>
      <c r="X81">
        <f>HYPERLINK("https://klasma.github.io/Logging_2085/tillsyn/A 31862-2024 tillsynsbegäran.docx", "A 31862-2024")</f>
        <v/>
      </c>
      <c r="Y81">
        <f>HYPERLINK("https://klasma.github.io/Logging_2085/tillsynsmail/A 31862-2024 tillsynsbegäran mail.docx", "A 31862-2024")</f>
        <v/>
      </c>
    </row>
    <row r="82" ht="15" customHeight="1">
      <c r="A82" t="inlineStr">
        <is>
          <t>A 33155-2024</t>
        </is>
      </c>
      <c r="B82" s="1" t="n">
        <v>45518</v>
      </c>
      <c r="C82" s="1" t="n">
        <v>45802</v>
      </c>
      <c r="D82" t="inlineStr">
        <is>
          <t>DALARNAS LÄN</t>
        </is>
      </c>
      <c r="E82" t="inlineStr">
        <is>
          <t>LUDVIKA</t>
        </is>
      </c>
      <c r="G82" t="n">
        <v>2.9</v>
      </c>
      <c r="H82" t="n">
        <v>0</v>
      </c>
      <c r="I82" t="n">
        <v>0</v>
      </c>
      <c r="J82" t="n">
        <v>1</v>
      </c>
      <c r="K82" t="n">
        <v>0</v>
      </c>
      <c r="L82" t="n">
        <v>0</v>
      </c>
      <c r="M82" t="n">
        <v>0</v>
      </c>
      <c r="N82" t="n">
        <v>0</v>
      </c>
      <c r="O82" t="n">
        <v>1</v>
      </c>
      <c r="P82" t="n">
        <v>0</v>
      </c>
      <c r="Q82" t="n">
        <v>1</v>
      </c>
      <c r="R82" s="2" t="inlineStr">
        <is>
          <t>Brunpudrad nållav</t>
        </is>
      </c>
      <c r="S82">
        <f>HYPERLINK("https://klasma.github.io/Logging_2085/artfynd/A 33155-2024 artfynd.xlsx", "A 33155-2024")</f>
        <v/>
      </c>
      <c r="T82">
        <f>HYPERLINK("https://klasma.github.io/Logging_2085/kartor/A 33155-2024 karta.png", "A 33155-2024")</f>
        <v/>
      </c>
      <c r="V82">
        <f>HYPERLINK("https://klasma.github.io/Logging_2085/klagomål/A 33155-2024 FSC-klagomål.docx", "A 33155-2024")</f>
        <v/>
      </c>
      <c r="W82">
        <f>HYPERLINK("https://klasma.github.io/Logging_2085/klagomålsmail/A 33155-2024 FSC-klagomål mail.docx", "A 33155-2024")</f>
        <v/>
      </c>
      <c r="X82">
        <f>HYPERLINK("https://klasma.github.io/Logging_2085/tillsyn/A 33155-2024 tillsynsbegäran.docx", "A 33155-2024")</f>
        <v/>
      </c>
      <c r="Y82">
        <f>HYPERLINK("https://klasma.github.io/Logging_2085/tillsynsmail/A 33155-2024 tillsynsbegäran mail.docx", "A 33155-2024")</f>
        <v/>
      </c>
    </row>
    <row r="83" ht="15" customHeight="1">
      <c r="A83" t="inlineStr">
        <is>
          <t>A 34844-2024</t>
        </is>
      </c>
      <c r="B83" s="1" t="n">
        <v>45527</v>
      </c>
      <c r="C83" s="1" t="n">
        <v>45802</v>
      </c>
      <c r="D83" t="inlineStr">
        <is>
          <t>DALARNAS LÄN</t>
        </is>
      </c>
      <c r="E83" t="inlineStr">
        <is>
          <t>LUDVIKA</t>
        </is>
      </c>
      <c r="G83" t="n">
        <v>3.2</v>
      </c>
      <c r="H83" t="n">
        <v>1</v>
      </c>
      <c r="I83" t="n">
        <v>0</v>
      </c>
      <c r="J83" t="n">
        <v>0</v>
      </c>
      <c r="K83" t="n">
        <v>1</v>
      </c>
      <c r="L83" t="n">
        <v>0</v>
      </c>
      <c r="M83" t="n">
        <v>0</v>
      </c>
      <c r="N83" t="n">
        <v>0</v>
      </c>
      <c r="O83" t="n">
        <v>1</v>
      </c>
      <c r="P83" t="n">
        <v>1</v>
      </c>
      <c r="Q83" t="n">
        <v>1</v>
      </c>
      <c r="R83" s="2" t="inlineStr">
        <is>
          <t>Knärot</t>
        </is>
      </c>
      <c r="S83">
        <f>HYPERLINK("https://klasma.github.io/Logging_2085/artfynd/A 34844-2024 artfynd.xlsx", "A 34844-2024")</f>
        <v/>
      </c>
      <c r="T83">
        <f>HYPERLINK("https://klasma.github.io/Logging_2085/kartor/A 34844-2024 karta.png", "A 34844-2024")</f>
        <v/>
      </c>
      <c r="U83">
        <f>HYPERLINK("https://klasma.github.io/Logging_2085/knärot/A 34844-2024 karta knärot.png", "A 34844-2024")</f>
        <v/>
      </c>
      <c r="V83">
        <f>HYPERLINK("https://klasma.github.io/Logging_2085/klagomål/A 34844-2024 FSC-klagomål.docx", "A 34844-2024")</f>
        <v/>
      </c>
      <c r="W83">
        <f>HYPERLINK("https://klasma.github.io/Logging_2085/klagomålsmail/A 34844-2024 FSC-klagomål mail.docx", "A 34844-2024")</f>
        <v/>
      </c>
      <c r="X83">
        <f>HYPERLINK("https://klasma.github.io/Logging_2085/tillsyn/A 34844-2024 tillsynsbegäran.docx", "A 34844-2024")</f>
        <v/>
      </c>
      <c r="Y83">
        <f>HYPERLINK("https://klasma.github.io/Logging_2085/tillsynsmail/A 34844-2024 tillsynsbegäran mail.docx", "A 34844-2024")</f>
        <v/>
      </c>
    </row>
    <row r="84" ht="15" customHeight="1">
      <c r="A84" t="inlineStr">
        <is>
          <t>A 37639-2024</t>
        </is>
      </c>
      <c r="B84" s="1" t="n">
        <v>45541</v>
      </c>
      <c r="C84" s="1" t="n">
        <v>45802</v>
      </c>
      <c r="D84" t="inlineStr">
        <is>
          <t>DALARNAS LÄN</t>
        </is>
      </c>
      <c r="E84" t="inlineStr">
        <is>
          <t>LUDVIKA</t>
        </is>
      </c>
      <c r="F84" t="inlineStr">
        <is>
          <t>Bergvik skog väst AB</t>
        </is>
      </c>
      <c r="G84" t="n">
        <v>1.6</v>
      </c>
      <c r="H84" t="n">
        <v>0</v>
      </c>
      <c r="I84" t="n">
        <v>1</v>
      </c>
      <c r="J84" t="n">
        <v>0</v>
      </c>
      <c r="K84" t="n">
        <v>0</v>
      </c>
      <c r="L84" t="n">
        <v>0</v>
      </c>
      <c r="M84" t="n">
        <v>0</v>
      </c>
      <c r="N84" t="n">
        <v>0</v>
      </c>
      <c r="O84" t="n">
        <v>0</v>
      </c>
      <c r="P84" t="n">
        <v>0</v>
      </c>
      <c r="Q84" t="n">
        <v>1</v>
      </c>
      <c r="R84" s="2" t="inlineStr">
        <is>
          <t>Gulnål</t>
        </is>
      </c>
      <c r="S84">
        <f>HYPERLINK("https://klasma.github.io/Logging_2085/artfynd/A 37639-2024 artfynd.xlsx", "A 37639-2024")</f>
        <v/>
      </c>
      <c r="T84">
        <f>HYPERLINK("https://klasma.github.io/Logging_2085/kartor/A 37639-2024 karta.png", "A 37639-2024")</f>
        <v/>
      </c>
      <c r="V84">
        <f>HYPERLINK("https://klasma.github.io/Logging_2085/klagomål/A 37639-2024 FSC-klagomål.docx", "A 37639-2024")</f>
        <v/>
      </c>
      <c r="W84">
        <f>HYPERLINK("https://klasma.github.io/Logging_2085/klagomålsmail/A 37639-2024 FSC-klagomål mail.docx", "A 37639-2024")</f>
        <v/>
      </c>
      <c r="X84">
        <f>HYPERLINK("https://klasma.github.io/Logging_2085/tillsyn/A 37639-2024 tillsynsbegäran.docx", "A 37639-2024")</f>
        <v/>
      </c>
      <c r="Y84">
        <f>HYPERLINK("https://klasma.github.io/Logging_2085/tillsynsmail/A 37639-2024 tillsynsbegäran mail.docx", "A 37639-2024")</f>
        <v/>
      </c>
    </row>
    <row r="85" ht="15" customHeight="1">
      <c r="A85" t="inlineStr">
        <is>
          <t>A 43239-2024</t>
        </is>
      </c>
      <c r="B85" s="1" t="n">
        <v>45568</v>
      </c>
      <c r="C85" s="1" t="n">
        <v>45802</v>
      </c>
      <c r="D85" t="inlineStr">
        <is>
          <t>DALARNAS LÄN</t>
        </is>
      </c>
      <c r="E85" t="inlineStr">
        <is>
          <t>LUDVIKA</t>
        </is>
      </c>
      <c r="G85" t="n">
        <v>4</v>
      </c>
      <c r="H85" t="n">
        <v>1</v>
      </c>
      <c r="I85" t="n">
        <v>0</v>
      </c>
      <c r="J85" t="n">
        <v>0</v>
      </c>
      <c r="K85" t="n">
        <v>0</v>
      </c>
      <c r="L85" t="n">
        <v>0</v>
      </c>
      <c r="M85" t="n">
        <v>0</v>
      </c>
      <c r="N85" t="n">
        <v>0</v>
      </c>
      <c r="O85" t="n">
        <v>0</v>
      </c>
      <c r="P85" t="n">
        <v>0</v>
      </c>
      <c r="Q85" t="n">
        <v>1</v>
      </c>
      <c r="R85" s="2" t="inlineStr">
        <is>
          <t>Fläcknycklar</t>
        </is>
      </c>
      <c r="S85">
        <f>HYPERLINK("https://klasma.github.io/Logging_2085/artfynd/A 43239-2024 artfynd.xlsx", "A 43239-2024")</f>
        <v/>
      </c>
      <c r="T85">
        <f>HYPERLINK("https://klasma.github.io/Logging_2085/kartor/A 43239-2024 karta.png", "A 43239-2024")</f>
        <v/>
      </c>
      <c r="V85">
        <f>HYPERLINK("https://klasma.github.io/Logging_2085/klagomål/A 43239-2024 FSC-klagomål.docx", "A 43239-2024")</f>
        <v/>
      </c>
      <c r="W85">
        <f>HYPERLINK("https://klasma.github.io/Logging_2085/klagomålsmail/A 43239-2024 FSC-klagomål mail.docx", "A 43239-2024")</f>
        <v/>
      </c>
      <c r="X85">
        <f>HYPERLINK("https://klasma.github.io/Logging_2085/tillsyn/A 43239-2024 tillsynsbegäran.docx", "A 43239-2024")</f>
        <v/>
      </c>
      <c r="Y85">
        <f>HYPERLINK("https://klasma.github.io/Logging_2085/tillsynsmail/A 43239-2024 tillsynsbegäran mail.docx", "A 43239-2024")</f>
        <v/>
      </c>
    </row>
    <row r="86" ht="15" customHeight="1">
      <c r="A86" t="inlineStr">
        <is>
          <t>A 45225-2024</t>
        </is>
      </c>
      <c r="B86" s="1" t="n">
        <v>45575</v>
      </c>
      <c r="C86" s="1" t="n">
        <v>45802</v>
      </c>
      <c r="D86" t="inlineStr">
        <is>
          <t>DALARNAS LÄN</t>
        </is>
      </c>
      <c r="E86" t="inlineStr">
        <is>
          <t>LUDVIKA</t>
        </is>
      </c>
      <c r="G86" t="n">
        <v>1.1</v>
      </c>
      <c r="H86" t="n">
        <v>1</v>
      </c>
      <c r="I86" t="n">
        <v>0</v>
      </c>
      <c r="J86" t="n">
        <v>1</v>
      </c>
      <c r="K86" t="n">
        <v>0</v>
      </c>
      <c r="L86" t="n">
        <v>0</v>
      </c>
      <c r="M86" t="n">
        <v>0</v>
      </c>
      <c r="N86" t="n">
        <v>0</v>
      </c>
      <c r="O86" t="n">
        <v>1</v>
      </c>
      <c r="P86" t="n">
        <v>0</v>
      </c>
      <c r="Q86" t="n">
        <v>1</v>
      </c>
      <c r="R86" s="2" t="inlineStr">
        <is>
          <t>Ärtsångare</t>
        </is>
      </c>
      <c r="S86">
        <f>HYPERLINK("https://klasma.github.io/Logging_2085/artfynd/A 45225-2024 artfynd.xlsx", "A 45225-2024")</f>
        <v/>
      </c>
      <c r="T86">
        <f>HYPERLINK("https://klasma.github.io/Logging_2085/kartor/A 45225-2024 karta.png", "A 45225-2024")</f>
        <v/>
      </c>
      <c r="V86">
        <f>HYPERLINK("https://klasma.github.io/Logging_2085/klagomål/A 45225-2024 FSC-klagomål.docx", "A 45225-2024")</f>
        <v/>
      </c>
      <c r="W86">
        <f>HYPERLINK("https://klasma.github.io/Logging_2085/klagomålsmail/A 45225-2024 FSC-klagomål mail.docx", "A 45225-2024")</f>
        <v/>
      </c>
      <c r="X86">
        <f>HYPERLINK("https://klasma.github.io/Logging_2085/tillsyn/A 45225-2024 tillsynsbegäran.docx", "A 45225-2024")</f>
        <v/>
      </c>
      <c r="Y86">
        <f>HYPERLINK("https://klasma.github.io/Logging_2085/tillsynsmail/A 45225-2024 tillsynsbegäran mail.docx", "A 45225-2024")</f>
        <v/>
      </c>
      <c r="Z86">
        <f>HYPERLINK("https://klasma.github.io/Logging_2085/fåglar/A 45225-2024 prioriterade fågelarter.docx", "A 45225-2024")</f>
        <v/>
      </c>
    </row>
    <row r="87" ht="15" customHeight="1">
      <c r="A87" t="inlineStr">
        <is>
          <t>A 49660-2024</t>
        </is>
      </c>
      <c r="B87" s="1" t="n">
        <v>45596</v>
      </c>
      <c r="C87" s="1" t="n">
        <v>45802</v>
      </c>
      <c r="D87" t="inlineStr">
        <is>
          <t>DALARNAS LÄN</t>
        </is>
      </c>
      <c r="E87" t="inlineStr">
        <is>
          <t>LUDVIKA</t>
        </is>
      </c>
      <c r="F87" t="inlineStr">
        <is>
          <t>Bergvik skog väst AB</t>
        </is>
      </c>
      <c r="G87" t="n">
        <v>0.9</v>
      </c>
      <c r="H87" t="n">
        <v>0</v>
      </c>
      <c r="I87" t="n">
        <v>1</v>
      </c>
      <c r="J87" t="n">
        <v>0</v>
      </c>
      <c r="K87" t="n">
        <v>0</v>
      </c>
      <c r="L87" t="n">
        <v>0</v>
      </c>
      <c r="M87" t="n">
        <v>0</v>
      </c>
      <c r="N87" t="n">
        <v>0</v>
      </c>
      <c r="O87" t="n">
        <v>0</v>
      </c>
      <c r="P87" t="n">
        <v>0</v>
      </c>
      <c r="Q87" t="n">
        <v>1</v>
      </c>
      <c r="R87" s="2" t="inlineStr">
        <is>
          <t>Mörk husmossa</t>
        </is>
      </c>
      <c r="S87">
        <f>HYPERLINK("https://klasma.github.io/Logging_2085/artfynd/A 49660-2024 artfynd.xlsx", "A 49660-2024")</f>
        <v/>
      </c>
      <c r="T87">
        <f>HYPERLINK("https://klasma.github.io/Logging_2085/kartor/A 49660-2024 karta.png", "A 49660-2024")</f>
        <v/>
      </c>
      <c r="V87">
        <f>HYPERLINK("https://klasma.github.io/Logging_2085/klagomål/A 49660-2024 FSC-klagomål.docx", "A 49660-2024")</f>
        <v/>
      </c>
      <c r="W87">
        <f>HYPERLINK("https://klasma.github.io/Logging_2085/klagomålsmail/A 49660-2024 FSC-klagomål mail.docx", "A 49660-2024")</f>
        <v/>
      </c>
      <c r="X87">
        <f>HYPERLINK("https://klasma.github.io/Logging_2085/tillsyn/A 49660-2024 tillsynsbegäran.docx", "A 49660-2024")</f>
        <v/>
      </c>
      <c r="Y87">
        <f>HYPERLINK("https://klasma.github.io/Logging_2085/tillsynsmail/A 49660-2024 tillsynsbegäran mail.docx", "A 49660-2024")</f>
        <v/>
      </c>
    </row>
    <row r="88" ht="15" customHeight="1">
      <c r="A88" t="inlineStr">
        <is>
          <t>A 50177-2024</t>
        </is>
      </c>
      <c r="B88" s="1" t="n">
        <v>45600</v>
      </c>
      <c r="C88" s="1" t="n">
        <v>45802</v>
      </c>
      <c r="D88" t="inlineStr">
        <is>
          <t>DALARNAS LÄN</t>
        </is>
      </c>
      <c r="E88" t="inlineStr">
        <is>
          <t>LUDVIKA</t>
        </is>
      </c>
      <c r="F88" t="inlineStr">
        <is>
          <t>Bergvik skog väst AB</t>
        </is>
      </c>
      <c r="G88" t="n">
        <v>2.8</v>
      </c>
      <c r="H88" t="n">
        <v>0</v>
      </c>
      <c r="I88" t="n">
        <v>0</v>
      </c>
      <c r="J88" t="n">
        <v>1</v>
      </c>
      <c r="K88" t="n">
        <v>0</v>
      </c>
      <c r="L88" t="n">
        <v>0</v>
      </c>
      <c r="M88" t="n">
        <v>0</v>
      </c>
      <c r="N88" t="n">
        <v>0</v>
      </c>
      <c r="O88" t="n">
        <v>1</v>
      </c>
      <c r="P88" t="n">
        <v>0</v>
      </c>
      <c r="Q88" t="n">
        <v>1</v>
      </c>
      <c r="R88" s="2" t="inlineStr">
        <is>
          <t>Grönhjon</t>
        </is>
      </c>
      <c r="S88">
        <f>HYPERLINK("https://klasma.github.io/Logging_2085/artfynd/A 50177-2024 artfynd.xlsx", "A 50177-2024")</f>
        <v/>
      </c>
      <c r="T88">
        <f>HYPERLINK("https://klasma.github.io/Logging_2085/kartor/A 50177-2024 karta.png", "A 50177-2024")</f>
        <v/>
      </c>
      <c r="V88">
        <f>HYPERLINK("https://klasma.github.io/Logging_2085/klagomål/A 50177-2024 FSC-klagomål.docx", "A 50177-2024")</f>
        <v/>
      </c>
      <c r="W88">
        <f>HYPERLINK("https://klasma.github.io/Logging_2085/klagomålsmail/A 50177-2024 FSC-klagomål mail.docx", "A 50177-2024")</f>
        <v/>
      </c>
      <c r="X88">
        <f>HYPERLINK("https://klasma.github.io/Logging_2085/tillsyn/A 50177-2024 tillsynsbegäran.docx", "A 50177-2024")</f>
        <v/>
      </c>
      <c r="Y88">
        <f>HYPERLINK("https://klasma.github.io/Logging_2085/tillsynsmail/A 50177-2024 tillsynsbegäran mail.docx", "A 50177-2024")</f>
        <v/>
      </c>
    </row>
    <row r="89" ht="15" customHeight="1">
      <c r="A89" t="inlineStr">
        <is>
          <t>A 53502-2024</t>
        </is>
      </c>
      <c r="B89" s="1" t="n">
        <v>45614</v>
      </c>
      <c r="C89" s="1" t="n">
        <v>45802</v>
      </c>
      <c r="D89" t="inlineStr">
        <is>
          <t>DALARNAS LÄN</t>
        </is>
      </c>
      <c r="E89" t="inlineStr">
        <is>
          <t>LUDVIKA</t>
        </is>
      </c>
      <c r="F89" t="inlineStr">
        <is>
          <t>Bergvik skog väst AB</t>
        </is>
      </c>
      <c r="G89" t="n">
        <v>4.7</v>
      </c>
      <c r="H89" t="n">
        <v>0</v>
      </c>
      <c r="I89" t="n">
        <v>0</v>
      </c>
      <c r="J89" t="n">
        <v>1</v>
      </c>
      <c r="K89" t="n">
        <v>0</v>
      </c>
      <c r="L89" t="n">
        <v>0</v>
      </c>
      <c r="M89" t="n">
        <v>0</v>
      </c>
      <c r="N89" t="n">
        <v>0</v>
      </c>
      <c r="O89" t="n">
        <v>1</v>
      </c>
      <c r="P89" t="n">
        <v>0</v>
      </c>
      <c r="Q89" t="n">
        <v>1</v>
      </c>
      <c r="R89" s="2" t="inlineStr">
        <is>
          <t>Ullticka</t>
        </is>
      </c>
      <c r="S89">
        <f>HYPERLINK("https://klasma.github.io/Logging_2085/artfynd/A 53502-2024 artfynd.xlsx", "A 53502-2024")</f>
        <v/>
      </c>
      <c r="T89">
        <f>HYPERLINK("https://klasma.github.io/Logging_2085/kartor/A 53502-2024 karta.png", "A 53502-2024")</f>
        <v/>
      </c>
      <c r="U89">
        <f>HYPERLINK("https://klasma.github.io/Logging_2085/knärot/A 53502-2024 karta knärot.png", "A 53502-2024")</f>
        <v/>
      </c>
      <c r="V89">
        <f>HYPERLINK("https://klasma.github.io/Logging_2085/klagomål/A 53502-2024 FSC-klagomål.docx", "A 53502-2024")</f>
        <v/>
      </c>
      <c r="W89">
        <f>HYPERLINK("https://klasma.github.io/Logging_2085/klagomålsmail/A 53502-2024 FSC-klagomål mail.docx", "A 53502-2024")</f>
        <v/>
      </c>
      <c r="X89">
        <f>HYPERLINK("https://klasma.github.io/Logging_2085/tillsyn/A 53502-2024 tillsynsbegäran.docx", "A 53502-2024")</f>
        <v/>
      </c>
      <c r="Y89">
        <f>HYPERLINK("https://klasma.github.io/Logging_2085/tillsynsmail/A 53502-2024 tillsynsbegäran mail.docx", "A 53502-2024")</f>
        <v/>
      </c>
    </row>
    <row r="90" ht="15" customHeight="1">
      <c r="A90" t="inlineStr">
        <is>
          <t>A 17987-2025</t>
        </is>
      </c>
      <c r="B90" s="1" t="n">
        <v>45761</v>
      </c>
      <c r="C90" s="1" t="n">
        <v>45802</v>
      </c>
      <c r="D90" t="inlineStr">
        <is>
          <t>DALARNAS LÄN</t>
        </is>
      </c>
      <c r="E90" t="inlineStr">
        <is>
          <t>LUDVIKA</t>
        </is>
      </c>
      <c r="G90" t="n">
        <v>0.5</v>
      </c>
      <c r="H90" t="n">
        <v>1</v>
      </c>
      <c r="I90" t="n">
        <v>0</v>
      </c>
      <c r="J90" t="n">
        <v>1</v>
      </c>
      <c r="K90" t="n">
        <v>0</v>
      </c>
      <c r="L90" t="n">
        <v>0</v>
      </c>
      <c r="M90" t="n">
        <v>0</v>
      </c>
      <c r="N90" t="n">
        <v>0</v>
      </c>
      <c r="O90" t="n">
        <v>1</v>
      </c>
      <c r="P90" t="n">
        <v>0</v>
      </c>
      <c r="Q90" t="n">
        <v>1</v>
      </c>
      <c r="R90" s="2" t="inlineStr">
        <is>
          <t>Talltita</t>
        </is>
      </c>
      <c r="S90">
        <f>HYPERLINK("https://klasma.github.io/Logging_202085/artfynd/A 17987-2025 artfynd.xlsx", "A 17987-2025")</f>
        <v/>
      </c>
      <c r="T90">
        <f>HYPERLINK("https://klasma.github.io/Logging_202085/kartor/A 17987-2025 karta.png", "A 17987-2025")</f>
        <v/>
      </c>
      <c r="V90">
        <f>HYPERLINK("https://klasma.github.io/Logging_202085/klagomål/A 17987-2025 FSC-klagomål.docx", "A 17987-2025")</f>
        <v/>
      </c>
      <c r="W90">
        <f>HYPERLINK("https://klasma.github.io/Logging_202085/klagomålsmail/A 17987-2025 FSC-klagomål mail.docx", "A 17987-2025")</f>
        <v/>
      </c>
      <c r="X90">
        <f>HYPERLINK("https://klasma.github.io/Logging_202085/tillsyn/A 17987-2025 tillsynsbegäran.docx", "A 17987-2025")</f>
        <v/>
      </c>
      <c r="Y90">
        <f>HYPERLINK("https://klasma.github.io/Logging_202085/tillsynsmail/A 17987-2025 tillsynsbegäran mail.docx", "A 17987-2025")</f>
        <v/>
      </c>
      <c r="Z90">
        <f>HYPERLINK("https://klasma.github.io/Logging_202085/fåglar/A 17987-2025 prioriterade fågelarter.docx", "A 17987-2025")</f>
        <v/>
      </c>
    </row>
    <row r="91" ht="15" customHeight="1">
      <c r="A91" t="inlineStr">
        <is>
          <t>A 17959-2025</t>
        </is>
      </c>
      <c r="B91" s="1" t="n">
        <v>45761</v>
      </c>
      <c r="C91" s="1" t="n">
        <v>45802</v>
      </c>
      <c r="D91" t="inlineStr">
        <is>
          <t>DALARNAS LÄN</t>
        </is>
      </c>
      <c r="E91" t="inlineStr">
        <is>
          <t>LUDVIKA</t>
        </is>
      </c>
      <c r="F91" t="inlineStr">
        <is>
          <t>Bergvik skog väst AB</t>
        </is>
      </c>
      <c r="G91" t="n">
        <v>2.9</v>
      </c>
      <c r="H91" t="n">
        <v>0</v>
      </c>
      <c r="I91" t="n">
        <v>1</v>
      </c>
      <c r="J91" t="n">
        <v>0</v>
      </c>
      <c r="K91" t="n">
        <v>0</v>
      </c>
      <c r="L91" t="n">
        <v>0</v>
      </c>
      <c r="M91" t="n">
        <v>0</v>
      </c>
      <c r="N91" t="n">
        <v>0</v>
      </c>
      <c r="O91" t="n">
        <v>0</v>
      </c>
      <c r="P91" t="n">
        <v>0</v>
      </c>
      <c r="Q91" t="n">
        <v>1</v>
      </c>
      <c r="R91" s="2" t="inlineStr">
        <is>
          <t>Rödgul trumpetsvamp</t>
        </is>
      </c>
      <c r="S91">
        <f>HYPERLINK("https://klasma.github.io/Logging_202085/artfynd/A 17959-2025 artfynd.xlsx", "A 17959-2025")</f>
        <v/>
      </c>
      <c r="T91">
        <f>HYPERLINK("https://klasma.github.io/Logging_202085/kartor/A 17959-2025 karta.png", "A 17959-2025")</f>
        <v/>
      </c>
      <c r="V91">
        <f>HYPERLINK("https://klasma.github.io/Logging_202085/klagomål/A 17959-2025 FSC-klagomål.docx", "A 17959-2025")</f>
        <v/>
      </c>
      <c r="W91">
        <f>HYPERLINK("https://klasma.github.io/Logging_202085/klagomålsmail/A 17959-2025 FSC-klagomål mail.docx", "A 17959-2025")</f>
        <v/>
      </c>
      <c r="X91">
        <f>HYPERLINK("https://klasma.github.io/Logging_202085/tillsyn/A 17959-2025 tillsynsbegäran.docx", "A 17959-2025")</f>
        <v/>
      </c>
      <c r="Y91">
        <f>HYPERLINK("https://klasma.github.io/Logging_202085/tillsynsmail/A 17959-2025 tillsynsbegäran mail.docx", "A 17959-2025")</f>
        <v/>
      </c>
    </row>
    <row r="92" ht="15" customHeight="1">
      <c r="A92" t="inlineStr">
        <is>
          <t>A 20985-2025</t>
        </is>
      </c>
      <c r="B92" s="1" t="n">
        <v>45777</v>
      </c>
      <c r="C92" s="1" t="n">
        <v>45802</v>
      </c>
      <c r="D92" t="inlineStr">
        <is>
          <t>DALARNAS LÄN</t>
        </is>
      </c>
      <c r="E92" t="inlineStr">
        <is>
          <t>LUDVIKA</t>
        </is>
      </c>
      <c r="F92" t="inlineStr">
        <is>
          <t>Bergvik skog väst AB</t>
        </is>
      </c>
      <c r="G92" t="n">
        <v>5.8</v>
      </c>
      <c r="H92" t="n">
        <v>0</v>
      </c>
      <c r="I92" t="n">
        <v>0</v>
      </c>
      <c r="J92" t="n">
        <v>1</v>
      </c>
      <c r="K92" t="n">
        <v>0</v>
      </c>
      <c r="L92" t="n">
        <v>0</v>
      </c>
      <c r="M92" t="n">
        <v>0</v>
      </c>
      <c r="N92" t="n">
        <v>0</v>
      </c>
      <c r="O92" t="n">
        <v>1</v>
      </c>
      <c r="P92" t="n">
        <v>0</v>
      </c>
      <c r="Q92" t="n">
        <v>1</v>
      </c>
      <c r="R92" s="2" t="inlineStr">
        <is>
          <t>Garnlav</t>
        </is>
      </c>
      <c r="S92">
        <f>HYPERLINK("https://klasma.github.io/Logging_202085/artfynd/A 20985-2025 artfynd.xlsx", "A 20985-2025")</f>
        <v/>
      </c>
      <c r="T92">
        <f>HYPERLINK("https://klasma.github.io/Logging_202085/kartor/A 20985-2025 karta.png", "A 20985-2025")</f>
        <v/>
      </c>
      <c r="V92">
        <f>HYPERLINK("https://klasma.github.io/Logging_202085/klagomål/A 20985-2025 FSC-klagomål.docx", "A 20985-2025")</f>
        <v/>
      </c>
      <c r="W92">
        <f>HYPERLINK("https://klasma.github.io/Logging_202085/klagomålsmail/A 20985-2025 FSC-klagomål mail.docx", "A 20985-2025")</f>
        <v/>
      </c>
      <c r="X92">
        <f>HYPERLINK("https://klasma.github.io/Logging_202085/tillsyn/A 20985-2025 tillsynsbegäran.docx", "A 20985-2025")</f>
        <v/>
      </c>
      <c r="Y92">
        <f>HYPERLINK("https://klasma.github.io/Logging_202085/tillsynsmail/A 20985-2025 tillsynsbegäran mail.docx", "A 20985-2025")</f>
        <v/>
      </c>
    </row>
    <row r="93" ht="15" customHeight="1">
      <c r="A93" t="inlineStr">
        <is>
          <t>A 23658-2025</t>
        </is>
      </c>
      <c r="B93" s="1" t="n">
        <v>45786</v>
      </c>
      <c r="C93" s="1" t="n">
        <v>45802</v>
      </c>
      <c r="D93" t="inlineStr">
        <is>
          <t>DALARNAS LÄN</t>
        </is>
      </c>
      <c r="E93" t="inlineStr">
        <is>
          <t>LUDVIKA</t>
        </is>
      </c>
      <c r="G93" t="n">
        <v>7.1</v>
      </c>
      <c r="H93" t="n">
        <v>0</v>
      </c>
      <c r="I93" t="n">
        <v>1</v>
      </c>
      <c r="J93" t="n">
        <v>0</v>
      </c>
      <c r="K93" t="n">
        <v>0</v>
      </c>
      <c r="L93" t="n">
        <v>0</v>
      </c>
      <c r="M93" t="n">
        <v>0</v>
      </c>
      <c r="N93" t="n">
        <v>0</v>
      </c>
      <c r="O93" t="n">
        <v>0</v>
      </c>
      <c r="P93" t="n">
        <v>0</v>
      </c>
      <c r="Q93" t="n">
        <v>1</v>
      </c>
      <c r="R93" s="2" t="inlineStr">
        <is>
          <t>Fjällig taggsvamp s.str.</t>
        </is>
      </c>
      <c r="S93">
        <f>HYPERLINK("https://klasma.github.io/Logging_202085/artfynd/A 23658-2025 artfynd.xlsx", "A 23658-2025")</f>
        <v/>
      </c>
      <c r="T93">
        <f>HYPERLINK("https://klasma.github.io/Logging_202085/kartor/A 23658-2025 karta.png", "A 23658-2025")</f>
        <v/>
      </c>
      <c r="V93">
        <f>HYPERLINK("https://klasma.github.io/Logging_202085/klagomål/A 23658-2025 FSC-klagomål.docx", "A 23658-2025")</f>
        <v/>
      </c>
      <c r="W93">
        <f>HYPERLINK("https://klasma.github.io/Logging_202085/klagomålsmail/A 23658-2025 FSC-klagomål mail.docx", "A 23658-2025")</f>
        <v/>
      </c>
      <c r="X93">
        <f>HYPERLINK("https://klasma.github.io/Logging_202085/tillsyn/A 23658-2025 tillsynsbegäran.docx", "A 23658-2025")</f>
        <v/>
      </c>
      <c r="Y93">
        <f>HYPERLINK("https://klasma.github.io/Logging_202085/tillsynsmail/A 23658-2025 tillsynsbegäran mail.docx", "A 23658-2025")</f>
        <v/>
      </c>
    </row>
    <row r="94" ht="15" customHeight="1">
      <c r="A94" t="inlineStr">
        <is>
          <t>A 22685-2025</t>
        </is>
      </c>
      <c r="B94" s="1" t="n">
        <v>45786</v>
      </c>
      <c r="C94" s="1" t="n">
        <v>45802</v>
      </c>
      <c r="D94" t="inlineStr">
        <is>
          <t>DALARNAS LÄN</t>
        </is>
      </c>
      <c r="E94" t="inlineStr">
        <is>
          <t>LUDVIKA</t>
        </is>
      </c>
      <c r="G94" t="n">
        <v>2.9</v>
      </c>
      <c r="H94" t="n">
        <v>1</v>
      </c>
      <c r="I94" t="n">
        <v>0</v>
      </c>
      <c r="J94" t="n">
        <v>1</v>
      </c>
      <c r="K94" t="n">
        <v>0</v>
      </c>
      <c r="L94" t="n">
        <v>0</v>
      </c>
      <c r="M94" t="n">
        <v>0</v>
      </c>
      <c r="N94" t="n">
        <v>0</v>
      </c>
      <c r="O94" t="n">
        <v>1</v>
      </c>
      <c r="P94" t="n">
        <v>0</v>
      </c>
      <c r="Q94" t="n">
        <v>1</v>
      </c>
      <c r="R94" s="2" t="inlineStr">
        <is>
          <t>Spillkråka</t>
        </is>
      </c>
      <c r="S94">
        <f>HYPERLINK("https://klasma.github.io/Logging_202085/artfynd/A 22685-2025 artfynd.xlsx", "A 22685-2025")</f>
        <v/>
      </c>
      <c r="T94">
        <f>HYPERLINK("https://klasma.github.io/Logging_202085/kartor/A 22685-2025 karta.png", "A 22685-2025")</f>
        <v/>
      </c>
      <c r="V94">
        <f>HYPERLINK("https://klasma.github.io/Logging_202085/klagomål/A 22685-2025 FSC-klagomål.docx", "A 22685-2025")</f>
        <v/>
      </c>
      <c r="W94">
        <f>HYPERLINK("https://klasma.github.io/Logging_202085/klagomålsmail/A 22685-2025 FSC-klagomål mail.docx", "A 22685-2025")</f>
        <v/>
      </c>
      <c r="X94">
        <f>HYPERLINK("https://klasma.github.io/Logging_202085/tillsyn/A 22685-2025 tillsynsbegäran.docx", "A 22685-2025")</f>
        <v/>
      </c>
      <c r="Y94">
        <f>HYPERLINK("https://klasma.github.io/Logging_202085/tillsynsmail/A 22685-2025 tillsynsbegäran mail.docx", "A 22685-2025")</f>
        <v/>
      </c>
      <c r="Z94">
        <f>HYPERLINK("https://klasma.github.io/Logging_202085/fåglar/A 22685-2025 prioriterade fågelarter.docx", "A 22685-2025")</f>
        <v/>
      </c>
    </row>
    <row r="95" ht="15" customHeight="1">
      <c r="A95" t="inlineStr">
        <is>
          <t>A 23102-2025</t>
        </is>
      </c>
      <c r="B95" s="1" t="n">
        <v>45791</v>
      </c>
      <c r="C95" s="1" t="n">
        <v>45802</v>
      </c>
      <c r="D95" t="inlineStr">
        <is>
          <t>DALARNAS LÄN</t>
        </is>
      </c>
      <c r="E95" t="inlineStr">
        <is>
          <t>LUDVIKA</t>
        </is>
      </c>
      <c r="F95" t="inlineStr">
        <is>
          <t>Bergvik skog väst AB</t>
        </is>
      </c>
      <c r="G95" t="n">
        <v>0.8</v>
      </c>
      <c r="H95" t="n">
        <v>1</v>
      </c>
      <c r="I95" t="n">
        <v>0</v>
      </c>
      <c r="J95" t="n">
        <v>0</v>
      </c>
      <c r="K95" t="n">
        <v>0</v>
      </c>
      <c r="L95" t="n">
        <v>0</v>
      </c>
      <c r="M95" t="n">
        <v>0</v>
      </c>
      <c r="N95" t="n">
        <v>0</v>
      </c>
      <c r="O95" t="n">
        <v>0</v>
      </c>
      <c r="P95" t="n">
        <v>0</v>
      </c>
      <c r="Q95" t="n">
        <v>1</v>
      </c>
      <c r="R95" s="2" t="inlineStr">
        <is>
          <t>Vanlig groda</t>
        </is>
      </c>
      <c r="S95">
        <f>HYPERLINK("https://klasma.github.io/Logging_202085/artfynd/A 23102-2025 artfynd.xlsx", "A 23102-2025")</f>
        <v/>
      </c>
      <c r="T95">
        <f>HYPERLINK("https://klasma.github.io/Logging_202085/kartor/A 23102-2025 karta.png", "A 23102-2025")</f>
        <v/>
      </c>
      <c r="V95">
        <f>HYPERLINK("https://klasma.github.io/Logging_202085/klagomål/A 23102-2025 FSC-klagomål.docx", "A 23102-2025")</f>
        <v/>
      </c>
      <c r="W95">
        <f>HYPERLINK("https://klasma.github.io/Logging_202085/klagomålsmail/A 23102-2025 FSC-klagomål mail.docx", "A 23102-2025")</f>
        <v/>
      </c>
      <c r="X95">
        <f>HYPERLINK("https://klasma.github.io/Logging_202085/tillsyn/A 23102-2025 tillsynsbegäran.docx", "A 23102-2025")</f>
        <v/>
      </c>
      <c r="Y95">
        <f>HYPERLINK("https://klasma.github.io/Logging_202085/tillsynsmail/A 23102-2025 tillsynsbegäran mail.docx", "A 23102-2025")</f>
        <v/>
      </c>
    </row>
    <row r="96" ht="15" customHeight="1">
      <c r="A96" t="inlineStr">
        <is>
          <t>A 23107-2025</t>
        </is>
      </c>
      <c r="B96" s="1" t="n">
        <v>45791</v>
      </c>
      <c r="C96" s="1" t="n">
        <v>45802</v>
      </c>
      <c r="D96" t="inlineStr">
        <is>
          <t>DALARNAS LÄN</t>
        </is>
      </c>
      <c r="E96" t="inlineStr">
        <is>
          <t>LUDVIKA</t>
        </is>
      </c>
      <c r="F96" t="inlineStr">
        <is>
          <t>Bergvik skog väst AB</t>
        </is>
      </c>
      <c r="G96" t="n">
        <v>3.4</v>
      </c>
      <c r="H96" t="n">
        <v>1</v>
      </c>
      <c r="I96" t="n">
        <v>0</v>
      </c>
      <c r="J96" t="n">
        <v>0</v>
      </c>
      <c r="K96" t="n">
        <v>0</v>
      </c>
      <c r="L96" t="n">
        <v>0</v>
      </c>
      <c r="M96" t="n">
        <v>0</v>
      </c>
      <c r="N96" t="n">
        <v>0</v>
      </c>
      <c r="O96" t="n">
        <v>0</v>
      </c>
      <c r="P96" t="n">
        <v>0</v>
      </c>
      <c r="Q96" t="n">
        <v>1</v>
      </c>
      <c r="R96" s="2" t="inlineStr">
        <is>
          <t>Större vattensalamander</t>
        </is>
      </c>
      <c r="S96">
        <f>HYPERLINK("https://klasma.github.io/Logging_202085/artfynd/A 23107-2025 artfynd.xlsx", "A 23107-2025")</f>
        <v/>
      </c>
      <c r="T96">
        <f>HYPERLINK("https://klasma.github.io/Logging_202085/kartor/A 23107-2025 karta.png", "A 23107-2025")</f>
        <v/>
      </c>
      <c r="V96">
        <f>HYPERLINK("https://klasma.github.io/Logging_202085/klagomål/A 23107-2025 FSC-klagomål.docx", "A 23107-2025")</f>
        <v/>
      </c>
      <c r="W96">
        <f>HYPERLINK("https://klasma.github.io/Logging_202085/klagomålsmail/A 23107-2025 FSC-klagomål mail.docx", "A 23107-2025")</f>
        <v/>
      </c>
      <c r="X96">
        <f>HYPERLINK("https://klasma.github.io/Logging_202085/tillsyn/A 23107-2025 tillsynsbegäran.docx", "A 23107-2025")</f>
        <v/>
      </c>
      <c r="Y96">
        <f>HYPERLINK("https://klasma.github.io/Logging_202085/tillsynsmail/A 23107-2025 tillsynsbegäran mail.docx", "A 23107-2025")</f>
        <v/>
      </c>
    </row>
    <row r="97" ht="15" customHeight="1">
      <c r="A97" t="inlineStr">
        <is>
          <t>A 23085-2025</t>
        </is>
      </c>
      <c r="B97" s="1" t="n">
        <v>45791</v>
      </c>
      <c r="C97" s="1" t="n">
        <v>45802</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25282-2025</t>
        </is>
      </c>
      <c r="B98" s="1" t="n">
        <v>45800</v>
      </c>
      <c r="C98" s="1" t="n">
        <v>45802</v>
      </c>
      <c r="D98" t="inlineStr">
        <is>
          <t>DALARNAS LÄN</t>
        </is>
      </c>
      <c r="E98" t="inlineStr">
        <is>
          <t>LUDVIKA</t>
        </is>
      </c>
      <c r="F98" t="inlineStr">
        <is>
          <t>Bergvik skog väst AB</t>
        </is>
      </c>
      <c r="G98" t="n">
        <v>4.8</v>
      </c>
      <c r="H98" t="n">
        <v>0</v>
      </c>
      <c r="I98" t="n">
        <v>0</v>
      </c>
      <c r="J98" t="n">
        <v>1</v>
      </c>
      <c r="K98" t="n">
        <v>0</v>
      </c>
      <c r="L98" t="n">
        <v>0</v>
      </c>
      <c r="M98" t="n">
        <v>0</v>
      </c>
      <c r="N98" t="n">
        <v>0</v>
      </c>
      <c r="O98" t="n">
        <v>1</v>
      </c>
      <c r="P98" t="n">
        <v>0</v>
      </c>
      <c r="Q98" t="n">
        <v>1</v>
      </c>
      <c r="R98" s="2" t="inlineStr">
        <is>
          <t>Garnlav</t>
        </is>
      </c>
      <c r="S98">
        <f>HYPERLINK("https://klasma.github.io/Logging_202085/artfynd/A 25282-2025 artfynd.xlsx", "A 25282-2025")</f>
        <v/>
      </c>
      <c r="T98">
        <f>HYPERLINK("https://klasma.github.io/Logging_202085/kartor/A 25282-2025 karta.png", "A 25282-2025")</f>
        <v/>
      </c>
      <c r="V98">
        <f>HYPERLINK("https://klasma.github.io/Logging_202085/klagomål/A 25282-2025 FSC-klagomål.docx", "A 25282-2025")</f>
        <v/>
      </c>
      <c r="W98">
        <f>HYPERLINK("https://klasma.github.io/Logging_202085/klagomålsmail/A 25282-2025 FSC-klagomål mail.docx", "A 25282-2025")</f>
        <v/>
      </c>
      <c r="X98">
        <f>HYPERLINK("https://klasma.github.io/Logging_202085/tillsyn/A 25282-2025 tillsynsbegäran.docx", "A 25282-2025")</f>
        <v/>
      </c>
      <c r="Y98">
        <f>HYPERLINK("https://klasma.github.io/Logging_202085/tillsynsmail/A 25282-2025 tillsynsbegäran mail.docx", "A 25282-2025")</f>
        <v/>
      </c>
    </row>
    <row r="99" ht="15" customHeight="1">
      <c r="A99" t="inlineStr">
        <is>
          <t>A 17947-2019</t>
        </is>
      </c>
      <c r="B99" s="1" t="n">
        <v>43557</v>
      </c>
      <c r="C99" s="1" t="n">
        <v>45802</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45802</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45802</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45802</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45802</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45802</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45802</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45802</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45802</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45802</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45802</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45802</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45802</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45802</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45802</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45802</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45802</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45802</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45802</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45802</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45802</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45802</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45802</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45802</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45802</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45802</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45802</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45802</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45802</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45802</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45802</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45802</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45802</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45802</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45802</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45802</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45802</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45802</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45802</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45802</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45802</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45802</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45802</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45802</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45802</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45802</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45802</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45802</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45802</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45802</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45802</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45802</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45802</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45802</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45802</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45802</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45802</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45802</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45802</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45802</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45802</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45802</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45802</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45802</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45802</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45802</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45802</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45802</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45802</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45802</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45802</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45802</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45802</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45802</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45802</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45802</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45802</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45802</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45802</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45802</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45802</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45802</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45802</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45802</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45802</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45802</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45802</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45802</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45802</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45802</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45802</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45802</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45802</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45802</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45802</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45802</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45802</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45802</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45802</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45802</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45802</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45802</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45802</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45802</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45802</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45802</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45802</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45802</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45802</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45802</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45802</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45802</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45802</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45802</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45802</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45802</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45802</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45802</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45802</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45802</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45802</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45802</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45802</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45802</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45802</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45802</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45802</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45802</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45802</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45802</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45802</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45802</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45802</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45802</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45802</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45802</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45802</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45802</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45802</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45802</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45802</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45802</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45802</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45802</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45802</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45802</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45802</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45802</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45802</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45802</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45802</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45802</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45802</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45802</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45802</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45802</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45802</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45802</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45802</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45802</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45802</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45802</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45802</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45802</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45802</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45802</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45802</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45802</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45802</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45802</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45802</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45802</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45802</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45802</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45802</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45802</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45802</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45802</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45802</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45802</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45802</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45802</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45802</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45802</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45802</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45802</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45802</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45802</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45802</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45802</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45802</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45802</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45802</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45802</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45802</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45802</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45802</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45802</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45802</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45802</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45802</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45802</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45802</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45802</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45802</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45802</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45802</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45802</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45802</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45802</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45802</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45802</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47216-2021</t>
        </is>
      </c>
      <c r="B311" s="1" t="n">
        <v>44447</v>
      </c>
      <c r="C311" s="1" t="n">
        <v>45802</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48003-2021</t>
        </is>
      </c>
      <c r="B312" s="1" t="n">
        <v>44449</v>
      </c>
      <c r="C312" s="1" t="n">
        <v>45802</v>
      </c>
      <c r="D312" t="inlineStr">
        <is>
          <t>DALARNAS LÄN</t>
        </is>
      </c>
      <c r="E312" t="inlineStr">
        <is>
          <t>LUDVIKA</t>
        </is>
      </c>
      <c r="F312" t="inlineStr">
        <is>
          <t>Naturvårdsverket</t>
        </is>
      </c>
      <c r="G312" t="n">
        <v>0.8</v>
      </c>
      <c r="H312" t="n">
        <v>0</v>
      </c>
      <c r="I312" t="n">
        <v>0</v>
      </c>
      <c r="J312" t="n">
        <v>0</v>
      </c>
      <c r="K312" t="n">
        <v>0</v>
      </c>
      <c r="L312" t="n">
        <v>0</v>
      </c>
      <c r="M312" t="n">
        <v>0</v>
      </c>
      <c r="N312" t="n">
        <v>0</v>
      </c>
      <c r="O312" t="n">
        <v>0</v>
      </c>
      <c r="P312" t="n">
        <v>0</v>
      </c>
      <c r="Q312" t="n">
        <v>0</v>
      </c>
      <c r="R312" s="2" t="inlineStr"/>
    </row>
    <row r="313" ht="15" customHeight="1">
      <c r="A313" t="inlineStr">
        <is>
          <t>A 48580-2021</t>
        </is>
      </c>
      <c r="B313" s="1" t="n">
        <v>44452</v>
      </c>
      <c r="C313" s="1" t="n">
        <v>45802</v>
      </c>
      <c r="D313" t="inlineStr">
        <is>
          <t>DALARNAS LÄN</t>
        </is>
      </c>
      <c r="E313" t="inlineStr">
        <is>
          <t>LUDVIKA</t>
        </is>
      </c>
      <c r="G313" t="n">
        <v>1.3</v>
      </c>
      <c r="H313" t="n">
        <v>0</v>
      </c>
      <c r="I313" t="n">
        <v>0</v>
      </c>
      <c r="J313" t="n">
        <v>0</v>
      </c>
      <c r="K313" t="n">
        <v>0</v>
      </c>
      <c r="L313" t="n">
        <v>0</v>
      </c>
      <c r="M313" t="n">
        <v>0</v>
      </c>
      <c r="N313" t="n">
        <v>0</v>
      </c>
      <c r="O313" t="n">
        <v>0</v>
      </c>
      <c r="P313" t="n">
        <v>0</v>
      </c>
      <c r="Q313" t="n">
        <v>0</v>
      </c>
      <c r="R313" s="2" t="inlineStr"/>
    </row>
    <row r="314" ht="15" customHeight="1">
      <c r="A314" t="inlineStr">
        <is>
          <t>A 48942-2021</t>
        </is>
      </c>
      <c r="B314" s="1" t="n">
        <v>44453</v>
      </c>
      <c r="C314" s="1" t="n">
        <v>45802</v>
      </c>
      <c r="D314" t="inlineStr">
        <is>
          <t>DALARNAS LÄN</t>
        </is>
      </c>
      <c r="E314" t="inlineStr">
        <is>
          <t>LUDVIKA</t>
        </is>
      </c>
      <c r="F314" t="inlineStr">
        <is>
          <t>Naturvårdsverket</t>
        </is>
      </c>
      <c r="G314" t="n">
        <v>1.4</v>
      </c>
      <c r="H314" t="n">
        <v>0</v>
      </c>
      <c r="I314" t="n">
        <v>0</v>
      </c>
      <c r="J314" t="n">
        <v>0</v>
      </c>
      <c r="K314" t="n">
        <v>0</v>
      </c>
      <c r="L314" t="n">
        <v>0</v>
      </c>
      <c r="M314" t="n">
        <v>0</v>
      </c>
      <c r="N314" t="n">
        <v>0</v>
      </c>
      <c r="O314" t="n">
        <v>0</v>
      </c>
      <c r="P314" t="n">
        <v>0</v>
      </c>
      <c r="Q314" t="n">
        <v>0</v>
      </c>
      <c r="R314" s="2" t="inlineStr"/>
    </row>
    <row r="315" ht="15" customHeight="1">
      <c r="A315" t="inlineStr">
        <is>
          <t>A 50004-2021</t>
        </is>
      </c>
      <c r="B315" s="1" t="n">
        <v>44456</v>
      </c>
      <c r="C315" s="1" t="n">
        <v>45802</v>
      </c>
      <c r="D315" t="inlineStr">
        <is>
          <t>DALARNAS LÄN</t>
        </is>
      </c>
      <c r="E315" t="inlineStr">
        <is>
          <t>LUDVIKA</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49977-2021</t>
        </is>
      </c>
      <c r="B316" s="1" t="n">
        <v>44456</v>
      </c>
      <c r="C316" s="1" t="n">
        <v>45802</v>
      </c>
      <c r="D316" t="inlineStr">
        <is>
          <t>DALARNAS LÄN</t>
        </is>
      </c>
      <c r="E316" t="inlineStr">
        <is>
          <t>LUDVIKA</t>
        </is>
      </c>
      <c r="F316" t="inlineStr">
        <is>
          <t>Bergvik skog väst AB</t>
        </is>
      </c>
      <c r="G316" t="n">
        <v>0.6</v>
      </c>
      <c r="H316" t="n">
        <v>0</v>
      </c>
      <c r="I316" t="n">
        <v>0</v>
      </c>
      <c r="J316" t="n">
        <v>0</v>
      </c>
      <c r="K316" t="n">
        <v>0</v>
      </c>
      <c r="L316" t="n">
        <v>0</v>
      </c>
      <c r="M316" t="n">
        <v>0</v>
      </c>
      <c r="N316" t="n">
        <v>0</v>
      </c>
      <c r="O316" t="n">
        <v>0</v>
      </c>
      <c r="P316" t="n">
        <v>0</v>
      </c>
      <c r="Q316" t="n">
        <v>0</v>
      </c>
      <c r="R316" s="2" t="inlineStr"/>
    </row>
    <row r="317" ht="15" customHeight="1">
      <c r="A317" t="inlineStr">
        <is>
          <t>A 50273-2021</t>
        </is>
      </c>
      <c r="B317" s="1" t="n">
        <v>44459</v>
      </c>
      <c r="C317" s="1" t="n">
        <v>45802</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50347-2021</t>
        </is>
      </c>
      <c r="B318" s="1" t="n">
        <v>44459</v>
      </c>
      <c r="C318" s="1" t="n">
        <v>45802</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50995-2021</t>
        </is>
      </c>
      <c r="B319" s="1" t="n">
        <v>44460</v>
      </c>
      <c r="C319" s="1" t="n">
        <v>45802</v>
      </c>
      <c r="D319" t="inlineStr">
        <is>
          <t>DALARNAS LÄN</t>
        </is>
      </c>
      <c r="E319" t="inlineStr">
        <is>
          <t>LUDVIKA</t>
        </is>
      </c>
      <c r="G319" t="n">
        <v>0.9</v>
      </c>
      <c r="H319" t="n">
        <v>0</v>
      </c>
      <c r="I319" t="n">
        <v>0</v>
      </c>
      <c r="J319" t="n">
        <v>0</v>
      </c>
      <c r="K319" t="n">
        <v>0</v>
      </c>
      <c r="L319" t="n">
        <v>0</v>
      </c>
      <c r="M319" t="n">
        <v>0</v>
      </c>
      <c r="N319" t="n">
        <v>0</v>
      </c>
      <c r="O319" t="n">
        <v>0</v>
      </c>
      <c r="P319" t="n">
        <v>0</v>
      </c>
      <c r="Q319" t="n">
        <v>0</v>
      </c>
      <c r="R319" s="2" t="inlineStr"/>
    </row>
    <row r="320" ht="15" customHeight="1">
      <c r="A320" t="inlineStr">
        <is>
          <t>A 51485-2021</t>
        </is>
      </c>
      <c r="B320" s="1" t="n">
        <v>44462</v>
      </c>
      <c r="C320" s="1" t="n">
        <v>45802</v>
      </c>
      <c r="D320" t="inlineStr">
        <is>
          <t>DALARNAS LÄN</t>
        </is>
      </c>
      <c r="E320" t="inlineStr">
        <is>
          <t>LUDVIKA</t>
        </is>
      </c>
      <c r="F320" t="inlineStr">
        <is>
          <t>Bergvik skog väst AB</t>
        </is>
      </c>
      <c r="G320" t="n">
        <v>3.2</v>
      </c>
      <c r="H320" t="n">
        <v>0</v>
      </c>
      <c r="I320" t="n">
        <v>0</v>
      </c>
      <c r="J320" t="n">
        <v>0</v>
      </c>
      <c r="K320" t="n">
        <v>0</v>
      </c>
      <c r="L320" t="n">
        <v>0</v>
      </c>
      <c r="M320" t="n">
        <v>0</v>
      </c>
      <c r="N320" t="n">
        <v>0</v>
      </c>
      <c r="O320" t="n">
        <v>0</v>
      </c>
      <c r="P320" t="n">
        <v>0</v>
      </c>
      <c r="Q320" t="n">
        <v>0</v>
      </c>
      <c r="R320" s="2" t="inlineStr"/>
    </row>
    <row r="321" ht="15" customHeight="1">
      <c r="A321" t="inlineStr">
        <is>
          <t>A 54279-2021</t>
        </is>
      </c>
      <c r="B321" s="1" t="n">
        <v>44470</v>
      </c>
      <c r="C321" s="1" t="n">
        <v>45802</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55633-2021</t>
        </is>
      </c>
      <c r="B322" s="1" t="n">
        <v>44476</v>
      </c>
      <c r="C322" s="1" t="n">
        <v>45802</v>
      </c>
      <c r="D322" t="inlineStr">
        <is>
          <t>DALARNAS LÄN</t>
        </is>
      </c>
      <c r="E322" t="inlineStr">
        <is>
          <t>LUDVIKA</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56113-2021</t>
        </is>
      </c>
      <c r="B323" s="1" t="n">
        <v>44477</v>
      </c>
      <c r="C323" s="1" t="n">
        <v>45802</v>
      </c>
      <c r="D323" t="inlineStr">
        <is>
          <t>DALARNAS LÄN</t>
        </is>
      </c>
      <c r="E323" t="inlineStr">
        <is>
          <t>LUDVIKA</t>
        </is>
      </c>
      <c r="F323" t="inlineStr">
        <is>
          <t>Bergvik skog väst AB</t>
        </is>
      </c>
      <c r="G323" t="n">
        <v>6.5</v>
      </c>
      <c r="H323" t="n">
        <v>0</v>
      </c>
      <c r="I323" t="n">
        <v>0</v>
      </c>
      <c r="J323" t="n">
        <v>0</v>
      </c>
      <c r="K323" t="n">
        <v>0</v>
      </c>
      <c r="L323" t="n">
        <v>0</v>
      </c>
      <c r="M323" t="n">
        <v>0</v>
      </c>
      <c r="N323" t="n">
        <v>0</v>
      </c>
      <c r="O323" t="n">
        <v>0</v>
      </c>
      <c r="P323" t="n">
        <v>0</v>
      </c>
      <c r="Q323" t="n">
        <v>0</v>
      </c>
      <c r="R323" s="2" t="inlineStr"/>
    </row>
    <row r="324" ht="15" customHeight="1">
      <c r="A324" t="inlineStr">
        <is>
          <t>A 56119-2021</t>
        </is>
      </c>
      <c r="B324" s="1" t="n">
        <v>44477</v>
      </c>
      <c r="C324" s="1" t="n">
        <v>45802</v>
      </c>
      <c r="D324" t="inlineStr">
        <is>
          <t>DALARNAS LÄN</t>
        </is>
      </c>
      <c r="E324" t="inlineStr">
        <is>
          <t>LUDVIKA</t>
        </is>
      </c>
      <c r="G324" t="n">
        <v>1.3</v>
      </c>
      <c r="H324" t="n">
        <v>0</v>
      </c>
      <c r="I324" t="n">
        <v>0</v>
      </c>
      <c r="J324" t="n">
        <v>0</v>
      </c>
      <c r="K324" t="n">
        <v>0</v>
      </c>
      <c r="L324" t="n">
        <v>0</v>
      </c>
      <c r="M324" t="n">
        <v>0</v>
      </c>
      <c r="N324" t="n">
        <v>0</v>
      </c>
      <c r="O324" t="n">
        <v>0</v>
      </c>
      <c r="P324" t="n">
        <v>0</v>
      </c>
      <c r="Q324" t="n">
        <v>0</v>
      </c>
      <c r="R324" s="2" t="inlineStr"/>
    </row>
    <row r="325" ht="15" customHeight="1">
      <c r="A325" t="inlineStr">
        <is>
          <t>A 56996-2021</t>
        </is>
      </c>
      <c r="B325" s="1" t="n">
        <v>44482</v>
      </c>
      <c r="C325" s="1" t="n">
        <v>45802</v>
      </c>
      <c r="D325" t="inlineStr">
        <is>
          <t>DALARNAS LÄN</t>
        </is>
      </c>
      <c r="E325" t="inlineStr">
        <is>
          <t>LUDVIKA</t>
        </is>
      </c>
      <c r="G325" t="n">
        <v>0.9</v>
      </c>
      <c r="H325" t="n">
        <v>0</v>
      </c>
      <c r="I325" t="n">
        <v>0</v>
      </c>
      <c r="J325" t="n">
        <v>0</v>
      </c>
      <c r="K325" t="n">
        <v>0</v>
      </c>
      <c r="L325" t="n">
        <v>0</v>
      </c>
      <c r="M325" t="n">
        <v>0</v>
      </c>
      <c r="N325" t="n">
        <v>0</v>
      </c>
      <c r="O325" t="n">
        <v>0</v>
      </c>
      <c r="P325" t="n">
        <v>0</v>
      </c>
      <c r="Q325" t="n">
        <v>0</v>
      </c>
      <c r="R325" s="2" t="inlineStr"/>
    </row>
    <row r="326" ht="15" customHeight="1">
      <c r="A326" t="inlineStr">
        <is>
          <t>A 57076-2021</t>
        </is>
      </c>
      <c r="B326" s="1" t="n">
        <v>44482</v>
      </c>
      <c r="C326" s="1" t="n">
        <v>45802</v>
      </c>
      <c r="D326" t="inlineStr">
        <is>
          <t>DALARNAS LÄN</t>
        </is>
      </c>
      <c r="E326" t="inlineStr">
        <is>
          <t>LUDVIKA</t>
        </is>
      </c>
      <c r="G326" t="n">
        <v>4.7</v>
      </c>
      <c r="H326" t="n">
        <v>0</v>
      </c>
      <c r="I326" t="n">
        <v>0</v>
      </c>
      <c r="J326" t="n">
        <v>0</v>
      </c>
      <c r="K326" t="n">
        <v>0</v>
      </c>
      <c r="L326" t="n">
        <v>0</v>
      </c>
      <c r="M326" t="n">
        <v>0</v>
      </c>
      <c r="N326" t="n">
        <v>0</v>
      </c>
      <c r="O326" t="n">
        <v>0</v>
      </c>
      <c r="P326" t="n">
        <v>0</v>
      </c>
      <c r="Q326" t="n">
        <v>0</v>
      </c>
      <c r="R326" s="2" t="inlineStr"/>
    </row>
    <row r="327" ht="15" customHeight="1">
      <c r="A327" t="inlineStr">
        <is>
          <t>A 57002-2021</t>
        </is>
      </c>
      <c r="B327" s="1" t="n">
        <v>44482</v>
      </c>
      <c r="C327" s="1" t="n">
        <v>45802</v>
      </c>
      <c r="D327" t="inlineStr">
        <is>
          <t>DALARNAS LÄN</t>
        </is>
      </c>
      <c r="E327" t="inlineStr">
        <is>
          <t>LUDVIKA</t>
        </is>
      </c>
      <c r="G327" t="n">
        <v>3.5</v>
      </c>
      <c r="H327" t="n">
        <v>0</v>
      </c>
      <c r="I327" t="n">
        <v>0</v>
      </c>
      <c r="J327" t="n">
        <v>0</v>
      </c>
      <c r="K327" t="n">
        <v>0</v>
      </c>
      <c r="L327" t="n">
        <v>0</v>
      </c>
      <c r="M327" t="n">
        <v>0</v>
      </c>
      <c r="N327" t="n">
        <v>0</v>
      </c>
      <c r="O327" t="n">
        <v>0</v>
      </c>
      <c r="P327" t="n">
        <v>0</v>
      </c>
      <c r="Q327" t="n">
        <v>0</v>
      </c>
      <c r="R327" s="2" t="inlineStr"/>
    </row>
    <row r="328" ht="15" customHeight="1">
      <c r="A328" t="inlineStr">
        <is>
          <t>A 62152-2021</t>
        </is>
      </c>
      <c r="B328" s="1" t="n">
        <v>44502</v>
      </c>
      <c r="C328" s="1" t="n">
        <v>45802</v>
      </c>
      <c r="D328" t="inlineStr">
        <is>
          <t>DALARNAS LÄN</t>
        </is>
      </c>
      <c r="E328" t="inlineStr">
        <is>
          <t>LUDVIKA</t>
        </is>
      </c>
      <c r="G328" t="n">
        <v>6.1</v>
      </c>
      <c r="H328" t="n">
        <v>0</v>
      </c>
      <c r="I328" t="n">
        <v>0</v>
      </c>
      <c r="J328" t="n">
        <v>0</v>
      </c>
      <c r="K328" t="n">
        <v>0</v>
      </c>
      <c r="L328" t="n">
        <v>0</v>
      </c>
      <c r="M328" t="n">
        <v>0</v>
      </c>
      <c r="N328" t="n">
        <v>0</v>
      </c>
      <c r="O328" t="n">
        <v>0</v>
      </c>
      <c r="P328" t="n">
        <v>0</v>
      </c>
      <c r="Q328" t="n">
        <v>0</v>
      </c>
      <c r="R328" s="2" t="inlineStr"/>
    </row>
    <row r="329" ht="15" customHeight="1">
      <c r="A329" t="inlineStr">
        <is>
          <t>A 62467-2021</t>
        </is>
      </c>
      <c r="B329" s="1" t="n">
        <v>44503</v>
      </c>
      <c r="C329" s="1" t="n">
        <v>45802</v>
      </c>
      <c r="D329" t="inlineStr">
        <is>
          <t>DALARNAS LÄN</t>
        </is>
      </c>
      <c r="E329" t="inlineStr">
        <is>
          <t>LUDVIKA</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63267-2021</t>
        </is>
      </c>
      <c r="B330" s="1" t="n">
        <v>44508</v>
      </c>
      <c r="C330" s="1" t="n">
        <v>45802</v>
      </c>
      <c r="D330" t="inlineStr">
        <is>
          <t>DALARNAS LÄN</t>
        </is>
      </c>
      <c r="E330" t="inlineStr">
        <is>
          <t>LUDVIKA</t>
        </is>
      </c>
      <c r="F330" t="inlineStr">
        <is>
          <t>Bergvik skog väst AB</t>
        </is>
      </c>
      <c r="G330" t="n">
        <v>0.2</v>
      </c>
      <c r="H330" t="n">
        <v>0</v>
      </c>
      <c r="I330" t="n">
        <v>0</v>
      </c>
      <c r="J330" t="n">
        <v>0</v>
      </c>
      <c r="K330" t="n">
        <v>0</v>
      </c>
      <c r="L330" t="n">
        <v>0</v>
      </c>
      <c r="M330" t="n">
        <v>0</v>
      </c>
      <c r="N330" t="n">
        <v>0</v>
      </c>
      <c r="O330" t="n">
        <v>0</v>
      </c>
      <c r="P330" t="n">
        <v>0</v>
      </c>
      <c r="Q330" t="n">
        <v>0</v>
      </c>
      <c r="R330" s="2" t="inlineStr"/>
    </row>
    <row r="331" ht="15" customHeight="1">
      <c r="A331" t="inlineStr">
        <is>
          <t>A 65195-2021</t>
        </is>
      </c>
      <c r="B331" s="1" t="n">
        <v>44515</v>
      </c>
      <c r="C331" s="1" t="n">
        <v>45802</v>
      </c>
      <c r="D331" t="inlineStr">
        <is>
          <t>DALARNAS LÄN</t>
        </is>
      </c>
      <c r="E331" t="inlineStr">
        <is>
          <t>LUDVIKA</t>
        </is>
      </c>
      <c r="F331" t="inlineStr">
        <is>
          <t>Bergvik skog väst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65699-2021</t>
        </is>
      </c>
      <c r="B332" s="1" t="n">
        <v>44516</v>
      </c>
      <c r="C332" s="1" t="n">
        <v>45802</v>
      </c>
      <c r="D332" t="inlineStr">
        <is>
          <t>DALARNAS LÄN</t>
        </is>
      </c>
      <c r="E332" t="inlineStr">
        <is>
          <t>LUDVIKA</t>
        </is>
      </c>
      <c r="G332" t="n">
        <v>1.4</v>
      </c>
      <c r="H332" t="n">
        <v>0</v>
      </c>
      <c r="I332" t="n">
        <v>0</v>
      </c>
      <c r="J332" t="n">
        <v>0</v>
      </c>
      <c r="K332" t="n">
        <v>0</v>
      </c>
      <c r="L332" t="n">
        <v>0</v>
      </c>
      <c r="M332" t="n">
        <v>0</v>
      </c>
      <c r="N332" t="n">
        <v>0</v>
      </c>
      <c r="O332" t="n">
        <v>0</v>
      </c>
      <c r="P332" t="n">
        <v>0</v>
      </c>
      <c r="Q332" t="n">
        <v>0</v>
      </c>
      <c r="R332" s="2" t="inlineStr"/>
    </row>
    <row r="333" ht="15" customHeight="1">
      <c r="A333" t="inlineStr">
        <is>
          <t>A 65667-2021</t>
        </is>
      </c>
      <c r="B333" s="1" t="n">
        <v>44516</v>
      </c>
      <c r="C333" s="1" t="n">
        <v>45802</v>
      </c>
      <c r="D333" t="inlineStr">
        <is>
          <t>DALARNAS LÄN</t>
        </is>
      </c>
      <c r="E333" t="inlineStr">
        <is>
          <t>LUDVIKA</t>
        </is>
      </c>
      <c r="G333" t="n">
        <v>1.5</v>
      </c>
      <c r="H333" t="n">
        <v>0</v>
      </c>
      <c r="I333" t="n">
        <v>0</v>
      </c>
      <c r="J333" t="n">
        <v>0</v>
      </c>
      <c r="K333" t="n">
        <v>0</v>
      </c>
      <c r="L333" t="n">
        <v>0</v>
      </c>
      <c r="M333" t="n">
        <v>0</v>
      </c>
      <c r="N333" t="n">
        <v>0</v>
      </c>
      <c r="O333" t="n">
        <v>0</v>
      </c>
      <c r="P333" t="n">
        <v>0</v>
      </c>
      <c r="Q333" t="n">
        <v>0</v>
      </c>
      <c r="R333" s="2" t="inlineStr"/>
    </row>
    <row r="334" ht="15" customHeight="1">
      <c r="A334" t="inlineStr">
        <is>
          <t>A 65685-2021</t>
        </is>
      </c>
      <c r="B334" s="1" t="n">
        <v>44516</v>
      </c>
      <c r="C334" s="1" t="n">
        <v>45802</v>
      </c>
      <c r="D334" t="inlineStr">
        <is>
          <t>DALARNAS LÄN</t>
        </is>
      </c>
      <c r="E334" t="inlineStr">
        <is>
          <t>LUDVIKA</t>
        </is>
      </c>
      <c r="G334" t="n">
        <v>1</v>
      </c>
      <c r="H334" t="n">
        <v>0</v>
      </c>
      <c r="I334" t="n">
        <v>0</v>
      </c>
      <c r="J334" t="n">
        <v>0</v>
      </c>
      <c r="K334" t="n">
        <v>0</v>
      </c>
      <c r="L334" t="n">
        <v>0</v>
      </c>
      <c r="M334" t="n">
        <v>0</v>
      </c>
      <c r="N334" t="n">
        <v>0</v>
      </c>
      <c r="O334" t="n">
        <v>0</v>
      </c>
      <c r="P334" t="n">
        <v>0</v>
      </c>
      <c r="Q334" t="n">
        <v>0</v>
      </c>
      <c r="R334" s="2" t="inlineStr"/>
    </row>
    <row r="335" ht="15" customHeight="1">
      <c r="A335" t="inlineStr">
        <is>
          <t>A 70046-2021</t>
        </is>
      </c>
      <c r="B335" s="1" t="n">
        <v>44533</v>
      </c>
      <c r="C335" s="1" t="n">
        <v>45802</v>
      </c>
      <c r="D335" t="inlineStr">
        <is>
          <t>DALARNAS LÄN</t>
        </is>
      </c>
      <c r="E335" t="inlineStr">
        <is>
          <t>LUDVIKA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70291-2021</t>
        </is>
      </c>
      <c r="B336" s="1" t="n">
        <v>44536</v>
      </c>
      <c r="C336" s="1" t="n">
        <v>45802</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71639-2021</t>
        </is>
      </c>
      <c r="B337" s="1" t="n">
        <v>44543</v>
      </c>
      <c r="C337" s="1" t="n">
        <v>45802</v>
      </c>
      <c r="D337" t="inlineStr">
        <is>
          <t>DALARNAS LÄN</t>
        </is>
      </c>
      <c r="E337" t="inlineStr">
        <is>
          <t>LUDVIKA</t>
        </is>
      </c>
      <c r="F337" t="inlineStr">
        <is>
          <t>Naturvårdsverket</t>
        </is>
      </c>
      <c r="G337" t="n">
        <v>2.2</v>
      </c>
      <c r="H337" t="n">
        <v>0</v>
      </c>
      <c r="I337" t="n">
        <v>0</v>
      </c>
      <c r="J337" t="n">
        <v>0</v>
      </c>
      <c r="K337" t="n">
        <v>0</v>
      </c>
      <c r="L337" t="n">
        <v>0</v>
      </c>
      <c r="M337" t="n">
        <v>0</v>
      </c>
      <c r="N337" t="n">
        <v>0</v>
      </c>
      <c r="O337" t="n">
        <v>0</v>
      </c>
      <c r="P337" t="n">
        <v>0</v>
      </c>
      <c r="Q337" t="n">
        <v>0</v>
      </c>
      <c r="R337" s="2" t="inlineStr"/>
    </row>
    <row r="338" ht="15" customHeight="1">
      <c r="A338" t="inlineStr">
        <is>
          <t>A 73167-2021</t>
        </is>
      </c>
      <c r="B338" s="1" t="n">
        <v>44550</v>
      </c>
      <c r="C338" s="1" t="n">
        <v>45802</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73703-2021</t>
        </is>
      </c>
      <c r="B339" s="1" t="n">
        <v>44552</v>
      </c>
      <c r="C339" s="1" t="n">
        <v>45802</v>
      </c>
      <c r="D339" t="inlineStr">
        <is>
          <t>DALARNAS LÄN</t>
        </is>
      </c>
      <c r="E339" t="inlineStr">
        <is>
          <t>LUDVIKA</t>
        </is>
      </c>
      <c r="G339" t="n">
        <v>0.5</v>
      </c>
      <c r="H339" t="n">
        <v>0</v>
      </c>
      <c r="I339" t="n">
        <v>0</v>
      </c>
      <c r="J339" t="n">
        <v>0</v>
      </c>
      <c r="K339" t="n">
        <v>0</v>
      </c>
      <c r="L339" t="n">
        <v>0</v>
      </c>
      <c r="M339" t="n">
        <v>0</v>
      </c>
      <c r="N339" t="n">
        <v>0</v>
      </c>
      <c r="O339" t="n">
        <v>0</v>
      </c>
      <c r="P339" t="n">
        <v>0</v>
      </c>
      <c r="Q339" t="n">
        <v>0</v>
      </c>
      <c r="R339" s="2" t="inlineStr"/>
    </row>
    <row r="340" ht="15" customHeight="1">
      <c r="A340" t="inlineStr">
        <is>
          <t>A 74427-2021</t>
        </is>
      </c>
      <c r="B340" s="1" t="n">
        <v>44560</v>
      </c>
      <c r="C340" s="1" t="n">
        <v>45802</v>
      </c>
      <c r="D340" t="inlineStr">
        <is>
          <t>DALARNAS LÄN</t>
        </is>
      </c>
      <c r="E340" t="inlineStr">
        <is>
          <t>LUDVIKA</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74432-2021</t>
        </is>
      </c>
      <c r="B341" s="1" t="n">
        <v>44560</v>
      </c>
      <c r="C341" s="1" t="n">
        <v>45802</v>
      </c>
      <c r="D341" t="inlineStr">
        <is>
          <t>DALARNAS LÄN</t>
        </is>
      </c>
      <c r="E341" t="inlineStr">
        <is>
          <t>LUDVIKA</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1299-2022</t>
        </is>
      </c>
      <c r="B342" s="1" t="n">
        <v>44572</v>
      </c>
      <c r="C342" s="1" t="n">
        <v>45802</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2422-2022</t>
        </is>
      </c>
      <c r="B343" s="1" t="n">
        <v>44579</v>
      </c>
      <c r="C343" s="1" t="n">
        <v>45802</v>
      </c>
      <c r="D343" t="inlineStr">
        <is>
          <t>DALARNAS LÄN</t>
        </is>
      </c>
      <c r="E343" t="inlineStr">
        <is>
          <t>LUDVIKA</t>
        </is>
      </c>
      <c r="G343" t="n">
        <v>2.3</v>
      </c>
      <c r="H343" t="n">
        <v>0</v>
      </c>
      <c r="I343" t="n">
        <v>0</v>
      </c>
      <c r="J343" t="n">
        <v>0</v>
      </c>
      <c r="K343" t="n">
        <v>0</v>
      </c>
      <c r="L343" t="n">
        <v>0</v>
      </c>
      <c r="M343" t="n">
        <v>0</v>
      </c>
      <c r="N343" t="n">
        <v>0</v>
      </c>
      <c r="O343" t="n">
        <v>0</v>
      </c>
      <c r="P343" t="n">
        <v>0</v>
      </c>
      <c r="Q343" t="n">
        <v>0</v>
      </c>
      <c r="R343" s="2" t="inlineStr"/>
    </row>
    <row r="344" ht="15" customHeight="1">
      <c r="A344" t="inlineStr">
        <is>
          <t>A 2491-2022</t>
        </is>
      </c>
      <c r="B344" s="1" t="n">
        <v>44579</v>
      </c>
      <c r="C344" s="1" t="n">
        <v>45802</v>
      </c>
      <c r="D344" t="inlineStr">
        <is>
          <t>DALARNAS LÄN</t>
        </is>
      </c>
      <c r="E344" t="inlineStr">
        <is>
          <t>LUDVIKA</t>
        </is>
      </c>
      <c r="G344" t="n">
        <v>2.8</v>
      </c>
      <c r="H344" t="n">
        <v>0</v>
      </c>
      <c r="I344" t="n">
        <v>0</v>
      </c>
      <c r="J344" t="n">
        <v>0</v>
      </c>
      <c r="K344" t="n">
        <v>0</v>
      </c>
      <c r="L344" t="n">
        <v>0</v>
      </c>
      <c r="M344" t="n">
        <v>0</v>
      </c>
      <c r="N344" t="n">
        <v>0</v>
      </c>
      <c r="O344" t="n">
        <v>0</v>
      </c>
      <c r="P344" t="n">
        <v>0</v>
      </c>
      <c r="Q344" t="n">
        <v>0</v>
      </c>
      <c r="R344" s="2" t="inlineStr"/>
    </row>
    <row r="345" ht="15" customHeight="1">
      <c r="A345" t="inlineStr">
        <is>
          <t>A 2838-2022</t>
        </is>
      </c>
      <c r="B345" s="1" t="n">
        <v>44581</v>
      </c>
      <c r="C345" s="1" t="n">
        <v>45802</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4551-2022</t>
        </is>
      </c>
      <c r="B346" s="1" t="n">
        <v>44590</v>
      </c>
      <c r="C346" s="1" t="n">
        <v>45802</v>
      </c>
      <c r="D346" t="inlineStr">
        <is>
          <t>DALARNAS LÄN</t>
        </is>
      </c>
      <c r="E346" t="inlineStr">
        <is>
          <t>LUDVIKA</t>
        </is>
      </c>
      <c r="G346" t="n">
        <v>1.1</v>
      </c>
      <c r="H346" t="n">
        <v>0</v>
      </c>
      <c r="I346" t="n">
        <v>0</v>
      </c>
      <c r="J346" t="n">
        <v>0</v>
      </c>
      <c r="K346" t="n">
        <v>0</v>
      </c>
      <c r="L346" t="n">
        <v>0</v>
      </c>
      <c r="M346" t="n">
        <v>0</v>
      </c>
      <c r="N346" t="n">
        <v>0</v>
      </c>
      <c r="O346" t="n">
        <v>0</v>
      </c>
      <c r="P346" t="n">
        <v>0</v>
      </c>
      <c r="Q346" t="n">
        <v>0</v>
      </c>
      <c r="R346" s="2" t="inlineStr"/>
    </row>
    <row r="347" ht="15" customHeight="1">
      <c r="A347" t="inlineStr">
        <is>
          <t>A 5970-2022</t>
        </is>
      </c>
      <c r="B347" s="1" t="n">
        <v>44599</v>
      </c>
      <c r="C347" s="1" t="n">
        <v>45802</v>
      </c>
      <c r="D347" t="inlineStr">
        <is>
          <t>DALARNAS LÄN</t>
        </is>
      </c>
      <c r="E347" t="inlineStr">
        <is>
          <t>LUDVIKA</t>
        </is>
      </c>
      <c r="G347" t="n">
        <v>8.4</v>
      </c>
      <c r="H347" t="n">
        <v>0</v>
      </c>
      <c r="I347" t="n">
        <v>0</v>
      </c>
      <c r="J347" t="n">
        <v>0</v>
      </c>
      <c r="K347" t="n">
        <v>0</v>
      </c>
      <c r="L347" t="n">
        <v>0</v>
      </c>
      <c r="M347" t="n">
        <v>0</v>
      </c>
      <c r="N347" t="n">
        <v>0</v>
      </c>
      <c r="O347" t="n">
        <v>0</v>
      </c>
      <c r="P347" t="n">
        <v>0</v>
      </c>
      <c r="Q347" t="n">
        <v>0</v>
      </c>
      <c r="R347" s="2" t="inlineStr"/>
    </row>
    <row r="348" ht="15" customHeight="1">
      <c r="A348" t="inlineStr">
        <is>
          <t>A 6364-2022</t>
        </is>
      </c>
      <c r="B348" s="1" t="n">
        <v>44600</v>
      </c>
      <c r="C348" s="1" t="n">
        <v>45802</v>
      </c>
      <c r="D348" t="inlineStr">
        <is>
          <t>DALARNAS LÄN</t>
        </is>
      </c>
      <c r="E348" t="inlineStr">
        <is>
          <t>LUDVIKA</t>
        </is>
      </c>
      <c r="F348" t="inlineStr">
        <is>
          <t>Övriga Aktiebolag</t>
        </is>
      </c>
      <c r="G348" t="n">
        <v>52.3</v>
      </c>
      <c r="H348" t="n">
        <v>0</v>
      </c>
      <c r="I348" t="n">
        <v>0</v>
      </c>
      <c r="J348" t="n">
        <v>0</v>
      </c>
      <c r="K348" t="n">
        <v>0</v>
      </c>
      <c r="L348" t="n">
        <v>0</v>
      </c>
      <c r="M348" t="n">
        <v>0</v>
      </c>
      <c r="N348" t="n">
        <v>0</v>
      </c>
      <c r="O348" t="n">
        <v>0</v>
      </c>
      <c r="P348" t="n">
        <v>0</v>
      </c>
      <c r="Q348" t="n">
        <v>0</v>
      </c>
      <c r="R348" s="2" t="inlineStr"/>
    </row>
    <row r="349" ht="15" customHeight="1">
      <c r="A349" t="inlineStr">
        <is>
          <t>A 6836-2022</t>
        </is>
      </c>
      <c r="B349" s="1" t="n">
        <v>44602</v>
      </c>
      <c r="C349" s="1" t="n">
        <v>45802</v>
      </c>
      <c r="D349" t="inlineStr">
        <is>
          <t>DALARNAS LÄN</t>
        </is>
      </c>
      <c r="E349" t="inlineStr">
        <is>
          <t>LUDVIKA</t>
        </is>
      </c>
      <c r="F349" t="inlineStr">
        <is>
          <t>Bergvik skog väst AB</t>
        </is>
      </c>
      <c r="G349" t="n">
        <v>3.4</v>
      </c>
      <c r="H349" t="n">
        <v>0</v>
      </c>
      <c r="I349" t="n">
        <v>0</v>
      </c>
      <c r="J349" t="n">
        <v>0</v>
      </c>
      <c r="K349" t="n">
        <v>0</v>
      </c>
      <c r="L349" t="n">
        <v>0</v>
      </c>
      <c r="M349" t="n">
        <v>0</v>
      </c>
      <c r="N349" t="n">
        <v>0</v>
      </c>
      <c r="O349" t="n">
        <v>0</v>
      </c>
      <c r="P349" t="n">
        <v>0</v>
      </c>
      <c r="Q349" t="n">
        <v>0</v>
      </c>
      <c r="R349" s="2" t="inlineStr"/>
    </row>
    <row r="350" ht="15" customHeight="1">
      <c r="A350" t="inlineStr">
        <is>
          <t>A 7011-2022</t>
        </is>
      </c>
      <c r="B350" s="1" t="n">
        <v>44603</v>
      </c>
      <c r="C350" s="1" t="n">
        <v>45802</v>
      </c>
      <c r="D350" t="inlineStr">
        <is>
          <t>DALARNAS LÄN</t>
        </is>
      </c>
      <c r="E350" t="inlineStr">
        <is>
          <t>LUDVIKA</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9464-2022</t>
        </is>
      </c>
      <c r="B351" s="1" t="n">
        <v>44616</v>
      </c>
      <c r="C351" s="1" t="n">
        <v>45802</v>
      </c>
      <c r="D351" t="inlineStr">
        <is>
          <t>DALARNAS LÄN</t>
        </is>
      </c>
      <c r="E351" t="inlineStr">
        <is>
          <t>LUDVIKA</t>
        </is>
      </c>
      <c r="G351" t="n">
        <v>4.1</v>
      </c>
      <c r="H351" t="n">
        <v>0</v>
      </c>
      <c r="I351" t="n">
        <v>0</v>
      </c>
      <c r="J351" t="n">
        <v>0</v>
      </c>
      <c r="K351" t="n">
        <v>0</v>
      </c>
      <c r="L351" t="n">
        <v>0</v>
      </c>
      <c r="M351" t="n">
        <v>0</v>
      </c>
      <c r="N351" t="n">
        <v>0</v>
      </c>
      <c r="O351" t="n">
        <v>0</v>
      </c>
      <c r="P351" t="n">
        <v>0</v>
      </c>
      <c r="Q351" t="n">
        <v>0</v>
      </c>
      <c r="R351" s="2" t="inlineStr"/>
    </row>
    <row r="352" ht="15" customHeight="1">
      <c r="A352" t="inlineStr">
        <is>
          <t>A 13051-2022</t>
        </is>
      </c>
      <c r="B352" s="1" t="n">
        <v>44643</v>
      </c>
      <c r="C352" s="1" t="n">
        <v>45802</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14387-2022</t>
        </is>
      </c>
      <c r="B353" s="1" t="n">
        <v>44652</v>
      </c>
      <c r="C353" s="1" t="n">
        <v>45802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14872-2022</t>
        </is>
      </c>
      <c r="B354" s="1" t="n">
        <v>44656</v>
      </c>
      <c r="C354" s="1" t="n">
        <v>45802</v>
      </c>
      <c r="D354" t="inlineStr">
        <is>
          <t>DALARNAS LÄN</t>
        </is>
      </c>
      <c r="E354" t="inlineStr">
        <is>
          <t>LUDVIKA</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15145-2022</t>
        </is>
      </c>
      <c r="B355" s="1" t="n">
        <v>44658</v>
      </c>
      <c r="C355" s="1" t="n">
        <v>45802</v>
      </c>
      <c r="D355" t="inlineStr">
        <is>
          <t>DALARNAS LÄN</t>
        </is>
      </c>
      <c r="E355" t="inlineStr">
        <is>
          <t>LUDVIKA</t>
        </is>
      </c>
      <c r="G355" t="n">
        <v>3.7</v>
      </c>
      <c r="H355" t="n">
        <v>0</v>
      </c>
      <c r="I355" t="n">
        <v>0</v>
      </c>
      <c r="J355" t="n">
        <v>0</v>
      </c>
      <c r="K355" t="n">
        <v>0</v>
      </c>
      <c r="L355" t="n">
        <v>0</v>
      </c>
      <c r="M355" t="n">
        <v>0</v>
      </c>
      <c r="N355" t="n">
        <v>0</v>
      </c>
      <c r="O355" t="n">
        <v>0</v>
      </c>
      <c r="P355" t="n">
        <v>0</v>
      </c>
      <c r="Q355" t="n">
        <v>0</v>
      </c>
      <c r="R355" s="2" t="inlineStr"/>
    </row>
    <row r="356" ht="15" customHeight="1">
      <c r="A356" t="inlineStr">
        <is>
          <t>A 15617-2022</t>
        </is>
      </c>
      <c r="B356" s="1" t="n">
        <v>44662</v>
      </c>
      <c r="C356" s="1" t="n">
        <v>45802</v>
      </c>
      <c r="D356" t="inlineStr">
        <is>
          <t>DALARNAS LÄN</t>
        </is>
      </c>
      <c r="E356" t="inlineStr">
        <is>
          <t>LUDVIKA</t>
        </is>
      </c>
      <c r="F356" t="inlineStr">
        <is>
          <t>Bergvik skog väst AB</t>
        </is>
      </c>
      <c r="G356" t="n">
        <v>7.8</v>
      </c>
      <c r="H356" t="n">
        <v>0</v>
      </c>
      <c r="I356" t="n">
        <v>0</v>
      </c>
      <c r="J356" t="n">
        <v>0</v>
      </c>
      <c r="K356" t="n">
        <v>0</v>
      </c>
      <c r="L356" t="n">
        <v>0</v>
      </c>
      <c r="M356" t="n">
        <v>0</v>
      </c>
      <c r="N356" t="n">
        <v>0</v>
      </c>
      <c r="O356" t="n">
        <v>0</v>
      </c>
      <c r="P356" t="n">
        <v>0</v>
      </c>
      <c r="Q356" t="n">
        <v>0</v>
      </c>
      <c r="R356" s="2" t="inlineStr"/>
    </row>
    <row r="357" ht="15" customHeight="1">
      <c r="A357" t="inlineStr">
        <is>
          <t>A 17677-2022</t>
        </is>
      </c>
      <c r="B357" s="1" t="n">
        <v>44680</v>
      </c>
      <c r="C357" s="1" t="n">
        <v>45802</v>
      </c>
      <c r="D357" t="inlineStr">
        <is>
          <t>DALARNAS LÄN</t>
        </is>
      </c>
      <c r="E357" t="inlineStr">
        <is>
          <t>LUDVIKA</t>
        </is>
      </c>
      <c r="F357" t="inlineStr">
        <is>
          <t>Bergvik skog väst AB</t>
        </is>
      </c>
      <c r="G357" t="n">
        <v>5.5</v>
      </c>
      <c r="H357" t="n">
        <v>0</v>
      </c>
      <c r="I357" t="n">
        <v>0</v>
      </c>
      <c r="J357" t="n">
        <v>0</v>
      </c>
      <c r="K357" t="n">
        <v>0</v>
      </c>
      <c r="L357" t="n">
        <v>0</v>
      </c>
      <c r="M357" t="n">
        <v>0</v>
      </c>
      <c r="N357" t="n">
        <v>0</v>
      </c>
      <c r="O357" t="n">
        <v>0</v>
      </c>
      <c r="P357" t="n">
        <v>0</v>
      </c>
      <c r="Q357" t="n">
        <v>0</v>
      </c>
      <c r="R357" s="2" t="inlineStr"/>
    </row>
    <row r="358" ht="15" customHeight="1">
      <c r="A358" t="inlineStr">
        <is>
          <t>A 18289-2022</t>
        </is>
      </c>
      <c r="B358" s="1" t="n">
        <v>44685</v>
      </c>
      <c r="C358" s="1" t="n">
        <v>45802</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18703-2022</t>
        </is>
      </c>
      <c r="B359" s="1" t="n">
        <v>44687</v>
      </c>
      <c r="C359" s="1" t="n">
        <v>45802</v>
      </c>
      <c r="D359" t="inlineStr">
        <is>
          <t>DALARNAS LÄN</t>
        </is>
      </c>
      <c r="E359" t="inlineStr">
        <is>
          <t>LUDVIKA</t>
        </is>
      </c>
      <c r="F359" t="inlineStr">
        <is>
          <t>Bergvik skog väst AB</t>
        </is>
      </c>
      <c r="G359" t="n">
        <v>2.2</v>
      </c>
      <c r="H359" t="n">
        <v>0</v>
      </c>
      <c r="I359" t="n">
        <v>0</v>
      </c>
      <c r="J359" t="n">
        <v>0</v>
      </c>
      <c r="K359" t="n">
        <v>0</v>
      </c>
      <c r="L359" t="n">
        <v>0</v>
      </c>
      <c r="M359" t="n">
        <v>0</v>
      </c>
      <c r="N359" t="n">
        <v>0</v>
      </c>
      <c r="O359" t="n">
        <v>0</v>
      </c>
      <c r="P359" t="n">
        <v>0</v>
      </c>
      <c r="Q359" t="n">
        <v>0</v>
      </c>
      <c r="R359" s="2" t="inlineStr"/>
    </row>
    <row r="360" ht="15" customHeight="1">
      <c r="A360" t="inlineStr">
        <is>
          <t>A 18724-2022</t>
        </is>
      </c>
      <c r="B360" s="1" t="n">
        <v>44687</v>
      </c>
      <c r="C360" s="1" t="n">
        <v>45802</v>
      </c>
      <c r="D360" t="inlineStr">
        <is>
          <t>DALARNAS LÄN</t>
        </is>
      </c>
      <c r="E360" t="inlineStr">
        <is>
          <t>LUDVIKA</t>
        </is>
      </c>
      <c r="G360" t="n">
        <v>4.3</v>
      </c>
      <c r="H360" t="n">
        <v>0</v>
      </c>
      <c r="I360" t="n">
        <v>0</v>
      </c>
      <c r="J360" t="n">
        <v>0</v>
      </c>
      <c r="K360" t="n">
        <v>0</v>
      </c>
      <c r="L360" t="n">
        <v>0</v>
      </c>
      <c r="M360" t="n">
        <v>0</v>
      </c>
      <c r="N360" t="n">
        <v>0</v>
      </c>
      <c r="O360" t="n">
        <v>0</v>
      </c>
      <c r="P360" t="n">
        <v>0</v>
      </c>
      <c r="Q360" t="n">
        <v>0</v>
      </c>
      <c r="R360" s="2" t="inlineStr"/>
    </row>
    <row r="361" ht="15" customHeight="1">
      <c r="A361" t="inlineStr">
        <is>
          <t>A 20656-2022</t>
        </is>
      </c>
      <c r="B361" s="1" t="n">
        <v>44700</v>
      </c>
      <c r="C361" s="1" t="n">
        <v>45802</v>
      </c>
      <c r="D361" t="inlineStr">
        <is>
          <t>DALARNAS LÄN</t>
        </is>
      </c>
      <c r="E361" t="inlineStr">
        <is>
          <t>LUDVIKA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20852-2022</t>
        </is>
      </c>
      <c r="B362" s="1" t="n">
        <v>44701</v>
      </c>
      <c r="C362" s="1" t="n">
        <v>45802</v>
      </c>
      <c r="D362" t="inlineStr">
        <is>
          <t>DALARNAS LÄN</t>
        </is>
      </c>
      <c r="E362" t="inlineStr">
        <is>
          <t>LUDVIKA</t>
        </is>
      </c>
      <c r="F362" t="inlineStr">
        <is>
          <t>Bergvik skog väst AB</t>
        </is>
      </c>
      <c r="G362" t="n">
        <v>0.4</v>
      </c>
      <c r="H362" t="n">
        <v>0</v>
      </c>
      <c r="I362" t="n">
        <v>0</v>
      </c>
      <c r="J362" t="n">
        <v>0</v>
      </c>
      <c r="K362" t="n">
        <v>0</v>
      </c>
      <c r="L362" t="n">
        <v>0</v>
      </c>
      <c r="M362" t="n">
        <v>0</v>
      </c>
      <c r="N362" t="n">
        <v>0</v>
      </c>
      <c r="O362" t="n">
        <v>0</v>
      </c>
      <c r="P362" t="n">
        <v>0</v>
      </c>
      <c r="Q362" t="n">
        <v>0</v>
      </c>
      <c r="R362" s="2" t="inlineStr"/>
    </row>
    <row r="363" ht="15" customHeight="1">
      <c r="A363" t="inlineStr">
        <is>
          <t>A 21466-2022</t>
        </is>
      </c>
      <c r="B363" s="1" t="n">
        <v>44706</v>
      </c>
      <c r="C363" s="1" t="n">
        <v>45802</v>
      </c>
      <c r="D363" t="inlineStr">
        <is>
          <t>DALARNAS LÄN</t>
        </is>
      </c>
      <c r="E363" t="inlineStr">
        <is>
          <t>LUDVIKA</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21502-2022</t>
        </is>
      </c>
      <c r="B364" s="1" t="n">
        <v>44706</v>
      </c>
      <c r="C364" s="1" t="n">
        <v>45802</v>
      </c>
      <c r="D364" t="inlineStr">
        <is>
          <t>DALARNAS LÄN</t>
        </is>
      </c>
      <c r="E364" t="inlineStr">
        <is>
          <t>LUDVIKA</t>
        </is>
      </c>
      <c r="F364" t="inlineStr">
        <is>
          <t>Bergvik skog väst AB</t>
        </is>
      </c>
      <c r="G364" t="n">
        <v>5.5</v>
      </c>
      <c r="H364" t="n">
        <v>0</v>
      </c>
      <c r="I364" t="n">
        <v>0</v>
      </c>
      <c r="J364" t="n">
        <v>0</v>
      </c>
      <c r="K364" t="n">
        <v>0</v>
      </c>
      <c r="L364" t="n">
        <v>0</v>
      </c>
      <c r="M364" t="n">
        <v>0</v>
      </c>
      <c r="N364" t="n">
        <v>0</v>
      </c>
      <c r="O364" t="n">
        <v>0</v>
      </c>
      <c r="P364" t="n">
        <v>0</v>
      </c>
      <c r="Q364" t="n">
        <v>0</v>
      </c>
      <c r="R364" s="2" t="inlineStr"/>
    </row>
    <row r="365" ht="15" customHeight="1">
      <c r="A365" t="inlineStr">
        <is>
          <t>A 21741-2022</t>
        </is>
      </c>
      <c r="B365" s="1" t="n">
        <v>44708</v>
      </c>
      <c r="C365" s="1" t="n">
        <v>45802</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22000-2022</t>
        </is>
      </c>
      <c r="B366" s="1" t="n">
        <v>44711</v>
      </c>
      <c r="C366" s="1" t="n">
        <v>45802</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22920-2022</t>
        </is>
      </c>
      <c r="B367" s="1" t="n">
        <v>44715</v>
      </c>
      <c r="C367" s="1" t="n">
        <v>45802</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23258-2022</t>
        </is>
      </c>
      <c r="B368" s="1" t="n">
        <v>44720</v>
      </c>
      <c r="C368" s="1" t="n">
        <v>45802</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23345-2022</t>
        </is>
      </c>
      <c r="B369" s="1" t="n">
        <v>44720</v>
      </c>
      <c r="C369" s="1" t="n">
        <v>45802</v>
      </c>
      <c r="D369" t="inlineStr">
        <is>
          <t>DALARNAS LÄN</t>
        </is>
      </c>
      <c r="E369" t="inlineStr">
        <is>
          <t>LUDVIKA</t>
        </is>
      </c>
      <c r="G369" t="n">
        <v>0.5</v>
      </c>
      <c r="H369" t="n">
        <v>0</v>
      </c>
      <c r="I369" t="n">
        <v>0</v>
      </c>
      <c r="J369" t="n">
        <v>0</v>
      </c>
      <c r="K369" t="n">
        <v>0</v>
      </c>
      <c r="L369" t="n">
        <v>0</v>
      </c>
      <c r="M369" t="n">
        <v>0</v>
      </c>
      <c r="N369" t="n">
        <v>0</v>
      </c>
      <c r="O369" t="n">
        <v>0</v>
      </c>
      <c r="P369" t="n">
        <v>0</v>
      </c>
      <c r="Q369" t="n">
        <v>0</v>
      </c>
      <c r="R369" s="2" t="inlineStr"/>
    </row>
    <row r="370" ht="15" customHeight="1">
      <c r="A370" t="inlineStr">
        <is>
          <t>A 24160-2022</t>
        </is>
      </c>
      <c r="B370" s="1" t="n">
        <v>44725</v>
      </c>
      <c r="C370" s="1" t="n">
        <v>45802</v>
      </c>
      <c r="D370" t="inlineStr">
        <is>
          <t>DALARNAS LÄN</t>
        </is>
      </c>
      <c r="E370" t="inlineStr">
        <is>
          <t>LUDVIKA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25095-2022</t>
        </is>
      </c>
      <c r="B371" s="1" t="n">
        <v>44729</v>
      </c>
      <c r="C371" s="1" t="n">
        <v>45802</v>
      </c>
      <c r="D371" t="inlineStr">
        <is>
          <t>DALARNAS LÄN</t>
        </is>
      </c>
      <c r="E371" t="inlineStr">
        <is>
          <t>LUDVIKA</t>
        </is>
      </c>
      <c r="F371" t="inlineStr">
        <is>
          <t>Bergvik skog väst AB</t>
        </is>
      </c>
      <c r="G371" t="n">
        <v>3.9</v>
      </c>
      <c r="H371" t="n">
        <v>0</v>
      </c>
      <c r="I371" t="n">
        <v>0</v>
      </c>
      <c r="J371" t="n">
        <v>0</v>
      </c>
      <c r="K371" t="n">
        <v>0</v>
      </c>
      <c r="L371" t="n">
        <v>0</v>
      </c>
      <c r="M371" t="n">
        <v>0</v>
      </c>
      <c r="N371" t="n">
        <v>0</v>
      </c>
      <c r="O371" t="n">
        <v>0</v>
      </c>
      <c r="P371" t="n">
        <v>0</v>
      </c>
      <c r="Q371" t="n">
        <v>0</v>
      </c>
      <c r="R371" s="2" t="inlineStr"/>
    </row>
    <row r="372" ht="15" customHeight="1">
      <c r="A372" t="inlineStr">
        <is>
          <t>A 25243-2022</t>
        </is>
      </c>
      <c r="B372" s="1" t="n">
        <v>44730</v>
      </c>
      <c r="C372" s="1" t="n">
        <v>45802</v>
      </c>
      <c r="D372" t="inlineStr">
        <is>
          <t>DALARNAS LÄN</t>
        </is>
      </c>
      <c r="E372" t="inlineStr">
        <is>
          <t>LUDVIKA</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25272-2022</t>
        </is>
      </c>
      <c r="B373" s="1" t="n">
        <v>44730</v>
      </c>
      <c r="C373" s="1" t="n">
        <v>45802</v>
      </c>
      <c r="D373" t="inlineStr">
        <is>
          <t>DALARNAS LÄN</t>
        </is>
      </c>
      <c r="E373" t="inlineStr">
        <is>
          <t>LUDVIKA</t>
        </is>
      </c>
      <c r="F373" t="inlineStr">
        <is>
          <t>Bergvik skog väst AB</t>
        </is>
      </c>
      <c r="G373" t="n">
        <v>9.6</v>
      </c>
      <c r="H373" t="n">
        <v>0</v>
      </c>
      <c r="I373" t="n">
        <v>0</v>
      </c>
      <c r="J373" t="n">
        <v>0</v>
      </c>
      <c r="K373" t="n">
        <v>0</v>
      </c>
      <c r="L373" t="n">
        <v>0</v>
      </c>
      <c r="M373" t="n">
        <v>0</v>
      </c>
      <c r="N373" t="n">
        <v>0</v>
      </c>
      <c r="O373" t="n">
        <v>0</v>
      </c>
      <c r="P373" t="n">
        <v>0</v>
      </c>
      <c r="Q373" t="n">
        <v>0</v>
      </c>
      <c r="R373" s="2" t="inlineStr"/>
    </row>
    <row r="374" ht="15" customHeight="1">
      <c r="A374" t="inlineStr">
        <is>
          <t>A 25274-2022</t>
        </is>
      </c>
      <c r="B374" s="1" t="n">
        <v>44730</v>
      </c>
      <c r="C374" s="1" t="n">
        <v>45802</v>
      </c>
      <c r="D374" t="inlineStr">
        <is>
          <t>DALARNAS LÄN</t>
        </is>
      </c>
      <c r="E374" t="inlineStr">
        <is>
          <t>LUDVIKA</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25273-2022</t>
        </is>
      </c>
      <c r="B375" s="1" t="n">
        <v>44730</v>
      </c>
      <c r="C375" s="1" t="n">
        <v>45802</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25292-2022</t>
        </is>
      </c>
      <c r="B376" s="1" t="n">
        <v>44731</v>
      </c>
      <c r="C376" s="1" t="n">
        <v>45802</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25296-2022</t>
        </is>
      </c>
      <c r="B377" s="1" t="n">
        <v>44731</v>
      </c>
      <c r="C377" s="1" t="n">
        <v>45802</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25300-2022</t>
        </is>
      </c>
      <c r="B378" s="1" t="n">
        <v>44731</v>
      </c>
      <c r="C378" s="1" t="n">
        <v>45802</v>
      </c>
      <c r="D378" t="inlineStr">
        <is>
          <t>DALARNAS LÄN</t>
        </is>
      </c>
      <c r="E378" t="inlineStr">
        <is>
          <t>LUDVIKA</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25289-2022</t>
        </is>
      </c>
      <c r="B379" s="1" t="n">
        <v>44731</v>
      </c>
      <c r="C379" s="1" t="n">
        <v>45802</v>
      </c>
      <c r="D379" t="inlineStr">
        <is>
          <t>DALARNAS LÄN</t>
        </is>
      </c>
      <c r="E379" t="inlineStr">
        <is>
          <t>LUDVIKA</t>
        </is>
      </c>
      <c r="F379" t="inlineStr">
        <is>
          <t>Bergvik skog väst AB</t>
        </is>
      </c>
      <c r="G379" t="n">
        <v>10.1</v>
      </c>
      <c r="H379" t="n">
        <v>0</v>
      </c>
      <c r="I379" t="n">
        <v>0</v>
      </c>
      <c r="J379" t="n">
        <v>0</v>
      </c>
      <c r="K379" t="n">
        <v>0</v>
      </c>
      <c r="L379" t="n">
        <v>0</v>
      </c>
      <c r="M379" t="n">
        <v>0</v>
      </c>
      <c r="N379" t="n">
        <v>0</v>
      </c>
      <c r="O379" t="n">
        <v>0</v>
      </c>
      <c r="P379" t="n">
        <v>0</v>
      </c>
      <c r="Q379" t="n">
        <v>0</v>
      </c>
      <c r="R379" s="2" t="inlineStr"/>
    </row>
    <row r="380" ht="15" customHeight="1">
      <c r="A380" t="inlineStr">
        <is>
          <t>A 25293-2022</t>
        </is>
      </c>
      <c r="B380" s="1" t="n">
        <v>44731</v>
      </c>
      <c r="C380" s="1" t="n">
        <v>45802</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25297-2022</t>
        </is>
      </c>
      <c r="B381" s="1" t="n">
        <v>44731</v>
      </c>
      <c r="C381" s="1" t="n">
        <v>45802</v>
      </c>
      <c r="D381" t="inlineStr">
        <is>
          <t>DALARNAS LÄN</t>
        </is>
      </c>
      <c r="E381" t="inlineStr">
        <is>
          <t>LUDVIKA</t>
        </is>
      </c>
      <c r="F381" t="inlineStr">
        <is>
          <t>Bergvik skog väst AB</t>
        </is>
      </c>
      <c r="G381" t="n">
        <v>0.4</v>
      </c>
      <c r="H381" t="n">
        <v>0</v>
      </c>
      <c r="I381" t="n">
        <v>0</v>
      </c>
      <c r="J381" t="n">
        <v>0</v>
      </c>
      <c r="K381" t="n">
        <v>0</v>
      </c>
      <c r="L381" t="n">
        <v>0</v>
      </c>
      <c r="M381" t="n">
        <v>0</v>
      </c>
      <c r="N381" t="n">
        <v>0</v>
      </c>
      <c r="O381" t="n">
        <v>0</v>
      </c>
      <c r="P381" t="n">
        <v>0</v>
      </c>
      <c r="Q381" t="n">
        <v>0</v>
      </c>
      <c r="R381" s="2" t="inlineStr"/>
    </row>
    <row r="382" ht="15" customHeight="1">
      <c r="A382" t="inlineStr">
        <is>
          <t>A 25301-2022</t>
        </is>
      </c>
      <c r="B382" s="1" t="n">
        <v>44731</v>
      </c>
      <c r="C382" s="1" t="n">
        <v>45802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25290-2022</t>
        </is>
      </c>
      <c r="B383" s="1" t="n">
        <v>44731</v>
      </c>
      <c r="C383" s="1" t="n">
        <v>45802</v>
      </c>
      <c r="D383" t="inlineStr">
        <is>
          <t>DALARNAS LÄN</t>
        </is>
      </c>
      <c r="E383" t="inlineStr">
        <is>
          <t>LUDVIKA</t>
        </is>
      </c>
      <c r="F383" t="inlineStr">
        <is>
          <t>Bergvik skog väst AB</t>
        </is>
      </c>
      <c r="G383" t="n">
        <v>2.7</v>
      </c>
      <c r="H383" t="n">
        <v>0</v>
      </c>
      <c r="I383" t="n">
        <v>0</v>
      </c>
      <c r="J383" t="n">
        <v>0</v>
      </c>
      <c r="K383" t="n">
        <v>0</v>
      </c>
      <c r="L383" t="n">
        <v>0</v>
      </c>
      <c r="M383" t="n">
        <v>0</v>
      </c>
      <c r="N383" t="n">
        <v>0</v>
      </c>
      <c r="O383" t="n">
        <v>0</v>
      </c>
      <c r="P383" t="n">
        <v>0</v>
      </c>
      <c r="Q383" t="n">
        <v>0</v>
      </c>
      <c r="R383" s="2" t="inlineStr"/>
    </row>
    <row r="384" ht="15" customHeight="1">
      <c r="A384" t="inlineStr">
        <is>
          <t>A 25294-2022</t>
        </is>
      </c>
      <c r="B384" s="1" t="n">
        <v>44730</v>
      </c>
      <c r="C384" s="1" t="n">
        <v>45802</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25298-2022</t>
        </is>
      </c>
      <c r="B385" s="1" t="n">
        <v>44731</v>
      </c>
      <c r="C385" s="1" t="n">
        <v>45802</v>
      </c>
      <c r="D385" t="inlineStr">
        <is>
          <t>DALARNAS LÄN</t>
        </is>
      </c>
      <c r="E385" t="inlineStr">
        <is>
          <t>LUDVIKA</t>
        </is>
      </c>
      <c r="F385" t="inlineStr">
        <is>
          <t>Bergvik skog väst AB</t>
        </is>
      </c>
      <c r="G385" t="n">
        <v>3.1</v>
      </c>
      <c r="H385" t="n">
        <v>0</v>
      </c>
      <c r="I385" t="n">
        <v>0</v>
      </c>
      <c r="J385" t="n">
        <v>0</v>
      </c>
      <c r="K385" t="n">
        <v>0</v>
      </c>
      <c r="L385" t="n">
        <v>0</v>
      </c>
      <c r="M385" t="n">
        <v>0</v>
      </c>
      <c r="N385" t="n">
        <v>0</v>
      </c>
      <c r="O385" t="n">
        <v>0</v>
      </c>
      <c r="P385" t="n">
        <v>0</v>
      </c>
      <c r="Q385" t="n">
        <v>0</v>
      </c>
      <c r="R385" s="2" t="inlineStr"/>
    </row>
    <row r="386" ht="15" customHeight="1">
      <c r="A386" t="inlineStr">
        <is>
          <t>A 25291-2022</t>
        </is>
      </c>
      <c r="B386" s="1" t="n">
        <v>44731</v>
      </c>
      <c r="C386" s="1" t="n">
        <v>45802</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25299-2022</t>
        </is>
      </c>
      <c r="B387" s="1" t="n">
        <v>44731</v>
      </c>
      <c r="C387" s="1" t="n">
        <v>45802</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25328-2022</t>
        </is>
      </c>
      <c r="B388" s="1" t="n">
        <v>44731</v>
      </c>
      <c r="C388" s="1" t="n">
        <v>45802</v>
      </c>
      <c r="D388" t="inlineStr">
        <is>
          <t>DALARNAS LÄN</t>
        </is>
      </c>
      <c r="E388" t="inlineStr">
        <is>
          <t>LUDVIKA</t>
        </is>
      </c>
      <c r="F388" t="inlineStr">
        <is>
          <t>Bergvik skog väst AB</t>
        </is>
      </c>
      <c r="G388" t="n">
        <v>17.2</v>
      </c>
      <c r="H388" t="n">
        <v>0</v>
      </c>
      <c r="I388" t="n">
        <v>0</v>
      </c>
      <c r="J388" t="n">
        <v>0</v>
      </c>
      <c r="K388" t="n">
        <v>0</v>
      </c>
      <c r="L388" t="n">
        <v>0</v>
      </c>
      <c r="M388" t="n">
        <v>0</v>
      </c>
      <c r="N388" t="n">
        <v>0</v>
      </c>
      <c r="O388" t="n">
        <v>0</v>
      </c>
      <c r="P388" t="n">
        <v>0</v>
      </c>
      <c r="Q388" t="n">
        <v>0</v>
      </c>
      <c r="R388" s="2" t="inlineStr"/>
    </row>
    <row r="389" ht="15" customHeight="1">
      <c r="A389" t="inlineStr">
        <is>
          <t>A 25454-2022</t>
        </is>
      </c>
      <c r="B389" s="1" t="n">
        <v>44732</v>
      </c>
      <c r="C389" s="1" t="n">
        <v>45802</v>
      </c>
      <c r="D389" t="inlineStr">
        <is>
          <t>DALARNAS LÄN</t>
        </is>
      </c>
      <c r="E389" t="inlineStr">
        <is>
          <t>LUDVIKA</t>
        </is>
      </c>
      <c r="G389" t="n">
        <v>1.8</v>
      </c>
      <c r="H389" t="n">
        <v>0</v>
      </c>
      <c r="I389" t="n">
        <v>0</v>
      </c>
      <c r="J389" t="n">
        <v>0</v>
      </c>
      <c r="K389" t="n">
        <v>0</v>
      </c>
      <c r="L389" t="n">
        <v>0</v>
      </c>
      <c r="M389" t="n">
        <v>0</v>
      </c>
      <c r="N389" t="n">
        <v>0</v>
      </c>
      <c r="O389" t="n">
        <v>0</v>
      </c>
      <c r="P389" t="n">
        <v>0</v>
      </c>
      <c r="Q389" t="n">
        <v>0</v>
      </c>
      <c r="R389" s="2" t="inlineStr"/>
    </row>
    <row r="390" ht="15" customHeight="1">
      <c r="A390" t="inlineStr">
        <is>
          <t>A 25755-2022</t>
        </is>
      </c>
      <c r="B390" s="1" t="n">
        <v>44733</v>
      </c>
      <c r="C390" s="1" t="n">
        <v>45802</v>
      </c>
      <c r="D390" t="inlineStr">
        <is>
          <t>DALARNAS LÄN</t>
        </is>
      </c>
      <c r="E390" t="inlineStr">
        <is>
          <t>LUDVIKA</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27226-2022</t>
        </is>
      </c>
      <c r="B391" s="1" t="n">
        <v>44741</v>
      </c>
      <c r="C391" s="1" t="n">
        <v>45802</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27738-2022</t>
        </is>
      </c>
      <c r="B392" s="1" t="n">
        <v>44743</v>
      </c>
      <c r="C392" s="1" t="n">
        <v>45802</v>
      </c>
      <c r="D392" t="inlineStr">
        <is>
          <t>DALARNAS LÄN</t>
        </is>
      </c>
      <c r="E392" t="inlineStr">
        <is>
          <t>LUDVIKA</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31273-2022</t>
        </is>
      </c>
      <c r="B393" s="1" t="n">
        <v>44771</v>
      </c>
      <c r="C393" s="1" t="n">
        <v>45802</v>
      </c>
      <c r="D393" t="inlineStr">
        <is>
          <t>DALARNAS LÄN</t>
        </is>
      </c>
      <c r="E393" t="inlineStr">
        <is>
          <t>LUDVIKA</t>
        </is>
      </c>
      <c r="G393" t="n">
        <v>0.5</v>
      </c>
      <c r="H393" t="n">
        <v>0</v>
      </c>
      <c r="I393" t="n">
        <v>0</v>
      </c>
      <c r="J393" t="n">
        <v>0</v>
      </c>
      <c r="K393" t="n">
        <v>0</v>
      </c>
      <c r="L393" t="n">
        <v>0</v>
      </c>
      <c r="M393" t="n">
        <v>0</v>
      </c>
      <c r="N393" t="n">
        <v>0</v>
      </c>
      <c r="O393" t="n">
        <v>0</v>
      </c>
      <c r="P393" t="n">
        <v>0</v>
      </c>
      <c r="Q393" t="n">
        <v>0</v>
      </c>
      <c r="R393" s="2" t="inlineStr"/>
    </row>
    <row r="394" ht="15" customHeight="1">
      <c r="A394" t="inlineStr">
        <is>
          <t>A 31270-2022</t>
        </is>
      </c>
      <c r="B394" s="1" t="n">
        <v>44771</v>
      </c>
      <c r="C394" s="1" t="n">
        <v>45802</v>
      </c>
      <c r="D394" t="inlineStr">
        <is>
          <t>DALARNAS LÄN</t>
        </is>
      </c>
      <c r="E394" t="inlineStr">
        <is>
          <t>LUDVIKA</t>
        </is>
      </c>
      <c r="G394" t="n">
        <v>1.2</v>
      </c>
      <c r="H394" t="n">
        <v>0</v>
      </c>
      <c r="I394" t="n">
        <v>0</v>
      </c>
      <c r="J394" t="n">
        <v>0</v>
      </c>
      <c r="K394" t="n">
        <v>0</v>
      </c>
      <c r="L394" t="n">
        <v>0</v>
      </c>
      <c r="M394" t="n">
        <v>0</v>
      </c>
      <c r="N394" t="n">
        <v>0</v>
      </c>
      <c r="O394" t="n">
        <v>0</v>
      </c>
      <c r="P394" t="n">
        <v>0</v>
      </c>
      <c r="Q394" t="n">
        <v>0</v>
      </c>
      <c r="R394" s="2" t="inlineStr"/>
    </row>
    <row r="395" ht="15" customHeight="1">
      <c r="A395" t="inlineStr">
        <is>
          <t>A 31272-2022</t>
        </is>
      </c>
      <c r="B395" s="1" t="n">
        <v>44771</v>
      </c>
      <c r="C395" s="1" t="n">
        <v>45802</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33108-2022</t>
        </is>
      </c>
      <c r="B396" s="1" t="n">
        <v>44785</v>
      </c>
      <c r="C396" s="1" t="n">
        <v>45802</v>
      </c>
      <c r="D396" t="inlineStr">
        <is>
          <t>DALARNAS LÄN</t>
        </is>
      </c>
      <c r="E396" t="inlineStr">
        <is>
          <t>LUDVIKA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33673-2022</t>
        </is>
      </c>
      <c r="B397" s="1" t="n">
        <v>44789</v>
      </c>
      <c r="C397" s="1" t="n">
        <v>45802</v>
      </c>
      <c r="D397" t="inlineStr">
        <is>
          <t>DALARNAS LÄN</t>
        </is>
      </c>
      <c r="E397" t="inlineStr">
        <is>
          <t>LUDVIKA</t>
        </is>
      </c>
      <c r="G397" t="n">
        <v>1.5</v>
      </c>
      <c r="H397" t="n">
        <v>0</v>
      </c>
      <c r="I397" t="n">
        <v>0</v>
      </c>
      <c r="J397" t="n">
        <v>0</v>
      </c>
      <c r="K397" t="n">
        <v>0</v>
      </c>
      <c r="L397" t="n">
        <v>0</v>
      </c>
      <c r="M397" t="n">
        <v>0</v>
      </c>
      <c r="N397" t="n">
        <v>0</v>
      </c>
      <c r="O397" t="n">
        <v>0</v>
      </c>
      <c r="P397" t="n">
        <v>0</v>
      </c>
      <c r="Q397" t="n">
        <v>0</v>
      </c>
      <c r="R397" s="2" t="inlineStr"/>
    </row>
    <row r="398" ht="15" customHeight="1">
      <c r="A398" t="inlineStr">
        <is>
          <t>A 36770-2022</t>
        </is>
      </c>
      <c r="B398" s="1" t="n">
        <v>44805</v>
      </c>
      <c r="C398" s="1" t="n">
        <v>45802</v>
      </c>
      <c r="D398" t="inlineStr">
        <is>
          <t>DALARNAS LÄN</t>
        </is>
      </c>
      <c r="E398" t="inlineStr">
        <is>
          <t>LUDVIKA</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36852-2022</t>
        </is>
      </c>
      <c r="B399" s="1" t="n">
        <v>44805</v>
      </c>
      <c r="C399" s="1" t="n">
        <v>45802</v>
      </c>
      <c r="D399" t="inlineStr">
        <is>
          <t>DALARNAS LÄN</t>
        </is>
      </c>
      <c r="E399" t="inlineStr">
        <is>
          <t>LUDVIKA</t>
        </is>
      </c>
      <c r="F399" t="inlineStr">
        <is>
          <t>Bergvik skog väst AB</t>
        </is>
      </c>
      <c r="G399" t="n">
        <v>5.7</v>
      </c>
      <c r="H399" t="n">
        <v>0</v>
      </c>
      <c r="I399" t="n">
        <v>0</v>
      </c>
      <c r="J399" t="n">
        <v>0</v>
      </c>
      <c r="K399" t="n">
        <v>0</v>
      </c>
      <c r="L399" t="n">
        <v>0</v>
      </c>
      <c r="M399" t="n">
        <v>0</v>
      </c>
      <c r="N399" t="n">
        <v>0</v>
      </c>
      <c r="O399" t="n">
        <v>0</v>
      </c>
      <c r="P399" t="n">
        <v>0</v>
      </c>
      <c r="Q399" t="n">
        <v>0</v>
      </c>
      <c r="R399" s="2" t="inlineStr"/>
    </row>
    <row r="400" ht="15" customHeight="1">
      <c r="A400" t="inlineStr">
        <is>
          <t>A 37495-2022</t>
        </is>
      </c>
      <c r="B400" s="1" t="n">
        <v>44809</v>
      </c>
      <c r="C400" s="1" t="n">
        <v>45802</v>
      </c>
      <c r="D400" t="inlineStr">
        <is>
          <t>DALARNAS LÄN</t>
        </is>
      </c>
      <c r="E400" t="inlineStr">
        <is>
          <t>LUDVIKA</t>
        </is>
      </c>
      <c r="F400" t="inlineStr">
        <is>
          <t>Naturvårdsverket</t>
        </is>
      </c>
      <c r="G400" t="n">
        <v>3.2</v>
      </c>
      <c r="H400" t="n">
        <v>0</v>
      </c>
      <c r="I400" t="n">
        <v>0</v>
      </c>
      <c r="J400" t="n">
        <v>0</v>
      </c>
      <c r="K400" t="n">
        <v>0</v>
      </c>
      <c r="L400" t="n">
        <v>0</v>
      </c>
      <c r="M400" t="n">
        <v>0</v>
      </c>
      <c r="N400" t="n">
        <v>0</v>
      </c>
      <c r="O400" t="n">
        <v>0</v>
      </c>
      <c r="P400" t="n">
        <v>0</v>
      </c>
      <c r="Q400" t="n">
        <v>0</v>
      </c>
      <c r="R400" s="2" t="inlineStr"/>
    </row>
    <row r="401" ht="15" customHeight="1">
      <c r="A401" t="inlineStr">
        <is>
          <t>A 37479-2022</t>
        </is>
      </c>
      <c r="B401" s="1" t="n">
        <v>44809</v>
      </c>
      <c r="C401" s="1" t="n">
        <v>45802</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38014-2022</t>
        </is>
      </c>
      <c r="B402" s="1" t="n">
        <v>44811</v>
      </c>
      <c r="C402" s="1" t="n">
        <v>45802</v>
      </c>
      <c r="D402" t="inlineStr">
        <is>
          <t>DALARNAS LÄN</t>
        </is>
      </c>
      <c r="E402" t="inlineStr">
        <is>
          <t>LUDVIKA</t>
        </is>
      </c>
      <c r="F402" t="inlineStr">
        <is>
          <t>Naturvårdsverket</t>
        </is>
      </c>
      <c r="G402" t="n">
        <v>1.2</v>
      </c>
      <c r="H402" t="n">
        <v>0</v>
      </c>
      <c r="I402" t="n">
        <v>0</v>
      </c>
      <c r="J402" t="n">
        <v>0</v>
      </c>
      <c r="K402" t="n">
        <v>0</v>
      </c>
      <c r="L402" t="n">
        <v>0</v>
      </c>
      <c r="M402" t="n">
        <v>0</v>
      </c>
      <c r="N402" t="n">
        <v>0</v>
      </c>
      <c r="O402" t="n">
        <v>0</v>
      </c>
      <c r="P402" t="n">
        <v>0</v>
      </c>
      <c r="Q402" t="n">
        <v>0</v>
      </c>
      <c r="R402" s="2" t="inlineStr"/>
    </row>
    <row r="403" ht="15" customHeight="1">
      <c r="A403" t="inlineStr">
        <is>
          <t>A 38565-2022</t>
        </is>
      </c>
      <c r="B403" s="1" t="n">
        <v>44813</v>
      </c>
      <c r="C403" s="1" t="n">
        <v>45802</v>
      </c>
      <c r="D403" t="inlineStr">
        <is>
          <t>DALARNAS LÄN</t>
        </is>
      </c>
      <c r="E403" t="inlineStr">
        <is>
          <t>LUDVIKA</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39090-2022</t>
        </is>
      </c>
      <c r="B404" s="1" t="n">
        <v>44817</v>
      </c>
      <c r="C404" s="1" t="n">
        <v>45802</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39257-2022</t>
        </is>
      </c>
      <c r="B405" s="1" t="n">
        <v>44817</v>
      </c>
      <c r="C405" s="1" t="n">
        <v>45802</v>
      </c>
      <c r="D405" t="inlineStr">
        <is>
          <t>DALARNAS LÄN</t>
        </is>
      </c>
      <c r="E405" t="inlineStr">
        <is>
          <t>LUDVIKA</t>
        </is>
      </c>
      <c r="F405" t="inlineStr">
        <is>
          <t>Bergvik skog väst AB</t>
        </is>
      </c>
      <c r="G405" t="n">
        <v>10</v>
      </c>
      <c r="H405" t="n">
        <v>0</v>
      </c>
      <c r="I405" t="n">
        <v>0</v>
      </c>
      <c r="J405" t="n">
        <v>0</v>
      </c>
      <c r="K405" t="n">
        <v>0</v>
      </c>
      <c r="L405" t="n">
        <v>0</v>
      </c>
      <c r="M405" t="n">
        <v>0</v>
      </c>
      <c r="N405" t="n">
        <v>0</v>
      </c>
      <c r="O405" t="n">
        <v>0</v>
      </c>
      <c r="P405" t="n">
        <v>0</v>
      </c>
      <c r="Q405" t="n">
        <v>0</v>
      </c>
      <c r="R405" s="2" t="inlineStr"/>
    </row>
    <row r="406" ht="15" customHeight="1">
      <c r="A406" t="inlineStr">
        <is>
          <t>A 39761-2022</t>
        </is>
      </c>
      <c r="B406" s="1" t="n">
        <v>44819</v>
      </c>
      <c r="C406" s="1" t="n">
        <v>45802</v>
      </c>
      <c r="D406" t="inlineStr">
        <is>
          <t>DALARNAS LÄN</t>
        </is>
      </c>
      <c r="E406" t="inlineStr">
        <is>
          <t>LUDVIKA</t>
        </is>
      </c>
      <c r="F406" t="inlineStr">
        <is>
          <t>Naturvårdsverket</t>
        </is>
      </c>
      <c r="G406" t="n">
        <v>1</v>
      </c>
      <c r="H406" t="n">
        <v>0</v>
      </c>
      <c r="I406" t="n">
        <v>0</v>
      </c>
      <c r="J406" t="n">
        <v>0</v>
      </c>
      <c r="K406" t="n">
        <v>0</v>
      </c>
      <c r="L406" t="n">
        <v>0</v>
      </c>
      <c r="M406" t="n">
        <v>0</v>
      </c>
      <c r="N406" t="n">
        <v>0</v>
      </c>
      <c r="O406" t="n">
        <v>0</v>
      </c>
      <c r="P406" t="n">
        <v>0</v>
      </c>
      <c r="Q406" t="n">
        <v>0</v>
      </c>
      <c r="R406" s="2" t="inlineStr"/>
    </row>
    <row r="407" ht="15" customHeight="1">
      <c r="A407" t="inlineStr">
        <is>
          <t>A 40151-2022</t>
        </is>
      </c>
      <c r="B407" s="1" t="n">
        <v>44820</v>
      </c>
      <c r="C407" s="1" t="n">
        <v>45802</v>
      </c>
      <c r="D407" t="inlineStr">
        <is>
          <t>DALARNAS LÄN</t>
        </is>
      </c>
      <c r="E407" t="inlineStr">
        <is>
          <t>LUDVIKA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40137-2022</t>
        </is>
      </c>
      <c r="B408" s="1" t="n">
        <v>44820</v>
      </c>
      <c r="C408" s="1" t="n">
        <v>45802</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40142-2022</t>
        </is>
      </c>
      <c r="B409" s="1" t="n">
        <v>44820</v>
      </c>
      <c r="C409" s="1" t="n">
        <v>45802</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41090-2022</t>
        </is>
      </c>
      <c r="B410" s="1" t="n">
        <v>44825</v>
      </c>
      <c r="C410" s="1" t="n">
        <v>45802</v>
      </c>
      <c r="D410" t="inlineStr">
        <is>
          <t>DALARNAS LÄN</t>
        </is>
      </c>
      <c r="E410" t="inlineStr">
        <is>
          <t>LUDVIKA</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41158-2022</t>
        </is>
      </c>
      <c r="B411" s="1" t="n">
        <v>44825</v>
      </c>
      <c r="C411" s="1" t="n">
        <v>45802</v>
      </c>
      <c r="D411" t="inlineStr">
        <is>
          <t>DALARNAS LÄN</t>
        </is>
      </c>
      <c r="E411" t="inlineStr">
        <is>
          <t>LUDVIKA</t>
        </is>
      </c>
      <c r="G411" t="n">
        <v>2.1</v>
      </c>
      <c r="H411" t="n">
        <v>0</v>
      </c>
      <c r="I411" t="n">
        <v>0</v>
      </c>
      <c r="J411" t="n">
        <v>0</v>
      </c>
      <c r="K411" t="n">
        <v>0</v>
      </c>
      <c r="L411" t="n">
        <v>0</v>
      </c>
      <c r="M411" t="n">
        <v>0</v>
      </c>
      <c r="N411" t="n">
        <v>0</v>
      </c>
      <c r="O411" t="n">
        <v>0</v>
      </c>
      <c r="P411" t="n">
        <v>0</v>
      </c>
      <c r="Q411" t="n">
        <v>0</v>
      </c>
      <c r="R411" s="2" t="inlineStr"/>
    </row>
    <row r="412" ht="15" customHeight="1">
      <c r="A412" t="inlineStr">
        <is>
          <t>A 41123-2022</t>
        </is>
      </c>
      <c r="B412" s="1" t="n">
        <v>44825</v>
      </c>
      <c r="C412" s="1" t="n">
        <v>45802</v>
      </c>
      <c r="D412" t="inlineStr">
        <is>
          <t>DALARNAS LÄN</t>
        </is>
      </c>
      <c r="E412" t="inlineStr">
        <is>
          <t>LUDVIKA</t>
        </is>
      </c>
      <c r="F412" t="inlineStr">
        <is>
          <t>Naturvårdsverket</t>
        </is>
      </c>
      <c r="G412" t="n">
        <v>1</v>
      </c>
      <c r="H412" t="n">
        <v>0</v>
      </c>
      <c r="I412" t="n">
        <v>0</v>
      </c>
      <c r="J412" t="n">
        <v>0</v>
      </c>
      <c r="K412" t="n">
        <v>0</v>
      </c>
      <c r="L412" t="n">
        <v>0</v>
      </c>
      <c r="M412" t="n">
        <v>0</v>
      </c>
      <c r="N412" t="n">
        <v>0</v>
      </c>
      <c r="O412" t="n">
        <v>0</v>
      </c>
      <c r="P412" t="n">
        <v>0</v>
      </c>
      <c r="Q412" t="n">
        <v>0</v>
      </c>
      <c r="R412" s="2" t="inlineStr"/>
    </row>
    <row r="413" ht="15" customHeight="1">
      <c r="A413" t="inlineStr">
        <is>
          <t>A 41400-2022</t>
        </is>
      </c>
      <c r="B413" s="1" t="n">
        <v>44826</v>
      </c>
      <c r="C413" s="1" t="n">
        <v>45802</v>
      </c>
      <c r="D413" t="inlineStr">
        <is>
          <t>DALARNAS LÄN</t>
        </is>
      </c>
      <c r="E413" t="inlineStr">
        <is>
          <t>LUDVIKA</t>
        </is>
      </c>
      <c r="F413" t="inlineStr">
        <is>
          <t>Bergvik skog väst AB</t>
        </is>
      </c>
      <c r="G413" t="n">
        <v>3.5</v>
      </c>
      <c r="H413" t="n">
        <v>0</v>
      </c>
      <c r="I413" t="n">
        <v>0</v>
      </c>
      <c r="J413" t="n">
        <v>0</v>
      </c>
      <c r="K413" t="n">
        <v>0</v>
      </c>
      <c r="L413" t="n">
        <v>0</v>
      </c>
      <c r="M413" t="n">
        <v>0</v>
      </c>
      <c r="N413" t="n">
        <v>0</v>
      </c>
      <c r="O413" t="n">
        <v>0</v>
      </c>
      <c r="P413" t="n">
        <v>0</v>
      </c>
      <c r="Q413" t="n">
        <v>0</v>
      </c>
      <c r="R413" s="2" t="inlineStr"/>
    </row>
    <row r="414" ht="15" customHeight="1">
      <c r="A414" t="inlineStr">
        <is>
          <t>A 41328-2022</t>
        </is>
      </c>
      <c r="B414" s="1" t="n">
        <v>44826</v>
      </c>
      <c r="C414" s="1" t="n">
        <v>45802</v>
      </c>
      <c r="D414" t="inlineStr">
        <is>
          <t>DALARNAS LÄN</t>
        </is>
      </c>
      <c r="E414" t="inlineStr">
        <is>
          <t>LUDVIKA</t>
        </is>
      </c>
      <c r="F414" t="inlineStr">
        <is>
          <t>Bergvik skog väst AB</t>
        </is>
      </c>
      <c r="G414" t="n">
        <v>6.1</v>
      </c>
      <c r="H414" t="n">
        <v>0</v>
      </c>
      <c r="I414" t="n">
        <v>0</v>
      </c>
      <c r="J414" t="n">
        <v>0</v>
      </c>
      <c r="K414" t="n">
        <v>0</v>
      </c>
      <c r="L414" t="n">
        <v>0</v>
      </c>
      <c r="M414" t="n">
        <v>0</v>
      </c>
      <c r="N414" t="n">
        <v>0</v>
      </c>
      <c r="O414" t="n">
        <v>0</v>
      </c>
      <c r="P414" t="n">
        <v>0</v>
      </c>
      <c r="Q414" t="n">
        <v>0</v>
      </c>
      <c r="R414" s="2" t="inlineStr"/>
    </row>
    <row r="415" ht="15" customHeight="1">
      <c r="A415" t="inlineStr">
        <is>
          <t>A 41712-2022</t>
        </is>
      </c>
      <c r="B415" s="1" t="n">
        <v>44827</v>
      </c>
      <c r="C415" s="1" t="n">
        <v>45802</v>
      </c>
      <c r="D415" t="inlineStr">
        <is>
          <t>DALARNAS LÄN</t>
        </is>
      </c>
      <c r="E415" t="inlineStr">
        <is>
          <t>LUDVIKA</t>
        </is>
      </c>
      <c r="G415" t="n">
        <v>1.5</v>
      </c>
      <c r="H415" t="n">
        <v>0</v>
      </c>
      <c r="I415" t="n">
        <v>0</v>
      </c>
      <c r="J415" t="n">
        <v>0</v>
      </c>
      <c r="K415" t="n">
        <v>0</v>
      </c>
      <c r="L415" t="n">
        <v>0</v>
      </c>
      <c r="M415" t="n">
        <v>0</v>
      </c>
      <c r="N415" t="n">
        <v>0</v>
      </c>
      <c r="O415" t="n">
        <v>0</v>
      </c>
      <c r="P415" t="n">
        <v>0</v>
      </c>
      <c r="Q415" t="n">
        <v>0</v>
      </c>
      <c r="R415" s="2" t="inlineStr"/>
    </row>
    <row r="416" ht="15" customHeight="1">
      <c r="A416" t="inlineStr">
        <is>
          <t>A 41594-2022</t>
        </is>
      </c>
      <c r="B416" s="1" t="n">
        <v>44827</v>
      </c>
      <c r="C416" s="1" t="n">
        <v>45802</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41796-2022</t>
        </is>
      </c>
      <c r="B417" s="1" t="n">
        <v>44827</v>
      </c>
      <c r="C417" s="1" t="n">
        <v>45802</v>
      </c>
      <c r="D417" t="inlineStr">
        <is>
          <t>DALARNAS LÄN</t>
        </is>
      </c>
      <c r="E417" t="inlineStr">
        <is>
          <t>LUDVIKA</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41797-2022</t>
        </is>
      </c>
      <c r="B418" s="1" t="n">
        <v>44827</v>
      </c>
      <c r="C418" s="1" t="n">
        <v>45802</v>
      </c>
      <c r="D418" t="inlineStr">
        <is>
          <t>DALARNAS LÄN</t>
        </is>
      </c>
      <c r="E418" t="inlineStr">
        <is>
          <t>LUDVIKA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42140-2022</t>
        </is>
      </c>
      <c r="B419" s="1" t="n">
        <v>44830</v>
      </c>
      <c r="C419" s="1" t="n">
        <v>45802</v>
      </c>
      <c r="D419" t="inlineStr">
        <is>
          <t>DALARNAS LÄN</t>
        </is>
      </c>
      <c r="E419" t="inlineStr">
        <is>
          <t>LUDVIKA</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42329-2022</t>
        </is>
      </c>
      <c r="B420" s="1" t="n">
        <v>44831</v>
      </c>
      <c r="C420" s="1" t="n">
        <v>45802</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42440-2022</t>
        </is>
      </c>
      <c r="B421" s="1" t="n">
        <v>44831</v>
      </c>
      <c r="C421" s="1" t="n">
        <v>45802</v>
      </c>
      <c r="D421" t="inlineStr">
        <is>
          <t>DALARNAS LÄN</t>
        </is>
      </c>
      <c r="E421" t="inlineStr">
        <is>
          <t>LUDVIKA</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42572-2022</t>
        </is>
      </c>
      <c r="B422" s="1" t="n">
        <v>44831</v>
      </c>
      <c r="C422" s="1" t="n">
        <v>45802</v>
      </c>
      <c r="D422" t="inlineStr">
        <is>
          <t>DALARNAS LÄN</t>
        </is>
      </c>
      <c r="E422" t="inlineStr">
        <is>
          <t>LUDVIKA</t>
        </is>
      </c>
      <c r="F422" t="inlineStr">
        <is>
          <t>Bergvik skog väst AB</t>
        </is>
      </c>
      <c r="G422" t="n">
        <v>9.1</v>
      </c>
      <c r="H422" t="n">
        <v>0</v>
      </c>
      <c r="I422" t="n">
        <v>0</v>
      </c>
      <c r="J422" t="n">
        <v>0</v>
      </c>
      <c r="K422" t="n">
        <v>0</v>
      </c>
      <c r="L422" t="n">
        <v>0</v>
      </c>
      <c r="M422" t="n">
        <v>0</v>
      </c>
      <c r="N422" t="n">
        <v>0</v>
      </c>
      <c r="O422" t="n">
        <v>0</v>
      </c>
      <c r="P422" t="n">
        <v>0</v>
      </c>
      <c r="Q422" t="n">
        <v>0</v>
      </c>
      <c r="R422" s="2" t="inlineStr"/>
    </row>
    <row r="423" ht="15" customHeight="1">
      <c r="A423" t="inlineStr">
        <is>
          <t>A 42709-2022</t>
        </is>
      </c>
      <c r="B423" s="1" t="n">
        <v>44832</v>
      </c>
      <c r="C423" s="1" t="n">
        <v>45802</v>
      </c>
      <c r="D423" t="inlineStr">
        <is>
          <t>DALARNAS LÄN</t>
        </is>
      </c>
      <c r="E423" t="inlineStr">
        <is>
          <t>LUDVIKA</t>
        </is>
      </c>
      <c r="F423" t="inlineStr">
        <is>
          <t>Naturvårdsverket</t>
        </is>
      </c>
      <c r="G423" t="n">
        <v>4.5</v>
      </c>
      <c r="H423" t="n">
        <v>0</v>
      </c>
      <c r="I423" t="n">
        <v>0</v>
      </c>
      <c r="J423" t="n">
        <v>0</v>
      </c>
      <c r="K423" t="n">
        <v>0</v>
      </c>
      <c r="L423" t="n">
        <v>0</v>
      </c>
      <c r="M423" t="n">
        <v>0</v>
      </c>
      <c r="N423" t="n">
        <v>0</v>
      </c>
      <c r="O423" t="n">
        <v>0</v>
      </c>
      <c r="P423" t="n">
        <v>0</v>
      </c>
      <c r="Q423" t="n">
        <v>0</v>
      </c>
      <c r="R423" s="2" t="inlineStr"/>
    </row>
    <row r="424" ht="15" customHeight="1">
      <c r="A424" t="inlineStr">
        <is>
          <t>A 43008-2022</t>
        </is>
      </c>
      <c r="B424" s="1" t="n">
        <v>44833</v>
      </c>
      <c r="C424" s="1" t="n">
        <v>45802</v>
      </c>
      <c r="D424" t="inlineStr">
        <is>
          <t>DALARNAS LÄN</t>
        </is>
      </c>
      <c r="E424" t="inlineStr">
        <is>
          <t>LUDVIKA</t>
        </is>
      </c>
      <c r="G424" t="n">
        <v>0.8</v>
      </c>
      <c r="H424" t="n">
        <v>0</v>
      </c>
      <c r="I424" t="n">
        <v>0</v>
      </c>
      <c r="J424" t="n">
        <v>0</v>
      </c>
      <c r="K424" t="n">
        <v>0</v>
      </c>
      <c r="L424" t="n">
        <v>0</v>
      </c>
      <c r="M424" t="n">
        <v>0</v>
      </c>
      <c r="N424" t="n">
        <v>0</v>
      </c>
      <c r="O424" t="n">
        <v>0</v>
      </c>
      <c r="P424" t="n">
        <v>0</v>
      </c>
      <c r="Q424" t="n">
        <v>0</v>
      </c>
      <c r="R424" s="2" t="inlineStr"/>
    </row>
    <row r="425" ht="15" customHeight="1">
      <c r="A425" t="inlineStr">
        <is>
          <t>A 43047-2022</t>
        </is>
      </c>
      <c r="B425" s="1" t="n">
        <v>44833</v>
      </c>
      <c r="C425" s="1" t="n">
        <v>45802</v>
      </c>
      <c r="D425" t="inlineStr">
        <is>
          <t>DALARNAS LÄN</t>
        </is>
      </c>
      <c r="E425" t="inlineStr">
        <is>
          <t>LUDVIKA</t>
        </is>
      </c>
      <c r="F425" t="inlineStr">
        <is>
          <t>Bergvik skog väst AB</t>
        </is>
      </c>
      <c r="G425" t="n">
        <v>9.5</v>
      </c>
      <c r="H425" t="n">
        <v>0</v>
      </c>
      <c r="I425" t="n">
        <v>0</v>
      </c>
      <c r="J425" t="n">
        <v>0</v>
      </c>
      <c r="K425" t="n">
        <v>0</v>
      </c>
      <c r="L425" t="n">
        <v>0</v>
      </c>
      <c r="M425" t="n">
        <v>0</v>
      </c>
      <c r="N425" t="n">
        <v>0</v>
      </c>
      <c r="O425" t="n">
        <v>0</v>
      </c>
      <c r="P425" t="n">
        <v>0</v>
      </c>
      <c r="Q425" t="n">
        <v>0</v>
      </c>
      <c r="R425" s="2" t="inlineStr"/>
    </row>
    <row r="426" ht="15" customHeight="1">
      <c r="A426" t="inlineStr">
        <is>
          <t>A 45060-2022</t>
        </is>
      </c>
      <c r="B426" s="1" t="n">
        <v>44841</v>
      </c>
      <c r="C426" s="1" t="n">
        <v>45802</v>
      </c>
      <c r="D426" t="inlineStr">
        <is>
          <t>DALARNAS LÄN</t>
        </is>
      </c>
      <c r="E426" t="inlineStr">
        <is>
          <t>LUDVIKA</t>
        </is>
      </c>
      <c r="G426" t="n">
        <v>1.1</v>
      </c>
      <c r="H426" t="n">
        <v>0</v>
      </c>
      <c r="I426" t="n">
        <v>0</v>
      </c>
      <c r="J426" t="n">
        <v>0</v>
      </c>
      <c r="K426" t="n">
        <v>0</v>
      </c>
      <c r="L426" t="n">
        <v>0</v>
      </c>
      <c r="M426" t="n">
        <v>0</v>
      </c>
      <c r="N426" t="n">
        <v>0</v>
      </c>
      <c r="O426" t="n">
        <v>0</v>
      </c>
      <c r="P426" t="n">
        <v>0</v>
      </c>
      <c r="Q426" t="n">
        <v>0</v>
      </c>
      <c r="R426" s="2" t="inlineStr"/>
    </row>
    <row r="427" ht="15" customHeight="1">
      <c r="A427" t="inlineStr">
        <is>
          <t>A 45235-2022</t>
        </is>
      </c>
      <c r="B427" s="1" t="n">
        <v>44844</v>
      </c>
      <c r="C427" s="1" t="n">
        <v>45802</v>
      </c>
      <c r="D427" t="inlineStr">
        <is>
          <t>DALARNAS LÄN</t>
        </is>
      </c>
      <c r="E427" t="inlineStr">
        <is>
          <t>LUDVIKA</t>
        </is>
      </c>
      <c r="F427" t="inlineStr">
        <is>
          <t>Naturvårdsverket</t>
        </is>
      </c>
      <c r="G427" t="n">
        <v>4.1</v>
      </c>
      <c r="H427" t="n">
        <v>0</v>
      </c>
      <c r="I427" t="n">
        <v>0</v>
      </c>
      <c r="J427" t="n">
        <v>0</v>
      </c>
      <c r="K427" t="n">
        <v>0</v>
      </c>
      <c r="L427" t="n">
        <v>0</v>
      </c>
      <c r="M427" t="n">
        <v>0</v>
      </c>
      <c r="N427" t="n">
        <v>0</v>
      </c>
      <c r="O427" t="n">
        <v>0</v>
      </c>
      <c r="P427" t="n">
        <v>0</v>
      </c>
      <c r="Q427" t="n">
        <v>0</v>
      </c>
      <c r="R427" s="2" t="inlineStr"/>
    </row>
    <row r="428" ht="15" customHeight="1">
      <c r="A428" t="inlineStr">
        <is>
          <t>A 45179-2022</t>
        </is>
      </c>
      <c r="B428" s="1" t="n">
        <v>44844</v>
      </c>
      <c r="C428" s="1" t="n">
        <v>45802</v>
      </c>
      <c r="D428" t="inlineStr">
        <is>
          <t>DALARNAS LÄN</t>
        </is>
      </c>
      <c r="E428" t="inlineStr">
        <is>
          <t>LUDVIKA</t>
        </is>
      </c>
      <c r="F428" t="inlineStr">
        <is>
          <t>Naturvårdsverket</t>
        </is>
      </c>
      <c r="G428" t="n">
        <v>4.3</v>
      </c>
      <c r="H428" t="n">
        <v>0</v>
      </c>
      <c r="I428" t="n">
        <v>0</v>
      </c>
      <c r="J428" t="n">
        <v>0</v>
      </c>
      <c r="K428" t="n">
        <v>0</v>
      </c>
      <c r="L428" t="n">
        <v>0</v>
      </c>
      <c r="M428" t="n">
        <v>0</v>
      </c>
      <c r="N428" t="n">
        <v>0</v>
      </c>
      <c r="O428" t="n">
        <v>0</v>
      </c>
      <c r="P428" t="n">
        <v>0</v>
      </c>
      <c r="Q428" t="n">
        <v>0</v>
      </c>
      <c r="R428" s="2" t="inlineStr"/>
    </row>
    <row r="429" ht="15" customHeight="1">
      <c r="A429" t="inlineStr">
        <is>
          <t>A 45230-2022</t>
        </is>
      </c>
      <c r="B429" s="1" t="n">
        <v>44844</v>
      </c>
      <c r="C429" s="1" t="n">
        <v>45802</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45361-2022</t>
        </is>
      </c>
      <c r="B430" s="1" t="n">
        <v>44844</v>
      </c>
      <c r="C430" s="1" t="n">
        <v>45802</v>
      </c>
      <c r="D430" t="inlineStr">
        <is>
          <t>DALARNAS LÄN</t>
        </is>
      </c>
      <c r="E430" t="inlineStr">
        <is>
          <t>LUDVIKA</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45458-2022</t>
        </is>
      </c>
      <c r="B431" s="1" t="n">
        <v>44845</v>
      </c>
      <c r="C431" s="1" t="n">
        <v>45802</v>
      </c>
      <c r="D431" t="inlineStr">
        <is>
          <t>DALARNAS LÄN</t>
        </is>
      </c>
      <c r="E431" t="inlineStr">
        <is>
          <t>LUDVIKA</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46878-2022</t>
        </is>
      </c>
      <c r="B432" s="1" t="n">
        <v>44848</v>
      </c>
      <c r="C432" s="1" t="n">
        <v>45802</v>
      </c>
      <c r="D432" t="inlineStr">
        <is>
          <t>DALARNAS LÄN</t>
        </is>
      </c>
      <c r="E432" t="inlineStr">
        <is>
          <t>LUDVIKA</t>
        </is>
      </c>
      <c r="G432" t="n">
        <v>4</v>
      </c>
      <c r="H432" t="n">
        <v>0</v>
      </c>
      <c r="I432" t="n">
        <v>0</v>
      </c>
      <c r="J432" t="n">
        <v>0</v>
      </c>
      <c r="K432" t="n">
        <v>0</v>
      </c>
      <c r="L432" t="n">
        <v>0</v>
      </c>
      <c r="M432" t="n">
        <v>0</v>
      </c>
      <c r="N432" t="n">
        <v>0</v>
      </c>
      <c r="O432" t="n">
        <v>0</v>
      </c>
      <c r="P432" t="n">
        <v>0</v>
      </c>
      <c r="Q432" t="n">
        <v>0</v>
      </c>
      <c r="R432" s="2" t="inlineStr"/>
    </row>
    <row r="433" ht="15" customHeight="1">
      <c r="A433" t="inlineStr">
        <is>
          <t>A 46680-2022</t>
        </is>
      </c>
      <c r="B433" s="1" t="n">
        <v>44851</v>
      </c>
      <c r="C433" s="1" t="n">
        <v>45802</v>
      </c>
      <c r="D433" t="inlineStr">
        <is>
          <t>DALARNAS LÄN</t>
        </is>
      </c>
      <c r="E433" t="inlineStr">
        <is>
          <t>LUDVIKA</t>
        </is>
      </c>
      <c r="G433" t="n">
        <v>2.6</v>
      </c>
      <c r="H433" t="n">
        <v>0</v>
      </c>
      <c r="I433" t="n">
        <v>0</v>
      </c>
      <c r="J433" t="n">
        <v>0</v>
      </c>
      <c r="K433" t="n">
        <v>0</v>
      </c>
      <c r="L433" t="n">
        <v>0</v>
      </c>
      <c r="M433" t="n">
        <v>0</v>
      </c>
      <c r="N433" t="n">
        <v>0</v>
      </c>
      <c r="O433" t="n">
        <v>0</v>
      </c>
      <c r="P433" t="n">
        <v>0</v>
      </c>
      <c r="Q433" t="n">
        <v>0</v>
      </c>
      <c r="R433" s="2" t="inlineStr"/>
    </row>
    <row r="434" ht="15" customHeight="1">
      <c r="A434" t="inlineStr">
        <is>
          <t>A 46905-2022</t>
        </is>
      </c>
      <c r="B434" s="1" t="n">
        <v>44851</v>
      </c>
      <c r="C434" s="1" t="n">
        <v>45802</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47071-2022</t>
        </is>
      </c>
      <c r="B435" s="1" t="n">
        <v>44852</v>
      </c>
      <c r="C435" s="1" t="n">
        <v>45802</v>
      </c>
      <c r="D435" t="inlineStr">
        <is>
          <t>DALARNAS LÄN</t>
        </is>
      </c>
      <c r="E435" t="inlineStr">
        <is>
          <t>LUDVIKA</t>
        </is>
      </c>
      <c r="G435" t="n">
        <v>1.2</v>
      </c>
      <c r="H435" t="n">
        <v>0</v>
      </c>
      <c r="I435" t="n">
        <v>0</v>
      </c>
      <c r="J435" t="n">
        <v>0</v>
      </c>
      <c r="K435" t="n">
        <v>0</v>
      </c>
      <c r="L435" t="n">
        <v>0</v>
      </c>
      <c r="M435" t="n">
        <v>0</v>
      </c>
      <c r="N435" t="n">
        <v>0</v>
      </c>
      <c r="O435" t="n">
        <v>0</v>
      </c>
      <c r="P435" t="n">
        <v>0</v>
      </c>
      <c r="Q435" t="n">
        <v>0</v>
      </c>
      <c r="R435" s="2" t="inlineStr"/>
    </row>
    <row r="436" ht="15" customHeight="1">
      <c r="A436" t="inlineStr">
        <is>
          <t>A 47496-2022</t>
        </is>
      </c>
      <c r="B436" s="1" t="n">
        <v>44853</v>
      </c>
      <c r="C436" s="1" t="n">
        <v>45802</v>
      </c>
      <c r="D436" t="inlineStr">
        <is>
          <t>DALARNAS LÄN</t>
        </is>
      </c>
      <c r="E436" t="inlineStr">
        <is>
          <t>LUDVIKA</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47731-2022</t>
        </is>
      </c>
      <c r="B437" s="1" t="n">
        <v>44854</v>
      </c>
      <c r="C437" s="1" t="n">
        <v>45802</v>
      </c>
      <c r="D437" t="inlineStr">
        <is>
          <t>DALARNAS LÄN</t>
        </is>
      </c>
      <c r="E437" t="inlineStr">
        <is>
          <t>LUDVIKA</t>
        </is>
      </c>
      <c r="F437" t="inlineStr">
        <is>
          <t>Naturvårdsverket</t>
        </is>
      </c>
      <c r="G437" t="n">
        <v>2.1</v>
      </c>
      <c r="H437" t="n">
        <v>0</v>
      </c>
      <c r="I437" t="n">
        <v>0</v>
      </c>
      <c r="J437" t="n">
        <v>0</v>
      </c>
      <c r="K437" t="n">
        <v>0</v>
      </c>
      <c r="L437" t="n">
        <v>0</v>
      </c>
      <c r="M437" t="n">
        <v>0</v>
      </c>
      <c r="N437" t="n">
        <v>0</v>
      </c>
      <c r="O437" t="n">
        <v>0</v>
      </c>
      <c r="P437" t="n">
        <v>0</v>
      </c>
      <c r="Q437" t="n">
        <v>0</v>
      </c>
      <c r="R437" s="2" t="inlineStr"/>
    </row>
    <row r="438" ht="15" customHeight="1">
      <c r="A438" t="inlineStr">
        <is>
          <t>A 48740-2022</t>
        </is>
      </c>
      <c r="B438" s="1" t="n">
        <v>44859</v>
      </c>
      <c r="C438" s="1" t="n">
        <v>45802</v>
      </c>
      <c r="D438" t="inlineStr">
        <is>
          <t>DALARNAS LÄN</t>
        </is>
      </c>
      <c r="E438" t="inlineStr">
        <is>
          <t>LUDVIKA</t>
        </is>
      </c>
      <c r="F438" t="inlineStr">
        <is>
          <t>Bergvik skog väst AB</t>
        </is>
      </c>
      <c r="G438" t="n">
        <v>0.3</v>
      </c>
      <c r="H438" t="n">
        <v>0</v>
      </c>
      <c r="I438" t="n">
        <v>0</v>
      </c>
      <c r="J438" t="n">
        <v>0</v>
      </c>
      <c r="K438" t="n">
        <v>0</v>
      </c>
      <c r="L438" t="n">
        <v>0</v>
      </c>
      <c r="M438" t="n">
        <v>0</v>
      </c>
      <c r="N438" t="n">
        <v>0</v>
      </c>
      <c r="O438" t="n">
        <v>0</v>
      </c>
      <c r="P438" t="n">
        <v>0</v>
      </c>
      <c r="Q438" t="n">
        <v>0</v>
      </c>
      <c r="R438" s="2" t="inlineStr"/>
    </row>
    <row r="439" ht="15" customHeight="1">
      <c r="A439" t="inlineStr">
        <is>
          <t>A 48804-2022</t>
        </is>
      </c>
      <c r="B439" s="1" t="n">
        <v>44859</v>
      </c>
      <c r="C439" s="1" t="n">
        <v>45802</v>
      </c>
      <c r="D439" t="inlineStr">
        <is>
          <t>DALARNAS LÄN</t>
        </is>
      </c>
      <c r="E439" t="inlineStr">
        <is>
          <t>LUDVIKA</t>
        </is>
      </c>
      <c r="F439" t="inlineStr">
        <is>
          <t>Naturvårdsverket</t>
        </is>
      </c>
      <c r="G439" t="n">
        <v>5.1</v>
      </c>
      <c r="H439" t="n">
        <v>0</v>
      </c>
      <c r="I439" t="n">
        <v>0</v>
      </c>
      <c r="J439" t="n">
        <v>0</v>
      </c>
      <c r="K439" t="n">
        <v>0</v>
      </c>
      <c r="L439" t="n">
        <v>0</v>
      </c>
      <c r="M439" t="n">
        <v>0</v>
      </c>
      <c r="N439" t="n">
        <v>0</v>
      </c>
      <c r="O439" t="n">
        <v>0</v>
      </c>
      <c r="P439" t="n">
        <v>0</v>
      </c>
      <c r="Q439" t="n">
        <v>0</v>
      </c>
      <c r="R439" s="2" t="inlineStr"/>
    </row>
    <row r="440" ht="15" customHeight="1">
      <c r="A440" t="inlineStr">
        <is>
          <t>A 48642-2022</t>
        </is>
      </c>
      <c r="B440" s="1" t="n">
        <v>44859</v>
      </c>
      <c r="C440" s="1" t="n">
        <v>45802</v>
      </c>
      <c r="D440" t="inlineStr">
        <is>
          <t>DALARNAS LÄN</t>
        </is>
      </c>
      <c r="E440" t="inlineStr">
        <is>
          <t>LUDVIKA</t>
        </is>
      </c>
      <c r="F440" t="inlineStr">
        <is>
          <t>Naturvårdsverket</t>
        </is>
      </c>
      <c r="G440" t="n">
        <v>1.5</v>
      </c>
      <c r="H440" t="n">
        <v>0</v>
      </c>
      <c r="I440" t="n">
        <v>0</v>
      </c>
      <c r="J440" t="n">
        <v>0</v>
      </c>
      <c r="K440" t="n">
        <v>0</v>
      </c>
      <c r="L440" t="n">
        <v>0</v>
      </c>
      <c r="M440" t="n">
        <v>0</v>
      </c>
      <c r="N440" t="n">
        <v>0</v>
      </c>
      <c r="O440" t="n">
        <v>0</v>
      </c>
      <c r="P440" t="n">
        <v>0</v>
      </c>
      <c r="Q440" t="n">
        <v>0</v>
      </c>
      <c r="R440" s="2" t="inlineStr"/>
    </row>
    <row r="441" ht="15" customHeight="1">
      <c r="A441" t="inlineStr">
        <is>
          <t>A 48715-2022</t>
        </is>
      </c>
      <c r="B441" s="1" t="n">
        <v>44859</v>
      </c>
      <c r="C441" s="1" t="n">
        <v>45802</v>
      </c>
      <c r="D441" t="inlineStr">
        <is>
          <t>DALARNAS LÄN</t>
        </is>
      </c>
      <c r="E441" t="inlineStr">
        <is>
          <t>LUDVIKA</t>
        </is>
      </c>
      <c r="F441" t="inlineStr">
        <is>
          <t>Naturvårdsverket</t>
        </is>
      </c>
      <c r="G441" t="n">
        <v>1.2</v>
      </c>
      <c r="H441" t="n">
        <v>0</v>
      </c>
      <c r="I441" t="n">
        <v>0</v>
      </c>
      <c r="J441" t="n">
        <v>0</v>
      </c>
      <c r="K441" t="n">
        <v>0</v>
      </c>
      <c r="L441" t="n">
        <v>0</v>
      </c>
      <c r="M441" t="n">
        <v>0</v>
      </c>
      <c r="N441" t="n">
        <v>0</v>
      </c>
      <c r="O441" t="n">
        <v>0</v>
      </c>
      <c r="P441" t="n">
        <v>0</v>
      </c>
      <c r="Q441" t="n">
        <v>0</v>
      </c>
      <c r="R441" s="2" t="inlineStr"/>
    </row>
    <row r="442" ht="15" customHeight="1">
      <c r="A442" t="inlineStr">
        <is>
          <t>A 48748-2022</t>
        </is>
      </c>
      <c r="B442" s="1" t="n">
        <v>44859</v>
      </c>
      <c r="C442" s="1" t="n">
        <v>45802</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48857-2022</t>
        </is>
      </c>
      <c r="B443" s="1" t="n">
        <v>44859</v>
      </c>
      <c r="C443" s="1" t="n">
        <v>45802</v>
      </c>
      <c r="D443" t="inlineStr">
        <is>
          <t>DALARNAS LÄN</t>
        </is>
      </c>
      <c r="E443" t="inlineStr">
        <is>
          <t>LUDVIKA</t>
        </is>
      </c>
      <c r="G443" t="n">
        <v>1.8</v>
      </c>
      <c r="H443" t="n">
        <v>0</v>
      </c>
      <c r="I443" t="n">
        <v>0</v>
      </c>
      <c r="J443" t="n">
        <v>0</v>
      </c>
      <c r="K443" t="n">
        <v>0</v>
      </c>
      <c r="L443" t="n">
        <v>0</v>
      </c>
      <c r="M443" t="n">
        <v>0</v>
      </c>
      <c r="N443" t="n">
        <v>0</v>
      </c>
      <c r="O443" t="n">
        <v>0</v>
      </c>
      <c r="P443" t="n">
        <v>0</v>
      </c>
      <c r="Q443" t="n">
        <v>0</v>
      </c>
      <c r="R443" s="2" t="inlineStr"/>
    </row>
    <row r="444" ht="15" customHeight="1">
      <c r="A444" t="inlineStr">
        <is>
          <t>A 48673-2022</t>
        </is>
      </c>
      <c r="B444" s="1" t="n">
        <v>44859</v>
      </c>
      <c r="C444" s="1" t="n">
        <v>45802</v>
      </c>
      <c r="D444" t="inlineStr">
        <is>
          <t>DALARNAS LÄN</t>
        </is>
      </c>
      <c r="E444" t="inlineStr">
        <is>
          <t>LUDVIKA</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48759-2022</t>
        </is>
      </c>
      <c r="B445" s="1" t="n">
        <v>44859</v>
      </c>
      <c r="C445" s="1" t="n">
        <v>45802</v>
      </c>
      <c r="D445" t="inlineStr">
        <is>
          <t>DALARNAS LÄN</t>
        </is>
      </c>
      <c r="E445" t="inlineStr">
        <is>
          <t>LUDVIKA</t>
        </is>
      </c>
      <c r="F445" t="inlineStr">
        <is>
          <t>Naturvårdsverket</t>
        </is>
      </c>
      <c r="G445" t="n">
        <v>4.2</v>
      </c>
      <c r="H445" t="n">
        <v>0</v>
      </c>
      <c r="I445" t="n">
        <v>0</v>
      </c>
      <c r="J445" t="n">
        <v>0</v>
      </c>
      <c r="K445" t="n">
        <v>0</v>
      </c>
      <c r="L445" t="n">
        <v>0</v>
      </c>
      <c r="M445" t="n">
        <v>0</v>
      </c>
      <c r="N445" t="n">
        <v>0</v>
      </c>
      <c r="O445" t="n">
        <v>0</v>
      </c>
      <c r="P445" t="n">
        <v>0</v>
      </c>
      <c r="Q445" t="n">
        <v>0</v>
      </c>
      <c r="R445" s="2" t="inlineStr"/>
    </row>
    <row r="446" ht="15" customHeight="1">
      <c r="A446" t="inlineStr">
        <is>
          <t>A 49371-2022</t>
        </is>
      </c>
      <c r="B446" s="1" t="n">
        <v>44861</v>
      </c>
      <c r="C446" s="1" t="n">
        <v>45802</v>
      </c>
      <c r="D446" t="inlineStr">
        <is>
          <t>DALARNAS LÄN</t>
        </is>
      </c>
      <c r="E446" t="inlineStr">
        <is>
          <t>LUDVIKA</t>
        </is>
      </c>
      <c r="F446" t="inlineStr">
        <is>
          <t>Bergvik skog väst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49564-2022</t>
        </is>
      </c>
      <c r="B447" s="1" t="n">
        <v>44862</v>
      </c>
      <c r="C447" s="1" t="n">
        <v>45802</v>
      </c>
      <c r="D447" t="inlineStr">
        <is>
          <t>DALARNAS LÄN</t>
        </is>
      </c>
      <c r="E447" t="inlineStr">
        <is>
          <t>LUDVIKA</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50078-2022</t>
        </is>
      </c>
      <c r="B448" s="1" t="n">
        <v>44865</v>
      </c>
      <c r="C448" s="1" t="n">
        <v>45802</v>
      </c>
      <c r="D448" t="inlineStr">
        <is>
          <t>DALARNAS LÄN</t>
        </is>
      </c>
      <c r="E448" t="inlineStr">
        <is>
          <t>LUDVIKA</t>
        </is>
      </c>
      <c r="F448" t="inlineStr">
        <is>
          <t>Naturvårdsverket</t>
        </is>
      </c>
      <c r="G448" t="n">
        <v>0.7</v>
      </c>
      <c r="H448" t="n">
        <v>0</v>
      </c>
      <c r="I448" t="n">
        <v>0</v>
      </c>
      <c r="J448" t="n">
        <v>0</v>
      </c>
      <c r="K448" t="n">
        <v>0</v>
      </c>
      <c r="L448" t="n">
        <v>0</v>
      </c>
      <c r="M448" t="n">
        <v>0</v>
      </c>
      <c r="N448" t="n">
        <v>0</v>
      </c>
      <c r="O448" t="n">
        <v>0</v>
      </c>
      <c r="P448" t="n">
        <v>0</v>
      </c>
      <c r="Q448" t="n">
        <v>0</v>
      </c>
      <c r="R448" s="2" t="inlineStr"/>
    </row>
    <row r="449" ht="15" customHeight="1">
      <c r="A449" t="inlineStr">
        <is>
          <t>A 49951-2022</t>
        </is>
      </c>
      <c r="B449" s="1" t="n">
        <v>44865</v>
      </c>
      <c r="C449" s="1" t="n">
        <v>45802</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50057-2022</t>
        </is>
      </c>
      <c r="B450" s="1" t="n">
        <v>44865</v>
      </c>
      <c r="C450" s="1" t="n">
        <v>45802</v>
      </c>
      <c r="D450" t="inlineStr">
        <is>
          <t>DALARNAS LÄN</t>
        </is>
      </c>
      <c r="E450" t="inlineStr">
        <is>
          <t>LUDVIKA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50814-2022</t>
        </is>
      </c>
      <c r="B451" s="1" t="n">
        <v>44867</v>
      </c>
      <c r="C451" s="1" t="n">
        <v>45802</v>
      </c>
      <c r="D451" t="inlineStr">
        <is>
          <t>DALARNAS LÄN</t>
        </is>
      </c>
      <c r="E451" t="inlineStr">
        <is>
          <t>LUDVIKA</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50862-2022</t>
        </is>
      </c>
      <c r="B452" s="1" t="n">
        <v>44867</v>
      </c>
      <c r="C452" s="1" t="n">
        <v>45802</v>
      </c>
      <c r="D452" t="inlineStr">
        <is>
          <t>DALARNAS LÄN</t>
        </is>
      </c>
      <c r="E452" t="inlineStr">
        <is>
          <t>LUDVIKA</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51386-2022</t>
        </is>
      </c>
      <c r="B453" s="1" t="n">
        <v>44869</v>
      </c>
      <c r="C453" s="1" t="n">
        <v>45802</v>
      </c>
      <c r="D453" t="inlineStr">
        <is>
          <t>DALARNAS LÄN</t>
        </is>
      </c>
      <c r="E453" t="inlineStr">
        <is>
          <t>LUDVIKA</t>
        </is>
      </c>
      <c r="F453" t="inlineStr">
        <is>
          <t>Bergvik skog väst AB</t>
        </is>
      </c>
      <c r="G453" t="n">
        <v>5.2</v>
      </c>
      <c r="H453" t="n">
        <v>0</v>
      </c>
      <c r="I453" t="n">
        <v>0</v>
      </c>
      <c r="J453" t="n">
        <v>0</v>
      </c>
      <c r="K453" t="n">
        <v>0</v>
      </c>
      <c r="L453" t="n">
        <v>0</v>
      </c>
      <c r="M453" t="n">
        <v>0</v>
      </c>
      <c r="N453" t="n">
        <v>0</v>
      </c>
      <c r="O453" t="n">
        <v>0</v>
      </c>
      <c r="P453" t="n">
        <v>0</v>
      </c>
      <c r="Q453" t="n">
        <v>0</v>
      </c>
      <c r="R453" s="2" t="inlineStr"/>
    </row>
    <row r="454" ht="15" customHeight="1">
      <c r="A454" t="inlineStr">
        <is>
          <t>A 51453-2022</t>
        </is>
      </c>
      <c r="B454" s="1" t="n">
        <v>44869</v>
      </c>
      <c r="C454" s="1" t="n">
        <v>45802</v>
      </c>
      <c r="D454" t="inlineStr">
        <is>
          <t>DALARNAS LÄN</t>
        </is>
      </c>
      <c r="E454" t="inlineStr">
        <is>
          <t>LUDVIKA</t>
        </is>
      </c>
      <c r="F454" t="inlineStr">
        <is>
          <t>Bergvik skog väst AB</t>
        </is>
      </c>
      <c r="G454" t="n">
        <v>8</v>
      </c>
      <c r="H454" t="n">
        <v>0</v>
      </c>
      <c r="I454" t="n">
        <v>0</v>
      </c>
      <c r="J454" t="n">
        <v>0</v>
      </c>
      <c r="K454" t="n">
        <v>0</v>
      </c>
      <c r="L454" t="n">
        <v>0</v>
      </c>
      <c r="M454" t="n">
        <v>0</v>
      </c>
      <c r="N454" t="n">
        <v>0</v>
      </c>
      <c r="O454" t="n">
        <v>0</v>
      </c>
      <c r="P454" t="n">
        <v>0</v>
      </c>
      <c r="Q454" t="n">
        <v>0</v>
      </c>
      <c r="R454" s="2" t="inlineStr"/>
    </row>
    <row r="455" ht="15" customHeight="1">
      <c r="A455" t="inlineStr">
        <is>
          <t>A 52303-2022</t>
        </is>
      </c>
      <c r="B455" s="1" t="n">
        <v>44869</v>
      </c>
      <c r="C455" s="1" t="n">
        <v>45802</v>
      </c>
      <c r="D455" t="inlineStr">
        <is>
          <t>DALARNAS LÄN</t>
        </is>
      </c>
      <c r="E455" t="inlineStr">
        <is>
          <t>LUDVIKA</t>
        </is>
      </c>
      <c r="G455" t="n">
        <v>1</v>
      </c>
      <c r="H455" t="n">
        <v>0</v>
      </c>
      <c r="I455" t="n">
        <v>0</v>
      </c>
      <c r="J455" t="n">
        <v>0</v>
      </c>
      <c r="K455" t="n">
        <v>0</v>
      </c>
      <c r="L455" t="n">
        <v>0</v>
      </c>
      <c r="M455" t="n">
        <v>0</v>
      </c>
      <c r="N455" t="n">
        <v>0</v>
      </c>
      <c r="O455" t="n">
        <v>0</v>
      </c>
      <c r="P455" t="n">
        <v>0</v>
      </c>
      <c r="Q455" t="n">
        <v>0</v>
      </c>
      <c r="R455" s="2" t="inlineStr"/>
    </row>
    <row r="456" ht="15" customHeight="1">
      <c r="A456" t="inlineStr">
        <is>
          <t>A 51713-2022</t>
        </is>
      </c>
      <c r="B456" s="1" t="n">
        <v>44872</v>
      </c>
      <c r="C456" s="1" t="n">
        <v>45802</v>
      </c>
      <c r="D456" t="inlineStr">
        <is>
          <t>DALARNAS LÄN</t>
        </is>
      </c>
      <c r="E456" t="inlineStr">
        <is>
          <t>LUDVIKA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51659-2022</t>
        </is>
      </c>
      <c r="B457" s="1" t="n">
        <v>44872</v>
      </c>
      <c r="C457" s="1" t="n">
        <v>45802</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51709-2022</t>
        </is>
      </c>
      <c r="B458" s="1" t="n">
        <v>44872</v>
      </c>
      <c r="C458" s="1" t="n">
        <v>45802</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51886-2022</t>
        </is>
      </c>
      <c r="B459" s="1" t="n">
        <v>44872</v>
      </c>
      <c r="C459" s="1" t="n">
        <v>45802</v>
      </c>
      <c r="D459" t="inlineStr">
        <is>
          <t>DALARNAS LÄN</t>
        </is>
      </c>
      <c r="E459" t="inlineStr">
        <is>
          <t>LUDVIKA</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52432-2022</t>
        </is>
      </c>
      <c r="B460" s="1" t="n">
        <v>44874</v>
      </c>
      <c r="C460" s="1" t="n">
        <v>45802</v>
      </c>
      <c r="D460" t="inlineStr">
        <is>
          <t>DALARNAS LÄN</t>
        </is>
      </c>
      <c r="E460" t="inlineStr">
        <is>
          <t>LUDVIKA</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53509-2022</t>
        </is>
      </c>
      <c r="B461" s="1" t="n">
        <v>44879</v>
      </c>
      <c r="C461" s="1" t="n">
        <v>45802</v>
      </c>
      <c r="D461" t="inlineStr">
        <is>
          <t>DALARNAS LÄN</t>
        </is>
      </c>
      <c r="E461" t="inlineStr">
        <is>
          <t>LUDVIKA</t>
        </is>
      </c>
      <c r="F461" t="inlineStr">
        <is>
          <t>Naturvårdsverket</t>
        </is>
      </c>
      <c r="G461" t="n">
        <v>4.9</v>
      </c>
      <c r="H461" t="n">
        <v>0</v>
      </c>
      <c r="I461" t="n">
        <v>0</v>
      </c>
      <c r="J461" t="n">
        <v>0</v>
      </c>
      <c r="K461" t="n">
        <v>0</v>
      </c>
      <c r="L461" t="n">
        <v>0</v>
      </c>
      <c r="M461" t="n">
        <v>0</v>
      </c>
      <c r="N461" t="n">
        <v>0</v>
      </c>
      <c r="O461" t="n">
        <v>0</v>
      </c>
      <c r="P461" t="n">
        <v>0</v>
      </c>
      <c r="Q461" t="n">
        <v>0</v>
      </c>
      <c r="R461" s="2" t="inlineStr"/>
    </row>
    <row r="462" ht="15" customHeight="1">
      <c r="A462" t="inlineStr">
        <is>
          <t>A 53619-2022</t>
        </is>
      </c>
      <c r="B462" s="1" t="n">
        <v>44879</v>
      </c>
      <c r="C462" s="1" t="n">
        <v>45802</v>
      </c>
      <c r="D462" t="inlineStr">
        <is>
          <t>DALARNAS LÄN</t>
        </is>
      </c>
      <c r="E462" t="inlineStr">
        <is>
          <t>LUDVIKA</t>
        </is>
      </c>
      <c r="G462" t="n">
        <v>1</v>
      </c>
      <c r="H462" t="n">
        <v>0</v>
      </c>
      <c r="I462" t="n">
        <v>0</v>
      </c>
      <c r="J462" t="n">
        <v>0</v>
      </c>
      <c r="K462" t="n">
        <v>0</v>
      </c>
      <c r="L462" t="n">
        <v>0</v>
      </c>
      <c r="M462" t="n">
        <v>0</v>
      </c>
      <c r="N462" t="n">
        <v>0</v>
      </c>
      <c r="O462" t="n">
        <v>0</v>
      </c>
      <c r="P462" t="n">
        <v>0</v>
      </c>
      <c r="Q462" t="n">
        <v>0</v>
      </c>
      <c r="R462" s="2" t="inlineStr"/>
    </row>
    <row r="463" ht="15" customHeight="1">
      <c r="A463" t="inlineStr">
        <is>
          <t>A 53620-2022</t>
        </is>
      </c>
      <c r="B463" s="1" t="n">
        <v>44879</v>
      </c>
      <c r="C463" s="1" t="n">
        <v>45802</v>
      </c>
      <c r="D463" t="inlineStr">
        <is>
          <t>DALARNAS LÄN</t>
        </is>
      </c>
      <c r="E463" t="inlineStr">
        <is>
          <t>LUDVIKA</t>
        </is>
      </c>
      <c r="G463" t="n">
        <v>3.7</v>
      </c>
      <c r="H463" t="n">
        <v>0</v>
      </c>
      <c r="I463" t="n">
        <v>0</v>
      </c>
      <c r="J463" t="n">
        <v>0</v>
      </c>
      <c r="K463" t="n">
        <v>0</v>
      </c>
      <c r="L463" t="n">
        <v>0</v>
      </c>
      <c r="M463" t="n">
        <v>0</v>
      </c>
      <c r="N463" t="n">
        <v>0</v>
      </c>
      <c r="O463" t="n">
        <v>0</v>
      </c>
      <c r="P463" t="n">
        <v>0</v>
      </c>
      <c r="Q463" t="n">
        <v>0</v>
      </c>
      <c r="R463" s="2" t="inlineStr"/>
    </row>
    <row r="464" ht="15" customHeight="1">
      <c r="A464" t="inlineStr">
        <is>
          <t>A 53705-2022</t>
        </is>
      </c>
      <c r="B464" s="1" t="n">
        <v>44880</v>
      </c>
      <c r="C464" s="1" t="n">
        <v>45802</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54730-2022</t>
        </is>
      </c>
      <c r="B465" s="1" t="n">
        <v>44883</v>
      </c>
      <c r="C465" s="1" t="n">
        <v>45802</v>
      </c>
      <c r="D465" t="inlineStr">
        <is>
          <t>DALARNAS LÄN</t>
        </is>
      </c>
      <c r="E465" t="inlineStr">
        <is>
          <t>LUDVIKA</t>
        </is>
      </c>
      <c r="F465" t="inlineStr">
        <is>
          <t>Bergvik skog väst AB</t>
        </is>
      </c>
      <c r="G465" t="n">
        <v>2.4</v>
      </c>
      <c r="H465" t="n">
        <v>0</v>
      </c>
      <c r="I465" t="n">
        <v>0</v>
      </c>
      <c r="J465" t="n">
        <v>0</v>
      </c>
      <c r="K465" t="n">
        <v>0</v>
      </c>
      <c r="L465" t="n">
        <v>0</v>
      </c>
      <c r="M465" t="n">
        <v>0</v>
      </c>
      <c r="N465" t="n">
        <v>0</v>
      </c>
      <c r="O465" t="n">
        <v>0</v>
      </c>
      <c r="P465" t="n">
        <v>0</v>
      </c>
      <c r="Q465" t="n">
        <v>0</v>
      </c>
      <c r="R465" s="2" t="inlineStr"/>
    </row>
    <row r="466" ht="15" customHeight="1">
      <c r="A466" t="inlineStr">
        <is>
          <t>A 54767-2022</t>
        </is>
      </c>
      <c r="B466" s="1" t="n">
        <v>44883</v>
      </c>
      <c r="C466" s="1" t="n">
        <v>45802</v>
      </c>
      <c r="D466" t="inlineStr">
        <is>
          <t>DALARNAS LÄN</t>
        </is>
      </c>
      <c r="E466" t="inlineStr">
        <is>
          <t>LUDVIKA</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54914-2022</t>
        </is>
      </c>
      <c r="B467" s="1" t="n">
        <v>44886</v>
      </c>
      <c r="C467" s="1" t="n">
        <v>45802</v>
      </c>
      <c r="D467" t="inlineStr">
        <is>
          <t>DALARNAS LÄN</t>
        </is>
      </c>
      <c r="E467" t="inlineStr">
        <is>
          <t>LUDVIKA</t>
        </is>
      </c>
      <c r="F467" t="inlineStr">
        <is>
          <t>Naturvårdsverket</t>
        </is>
      </c>
      <c r="G467" t="n">
        <v>0.6</v>
      </c>
      <c r="H467" t="n">
        <v>0</v>
      </c>
      <c r="I467" t="n">
        <v>0</v>
      </c>
      <c r="J467" t="n">
        <v>0</v>
      </c>
      <c r="K467" t="n">
        <v>0</v>
      </c>
      <c r="L467" t="n">
        <v>0</v>
      </c>
      <c r="M467" t="n">
        <v>0</v>
      </c>
      <c r="N467" t="n">
        <v>0</v>
      </c>
      <c r="O467" t="n">
        <v>0</v>
      </c>
      <c r="P467" t="n">
        <v>0</v>
      </c>
      <c r="Q467" t="n">
        <v>0</v>
      </c>
      <c r="R467" s="2" t="inlineStr"/>
    </row>
    <row r="468" ht="15" customHeight="1">
      <c r="A468" t="inlineStr">
        <is>
          <t>A 55262-2022</t>
        </is>
      </c>
      <c r="B468" s="1" t="n">
        <v>44887</v>
      </c>
      <c r="C468" s="1" t="n">
        <v>45802</v>
      </c>
      <c r="D468" t="inlineStr">
        <is>
          <t>DALARNAS LÄN</t>
        </is>
      </c>
      <c r="E468" t="inlineStr">
        <is>
          <t>LUDVIKA</t>
        </is>
      </c>
      <c r="F468" t="inlineStr">
        <is>
          <t>Bergvik skog väst AB</t>
        </is>
      </c>
      <c r="G468" t="n">
        <v>4.4</v>
      </c>
      <c r="H468" t="n">
        <v>0</v>
      </c>
      <c r="I468" t="n">
        <v>0</v>
      </c>
      <c r="J468" t="n">
        <v>0</v>
      </c>
      <c r="K468" t="n">
        <v>0</v>
      </c>
      <c r="L468" t="n">
        <v>0</v>
      </c>
      <c r="M468" t="n">
        <v>0</v>
      </c>
      <c r="N468" t="n">
        <v>0</v>
      </c>
      <c r="O468" t="n">
        <v>0</v>
      </c>
      <c r="P468" t="n">
        <v>0</v>
      </c>
      <c r="Q468" t="n">
        <v>0</v>
      </c>
      <c r="R468" s="2" t="inlineStr"/>
    </row>
    <row r="469" ht="15" customHeight="1">
      <c r="A469" t="inlineStr">
        <is>
          <t>A 56346-2022</t>
        </is>
      </c>
      <c r="B469" s="1" t="n">
        <v>44890</v>
      </c>
      <c r="C469" s="1" t="n">
        <v>45802</v>
      </c>
      <c r="D469" t="inlineStr">
        <is>
          <t>DALARNAS LÄN</t>
        </is>
      </c>
      <c r="E469" t="inlineStr">
        <is>
          <t>LUDVIKA</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56347-2022</t>
        </is>
      </c>
      <c r="B470" s="1" t="n">
        <v>44890</v>
      </c>
      <c r="C470" s="1" t="n">
        <v>45802</v>
      </c>
      <c r="D470" t="inlineStr">
        <is>
          <t>DALARNAS LÄN</t>
        </is>
      </c>
      <c r="E470" t="inlineStr">
        <is>
          <t>LUDVIKA</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56680-2022</t>
        </is>
      </c>
      <c r="B471" s="1" t="n">
        <v>44893</v>
      </c>
      <c r="C471" s="1" t="n">
        <v>45802</v>
      </c>
      <c r="D471" t="inlineStr">
        <is>
          <t>DALARNAS LÄN</t>
        </is>
      </c>
      <c r="E471" t="inlineStr">
        <is>
          <t>LUDVIKA</t>
        </is>
      </c>
      <c r="G471" t="n">
        <v>0.4</v>
      </c>
      <c r="H471" t="n">
        <v>0</v>
      </c>
      <c r="I471" t="n">
        <v>0</v>
      </c>
      <c r="J471" t="n">
        <v>0</v>
      </c>
      <c r="K471" t="n">
        <v>0</v>
      </c>
      <c r="L471" t="n">
        <v>0</v>
      </c>
      <c r="M471" t="n">
        <v>0</v>
      </c>
      <c r="N471" t="n">
        <v>0</v>
      </c>
      <c r="O471" t="n">
        <v>0</v>
      </c>
      <c r="P471" t="n">
        <v>0</v>
      </c>
      <c r="Q471" t="n">
        <v>0</v>
      </c>
      <c r="R471" s="2" t="inlineStr"/>
    </row>
    <row r="472" ht="15" customHeight="1">
      <c r="A472" t="inlineStr">
        <is>
          <t>A 56686-2022</t>
        </is>
      </c>
      <c r="B472" s="1" t="n">
        <v>44893</v>
      </c>
      <c r="C472" s="1" t="n">
        <v>45802</v>
      </c>
      <c r="D472" t="inlineStr">
        <is>
          <t>DALARNAS LÄN</t>
        </is>
      </c>
      <c r="E472" t="inlineStr">
        <is>
          <t>LUDVIKA</t>
        </is>
      </c>
      <c r="G472" t="n">
        <v>0.7</v>
      </c>
      <c r="H472" t="n">
        <v>0</v>
      </c>
      <c r="I472" t="n">
        <v>0</v>
      </c>
      <c r="J472" t="n">
        <v>0</v>
      </c>
      <c r="K472" t="n">
        <v>0</v>
      </c>
      <c r="L472" t="n">
        <v>0</v>
      </c>
      <c r="M472" t="n">
        <v>0</v>
      </c>
      <c r="N472" t="n">
        <v>0</v>
      </c>
      <c r="O472" t="n">
        <v>0</v>
      </c>
      <c r="P472" t="n">
        <v>0</v>
      </c>
      <c r="Q472" t="n">
        <v>0</v>
      </c>
      <c r="R472" s="2" t="inlineStr"/>
    </row>
    <row r="473" ht="15" customHeight="1">
      <c r="A473" t="inlineStr">
        <is>
          <t>A 56685-2022</t>
        </is>
      </c>
      <c r="B473" s="1" t="n">
        <v>44893</v>
      </c>
      <c r="C473" s="1" t="n">
        <v>45802</v>
      </c>
      <c r="D473" t="inlineStr">
        <is>
          <t>DALARNAS LÄN</t>
        </is>
      </c>
      <c r="E473" t="inlineStr">
        <is>
          <t>LUDVIKA</t>
        </is>
      </c>
      <c r="G473" t="n">
        <v>0.6</v>
      </c>
      <c r="H473" t="n">
        <v>0</v>
      </c>
      <c r="I473" t="n">
        <v>0</v>
      </c>
      <c r="J473" t="n">
        <v>0</v>
      </c>
      <c r="K473" t="n">
        <v>0</v>
      </c>
      <c r="L473" t="n">
        <v>0</v>
      </c>
      <c r="M473" t="n">
        <v>0</v>
      </c>
      <c r="N473" t="n">
        <v>0</v>
      </c>
      <c r="O473" t="n">
        <v>0</v>
      </c>
      <c r="P473" t="n">
        <v>0</v>
      </c>
      <c r="Q473" t="n">
        <v>0</v>
      </c>
      <c r="R473" s="2" t="inlineStr"/>
    </row>
    <row r="474" ht="15" customHeight="1">
      <c r="A474" t="inlineStr">
        <is>
          <t>A 57193-2022</t>
        </is>
      </c>
      <c r="B474" s="1" t="n">
        <v>44895</v>
      </c>
      <c r="C474" s="1" t="n">
        <v>45802</v>
      </c>
      <c r="D474" t="inlineStr">
        <is>
          <t>DALARNAS LÄN</t>
        </is>
      </c>
      <c r="E474" t="inlineStr">
        <is>
          <t>LUDVIKA</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58021-2022</t>
        </is>
      </c>
      <c r="B475" s="1" t="n">
        <v>44900</v>
      </c>
      <c r="C475" s="1" t="n">
        <v>45802</v>
      </c>
      <c r="D475" t="inlineStr">
        <is>
          <t>DALARNAS LÄN</t>
        </is>
      </c>
      <c r="E475" t="inlineStr">
        <is>
          <t>LUDVIKA</t>
        </is>
      </c>
      <c r="F475" t="inlineStr">
        <is>
          <t>Bergvik skog väst AB</t>
        </is>
      </c>
      <c r="G475" t="n">
        <v>22.3</v>
      </c>
      <c r="H475" t="n">
        <v>0</v>
      </c>
      <c r="I475" t="n">
        <v>0</v>
      </c>
      <c r="J475" t="n">
        <v>0</v>
      </c>
      <c r="K475" t="n">
        <v>0</v>
      </c>
      <c r="L475" t="n">
        <v>0</v>
      </c>
      <c r="M475" t="n">
        <v>0</v>
      </c>
      <c r="N475" t="n">
        <v>0</v>
      </c>
      <c r="O475" t="n">
        <v>0</v>
      </c>
      <c r="P475" t="n">
        <v>0</v>
      </c>
      <c r="Q475" t="n">
        <v>0</v>
      </c>
      <c r="R475" s="2" t="inlineStr"/>
    </row>
    <row r="476" ht="15" customHeight="1">
      <c r="A476" t="inlineStr">
        <is>
          <t>A 59050-2022</t>
        </is>
      </c>
      <c r="B476" s="1" t="n">
        <v>44903</v>
      </c>
      <c r="C476" s="1" t="n">
        <v>45802</v>
      </c>
      <c r="D476" t="inlineStr">
        <is>
          <t>DALARNAS LÄN</t>
        </is>
      </c>
      <c r="E476" t="inlineStr">
        <is>
          <t>LUDVIKA</t>
        </is>
      </c>
      <c r="G476" t="n">
        <v>2.8</v>
      </c>
      <c r="H476" t="n">
        <v>0</v>
      </c>
      <c r="I476" t="n">
        <v>0</v>
      </c>
      <c r="J476" t="n">
        <v>0</v>
      </c>
      <c r="K476" t="n">
        <v>0</v>
      </c>
      <c r="L476" t="n">
        <v>0</v>
      </c>
      <c r="M476" t="n">
        <v>0</v>
      </c>
      <c r="N476" t="n">
        <v>0</v>
      </c>
      <c r="O476" t="n">
        <v>0</v>
      </c>
      <c r="P476" t="n">
        <v>0</v>
      </c>
      <c r="Q476" t="n">
        <v>0</v>
      </c>
      <c r="R476" s="2" t="inlineStr"/>
    </row>
    <row r="477" ht="15" customHeight="1">
      <c r="A477" t="inlineStr">
        <is>
          <t>A 59415-2022</t>
        </is>
      </c>
      <c r="B477" s="1" t="n">
        <v>44907</v>
      </c>
      <c r="C477" s="1" t="n">
        <v>45802</v>
      </c>
      <c r="D477" t="inlineStr">
        <is>
          <t>DALARNAS LÄN</t>
        </is>
      </c>
      <c r="E477" t="inlineStr">
        <is>
          <t>LUDVIKA</t>
        </is>
      </c>
      <c r="F477" t="inlineStr">
        <is>
          <t>Bergvik skog väst AB</t>
        </is>
      </c>
      <c r="G477" t="n">
        <v>1</v>
      </c>
      <c r="H477" t="n">
        <v>0</v>
      </c>
      <c r="I477" t="n">
        <v>0</v>
      </c>
      <c r="J477" t="n">
        <v>0</v>
      </c>
      <c r="K477" t="n">
        <v>0</v>
      </c>
      <c r="L477" t="n">
        <v>0</v>
      </c>
      <c r="M477" t="n">
        <v>0</v>
      </c>
      <c r="N477" t="n">
        <v>0</v>
      </c>
      <c r="O477" t="n">
        <v>0</v>
      </c>
      <c r="P477" t="n">
        <v>0</v>
      </c>
      <c r="Q477" t="n">
        <v>0</v>
      </c>
      <c r="R477" s="2" t="inlineStr"/>
    </row>
    <row r="478" ht="15" customHeight="1">
      <c r="A478" t="inlineStr">
        <is>
          <t>A 59413-2022</t>
        </is>
      </c>
      <c r="B478" s="1" t="n">
        <v>44907</v>
      </c>
      <c r="C478" s="1" t="n">
        <v>45802</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61050-2022</t>
        </is>
      </c>
      <c r="B479" s="1" t="n">
        <v>44915</v>
      </c>
      <c r="C479" s="1" t="n">
        <v>45802</v>
      </c>
      <c r="D479" t="inlineStr">
        <is>
          <t>DALARNAS LÄN</t>
        </is>
      </c>
      <c r="E479" t="inlineStr">
        <is>
          <t>LUDVIKA</t>
        </is>
      </c>
      <c r="G479" t="n">
        <v>2.4</v>
      </c>
      <c r="H479" t="n">
        <v>0</v>
      </c>
      <c r="I479" t="n">
        <v>0</v>
      </c>
      <c r="J479" t="n">
        <v>0</v>
      </c>
      <c r="K479" t="n">
        <v>0</v>
      </c>
      <c r="L479" t="n">
        <v>0</v>
      </c>
      <c r="M479" t="n">
        <v>0</v>
      </c>
      <c r="N479" t="n">
        <v>0</v>
      </c>
      <c r="O479" t="n">
        <v>0</v>
      </c>
      <c r="P479" t="n">
        <v>0</v>
      </c>
      <c r="Q479" t="n">
        <v>0</v>
      </c>
      <c r="R479" s="2" t="inlineStr"/>
    </row>
    <row r="480" ht="15" customHeight="1">
      <c r="A480" t="inlineStr">
        <is>
          <t>A 61309-2022</t>
        </is>
      </c>
      <c r="B480" s="1" t="n">
        <v>44915</v>
      </c>
      <c r="C480" s="1" t="n">
        <v>45802</v>
      </c>
      <c r="D480" t="inlineStr">
        <is>
          <t>DALARNAS LÄN</t>
        </is>
      </c>
      <c r="E480" t="inlineStr">
        <is>
          <t>LUDVIKA</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61278-2022</t>
        </is>
      </c>
      <c r="B481" s="1" t="n">
        <v>44915</v>
      </c>
      <c r="C481" s="1" t="n">
        <v>45802</v>
      </c>
      <c r="D481" t="inlineStr">
        <is>
          <t>DALARNAS LÄN</t>
        </is>
      </c>
      <c r="E481" t="inlineStr">
        <is>
          <t>LUDVIKA</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61621-2022</t>
        </is>
      </c>
      <c r="B482" s="1" t="n">
        <v>44916</v>
      </c>
      <c r="C482" s="1" t="n">
        <v>45802</v>
      </c>
      <c r="D482" t="inlineStr">
        <is>
          <t>DALARNAS LÄN</t>
        </is>
      </c>
      <c r="E482" t="inlineStr">
        <is>
          <t>LUDVIKA</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62275-2022</t>
        </is>
      </c>
      <c r="B483" s="1" t="n">
        <v>44923</v>
      </c>
      <c r="C483" s="1" t="n">
        <v>45802</v>
      </c>
      <c r="D483" t="inlineStr">
        <is>
          <t>DALARNAS LÄN</t>
        </is>
      </c>
      <c r="E483" t="inlineStr">
        <is>
          <t>LUDVIKA</t>
        </is>
      </c>
      <c r="G483" t="n">
        <v>4.6</v>
      </c>
      <c r="H483" t="n">
        <v>0</v>
      </c>
      <c r="I483" t="n">
        <v>0</v>
      </c>
      <c r="J483" t="n">
        <v>0</v>
      </c>
      <c r="K483" t="n">
        <v>0</v>
      </c>
      <c r="L483" t="n">
        <v>0</v>
      </c>
      <c r="M483" t="n">
        <v>0</v>
      </c>
      <c r="N483" t="n">
        <v>0</v>
      </c>
      <c r="O483" t="n">
        <v>0</v>
      </c>
      <c r="P483" t="n">
        <v>0</v>
      </c>
      <c r="Q483" t="n">
        <v>0</v>
      </c>
      <c r="R483" s="2" t="inlineStr"/>
    </row>
    <row r="484" ht="15" customHeight="1">
      <c r="A484" t="inlineStr">
        <is>
          <t>A 400-2023</t>
        </is>
      </c>
      <c r="B484" s="1" t="n">
        <v>44929</v>
      </c>
      <c r="C484" s="1" t="n">
        <v>45802</v>
      </c>
      <c r="D484" t="inlineStr">
        <is>
          <t>DALARNAS LÄN</t>
        </is>
      </c>
      <c r="E484" t="inlineStr">
        <is>
          <t>LUDVIKA</t>
        </is>
      </c>
      <c r="G484" t="n">
        <v>3.6</v>
      </c>
      <c r="H484" t="n">
        <v>0</v>
      </c>
      <c r="I484" t="n">
        <v>0</v>
      </c>
      <c r="J484" t="n">
        <v>0</v>
      </c>
      <c r="K484" t="n">
        <v>0</v>
      </c>
      <c r="L484" t="n">
        <v>0</v>
      </c>
      <c r="M484" t="n">
        <v>0</v>
      </c>
      <c r="N484" t="n">
        <v>0</v>
      </c>
      <c r="O484" t="n">
        <v>0</v>
      </c>
      <c r="P484" t="n">
        <v>0</v>
      </c>
      <c r="Q484" t="n">
        <v>0</v>
      </c>
      <c r="R484" s="2" t="inlineStr"/>
    </row>
    <row r="485" ht="15" customHeight="1">
      <c r="A485" t="inlineStr">
        <is>
          <t>A 1047-2023</t>
        </is>
      </c>
      <c r="B485" s="1" t="n">
        <v>44929</v>
      </c>
      <c r="C485" s="1" t="n">
        <v>45802</v>
      </c>
      <c r="D485" t="inlineStr">
        <is>
          <t>DALARNAS LÄN</t>
        </is>
      </c>
      <c r="E485" t="inlineStr">
        <is>
          <t>LUDVIKA</t>
        </is>
      </c>
      <c r="F485" t="inlineStr">
        <is>
          <t>Kommuner</t>
        </is>
      </c>
      <c r="G485" t="n">
        <v>3.2</v>
      </c>
      <c r="H485" t="n">
        <v>0</v>
      </c>
      <c r="I485" t="n">
        <v>0</v>
      </c>
      <c r="J485" t="n">
        <v>0</v>
      </c>
      <c r="K485" t="n">
        <v>0</v>
      </c>
      <c r="L485" t="n">
        <v>0</v>
      </c>
      <c r="M485" t="n">
        <v>0</v>
      </c>
      <c r="N485" t="n">
        <v>0</v>
      </c>
      <c r="O485" t="n">
        <v>0</v>
      </c>
      <c r="P485" t="n">
        <v>0</v>
      </c>
      <c r="Q485" t="n">
        <v>0</v>
      </c>
      <c r="R485" s="2" t="inlineStr"/>
    </row>
    <row r="486" ht="15" customHeight="1">
      <c r="A486" t="inlineStr">
        <is>
          <t>A 1647-2023</t>
        </is>
      </c>
      <c r="B486" s="1" t="n">
        <v>44937</v>
      </c>
      <c r="C486" s="1" t="n">
        <v>45802</v>
      </c>
      <c r="D486" t="inlineStr">
        <is>
          <t>DALARNAS LÄN</t>
        </is>
      </c>
      <c r="E486" t="inlineStr">
        <is>
          <t>LUDVIKA</t>
        </is>
      </c>
      <c r="G486" t="n">
        <v>2.1</v>
      </c>
      <c r="H486" t="n">
        <v>0</v>
      </c>
      <c r="I486" t="n">
        <v>0</v>
      </c>
      <c r="J486" t="n">
        <v>0</v>
      </c>
      <c r="K486" t="n">
        <v>0</v>
      </c>
      <c r="L486" t="n">
        <v>0</v>
      </c>
      <c r="M486" t="n">
        <v>0</v>
      </c>
      <c r="N486" t="n">
        <v>0</v>
      </c>
      <c r="O486" t="n">
        <v>0</v>
      </c>
      <c r="P486" t="n">
        <v>0</v>
      </c>
      <c r="Q486" t="n">
        <v>0</v>
      </c>
      <c r="R486" s="2" t="inlineStr"/>
    </row>
    <row r="487" ht="15" customHeight="1">
      <c r="A487" t="inlineStr">
        <is>
          <t>A 1852-2023</t>
        </is>
      </c>
      <c r="B487" s="1" t="n">
        <v>44938</v>
      </c>
      <c r="C487" s="1" t="n">
        <v>45802</v>
      </c>
      <c r="D487" t="inlineStr">
        <is>
          <t>DALARNAS LÄN</t>
        </is>
      </c>
      <c r="E487" t="inlineStr">
        <is>
          <t>LUDVIKA</t>
        </is>
      </c>
      <c r="G487" t="n">
        <v>4</v>
      </c>
      <c r="H487" t="n">
        <v>0</v>
      </c>
      <c r="I487" t="n">
        <v>0</v>
      </c>
      <c r="J487" t="n">
        <v>0</v>
      </c>
      <c r="K487" t="n">
        <v>0</v>
      </c>
      <c r="L487" t="n">
        <v>0</v>
      </c>
      <c r="M487" t="n">
        <v>0</v>
      </c>
      <c r="N487" t="n">
        <v>0</v>
      </c>
      <c r="O487" t="n">
        <v>0</v>
      </c>
      <c r="P487" t="n">
        <v>0</v>
      </c>
      <c r="Q487" t="n">
        <v>0</v>
      </c>
      <c r="R487" s="2" t="inlineStr"/>
    </row>
    <row r="488" ht="15" customHeight="1">
      <c r="A488" t="inlineStr">
        <is>
          <t>A 1878-2023</t>
        </is>
      </c>
      <c r="B488" s="1" t="n">
        <v>44939</v>
      </c>
      <c r="C488" s="1" t="n">
        <v>45802</v>
      </c>
      <c r="D488" t="inlineStr">
        <is>
          <t>DALARNAS LÄN</t>
        </is>
      </c>
      <c r="E488" t="inlineStr">
        <is>
          <t>LUDVIKA</t>
        </is>
      </c>
      <c r="G488" t="n">
        <v>1.5</v>
      </c>
      <c r="H488" t="n">
        <v>0</v>
      </c>
      <c r="I488" t="n">
        <v>0</v>
      </c>
      <c r="J488" t="n">
        <v>0</v>
      </c>
      <c r="K488" t="n">
        <v>0</v>
      </c>
      <c r="L488" t="n">
        <v>0</v>
      </c>
      <c r="M488" t="n">
        <v>0</v>
      </c>
      <c r="N488" t="n">
        <v>0</v>
      </c>
      <c r="O488" t="n">
        <v>0</v>
      </c>
      <c r="P488" t="n">
        <v>0</v>
      </c>
      <c r="Q488" t="n">
        <v>0</v>
      </c>
      <c r="R488" s="2" t="inlineStr"/>
    </row>
    <row r="489" ht="15" customHeight="1">
      <c r="A489" t="inlineStr">
        <is>
          <t>A 2614-2023</t>
        </is>
      </c>
      <c r="B489" s="1" t="n">
        <v>44942</v>
      </c>
      <c r="C489" s="1" t="n">
        <v>45802</v>
      </c>
      <c r="D489" t="inlineStr">
        <is>
          <t>DALARNAS LÄN</t>
        </is>
      </c>
      <c r="E489" t="inlineStr">
        <is>
          <t>LUDVIKA</t>
        </is>
      </c>
      <c r="G489" t="n">
        <v>13.1</v>
      </c>
      <c r="H489" t="n">
        <v>0</v>
      </c>
      <c r="I489" t="n">
        <v>0</v>
      </c>
      <c r="J489" t="n">
        <v>0</v>
      </c>
      <c r="K489" t="n">
        <v>0</v>
      </c>
      <c r="L489" t="n">
        <v>0</v>
      </c>
      <c r="M489" t="n">
        <v>0</v>
      </c>
      <c r="N489" t="n">
        <v>0</v>
      </c>
      <c r="O489" t="n">
        <v>0</v>
      </c>
      <c r="P489" t="n">
        <v>0</v>
      </c>
      <c r="Q489" t="n">
        <v>0</v>
      </c>
      <c r="R489" s="2" t="inlineStr"/>
    </row>
    <row r="490" ht="15" customHeight="1">
      <c r="A490" t="inlineStr">
        <is>
          <t>A 3509-2023</t>
        </is>
      </c>
      <c r="B490" s="1" t="n">
        <v>44950</v>
      </c>
      <c r="C490" s="1" t="n">
        <v>45802</v>
      </c>
      <c r="D490" t="inlineStr">
        <is>
          <t>DALARNAS LÄN</t>
        </is>
      </c>
      <c r="E490" t="inlineStr">
        <is>
          <t>LUDVIKA</t>
        </is>
      </c>
      <c r="F490" t="inlineStr">
        <is>
          <t>Naturvårdsverket</t>
        </is>
      </c>
      <c r="G490" t="n">
        <v>5.1</v>
      </c>
      <c r="H490" t="n">
        <v>0</v>
      </c>
      <c r="I490" t="n">
        <v>0</v>
      </c>
      <c r="J490" t="n">
        <v>0</v>
      </c>
      <c r="K490" t="n">
        <v>0</v>
      </c>
      <c r="L490" t="n">
        <v>0</v>
      </c>
      <c r="M490" t="n">
        <v>0</v>
      </c>
      <c r="N490" t="n">
        <v>0</v>
      </c>
      <c r="O490" t="n">
        <v>0</v>
      </c>
      <c r="P490" t="n">
        <v>0</v>
      </c>
      <c r="Q490" t="n">
        <v>0</v>
      </c>
      <c r="R490" s="2" t="inlineStr"/>
    </row>
    <row r="491" ht="15" customHeight="1">
      <c r="A491" t="inlineStr">
        <is>
          <t>A 4705-2023</t>
        </is>
      </c>
      <c r="B491" s="1" t="n">
        <v>44957</v>
      </c>
      <c r="C491" s="1" t="n">
        <v>45802</v>
      </c>
      <c r="D491" t="inlineStr">
        <is>
          <t>DALARNAS LÄN</t>
        </is>
      </c>
      <c r="E491" t="inlineStr">
        <is>
          <t>LUDVIKA</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4703-2023</t>
        </is>
      </c>
      <c r="B492" s="1" t="n">
        <v>44957</v>
      </c>
      <c r="C492" s="1" t="n">
        <v>45802</v>
      </c>
      <c r="D492" t="inlineStr">
        <is>
          <t>DALARNAS LÄN</t>
        </is>
      </c>
      <c r="E492" t="inlineStr">
        <is>
          <t>LUDVIKA</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4903-2023</t>
        </is>
      </c>
      <c r="B493" s="1" t="n">
        <v>44958</v>
      </c>
      <c r="C493" s="1" t="n">
        <v>45802</v>
      </c>
      <c r="D493" t="inlineStr">
        <is>
          <t>DALARNAS LÄN</t>
        </is>
      </c>
      <c r="E493" t="inlineStr">
        <is>
          <t>LUDVIKA</t>
        </is>
      </c>
      <c r="F493" t="inlineStr">
        <is>
          <t>Bergvik skog väst AB</t>
        </is>
      </c>
      <c r="G493" t="n">
        <v>2.5</v>
      </c>
      <c r="H493" t="n">
        <v>0</v>
      </c>
      <c r="I493" t="n">
        <v>0</v>
      </c>
      <c r="J493" t="n">
        <v>0</v>
      </c>
      <c r="K493" t="n">
        <v>0</v>
      </c>
      <c r="L493" t="n">
        <v>0</v>
      </c>
      <c r="M493" t="n">
        <v>0</v>
      </c>
      <c r="N493" t="n">
        <v>0</v>
      </c>
      <c r="O493" t="n">
        <v>0</v>
      </c>
      <c r="P493" t="n">
        <v>0</v>
      </c>
      <c r="Q493" t="n">
        <v>0</v>
      </c>
      <c r="R493" s="2" t="inlineStr"/>
    </row>
    <row r="494" ht="15" customHeight="1">
      <c r="A494" t="inlineStr">
        <is>
          <t>A 4890-2023</t>
        </is>
      </c>
      <c r="B494" s="1" t="n">
        <v>44958</v>
      </c>
      <c r="C494" s="1" t="n">
        <v>45802</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5672-2023</t>
        </is>
      </c>
      <c r="B495" s="1" t="n">
        <v>44960</v>
      </c>
      <c r="C495" s="1" t="n">
        <v>45802</v>
      </c>
      <c r="D495" t="inlineStr">
        <is>
          <t>DALARNAS LÄN</t>
        </is>
      </c>
      <c r="E495" t="inlineStr">
        <is>
          <t>LUDVIKA</t>
        </is>
      </c>
      <c r="F495" t="inlineStr">
        <is>
          <t>Naturvårdsverket</t>
        </is>
      </c>
      <c r="G495" t="n">
        <v>2.7</v>
      </c>
      <c r="H495" t="n">
        <v>0</v>
      </c>
      <c r="I495" t="n">
        <v>0</v>
      </c>
      <c r="J495" t="n">
        <v>0</v>
      </c>
      <c r="K495" t="n">
        <v>0</v>
      </c>
      <c r="L495" t="n">
        <v>0</v>
      </c>
      <c r="M495" t="n">
        <v>0</v>
      </c>
      <c r="N495" t="n">
        <v>0</v>
      </c>
      <c r="O495" t="n">
        <v>0</v>
      </c>
      <c r="P495" t="n">
        <v>0</v>
      </c>
      <c r="Q495" t="n">
        <v>0</v>
      </c>
      <c r="R495" s="2" t="inlineStr"/>
    </row>
    <row r="496" ht="15" customHeight="1">
      <c r="A496" t="inlineStr">
        <is>
          <t>A 5673-2023</t>
        </is>
      </c>
      <c r="B496" s="1" t="n">
        <v>44960</v>
      </c>
      <c r="C496" s="1" t="n">
        <v>45802</v>
      </c>
      <c r="D496" t="inlineStr">
        <is>
          <t>DALARNAS LÄN</t>
        </is>
      </c>
      <c r="E496" t="inlineStr">
        <is>
          <t>LUDVIKA</t>
        </is>
      </c>
      <c r="F496" t="inlineStr">
        <is>
          <t>Naturvårdsverket</t>
        </is>
      </c>
      <c r="G496" t="n">
        <v>0.7</v>
      </c>
      <c r="H496" t="n">
        <v>0</v>
      </c>
      <c r="I496" t="n">
        <v>0</v>
      </c>
      <c r="J496" t="n">
        <v>0</v>
      </c>
      <c r="K496" t="n">
        <v>0</v>
      </c>
      <c r="L496" t="n">
        <v>0</v>
      </c>
      <c r="M496" t="n">
        <v>0</v>
      </c>
      <c r="N496" t="n">
        <v>0</v>
      </c>
      <c r="O496" t="n">
        <v>0</v>
      </c>
      <c r="P496" t="n">
        <v>0</v>
      </c>
      <c r="Q496" t="n">
        <v>0</v>
      </c>
      <c r="R496" s="2" t="inlineStr"/>
    </row>
    <row r="497" ht="15" customHeight="1">
      <c r="A497" t="inlineStr">
        <is>
          <t>A 6579-2023</t>
        </is>
      </c>
      <c r="B497" s="1" t="n">
        <v>44960</v>
      </c>
      <c r="C497" s="1" t="n">
        <v>45802</v>
      </c>
      <c r="D497" t="inlineStr">
        <is>
          <t>DALARNAS LÄN</t>
        </is>
      </c>
      <c r="E497" t="inlineStr">
        <is>
          <t>LUDVIKA</t>
        </is>
      </c>
      <c r="G497" t="n">
        <v>3.4</v>
      </c>
      <c r="H497" t="n">
        <v>0</v>
      </c>
      <c r="I497" t="n">
        <v>0</v>
      </c>
      <c r="J497" t="n">
        <v>0</v>
      </c>
      <c r="K497" t="n">
        <v>0</v>
      </c>
      <c r="L497" t="n">
        <v>0</v>
      </c>
      <c r="M497" t="n">
        <v>0</v>
      </c>
      <c r="N497" t="n">
        <v>0</v>
      </c>
      <c r="O497" t="n">
        <v>0</v>
      </c>
      <c r="P497" t="n">
        <v>0</v>
      </c>
      <c r="Q497" t="n">
        <v>0</v>
      </c>
      <c r="R497" s="2" t="inlineStr"/>
    </row>
    <row r="498" ht="15" customHeight="1">
      <c r="A498" t="inlineStr">
        <is>
          <t>A 6593-2023</t>
        </is>
      </c>
      <c r="B498" s="1" t="n">
        <v>44960</v>
      </c>
      <c r="C498" s="1" t="n">
        <v>45802</v>
      </c>
      <c r="D498" t="inlineStr">
        <is>
          <t>DALARNAS LÄN</t>
        </is>
      </c>
      <c r="E498" t="inlineStr">
        <is>
          <t>LUDVIKA</t>
        </is>
      </c>
      <c r="G498" t="n">
        <v>3.8</v>
      </c>
      <c r="H498" t="n">
        <v>0</v>
      </c>
      <c r="I498" t="n">
        <v>0</v>
      </c>
      <c r="J498" t="n">
        <v>0</v>
      </c>
      <c r="K498" t="n">
        <v>0</v>
      </c>
      <c r="L498" t="n">
        <v>0</v>
      </c>
      <c r="M498" t="n">
        <v>0</v>
      </c>
      <c r="N498" t="n">
        <v>0</v>
      </c>
      <c r="O498" t="n">
        <v>0</v>
      </c>
      <c r="P498" t="n">
        <v>0</v>
      </c>
      <c r="Q498" t="n">
        <v>0</v>
      </c>
      <c r="R498" s="2" t="inlineStr"/>
    </row>
    <row r="499" ht="15" customHeight="1">
      <c r="A499" t="inlineStr">
        <is>
          <t>A 5599-2023</t>
        </is>
      </c>
      <c r="B499" s="1" t="n">
        <v>44960</v>
      </c>
      <c r="C499" s="1" t="n">
        <v>45802</v>
      </c>
      <c r="D499" t="inlineStr">
        <is>
          <t>DALARNAS LÄN</t>
        </is>
      </c>
      <c r="E499" t="inlineStr">
        <is>
          <t>LUDVIKA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5752-2023</t>
        </is>
      </c>
      <c r="B500" s="1" t="n">
        <v>44963</v>
      </c>
      <c r="C500" s="1" t="n">
        <v>45802</v>
      </c>
      <c r="D500" t="inlineStr">
        <is>
          <t>DALARNAS LÄN</t>
        </is>
      </c>
      <c r="E500" t="inlineStr">
        <is>
          <t>LUDVIKA</t>
        </is>
      </c>
      <c r="F500" t="inlineStr">
        <is>
          <t>Bergvik skog väst AB</t>
        </is>
      </c>
      <c r="G500" t="n">
        <v>7.7</v>
      </c>
      <c r="H500" t="n">
        <v>0</v>
      </c>
      <c r="I500" t="n">
        <v>0</v>
      </c>
      <c r="J500" t="n">
        <v>0</v>
      </c>
      <c r="K500" t="n">
        <v>0</v>
      </c>
      <c r="L500" t="n">
        <v>0</v>
      </c>
      <c r="M500" t="n">
        <v>0</v>
      </c>
      <c r="N500" t="n">
        <v>0</v>
      </c>
      <c r="O500" t="n">
        <v>0</v>
      </c>
      <c r="P500" t="n">
        <v>0</v>
      </c>
      <c r="Q500" t="n">
        <v>0</v>
      </c>
      <c r="R500" s="2" t="inlineStr"/>
    </row>
    <row r="501" ht="15" customHeight="1">
      <c r="A501" t="inlineStr">
        <is>
          <t>A 6010-2023</t>
        </is>
      </c>
      <c r="B501" s="1" t="n">
        <v>44964</v>
      </c>
      <c r="C501" s="1" t="n">
        <v>45802</v>
      </c>
      <c r="D501" t="inlineStr">
        <is>
          <t>DALARNAS LÄN</t>
        </is>
      </c>
      <c r="E501" t="inlineStr">
        <is>
          <t>LUDVIKA</t>
        </is>
      </c>
      <c r="G501" t="n">
        <v>0.5</v>
      </c>
      <c r="H501" t="n">
        <v>0</v>
      </c>
      <c r="I501" t="n">
        <v>0</v>
      </c>
      <c r="J501" t="n">
        <v>0</v>
      </c>
      <c r="K501" t="n">
        <v>0</v>
      </c>
      <c r="L501" t="n">
        <v>0</v>
      </c>
      <c r="M501" t="n">
        <v>0</v>
      </c>
      <c r="N501" t="n">
        <v>0</v>
      </c>
      <c r="O501" t="n">
        <v>0</v>
      </c>
      <c r="P501" t="n">
        <v>0</v>
      </c>
      <c r="Q501" t="n">
        <v>0</v>
      </c>
      <c r="R501" s="2" t="inlineStr"/>
    </row>
    <row r="502" ht="15" customHeight="1">
      <c r="A502" t="inlineStr">
        <is>
          <t>A 6281-2023</t>
        </is>
      </c>
      <c r="B502" s="1" t="n">
        <v>44965</v>
      </c>
      <c r="C502" s="1" t="n">
        <v>45802</v>
      </c>
      <c r="D502" t="inlineStr">
        <is>
          <t>DALARNAS LÄN</t>
        </is>
      </c>
      <c r="E502" t="inlineStr">
        <is>
          <t>LUDVIKA</t>
        </is>
      </c>
      <c r="G502" t="n">
        <v>7.7</v>
      </c>
      <c r="H502" t="n">
        <v>0</v>
      </c>
      <c r="I502" t="n">
        <v>0</v>
      </c>
      <c r="J502" t="n">
        <v>0</v>
      </c>
      <c r="K502" t="n">
        <v>0</v>
      </c>
      <c r="L502" t="n">
        <v>0</v>
      </c>
      <c r="M502" t="n">
        <v>0</v>
      </c>
      <c r="N502" t="n">
        <v>0</v>
      </c>
      <c r="O502" t="n">
        <v>0</v>
      </c>
      <c r="P502" t="n">
        <v>0</v>
      </c>
      <c r="Q502" t="n">
        <v>0</v>
      </c>
      <c r="R502" s="2" t="inlineStr"/>
    </row>
    <row r="503" ht="15" customHeight="1">
      <c r="A503" t="inlineStr">
        <is>
          <t>A 6564-2023</t>
        </is>
      </c>
      <c r="B503" s="1" t="n">
        <v>44966</v>
      </c>
      <c r="C503" s="1" t="n">
        <v>45802</v>
      </c>
      <c r="D503" t="inlineStr">
        <is>
          <t>DALARNAS LÄN</t>
        </is>
      </c>
      <c r="E503" t="inlineStr">
        <is>
          <t>LUDVIKA</t>
        </is>
      </c>
      <c r="F503" t="inlineStr">
        <is>
          <t>Naturvårdsverket</t>
        </is>
      </c>
      <c r="G503" t="n">
        <v>2.3</v>
      </c>
      <c r="H503" t="n">
        <v>0</v>
      </c>
      <c r="I503" t="n">
        <v>0</v>
      </c>
      <c r="J503" t="n">
        <v>0</v>
      </c>
      <c r="K503" t="n">
        <v>0</v>
      </c>
      <c r="L503" t="n">
        <v>0</v>
      </c>
      <c r="M503" t="n">
        <v>0</v>
      </c>
      <c r="N503" t="n">
        <v>0</v>
      </c>
      <c r="O503" t="n">
        <v>0</v>
      </c>
      <c r="P503" t="n">
        <v>0</v>
      </c>
      <c r="Q503" t="n">
        <v>0</v>
      </c>
      <c r="R503" s="2" t="inlineStr"/>
    </row>
    <row r="504" ht="15" customHeight="1">
      <c r="A504" t="inlineStr">
        <is>
          <t>A 6975-2023</t>
        </is>
      </c>
      <c r="B504" s="1" t="n">
        <v>44967</v>
      </c>
      <c r="C504" s="1" t="n">
        <v>45802</v>
      </c>
      <c r="D504" t="inlineStr">
        <is>
          <t>DALARNAS LÄN</t>
        </is>
      </c>
      <c r="E504" t="inlineStr">
        <is>
          <t>LUDVIKA</t>
        </is>
      </c>
      <c r="G504" t="n">
        <v>2.1</v>
      </c>
      <c r="H504" t="n">
        <v>0</v>
      </c>
      <c r="I504" t="n">
        <v>0</v>
      </c>
      <c r="J504" t="n">
        <v>0</v>
      </c>
      <c r="K504" t="n">
        <v>0</v>
      </c>
      <c r="L504" t="n">
        <v>0</v>
      </c>
      <c r="M504" t="n">
        <v>0</v>
      </c>
      <c r="N504" t="n">
        <v>0</v>
      </c>
      <c r="O504" t="n">
        <v>0</v>
      </c>
      <c r="P504" t="n">
        <v>0</v>
      </c>
      <c r="Q504" t="n">
        <v>0</v>
      </c>
      <c r="R504" s="2" t="inlineStr"/>
    </row>
    <row r="505" ht="15" customHeight="1">
      <c r="A505" t="inlineStr">
        <is>
          <t>A 7243-2023</t>
        </is>
      </c>
      <c r="B505" s="1" t="n">
        <v>44970</v>
      </c>
      <c r="C505" s="1" t="n">
        <v>45802</v>
      </c>
      <c r="D505" t="inlineStr">
        <is>
          <t>DALARNAS LÄN</t>
        </is>
      </c>
      <c r="E505" t="inlineStr">
        <is>
          <t>LUDVIKA</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7238-2023</t>
        </is>
      </c>
      <c r="B506" s="1" t="n">
        <v>44970</v>
      </c>
      <c r="C506" s="1" t="n">
        <v>45802</v>
      </c>
      <c r="D506" t="inlineStr">
        <is>
          <t>DALARNAS LÄN</t>
        </is>
      </c>
      <c r="E506" t="inlineStr">
        <is>
          <t>LUDVIKA</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7173-2023</t>
        </is>
      </c>
      <c r="B507" s="1" t="n">
        <v>44970</v>
      </c>
      <c r="C507" s="1" t="n">
        <v>45802</v>
      </c>
      <c r="D507" t="inlineStr">
        <is>
          <t>DALARNAS LÄN</t>
        </is>
      </c>
      <c r="E507" t="inlineStr">
        <is>
          <t>LUDVIKA</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7435-2023</t>
        </is>
      </c>
      <c r="B508" s="1" t="n">
        <v>44971</v>
      </c>
      <c r="C508" s="1" t="n">
        <v>45802</v>
      </c>
      <c r="D508" t="inlineStr">
        <is>
          <t>DALARNAS LÄN</t>
        </is>
      </c>
      <c r="E508" t="inlineStr">
        <is>
          <t>LUDVIKA</t>
        </is>
      </c>
      <c r="F508" t="inlineStr">
        <is>
          <t>Naturvårdsverket</t>
        </is>
      </c>
      <c r="G508" t="n">
        <v>0.8</v>
      </c>
      <c r="H508" t="n">
        <v>0</v>
      </c>
      <c r="I508" t="n">
        <v>0</v>
      </c>
      <c r="J508" t="n">
        <v>0</v>
      </c>
      <c r="K508" t="n">
        <v>0</v>
      </c>
      <c r="L508" t="n">
        <v>0</v>
      </c>
      <c r="M508" t="n">
        <v>0</v>
      </c>
      <c r="N508" t="n">
        <v>0</v>
      </c>
      <c r="O508" t="n">
        <v>0</v>
      </c>
      <c r="P508" t="n">
        <v>0</v>
      </c>
      <c r="Q508" t="n">
        <v>0</v>
      </c>
      <c r="R508" s="2" t="inlineStr"/>
    </row>
    <row r="509" ht="15" customHeight="1">
      <c r="A509" t="inlineStr">
        <is>
          <t>A 7539-2023</t>
        </is>
      </c>
      <c r="B509" s="1" t="n">
        <v>44972</v>
      </c>
      <c r="C509" s="1" t="n">
        <v>45802</v>
      </c>
      <c r="D509" t="inlineStr">
        <is>
          <t>DALARNAS LÄN</t>
        </is>
      </c>
      <c r="E509" t="inlineStr">
        <is>
          <t>LUDVIKA</t>
        </is>
      </c>
      <c r="G509" t="n">
        <v>0.6</v>
      </c>
      <c r="H509" t="n">
        <v>0</v>
      </c>
      <c r="I509" t="n">
        <v>0</v>
      </c>
      <c r="J509" t="n">
        <v>0</v>
      </c>
      <c r="K509" t="n">
        <v>0</v>
      </c>
      <c r="L509" t="n">
        <v>0</v>
      </c>
      <c r="M509" t="n">
        <v>0</v>
      </c>
      <c r="N509" t="n">
        <v>0</v>
      </c>
      <c r="O509" t="n">
        <v>0</v>
      </c>
      <c r="P509" t="n">
        <v>0</v>
      </c>
      <c r="Q509" t="n">
        <v>0</v>
      </c>
      <c r="R509" s="2" t="inlineStr"/>
    </row>
    <row r="510" ht="15" customHeight="1">
      <c r="A510" t="inlineStr">
        <is>
          <t>A 8076-2023</t>
        </is>
      </c>
      <c r="B510" s="1" t="n">
        <v>44974</v>
      </c>
      <c r="C510" s="1" t="n">
        <v>45802</v>
      </c>
      <c r="D510" t="inlineStr">
        <is>
          <t>DALARNAS LÄN</t>
        </is>
      </c>
      <c r="E510" t="inlineStr">
        <is>
          <t>LUDVIKA</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8703-2023</t>
        </is>
      </c>
      <c r="B511" s="1" t="n">
        <v>44978</v>
      </c>
      <c r="C511" s="1" t="n">
        <v>45802</v>
      </c>
      <c r="D511" t="inlineStr">
        <is>
          <t>DALARNAS LÄN</t>
        </is>
      </c>
      <c r="E511" t="inlineStr">
        <is>
          <t>LUDVIKA</t>
        </is>
      </c>
      <c r="G511" t="n">
        <v>0.5</v>
      </c>
      <c r="H511" t="n">
        <v>0</v>
      </c>
      <c r="I511" t="n">
        <v>0</v>
      </c>
      <c r="J511" t="n">
        <v>0</v>
      </c>
      <c r="K511" t="n">
        <v>0</v>
      </c>
      <c r="L511" t="n">
        <v>0</v>
      </c>
      <c r="M511" t="n">
        <v>0</v>
      </c>
      <c r="N511" t="n">
        <v>0</v>
      </c>
      <c r="O511" t="n">
        <v>0</v>
      </c>
      <c r="P511" t="n">
        <v>0</v>
      </c>
      <c r="Q511" t="n">
        <v>0</v>
      </c>
      <c r="R511" s="2" t="inlineStr"/>
    </row>
    <row r="512" ht="15" customHeight="1">
      <c r="A512" t="inlineStr">
        <is>
          <t>A 9386-2023</t>
        </is>
      </c>
      <c r="B512" s="1" t="n">
        <v>44981</v>
      </c>
      <c r="C512" s="1" t="n">
        <v>45802</v>
      </c>
      <c r="D512" t="inlineStr">
        <is>
          <t>DALARNAS LÄN</t>
        </is>
      </c>
      <c r="E512" t="inlineStr">
        <is>
          <t>LUDVIKA</t>
        </is>
      </c>
      <c r="G512" t="n">
        <v>6.2</v>
      </c>
      <c r="H512" t="n">
        <v>0</v>
      </c>
      <c r="I512" t="n">
        <v>0</v>
      </c>
      <c r="J512" t="n">
        <v>0</v>
      </c>
      <c r="K512" t="n">
        <v>0</v>
      </c>
      <c r="L512" t="n">
        <v>0</v>
      </c>
      <c r="M512" t="n">
        <v>0</v>
      </c>
      <c r="N512" t="n">
        <v>0</v>
      </c>
      <c r="O512" t="n">
        <v>0</v>
      </c>
      <c r="P512" t="n">
        <v>0</v>
      </c>
      <c r="Q512" t="n">
        <v>0</v>
      </c>
      <c r="R512" s="2" t="inlineStr"/>
    </row>
    <row r="513" ht="15" customHeight="1">
      <c r="A513" t="inlineStr">
        <is>
          <t>A 11797-2023</t>
        </is>
      </c>
      <c r="B513" s="1" t="n">
        <v>44994</v>
      </c>
      <c r="C513" s="1" t="n">
        <v>45802</v>
      </c>
      <c r="D513" t="inlineStr">
        <is>
          <t>DALARNAS LÄN</t>
        </is>
      </c>
      <c r="E513" t="inlineStr">
        <is>
          <t>LUDVIKA</t>
        </is>
      </c>
      <c r="G513" t="n">
        <v>0.7</v>
      </c>
      <c r="H513" t="n">
        <v>0</v>
      </c>
      <c r="I513" t="n">
        <v>0</v>
      </c>
      <c r="J513" t="n">
        <v>0</v>
      </c>
      <c r="K513" t="n">
        <v>0</v>
      </c>
      <c r="L513" t="n">
        <v>0</v>
      </c>
      <c r="M513" t="n">
        <v>0</v>
      </c>
      <c r="N513" t="n">
        <v>0</v>
      </c>
      <c r="O513" t="n">
        <v>0</v>
      </c>
      <c r="P513" t="n">
        <v>0</v>
      </c>
      <c r="Q513" t="n">
        <v>0</v>
      </c>
      <c r="R513" s="2" t="inlineStr"/>
    </row>
    <row r="514" ht="15" customHeight="1">
      <c r="A514" t="inlineStr">
        <is>
          <t>A 11755-2023</t>
        </is>
      </c>
      <c r="B514" s="1" t="n">
        <v>44994</v>
      </c>
      <c r="C514" s="1" t="n">
        <v>45802</v>
      </c>
      <c r="D514" t="inlineStr">
        <is>
          <t>DALARNAS LÄN</t>
        </is>
      </c>
      <c r="E514" t="inlineStr">
        <is>
          <t>LUDVIKA</t>
        </is>
      </c>
      <c r="F514" t="inlineStr">
        <is>
          <t>Övriga Aktiebolag</t>
        </is>
      </c>
      <c r="G514" t="n">
        <v>7</v>
      </c>
      <c r="H514" t="n">
        <v>0</v>
      </c>
      <c r="I514" t="n">
        <v>0</v>
      </c>
      <c r="J514" t="n">
        <v>0</v>
      </c>
      <c r="K514" t="n">
        <v>0</v>
      </c>
      <c r="L514" t="n">
        <v>0</v>
      </c>
      <c r="M514" t="n">
        <v>0</v>
      </c>
      <c r="N514" t="n">
        <v>0</v>
      </c>
      <c r="O514" t="n">
        <v>0</v>
      </c>
      <c r="P514" t="n">
        <v>0</v>
      </c>
      <c r="Q514" t="n">
        <v>0</v>
      </c>
      <c r="R514" s="2" t="inlineStr"/>
    </row>
    <row r="515" ht="15" customHeight="1">
      <c r="A515" t="inlineStr">
        <is>
          <t>A 12096-2023</t>
        </is>
      </c>
      <c r="B515" s="1" t="n">
        <v>44998</v>
      </c>
      <c r="C515" s="1" t="n">
        <v>45802</v>
      </c>
      <c r="D515" t="inlineStr">
        <is>
          <t>DALARNAS LÄN</t>
        </is>
      </c>
      <c r="E515" t="inlineStr">
        <is>
          <t>LUDVIKA</t>
        </is>
      </c>
      <c r="G515" t="n">
        <v>1.2</v>
      </c>
      <c r="H515" t="n">
        <v>0</v>
      </c>
      <c r="I515" t="n">
        <v>0</v>
      </c>
      <c r="J515" t="n">
        <v>0</v>
      </c>
      <c r="K515" t="n">
        <v>0</v>
      </c>
      <c r="L515" t="n">
        <v>0</v>
      </c>
      <c r="M515" t="n">
        <v>0</v>
      </c>
      <c r="N515" t="n">
        <v>0</v>
      </c>
      <c r="O515" t="n">
        <v>0</v>
      </c>
      <c r="P515" t="n">
        <v>0</v>
      </c>
      <c r="Q515" t="n">
        <v>0</v>
      </c>
      <c r="R515" s="2" t="inlineStr"/>
    </row>
    <row r="516" ht="15" customHeight="1">
      <c r="A516" t="inlineStr">
        <is>
          <t>A 13180-2023</t>
        </is>
      </c>
      <c r="B516" s="1" t="n">
        <v>45002</v>
      </c>
      <c r="C516" s="1" t="n">
        <v>45802</v>
      </c>
      <c r="D516" t="inlineStr">
        <is>
          <t>DALARNAS LÄN</t>
        </is>
      </c>
      <c r="E516" t="inlineStr">
        <is>
          <t>LUDVIKA</t>
        </is>
      </c>
      <c r="F516" t="inlineStr">
        <is>
          <t>Bergvik skog väst AB</t>
        </is>
      </c>
      <c r="G516" t="n">
        <v>1.7</v>
      </c>
      <c r="H516" t="n">
        <v>0</v>
      </c>
      <c r="I516" t="n">
        <v>0</v>
      </c>
      <c r="J516" t="n">
        <v>0</v>
      </c>
      <c r="K516" t="n">
        <v>0</v>
      </c>
      <c r="L516" t="n">
        <v>0</v>
      </c>
      <c r="M516" t="n">
        <v>0</v>
      </c>
      <c r="N516" t="n">
        <v>0</v>
      </c>
      <c r="O516" t="n">
        <v>0</v>
      </c>
      <c r="P516" t="n">
        <v>0</v>
      </c>
      <c r="Q516" t="n">
        <v>0</v>
      </c>
      <c r="R516" s="2" t="inlineStr"/>
    </row>
    <row r="517" ht="15" customHeight="1">
      <c r="A517" t="inlineStr">
        <is>
          <t>A 13215-2023</t>
        </is>
      </c>
      <c r="B517" s="1" t="n">
        <v>45002</v>
      </c>
      <c r="C517" s="1" t="n">
        <v>45802</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13217-2023</t>
        </is>
      </c>
      <c r="B518" s="1" t="n">
        <v>45002</v>
      </c>
      <c r="C518" s="1" t="n">
        <v>45802</v>
      </c>
      <c r="D518" t="inlineStr">
        <is>
          <t>DALARNAS LÄN</t>
        </is>
      </c>
      <c r="E518" t="inlineStr">
        <is>
          <t>LUDVIKA</t>
        </is>
      </c>
      <c r="G518" t="n">
        <v>0.8</v>
      </c>
      <c r="H518" t="n">
        <v>0</v>
      </c>
      <c r="I518" t="n">
        <v>0</v>
      </c>
      <c r="J518" t="n">
        <v>0</v>
      </c>
      <c r="K518" t="n">
        <v>0</v>
      </c>
      <c r="L518" t="n">
        <v>0</v>
      </c>
      <c r="M518" t="n">
        <v>0</v>
      </c>
      <c r="N518" t="n">
        <v>0</v>
      </c>
      <c r="O518" t="n">
        <v>0</v>
      </c>
      <c r="P518" t="n">
        <v>0</v>
      </c>
      <c r="Q518" t="n">
        <v>0</v>
      </c>
      <c r="R518" s="2" t="inlineStr"/>
    </row>
    <row r="519" ht="15" customHeight="1">
      <c r="A519" t="inlineStr">
        <is>
          <t>A 14632-2023</t>
        </is>
      </c>
      <c r="B519" s="1" t="n">
        <v>45013</v>
      </c>
      <c r="C519" s="1" t="n">
        <v>45802</v>
      </c>
      <c r="D519" t="inlineStr">
        <is>
          <t>DALARNAS LÄN</t>
        </is>
      </c>
      <c r="E519" t="inlineStr">
        <is>
          <t>LUDVIKA</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15754-2023</t>
        </is>
      </c>
      <c r="B520" s="1" t="n">
        <v>45021</v>
      </c>
      <c r="C520" s="1" t="n">
        <v>45802</v>
      </c>
      <c r="D520" t="inlineStr">
        <is>
          <t>DALARNAS LÄN</t>
        </is>
      </c>
      <c r="E520" t="inlineStr">
        <is>
          <t>LUDVIKA</t>
        </is>
      </c>
      <c r="F520" t="inlineStr">
        <is>
          <t>Naturvårdsverket</t>
        </is>
      </c>
      <c r="G520" t="n">
        <v>1.2</v>
      </c>
      <c r="H520" t="n">
        <v>0</v>
      </c>
      <c r="I520" t="n">
        <v>0</v>
      </c>
      <c r="J520" t="n">
        <v>0</v>
      </c>
      <c r="K520" t="n">
        <v>0</v>
      </c>
      <c r="L520" t="n">
        <v>0</v>
      </c>
      <c r="M520" t="n">
        <v>0</v>
      </c>
      <c r="N520" t="n">
        <v>0</v>
      </c>
      <c r="O520" t="n">
        <v>0</v>
      </c>
      <c r="P520" t="n">
        <v>0</v>
      </c>
      <c r="Q520" t="n">
        <v>0</v>
      </c>
      <c r="R520" s="2" t="inlineStr"/>
    </row>
    <row r="521" ht="15" customHeight="1">
      <c r="A521" t="inlineStr">
        <is>
          <t>A 16630-2023</t>
        </is>
      </c>
      <c r="B521" s="1" t="n">
        <v>45030</v>
      </c>
      <c r="C521" s="1" t="n">
        <v>45802</v>
      </c>
      <c r="D521" t="inlineStr">
        <is>
          <t>DALARNAS LÄN</t>
        </is>
      </c>
      <c r="E521" t="inlineStr">
        <is>
          <t>LUDVIKA</t>
        </is>
      </c>
      <c r="F521" t="inlineStr">
        <is>
          <t>Bergvik skog väst AB</t>
        </is>
      </c>
      <c r="G521" t="n">
        <v>3.9</v>
      </c>
      <c r="H521" t="n">
        <v>0</v>
      </c>
      <c r="I521" t="n">
        <v>0</v>
      </c>
      <c r="J521" t="n">
        <v>0</v>
      </c>
      <c r="K521" t="n">
        <v>0</v>
      </c>
      <c r="L521" t="n">
        <v>0</v>
      </c>
      <c r="M521" t="n">
        <v>0</v>
      </c>
      <c r="N521" t="n">
        <v>0</v>
      </c>
      <c r="O521" t="n">
        <v>0</v>
      </c>
      <c r="P521" t="n">
        <v>0</v>
      </c>
      <c r="Q521" t="n">
        <v>0</v>
      </c>
      <c r="R521" s="2" t="inlineStr"/>
    </row>
    <row r="522" ht="15" customHeight="1">
      <c r="A522" t="inlineStr">
        <is>
          <t>A 17032-2023</t>
        </is>
      </c>
      <c r="B522" s="1" t="n">
        <v>45034</v>
      </c>
      <c r="C522" s="1" t="n">
        <v>45802</v>
      </c>
      <c r="D522" t="inlineStr">
        <is>
          <t>DALARNAS LÄN</t>
        </is>
      </c>
      <c r="E522" t="inlineStr">
        <is>
          <t>LUDVIKA</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17037-2023</t>
        </is>
      </c>
      <c r="B523" s="1" t="n">
        <v>45034</v>
      </c>
      <c r="C523" s="1" t="n">
        <v>45802</v>
      </c>
      <c r="D523" t="inlineStr">
        <is>
          <t>DALARNAS LÄN</t>
        </is>
      </c>
      <c r="E523" t="inlineStr">
        <is>
          <t>LUDVIKA</t>
        </is>
      </c>
      <c r="F523" t="inlineStr">
        <is>
          <t>Naturvårdsverket</t>
        </is>
      </c>
      <c r="G523" t="n">
        <v>1.4</v>
      </c>
      <c r="H523" t="n">
        <v>0</v>
      </c>
      <c r="I523" t="n">
        <v>0</v>
      </c>
      <c r="J523" t="n">
        <v>0</v>
      </c>
      <c r="K523" t="n">
        <v>0</v>
      </c>
      <c r="L523" t="n">
        <v>0</v>
      </c>
      <c r="M523" t="n">
        <v>0</v>
      </c>
      <c r="N523" t="n">
        <v>0</v>
      </c>
      <c r="O523" t="n">
        <v>0</v>
      </c>
      <c r="P523" t="n">
        <v>0</v>
      </c>
      <c r="Q523" t="n">
        <v>0</v>
      </c>
      <c r="R523" s="2" t="inlineStr"/>
    </row>
    <row r="524" ht="15" customHeight="1">
      <c r="A524" t="inlineStr">
        <is>
          <t>A 17035-2023</t>
        </is>
      </c>
      <c r="B524" s="1" t="n">
        <v>45034</v>
      </c>
      <c r="C524" s="1" t="n">
        <v>45802</v>
      </c>
      <c r="D524" t="inlineStr">
        <is>
          <t>DALARNAS LÄN</t>
        </is>
      </c>
      <c r="E524" t="inlineStr">
        <is>
          <t>LUDVIKA</t>
        </is>
      </c>
      <c r="F524" t="inlineStr">
        <is>
          <t>Naturvårdsverket</t>
        </is>
      </c>
      <c r="G524" t="n">
        <v>1.7</v>
      </c>
      <c r="H524" t="n">
        <v>0</v>
      </c>
      <c r="I524" t="n">
        <v>0</v>
      </c>
      <c r="J524" t="n">
        <v>0</v>
      </c>
      <c r="K524" t="n">
        <v>0</v>
      </c>
      <c r="L524" t="n">
        <v>0</v>
      </c>
      <c r="M524" t="n">
        <v>0</v>
      </c>
      <c r="N524" t="n">
        <v>0</v>
      </c>
      <c r="O524" t="n">
        <v>0</v>
      </c>
      <c r="P524" t="n">
        <v>0</v>
      </c>
      <c r="Q524" t="n">
        <v>0</v>
      </c>
      <c r="R524" s="2" t="inlineStr"/>
    </row>
    <row r="525" ht="15" customHeight="1">
      <c r="A525" t="inlineStr">
        <is>
          <t>A 17138-2023</t>
        </is>
      </c>
      <c r="B525" s="1" t="n">
        <v>45034</v>
      </c>
      <c r="C525" s="1" t="n">
        <v>45802</v>
      </c>
      <c r="D525" t="inlineStr">
        <is>
          <t>DALARNAS LÄN</t>
        </is>
      </c>
      <c r="E525" t="inlineStr">
        <is>
          <t>LUDVIKA</t>
        </is>
      </c>
      <c r="F525" t="inlineStr">
        <is>
          <t>Naturvårdsverket</t>
        </is>
      </c>
      <c r="G525" t="n">
        <v>2.7</v>
      </c>
      <c r="H525" t="n">
        <v>0</v>
      </c>
      <c r="I525" t="n">
        <v>0</v>
      </c>
      <c r="J525" t="n">
        <v>0</v>
      </c>
      <c r="K525" t="n">
        <v>0</v>
      </c>
      <c r="L525" t="n">
        <v>0</v>
      </c>
      <c r="M525" t="n">
        <v>0</v>
      </c>
      <c r="N525" t="n">
        <v>0</v>
      </c>
      <c r="O525" t="n">
        <v>0</v>
      </c>
      <c r="P525" t="n">
        <v>0</v>
      </c>
      <c r="Q525" t="n">
        <v>0</v>
      </c>
      <c r="R525" s="2" t="inlineStr"/>
    </row>
    <row r="526" ht="15" customHeight="1">
      <c r="A526" t="inlineStr">
        <is>
          <t>A 18585-2023</t>
        </is>
      </c>
      <c r="B526" s="1" t="n">
        <v>45043</v>
      </c>
      <c r="C526" s="1" t="n">
        <v>45802</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18708-2023</t>
        </is>
      </c>
      <c r="B527" s="1" t="n">
        <v>45043</v>
      </c>
      <c r="C527" s="1" t="n">
        <v>45802</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18660-2023</t>
        </is>
      </c>
      <c r="B528" s="1" t="n">
        <v>45043</v>
      </c>
      <c r="C528" s="1" t="n">
        <v>45802</v>
      </c>
      <c r="D528" t="inlineStr">
        <is>
          <t>DALARNAS LÄN</t>
        </is>
      </c>
      <c r="E528" t="inlineStr">
        <is>
          <t>LUDVIKA</t>
        </is>
      </c>
      <c r="F528" t="inlineStr">
        <is>
          <t>Bergvik skog väst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18936-2023</t>
        </is>
      </c>
      <c r="B529" s="1" t="n">
        <v>45044</v>
      </c>
      <c r="C529" s="1" t="n">
        <v>45802</v>
      </c>
      <c r="D529" t="inlineStr">
        <is>
          <t>DALARNAS LÄN</t>
        </is>
      </c>
      <c r="E529" t="inlineStr">
        <is>
          <t>LUDVIKA</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18850-2023</t>
        </is>
      </c>
      <c r="B530" s="1" t="n">
        <v>45044</v>
      </c>
      <c r="C530" s="1" t="n">
        <v>45802</v>
      </c>
      <c r="D530" t="inlineStr">
        <is>
          <t>DALARNAS LÄN</t>
        </is>
      </c>
      <c r="E530" t="inlineStr">
        <is>
          <t>LUDVIKA</t>
        </is>
      </c>
      <c r="F530" t="inlineStr">
        <is>
          <t>Naturvårdsverket</t>
        </is>
      </c>
      <c r="G530" t="n">
        <v>1.2</v>
      </c>
      <c r="H530" t="n">
        <v>0</v>
      </c>
      <c r="I530" t="n">
        <v>0</v>
      </c>
      <c r="J530" t="n">
        <v>0</v>
      </c>
      <c r="K530" t="n">
        <v>0</v>
      </c>
      <c r="L530" t="n">
        <v>0</v>
      </c>
      <c r="M530" t="n">
        <v>0</v>
      </c>
      <c r="N530" t="n">
        <v>0</v>
      </c>
      <c r="O530" t="n">
        <v>0</v>
      </c>
      <c r="P530" t="n">
        <v>0</v>
      </c>
      <c r="Q530" t="n">
        <v>0</v>
      </c>
      <c r="R530" s="2" t="inlineStr"/>
    </row>
    <row r="531" ht="15" customHeight="1">
      <c r="A531" t="inlineStr">
        <is>
          <t>A 18864-2023</t>
        </is>
      </c>
      <c r="B531" s="1" t="n">
        <v>45044</v>
      </c>
      <c r="C531" s="1" t="n">
        <v>45802</v>
      </c>
      <c r="D531" t="inlineStr">
        <is>
          <t>DALARNAS LÄN</t>
        </is>
      </c>
      <c r="E531" t="inlineStr">
        <is>
          <t>LUDVIKA</t>
        </is>
      </c>
      <c r="F531" t="inlineStr">
        <is>
          <t>Naturvårdsverket</t>
        </is>
      </c>
      <c r="G531" t="n">
        <v>0.5</v>
      </c>
      <c r="H531" t="n">
        <v>0</v>
      </c>
      <c r="I531" t="n">
        <v>0</v>
      </c>
      <c r="J531" t="n">
        <v>0</v>
      </c>
      <c r="K531" t="n">
        <v>0</v>
      </c>
      <c r="L531" t="n">
        <v>0</v>
      </c>
      <c r="M531" t="n">
        <v>0</v>
      </c>
      <c r="N531" t="n">
        <v>0</v>
      </c>
      <c r="O531" t="n">
        <v>0</v>
      </c>
      <c r="P531" t="n">
        <v>0</v>
      </c>
      <c r="Q531" t="n">
        <v>0</v>
      </c>
      <c r="R531" s="2" t="inlineStr"/>
    </row>
    <row r="532" ht="15" customHeight="1">
      <c r="A532" t="inlineStr">
        <is>
          <t>A 19449-2023</t>
        </is>
      </c>
      <c r="B532" s="1" t="n">
        <v>45050</v>
      </c>
      <c r="C532" s="1" t="n">
        <v>45802</v>
      </c>
      <c r="D532" t="inlineStr">
        <is>
          <t>DALARNAS LÄN</t>
        </is>
      </c>
      <c r="E532" t="inlineStr">
        <is>
          <t>LUDVIKA</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19643-2023</t>
        </is>
      </c>
      <c r="B533" s="1" t="n">
        <v>45051</v>
      </c>
      <c r="C533" s="1" t="n">
        <v>45802</v>
      </c>
      <c r="D533" t="inlineStr">
        <is>
          <t>DALARNAS LÄN</t>
        </is>
      </c>
      <c r="E533" t="inlineStr">
        <is>
          <t>LUDVIKA</t>
        </is>
      </c>
      <c r="F533" t="inlineStr">
        <is>
          <t>Naturvårdsverket</t>
        </is>
      </c>
      <c r="G533" t="n">
        <v>25</v>
      </c>
      <c r="H533" t="n">
        <v>0</v>
      </c>
      <c r="I533" t="n">
        <v>0</v>
      </c>
      <c r="J533" t="n">
        <v>0</v>
      </c>
      <c r="K533" t="n">
        <v>0</v>
      </c>
      <c r="L533" t="n">
        <v>0</v>
      </c>
      <c r="M533" t="n">
        <v>0</v>
      </c>
      <c r="N533" t="n">
        <v>0</v>
      </c>
      <c r="O533" t="n">
        <v>0</v>
      </c>
      <c r="P533" t="n">
        <v>0</v>
      </c>
      <c r="Q533" t="n">
        <v>0</v>
      </c>
      <c r="R533" s="2" t="inlineStr"/>
    </row>
    <row r="534" ht="15" customHeight="1">
      <c r="A534" t="inlineStr">
        <is>
          <t>A 19651-2023</t>
        </is>
      </c>
      <c r="B534" s="1" t="n">
        <v>45051</v>
      </c>
      <c r="C534" s="1" t="n">
        <v>45802</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20225-2023</t>
        </is>
      </c>
      <c r="B535" s="1" t="n">
        <v>45054</v>
      </c>
      <c r="C535" s="1" t="n">
        <v>45802</v>
      </c>
      <c r="D535" t="inlineStr">
        <is>
          <t>DALARNAS LÄN</t>
        </is>
      </c>
      <c r="E535" t="inlineStr">
        <is>
          <t>LUDVIKA</t>
        </is>
      </c>
      <c r="G535" t="n">
        <v>4.7</v>
      </c>
      <c r="H535" t="n">
        <v>0</v>
      </c>
      <c r="I535" t="n">
        <v>0</v>
      </c>
      <c r="J535" t="n">
        <v>0</v>
      </c>
      <c r="K535" t="n">
        <v>0</v>
      </c>
      <c r="L535" t="n">
        <v>0</v>
      </c>
      <c r="M535" t="n">
        <v>0</v>
      </c>
      <c r="N535" t="n">
        <v>0</v>
      </c>
      <c r="O535" t="n">
        <v>0</v>
      </c>
      <c r="P535" t="n">
        <v>0</v>
      </c>
      <c r="Q535" t="n">
        <v>0</v>
      </c>
      <c r="R535" s="2" t="inlineStr"/>
    </row>
    <row r="536" ht="15" customHeight="1">
      <c r="A536" t="inlineStr">
        <is>
          <t>A 20202-2023</t>
        </is>
      </c>
      <c r="B536" s="1" t="n">
        <v>45055</v>
      </c>
      <c r="C536" s="1" t="n">
        <v>45802</v>
      </c>
      <c r="D536" t="inlineStr">
        <is>
          <t>DALARNAS LÄN</t>
        </is>
      </c>
      <c r="E536" t="inlineStr">
        <is>
          <t>LUDVIKA</t>
        </is>
      </c>
      <c r="G536" t="n">
        <v>2.2</v>
      </c>
      <c r="H536" t="n">
        <v>0</v>
      </c>
      <c r="I536" t="n">
        <v>0</v>
      </c>
      <c r="J536" t="n">
        <v>0</v>
      </c>
      <c r="K536" t="n">
        <v>0</v>
      </c>
      <c r="L536" t="n">
        <v>0</v>
      </c>
      <c r="M536" t="n">
        <v>0</v>
      </c>
      <c r="N536" t="n">
        <v>0</v>
      </c>
      <c r="O536" t="n">
        <v>0</v>
      </c>
      <c r="P536" t="n">
        <v>0</v>
      </c>
      <c r="Q536" t="n">
        <v>0</v>
      </c>
      <c r="R536" s="2" t="inlineStr"/>
    </row>
    <row r="537" ht="15" customHeight="1">
      <c r="A537" t="inlineStr">
        <is>
          <t>A 20559-2023</t>
        </is>
      </c>
      <c r="B537" s="1" t="n">
        <v>45055</v>
      </c>
      <c r="C537" s="1" t="n">
        <v>45802</v>
      </c>
      <c r="D537" t="inlineStr">
        <is>
          <t>DALARNAS LÄN</t>
        </is>
      </c>
      <c r="E537" t="inlineStr">
        <is>
          <t>LUDVIKA</t>
        </is>
      </c>
      <c r="G537" t="n">
        <v>3.8</v>
      </c>
      <c r="H537" t="n">
        <v>0</v>
      </c>
      <c r="I537" t="n">
        <v>0</v>
      </c>
      <c r="J537" t="n">
        <v>0</v>
      </c>
      <c r="K537" t="n">
        <v>0</v>
      </c>
      <c r="L537" t="n">
        <v>0</v>
      </c>
      <c r="M537" t="n">
        <v>0</v>
      </c>
      <c r="N537" t="n">
        <v>0</v>
      </c>
      <c r="O537" t="n">
        <v>0</v>
      </c>
      <c r="P537" t="n">
        <v>0</v>
      </c>
      <c r="Q537" t="n">
        <v>0</v>
      </c>
      <c r="R537" s="2" t="inlineStr"/>
    </row>
    <row r="538" ht="15" customHeight="1">
      <c r="A538" t="inlineStr">
        <is>
          <t>A 20411-2023</t>
        </is>
      </c>
      <c r="B538" s="1" t="n">
        <v>45056</v>
      </c>
      <c r="C538" s="1" t="n">
        <v>45802</v>
      </c>
      <c r="D538" t="inlineStr">
        <is>
          <t>DALARNAS LÄN</t>
        </is>
      </c>
      <c r="E538" t="inlineStr">
        <is>
          <t>LUDVIKA</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20688-2023</t>
        </is>
      </c>
      <c r="B539" s="1" t="n">
        <v>45058</v>
      </c>
      <c r="C539" s="1" t="n">
        <v>45802</v>
      </c>
      <c r="D539" t="inlineStr">
        <is>
          <t>DALARNAS LÄN</t>
        </is>
      </c>
      <c r="E539" t="inlineStr">
        <is>
          <t>LUDVIKA</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20826-2023</t>
        </is>
      </c>
      <c r="B540" s="1" t="n">
        <v>45058</v>
      </c>
      <c r="C540" s="1" t="n">
        <v>45802</v>
      </c>
      <c r="D540" t="inlineStr">
        <is>
          <t>DALARNAS LÄN</t>
        </is>
      </c>
      <c r="E540" t="inlineStr">
        <is>
          <t>LUDVIKA</t>
        </is>
      </c>
      <c r="F540" t="inlineStr">
        <is>
          <t>Bergvik skog väst AB</t>
        </is>
      </c>
      <c r="G540" t="n">
        <v>10</v>
      </c>
      <c r="H540" t="n">
        <v>0</v>
      </c>
      <c r="I540" t="n">
        <v>0</v>
      </c>
      <c r="J540" t="n">
        <v>0</v>
      </c>
      <c r="K540" t="n">
        <v>0</v>
      </c>
      <c r="L540" t="n">
        <v>0</v>
      </c>
      <c r="M540" t="n">
        <v>0</v>
      </c>
      <c r="N540" t="n">
        <v>0</v>
      </c>
      <c r="O540" t="n">
        <v>0</v>
      </c>
      <c r="P540" t="n">
        <v>0</v>
      </c>
      <c r="Q540" t="n">
        <v>0</v>
      </c>
      <c r="R540" s="2" t="inlineStr"/>
    </row>
    <row r="541" ht="15" customHeight="1">
      <c r="A541" t="inlineStr">
        <is>
          <t>A 20764-2023</t>
        </is>
      </c>
      <c r="B541" s="1" t="n">
        <v>45058</v>
      </c>
      <c r="C541" s="1" t="n">
        <v>45802</v>
      </c>
      <c r="D541" t="inlineStr">
        <is>
          <t>DALARNAS LÄN</t>
        </is>
      </c>
      <c r="E541" t="inlineStr">
        <is>
          <t>LUDVIKA</t>
        </is>
      </c>
      <c r="F541" t="inlineStr">
        <is>
          <t>Bergvik skog väst AB</t>
        </is>
      </c>
      <c r="G541" t="n">
        <v>3.3</v>
      </c>
      <c r="H541" t="n">
        <v>0</v>
      </c>
      <c r="I541" t="n">
        <v>0</v>
      </c>
      <c r="J541" t="n">
        <v>0</v>
      </c>
      <c r="K541" t="n">
        <v>0</v>
      </c>
      <c r="L541" t="n">
        <v>0</v>
      </c>
      <c r="M541" t="n">
        <v>0</v>
      </c>
      <c r="N541" t="n">
        <v>0</v>
      </c>
      <c r="O541" t="n">
        <v>0</v>
      </c>
      <c r="P541" t="n">
        <v>0</v>
      </c>
      <c r="Q541" t="n">
        <v>0</v>
      </c>
      <c r="R541" s="2" t="inlineStr"/>
    </row>
    <row r="542" ht="15" customHeight="1">
      <c r="A542" t="inlineStr">
        <is>
          <t>A 21145-2023</t>
        </is>
      </c>
      <c r="B542" s="1" t="n">
        <v>45062</v>
      </c>
      <c r="C542" s="1" t="n">
        <v>45802</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21152-2023</t>
        </is>
      </c>
      <c r="B543" s="1" t="n">
        <v>45062</v>
      </c>
      <c r="C543" s="1" t="n">
        <v>45802</v>
      </c>
      <c r="D543" t="inlineStr">
        <is>
          <t>DALARNAS LÄN</t>
        </is>
      </c>
      <c r="E543" t="inlineStr">
        <is>
          <t>LUDVIKA</t>
        </is>
      </c>
      <c r="F543" t="inlineStr">
        <is>
          <t>Bergvik skog väst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21297-2023</t>
        </is>
      </c>
      <c r="B544" s="1" t="n">
        <v>45062</v>
      </c>
      <c r="C544" s="1" t="n">
        <v>45802</v>
      </c>
      <c r="D544" t="inlineStr">
        <is>
          <t>DALARNAS LÄN</t>
        </is>
      </c>
      <c r="E544" t="inlineStr">
        <is>
          <t>LUDVIKA</t>
        </is>
      </c>
      <c r="F544" t="inlineStr">
        <is>
          <t>Bergvik skog väst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21247-2023</t>
        </is>
      </c>
      <c r="B545" s="1" t="n">
        <v>45062</v>
      </c>
      <c r="C545" s="1" t="n">
        <v>45802</v>
      </c>
      <c r="D545" t="inlineStr">
        <is>
          <t>DALARNAS LÄN</t>
        </is>
      </c>
      <c r="E545" t="inlineStr">
        <is>
          <t>LUDVIKA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21539-2023</t>
        </is>
      </c>
      <c r="B546" s="1" t="n">
        <v>45063</v>
      </c>
      <c r="C546" s="1" t="n">
        <v>45802</v>
      </c>
      <c r="D546" t="inlineStr">
        <is>
          <t>DALARNAS LÄN</t>
        </is>
      </c>
      <c r="E546" t="inlineStr">
        <is>
          <t>LUDVIKA</t>
        </is>
      </c>
      <c r="F546" t="inlineStr">
        <is>
          <t>Bergvik skog väst AB</t>
        </is>
      </c>
      <c r="G546" t="n">
        <v>7.4</v>
      </c>
      <c r="H546" t="n">
        <v>0</v>
      </c>
      <c r="I546" t="n">
        <v>0</v>
      </c>
      <c r="J546" t="n">
        <v>0</v>
      </c>
      <c r="K546" t="n">
        <v>0</v>
      </c>
      <c r="L546" t="n">
        <v>0</v>
      </c>
      <c r="M546" t="n">
        <v>0</v>
      </c>
      <c r="N546" t="n">
        <v>0</v>
      </c>
      <c r="O546" t="n">
        <v>0</v>
      </c>
      <c r="P546" t="n">
        <v>0</v>
      </c>
      <c r="Q546" t="n">
        <v>0</v>
      </c>
      <c r="R546" s="2" t="inlineStr"/>
    </row>
    <row r="547" ht="15" customHeight="1">
      <c r="A547" t="inlineStr">
        <is>
          <t>A 21370-2023</t>
        </is>
      </c>
      <c r="B547" s="1" t="n">
        <v>45063</v>
      </c>
      <c r="C547" s="1" t="n">
        <v>45802</v>
      </c>
      <c r="D547" t="inlineStr">
        <is>
          <t>DALARNAS LÄN</t>
        </is>
      </c>
      <c r="E547" t="inlineStr">
        <is>
          <t>LUDVIKA</t>
        </is>
      </c>
      <c r="F547" t="inlineStr">
        <is>
          <t>Bergvik skog väst AB</t>
        </is>
      </c>
      <c r="G547" t="n">
        <v>1.6</v>
      </c>
      <c r="H547" t="n">
        <v>0</v>
      </c>
      <c r="I547" t="n">
        <v>0</v>
      </c>
      <c r="J547" t="n">
        <v>0</v>
      </c>
      <c r="K547" t="n">
        <v>0</v>
      </c>
      <c r="L547" t="n">
        <v>0</v>
      </c>
      <c r="M547" t="n">
        <v>0</v>
      </c>
      <c r="N547" t="n">
        <v>0</v>
      </c>
      <c r="O547" t="n">
        <v>0</v>
      </c>
      <c r="P547" t="n">
        <v>0</v>
      </c>
      <c r="Q547" t="n">
        <v>0</v>
      </c>
      <c r="R547" s="2" t="inlineStr"/>
    </row>
    <row r="548" ht="15" customHeight="1">
      <c r="A548" t="inlineStr">
        <is>
          <t>A 21369-2023</t>
        </is>
      </c>
      <c r="B548" s="1" t="n">
        <v>45063</v>
      </c>
      <c r="C548" s="1" t="n">
        <v>45802</v>
      </c>
      <c r="D548" t="inlineStr">
        <is>
          <t>DALARNAS LÄN</t>
        </is>
      </c>
      <c r="E548" t="inlineStr">
        <is>
          <t>LUDVIKA</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21554-2023</t>
        </is>
      </c>
      <c r="B549" s="1" t="n">
        <v>45063</v>
      </c>
      <c r="C549" s="1" t="n">
        <v>45802</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21548-2023</t>
        </is>
      </c>
      <c r="B550" s="1" t="n">
        <v>45063</v>
      </c>
      <c r="C550" s="1" t="n">
        <v>45802</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21551-2023</t>
        </is>
      </c>
      <c r="B551" s="1" t="n">
        <v>45063</v>
      </c>
      <c r="C551" s="1" t="n">
        <v>45802</v>
      </c>
      <c r="D551" t="inlineStr">
        <is>
          <t>DALARNAS LÄN</t>
        </is>
      </c>
      <c r="E551" t="inlineStr">
        <is>
          <t>LUDVIKA</t>
        </is>
      </c>
      <c r="G551" t="n">
        <v>8.4</v>
      </c>
      <c r="H551" t="n">
        <v>0</v>
      </c>
      <c r="I551" t="n">
        <v>0</v>
      </c>
      <c r="J551" t="n">
        <v>0</v>
      </c>
      <c r="K551" t="n">
        <v>0</v>
      </c>
      <c r="L551" t="n">
        <v>0</v>
      </c>
      <c r="M551" t="n">
        <v>0</v>
      </c>
      <c r="N551" t="n">
        <v>0</v>
      </c>
      <c r="O551" t="n">
        <v>0</v>
      </c>
      <c r="P551" t="n">
        <v>0</v>
      </c>
      <c r="Q551" t="n">
        <v>0</v>
      </c>
      <c r="R551" s="2" t="inlineStr"/>
    </row>
    <row r="552" ht="15" customHeight="1">
      <c r="A552" t="inlineStr">
        <is>
          <t>A 21598-2023</t>
        </is>
      </c>
      <c r="B552" s="1" t="n">
        <v>45063</v>
      </c>
      <c r="C552" s="1" t="n">
        <v>45802</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21649-2023</t>
        </is>
      </c>
      <c r="B553" s="1" t="n">
        <v>45063</v>
      </c>
      <c r="C553" s="1" t="n">
        <v>45802</v>
      </c>
      <c r="D553" t="inlineStr">
        <is>
          <t>DALARNAS LÄN</t>
        </is>
      </c>
      <c r="E553" t="inlineStr">
        <is>
          <t>LUDVIKA</t>
        </is>
      </c>
      <c r="F553" t="inlineStr">
        <is>
          <t>Bergvik skog väst AB</t>
        </is>
      </c>
      <c r="G553" t="n">
        <v>10.3</v>
      </c>
      <c r="H553" t="n">
        <v>0</v>
      </c>
      <c r="I553" t="n">
        <v>0</v>
      </c>
      <c r="J553" t="n">
        <v>0</v>
      </c>
      <c r="K553" t="n">
        <v>0</v>
      </c>
      <c r="L553" t="n">
        <v>0</v>
      </c>
      <c r="M553" t="n">
        <v>0</v>
      </c>
      <c r="N553" t="n">
        <v>0</v>
      </c>
      <c r="O553" t="n">
        <v>0</v>
      </c>
      <c r="P553" t="n">
        <v>0</v>
      </c>
      <c r="Q553" t="n">
        <v>0</v>
      </c>
      <c r="R553" s="2" t="inlineStr"/>
    </row>
    <row r="554" ht="15" customHeight="1">
      <c r="A554" t="inlineStr">
        <is>
          <t>A 21843-2023</t>
        </is>
      </c>
      <c r="B554" s="1" t="n">
        <v>45068</v>
      </c>
      <c r="C554" s="1" t="n">
        <v>45802</v>
      </c>
      <c r="D554" t="inlineStr">
        <is>
          <t>DALARNAS LÄN</t>
        </is>
      </c>
      <c r="E554" t="inlineStr">
        <is>
          <t>LUDVIKA</t>
        </is>
      </c>
      <c r="G554" t="n">
        <v>4.3</v>
      </c>
      <c r="H554" t="n">
        <v>0</v>
      </c>
      <c r="I554" t="n">
        <v>0</v>
      </c>
      <c r="J554" t="n">
        <v>0</v>
      </c>
      <c r="K554" t="n">
        <v>0</v>
      </c>
      <c r="L554" t="n">
        <v>0</v>
      </c>
      <c r="M554" t="n">
        <v>0</v>
      </c>
      <c r="N554" t="n">
        <v>0</v>
      </c>
      <c r="O554" t="n">
        <v>0</v>
      </c>
      <c r="P554" t="n">
        <v>0</v>
      </c>
      <c r="Q554" t="n">
        <v>0</v>
      </c>
      <c r="R554" s="2" t="inlineStr"/>
    </row>
    <row r="555" ht="15" customHeight="1">
      <c r="A555" t="inlineStr">
        <is>
          <t>A 21842-2023</t>
        </is>
      </c>
      <c r="B555" s="1" t="n">
        <v>45068</v>
      </c>
      <c r="C555" s="1" t="n">
        <v>45802</v>
      </c>
      <c r="D555" t="inlineStr">
        <is>
          <t>DALARNAS LÄN</t>
        </is>
      </c>
      <c r="E555" t="inlineStr">
        <is>
          <t>LUDVIKA</t>
        </is>
      </c>
      <c r="G555" t="n">
        <v>3.5</v>
      </c>
      <c r="H555" t="n">
        <v>0</v>
      </c>
      <c r="I555" t="n">
        <v>0</v>
      </c>
      <c r="J555" t="n">
        <v>0</v>
      </c>
      <c r="K555" t="n">
        <v>0</v>
      </c>
      <c r="L555" t="n">
        <v>0</v>
      </c>
      <c r="M555" t="n">
        <v>0</v>
      </c>
      <c r="N555" t="n">
        <v>0</v>
      </c>
      <c r="O555" t="n">
        <v>0</v>
      </c>
      <c r="P555" t="n">
        <v>0</v>
      </c>
      <c r="Q555" t="n">
        <v>0</v>
      </c>
      <c r="R555" s="2" t="inlineStr"/>
    </row>
    <row r="556" ht="15" customHeight="1">
      <c r="A556" t="inlineStr">
        <is>
          <t>A 21870-2023</t>
        </is>
      </c>
      <c r="B556" s="1" t="n">
        <v>45068</v>
      </c>
      <c r="C556" s="1" t="n">
        <v>45802</v>
      </c>
      <c r="D556" t="inlineStr">
        <is>
          <t>DALARNAS LÄN</t>
        </is>
      </c>
      <c r="E556" t="inlineStr">
        <is>
          <t>LUDVIKA</t>
        </is>
      </c>
      <c r="F556" t="inlineStr">
        <is>
          <t>Bergvik skog väst AB</t>
        </is>
      </c>
      <c r="G556" t="n">
        <v>2.7</v>
      </c>
      <c r="H556" t="n">
        <v>0</v>
      </c>
      <c r="I556" t="n">
        <v>0</v>
      </c>
      <c r="J556" t="n">
        <v>0</v>
      </c>
      <c r="K556" t="n">
        <v>0</v>
      </c>
      <c r="L556" t="n">
        <v>0</v>
      </c>
      <c r="M556" t="n">
        <v>0</v>
      </c>
      <c r="N556" t="n">
        <v>0</v>
      </c>
      <c r="O556" t="n">
        <v>0</v>
      </c>
      <c r="P556" t="n">
        <v>0</v>
      </c>
      <c r="Q556" t="n">
        <v>0</v>
      </c>
      <c r="R556" s="2" t="inlineStr"/>
    </row>
    <row r="557" ht="15" customHeight="1">
      <c r="A557" t="inlineStr">
        <is>
          <t>A 21841-2023</t>
        </is>
      </c>
      <c r="B557" s="1" t="n">
        <v>45068</v>
      </c>
      <c r="C557" s="1" t="n">
        <v>45802</v>
      </c>
      <c r="D557" t="inlineStr">
        <is>
          <t>DALARNAS LÄN</t>
        </is>
      </c>
      <c r="E557" t="inlineStr">
        <is>
          <t>LUDVIKA</t>
        </is>
      </c>
      <c r="G557" t="n">
        <v>4.5</v>
      </c>
      <c r="H557" t="n">
        <v>0</v>
      </c>
      <c r="I557" t="n">
        <v>0</v>
      </c>
      <c r="J557" t="n">
        <v>0</v>
      </c>
      <c r="K557" t="n">
        <v>0</v>
      </c>
      <c r="L557" t="n">
        <v>0</v>
      </c>
      <c r="M557" t="n">
        <v>0</v>
      </c>
      <c r="N557" t="n">
        <v>0</v>
      </c>
      <c r="O557" t="n">
        <v>0</v>
      </c>
      <c r="P557" t="n">
        <v>0</v>
      </c>
      <c r="Q557" t="n">
        <v>0</v>
      </c>
      <c r="R557" s="2" t="inlineStr"/>
    </row>
    <row r="558" ht="15" customHeight="1">
      <c r="A558" t="inlineStr">
        <is>
          <t>A 21933-2023</t>
        </is>
      </c>
      <c r="B558" s="1" t="n">
        <v>45068</v>
      </c>
      <c r="C558" s="1" t="n">
        <v>45802</v>
      </c>
      <c r="D558" t="inlineStr">
        <is>
          <t>DALARNAS LÄN</t>
        </is>
      </c>
      <c r="E558" t="inlineStr">
        <is>
          <t>LUDVIKA</t>
        </is>
      </c>
      <c r="F558" t="inlineStr">
        <is>
          <t>Bergvik skog väst AB</t>
        </is>
      </c>
      <c r="G558" t="n">
        <v>12.5</v>
      </c>
      <c r="H558" t="n">
        <v>0</v>
      </c>
      <c r="I558" t="n">
        <v>0</v>
      </c>
      <c r="J558" t="n">
        <v>0</v>
      </c>
      <c r="K558" t="n">
        <v>0</v>
      </c>
      <c r="L558" t="n">
        <v>0</v>
      </c>
      <c r="M558" t="n">
        <v>0</v>
      </c>
      <c r="N558" t="n">
        <v>0</v>
      </c>
      <c r="O558" t="n">
        <v>0</v>
      </c>
      <c r="P558" t="n">
        <v>0</v>
      </c>
      <c r="Q558" t="n">
        <v>0</v>
      </c>
      <c r="R558" s="2" t="inlineStr"/>
    </row>
    <row r="559" ht="15" customHeight="1">
      <c r="A559" t="inlineStr">
        <is>
          <t>A 22149-2023</t>
        </is>
      </c>
      <c r="B559" s="1" t="n">
        <v>45069</v>
      </c>
      <c r="C559" s="1" t="n">
        <v>45802</v>
      </c>
      <c r="D559" t="inlineStr">
        <is>
          <t>DALARNAS LÄN</t>
        </is>
      </c>
      <c r="E559" t="inlineStr">
        <is>
          <t>LUDVIKA</t>
        </is>
      </c>
      <c r="F559" t="inlineStr">
        <is>
          <t>Bergvik skog väst AB</t>
        </is>
      </c>
      <c r="G559" t="n">
        <v>12.9</v>
      </c>
      <c r="H559" t="n">
        <v>0</v>
      </c>
      <c r="I559" t="n">
        <v>0</v>
      </c>
      <c r="J559" t="n">
        <v>0</v>
      </c>
      <c r="K559" t="n">
        <v>0</v>
      </c>
      <c r="L559" t="n">
        <v>0</v>
      </c>
      <c r="M559" t="n">
        <v>0</v>
      </c>
      <c r="N559" t="n">
        <v>0</v>
      </c>
      <c r="O559" t="n">
        <v>0</v>
      </c>
      <c r="P559" t="n">
        <v>0</v>
      </c>
      <c r="Q559" t="n">
        <v>0</v>
      </c>
      <c r="R559" s="2" t="inlineStr"/>
    </row>
    <row r="560" ht="15" customHeight="1">
      <c r="A560" t="inlineStr">
        <is>
          <t>A 22151-2023</t>
        </is>
      </c>
      <c r="B560" s="1" t="n">
        <v>45069</v>
      </c>
      <c r="C560" s="1" t="n">
        <v>45802</v>
      </c>
      <c r="D560" t="inlineStr">
        <is>
          <t>DALARNAS LÄN</t>
        </is>
      </c>
      <c r="E560" t="inlineStr">
        <is>
          <t>LUDVIKA</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22286-2023</t>
        </is>
      </c>
      <c r="B561" s="1" t="n">
        <v>45070</v>
      </c>
      <c r="C561" s="1" t="n">
        <v>45802</v>
      </c>
      <c r="D561" t="inlineStr">
        <is>
          <t>DALARNAS LÄN</t>
        </is>
      </c>
      <c r="E561" t="inlineStr">
        <is>
          <t>LUDVIKA</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22306-2023</t>
        </is>
      </c>
      <c r="B562" s="1" t="n">
        <v>45070</v>
      </c>
      <c r="C562" s="1" t="n">
        <v>45802</v>
      </c>
      <c r="D562" t="inlineStr">
        <is>
          <t>DALARNAS LÄN</t>
        </is>
      </c>
      <c r="E562" t="inlineStr">
        <is>
          <t>LUDVIKA</t>
        </is>
      </c>
      <c r="F562" t="inlineStr">
        <is>
          <t>Bergvik skog väst AB</t>
        </is>
      </c>
      <c r="G562" t="n">
        <v>2.4</v>
      </c>
      <c r="H562" t="n">
        <v>0</v>
      </c>
      <c r="I562" t="n">
        <v>0</v>
      </c>
      <c r="J562" t="n">
        <v>0</v>
      </c>
      <c r="K562" t="n">
        <v>0</v>
      </c>
      <c r="L562" t="n">
        <v>0</v>
      </c>
      <c r="M562" t="n">
        <v>0</v>
      </c>
      <c r="N562" t="n">
        <v>0</v>
      </c>
      <c r="O562" t="n">
        <v>0</v>
      </c>
      <c r="P562" t="n">
        <v>0</v>
      </c>
      <c r="Q562" t="n">
        <v>0</v>
      </c>
      <c r="R562" s="2" t="inlineStr"/>
    </row>
    <row r="563" ht="15" customHeight="1">
      <c r="A563" t="inlineStr">
        <is>
          <t>A 22375-2023</t>
        </is>
      </c>
      <c r="B563" s="1" t="n">
        <v>45070</v>
      </c>
      <c r="C563" s="1" t="n">
        <v>45802</v>
      </c>
      <c r="D563" t="inlineStr">
        <is>
          <t>DALARNAS LÄN</t>
        </is>
      </c>
      <c r="E563" t="inlineStr">
        <is>
          <t>LUDVIKA</t>
        </is>
      </c>
      <c r="F563" t="inlineStr">
        <is>
          <t>Bergvik skog väst AB</t>
        </is>
      </c>
      <c r="G563" t="n">
        <v>18.4</v>
      </c>
      <c r="H563" t="n">
        <v>0</v>
      </c>
      <c r="I563" t="n">
        <v>0</v>
      </c>
      <c r="J563" t="n">
        <v>0</v>
      </c>
      <c r="K563" t="n">
        <v>0</v>
      </c>
      <c r="L563" t="n">
        <v>0</v>
      </c>
      <c r="M563" t="n">
        <v>0</v>
      </c>
      <c r="N563" t="n">
        <v>0</v>
      </c>
      <c r="O563" t="n">
        <v>0</v>
      </c>
      <c r="P563" t="n">
        <v>0</v>
      </c>
      <c r="Q563" t="n">
        <v>0</v>
      </c>
      <c r="R563" s="2" t="inlineStr"/>
    </row>
    <row r="564" ht="15" customHeight="1">
      <c r="A564" t="inlineStr">
        <is>
          <t>A 22420-2023</t>
        </is>
      </c>
      <c r="B564" s="1" t="n">
        <v>45070</v>
      </c>
      <c r="C564" s="1" t="n">
        <v>45802</v>
      </c>
      <c r="D564" t="inlineStr">
        <is>
          <t>DALARNAS LÄN</t>
        </is>
      </c>
      <c r="E564" t="inlineStr">
        <is>
          <t>LUDVIKA</t>
        </is>
      </c>
      <c r="F564" t="inlineStr">
        <is>
          <t>Bergvik skog väst AB</t>
        </is>
      </c>
      <c r="G564" t="n">
        <v>6.5</v>
      </c>
      <c r="H564" t="n">
        <v>0</v>
      </c>
      <c r="I564" t="n">
        <v>0</v>
      </c>
      <c r="J564" t="n">
        <v>0</v>
      </c>
      <c r="K564" t="n">
        <v>0</v>
      </c>
      <c r="L564" t="n">
        <v>0</v>
      </c>
      <c r="M564" t="n">
        <v>0</v>
      </c>
      <c r="N564" t="n">
        <v>0</v>
      </c>
      <c r="O564" t="n">
        <v>0</v>
      </c>
      <c r="P564" t="n">
        <v>0</v>
      </c>
      <c r="Q564" t="n">
        <v>0</v>
      </c>
      <c r="R564" s="2" t="inlineStr"/>
    </row>
    <row r="565" ht="15" customHeight="1">
      <c r="A565" t="inlineStr">
        <is>
          <t>A 22555-2023</t>
        </is>
      </c>
      <c r="B565" s="1" t="n">
        <v>45071</v>
      </c>
      <c r="C565" s="1" t="n">
        <v>45802</v>
      </c>
      <c r="D565" t="inlineStr">
        <is>
          <t>DALARNAS LÄN</t>
        </is>
      </c>
      <c r="E565" t="inlineStr">
        <is>
          <t>LUDVIKA</t>
        </is>
      </c>
      <c r="F565" t="inlineStr">
        <is>
          <t>Bergvik skog väst AB</t>
        </is>
      </c>
      <c r="G565" t="n">
        <v>6</v>
      </c>
      <c r="H565" t="n">
        <v>0</v>
      </c>
      <c r="I565" t="n">
        <v>0</v>
      </c>
      <c r="J565" t="n">
        <v>0</v>
      </c>
      <c r="K565" t="n">
        <v>0</v>
      </c>
      <c r="L565" t="n">
        <v>0</v>
      </c>
      <c r="M565" t="n">
        <v>0</v>
      </c>
      <c r="N565" t="n">
        <v>0</v>
      </c>
      <c r="O565" t="n">
        <v>0</v>
      </c>
      <c r="P565" t="n">
        <v>0</v>
      </c>
      <c r="Q565" t="n">
        <v>0</v>
      </c>
      <c r="R565" s="2" t="inlineStr"/>
    </row>
    <row r="566" ht="15" customHeight="1">
      <c r="A566" t="inlineStr">
        <is>
          <t>A 23999-2023</t>
        </is>
      </c>
      <c r="B566" s="1" t="n">
        <v>45078</v>
      </c>
      <c r="C566" s="1" t="n">
        <v>45802</v>
      </c>
      <c r="D566" t="inlineStr">
        <is>
          <t>DALARNAS LÄN</t>
        </is>
      </c>
      <c r="E566" t="inlineStr">
        <is>
          <t>LUDVIKA</t>
        </is>
      </c>
      <c r="F566" t="inlineStr">
        <is>
          <t>Bergvik skog väst AB</t>
        </is>
      </c>
      <c r="G566" t="n">
        <v>0.9</v>
      </c>
      <c r="H566" t="n">
        <v>0</v>
      </c>
      <c r="I566" t="n">
        <v>0</v>
      </c>
      <c r="J566" t="n">
        <v>0</v>
      </c>
      <c r="K566" t="n">
        <v>0</v>
      </c>
      <c r="L566" t="n">
        <v>0</v>
      </c>
      <c r="M566" t="n">
        <v>0</v>
      </c>
      <c r="N566" t="n">
        <v>0</v>
      </c>
      <c r="O566" t="n">
        <v>0</v>
      </c>
      <c r="P566" t="n">
        <v>0</v>
      </c>
      <c r="Q566" t="n">
        <v>0</v>
      </c>
      <c r="R566" s="2" t="inlineStr"/>
    </row>
    <row r="567" ht="15" customHeight="1">
      <c r="A567" t="inlineStr">
        <is>
          <t>A 24224-2023</t>
        </is>
      </c>
      <c r="B567" s="1" t="n">
        <v>45079</v>
      </c>
      <c r="C567" s="1" t="n">
        <v>45802</v>
      </c>
      <c r="D567" t="inlineStr">
        <is>
          <t>DALARNAS LÄN</t>
        </is>
      </c>
      <c r="E567" t="inlineStr">
        <is>
          <t>LUDVIKA</t>
        </is>
      </c>
      <c r="F567" t="inlineStr">
        <is>
          <t>Bergvik skog väst AB</t>
        </is>
      </c>
      <c r="G567" t="n">
        <v>12.1</v>
      </c>
      <c r="H567" t="n">
        <v>0</v>
      </c>
      <c r="I567" t="n">
        <v>0</v>
      </c>
      <c r="J567" t="n">
        <v>0</v>
      </c>
      <c r="K567" t="n">
        <v>0</v>
      </c>
      <c r="L567" t="n">
        <v>0</v>
      </c>
      <c r="M567" t="n">
        <v>0</v>
      </c>
      <c r="N567" t="n">
        <v>0</v>
      </c>
      <c r="O567" t="n">
        <v>0</v>
      </c>
      <c r="P567" t="n">
        <v>0</v>
      </c>
      <c r="Q567" t="n">
        <v>0</v>
      </c>
      <c r="R567" s="2" t="inlineStr"/>
    </row>
    <row r="568" ht="15" customHeight="1">
      <c r="A568" t="inlineStr">
        <is>
          <t>A 24256-2023</t>
        </is>
      </c>
      <c r="B568" s="1" t="n">
        <v>45079</v>
      </c>
      <c r="C568" s="1" t="n">
        <v>45802</v>
      </c>
      <c r="D568" t="inlineStr">
        <is>
          <t>DALARNAS LÄN</t>
        </is>
      </c>
      <c r="E568" t="inlineStr">
        <is>
          <t>LUDVIKA</t>
        </is>
      </c>
      <c r="F568" t="inlineStr">
        <is>
          <t>Bergvik skog väst AB</t>
        </is>
      </c>
      <c r="G568" t="n">
        <v>10.9</v>
      </c>
      <c r="H568" t="n">
        <v>0</v>
      </c>
      <c r="I568" t="n">
        <v>0</v>
      </c>
      <c r="J568" t="n">
        <v>0</v>
      </c>
      <c r="K568" t="n">
        <v>0</v>
      </c>
      <c r="L568" t="n">
        <v>0</v>
      </c>
      <c r="M568" t="n">
        <v>0</v>
      </c>
      <c r="N568" t="n">
        <v>0</v>
      </c>
      <c r="O568" t="n">
        <v>0</v>
      </c>
      <c r="P568" t="n">
        <v>0</v>
      </c>
      <c r="Q568" t="n">
        <v>0</v>
      </c>
      <c r="R568" s="2" t="inlineStr"/>
    </row>
    <row r="569" ht="15" customHeight="1">
      <c r="A569" t="inlineStr">
        <is>
          <t>A 24379-2023</t>
        </is>
      </c>
      <c r="B569" s="1" t="n">
        <v>45082</v>
      </c>
      <c r="C569" s="1" t="n">
        <v>45802</v>
      </c>
      <c r="D569" t="inlineStr">
        <is>
          <t>DALARNAS LÄN</t>
        </is>
      </c>
      <c r="E569" t="inlineStr">
        <is>
          <t>LUDVIKA</t>
        </is>
      </c>
      <c r="F569" t="inlineStr">
        <is>
          <t>Naturvårdsverket</t>
        </is>
      </c>
      <c r="G569" t="n">
        <v>2.1</v>
      </c>
      <c r="H569" t="n">
        <v>0</v>
      </c>
      <c r="I569" t="n">
        <v>0</v>
      </c>
      <c r="J569" t="n">
        <v>0</v>
      </c>
      <c r="K569" t="n">
        <v>0</v>
      </c>
      <c r="L569" t="n">
        <v>0</v>
      </c>
      <c r="M569" t="n">
        <v>0</v>
      </c>
      <c r="N569" t="n">
        <v>0</v>
      </c>
      <c r="O569" t="n">
        <v>0</v>
      </c>
      <c r="P569" t="n">
        <v>0</v>
      </c>
      <c r="Q569" t="n">
        <v>0</v>
      </c>
      <c r="R569" s="2" t="inlineStr"/>
    </row>
    <row r="570" ht="15" customHeight="1">
      <c r="A570" t="inlineStr">
        <is>
          <t>A 24469-2023</t>
        </is>
      </c>
      <c r="B570" s="1" t="n">
        <v>45082</v>
      </c>
      <c r="C570" s="1" t="n">
        <v>45802</v>
      </c>
      <c r="D570" t="inlineStr">
        <is>
          <t>DALARNAS LÄN</t>
        </is>
      </c>
      <c r="E570" t="inlineStr">
        <is>
          <t>LUDVIKA</t>
        </is>
      </c>
      <c r="F570" t="inlineStr">
        <is>
          <t>Naturvårdsverket</t>
        </is>
      </c>
      <c r="G570" t="n">
        <v>4</v>
      </c>
      <c r="H570" t="n">
        <v>0</v>
      </c>
      <c r="I570" t="n">
        <v>0</v>
      </c>
      <c r="J570" t="n">
        <v>0</v>
      </c>
      <c r="K570" t="n">
        <v>0</v>
      </c>
      <c r="L570" t="n">
        <v>0</v>
      </c>
      <c r="M570" t="n">
        <v>0</v>
      </c>
      <c r="N570" t="n">
        <v>0</v>
      </c>
      <c r="O570" t="n">
        <v>0</v>
      </c>
      <c r="P570" t="n">
        <v>0</v>
      </c>
      <c r="Q570" t="n">
        <v>0</v>
      </c>
      <c r="R570" s="2" t="inlineStr"/>
    </row>
    <row r="571" ht="15" customHeight="1">
      <c r="A571" t="inlineStr">
        <is>
          <t>A 24612-2023</t>
        </is>
      </c>
      <c r="B571" s="1" t="n">
        <v>45084</v>
      </c>
      <c r="C571" s="1" t="n">
        <v>45802</v>
      </c>
      <c r="D571" t="inlineStr">
        <is>
          <t>DALARNAS LÄN</t>
        </is>
      </c>
      <c r="E571" t="inlineStr">
        <is>
          <t>LUDVIKA</t>
        </is>
      </c>
      <c r="F571" t="inlineStr">
        <is>
          <t>Bergvik skog väst AB</t>
        </is>
      </c>
      <c r="G571" t="n">
        <v>11.7</v>
      </c>
      <c r="H571" t="n">
        <v>0</v>
      </c>
      <c r="I571" t="n">
        <v>0</v>
      </c>
      <c r="J571" t="n">
        <v>0</v>
      </c>
      <c r="K571" t="n">
        <v>0</v>
      </c>
      <c r="L571" t="n">
        <v>0</v>
      </c>
      <c r="M571" t="n">
        <v>0</v>
      </c>
      <c r="N571" t="n">
        <v>0</v>
      </c>
      <c r="O571" t="n">
        <v>0</v>
      </c>
      <c r="P571" t="n">
        <v>0</v>
      </c>
      <c r="Q571" t="n">
        <v>0</v>
      </c>
      <c r="R571" s="2" t="inlineStr"/>
    </row>
    <row r="572" ht="15" customHeight="1">
      <c r="A572" t="inlineStr">
        <is>
          <t>A 25077-2023</t>
        </is>
      </c>
      <c r="B572" s="1" t="n">
        <v>45086</v>
      </c>
      <c r="C572" s="1" t="n">
        <v>45802</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25099-2023</t>
        </is>
      </c>
      <c r="B573" s="1" t="n">
        <v>45086</v>
      </c>
      <c r="C573" s="1" t="n">
        <v>45802</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25624-2023</t>
        </is>
      </c>
      <c r="B574" s="1" t="n">
        <v>45089</v>
      </c>
      <c r="C574" s="1" t="n">
        <v>45802</v>
      </c>
      <c r="D574" t="inlineStr">
        <is>
          <t>DALARNAS LÄN</t>
        </is>
      </c>
      <c r="E574" t="inlineStr">
        <is>
          <t>LUDVIKA</t>
        </is>
      </c>
      <c r="F574" t="inlineStr">
        <is>
          <t>Bergvik skog väst AB</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26147-2023</t>
        </is>
      </c>
      <c r="B575" s="1" t="n">
        <v>45091</v>
      </c>
      <c r="C575" s="1" t="n">
        <v>45802</v>
      </c>
      <c r="D575" t="inlineStr">
        <is>
          <t>DALARNAS LÄN</t>
        </is>
      </c>
      <c r="E575" t="inlineStr">
        <is>
          <t>LUDVIKA</t>
        </is>
      </c>
      <c r="F575" t="inlineStr">
        <is>
          <t>Naturvårdsverket</t>
        </is>
      </c>
      <c r="G575" t="n">
        <v>4.1</v>
      </c>
      <c r="H575" t="n">
        <v>0</v>
      </c>
      <c r="I575" t="n">
        <v>0</v>
      </c>
      <c r="J575" t="n">
        <v>0</v>
      </c>
      <c r="K575" t="n">
        <v>0</v>
      </c>
      <c r="L575" t="n">
        <v>0</v>
      </c>
      <c r="M575" t="n">
        <v>0</v>
      </c>
      <c r="N575" t="n">
        <v>0</v>
      </c>
      <c r="O575" t="n">
        <v>0</v>
      </c>
      <c r="P575" t="n">
        <v>0</v>
      </c>
      <c r="Q575" t="n">
        <v>0</v>
      </c>
      <c r="R575" s="2" t="inlineStr"/>
    </row>
    <row r="576" ht="15" customHeight="1">
      <c r="A576" t="inlineStr">
        <is>
          <t>A 26766-2023</t>
        </is>
      </c>
      <c r="B576" s="1" t="n">
        <v>45093</v>
      </c>
      <c r="C576" s="1" t="n">
        <v>45802</v>
      </c>
      <c r="D576" t="inlineStr">
        <is>
          <t>DALARNAS LÄN</t>
        </is>
      </c>
      <c r="E576" t="inlineStr">
        <is>
          <t>LUDVIKA</t>
        </is>
      </c>
      <c r="F576" t="inlineStr">
        <is>
          <t>Naturvårdsverket</t>
        </is>
      </c>
      <c r="G576" t="n">
        <v>1.6</v>
      </c>
      <c r="H576" t="n">
        <v>0</v>
      </c>
      <c r="I576" t="n">
        <v>0</v>
      </c>
      <c r="J576" t="n">
        <v>0</v>
      </c>
      <c r="K576" t="n">
        <v>0</v>
      </c>
      <c r="L576" t="n">
        <v>0</v>
      </c>
      <c r="M576" t="n">
        <v>0</v>
      </c>
      <c r="N576" t="n">
        <v>0</v>
      </c>
      <c r="O576" t="n">
        <v>0</v>
      </c>
      <c r="P576" t="n">
        <v>0</v>
      </c>
      <c r="Q576" t="n">
        <v>0</v>
      </c>
      <c r="R576" s="2" t="inlineStr"/>
    </row>
    <row r="577" ht="15" customHeight="1">
      <c r="A577" t="inlineStr">
        <is>
          <t>A 26884-2023</t>
        </is>
      </c>
      <c r="B577" s="1" t="n">
        <v>45093</v>
      </c>
      <c r="C577" s="1" t="n">
        <v>45802</v>
      </c>
      <c r="D577" t="inlineStr">
        <is>
          <t>DALARNAS LÄN</t>
        </is>
      </c>
      <c r="E577" t="inlineStr">
        <is>
          <t>LUDVIKA</t>
        </is>
      </c>
      <c r="F577" t="inlineStr">
        <is>
          <t>Naturvårdsverket</t>
        </is>
      </c>
      <c r="G577" t="n">
        <v>3.5</v>
      </c>
      <c r="H577" t="n">
        <v>0</v>
      </c>
      <c r="I577" t="n">
        <v>0</v>
      </c>
      <c r="J577" t="n">
        <v>0</v>
      </c>
      <c r="K577" t="n">
        <v>0</v>
      </c>
      <c r="L577" t="n">
        <v>0</v>
      </c>
      <c r="M577" t="n">
        <v>0</v>
      </c>
      <c r="N577" t="n">
        <v>0</v>
      </c>
      <c r="O577" t="n">
        <v>0</v>
      </c>
      <c r="P577" t="n">
        <v>0</v>
      </c>
      <c r="Q577" t="n">
        <v>0</v>
      </c>
      <c r="R577" s="2" t="inlineStr"/>
    </row>
    <row r="578" ht="15" customHeight="1">
      <c r="A578" t="inlineStr">
        <is>
          <t>A 26789-2023</t>
        </is>
      </c>
      <c r="B578" s="1" t="n">
        <v>45093</v>
      </c>
      <c r="C578" s="1" t="n">
        <v>45802</v>
      </c>
      <c r="D578" t="inlineStr">
        <is>
          <t>DALARNAS LÄN</t>
        </is>
      </c>
      <c r="E578" t="inlineStr">
        <is>
          <t>LUDVIKA</t>
        </is>
      </c>
      <c r="F578" t="inlineStr">
        <is>
          <t>Bergvik skog väst AB</t>
        </is>
      </c>
      <c r="G578" t="n">
        <v>3.2</v>
      </c>
      <c r="H578" t="n">
        <v>0</v>
      </c>
      <c r="I578" t="n">
        <v>0</v>
      </c>
      <c r="J578" t="n">
        <v>0</v>
      </c>
      <c r="K578" t="n">
        <v>0</v>
      </c>
      <c r="L578" t="n">
        <v>0</v>
      </c>
      <c r="M578" t="n">
        <v>0</v>
      </c>
      <c r="N578" t="n">
        <v>0</v>
      </c>
      <c r="O578" t="n">
        <v>0</v>
      </c>
      <c r="P578" t="n">
        <v>0</v>
      </c>
      <c r="Q578" t="n">
        <v>0</v>
      </c>
      <c r="R578" s="2" t="inlineStr"/>
    </row>
    <row r="579" ht="15" customHeight="1">
      <c r="A579" t="inlineStr">
        <is>
          <t>A 27870-2023</t>
        </is>
      </c>
      <c r="B579" s="1" t="n">
        <v>45098</v>
      </c>
      <c r="C579" s="1" t="n">
        <v>45802</v>
      </c>
      <c r="D579" t="inlineStr">
        <is>
          <t>DALARNAS LÄN</t>
        </is>
      </c>
      <c r="E579" t="inlineStr">
        <is>
          <t>LUDVIKA</t>
        </is>
      </c>
      <c r="F579" t="inlineStr">
        <is>
          <t>Bergvik skog väst AB</t>
        </is>
      </c>
      <c r="G579" t="n">
        <v>24.7</v>
      </c>
      <c r="H579" t="n">
        <v>0</v>
      </c>
      <c r="I579" t="n">
        <v>0</v>
      </c>
      <c r="J579" t="n">
        <v>0</v>
      </c>
      <c r="K579" t="n">
        <v>0</v>
      </c>
      <c r="L579" t="n">
        <v>0</v>
      </c>
      <c r="M579" t="n">
        <v>0</v>
      </c>
      <c r="N579" t="n">
        <v>0</v>
      </c>
      <c r="O579" t="n">
        <v>0</v>
      </c>
      <c r="P579" t="n">
        <v>0</v>
      </c>
      <c r="Q579" t="n">
        <v>0</v>
      </c>
      <c r="R579" s="2" t="inlineStr"/>
    </row>
    <row r="580" ht="15" customHeight="1">
      <c r="A580" t="inlineStr">
        <is>
          <t>A 27917-2023</t>
        </is>
      </c>
      <c r="B580" s="1" t="n">
        <v>45098</v>
      </c>
      <c r="C580" s="1" t="n">
        <v>45802</v>
      </c>
      <c r="D580" t="inlineStr">
        <is>
          <t>DALARNAS LÄN</t>
        </is>
      </c>
      <c r="E580" t="inlineStr">
        <is>
          <t>LUDVIKA</t>
        </is>
      </c>
      <c r="F580" t="inlineStr">
        <is>
          <t>Bergvik skog väst AB</t>
        </is>
      </c>
      <c r="G580" t="n">
        <v>10.4</v>
      </c>
      <c r="H580" t="n">
        <v>0</v>
      </c>
      <c r="I580" t="n">
        <v>0</v>
      </c>
      <c r="J580" t="n">
        <v>0</v>
      </c>
      <c r="K580" t="n">
        <v>0</v>
      </c>
      <c r="L580" t="n">
        <v>0</v>
      </c>
      <c r="M580" t="n">
        <v>0</v>
      </c>
      <c r="N580" t="n">
        <v>0</v>
      </c>
      <c r="O580" t="n">
        <v>0</v>
      </c>
      <c r="P580" t="n">
        <v>0</v>
      </c>
      <c r="Q580" t="n">
        <v>0</v>
      </c>
      <c r="R580" s="2" t="inlineStr"/>
    </row>
    <row r="581" ht="15" customHeight="1">
      <c r="A581" t="inlineStr">
        <is>
          <t>A 27954-2023</t>
        </is>
      </c>
      <c r="B581" s="1" t="n">
        <v>45098</v>
      </c>
      <c r="C581" s="1" t="n">
        <v>45802</v>
      </c>
      <c r="D581" t="inlineStr">
        <is>
          <t>DALARNAS LÄN</t>
        </is>
      </c>
      <c r="E581" t="inlineStr">
        <is>
          <t>LUDVIKA</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27929-2023</t>
        </is>
      </c>
      <c r="B582" s="1" t="n">
        <v>45098</v>
      </c>
      <c r="C582" s="1" t="n">
        <v>45802</v>
      </c>
      <c r="D582" t="inlineStr">
        <is>
          <t>DALARNAS LÄN</t>
        </is>
      </c>
      <c r="E582" t="inlineStr">
        <is>
          <t>LUDVIKA</t>
        </is>
      </c>
      <c r="F582" t="inlineStr">
        <is>
          <t>Bergvik skog väst AB</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28144-2023</t>
        </is>
      </c>
      <c r="B583" s="1" t="n">
        <v>45099</v>
      </c>
      <c r="C583" s="1" t="n">
        <v>45802</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28134-2023</t>
        </is>
      </c>
      <c r="B584" s="1" t="n">
        <v>45099</v>
      </c>
      <c r="C584" s="1" t="n">
        <v>45802</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28125-2023</t>
        </is>
      </c>
      <c r="B585" s="1" t="n">
        <v>45099</v>
      </c>
      <c r="C585" s="1" t="n">
        <v>45802</v>
      </c>
      <c r="D585" t="inlineStr">
        <is>
          <t>DALARNAS LÄN</t>
        </is>
      </c>
      <c r="E585" t="inlineStr">
        <is>
          <t>LUDVIKA</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28138-2023</t>
        </is>
      </c>
      <c r="B586" s="1" t="n">
        <v>45099</v>
      </c>
      <c r="C586" s="1" t="n">
        <v>45802</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28157-2023</t>
        </is>
      </c>
      <c r="B587" s="1" t="n">
        <v>45099</v>
      </c>
      <c r="C587" s="1" t="n">
        <v>45802</v>
      </c>
      <c r="D587" t="inlineStr">
        <is>
          <t>DALARNAS LÄN</t>
        </is>
      </c>
      <c r="E587" t="inlineStr">
        <is>
          <t>LUDVIKA</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28141-2023</t>
        </is>
      </c>
      <c r="B588" s="1" t="n">
        <v>45099</v>
      </c>
      <c r="C588" s="1" t="n">
        <v>45802</v>
      </c>
      <c r="D588" t="inlineStr">
        <is>
          <t>DALARNAS LÄN</t>
        </is>
      </c>
      <c r="E588" t="inlineStr">
        <is>
          <t>LUDVIKA</t>
        </is>
      </c>
      <c r="F588" t="inlineStr">
        <is>
          <t>Bergvik skog väst AB</t>
        </is>
      </c>
      <c r="G588" t="n">
        <v>2.3</v>
      </c>
      <c r="H588" t="n">
        <v>0</v>
      </c>
      <c r="I588" t="n">
        <v>0</v>
      </c>
      <c r="J588" t="n">
        <v>0</v>
      </c>
      <c r="K588" t="n">
        <v>0</v>
      </c>
      <c r="L588" t="n">
        <v>0</v>
      </c>
      <c r="M588" t="n">
        <v>0</v>
      </c>
      <c r="N588" t="n">
        <v>0</v>
      </c>
      <c r="O588" t="n">
        <v>0</v>
      </c>
      <c r="P588" t="n">
        <v>0</v>
      </c>
      <c r="Q588" t="n">
        <v>0</v>
      </c>
      <c r="R588" s="2" t="inlineStr"/>
    </row>
    <row r="589" ht="15" customHeight="1">
      <c r="A589" t="inlineStr">
        <is>
          <t>A 28150-2023</t>
        </is>
      </c>
      <c r="B589" s="1" t="n">
        <v>45099</v>
      </c>
      <c r="C589" s="1" t="n">
        <v>45802</v>
      </c>
      <c r="D589" t="inlineStr">
        <is>
          <t>DALARNAS LÄN</t>
        </is>
      </c>
      <c r="E589" t="inlineStr">
        <is>
          <t>LUDVIKA</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28507-2023</t>
        </is>
      </c>
      <c r="B590" s="1" t="n">
        <v>45103</v>
      </c>
      <c r="C590" s="1" t="n">
        <v>45802</v>
      </c>
      <c r="D590" t="inlineStr">
        <is>
          <t>DALARNAS LÄN</t>
        </is>
      </c>
      <c r="E590" t="inlineStr">
        <is>
          <t>LUDVIKA</t>
        </is>
      </c>
      <c r="G590" t="n">
        <v>2.4</v>
      </c>
      <c r="H590" t="n">
        <v>0</v>
      </c>
      <c r="I590" t="n">
        <v>0</v>
      </c>
      <c r="J590" t="n">
        <v>0</v>
      </c>
      <c r="K590" t="n">
        <v>0</v>
      </c>
      <c r="L590" t="n">
        <v>0</v>
      </c>
      <c r="M590" t="n">
        <v>0</v>
      </c>
      <c r="N590" t="n">
        <v>0</v>
      </c>
      <c r="O590" t="n">
        <v>0</v>
      </c>
      <c r="P590" t="n">
        <v>0</v>
      </c>
      <c r="Q590" t="n">
        <v>0</v>
      </c>
      <c r="R590" s="2" t="inlineStr"/>
    </row>
    <row r="591" ht="15" customHeight="1">
      <c r="A591" t="inlineStr">
        <is>
          <t>A 29242-2023</t>
        </is>
      </c>
      <c r="B591" s="1" t="n">
        <v>45105</v>
      </c>
      <c r="C591" s="1" t="n">
        <v>45802</v>
      </c>
      <c r="D591" t="inlineStr">
        <is>
          <t>DALARNAS LÄN</t>
        </is>
      </c>
      <c r="E591" t="inlineStr">
        <is>
          <t>LUDVIKA</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31702-2023</t>
        </is>
      </c>
      <c r="B592" s="1" t="n">
        <v>45105</v>
      </c>
      <c r="C592" s="1" t="n">
        <v>45802</v>
      </c>
      <c r="D592" t="inlineStr">
        <is>
          <t>DALARNAS LÄN</t>
        </is>
      </c>
      <c r="E592" t="inlineStr">
        <is>
          <t>LUDVIKA</t>
        </is>
      </c>
      <c r="G592" t="n">
        <v>2.3</v>
      </c>
      <c r="H592" t="n">
        <v>0</v>
      </c>
      <c r="I592" t="n">
        <v>0</v>
      </c>
      <c r="J592" t="n">
        <v>0</v>
      </c>
      <c r="K592" t="n">
        <v>0</v>
      </c>
      <c r="L592" t="n">
        <v>0</v>
      </c>
      <c r="M592" t="n">
        <v>0</v>
      </c>
      <c r="N592" t="n">
        <v>0</v>
      </c>
      <c r="O592" t="n">
        <v>0</v>
      </c>
      <c r="P592" t="n">
        <v>0</v>
      </c>
      <c r="Q592" t="n">
        <v>0</v>
      </c>
      <c r="R592" s="2" t="inlineStr"/>
    </row>
    <row r="593" ht="15" customHeight="1">
      <c r="A593" t="inlineStr">
        <is>
          <t>A 29535-2023</t>
        </is>
      </c>
      <c r="B593" s="1" t="n">
        <v>45106</v>
      </c>
      <c r="C593" s="1" t="n">
        <v>45802</v>
      </c>
      <c r="D593" t="inlineStr">
        <is>
          <t>DALARNAS LÄN</t>
        </is>
      </c>
      <c r="E593" t="inlineStr">
        <is>
          <t>LUDVIKA</t>
        </is>
      </c>
      <c r="G593" t="n">
        <v>2.8</v>
      </c>
      <c r="H593" t="n">
        <v>0</v>
      </c>
      <c r="I593" t="n">
        <v>0</v>
      </c>
      <c r="J593" t="n">
        <v>0</v>
      </c>
      <c r="K593" t="n">
        <v>0</v>
      </c>
      <c r="L593" t="n">
        <v>0</v>
      </c>
      <c r="M593" t="n">
        <v>0</v>
      </c>
      <c r="N593" t="n">
        <v>0</v>
      </c>
      <c r="O593" t="n">
        <v>0</v>
      </c>
      <c r="P593" t="n">
        <v>0</v>
      </c>
      <c r="Q593" t="n">
        <v>0</v>
      </c>
      <c r="R593" s="2" t="inlineStr"/>
    </row>
    <row r="594" ht="15" customHeight="1">
      <c r="A594" t="inlineStr">
        <is>
          <t>A 29666-2023</t>
        </is>
      </c>
      <c r="B594" s="1" t="n">
        <v>45107</v>
      </c>
      <c r="C594" s="1" t="n">
        <v>45802</v>
      </c>
      <c r="D594" t="inlineStr">
        <is>
          <t>DALARNAS LÄN</t>
        </is>
      </c>
      <c r="E594" t="inlineStr">
        <is>
          <t>LUDVIKA</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29698-2023</t>
        </is>
      </c>
      <c r="B595" s="1" t="n">
        <v>45107</v>
      </c>
      <c r="C595" s="1" t="n">
        <v>45802</v>
      </c>
      <c r="D595" t="inlineStr">
        <is>
          <t>DALARNAS LÄN</t>
        </is>
      </c>
      <c r="E595" t="inlineStr">
        <is>
          <t>LUDVIKA</t>
        </is>
      </c>
      <c r="G595" t="n">
        <v>2.7</v>
      </c>
      <c r="H595" t="n">
        <v>0</v>
      </c>
      <c r="I595" t="n">
        <v>0</v>
      </c>
      <c r="J595" t="n">
        <v>0</v>
      </c>
      <c r="K595" t="n">
        <v>0</v>
      </c>
      <c r="L595" t="n">
        <v>0</v>
      </c>
      <c r="M595" t="n">
        <v>0</v>
      </c>
      <c r="N595" t="n">
        <v>0</v>
      </c>
      <c r="O595" t="n">
        <v>0</v>
      </c>
      <c r="P595" t="n">
        <v>0</v>
      </c>
      <c r="Q595" t="n">
        <v>0</v>
      </c>
      <c r="R595" s="2" t="inlineStr"/>
    </row>
    <row r="596" ht="15" customHeight="1">
      <c r="A596" t="inlineStr">
        <is>
          <t>A 30113-2023</t>
        </is>
      </c>
      <c r="B596" s="1" t="n">
        <v>45110</v>
      </c>
      <c r="C596" s="1" t="n">
        <v>45802</v>
      </c>
      <c r="D596" t="inlineStr">
        <is>
          <t>DALARNAS LÄN</t>
        </is>
      </c>
      <c r="E596" t="inlineStr">
        <is>
          <t>LUDVIKA</t>
        </is>
      </c>
      <c r="G596" t="n">
        <v>3.3</v>
      </c>
      <c r="H596" t="n">
        <v>0</v>
      </c>
      <c r="I596" t="n">
        <v>0</v>
      </c>
      <c r="J596" t="n">
        <v>0</v>
      </c>
      <c r="K596" t="n">
        <v>0</v>
      </c>
      <c r="L596" t="n">
        <v>0</v>
      </c>
      <c r="M596" t="n">
        <v>0</v>
      </c>
      <c r="N596" t="n">
        <v>0</v>
      </c>
      <c r="O596" t="n">
        <v>0</v>
      </c>
      <c r="P596" t="n">
        <v>0</v>
      </c>
      <c r="Q596" t="n">
        <v>0</v>
      </c>
      <c r="R596" s="2" t="inlineStr"/>
    </row>
    <row r="597" ht="15" customHeight="1">
      <c r="A597" t="inlineStr">
        <is>
          <t>A 30123-2023</t>
        </is>
      </c>
      <c r="B597" s="1" t="n">
        <v>45110</v>
      </c>
      <c r="C597" s="1" t="n">
        <v>45802</v>
      </c>
      <c r="D597" t="inlineStr">
        <is>
          <t>DALARNAS LÄN</t>
        </is>
      </c>
      <c r="E597" t="inlineStr">
        <is>
          <t>LUDVIKA</t>
        </is>
      </c>
      <c r="G597" t="n">
        <v>1.9</v>
      </c>
      <c r="H597" t="n">
        <v>0</v>
      </c>
      <c r="I597" t="n">
        <v>0</v>
      </c>
      <c r="J597" t="n">
        <v>0</v>
      </c>
      <c r="K597" t="n">
        <v>0</v>
      </c>
      <c r="L597" t="n">
        <v>0</v>
      </c>
      <c r="M597" t="n">
        <v>0</v>
      </c>
      <c r="N597" t="n">
        <v>0</v>
      </c>
      <c r="O597" t="n">
        <v>0</v>
      </c>
      <c r="P597" t="n">
        <v>0</v>
      </c>
      <c r="Q597" t="n">
        <v>0</v>
      </c>
      <c r="R597" s="2" t="inlineStr"/>
    </row>
    <row r="598" ht="15" customHeight="1">
      <c r="A598" t="inlineStr">
        <is>
          <t>A 30127-2023</t>
        </is>
      </c>
      <c r="B598" s="1" t="n">
        <v>45110</v>
      </c>
      <c r="C598" s="1" t="n">
        <v>45802</v>
      </c>
      <c r="D598" t="inlineStr">
        <is>
          <t>DALARNAS LÄN</t>
        </is>
      </c>
      <c r="E598" t="inlineStr">
        <is>
          <t>LUDVIKA</t>
        </is>
      </c>
      <c r="G598" t="n">
        <v>1.1</v>
      </c>
      <c r="H598" t="n">
        <v>0</v>
      </c>
      <c r="I598" t="n">
        <v>0</v>
      </c>
      <c r="J598" t="n">
        <v>0</v>
      </c>
      <c r="K598" t="n">
        <v>0</v>
      </c>
      <c r="L598" t="n">
        <v>0</v>
      </c>
      <c r="M598" t="n">
        <v>0</v>
      </c>
      <c r="N598" t="n">
        <v>0</v>
      </c>
      <c r="O598" t="n">
        <v>0</v>
      </c>
      <c r="P598" t="n">
        <v>0</v>
      </c>
      <c r="Q598" t="n">
        <v>0</v>
      </c>
      <c r="R598" s="2" t="inlineStr"/>
    </row>
    <row r="599" ht="15" customHeight="1">
      <c r="A599" t="inlineStr">
        <is>
          <t>A 30581-2023</t>
        </is>
      </c>
      <c r="B599" s="1" t="n">
        <v>45112</v>
      </c>
      <c r="C599" s="1" t="n">
        <v>45802</v>
      </c>
      <c r="D599" t="inlineStr">
        <is>
          <t>DALARNAS LÄN</t>
        </is>
      </c>
      <c r="E599" t="inlineStr">
        <is>
          <t>LUDVIKA</t>
        </is>
      </c>
      <c r="F599" t="inlineStr">
        <is>
          <t>Bergvik skog väst AB</t>
        </is>
      </c>
      <c r="G599" t="n">
        <v>14.4</v>
      </c>
      <c r="H599" t="n">
        <v>0</v>
      </c>
      <c r="I599" t="n">
        <v>0</v>
      </c>
      <c r="J599" t="n">
        <v>0</v>
      </c>
      <c r="K599" t="n">
        <v>0</v>
      </c>
      <c r="L599" t="n">
        <v>0</v>
      </c>
      <c r="M599" t="n">
        <v>0</v>
      </c>
      <c r="N599" t="n">
        <v>0</v>
      </c>
      <c r="O599" t="n">
        <v>0</v>
      </c>
      <c r="P599" t="n">
        <v>0</v>
      </c>
      <c r="Q599" t="n">
        <v>0</v>
      </c>
      <c r="R599" s="2" t="inlineStr"/>
    </row>
    <row r="600" ht="15" customHeight="1">
      <c r="A600" t="inlineStr">
        <is>
          <t>A 32852-2023</t>
        </is>
      </c>
      <c r="B600" s="1" t="n">
        <v>45112</v>
      </c>
      <c r="C600" s="1" t="n">
        <v>45802</v>
      </c>
      <c r="D600" t="inlineStr">
        <is>
          <t>DALARNAS LÄN</t>
        </is>
      </c>
      <c r="E600" t="inlineStr">
        <is>
          <t>LUDVIKA</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32854-2023</t>
        </is>
      </c>
      <c r="B601" s="1" t="n">
        <v>45112</v>
      </c>
      <c r="C601" s="1" t="n">
        <v>45802</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30892-2023</t>
        </is>
      </c>
      <c r="B602" s="1" t="n">
        <v>45113</v>
      </c>
      <c r="C602" s="1" t="n">
        <v>45802</v>
      </c>
      <c r="D602" t="inlineStr">
        <is>
          <t>DALARNAS LÄN</t>
        </is>
      </c>
      <c r="E602" t="inlineStr">
        <is>
          <t>LUDVIKA</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32995-2023</t>
        </is>
      </c>
      <c r="B603" s="1" t="n">
        <v>45113</v>
      </c>
      <c r="C603" s="1" t="n">
        <v>45802</v>
      </c>
      <c r="D603" t="inlineStr">
        <is>
          <t>DALARNAS LÄN</t>
        </is>
      </c>
      <c r="E603" t="inlineStr">
        <is>
          <t>LUDVIKA</t>
        </is>
      </c>
      <c r="F603" t="inlineStr">
        <is>
          <t>Kommuner</t>
        </is>
      </c>
      <c r="G603" t="n">
        <v>5.8</v>
      </c>
      <c r="H603" t="n">
        <v>0</v>
      </c>
      <c r="I603" t="n">
        <v>0</v>
      </c>
      <c r="J603" t="n">
        <v>0</v>
      </c>
      <c r="K603" t="n">
        <v>0</v>
      </c>
      <c r="L603" t="n">
        <v>0</v>
      </c>
      <c r="M603" t="n">
        <v>0</v>
      </c>
      <c r="N603" t="n">
        <v>0</v>
      </c>
      <c r="O603" t="n">
        <v>0</v>
      </c>
      <c r="P603" t="n">
        <v>0</v>
      </c>
      <c r="Q603" t="n">
        <v>0</v>
      </c>
      <c r="R603" s="2" t="inlineStr"/>
    </row>
    <row r="604" ht="15" customHeight="1">
      <c r="A604" t="inlineStr">
        <is>
          <t>A 31353-2023</t>
        </is>
      </c>
      <c r="B604" s="1" t="n">
        <v>45114</v>
      </c>
      <c r="C604" s="1" t="n">
        <v>45802</v>
      </c>
      <c r="D604" t="inlineStr">
        <is>
          <t>DALARNAS LÄN</t>
        </is>
      </c>
      <c r="E604" t="inlineStr">
        <is>
          <t>LUDVIKA</t>
        </is>
      </c>
      <c r="F604" t="inlineStr">
        <is>
          <t>Naturvårdsverket</t>
        </is>
      </c>
      <c r="G604" t="n">
        <v>2.5</v>
      </c>
      <c r="H604" t="n">
        <v>0</v>
      </c>
      <c r="I604" t="n">
        <v>0</v>
      </c>
      <c r="J604" t="n">
        <v>0</v>
      </c>
      <c r="K604" t="n">
        <v>0</v>
      </c>
      <c r="L604" t="n">
        <v>0</v>
      </c>
      <c r="M604" t="n">
        <v>0</v>
      </c>
      <c r="N604" t="n">
        <v>0</v>
      </c>
      <c r="O604" t="n">
        <v>0</v>
      </c>
      <c r="P604" t="n">
        <v>0</v>
      </c>
      <c r="Q604" t="n">
        <v>0</v>
      </c>
      <c r="R604" s="2" t="inlineStr"/>
    </row>
    <row r="605" ht="15" customHeight="1">
      <c r="A605" t="inlineStr">
        <is>
          <t>A 31478-2023</t>
        </is>
      </c>
      <c r="B605" s="1" t="n">
        <v>45114</v>
      </c>
      <c r="C605" s="1" t="n">
        <v>45802</v>
      </c>
      <c r="D605" t="inlineStr">
        <is>
          <t>DALARNAS LÄN</t>
        </is>
      </c>
      <c r="E605" t="inlineStr">
        <is>
          <t>LUDVIKA</t>
        </is>
      </c>
      <c r="G605" t="n">
        <v>6.2</v>
      </c>
      <c r="H605" t="n">
        <v>0</v>
      </c>
      <c r="I605" t="n">
        <v>0</v>
      </c>
      <c r="J605" t="n">
        <v>0</v>
      </c>
      <c r="K605" t="n">
        <v>0</v>
      </c>
      <c r="L605" t="n">
        <v>0</v>
      </c>
      <c r="M605" t="n">
        <v>0</v>
      </c>
      <c r="N605" t="n">
        <v>0</v>
      </c>
      <c r="O605" t="n">
        <v>0</v>
      </c>
      <c r="P605" t="n">
        <v>0</v>
      </c>
      <c r="Q605" t="n">
        <v>0</v>
      </c>
      <c r="R605" s="2" t="inlineStr"/>
    </row>
    <row r="606" ht="15" customHeight="1">
      <c r="A606" t="inlineStr">
        <is>
          <t>A 31341-2023</t>
        </is>
      </c>
      <c r="B606" s="1" t="n">
        <v>45114</v>
      </c>
      <c r="C606" s="1" t="n">
        <v>45802</v>
      </c>
      <c r="D606" t="inlineStr">
        <is>
          <t>DALARNAS LÄN</t>
        </is>
      </c>
      <c r="E606" t="inlineStr">
        <is>
          <t>LUDVIKA</t>
        </is>
      </c>
      <c r="F606" t="inlineStr">
        <is>
          <t>Naturvårdsverket</t>
        </is>
      </c>
      <c r="G606" t="n">
        <v>2.4</v>
      </c>
      <c r="H606" t="n">
        <v>0</v>
      </c>
      <c r="I606" t="n">
        <v>0</v>
      </c>
      <c r="J606" t="n">
        <v>0</v>
      </c>
      <c r="K606" t="n">
        <v>0</v>
      </c>
      <c r="L606" t="n">
        <v>0</v>
      </c>
      <c r="M606" t="n">
        <v>0</v>
      </c>
      <c r="N606" t="n">
        <v>0</v>
      </c>
      <c r="O606" t="n">
        <v>0</v>
      </c>
      <c r="P606" t="n">
        <v>0</v>
      </c>
      <c r="Q606" t="n">
        <v>0</v>
      </c>
      <c r="R606" s="2" t="inlineStr"/>
    </row>
    <row r="607" ht="15" customHeight="1">
      <c r="A607" t="inlineStr">
        <is>
          <t>A 31477-2023</t>
        </is>
      </c>
      <c r="B607" s="1" t="n">
        <v>45114</v>
      </c>
      <c r="C607" s="1" t="n">
        <v>45802</v>
      </c>
      <c r="D607" t="inlineStr">
        <is>
          <t>DALARNAS LÄN</t>
        </is>
      </c>
      <c r="E607" t="inlineStr">
        <is>
          <t>LUDVIKA</t>
        </is>
      </c>
      <c r="G607" t="n">
        <v>3.4</v>
      </c>
      <c r="H607" t="n">
        <v>0</v>
      </c>
      <c r="I607" t="n">
        <v>0</v>
      </c>
      <c r="J607" t="n">
        <v>0</v>
      </c>
      <c r="K607" t="n">
        <v>0</v>
      </c>
      <c r="L607" t="n">
        <v>0</v>
      </c>
      <c r="M607" t="n">
        <v>0</v>
      </c>
      <c r="N607" t="n">
        <v>0</v>
      </c>
      <c r="O607" t="n">
        <v>0</v>
      </c>
      <c r="P607" t="n">
        <v>0</v>
      </c>
      <c r="Q607" t="n">
        <v>0</v>
      </c>
      <c r="R607" s="2" t="inlineStr"/>
    </row>
    <row r="608" ht="15" customHeight="1">
      <c r="A608" t="inlineStr">
        <is>
          <t>A 31625-2023</t>
        </is>
      </c>
      <c r="B608" s="1" t="n">
        <v>45117</v>
      </c>
      <c r="C608" s="1" t="n">
        <v>45802</v>
      </c>
      <c r="D608" t="inlineStr">
        <is>
          <t>DALARNAS LÄN</t>
        </is>
      </c>
      <c r="E608" t="inlineStr">
        <is>
          <t>LUDVIKA</t>
        </is>
      </c>
      <c r="G608" t="n">
        <v>4.1</v>
      </c>
      <c r="H608" t="n">
        <v>0</v>
      </c>
      <c r="I608" t="n">
        <v>0</v>
      </c>
      <c r="J608" t="n">
        <v>0</v>
      </c>
      <c r="K608" t="n">
        <v>0</v>
      </c>
      <c r="L608" t="n">
        <v>0</v>
      </c>
      <c r="M608" t="n">
        <v>0</v>
      </c>
      <c r="N608" t="n">
        <v>0</v>
      </c>
      <c r="O608" t="n">
        <v>0</v>
      </c>
      <c r="P608" t="n">
        <v>0</v>
      </c>
      <c r="Q608" t="n">
        <v>0</v>
      </c>
      <c r="R608" s="2" t="inlineStr"/>
    </row>
    <row r="609" ht="15" customHeight="1">
      <c r="A609" t="inlineStr">
        <is>
          <t>A 33535-2023</t>
        </is>
      </c>
      <c r="B609" s="1" t="n">
        <v>45118</v>
      </c>
      <c r="C609" s="1" t="n">
        <v>45802</v>
      </c>
      <c r="D609" t="inlineStr">
        <is>
          <t>DALARNAS LÄN</t>
        </is>
      </c>
      <c r="E609" t="inlineStr">
        <is>
          <t>LUDVIKA</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32119-2023</t>
        </is>
      </c>
      <c r="B610" s="1" t="n">
        <v>45119</v>
      </c>
      <c r="C610" s="1" t="n">
        <v>45802</v>
      </c>
      <c r="D610" t="inlineStr">
        <is>
          <t>DALARNAS LÄN</t>
        </is>
      </c>
      <c r="E610" t="inlineStr">
        <is>
          <t>LUDVIKA</t>
        </is>
      </c>
      <c r="F610" t="inlineStr">
        <is>
          <t>Naturvårdsverket</t>
        </is>
      </c>
      <c r="G610" t="n">
        <v>1</v>
      </c>
      <c r="H610" t="n">
        <v>0</v>
      </c>
      <c r="I610" t="n">
        <v>0</v>
      </c>
      <c r="J610" t="n">
        <v>0</v>
      </c>
      <c r="K610" t="n">
        <v>0</v>
      </c>
      <c r="L610" t="n">
        <v>0</v>
      </c>
      <c r="M610" t="n">
        <v>0</v>
      </c>
      <c r="N610" t="n">
        <v>0</v>
      </c>
      <c r="O610" t="n">
        <v>0</v>
      </c>
      <c r="P610" t="n">
        <v>0</v>
      </c>
      <c r="Q610" t="n">
        <v>0</v>
      </c>
      <c r="R610" s="2" t="inlineStr"/>
    </row>
    <row r="611" ht="15" customHeight="1">
      <c r="A611" t="inlineStr">
        <is>
          <t>A 32091-2023</t>
        </is>
      </c>
      <c r="B611" s="1" t="n">
        <v>45119</v>
      </c>
      <c r="C611" s="1" t="n">
        <v>45802</v>
      </c>
      <c r="D611" t="inlineStr">
        <is>
          <t>DALARNAS LÄN</t>
        </is>
      </c>
      <c r="E611" t="inlineStr">
        <is>
          <t>LUDVIKA</t>
        </is>
      </c>
      <c r="F611" t="inlineStr">
        <is>
          <t>Bergvik skog väst AB</t>
        </is>
      </c>
      <c r="G611" t="n">
        <v>7.3</v>
      </c>
      <c r="H611" t="n">
        <v>0</v>
      </c>
      <c r="I611" t="n">
        <v>0</v>
      </c>
      <c r="J611" t="n">
        <v>0</v>
      </c>
      <c r="K611" t="n">
        <v>0</v>
      </c>
      <c r="L611" t="n">
        <v>0</v>
      </c>
      <c r="M611" t="n">
        <v>0</v>
      </c>
      <c r="N611" t="n">
        <v>0</v>
      </c>
      <c r="O611" t="n">
        <v>0</v>
      </c>
      <c r="P611" t="n">
        <v>0</v>
      </c>
      <c r="Q611" t="n">
        <v>0</v>
      </c>
      <c r="R611" s="2" t="inlineStr"/>
    </row>
    <row r="612" ht="15" customHeight="1">
      <c r="A612" t="inlineStr">
        <is>
          <t>A 32124-2023</t>
        </is>
      </c>
      <c r="B612" s="1" t="n">
        <v>45119</v>
      </c>
      <c r="C612" s="1" t="n">
        <v>45802</v>
      </c>
      <c r="D612" t="inlineStr">
        <is>
          <t>DALARNAS LÄN</t>
        </is>
      </c>
      <c r="E612" t="inlineStr">
        <is>
          <t>LUDVIKA</t>
        </is>
      </c>
      <c r="F612" t="inlineStr">
        <is>
          <t>Naturvårdsverket</t>
        </is>
      </c>
      <c r="G612" t="n">
        <v>1.5</v>
      </c>
      <c r="H612" t="n">
        <v>0</v>
      </c>
      <c r="I612" t="n">
        <v>0</v>
      </c>
      <c r="J612" t="n">
        <v>0</v>
      </c>
      <c r="K612" t="n">
        <v>0</v>
      </c>
      <c r="L612" t="n">
        <v>0</v>
      </c>
      <c r="M612" t="n">
        <v>0</v>
      </c>
      <c r="N612" t="n">
        <v>0</v>
      </c>
      <c r="O612" t="n">
        <v>0</v>
      </c>
      <c r="P612" t="n">
        <v>0</v>
      </c>
      <c r="Q612" t="n">
        <v>0</v>
      </c>
      <c r="R612" s="2" t="inlineStr"/>
    </row>
    <row r="613" ht="15" customHeight="1">
      <c r="A613" t="inlineStr">
        <is>
          <t>A 32526-2023</t>
        </is>
      </c>
      <c r="B613" s="1" t="n">
        <v>45121</v>
      </c>
      <c r="C613" s="1" t="n">
        <v>45802</v>
      </c>
      <c r="D613" t="inlineStr">
        <is>
          <t>DALARNAS LÄN</t>
        </is>
      </c>
      <c r="E613" t="inlineStr">
        <is>
          <t>LUDVIKA</t>
        </is>
      </c>
      <c r="F613" t="inlineStr">
        <is>
          <t>Bergvik skog väst AB</t>
        </is>
      </c>
      <c r="G613" t="n">
        <v>5.1</v>
      </c>
      <c r="H613" t="n">
        <v>0</v>
      </c>
      <c r="I613" t="n">
        <v>0</v>
      </c>
      <c r="J613" t="n">
        <v>0</v>
      </c>
      <c r="K613" t="n">
        <v>0</v>
      </c>
      <c r="L613" t="n">
        <v>0</v>
      </c>
      <c r="M613" t="n">
        <v>0</v>
      </c>
      <c r="N613" t="n">
        <v>0</v>
      </c>
      <c r="O613" t="n">
        <v>0</v>
      </c>
      <c r="P613" t="n">
        <v>0</v>
      </c>
      <c r="Q613" t="n">
        <v>0</v>
      </c>
      <c r="R613" s="2" t="inlineStr"/>
    </row>
    <row r="614" ht="15" customHeight="1">
      <c r="A614" t="inlineStr">
        <is>
          <t>A 32527-2023</t>
        </is>
      </c>
      <c r="B614" s="1" t="n">
        <v>45121</v>
      </c>
      <c r="C614" s="1" t="n">
        <v>45802</v>
      </c>
      <c r="D614" t="inlineStr">
        <is>
          <t>DALARNAS LÄN</t>
        </is>
      </c>
      <c r="E614" t="inlineStr">
        <is>
          <t>LUDVIKA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32927-2023</t>
        </is>
      </c>
      <c r="B615" s="1" t="n">
        <v>45125</v>
      </c>
      <c r="C615" s="1" t="n">
        <v>45802</v>
      </c>
      <c r="D615" t="inlineStr">
        <is>
          <t>DALARNAS LÄN</t>
        </is>
      </c>
      <c r="E615" t="inlineStr">
        <is>
          <t>LUDVIKA</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32930-2023</t>
        </is>
      </c>
      <c r="B616" s="1" t="n">
        <v>45125</v>
      </c>
      <c r="C616" s="1" t="n">
        <v>45802</v>
      </c>
      <c r="D616" t="inlineStr">
        <is>
          <t>DALARNAS LÄN</t>
        </is>
      </c>
      <c r="E616" t="inlineStr">
        <is>
          <t>LUDVIKA</t>
        </is>
      </c>
      <c r="F616" t="inlineStr">
        <is>
          <t>Bergvik skog väst AB</t>
        </is>
      </c>
      <c r="G616" t="n">
        <v>2.6</v>
      </c>
      <c r="H616" t="n">
        <v>0</v>
      </c>
      <c r="I616" t="n">
        <v>0</v>
      </c>
      <c r="J616" t="n">
        <v>0</v>
      </c>
      <c r="K616" t="n">
        <v>0</v>
      </c>
      <c r="L616" t="n">
        <v>0</v>
      </c>
      <c r="M616" t="n">
        <v>0</v>
      </c>
      <c r="N616" t="n">
        <v>0</v>
      </c>
      <c r="O616" t="n">
        <v>0</v>
      </c>
      <c r="P616" t="n">
        <v>0</v>
      </c>
      <c r="Q616" t="n">
        <v>0</v>
      </c>
      <c r="R616" s="2" t="inlineStr"/>
    </row>
    <row r="617" ht="15" customHeight="1">
      <c r="A617" t="inlineStr">
        <is>
          <t>A 34041-2023</t>
        </is>
      </c>
      <c r="B617" s="1" t="n">
        <v>45125</v>
      </c>
      <c r="C617" s="1" t="n">
        <v>45802</v>
      </c>
      <c r="D617" t="inlineStr">
        <is>
          <t>DALARNAS LÄN</t>
        </is>
      </c>
      <c r="E617" t="inlineStr">
        <is>
          <t>LUDVIKA</t>
        </is>
      </c>
      <c r="G617" t="n">
        <v>4.2</v>
      </c>
      <c r="H617" t="n">
        <v>0</v>
      </c>
      <c r="I617" t="n">
        <v>0</v>
      </c>
      <c r="J617" t="n">
        <v>0</v>
      </c>
      <c r="K617" t="n">
        <v>0</v>
      </c>
      <c r="L617" t="n">
        <v>0</v>
      </c>
      <c r="M617" t="n">
        <v>0</v>
      </c>
      <c r="N617" t="n">
        <v>0</v>
      </c>
      <c r="O617" t="n">
        <v>0</v>
      </c>
      <c r="P617" t="n">
        <v>0</v>
      </c>
      <c r="Q617" t="n">
        <v>0</v>
      </c>
      <c r="R617" s="2" t="inlineStr"/>
    </row>
    <row r="618" ht="15" customHeight="1">
      <c r="A618" t="inlineStr">
        <is>
          <t>A 33063-2023</t>
        </is>
      </c>
      <c r="B618" s="1" t="n">
        <v>45126</v>
      </c>
      <c r="C618" s="1" t="n">
        <v>45802</v>
      </c>
      <c r="D618" t="inlineStr">
        <is>
          <t>DALARNAS LÄN</t>
        </is>
      </c>
      <c r="E618" t="inlineStr">
        <is>
          <t>LUDVIKA</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33275-2023</t>
        </is>
      </c>
      <c r="B619" s="1" t="n">
        <v>45127</v>
      </c>
      <c r="C619" s="1" t="n">
        <v>45802</v>
      </c>
      <c r="D619" t="inlineStr">
        <is>
          <t>DALARNAS LÄN</t>
        </is>
      </c>
      <c r="E619" t="inlineStr">
        <is>
          <t>LUDVIKA</t>
        </is>
      </c>
      <c r="F619" t="inlineStr">
        <is>
          <t>Naturvårdsverket</t>
        </is>
      </c>
      <c r="G619" t="n">
        <v>3.2</v>
      </c>
      <c r="H619" t="n">
        <v>0</v>
      </c>
      <c r="I619" t="n">
        <v>0</v>
      </c>
      <c r="J619" t="n">
        <v>0</v>
      </c>
      <c r="K619" t="n">
        <v>0</v>
      </c>
      <c r="L619" t="n">
        <v>0</v>
      </c>
      <c r="M619" t="n">
        <v>0</v>
      </c>
      <c r="N619" t="n">
        <v>0</v>
      </c>
      <c r="O619" t="n">
        <v>0</v>
      </c>
      <c r="P619" t="n">
        <v>0</v>
      </c>
      <c r="Q619" t="n">
        <v>0</v>
      </c>
      <c r="R619" s="2" t="inlineStr"/>
    </row>
    <row r="620" ht="15" customHeight="1">
      <c r="A620" t="inlineStr">
        <is>
          <t>A 33347-2023</t>
        </is>
      </c>
      <c r="B620" s="1" t="n">
        <v>45128</v>
      </c>
      <c r="C620" s="1" t="n">
        <v>45802</v>
      </c>
      <c r="D620" t="inlineStr">
        <is>
          <t>DALARNAS LÄN</t>
        </is>
      </c>
      <c r="E620" t="inlineStr">
        <is>
          <t>LUDVIKA</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33344-2023</t>
        </is>
      </c>
      <c r="B621" s="1" t="n">
        <v>45128</v>
      </c>
      <c r="C621" s="1" t="n">
        <v>45802</v>
      </c>
      <c r="D621" t="inlineStr">
        <is>
          <t>DALARNAS LÄN</t>
        </is>
      </c>
      <c r="E621" t="inlineStr">
        <is>
          <t>LUDVIKA</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33361-2023</t>
        </is>
      </c>
      <c r="B622" s="1" t="n">
        <v>45128</v>
      </c>
      <c r="C622" s="1" t="n">
        <v>45802</v>
      </c>
      <c r="D622" t="inlineStr">
        <is>
          <t>DALARNAS LÄN</t>
        </is>
      </c>
      <c r="E622" t="inlineStr">
        <is>
          <t>LUDVIKA</t>
        </is>
      </c>
      <c r="F622" t="inlineStr">
        <is>
          <t>Bergvik skog väst AB</t>
        </is>
      </c>
      <c r="G622" t="n">
        <v>3.1</v>
      </c>
      <c r="H622" t="n">
        <v>0</v>
      </c>
      <c r="I622" t="n">
        <v>0</v>
      </c>
      <c r="J622" t="n">
        <v>0</v>
      </c>
      <c r="K622" t="n">
        <v>0</v>
      </c>
      <c r="L622" t="n">
        <v>0</v>
      </c>
      <c r="M622" t="n">
        <v>0</v>
      </c>
      <c r="N622" t="n">
        <v>0</v>
      </c>
      <c r="O622" t="n">
        <v>0</v>
      </c>
      <c r="P622" t="n">
        <v>0</v>
      </c>
      <c r="Q622" t="n">
        <v>0</v>
      </c>
      <c r="R622" s="2" t="inlineStr"/>
    </row>
    <row r="623" ht="15" customHeight="1">
      <c r="A623" t="inlineStr">
        <is>
          <t>A 33560-2023</t>
        </is>
      </c>
      <c r="B623" s="1" t="n">
        <v>45131</v>
      </c>
      <c r="C623" s="1" t="n">
        <v>45802</v>
      </c>
      <c r="D623" t="inlineStr">
        <is>
          <t>DALARNAS LÄN</t>
        </is>
      </c>
      <c r="E623" t="inlineStr">
        <is>
          <t>LUDVIKA</t>
        </is>
      </c>
      <c r="G623" t="n">
        <v>7</v>
      </c>
      <c r="H623" t="n">
        <v>0</v>
      </c>
      <c r="I623" t="n">
        <v>0</v>
      </c>
      <c r="J623" t="n">
        <v>0</v>
      </c>
      <c r="K623" t="n">
        <v>0</v>
      </c>
      <c r="L623" t="n">
        <v>0</v>
      </c>
      <c r="M623" t="n">
        <v>0</v>
      </c>
      <c r="N623" t="n">
        <v>0</v>
      </c>
      <c r="O623" t="n">
        <v>0</v>
      </c>
      <c r="P623" t="n">
        <v>0</v>
      </c>
      <c r="Q623" t="n">
        <v>0</v>
      </c>
      <c r="R623" s="2" t="inlineStr"/>
    </row>
    <row r="624" ht="15" customHeight="1">
      <c r="A624" t="inlineStr">
        <is>
          <t>A 34341-2023</t>
        </is>
      </c>
      <c r="B624" s="1" t="n">
        <v>45131</v>
      </c>
      <c r="C624" s="1" t="n">
        <v>45802</v>
      </c>
      <c r="D624" t="inlineStr">
        <is>
          <t>DALARNAS LÄN</t>
        </is>
      </c>
      <c r="E624" t="inlineStr">
        <is>
          <t>LUDVIKA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33620-2023</t>
        </is>
      </c>
      <c r="B625" s="1" t="n">
        <v>45132</v>
      </c>
      <c r="C625" s="1" t="n">
        <v>45802</v>
      </c>
      <c r="D625" t="inlineStr">
        <is>
          <t>DALARNAS LÄN</t>
        </is>
      </c>
      <c r="E625" t="inlineStr">
        <is>
          <t>LUDVIKA</t>
        </is>
      </c>
      <c r="F625" t="inlineStr">
        <is>
          <t>Bergvik skog väst AB</t>
        </is>
      </c>
      <c r="G625" t="n">
        <v>7.4</v>
      </c>
      <c r="H625" t="n">
        <v>0</v>
      </c>
      <c r="I625" t="n">
        <v>0</v>
      </c>
      <c r="J625" t="n">
        <v>0</v>
      </c>
      <c r="K625" t="n">
        <v>0</v>
      </c>
      <c r="L625" t="n">
        <v>0</v>
      </c>
      <c r="M625" t="n">
        <v>0</v>
      </c>
      <c r="N625" t="n">
        <v>0</v>
      </c>
      <c r="O625" t="n">
        <v>0</v>
      </c>
      <c r="P625" t="n">
        <v>0</v>
      </c>
      <c r="Q625" t="n">
        <v>0</v>
      </c>
      <c r="R625" s="2" t="inlineStr"/>
    </row>
    <row r="626" ht="15" customHeight="1">
      <c r="A626" t="inlineStr">
        <is>
          <t>A 33914-2023</t>
        </is>
      </c>
      <c r="B626" s="1" t="n">
        <v>45134</v>
      </c>
      <c r="C626" s="1" t="n">
        <v>45802</v>
      </c>
      <c r="D626" t="inlineStr">
        <is>
          <t>DALARNAS LÄN</t>
        </is>
      </c>
      <c r="E626" t="inlineStr">
        <is>
          <t>LUDVIKA</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33933-2023</t>
        </is>
      </c>
      <c r="B627" s="1" t="n">
        <v>45134</v>
      </c>
      <c r="C627" s="1" t="n">
        <v>45802</v>
      </c>
      <c r="D627" t="inlineStr">
        <is>
          <t>DALARNAS LÄN</t>
        </is>
      </c>
      <c r="E627" t="inlineStr">
        <is>
          <t>LUDVIKA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33916-2023</t>
        </is>
      </c>
      <c r="B628" s="1" t="n">
        <v>45134</v>
      </c>
      <c r="C628" s="1" t="n">
        <v>45802</v>
      </c>
      <c r="D628" t="inlineStr">
        <is>
          <t>DALARNAS LÄN</t>
        </is>
      </c>
      <c r="E628" t="inlineStr">
        <is>
          <t>LUDVIKA</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33917-2023</t>
        </is>
      </c>
      <c r="B629" s="1" t="n">
        <v>45134</v>
      </c>
      <c r="C629" s="1" t="n">
        <v>45802</v>
      </c>
      <c r="D629" t="inlineStr">
        <is>
          <t>DALARNAS LÄN</t>
        </is>
      </c>
      <c r="E629" t="inlineStr">
        <is>
          <t>LUDVIKA</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33947-2023</t>
        </is>
      </c>
      <c r="B630" s="1" t="n">
        <v>45134</v>
      </c>
      <c r="C630" s="1" t="n">
        <v>45802</v>
      </c>
      <c r="D630" t="inlineStr">
        <is>
          <t>DALARNAS LÄN</t>
        </is>
      </c>
      <c r="E630" t="inlineStr">
        <is>
          <t>LUDVIKA</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34024-2023</t>
        </is>
      </c>
      <c r="B631" s="1" t="n">
        <v>45135</v>
      </c>
      <c r="C631" s="1" t="n">
        <v>45802</v>
      </c>
      <c r="D631" t="inlineStr">
        <is>
          <t>DALARNAS LÄN</t>
        </is>
      </c>
      <c r="E631" t="inlineStr">
        <is>
          <t>LUDVIKA</t>
        </is>
      </c>
      <c r="F631" t="inlineStr">
        <is>
          <t>Bergvik skog väst AB</t>
        </is>
      </c>
      <c r="G631" t="n">
        <v>18.3</v>
      </c>
      <c r="H631" t="n">
        <v>0</v>
      </c>
      <c r="I631" t="n">
        <v>0</v>
      </c>
      <c r="J631" t="n">
        <v>0</v>
      </c>
      <c r="K631" t="n">
        <v>0</v>
      </c>
      <c r="L631" t="n">
        <v>0</v>
      </c>
      <c r="M631" t="n">
        <v>0</v>
      </c>
      <c r="N631" t="n">
        <v>0</v>
      </c>
      <c r="O631" t="n">
        <v>0</v>
      </c>
      <c r="P631" t="n">
        <v>0</v>
      </c>
      <c r="Q631" t="n">
        <v>0</v>
      </c>
      <c r="R631" s="2" t="inlineStr"/>
    </row>
    <row r="632" ht="15" customHeight="1">
      <c r="A632" t="inlineStr">
        <is>
          <t>A 34503-2023</t>
        </is>
      </c>
      <c r="B632" s="1" t="n">
        <v>45140</v>
      </c>
      <c r="C632" s="1" t="n">
        <v>45802</v>
      </c>
      <c r="D632" t="inlineStr">
        <is>
          <t>DALARNAS LÄN</t>
        </is>
      </c>
      <c r="E632" t="inlineStr">
        <is>
          <t>LUDVIKA</t>
        </is>
      </c>
      <c r="F632" t="inlineStr">
        <is>
          <t>Bergvik skog väst AB</t>
        </is>
      </c>
      <c r="G632" t="n">
        <v>7.4</v>
      </c>
      <c r="H632" t="n">
        <v>0</v>
      </c>
      <c r="I632" t="n">
        <v>0</v>
      </c>
      <c r="J632" t="n">
        <v>0</v>
      </c>
      <c r="K632" t="n">
        <v>0</v>
      </c>
      <c r="L632" t="n">
        <v>0</v>
      </c>
      <c r="M632" t="n">
        <v>0</v>
      </c>
      <c r="N632" t="n">
        <v>0</v>
      </c>
      <c r="O632" t="n">
        <v>0</v>
      </c>
      <c r="P632" t="n">
        <v>0</v>
      </c>
      <c r="Q632" t="n">
        <v>0</v>
      </c>
      <c r="R632" s="2" t="inlineStr"/>
    </row>
    <row r="633" ht="15" customHeight="1">
      <c r="A633" t="inlineStr">
        <is>
          <t>A 34555-2023</t>
        </is>
      </c>
      <c r="B633" s="1" t="n">
        <v>45140</v>
      </c>
      <c r="C633" s="1" t="n">
        <v>45802</v>
      </c>
      <c r="D633" t="inlineStr">
        <is>
          <t>DALARNAS LÄN</t>
        </is>
      </c>
      <c r="E633" t="inlineStr">
        <is>
          <t>LUDVIKA</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34895-2023</t>
        </is>
      </c>
      <c r="B634" s="1" t="n">
        <v>45142</v>
      </c>
      <c r="C634" s="1" t="n">
        <v>45802</v>
      </c>
      <c r="D634" t="inlineStr">
        <is>
          <t>DALARNAS LÄN</t>
        </is>
      </c>
      <c r="E634" t="inlineStr">
        <is>
          <t>LUDVIKA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35791-2023</t>
        </is>
      </c>
      <c r="B635" s="1" t="n">
        <v>45148</v>
      </c>
      <c r="C635" s="1" t="n">
        <v>45802</v>
      </c>
      <c r="D635" t="inlineStr">
        <is>
          <t>DALARNAS LÄN</t>
        </is>
      </c>
      <c r="E635" t="inlineStr">
        <is>
          <t>LUDVIKA</t>
        </is>
      </c>
      <c r="F635" t="inlineStr">
        <is>
          <t>Bergvik skog väst AB</t>
        </is>
      </c>
      <c r="G635" t="n">
        <v>9.4</v>
      </c>
      <c r="H635" t="n">
        <v>0</v>
      </c>
      <c r="I635" t="n">
        <v>0</v>
      </c>
      <c r="J635" t="n">
        <v>0</v>
      </c>
      <c r="K635" t="n">
        <v>0</v>
      </c>
      <c r="L635" t="n">
        <v>0</v>
      </c>
      <c r="M635" t="n">
        <v>0</v>
      </c>
      <c r="N635" t="n">
        <v>0</v>
      </c>
      <c r="O635" t="n">
        <v>0</v>
      </c>
      <c r="P635" t="n">
        <v>0</v>
      </c>
      <c r="Q635" t="n">
        <v>0</v>
      </c>
      <c r="R635" s="2" t="inlineStr"/>
    </row>
    <row r="636" ht="15" customHeight="1">
      <c r="A636" t="inlineStr">
        <is>
          <t>A 35789-2023</t>
        </is>
      </c>
      <c r="B636" s="1" t="n">
        <v>45148</v>
      </c>
      <c r="C636" s="1" t="n">
        <v>45802</v>
      </c>
      <c r="D636" t="inlineStr">
        <is>
          <t>DALARNAS LÄN</t>
        </is>
      </c>
      <c r="E636" t="inlineStr">
        <is>
          <t>LUDVIKA</t>
        </is>
      </c>
      <c r="G636" t="n">
        <v>2.1</v>
      </c>
      <c r="H636" t="n">
        <v>0</v>
      </c>
      <c r="I636" t="n">
        <v>0</v>
      </c>
      <c r="J636" t="n">
        <v>0</v>
      </c>
      <c r="K636" t="n">
        <v>0</v>
      </c>
      <c r="L636" t="n">
        <v>0</v>
      </c>
      <c r="M636" t="n">
        <v>0</v>
      </c>
      <c r="N636" t="n">
        <v>0</v>
      </c>
      <c r="O636" t="n">
        <v>0</v>
      </c>
      <c r="P636" t="n">
        <v>0</v>
      </c>
      <c r="Q636" t="n">
        <v>0</v>
      </c>
      <c r="R636" s="2" t="inlineStr"/>
    </row>
    <row r="637" ht="15" customHeight="1">
      <c r="A637" t="inlineStr">
        <is>
          <t>A 36079-2023</t>
        </is>
      </c>
      <c r="B637" s="1" t="n">
        <v>45149</v>
      </c>
      <c r="C637" s="1" t="n">
        <v>45802</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36083-2023</t>
        </is>
      </c>
      <c r="B638" s="1" t="n">
        <v>45149</v>
      </c>
      <c r="C638" s="1" t="n">
        <v>45802</v>
      </c>
      <c r="D638" t="inlineStr">
        <is>
          <t>DALARNAS LÄN</t>
        </is>
      </c>
      <c r="E638" t="inlineStr">
        <is>
          <t>LUDVIKA</t>
        </is>
      </c>
      <c r="F638" t="inlineStr">
        <is>
          <t>Bergvik skog väst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36073-2023</t>
        </is>
      </c>
      <c r="B639" s="1" t="n">
        <v>45149</v>
      </c>
      <c r="C639" s="1" t="n">
        <v>45802</v>
      </c>
      <c r="D639" t="inlineStr">
        <is>
          <t>DALARNAS LÄN</t>
        </is>
      </c>
      <c r="E639" t="inlineStr">
        <is>
          <t>LUDVIKA</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36296-2023</t>
        </is>
      </c>
      <c r="B640" s="1" t="n">
        <v>45152</v>
      </c>
      <c r="C640" s="1" t="n">
        <v>45802</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36294-2023</t>
        </is>
      </c>
      <c r="B641" s="1" t="n">
        <v>45152</v>
      </c>
      <c r="C641" s="1" t="n">
        <v>45802</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36297-2023</t>
        </is>
      </c>
      <c r="B642" s="1" t="n">
        <v>45152</v>
      </c>
      <c r="C642" s="1" t="n">
        <v>45802</v>
      </c>
      <c r="D642" t="inlineStr">
        <is>
          <t>DALARNAS LÄN</t>
        </is>
      </c>
      <c r="E642" t="inlineStr">
        <is>
          <t>LUDVIKA</t>
        </is>
      </c>
      <c r="F642" t="inlineStr">
        <is>
          <t>Bergvik skog väst AB</t>
        </is>
      </c>
      <c r="G642" t="n">
        <v>3</v>
      </c>
      <c r="H642" t="n">
        <v>0</v>
      </c>
      <c r="I642" t="n">
        <v>0</v>
      </c>
      <c r="J642" t="n">
        <v>0</v>
      </c>
      <c r="K642" t="n">
        <v>0</v>
      </c>
      <c r="L642" t="n">
        <v>0</v>
      </c>
      <c r="M642" t="n">
        <v>0</v>
      </c>
      <c r="N642" t="n">
        <v>0</v>
      </c>
      <c r="O642" t="n">
        <v>0</v>
      </c>
      <c r="P642" t="n">
        <v>0</v>
      </c>
      <c r="Q642" t="n">
        <v>0</v>
      </c>
      <c r="R642" s="2" t="inlineStr"/>
    </row>
    <row r="643" ht="15" customHeight="1">
      <c r="A643" t="inlineStr">
        <is>
          <t>A 37008-2023</t>
        </is>
      </c>
      <c r="B643" s="1" t="n">
        <v>45155</v>
      </c>
      <c r="C643" s="1" t="n">
        <v>45802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37273-2023</t>
        </is>
      </c>
      <c r="B644" s="1" t="n">
        <v>45156</v>
      </c>
      <c r="C644" s="1" t="n">
        <v>45802</v>
      </c>
      <c r="D644" t="inlineStr">
        <is>
          <t>DALARNAS LÄN</t>
        </is>
      </c>
      <c r="E644" t="inlineStr">
        <is>
          <t>LUDVIKA</t>
        </is>
      </c>
      <c r="G644" t="n">
        <v>4</v>
      </c>
      <c r="H644" t="n">
        <v>0</v>
      </c>
      <c r="I644" t="n">
        <v>0</v>
      </c>
      <c r="J644" t="n">
        <v>0</v>
      </c>
      <c r="K644" t="n">
        <v>0</v>
      </c>
      <c r="L644" t="n">
        <v>0</v>
      </c>
      <c r="M644" t="n">
        <v>0</v>
      </c>
      <c r="N644" t="n">
        <v>0</v>
      </c>
      <c r="O644" t="n">
        <v>0</v>
      </c>
      <c r="P644" t="n">
        <v>0</v>
      </c>
      <c r="Q644" t="n">
        <v>0</v>
      </c>
      <c r="R644" s="2" t="inlineStr"/>
    </row>
    <row r="645" ht="15" customHeight="1">
      <c r="A645" t="inlineStr">
        <is>
          <t>A 37272-2023</t>
        </is>
      </c>
      <c r="B645" s="1" t="n">
        <v>45156</v>
      </c>
      <c r="C645" s="1" t="n">
        <v>45802</v>
      </c>
      <c r="D645" t="inlineStr">
        <is>
          <t>DALARNAS LÄN</t>
        </is>
      </c>
      <c r="E645" t="inlineStr">
        <is>
          <t>LUDVIKA</t>
        </is>
      </c>
      <c r="G645" t="n">
        <v>6</v>
      </c>
      <c r="H645" t="n">
        <v>0</v>
      </c>
      <c r="I645" t="n">
        <v>0</v>
      </c>
      <c r="J645" t="n">
        <v>0</v>
      </c>
      <c r="K645" t="n">
        <v>0</v>
      </c>
      <c r="L645" t="n">
        <v>0</v>
      </c>
      <c r="M645" t="n">
        <v>0</v>
      </c>
      <c r="N645" t="n">
        <v>0</v>
      </c>
      <c r="O645" t="n">
        <v>0</v>
      </c>
      <c r="P645" t="n">
        <v>0</v>
      </c>
      <c r="Q645" t="n">
        <v>0</v>
      </c>
      <c r="R645" s="2" t="inlineStr"/>
    </row>
    <row r="646" ht="15" customHeight="1">
      <c r="A646" t="inlineStr">
        <is>
          <t>A 37333-2023</t>
        </is>
      </c>
      <c r="B646" s="1" t="n">
        <v>45156</v>
      </c>
      <c r="C646" s="1" t="n">
        <v>45802</v>
      </c>
      <c r="D646" t="inlineStr">
        <is>
          <t>DALARNAS LÄN</t>
        </is>
      </c>
      <c r="E646" t="inlineStr">
        <is>
          <t>LUDVIKA</t>
        </is>
      </c>
      <c r="F646" t="inlineStr">
        <is>
          <t>Bergvik skog väst AB</t>
        </is>
      </c>
      <c r="G646" t="n">
        <v>5</v>
      </c>
      <c r="H646" t="n">
        <v>0</v>
      </c>
      <c r="I646" t="n">
        <v>0</v>
      </c>
      <c r="J646" t="n">
        <v>0</v>
      </c>
      <c r="K646" t="n">
        <v>0</v>
      </c>
      <c r="L646" t="n">
        <v>0</v>
      </c>
      <c r="M646" t="n">
        <v>0</v>
      </c>
      <c r="N646" t="n">
        <v>0</v>
      </c>
      <c r="O646" t="n">
        <v>0</v>
      </c>
      <c r="P646" t="n">
        <v>0</v>
      </c>
      <c r="Q646" t="n">
        <v>0</v>
      </c>
      <c r="R646" s="2" t="inlineStr"/>
    </row>
    <row r="647" ht="15" customHeight="1">
      <c r="A647" t="inlineStr">
        <is>
          <t>A 37366-2023</t>
        </is>
      </c>
      <c r="B647" s="1" t="n">
        <v>45156</v>
      </c>
      <c r="C647" s="1" t="n">
        <v>45802</v>
      </c>
      <c r="D647" t="inlineStr">
        <is>
          <t>DALARNAS LÄN</t>
        </is>
      </c>
      <c r="E647" t="inlineStr">
        <is>
          <t>LUDVIKA</t>
        </is>
      </c>
      <c r="F647" t="inlineStr">
        <is>
          <t>Bergvik skog väst AB</t>
        </is>
      </c>
      <c r="G647" t="n">
        <v>6.7</v>
      </c>
      <c r="H647" t="n">
        <v>0</v>
      </c>
      <c r="I647" t="n">
        <v>0</v>
      </c>
      <c r="J647" t="n">
        <v>0</v>
      </c>
      <c r="K647" t="n">
        <v>0</v>
      </c>
      <c r="L647" t="n">
        <v>0</v>
      </c>
      <c r="M647" t="n">
        <v>0</v>
      </c>
      <c r="N647" t="n">
        <v>0</v>
      </c>
      <c r="O647" t="n">
        <v>0</v>
      </c>
      <c r="P647" t="n">
        <v>0</v>
      </c>
      <c r="Q647" t="n">
        <v>0</v>
      </c>
      <c r="R647" s="2" t="inlineStr"/>
    </row>
    <row r="648" ht="15" customHeight="1">
      <c r="A648" t="inlineStr">
        <is>
          <t>A 37392-2023</t>
        </is>
      </c>
      <c r="B648" s="1" t="n">
        <v>45156</v>
      </c>
      <c r="C648" s="1" t="n">
        <v>45802</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38170-2023</t>
        </is>
      </c>
      <c r="B649" s="1" t="n">
        <v>45161</v>
      </c>
      <c r="C649" s="1" t="n">
        <v>45802</v>
      </c>
      <c r="D649" t="inlineStr">
        <is>
          <t>DALARNAS LÄN</t>
        </is>
      </c>
      <c r="E649" t="inlineStr">
        <is>
          <t>LUDVIKA</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38138-2023</t>
        </is>
      </c>
      <c r="B650" s="1" t="n">
        <v>45161</v>
      </c>
      <c r="C650" s="1" t="n">
        <v>45802</v>
      </c>
      <c r="D650" t="inlineStr">
        <is>
          <t>DALARNAS LÄN</t>
        </is>
      </c>
      <c r="E650" t="inlineStr">
        <is>
          <t>LUDVIKA</t>
        </is>
      </c>
      <c r="G650" t="n">
        <v>2.5</v>
      </c>
      <c r="H650" t="n">
        <v>0</v>
      </c>
      <c r="I650" t="n">
        <v>0</v>
      </c>
      <c r="J650" t="n">
        <v>0</v>
      </c>
      <c r="K650" t="n">
        <v>0</v>
      </c>
      <c r="L650" t="n">
        <v>0</v>
      </c>
      <c r="M650" t="n">
        <v>0</v>
      </c>
      <c r="N650" t="n">
        <v>0</v>
      </c>
      <c r="O650" t="n">
        <v>0</v>
      </c>
      <c r="P650" t="n">
        <v>0</v>
      </c>
      <c r="Q650" t="n">
        <v>0</v>
      </c>
      <c r="R650" s="2" t="inlineStr"/>
    </row>
    <row r="651" ht="15" customHeight="1">
      <c r="A651" t="inlineStr">
        <is>
          <t>A 38279-2023</t>
        </is>
      </c>
      <c r="B651" s="1" t="n">
        <v>45161</v>
      </c>
      <c r="C651" s="1" t="n">
        <v>45802</v>
      </c>
      <c r="D651" t="inlineStr">
        <is>
          <t>DALARNAS LÄN</t>
        </is>
      </c>
      <c r="E651" t="inlineStr">
        <is>
          <t>LUDVIKA</t>
        </is>
      </c>
      <c r="F651" t="inlineStr">
        <is>
          <t>Bergvik skog väst AB</t>
        </is>
      </c>
      <c r="G651" t="n">
        <v>2.4</v>
      </c>
      <c r="H651" t="n">
        <v>0</v>
      </c>
      <c r="I651" t="n">
        <v>0</v>
      </c>
      <c r="J651" t="n">
        <v>0</v>
      </c>
      <c r="K651" t="n">
        <v>0</v>
      </c>
      <c r="L651" t="n">
        <v>0</v>
      </c>
      <c r="M651" t="n">
        <v>0</v>
      </c>
      <c r="N651" t="n">
        <v>0</v>
      </c>
      <c r="O651" t="n">
        <v>0</v>
      </c>
      <c r="P651" t="n">
        <v>0</v>
      </c>
      <c r="Q651" t="n">
        <v>0</v>
      </c>
      <c r="R651" s="2" t="inlineStr"/>
    </row>
    <row r="652" ht="15" customHeight="1">
      <c r="A652" t="inlineStr">
        <is>
          <t>A 38168-2023</t>
        </is>
      </c>
      <c r="B652" s="1" t="n">
        <v>45161</v>
      </c>
      <c r="C652" s="1" t="n">
        <v>45802</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38197-2023</t>
        </is>
      </c>
      <c r="B653" s="1" t="n">
        <v>45161</v>
      </c>
      <c r="C653" s="1" t="n">
        <v>45802</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38243-2023</t>
        </is>
      </c>
      <c r="B654" s="1" t="n">
        <v>45161</v>
      </c>
      <c r="C654" s="1" t="n">
        <v>45802</v>
      </c>
      <c r="D654" t="inlineStr">
        <is>
          <t>DALARNAS LÄN</t>
        </is>
      </c>
      <c r="E654" t="inlineStr">
        <is>
          <t>LUDVIKA</t>
        </is>
      </c>
      <c r="G654" t="n">
        <v>1.2</v>
      </c>
      <c r="H654" t="n">
        <v>0</v>
      </c>
      <c r="I654" t="n">
        <v>0</v>
      </c>
      <c r="J654" t="n">
        <v>0</v>
      </c>
      <c r="K654" t="n">
        <v>0</v>
      </c>
      <c r="L654" t="n">
        <v>0</v>
      </c>
      <c r="M654" t="n">
        <v>0</v>
      </c>
      <c r="N654" t="n">
        <v>0</v>
      </c>
      <c r="O654" t="n">
        <v>0</v>
      </c>
      <c r="P654" t="n">
        <v>0</v>
      </c>
      <c r="Q654" t="n">
        <v>0</v>
      </c>
      <c r="R654" s="2" t="inlineStr"/>
    </row>
    <row r="655" ht="15" customHeight="1">
      <c r="A655" t="inlineStr">
        <is>
          <t>A 38280-2023</t>
        </is>
      </c>
      <c r="B655" s="1" t="n">
        <v>45161</v>
      </c>
      <c r="C655" s="1" t="n">
        <v>45802</v>
      </c>
      <c r="D655" t="inlineStr">
        <is>
          <t>DALARNAS LÄN</t>
        </is>
      </c>
      <c r="E655" t="inlineStr">
        <is>
          <t>LUDVIKA</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38963-2023</t>
        </is>
      </c>
      <c r="B656" s="1" t="n">
        <v>45163</v>
      </c>
      <c r="C656" s="1" t="n">
        <v>45802</v>
      </c>
      <c r="D656" t="inlineStr">
        <is>
          <t>DALARNAS LÄN</t>
        </is>
      </c>
      <c r="E656" t="inlineStr">
        <is>
          <t>LUDVIKA</t>
        </is>
      </c>
      <c r="F656" t="inlineStr">
        <is>
          <t>Bergvik skog väst AB</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38925-2023</t>
        </is>
      </c>
      <c r="B657" s="1" t="n">
        <v>45163</v>
      </c>
      <c r="C657" s="1" t="n">
        <v>45802</v>
      </c>
      <c r="D657" t="inlineStr">
        <is>
          <t>DALARNAS LÄN</t>
        </is>
      </c>
      <c r="E657" t="inlineStr">
        <is>
          <t>LUDVIKA</t>
        </is>
      </c>
      <c r="G657" t="n">
        <v>3</v>
      </c>
      <c r="H657" t="n">
        <v>0</v>
      </c>
      <c r="I657" t="n">
        <v>0</v>
      </c>
      <c r="J657" t="n">
        <v>0</v>
      </c>
      <c r="K657" t="n">
        <v>0</v>
      </c>
      <c r="L657" t="n">
        <v>0</v>
      </c>
      <c r="M657" t="n">
        <v>0</v>
      </c>
      <c r="N657" t="n">
        <v>0</v>
      </c>
      <c r="O657" t="n">
        <v>0</v>
      </c>
      <c r="P657" t="n">
        <v>0</v>
      </c>
      <c r="Q657" t="n">
        <v>0</v>
      </c>
      <c r="R657" s="2" t="inlineStr"/>
    </row>
    <row r="658" ht="15" customHeight="1">
      <c r="A658" t="inlineStr">
        <is>
          <t>A 39400-2023</t>
        </is>
      </c>
      <c r="B658" s="1" t="n">
        <v>45166</v>
      </c>
      <c r="C658" s="1" t="n">
        <v>45802</v>
      </c>
      <c r="D658" t="inlineStr">
        <is>
          <t>DALARNAS LÄN</t>
        </is>
      </c>
      <c r="E658" t="inlineStr">
        <is>
          <t>LUDVIKA</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39437-2023</t>
        </is>
      </c>
      <c r="B659" s="1" t="n">
        <v>45166</v>
      </c>
      <c r="C659" s="1" t="n">
        <v>45802</v>
      </c>
      <c r="D659" t="inlineStr">
        <is>
          <t>DALARNAS LÄN</t>
        </is>
      </c>
      <c r="E659" t="inlineStr">
        <is>
          <t>LUDVIKA</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39405-2023</t>
        </is>
      </c>
      <c r="B660" s="1" t="n">
        <v>45166</v>
      </c>
      <c r="C660" s="1" t="n">
        <v>45802</v>
      </c>
      <c r="D660" t="inlineStr">
        <is>
          <t>DALARNAS LÄN</t>
        </is>
      </c>
      <c r="E660" t="inlineStr">
        <is>
          <t>LUDVIKA</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39417-2023</t>
        </is>
      </c>
      <c r="B661" s="1" t="n">
        <v>45166</v>
      </c>
      <c r="C661" s="1" t="n">
        <v>45802</v>
      </c>
      <c r="D661" t="inlineStr">
        <is>
          <t>DALARNAS LÄN</t>
        </is>
      </c>
      <c r="E661" t="inlineStr">
        <is>
          <t>LUDVIKA</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39438-2023</t>
        </is>
      </c>
      <c r="B662" s="1" t="n">
        <v>45166</v>
      </c>
      <c r="C662" s="1" t="n">
        <v>45802</v>
      </c>
      <c r="D662" t="inlineStr">
        <is>
          <t>DALARNAS LÄN</t>
        </is>
      </c>
      <c r="E662" t="inlineStr">
        <is>
          <t>LUDVIKA</t>
        </is>
      </c>
      <c r="F662" t="inlineStr">
        <is>
          <t>Bergvik skog väst AB</t>
        </is>
      </c>
      <c r="G662" t="n">
        <v>3.2</v>
      </c>
      <c r="H662" t="n">
        <v>0</v>
      </c>
      <c r="I662" t="n">
        <v>0</v>
      </c>
      <c r="J662" t="n">
        <v>0</v>
      </c>
      <c r="K662" t="n">
        <v>0</v>
      </c>
      <c r="L662" t="n">
        <v>0</v>
      </c>
      <c r="M662" t="n">
        <v>0</v>
      </c>
      <c r="N662" t="n">
        <v>0</v>
      </c>
      <c r="O662" t="n">
        <v>0</v>
      </c>
      <c r="P662" t="n">
        <v>0</v>
      </c>
      <c r="Q662" t="n">
        <v>0</v>
      </c>
      <c r="R662" s="2" t="inlineStr"/>
    </row>
    <row r="663" ht="15" customHeight="1">
      <c r="A663" t="inlineStr">
        <is>
          <t>A 39441-2023</t>
        </is>
      </c>
      <c r="B663" s="1" t="n">
        <v>45166</v>
      </c>
      <c r="C663" s="1" t="n">
        <v>45802</v>
      </c>
      <c r="D663" t="inlineStr">
        <is>
          <t>DALARNAS LÄN</t>
        </is>
      </c>
      <c r="E663" t="inlineStr">
        <is>
          <t>LUDVIKA</t>
        </is>
      </c>
      <c r="F663" t="inlineStr">
        <is>
          <t>Bergvik skog väst AB</t>
        </is>
      </c>
      <c r="G663" t="n">
        <v>4.3</v>
      </c>
      <c r="H663" t="n">
        <v>0</v>
      </c>
      <c r="I663" t="n">
        <v>0</v>
      </c>
      <c r="J663" t="n">
        <v>0</v>
      </c>
      <c r="K663" t="n">
        <v>0</v>
      </c>
      <c r="L663" t="n">
        <v>0</v>
      </c>
      <c r="M663" t="n">
        <v>0</v>
      </c>
      <c r="N663" t="n">
        <v>0</v>
      </c>
      <c r="O663" t="n">
        <v>0</v>
      </c>
      <c r="P663" t="n">
        <v>0</v>
      </c>
      <c r="Q663" t="n">
        <v>0</v>
      </c>
      <c r="R663" s="2" t="inlineStr"/>
    </row>
    <row r="664" ht="15" customHeight="1">
      <c r="A664" t="inlineStr">
        <is>
          <t>A 39447-2023</t>
        </is>
      </c>
      <c r="B664" s="1" t="n">
        <v>45166</v>
      </c>
      <c r="C664" s="1" t="n">
        <v>45802</v>
      </c>
      <c r="D664" t="inlineStr">
        <is>
          <t>DALARNAS LÄN</t>
        </is>
      </c>
      <c r="E664" t="inlineStr">
        <is>
          <t>LUDVIKA</t>
        </is>
      </c>
      <c r="F664" t="inlineStr">
        <is>
          <t>Bergvik skog väst AB</t>
        </is>
      </c>
      <c r="G664" t="n">
        <v>4.4</v>
      </c>
      <c r="H664" t="n">
        <v>0</v>
      </c>
      <c r="I664" t="n">
        <v>0</v>
      </c>
      <c r="J664" t="n">
        <v>0</v>
      </c>
      <c r="K664" t="n">
        <v>0</v>
      </c>
      <c r="L664" t="n">
        <v>0</v>
      </c>
      <c r="M664" t="n">
        <v>0</v>
      </c>
      <c r="N664" t="n">
        <v>0</v>
      </c>
      <c r="O664" t="n">
        <v>0</v>
      </c>
      <c r="P664" t="n">
        <v>0</v>
      </c>
      <c r="Q664" t="n">
        <v>0</v>
      </c>
      <c r="R664" s="2" t="inlineStr"/>
    </row>
    <row r="665" ht="15" customHeight="1">
      <c r="A665" t="inlineStr">
        <is>
          <t>A 39675-2023</t>
        </is>
      </c>
      <c r="B665" s="1" t="n">
        <v>45167</v>
      </c>
      <c r="C665" s="1" t="n">
        <v>45802</v>
      </c>
      <c r="D665" t="inlineStr">
        <is>
          <t>DALARNAS LÄN</t>
        </is>
      </c>
      <c r="E665" t="inlineStr">
        <is>
          <t>LUDVIKA</t>
        </is>
      </c>
      <c r="F665" t="inlineStr">
        <is>
          <t>Naturvårdsverket</t>
        </is>
      </c>
      <c r="G665" t="n">
        <v>0.9</v>
      </c>
      <c r="H665" t="n">
        <v>0</v>
      </c>
      <c r="I665" t="n">
        <v>0</v>
      </c>
      <c r="J665" t="n">
        <v>0</v>
      </c>
      <c r="K665" t="n">
        <v>0</v>
      </c>
      <c r="L665" t="n">
        <v>0</v>
      </c>
      <c r="M665" t="n">
        <v>0</v>
      </c>
      <c r="N665" t="n">
        <v>0</v>
      </c>
      <c r="O665" t="n">
        <v>0</v>
      </c>
      <c r="P665" t="n">
        <v>0</v>
      </c>
      <c r="Q665" t="n">
        <v>0</v>
      </c>
      <c r="R665" s="2" t="inlineStr"/>
    </row>
    <row r="666" ht="15" customHeight="1">
      <c r="A666" t="inlineStr">
        <is>
          <t>A 39673-2023</t>
        </is>
      </c>
      <c r="B666" s="1" t="n">
        <v>45167</v>
      </c>
      <c r="C666" s="1" t="n">
        <v>45802</v>
      </c>
      <c r="D666" t="inlineStr">
        <is>
          <t>DALARNAS LÄN</t>
        </is>
      </c>
      <c r="E666" t="inlineStr">
        <is>
          <t>LUDVIKA</t>
        </is>
      </c>
      <c r="F666" t="inlineStr">
        <is>
          <t>Naturvårdsverket</t>
        </is>
      </c>
      <c r="G666" t="n">
        <v>1.1</v>
      </c>
      <c r="H666" t="n">
        <v>0</v>
      </c>
      <c r="I666" t="n">
        <v>0</v>
      </c>
      <c r="J666" t="n">
        <v>0</v>
      </c>
      <c r="K666" t="n">
        <v>0</v>
      </c>
      <c r="L666" t="n">
        <v>0</v>
      </c>
      <c r="M666" t="n">
        <v>0</v>
      </c>
      <c r="N666" t="n">
        <v>0</v>
      </c>
      <c r="O666" t="n">
        <v>0</v>
      </c>
      <c r="P666" t="n">
        <v>0</v>
      </c>
      <c r="Q666" t="n">
        <v>0</v>
      </c>
      <c r="R666" s="2" t="inlineStr"/>
    </row>
    <row r="667" ht="15" customHeight="1">
      <c r="A667" t="inlineStr">
        <is>
          <t>A 39678-2023</t>
        </is>
      </c>
      <c r="B667" s="1" t="n">
        <v>45167</v>
      </c>
      <c r="C667" s="1" t="n">
        <v>45802</v>
      </c>
      <c r="D667" t="inlineStr">
        <is>
          <t>DALARNAS LÄN</t>
        </is>
      </c>
      <c r="E667" t="inlineStr">
        <is>
          <t>LUDVIKA</t>
        </is>
      </c>
      <c r="F667" t="inlineStr">
        <is>
          <t>Naturvårdsverket</t>
        </is>
      </c>
      <c r="G667" t="n">
        <v>1</v>
      </c>
      <c r="H667" t="n">
        <v>0</v>
      </c>
      <c r="I667" t="n">
        <v>0</v>
      </c>
      <c r="J667" t="n">
        <v>0</v>
      </c>
      <c r="K667" t="n">
        <v>0</v>
      </c>
      <c r="L667" t="n">
        <v>0</v>
      </c>
      <c r="M667" t="n">
        <v>0</v>
      </c>
      <c r="N667" t="n">
        <v>0</v>
      </c>
      <c r="O667" t="n">
        <v>0</v>
      </c>
      <c r="P667" t="n">
        <v>0</v>
      </c>
      <c r="Q667" t="n">
        <v>0</v>
      </c>
      <c r="R667" s="2" t="inlineStr"/>
    </row>
    <row r="668" ht="15" customHeight="1">
      <c r="A668" t="inlineStr">
        <is>
          <t>A 39670-2023</t>
        </is>
      </c>
      <c r="B668" s="1" t="n">
        <v>45167</v>
      </c>
      <c r="C668" s="1" t="n">
        <v>45802</v>
      </c>
      <c r="D668" t="inlineStr">
        <is>
          <t>DALARNAS LÄN</t>
        </is>
      </c>
      <c r="E668" t="inlineStr">
        <is>
          <t>LUDVIKA</t>
        </is>
      </c>
      <c r="F668" t="inlineStr">
        <is>
          <t>Naturvårdsverket</t>
        </is>
      </c>
      <c r="G668" t="n">
        <v>3.9</v>
      </c>
      <c r="H668" t="n">
        <v>0</v>
      </c>
      <c r="I668" t="n">
        <v>0</v>
      </c>
      <c r="J668" t="n">
        <v>0</v>
      </c>
      <c r="K668" t="n">
        <v>0</v>
      </c>
      <c r="L668" t="n">
        <v>0</v>
      </c>
      <c r="M668" t="n">
        <v>0</v>
      </c>
      <c r="N668" t="n">
        <v>0</v>
      </c>
      <c r="O668" t="n">
        <v>0</v>
      </c>
      <c r="P668" t="n">
        <v>0</v>
      </c>
      <c r="Q668" t="n">
        <v>0</v>
      </c>
      <c r="R668" s="2" t="inlineStr"/>
    </row>
    <row r="669" ht="15" customHeight="1">
      <c r="A669" t="inlineStr">
        <is>
          <t>A 39849-2023</t>
        </is>
      </c>
      <c r="B669" s="1" t="n">
        <v>45168</v>
      </c>
      <c r="C669" s="1" t="n">
        <v>45802</v>
      </c>
      <c r="D669" t="inlineStr">
        <is>
          <t>DALARNAS LÄN</t>
        </is>
      </c>
      <c r="E669" t="inlineStr">
        <is>
          <t>LUDVIKA</t>
        </is>
      </c>
      <c r="F669" t="inlineStr">
        <is>
          <t>Bergvik skog väst AB</t>
        </is>
      </c>
      <c r="G669" t="n">
        <v>0.7</v>
      </c>
      <c r="H669" t="n">
        <v>0</v>
      </c>
      <c r="I669" t="n">
        <v>0</v>
      </c>
      <c r="J669" t="n">
        <v>0</v>
      </c>
      <c r="K669" t="n">
        <v>0</v>
      </c>
      <c r="L669" t="n">
        <v>0</v>
      </c>
      <c r="M669" t="n">
        <v>0</v>
      </c>
      <c r="N669" t="n">
        <v>0</v>
      </c>
      <c r="O669" t="n">
        <v>0</v>
      </c>
      <c r="P669" t="n">
        <v>0</v>
      </c>
      <c r="Q669" t="n">
        <v>0</v>
      </c>
      <c r="R669" s="2" t="inlineStr"/>
    </row>
    <row r="670" ht="15" customHeight="1">
      <c r="A670" t="inlineStr">
        <is>
          <t>A 39878-2023</t>
        </is>
      </c>
      <c r="B670" s="1" t="n">
        <v>45168</v>
      </c>
      <c r="C670" s="1" t="n">
        <v>45802</v>
      </c>
      <c r="D670" t="inlineStr">
        <is>
          <t>DALARNAS LÄN</t>
        </is>
      </c>
      <c r="E670" t="inlineStr">
        <is>
          <t>LUDVIKA</t>
        </is>
      </c>
      <c r="F670" t="inlineStr">
        <is>
          <t>Bergvik skog väst AB</t>
        </is>
      </c>
      <c r="G670" t="n">
        <v>2.7</v>
      </c>
      <c r="H670" t="n">
        <v>0</v>
      </c>
      <c r="I670" t="n">
        <v>0</v>
      </c>
      <c r="J670" t="n">
        <v>0</v>
      </c>
      <c r="K670" t="n">
        <v>0</v>
      </c>
      <c r="L670" t="n">
        <v>0</v>
      </c>
      <c r="M670" t="n">
        <v>0</v>
      </c>
      <c r="N670" t="n">
        <v>0</v>
      </c>
      <c r="O670" t="n">
        <v>0</v>
      </c>
      <c r="P670" t="n">
        <v>0</v>
      </c>
      <c r="Q670" t="n">
        <v>0</v>
      </c>
      <c r="R670" s="2" t="inlineStr"/>
    </row>
    <row r="671" ht="15" customHeight="1">
      <c r="A671" t="inlineStr">
        <is>
          <t>A 40016-2023</t>
        </is>
      </c>
      <c r="B671" s="1" t="n">
        <v>45168</v>
      </c>
      <c r="C671" s="1" t="n">
        <v>45802</v>
      </c>
      <c r="D671" t="inlineStr">
        <is>
          <t>DALARNAS LÄN</t>
        </is>
      </c>
      <c r="E671" t="inlineStr">
        <is>
          <t>LUDVIKA</t>
        </is>
      </c>
      <c r="F671" t="inlineStr">
        <is>
          <t>Bergvik skog väst AB</t>
        </is>
      </c>
      <c r="G671" t="n">
        <v>7.6</v>
      </c>
      <c r="H671" t="n">
        <v>0</v>
      </c>
      <c r="I671" t="n">
        <v>0</v>
      </c>
      <c r="J671" t="n">
        <v>0</v>
      </c>
      <c r="K671" t="n">
        <v>0</v>
      </c>
      <c r="L671" t="n">
        <v>0</v>
      </c>
      <c r="M671" t="n">
        <v>0</v>
      </c>
      <c r="N671" t="n">
        <v>0</v>
      </c>
      <c r="O671" t="n">
        <v>0</v>
      </c>
      <c r="P671" t="n">
        <v>0</v>
      </c>
      <c r="Q671" t="n">
        <v>0</v>
      </c>
      <c r="R671" s="2" t="inlineStr"/>
    </row>
    <row r="672" ht="15" customHeight="1">
      <c r="A672" t="inlineStr">
        <is>
          <t>A 39971-2023</t>
        </is>
      </c>
      <c r="B672" s="1" t="n">
        <v>45168</v>
      </c>
      <c r="C672" s="1" t="n">
        <v>45802</v>
      </c>
      <c r="D672" t="inlineStr">
        <is>
          <t>DALARNAS LÄN</t>
        </is>
      </c>
      <c r="E672" t="inlineStr">
        <is>
          <t>LUDVIKA</t>
        </is>
      </c>
      <c r="F672" t="inlineStr">
        <is>
          <t>Bergvik skog väst AB</t>
        </is>
      </c>
      <c r="G672" t="n">
        <v>4.4</v>
      </c>
      <c r="H672" t="n">
        <v>0</v>
      </c>
      <c r="I672" t="n">
        <v>0</v>
      </c>
      <c r="J672" t="n">
        <v>0</v>
      </c>
      <c r="K672" t="n">
        <v>0</v>
      </c>
      <c r="L672" t="n">
        <v>0</v>
      </c>
      <c r="M672" t="n">
        <v>0</v>
      </c>
      <c r="N672" t="n">
        <v>0</v>
      </c>
      <c r="O672" t="n">
        <v>0</v>
      </c>
      <c r="P672" t="n">
        <v>0</v>
      </c>
      <c r="Q672" t="n">
        <v>0</v>
      </c>
      <c r="R672" s="2" t="inlineStr"/>
    </row>
    <row r="673" ht="15" customHeight="1">
      <c r="A673" t="inlineStr">
        <is>
          <t>A 39886-2023</t>
        </is>
      </c>
      <c r="B673" s="1" t="n">
        <v>45168</v>
      </c>
      <c r="C673" s="1" t="n">
        <v>45802</v>
      </c>
      <c r="D673" t="inlineStr">
        <is>
          <t>DALARNAS LÄN</t>
        </is>
      </c>
      <c r="E673" t="inlineStr">
        <is>
          <t>LUDVIKA</t>
        </is>
      </c>
      <c r="F673" t="inlineStr">
        <is>
          <t>Bergvik skog väst AB</t>
        </is>
      </c>
      <c r="G673" t="n">
        <v>28.4</v>
      </c>
      <c r="H673" t="n">
        <v>0</v>
      </c>
      <c r="I673" t="n">
        <v>0</v>
      </c>
      <c r="J673" t="n">
        <v>0</v>
      </c>
      <c r="K673" t="n">
        <v>0</v>
      </c>
      <c r="L673" t="n">
        <v>0</v>
      </c>
      <c r="M673" t="n">
        <v>0</v>
      </c>
      <c r="N673" t="n">
        <v>0</v>
      </c>
      <c r="O673" t="n">
        <v>0</v>
      </c>
      <c r="P673" t="n">
        <v>0</v>
      </c>
      <c r="Q673" t="n">
        <v>0</v>
      </c>
      <c r="R673" s="2" t="inlineStr"/>
    </row>
    <row r="674" ht="15" customHeight="1">
      <c r="A674" t="inlineStr">
        <is>
          <t>A 40020-2023</t>
        </is>
      </c>
      <c r="B674" s="1" t="n">
        <v>45168</v>
      </c>
      <c r="C674" s="1" t="n">
        <v>45802</v>
      </c>
      <c r="D674" t="inlineStr">
        <is>
          <t>DALARNAS LÄN</t>
        </is>
      </c>
      <c r="E674" t="inlineStr">
        <is>
          <t>LUDVIKA</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40489-2023</t>
        </is>
      </c>
      <c r="B675" s="1" t="n">
        <v>45170</v>
      </c>
      <c r="C675" s="1" t="n">
        <v>45802</v>
      </c>
      <c r="D675" t="inlineStr">
        <is>
          <t>DALARNAS LÄN</t>
        </is>
      </c>
      <c r="E675" t="inlineStr">
        <is>
          <t>LUDVIKA</t>
        </is>
      </c>
      <c r="F675" t="inlineStr">
        <is>
          <t>Sveaskog</t>
        </is>
      </c>
      <c r="G675" t="n">
        <v>22.5</v>
      </c>
      <c r="H675" t="n">
        <v>0</v>
      </c>
      <c r="I675" t="n">
        <v>0</v>
      </c>
      <c r="J675" t="n">
        <v>0</v>
      </c>
      <c r="K675" t="n">
        <v>0</v>
      </c>
      <c r="L675" t="n">
        <v>0</v>
      </c>
      <c r="M675" t="n">
        <v>0</v>
      </c>
      <c r="N675" t="n">
        <v>0</v>
      </c>
      <c r="O675" t="n">
        <v>0</v>
      </c>
      <c r="P675" t="n">
        <v>0</v>
      </c>
      <c r="Q675" t="n">
        <v>0</v>
      </c>
      <c r="R675" s="2" t="inlineStr"/>
    </row>
    <row r="676" ht="15" customHeight="1">
      <c r="A676" t="inlineStr">
        <is>
          <t>A 40499-2023</t>
        </is>
      </c>
      <c r="B676" s="1" t="n">
        <v>45170</v>
      </c>
      <c r="C676" s="1" t="n">
        <v>45802</v>
      </c>
      <c r="D676" t="inlineStr">
        <is>
          <t>DALARNAS LÄN</t>
        </is>
      </c>
      <c r="E676" t="inlineStr">
        <is>
          <t>LUDVIKA</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40672-2023</t>
        </is>
      </c>
      <c r="B677" s="1" t="n">
        <v>45170</v>
      </c>
      <c r="C677" s="1" t="n">
        <v>45802</v>
      </c>
      <c r="D677" t="inlineStr">
        <is>
          <t>DALARNAS LÄN</t>
        </is>
      </c>
      <c r="E677" t="inlineStr">
        <is>
          <t>LUDVIKA</t>
        </is>
      </c>
      <c r="F677" t="inlineStr">
        <is>
          <t>Bergvik skog väst AB</t>
        </is>
      </c>
      <c r="G677" t="n">
        <v>1.5</v>
      </c>
      <c r="H677" t="n">
        <v>0</v>
      </c>
      <c r="I677" t="n">
        <v>0</v>
      </c>
      <c r="J677" t="n">
        <v>0</v>
      </c>
      <c r="K677" t="n">
        <v>0</v>
      </c>
      <c r="L677" t="n">
        <v>0</v>
      </c>
      <c r="M677" t="n">
        <v>0</v>
      </c>
      <c r="N677" t="n">
        <v>0</v>
      </c>
      <c r="O677" t="n">
        <v>0</v>
      </c>
      <c r="P677" t="n">
        <v>0</v>
      </c>
      <c r="Q677" t="n">
        <v>0</v>
      </c>
      <c r="R677" s="2" t="inlineStr"/>
    </row>
    <row r="678" ht="15" customHeight="1">
      <c r="A678" t="inlineStr">
        <is>
          <t>A 40646-2023</t>
        </is>
      </c>
      <c r="B678" s="1" t="n">
        <v>45170</v>
      </c>
      <c r="C678" s="1" t="n">
        <v>45802</v>
      </c>
      <c r="D678" t="inlineStr">
        <is>
          <t>DALARNAS LÄN</t>
        </is>
      </c>
      <c r="E678" t="inlineStr">
        <is>
          <t>LUDVIKA</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40473-2023</t>
        </is>
      </c>
      <c r="B679" s="1" t="n">
        <v>45170</v>
      </c>
      <c r="C679" s="1" t="n">
        <v>45802</v>
      </c>
      <c r="D679" t="inlineStr">
        <is>
          <t>DALARNAS LÄN</t>
        </is>
      </c>
      <c r="E679" t="inlineStr">
        <is>
          <t>LUDVIKA</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40687-2023</t>
        </is>
      </c>
      <c r="B680" s="1" t="n">
        <v>45170</v>
      </c>
      <c r="C680" s="1" t="n">
        <v>45802</v>
      </c>
      <c r="D680" t="inlineStr">
        <is>
          <t>DALARNAS LÄN</t>
        </is>
      </c>
      <c r="E680" t="inlineStr">
        <is>
          <t>LUDVIKA</t>
        </is>
      </c>
      <c r="F680" t="inlineStr">
        <is>
          <t>Bergvik skog väst AB</t>
        </is>
      </c>
      <c r="G680" t="n">
        <v>0.7</v>
      </c>
      <c r="H680" t="n">
        <v>0</v>
      </c>
      <c r="I680" t="n">
        <v>0</v>
      </c>
      <c r="J680" t="n">
        <v>0</v>
      </c>
      <c r="K680" t="n">
        <v>0</v>
      </c>
      <c r="L680" t="n">
        <v>0</v>
      </c>
      <c r="M680" t="n">
        <v>0</v>
      </c>
      <c r="N680" t="n">
        <v>0</v>
      </c>
      <c r="O680" t="n">
        <v>0</v>
      </c>
      <c r="P680" t="n">
        <v>0</v>
      </c>
      <c r="Q680" t="n">
        <v>0</v>
      </c>
      <c r="R680" s="2" t="inlineStr"/>
    </row>
    <row r="681" ht="15" customHeight="1">
      <c r="A681" t="inlineStr">
        <is>
          <t>A 40869-2023</t>
        </is>
      </c>
      <c r="B681" s="1" t="n">
        <v>45173</v>
      </c>
      <c r="C681" s="1" t="n">
        <v>45802</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41177-2023</t>
        </is>
      </c>
      <c r="B682" s="1" t="n">
        <v>45174</v>
      </c>
      <c r="C682" s="1" t="n">
        <v>45802</v>
      </c>
      <c r="D682" t="inlineStr">
        <is>
          <t>DALARNAS LÄN</t>
        </is>
      </c>
      <c r="E682" t="inlineStr">
        <is>
          <t>LUDVIKA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41628-2023</t>
        </is>
      </c>
      <c r="B683" s="1" t="n">
        <v>45175</v>
      </c>
      <c r="C683" s="1" t="n">
        <v>45802</v>
      </c>
      <c r="D683" t="inlineStr">
        <is>
          <t>DALARNAS LÄN</t>
        </is>
      </c>
      <c r="E683" t="inlineStr">
        <is>
          <t>LUDVIKA</t>
        </is>
      </c>
      <c r="F683" t="inlineStr">
        <is>
          <t>Bergvik skog väst AB</t>
        </is>
      </c>
      <c r="G683" t="n">
        <v>1.4</v>
      </c>
      <c r="H683" t="n">
        <v>0</v>
      </c>
      <c r="I683" t="n">
        <v>0</v>
      </c>
      <c r="J683" t="n">
        <v>0</v>
      </c>
      <c r="K683" t="n">
        <v>0</v>
      </c>
      <c r="L683" t="n">
        <v>0</v>
      </c>
      <c r="M683" t="n">
        <v>0</v>
      </c>
      <c r="N683" t="n">
        <v>0</v>
      </c>
      <c r="O683" t="n">
        <v>0</v>
      </c>
      <c r="P683" t="n">
        <v>0</v>
      </c>
      <c r="Q683" t="n">
        <v>0</v>
      </c>
      <c r="R683" s="2" t="inlineStr"/>
    </row>
    <row r="684" ht="15" customHeight="1">
      <c r="A684" t="inlineStr">
        <is>
          <t>A 41627-2023</t>
        </is>
      </c>
      <c r="B684" s="1" t="n">
        <v>45175</v>
      </c>
      <c r="C684" s="1" t="n">
        <v>45802</v>
      </c>
      <c r="D684" t="inlineStr">
        <is>
          <t>DALARNAS LÄN</t>
        </is>
      </c>
      <c r="E684" t="inlineStr">
        <is>
          <t>LUDVIKA</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41631-2023</t>
        </is>
      </c>
      <c r="B685" s="1" t="n">
        <v>45175</v>
      </c>
      <c r="C685" s="1" t="n">
        <v>45802</v>
      </c>
      <c r="D685" t="inlineStr">
        <is>
          <t>DALARNAS LÄN</t>
        </is>
      </c>
      <c r="E685" t="inlineStr">
        <is>
          <t>LUDVIKA</t>
        </is>
      </c>
      <c r="F685" t="inlineStr">
        <is>
          <t>Bergvik skog väst AB</t>
        </is>
      </c>
      <c r="G685" t="n">
        <v>3.8</v>
      </c>
      <c r="H685" t="n">
        <v>0</v>
      </c>
      <c r="I685" t="n">
        <v>0</v>
      </c>
      <c r="J685" t="n">
        <v>0</v>
      </c>
      <c r="K685" t="n">
        <v>0</v>
      </c>
      <c r="L685" t="n">
        <v>0</v>
      </c>
      <c r="M685" t="n">
        <v>0</v>
      </c>
      <c r="N685" t="n">
        <v>0</v>
      </c>
      <c r="O685" t="n">
        <v>0</v>
      </c>
      <c r="P685" t="n">
        <v>0</v>
      </c>
      <c r="Q685" t="n">
        <v>0</v>
      </c>
      <c r="R685" s="2" t="inlineStr"/>
    </row>
    <row r="686" ht="15" customHeight="1">
      <c r="A686" t="inlineStr">
        <is>
          <t>A 41668-2023</t>
        </is>
      </c>
      <c r="B686" s="1" t="n">
        <v>45176</v>
      </c>
      <c r="C686" s="1" t="n">
        <v>45802</v>
      </c>
      <c r="D686" t="inlineStr">
        <is>
          <t>DALARNAS LÄN</t>
        </is>
      </c>
      <c r="E686" t="inlineStr">
        <is>
          <t>LUDVIKA</t>
        </is>
      </c>
      <c r="G686" t="n">
        <v>1.4</v>
      </c>
      <c r="H686" t="n">
        <v>0</v>
      </c>
      <c r="I686" t="n">
        <v>0</v>
      </c>
      <c r="J686" t="n">
        <v>0</v>
      </c>
      <c r="K686" t="n">
        <v>0</v>
      </c>
      <c r="L686" t="n">
        <v>0</v>
      </c>
      <c r="M686" t="n">
        <v>0</v>
      </c>
      <c r="N686" t="n">
        <v>0</v>
      </c>
      <c r="O686" t="n">
        <v>0</v>
      </c>
      <c r="P686" t="n">
        <v>0</v>
      </c>
      <c r="Q686" t="n">
        <v>0</v>
      </c>
      <c r="R686" s="2" t="inlineStr"/>
    </row>
    <row r="687" ht="15" customHeight="1">
      <c r="A687" t="inlineStr">
        <is>
          <t>A 41993-2023</t>
        </is>
      </c>
      <c r="B687" s="1" t="n">
        <v>45177</v>
      </c>
      <c r="C687" s="1" t="n">
        <v>45802</v>
      </c>
      <c r="D687" t="inlineStr">
        <is>
          <t>DALARNAS LÄN</t>
        </is>
      </c>
      <c r="E687" t="inlineStr">
        <is>
          <t>LUDVIKA</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41988-2023</t>
        </is>
      </c>
      <c r="B688" s="1" t="n">
        <v>45177</v>
      </c>
      <c r="C688" s="1" t="n">
        <v>45802</v>
      </c>
      <c r="D688" t="inlineStr">
        <is>
          <t>DALARNAS LÄN</t>
        </is>
      </c>
      <c r="E688" t="inlineStr">
        <is>
          <t>LUDVIKA</t>
        </is>
      </c>
      <c r="F688" t="inlineStr">
        <is>
          <t>Sveaskog</t>
        </is>
      </c>
      <c r="G688" t="n">
        <v>22.2</v>
      </c>
      <c r="H688" t="n">
        <v>0</v>
      </c>
      <c r="I688" t="n">
        <v>0</v>
      </c>
      <c r="J688" t="n">
        <v>0</v>
      </c>
      <c r="K688" t="n">
        <v>0</v>
      </c>
      <c r="L688" t="n">
        <v>0</v>
      </c>
      <c r="M688" t="n">
        <v>0</v>
      </c>
      <c r="N688" t="n">
        <v>0</v>
      </c>
      <c r="O688" t="n">
        <v>0</v>
      </c>
      <c r="P688" t="n">
        <v>0</v>
      </c>
      <c r="Q688" t="n">
        <v>0</v>
      </c>
      <c r="R688" s="2" t="inlineStr"/>
    </row>
    <row r="689" ht="15" customHeight="1">
      <c r="A689" t="inlineStr">
        <is>
          <t>A 42022-2023</t>
        </is>
      </c>
      <c r="B689" s="1" t="n">
        <v>45177</v>
      </c>
      <c r="C689" s="1" t="n">
        <v>45802</v>
      </c>
      <c r="D689" t="inlineStr">
        <is>
          <t>DALARNAS LÄN</t>
        </is>
      </c>
      <c r="E689" t="inlineStr">
        <is>
          <t>LUDVIKA</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41991-2023</t>
        </is>
      </c>
      <c r="B690" s="1" t="n">
        <v>45177</v>
      </c>
      <c r="C690" s="1" t="n">
        <v>45802</v>
      </c>
      <c r="D690" t="inlineStr">
        <is>
          <t>DALARNAS LÄN</t>
        </is>
      </c>
      <c r="E690" t="inlineStr">
        <is>
          <t>LUDVIKA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42268-2023</t>
        </is>
      </c>
      <c r="B691" s="1" t="n">
        <v>45180</v>
      </c>
      <c r="C691" s="1" t="n">
        <v>45802</v>
      </c>
      <c r="D691" t="inlineStr">
        <is>
          <t>DALARNAS LÄN</t>
        </is>
      </c>
      <c r="E691" t="inlineStr">
        <is>
          <t>LUDVIKA</t>
        </is>
      </c>
      <c r="F691" t="inlineStr">
        <is>
          <t>Bergvik skog väst AB</t>
        </is>
      </c>
      <c r="G691" t="n">
        <v>10.6</v>
      </c>
      <c r="H691" t="n">
        <v>0</v>
      </c>
      <c r="I691" t="n">
        <v>0</v>
      </c>
      <c r="J691" t="n">
        <v>0</v>
      </c>
      <c r="K691" t="n">
        <v>0</v>
      </c>
      <c r="L691" t="n">
        <v>0</v>
      </c>
      <c r="M691" t="n">
        <v>0</v>
      </c>
      <c r="N691" t="n">
        <v>0</v>
      </c>
      <c r="O691" t="n">
        <v>0</v>
      </c>
      <c r="P691" t="n">
        <v>0</v>
      </c>
      <c r="Q691" t="n">
        <v>0</v>
      </c>
      <c r="R691" s="2" t="inlineStr"/>
    </row>
    <row r="692" ht="15" customHeight="1">
      <c r="A692" t="inlineStr">
        <is>
          <t>A 42367-2023</t>
        </is>
      </c>
      <c r="B692" s="1" t="n">
        <v>45180</v>
      </c>
      <c r="C692" s="1" t="n">
        <v>45802</v>
      </c>
      <c r="D692" t="inlineStr">
        <is>
          <t>DALARNAS LÄN</t>
        </is>
      </c>
      <c r="E692" t="inlineStr">
        <is>
          <t>LUDVIKA</t>
        </is>
      </c>
      <c r="F692" t="inlineStr">
        <is>
          <t>Övriga Aktiebolag</t>
        </is>
      </c>
      <c r="G692" t="n">
        <v>17.9</v>
      </c>
      <c r="H692" t="n">
        <v>0</v>
      </c>
      <c r="I692" t="n">
        <v>0</v>
      </c>
      <c r="J692" t="n">
        <v>0</v>
      </c>
      <c r="K692" t="n">
        <v>0</v>
      </c>
      <c r="L692" t="n">
        <v>0</v>
      </c>
      <c r="M692" t="n">
        <v>0</v>
      </c>
      <c r="N692" t="n">
        <v>0</v>
      </c>
      <c r="O692" t="n">
        <v>0</v>
      </c>
      <c r="P692" t="n">
        <v>0</v>
      </c>
      <c r="Q692" t="n">
        <v>0</v>
      </c>
      <c r="R692" s="2" t="inlineStr"/>
    </row>
    <row r="693" ht="15" customHeight="1">
      <c r="A693" t="inlineStr">
        <is>
          <t>A 42860-2023</t>
        </is>
      </c>
      <c r="B693" s="1" t="n">
        <v>45182</v>
      </c>
      <c r="C693" s="1" t="n">
        <v>45802</v>
      </c>
      <c r="D693" t="inlineStr">
        <is>
          <t>DALARNAS LÄN</t>
        </is>
      </c>
      <c r="E693" t="inlineStr">
        <is>
          <t>LUDVIKA</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42843-2023</t>
        </is>
      </c>
      <c r="B694" s="1" t="n">
        <v>45182</v>
      </c>
      <c r="C694" s="1" t="n">
        <v>45802</v>
      </c>
      <c r="D694" t="inlineStr">
        <is>
          <t>DALARNAS LÄN</t>
        </is>
      </c>
      <c r="E694" t="inlineStr">
        <is>
          <t>LUDVIKA</t>
        </is>
      </c>
      <c r="F694" t="inlineStr">
        <is>
          <t>Bergvik skog väst AB</t>
        </is>
      </c>
      <c r="G694" t="n">
        <v>15.6</v>
      </c>
      <c r="H694" t="n">
        <v>0</v>
      </c>
      <c r="I694" t="n">
        <v>0</v>
      </c>
      <c r="J694" t="n">
        <v>0</v>
      </c>
      <c r="K694" t="n">
        <v>0</v>
      </c>
      <c r="L694" t="n">
        <v>0</v>
      </c>
      <c r="M694" t="n">
        <v>0</v>
      </c>
      <c r="N694" t="n">
        <v>0</v>
      </c>
      <c r="O694" t="n">
        <v>0</v>
      </c>
      <c r="P694" t="n">
        <v>0</v>
      </c>
      <c r="Q694" t="n">
        <v>0</v>
      </c>
      <c r="R694" s="2" t="inlineStr"/>
    </row>
    <row r="695" ht="15" customHeight="1">
      <c r="A695" t="inlineStr">
        <is>
          <t>A 42857-2023</t>
        </is>
      </c>
      <c r="B695" s="1" t="n">
        <v>45182</v>
      </c>
      <c r="C695" s="1" t="n">
        <v>45802</v>
      </c>
      <c r="D695" t="inlineStr">
        <is>
          <t>DALARNAS LÄN</t>
        </is>
      </c>
      <c r="E695" t="inlineStr">
        <is>
          <t>LUDVIKA</t>
        </is>
      </c>
      <c r="F695" t="inlineStr">
        <is>
          <t>Bergvik skog väst AB</t>
        </is>
      </c>
      <c r="G695" t="n">
        <v>6.7</v>
      </c>
      <c r="H695" t="n">
        <v>0</v>
      </c>
      <c r="I695" t="n">
        <v>0</v>
      </c>
      <c r="J695" t="n">
        <v>0</v>
      </c>
      <c r="K695" t="n">
        <v>0</v>
      </c>
      <c r="L695" t="n">
        <v>0</v>
      </c>
      <c r="M695" t="n">
        <v>0</v>
      </c>
      <c r="N695" t="n">
        <v>0</v>
      </c>
      <c r="O695" t="n">
        <v>0</v>
      </c>
      <c r="P695" t="n">
        <v>0</v>
      </c>
      <c r="Q695" t="n">
        <v>0</v>
      </c>
      <c r="R695" s="2" t="inlineStr"/>
    </row>
    <row r="696" ht="15" customHeight="1">
      <c r="A696" t="inlineStr">
        <is>
          <t>A 43214-2023</t>
        </is>
      </c>
      <c r="B696" s="1" t="n">
        <v>45183</v>
      </c>
      <c r="C696" s="1" t="n">
        <v>45802</v>
      </c>
      <c r="D696" t="inlineStr">
        <is>
          <t>DALARNAS LÄN</t>
        </is>
      </c>
      <c r="E696" t="inlineStr">
        <is>
          <t>LUDVIKA</t>
        </is>
      </c>
      <c r="F696" t="inlineStr">
        <is>
          <t>Bergvik skog väst AB</t>
        </is>
      </c>
      <c r="G696" t="n">
        <v>4.3</v>
      </c>
      <c r="H696" t="n">
        <v>0</v>
      </c>
      <c r="I696" t="n">
        <v>0</v>
      </c>
      <c r="J696" t="n">
        <v>0</v>
      </c>
      <c r="K696" t="n">
        <v>0</v>
      </c>
      <c r="L696" t="n">
        <v>0</v>
      </c>
      <c r="M696" t="n">
        <v>0</v>
      </c>
      <c r="N696" t="n">
        <v>0</v>
      </c>
      <c r="O696" t="n">
        <v>0</v>
      </c>
      <c r="P696" t="n">
        <v>0</v>
      </c>
      <c r="Q696" t="n">
        <v>0</v>
      </c>
      <c r="R696" s="2" t="inlineStr"/>
    </row>
    <row r="697" ht="15" customHeight="1">
      <c r="A697" t="inlineStr">
        <is>
          <t>A 43470-2023</t>
        </is>
      </c>
      <c r="B697" s="1" t="n">
        <v>45184</v>
      </c>
      <c r="C697" s="1" t="n">
        <v>45802</v>
      </c>
      <c r="D697" t="inlineStr">
        <is>
          <t>DALARNAS LÄN</t>
        </is>
      </c>
      <c r="E697" t="inlineStr">
        <is>
          <t>LUDVIKA</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43586-2023</t>
        </is>
      </c>
      <c r="B698" s="1" t="n">
        <v>45184</v>
      </c>
      <c r="C698" s="1" t="n">
        <v>45802</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43589-2023</t>
        </is>
      </c>
      <c r="B699" s="1" t="n">
        <v>45184</v>
      </c>
      <c r="C699" s="1" t="n">
        <v>45802</v>
      </c>
      <c r="D699" t="inlineStr">
        <is>
          <t>DALARNAS LÄN</t>
        </is>
      </c>
      <c r="E699" t="inlineStr">
        <is>
          <t>LUDVIKA</t>
        </is>
      </c>
      <c r="F699" t="inlineStr">
        <is>
          <t>Bergvik skog väst AB</t>
        </is>
      </c>
      <c r="G699" t="n">
        <v>3.5</v>
      </c>
      <c r="H699" t="n">
        <v>0</v>
      </c>
      <c r="I699" t="n">
        <v>0</v>
      </c>
      <c r="J699" t="n">
        <v>0</v>
      </c>
      <c r="K699" t="n">
        <v>0</v>
      </c>
      <c r="L699" t="n">
        <v>0</v>
      </c>
      <c r="M699" t="n">
        <v>0</v>
      </c>
      <c r="N699" t="n">
        <v>0</v>
      </c>
      <c r="O699" t="n">
        <v>0</v>
      </c>
      <c r="P699" t="n">
        <v>0</v>
      </c>
      <c r="Q699" t="n">
        <v>0</v>
      </c>
      <c r="R699" s="2" t="inlineStr"/>
    </row>
    <row r="700" ht="15" customHeight="1">
      <c r="A700" t="inlineStr">
        <is>
          <t>A 43681-2023</t>
        </is>
      </c>
      <c r="B700" s="1" t="n">
        <v>45187</v>
      </c>
      <c r="C700" s="1" t="n">
        <v>45802</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43679-2023</t>
        </is>
      </c>
      <c r="B701" s="1" t="n">
        <v>45187</v>
      </c>
      <c r="C701" s="1" t="n">
        <v>45802</v>
      </c>
      <c r="D701" t="inlineStr">
        <is>
          <t>DALARNAS LÄN</t>
        </is>
      </c>
      <c r="E701" t="inlineStr">
        <is>
          <t>LUDVIKA</t>
        </is>
      </c>
      <c r="F701" t="inlineStr">
        <is>
          <t>Bergvik skog väst AB</t>
        </is>
      </c>
      <c r="G701" t="n">
        <v>5.2</v>
      </c>
      <c r="H701" t="n">
        <v>0</v>
      </c>
      <c r="I701" t="n">
        <v>0</v>
      </c>
      <c r="J701" t="n">
        <v>0</v>
      </c>
      <c r="K701" t="n">
        <v>0</v>
      </c>
      <c r="L701" t="n">
        <v>0</v>
      </c>
      <c r="M701" t="n">
        <v>0</v>
      </c>
      <c r="N701" t="n">
        <v>0</v>
      </c>
      <c r="O701" t="n">
        <v>0</v>
      </c>
      <c r="P701" t="n">
        <v>0</v>
      </c>
      <c r="Q701" t="n">
        <v>0</v>
      </c>
      <c r="R701" s="2" t="inlineStr"/>
    </row>
    <row r="702" ht="15" customHeight="1">
      <c r="A702" t="inlineStr">
        <is>
          <t>A 43674-2023</t>
        </is>
      </c>
      <c r="B702" s="1" t="n">
        <v>45187</v>
      </c>
      <c r="C702" s="1" t="n">
        <v>45802</v>
      </c>
      <c r="D702" t="inlineStr">
        <is>
          <t>DALARNAS LÄN</t>
        </is>
      </c>
      <c r="E702" t="inlineStr">
        <is>
          <t>LUDVIKA</t>
        </is>
      </c>
      <c r="F702" t="inlineStr">
        <is>
          <t>Bergvik skog väst AB</t>
        </is>
      </c>
      <c r="G702" t="n">
        <v>1.6</v>
      </c>
      <c r="H702" t="n">
        <v>0</v>
      </c>
      <c r="I702" t="n">
        <v>0</v>
      </c>
      <c r="J702" t="n">
        <v>0</v>
      </c>
      <c r="K702" t="n">
        <v>0</v>
      </c>
      <c r="L702" t="n">
        <v>0</v>
      </c>
      <c r="M702" t="n">
        <v>0</v>
      </c>
      <c r="N702" t="n">
        <v>0</v>
      </c>
      <c r="O702" t="n">
        <v>0</v>
      </c>
      <c r="P702" t="n">
        <v>0</v>
      </c>
      <c r="Q702" t="n">
        <v>0</v>
      </c>
      <c r="R702" s="2" t="inlineStr"/>
    </row>
    <row r="703" ht="15" customHeight="1">
      <c r="A703" t="inlineStr">
        <is>
          <t>A 43797-2023</t>
        </is>
      </c>
      <c r="B703" s="1" t="n">
        <v>45187</v>
      </c>
      <c r="C703" s="1" t="n">
        <v>45802</v>
      </c>
      <c r="D703" t="inlineStr">
        <is>
          <t>DALARNAS LÄN</t>
        </is>
      </c>
      <c r="E703" t="inlineStr">
        <is>
          <t>LUDVIKA</t>
        </is>
      </c>
      <c r="F703" t="inlineStr">
        <is>
          <t>Bergvik skog väst AB</t>
        </is>
      </c>
      <c r="G703" t="n">
        <v>5.7</v>
      </c>
      <c r="H703" t="n">
        <v>0</v>
      </c>
      <c r="I703" t="n">
        <v>0</v>
      </c>
      <c r="J703" t="n">
        <v>0</v>
      </c>
      <c r="K703" t="n">
        <v>0</v>
      </c>
      <c r="L703" t="n">
        <v>0</v>
      </c>
      <c r="M703" t="n">
        <v>0</v>
      </c>
      <c r="N703" t="n">
        <v>0</v>
      </c>
      <c r="O703" t="n">
        <v>0</v>
      </c>
      <c r="P703" t="n">
        <v>0</v>
      </c>
      <c r="Q703" t="n">
        <v>0</v>
      </c>
      <c r="R703" s="2" t="inlineStr"/>
    </row>
    <row r="704" ht="15" customHeight="1">
      <c r="A704" t="inlineStr">
        <is>
          <t>A 43839-2023</t>
        </is>
      </c>
      <c r="B704" s="1" t="n">
        <v>45187</v>
      </c>
      <c r="C704" s="1" t="n">
        <v>45802</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43867-2023</t>
        </is>
      </c>
      <c r="B705" s="1" t="n">
        <v>45187</v>
      </c>
      <c r="C705" s="1" t="n">
        <v>45802</v>
      </c>
      <c r="D705" t="inlineStr">
        <is>
          <t>DALARNAS LÄN</t>
        </is>
      </c>
      <c r="E705" t="inlineStr">
        <is>
          <t>LUDVIKA</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44088-2023</t>
        </is>
      </c>
      <c r="B706" s="1" t="n">
        <v>45188</v>
      </c>
      <c r="C706" s="1" t="n">
        <v>45802</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44099-2023</t>
        </is>
      </c>
      <c r="B707" s="1" t="n">
        <v>45188</v>
      </c>
      <c r="C707" s="1" t="n">
        <v>45802</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44103-2023</t>
        </is>
      </c>
      <c r="B708" s="1" t="n">
        <v>45188</v>
      </c>
      <c r="C708" s="1" t="n">
        <v>45802</v>
      </c>
      <c r="D708" t="inlineStr">
        <is>
          <t>DALARNAS LÄN</t>
        </is>
      </c>
      <c r="E708" t="inlineStr">
        <is>
          <t>LUDVIKA</t>
        </is>
      </c>
      <c r="F708" t="inlineStr">
        <is>
          <t>Bergvik skog väst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44312-2023</t>
        </is>
      </c>
      <c r="B709" s="1" t="n">
        <v>45188</v>
      </c>
      <c r="C709" s="1" t="n">
        <v>45802</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44093-2023</t>
        </is>
      </c>
      <c r="B710" s="1" t="n">
        <v>45188</v>
      </c>
      <c r="C710" s="1" t="n">
        <v>45802</v>
      </c>
      <c r="D710" t="inlineStr">
        <is>
          <t>DALARNAS LÄN</t>
        </is>
      </c>
      <c r="E710" t="inlineStr">
        <is>
          <t>LUDVIKA</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44110-2023</t>
        </is>
      </c>
      <c r="B711" s="1" t="n">
        <v>45188</v>
      </c>
      <c r="C711" s="1" t="n">
        <v>45802</v>
      </c>
      <c r="D711" t="inlineStr">
        <is>
          <t>DALARNAS LÄN</t>
        </is>
      </c>
      <c r="E711" t="inlineStr">
        <is>
          <t>LUDVIKA</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44520-2023</t>
        </is>
      </c>
      <c r="B712" s="1" t="n">
        <v>45189</v>
      </c>
      <c r="C712" s="1" t="n">
        <v>45802</v>
      </c>
      <c r="D712" t="inlineStr">
        <is>
          <t>DALARNAS LÄN</t>
        </is>
      </c>
      <c r="E712" t="inlineStr">
        <is>
          <t>LUDVIKA</t>
        </is>
      </c>
      <c r="G712" t="n">
        <v>0.7</v>
      </c>
      <c r="H712" t="n">
        <v>0</v>
      </c>
      <c r="I712" t="n">
        <v>0</v>
      </c>
      <c r="J712" t="n">
        <v>0</v>
      </c>
      <c r="K712" t="n">
        <v>0</v>
      </c>
      <c r="L712" t="n">
        <v>0</v>
      </c>
      <c r="M712" t="n">
        <v>0</v>
      </c>
      <c r="N712" t="n">
        <v>0</v>
      </c>
      <c r="O712" t="n">
        <v>0</v>
      </c>
      <c r="P712" t="n">
        <v>0</v>
      </c>
      <c r="Q712" t="n">
        <v>0</v>
      </c>
      <c r="R712" s="2" t="inlineStr"/>
    </row>
    <row r="713" ht="15" customHeight="1">
      <c r="A713" t="inlineStr">
        <is>
          <t>A 45094-2023</t>
        </is>
      </c>
      <c r="B713" s="1" t="n">
        <v>45191</v>
      </c>
      <c r="C713" s="1" t="n">
        <v>45802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45045-2023</t>
        </is>
      </c>
      <c r="B714" s="1" t="n">
        <v>45191</v>
      </c>
      <c r="C714" s="1" t="n">
        <v>45802</v>
      </c>
      <c r="D714" t="inlineStr">
        <is>
          <t>DALARNAS LÄN</t>
        </is>
      </c>
      <c r="E714" t="inlineStr">
        <is>
          <t>LUDVIKA</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45046-2023</t>
        </is>
      </c>
      <c r="B715" s="1" t="n">
        <v>45191</v>
      </c>
      <c r="C715" s="1" t="n">
        <v>45802</v>
      </c>
      <c r="D715" t="inlineStr">
        <is>
          <t>DALARNAS LÄN</t>
        </is>
      </c>
      <c r="E715" t="inlineStr">
        <is>
          <t>LUDVIKA</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45083-2023</t>
        </is>
      </c>
      <c r="B716" s="1" t="n">
        <v>45191</v>
      </c>
      <c r="C716" s="1" t="n">
        <v>45802</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45128-2023</t>
        </is>
      </c>
      <c r="B717" s="1" t="n">
        <v>45191</v>
      </c>
      <c r="C717" s="1" t="n">
        <v>45802</v>
      </c>
      <c r="D717" t="inlineStr">
        <is>
          <t>DALARNAS LÄN</t>
        </is>
      </c>
      <c r="E717" t="inlineStr">
        <is>
          <t>LUDVIKA</t>
        </is>
      </c>
      <c r="F717" t="inlineStr">
        <is>
          <t>Bergvik skog väst AB</t>
        </is>
      </c>
      <c r="G717" t="n">
        <v>1.5</v>
      </c>
      <c r="H717" t="n">
        <v>0</v>
      </c>
      <c r="I717" t="n">
        <v>0</v>
      </c>
      <c r="J717" t="n">
        <v>0</v>
      </c>
      <c r="K717" t="n">
        <v>0</v>
      </c>
      <c r="L717" t="n">
        <v>0</v>
      </c>
      <c r="M717" t="n">
        <v>0</v>
      </c>
      <c r="N717" t="n">
        <v>0</v>
      </c>
      <c r="O717" t="n">
        <v>0</v>
      </c>
      <c r="P717" t="n">
        <v>0</v>
      </c>
      <c r="Q717" t="n">
        <v>0</v>
      </c>
      <c r="R717" s="2" t="inlineStr"/>
    </row>
    <row r="718" ht="15" customHeight="1">
      <c r="A718" t="inlineStr">
        <is>
          <t>A 45140-2023</t>
        </is>
      </c>
      <c r="B718" s="1" t="n">
        <v>45191</v>
      </c>
      <c r="C718" s="1" t="n">
        <v>45802</v>
      </c>
      <c r="D718" t="inlineStr">
        <is>
          <t>DALARNAS LÄN</t>
        </is>
      </c>
      <c r="E718" t="inlineStr">
        <is>
          <t>LUDVIKA</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45127-2023</t>
        </is>
      </c>
      <c r="B719" s="1" t="n">
        <v>45191</v>
      </c>
      <c r="C719" s="1" t="n">
        <v>45802</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45124-2023</t>
        </is>
      </c>
      <c r="B720" s="1" t="n">
        <v>45191</v>
      </c>
      <c r="C720" s="1" t="n">
        <v>45802</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45541-2023</t>
        </is>
      </c>
      <c r="B721" s="1" t="n">
        <v>45194</v>
      </c>
      <c r="C721" s="1" t="n">
        <v>45802</v>
      </c>
      <c r="D721" t="inlineStr">
        <is>
          <t>DALARNAS LÄN</t>
        </is>
      </c>
      <c r="E721" t="inlineStr">
        <is>
          <t>LUDVIKA</t>
        </is>
      </c>
      <c r="G721" t="n">
        <v>2.8</v>
      </c>
      <c r="H721" t="n">
        <v>0</v>
      </c>
      <c r="I721" t="n">
        <v>0</v>
      </c>
      <c r="J721" t="n">
        <v>0</v>
      </c>
      <c r="K721" t="n">
        <v>0</v>
      </c>
      <c r="L721" t="n">
        <v>0</v>
      </c>
      <c r="M721" t="n">
        <v>0</v>
      </c>
      <c r="N721" t="n">
        <v>0</v>
      </c>
      <c r="O721" t="n">
        <v>0</v>
      </c>
      <c r="P721" t="n">
        <v>0</v>
      </c>
      <c r="Q721" t="n">
        <v>0</v>
      </c>
      <c r="R721" s="2" t="inlineStr"/>
    </row>
    <row r="722" ht="15" customHeight="1">
      <c r="A722" t="inlineStr">
        <is>
          <t>A 45853-2023</t>
        </is>
      </c>
      <c r="B722" s="1" t="n">
        <v>45195</v>
      </c>
      <c r="C722" s="1" t="n">
        <v>45802</v>
      </c>
      <c r="D722" t="inlineStr">
        <is>
          <t>DALARNAS LÄN</t>
        </is>
      </c>
      <c r="E722" t="inlineStr">
        <is>
          <t>LUDVIKA</t>
        </is>
      </c>
      <c r="G722" t="n">
        <v>3.8</v>
      </c>
      <c r="H722" t="n">
        <v>0</v>
      </c>
      <c r="I722" t="n">
        <v>0</v>
      </c>
      <c r="J722" t="n">
        <v>0</v>
      </c>
      <c r="K722" t="n">
        <v>0</v>
      </c>
      <c r="L722" t="n">
        <v>0</v>
      </c>
      <c r="M722" t="n">
        <v>0</v>
      </c>
      <c r="N722" t="n">
        <v>0</v>
      </c>
      <c r="O722" t="n">
        <v>0</v>
      </c>
      <c r="P722" t="n">
        <v>0</v>
      </c>
      <c r="Q722" t="n">
        <v>0</v>
      </c>
      <c r="R722" s="2" t="inlineStr"/>
    </row>
    <row r="723" ht="15" customHeight="1">
      <c r="A723" t="inlineStr">
        <is>
          <t>A 46074-2023</t>
        </is>
      </c>
      <c r="B723" s="1" t="n">
        <v>45196</v>
      </c>
      <c r="C723" s="1" t="n">
        <v>45802</v>
      </c>
      <c r="D723" t="inlineStr">
        <is>
          <t>DALARNAS LÄN</t>
        </is>
      </c>
      <c r="E723" t="inlineStr">
        <is>
          <t>LUDVIKA</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46140-2023</t>
        </is>
      </c>
      <c r="B724" s="1" t="n">
        <v>45196</v>
      </c>
      <c r="C724" s="1" t="n">
        <v>45802</v>
      </c>
      <c r="D724" t="inlineStr">
        <is>
          <t>DALARNAS LÄN</t>
        </is>
      </c>
      <c r="E724" t="inlineStr">
        <is>
          <t>LUDVIKA</t>
        </is>
      </c>
      <c r="F724" t="inlineStr">
        <is>
          <t>Bergvik skog väst AB</t>
        </is>
      </c>
      <c r="G724" t="n">
        <v>4.7</v>
      </c>
      <c r="H724" t="n">
        <v>0</v>
      </c>
      <c r="I724" t="n">
        <v>0</v>
      </c>
      <c r="J724" t="n">
        <v>0</v>
      </c>
      <c r="K724" t="n">
        <v>0</v>
      </c>
      <c r="L724" t="n">
        <v>0</v>
      </c>
      <c r="M724" t="n">
        <v>0</v>
      </c>
      <c r="N724" t="n">
        <v>0</v>
      </c>
      <c r="O724" t="n">
        <v>0</v>
      </c>
      <c r="P724" t="n">
        <v>0</v>
      </c>
      <c r="Q724" t="n">
        <v>0</v>
      </c>
      <c r="R724" s="2" t="inlineStr"/>
    </row>
    <row r="725" ht="15" customHeight="1">
      <c r="A725" t="inlineStr">
        <is>
          <t>A 46571-2023</t>
        </is>
      </c>
      <c r="B725" s="1" t="n">
        <v>45198</v>
      </c>
      <c r="C725" s="1" t="n">
        <v>45802</v>
      </c>
      <c r="D725" t="inlineStr">
        <is>
          <t>DALARNAS LÄN</t>
        </is>
      </c>
      <c r="E725" t="inlineStr">
        <is>
          <t>LUDVIKA</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46570-2023</t>
        </is>
      </c>
      <c r="B726" s="1" t="n">
        <v>45198</v>
      </c>
      <c r="C726" s="1" t="n">
        <v>45802</v>
      </c>
      <c r="D726" t="inlineStr">
        <is>
          <t>DALARNAS LÄN</t>
        </is>
      </c>
      <c r="E726" t="inlineStr">
        <is>
          <t>LUDVIKA</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46622-2023</t>
        </is>
      </c>
      <c r="B727" s="1" t="n">
        <v>45198</v>
      </c>
      <c r="C727" s="1" t="n">
        <v>45802</v>
      </c>
      <c r="D727" t="inlineStr">
        <is>
          <t>DALARNAS LÄN</t>
        </is>
      </c>
      <c r="E727" t="inlineStr">
        <is>
          <t>LUDVIKA</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46654-2023</t>
        </is>
      </c>
      <c r="B728" s="1" t="n">
        <v>45198</v>
      </c>
      <c r="C728" s="1" t="n">
        <v>45802</v>
      </c>
      <c r="D728" t="inlineStr">
        <is>
          <t>DALARNAS LÄN</t>
        </is>
      </c>
      <c r="E728" t="inlineStr">
        <is>
          <t>LUDVIKA</t>
        </is>
      </c>
      <c r="F728" t="inlineStr">
        <is>
          <t>Bergvik skog väst AB</t>
        </is>
      </c>
      <c r="G728" t="n">
        <v>2.1</v>
      </c>
      <c r="H728" t="n">
        <v>0</v>
      </c>
      <c r="I728" t="n">
        <v>0</v>
      </c>
      <c r="J728" t="n">
        <v>0</v>
      </c>
      <c r="K728" t="n">
        <v>0</v>
      </c>
      <c r="L728" t="n">
        <v>0</v>
      </c>
      <c r="M728" t="n">
        <v>0</v>
      </c>
      <c r="N728" t="n">
        <v>0</v>
      </c>
      <c r="O728" t="n">
        <v>0</v>
      </c>
      <c r="P728" t="n">
        <v>0</v>
      </c>
      <c r="Q728" t="n">
        <v>0</v>
      </c>
      <c r="R728" s="2" t="inlineStr"/>
    </row>
    <row r="729" ht="15" customHeight="1">
      <c r="A729" t="inlineStr">
        <is>
          <t>A 46647-2023</t>
        </is>
      </c>
      <c r="B729" s="1" t="n">
        <v>45198</v>
      </c>
      <c r="C729" s="1" t="n">
        <v>45802</v>
      </c>
      <c r="D729" t="inlineStr">
        <is>
          <t>DALARNAS LÄN</t>
        </is>
      </c>
      <c r="E729" t="inlineStr">
        <is>
          <t>LUDVIKA</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46656-2023</t>
        </is>
      </c>
      <c r="B730" s="1" t="n">
        <v>45198</v>
      </c>
      <c r="C730" s="1" t="n">
        <v>45802</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46660-2023</t>
        </is>
      </c>
      <c r="B731" s="1" t="n">
        <v>45198</v>
      </c>
      <c r="C731" s="1" t="n">
        <v>45802</v>
      </c>
      <c r="D731" t="inlineStr">
        <is>
          <t>DALARNAS LÄN</t>
        </is>
      </c>
      <c r="E731" t="inlineStr">
        <is>
          <t>LUDVIKA</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46620-2023</t>
        </is>
      </c>
      <c r="B732" s="1" t="n">
        <v>45198</v>
      </c>
      <c r="C732" s="1" t="n">
        <v>45802</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46657-2023</t>
        </is>
      </c>
      <c r="B733" s="1" t="n">
        <v>45198</v>
      </c>
      <c r="C733" s="1" t="n">
        <v>45802</v>
      </c>
      <c r="D733" t="inlineStr">
        <is>
          <t>DALARNAS LÄN</t>
        </is>
      </c>
      <c r="E733" t="inlineStr">
        <is>
          <t>LUDVIKA</t>
        </is>
      </c>
      <c r="F733" t="inlineStr">
        <is>
          <t>Bergvik skog väst AB</t>
        </is>
      </c>
      <c r="G733" t="n">
        <v>3.3</v>
      </c>
      <c r="H733" t="n">
        <v>0</v>
      </c>
      <c r="I733" t="n">
        <v>0</v>
      </c>
      <c r="J733" t="n">
        <v>0</v>
      </c>
      <c r="K733" t="n">
        <v>0</v>
      </c>
      <c r="L733" t="n">
        <v>0</v>
      </c>
      <c r="M733" t="n">
        <v>0</v>
      </c>
      <c r="N733" t="n">
        <v>0</v>
      </c>
      <c r="O733" t="n">
        <v>0</v>
      </c>
      <c r="P733" t="n">
        <v>0</v>
      </c>
      <c r="Q733" t="n">
        <v>0</v>
      </c>
      <c r="R733" s="2" t="inlineStr"/>
    </row>
    <row r="734" ht="15" customHeight="1">
      <c r="A734" t="inlineStr">
        <is>
          <t>A 47269-2023</t>
        </is>
      </c>
      <c r="B734" s="1" t="n">
        <v>45202</v>
      </c>
      <c r="C734" s="1" t="n">
        <v>45802</v>
      </c>
      <c r="D734" t="inlineStr">
        <is>
          <t>DALARNAS LÄN</t>
        </is>
      </c>
      <c r="E734" t="inlineStr">
        <is>
          <t>LUDVIKA</t>
        </is>
      </c>
      <c r="F734" t="inlineStr">
        <is>
          <t>Bergvik skog väst AB</t>
        </is>
      </c>
      <c r="G734" t="n">
        <v>2.4</v>
      </c>
      <c r="H734" t="n">
        <v>0</v>
      </c>
      <c r="I734" t="n">
        <v>0</v>
      </c>
      <c r="J734" t="n">
        <v>0</v>
      </c>
      <c r="K734" t="n">
        <v>0</v>
      </c>
      <c r="L734" t="n">
        <v>0</v>
      </c>
      <c r="M734" t="n">
        <v>0</v>
      </c>
      <c r="N734" t="n">
        <v>0</v>
      </c>
      <c r="O734" t="n">
        <v>0</v>
      </c>
      <c r="P734" t="n">
        <v>0</v>
      </c>
      <c r="Q734" t="n">
        <v>0</v>
      </c>
      <c r="R734" s="2" t="inlineStr"/>
    </row>
    <row r="735" ht="15" customHeight="1">
      <c r="A735" t="inlineStr">
        <is>
          <t>A 47349-2023</t>
        </is>
      </c>
      <c r="B735" s="1" t="n">
        <v>45202</v>
      </c>
      <c r="C735" s="1" t="n">
        <v>45802</v>
      </c>
      <c r="D735" t="inlineStr">
        <is>
          <t>DALARNAS LÄN</t>
        </is>
      </c>
      <c r="E735" t="inlineStr">
        <is>
          <t>LUDVIKA</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47281-2023</t>
        </is>
      </c>
      <c r="B736" s="1" t="n">
        <v>45202</v>
      </c>
      <c r="C736" s="1" t="n">
        <v>45802</v>
      </c>
      <c r="D736" t="inlineStr">
        <is>
          <t>DALARNAS LÄN</t>
        </is>
      </c>
      <c r="E736" t="inlineStr">
        <is>
          <t>LUDVIKA</t>
        </is>
      </c>
      <c r="G736" t="n">
        <v>2.6</v>
      </c>
      <c r="H736" t="n">
        <v>0</v>
      </c>
      <c r="I736" t="n">
        <v>0</v>
      </c>
      <c r="J736" t="n">
        <v>0</v>
      </c>
      <c r="K736" t="n">
        <v>0</v>
      </c>
      <c r="L736" t="n">
        <v>0</v>
      </c>
      <c r="M736" t="n">
        <v>0</v>
      </c>
      <c r="N736" t="n">
        <v>0</v>
      </c>
      <c r="O736" t="n">
        <v>0</v>
      </c>
      <c r="P736" t="n">
        <v>0</v>
      </c>
      <c r="Q736" t="n">
        <v>0</v>
      </c>
      <c r="R736" s="2" t="inlineStr"/>
    </row>
    <row r="737" ht="15" customHeight="1">
      <c r="A737" t="inlineStr">
        <is>
          <t>A 47366-2023</t>
        </is>
      </c>
      <c r="B737" s="1" t="n">
        <v>45202</v>
      </c>
      <c r="C737" s="1" t="n">
        <v>45802</v>
      </c>
      <c r="D737" t="inlineStr">
        <is>
          <t>DALARNAS LÄN</t>
        </is>
      </c>
      <c r="E737" t="inlineStr">
        <is>
          <t>LUDVIKA</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47940-2023</t>
        </is>
      </c>
      <c r="B738" s="1" t="n">
        <v>45204</v>
      </c>
      <c r="C738" s="1" t="n">
        <v>45802</v>
      </c>
      <c r="D738" t="inlineStr">
        <is>
          <t>DALARNAS LÄN</t>
        </is>
      </c>
      <c r="E738" t="inlineStr">
        <is>
          <t>LUDVIKA</t>
        </is>
      </c>
      <c r="F738" t="inlineStr">
        <is>
          <t>Bergvik skog väst AB</t>
        </is>
      </c>
      <c r="G738" t="n">
        <v>2.1</v>
      </c>
      <c r="H738" t="n">
        <v>0</v>
      </c>
      <c r="I738" t="n">
        <v>0</v>
      </c>
      <c r="J738" t="n">
        <v>0</v>
      </c>
      <c r="K738" t="n">
        <v>0</v>
      </c>
      <c r="L738" t="n">
        <v>0</v>
      </c>
      <c r="M738" t="n">
        <v>0</v>
      </c>
      <c r="N738" t="n">
        <v>0</v>
      </c>
      <c r="O738" t="n">
        <v>0</v>
      </c>
      <c r="P738" t="n">
        <v>0</v>
      </c>
      <c r="Q738" t="n">
        <v>0</v>
      </c>
      <c r="R738" s="2" t="inlineStr"/>
    </row>
    <row r="739" ht="15" customHeight="1">
      <c r="A739" t="inlineStr">
        <is>
          <t>A 48003-2023</t>
        </is>
      </c>
      <c r="B739" s="1" t="n">
        <v>45204</v>
      </c>
      <c r="C739" s="1" t="n">
        <v>45802</v>
      </c>
      <c r="D739" t="inlineStr">
        <is>
          <t>DALARNAS LÄN</t>
        </is>
      </c>
      <c r="E739" t="inlineStr">
        <is>
          <t>LUDVIKA</t>
        </is>
      </c>
      <c r="F739" t="inlineStr">
        <is>
          <t>Bergvik skog väst AB</t>
        </is>
      </c>
      <c r="G739" t="n">
        <v>1.2</v>
      </c>
      <c r="H739" t="n">
        <v>0</v>
      </c>
      <c r="I739" t="n">
        <v>0</v>
      </c>
      <c r="J739" t="n">
        <v>0</v>
      </c>
      <c r="K739" t="n">
        <v>0</v>
      </c>
      <c r="L739" t="n">
        <v>0</v>
      </c>
      <c r="M739" t="n">
        <v>0</v>
      </c>
      <c r="N739" t="n">
        <v>0</v>
      </c>
      <c r="O739" t="n">
        <v>0</v>
      </c>
      <c r="P739" t="n">
        <v>0</v>
      </c>
      <c r="Q739" t="n">
        <v>0</v>
      </c>
      <c r="R739" s="2" t="inlineStr"/>
    </row>
    <row r="740" ht="15" customHeight="1">
      <c r="A740" t="inlineStr">
        <is>
          <t>A 48212-2023</t>
        </is>
      </c>
      <c r="B740" s="1" t="n">
        <v>45205</v>
      </c>
      <c r="C740" s="1" t="n">
        <v>45802</v>
      </c>
      <c r="D740" t="inlineStr">
        <is>
          <t>DALARNAS LÄN</t>
        </is>
      </c>
      <c r="E740" t="inlineStr">
        <is>
          <t>LUDVIKA</t>
        </is>
      </c>
      <c r="F740" t="inlineStr">
        <is>
          <t>Bergvik skog väst AB</t>
        </is>
      </c>
      <c r="G740" t="n">
        <v>6.5</v>
      </c>
      <c r="H740" t="n">
        <v>0</v>
      </c>
      <c r="I740" t="n">
        <v>0</v>
      </c>
      <c r="J740" t="n">
        <v>0</v>
      </c>
      <c r="K740" t="n">
        <v>0</v>
      </c>
      <c r="L740" t="n">
        <v>0</v>
      </c>
      <c r="M740" t="n">
        <v>0</v>
      </c>
      <c r="N740" t="n">
        <v>0</v>
      </c>
      <c r="O740" t="n">
        <v>0</v>
      </c>
      <c r="P740" t="n">
        <v>0</v>
      </c>
      <c r="Q740" t="n">
        <v>0</v>
      </c>
      <c r="R740" s="2" t="inlineStr"/>
    </row>
    <row r="741" ht="15" customHeight="1">
      <c r="A741" t="inlineStr">
        <is>
          <t>A 48288-2023</t>
        </is>
      </c>
      <c r="B741" s="1" t="n">
        <v>45205</v>
      </c>
      <c r="C741" s="1" t="n">
        <v>45802</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48352-2023</t>
        </is>
      </c>
      <c r="B742" s="1" t="n">
        <v>45205</v>
      </c>
      <c r="C742" s="1" t="n">
        <v>45802</v>
      </c>
      <c r="D742" t="inlineStr">
        <is>
          <t>DALARNAS LÄN</t>
        </is>
      </c>
      <c r="E742" t="inlineStr">
        <is>
          <t>LUDVIKA</t>
        </is>
      </c>
      <c r="F742" t="inlineStr">
        <is>
          <t>Bergvik skog väst AB</t>
        </is>
      </c>
      <c r="G742" t="n">
        <v>12.8</v>
      </c>
      <c r="H742" t="n">
        <v>0</v>
      </c>
      <c r="I742" t="n">
        <v>0</v>
      </c>
      <c r="J742" t="n">
        <v>0</v>
      </c>
      <c r="K742" t="n">
        <v>0</v>
      </c>
      <c r="L742" t="n">
        <v>0</v>
      </c>
      <c r="M742" t="n">
        <v>0</v>
      </c>
      <c r="N742" t="n">
        <v>0</v>
      </c>
      <c r="O742" t="n">
        <v>0</v>
      </c>
      <c r="P742" t="n">
        <v>0</v>
      </c>
      <c r="Q742" t="n">
        <v>0</v>
      </c>
      <c r="R742" s="2" t="inlineStr"/>
    </row>
    <row r="743" ht="15" customHeight="1">
      <c r="A743" t="inlineStr">
        <is>
          <t>A 48331-2023</t>
        </is>
      </c>
      <c r="B743" s="1" t="n">
        <v>45205</v>
      </c>
      <c r="C743" s="1" t="n">
        <v>45802</v>
      </c>
      <c r="D743" t="inlineStr">
        <is>
          <t>DALARNAS LÄN</t>
        </is>
      </c>
      <c r="E743" t="inlineStr">
        <is>
          <t>LUDVIKA</t>
        </is>
      </c>
      <c r="F743" t="inlineStr">
        <is>
          <t>Bergvik skog väst AB</t>
        </is>
      </c>
      <c r="G743" t="n">
        <v>4.2</v>
      </c>
      <c r="H743" t="n">
        <v>0</v>
      </c>
      <c r="I743" t="n">
        <v>0</v>
      </c>
      <c r="J743" t="n">
        <v>0</v>
      </c>
      <c r="K743" t="n">
        <v>0</v>
      </c>
      <c r="L743" t="n">
        <v>0</v>
      </c>
      <c r="M743" t="n">
        <v>0</v>
      </c>
      <c r="N743" t="n">
        <v>0</v>
      </c>
      <c r="O743" t="n">
        <v>0</v>
      </c>
      <c r="P743" t="n">
        <v>0</v>
      </c>
      <c r="Q743" t="n">
        <v>0</v>
      </c>
      <c r="R743" s="2" t="inlineStr"/>
    </row>
    <row r="744" ht="15" customHeight="1">
      <c r="A744" t="inlineStr">
        <is>
          <t>A 48559-2023</t>
        </is>
      </c>
      <c r="B744" s="1" t="n">
        <v>45208</v>
      </c>
      <c r="C744" s="1" t="n">
        <v>45802</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48589-2023</t>
        </is>
      </c>
      <c r="B745" s="1" t="n">
        <v>45208</v>
      </c>
      <c r="C745" s="1" t="n">
        <v>45802</v>
      </c>
      <c r="D745" t="inlineStr">
        <is>
          <t>DALARNAS LÄN</t>
        </is>
      </c>
      <c r="E745" t="inlineStr">
        <is>
          <t>LUDVIKA</t>
        </is>
      </c>
      <c r="F745" t="inlineStr">
        <is>
          <t>Naturvårdsverket</t>
        </is>
      </c>
      <c r="G745" t="n">
        <v>0.7</v>
      </c>
      <c r="H745" t="n">
        <v>0</v>
      </c>
      <c r="I745" t="n">
        <v>0</v>
      </c>
      <c r="J745" t="n">
        <v>0</v>
      </c>
      <c r="K745" t="n">
        <v>0</v>
      </c>
      <c r="L745" t="n">
        <v>0</v>
      </c>
      <c r="M745" t="n">
        <v>0</v>
      </c>
      <c r="N745" t="n">
        <v>0</v>
      </c>
      <c r="O745" t="n">
        <v>0</v>
      </c>
      <c r="P745" t="n">
        <v>0</v>
      </c>
      <c r="Q745" t="n">
        <v>0</v>
      </c>
      <c r="R745" s="2" t="inlineStr"/>
    </row>
    <row r="746" ht="15" customHeight="1">
      <c r="A746" t="inlineStr">
        <is>
          <t>A 48522-2023</t>
        </is>
      </c>
      <c r="B746" s="1" t="n">
        <v>45208</v>
      </c>
      <c r="C746" s="1" t="n">
        <v>45802</v>
      </c>
      <c r="D746" t="inlineStr">
        <is>
          <t>DALARNAS LÄN</t>
        </is>
      </c>
      <c r="E746" t="inlineStr">
        <is>
          <t>LUDVIKA</t>
        </is>
      </c>
      <c r="F746" t="inlineStr">
        <is>
          <t>Bergvik skog väst AB</t>
        </is>
      </c>
      <c r="G746" t="n">
        <v>1.7</v>
      </c>
      <c r="H746" t="n">
        <v>0</v>
      </c>
      <c r="I746" t="n">
        <v>0</v>
      </c>
      <c r="J746" t="n">
        <v>0</v>
      </c>
      <c r="K746" t="n">
        <v>0</v>
      </c>
      <c r="L746" t="n">
        <v>0</v>
      </c>
      <c r="M746" t="n">
        <v>0</v>
      </c>
      <c r="N746" t="n">
        <v>0</v>
      </c>
      <c r="O746" t="n">
        <v>0</v>
      </c>
      <c r="P746" t="n">
        <v>0</v>
      </c>
      <c r="Q746" t="n">
        <v>0</v>
      </c>
      <c r="R746" s="2" t="inlineStr"/>
    </row>
    <row r="747" ht="15" customHeight="1">
      <c r="A747" t="inlineStr">
        <is>
          <t>A 48615-2023</t>
        </is>
      </c>
      <c r="B747" s="1" t="n">
        <v>45208</v>
      </c>
      <c r="C747" s="1" t="n">
        <v>45802</v>
      </c>
      <c r="D747" t="inlineStr">
        <is>
          <t>DALARNAS LÄN</t>
        </is>
      </c>
      <c r="E747" t="inlineStr">
        <is>
          <t>LUDVIKA</t>
        </is>
      </c>
      <c r="F747" t="inlineStr">
        <is>
          <t>Bergvik skog väst AB</t>
        </is>
      </c>
      <c r="G747" t="n">
        <v>1</v>
      </c>
      <c r="H747" t="n">
        <v>0</v>
      </c>
      <c r="I747" t="n">
        <v>0</v>
      </c>
      <c r="J747" t="n">
        <v>0</v>
      </c>
      <c r="K747" t="n">
        <v>0</v>
      </c>
      <c r="L747" t="n">
        <v>0</v>
      </c>
      <c r="M747" t="n">
        <v>0</v>
      </c>
      <c r="N747" t="n">
        <v>0</v>
      </c>
      <c r="O747" t="n">
        <v>0</v>
      </c>
      <c r="P747" t="n">
        <v>0</v>
      </c>
      <c r="Q747" t="n">
        <v>0</v>
      </c>
      <c r="R747" s="2" t="inlineStr"/>
    </row>
    <row r="748" ht="15" customHeight="1">
      <c r="A748" t="inlineStr">
        <is>
          <t>A 48683-2023</t>
        </is>
      </c>
      <c r="B748" s="1" t="n">
        <v>45208</v>
      </c>
      <c r="C748" s="1" t="n">
        <v>45802</v>
      </c>
      <c r="D748" t="inlineStr">
        <is>
          <t>DALARNAS LÄN</t>
        </is>
      </c>
      <c r="E748" t="inlineStr">
        <is>
          <t>LUDVIKA</t>
        </is>
      </c>
      <c r="G748" t="n">
        <v>1.3</v>
      </c>
      <c r="H748" t="n">
        <v>0</v>
      </c>
      <c r="I748" t="n">
        <v>0</v>
      </c>
      <c r="J748" t="n">
        <v>0</v>
      </c>
      <c r="K748" t="n">
        <v>0</v>
      </c>
      <c r="L748" t="n">
        <v>0</v>
      </c>
      <c r="M748" t="n">
        <v>0</v>
      </c>
      <c r="N748" t="n">
        <v>0</v>
      </c>
      <c r="O748" t="n">
        <v>0</v>
      </c>
      <c r="P748" t="n">
        <v>0</v>
      </c>
      <c r="Q748" t="n">
        <v>0</v>
      </c>
      <c r="R748" s="2" t="inlineStr"/>
    </row>
    <row r="749" ht="15" customHeight="1">
      <c r="A749" t="inlineStr">
        <is>
          <t>A 49060-2023</t>
        </is>
      </c>
      <c r="B749" s="1" t="n">
        <v>45210</v>
      </c>
      <c r="C749" s="1" t="n">
        <v>45802</v>
      </c>
      <c r="D749" t="inlineStr">
        <is>
          <t>DALARNAS LÄN</t>
        </is>
      </c>
      <c r="E749" t="inlineStr">
        <is>
          <t>LUDVIKA</t>
        </is>
      </c>
      <c r="F749" t="inlineStr">
        <is>
          <t>Naturvårdsverket</t>
        </is>
      </c>
      <c r="G749" t="n">
        <v>0.8</v>
      </c>
      <c r="H749" t="n">
        <v>0</v>
      </c>
      <c r="I749" t="n">
        <v>0</v>
      </c>
      <c r="J749" t="n">
        <v>0</v>
      </c>
      <c r="K749" t="n">
        <v>0</v>
      </c>
      <c r="L749" t="n">
        <v>0</v>
      </c>
      <c r="M749" t="n">
        <v>0</v>
      </c>
      <c r="N749" t="n">
        <v>0</v>
      </c>
      <c r="O749" t="n">
        <v>0</v>
      </c>
      <c r="P749" t="n">
        <v>0</v>
      </c>
      <c r="Q749" t="n">
        <v>0</v>
      </c>
      <c r="R749" s="2" t="inlineStr"/>
    </row>
    <row r="750" ht="15" customHeight="1">
      <c r="A750" t="inlineStr">
        <is>
          <t>A 49114-2023</t>
        </is>
      </c>
      <c r="B750" s="1" t="n">
        <v>45210</v>
      </c>
      <c r="C750" s="1" t="n">
        <v>45802</v>
      </c>
      <c r="D750" t="inlineStr">
        <is>
          <t>DALARNAS LÄN</t>
        </is>
      </c>
      <c r="E750" t="inlineStr">
        <is>
          <t>LUDVIKA</t>
        </is>
      </c>
      <c r="F750" t="inlineStr">
        <is>
          <t>Naturvårdsverket</t>
        </is>
      </c>
      <c r="G750" t="n">
        <v>4</v>
      </c>
      <c r="H750" t="n">
        <v>0</v>
      </c>
      <c r="I750" t="n">
        <v>0</v>
      </c>
      <c r="J750" t="n">
        <v>0</v>
      </c>
      <c r="K750" t="n">
        <v>0</v>
      </c>
      <c r="L750" t="n">
        <v>0</v>
      </c>
      <c r="M750" t="n">
        <v>0</v>
      </c>
      <c r="N750" t="n">
        <v>0</v>
      </c>
      <c r="O750" t="n">
        <v>0</v>
      </c>
      <c r="P750" t="n">
        <v>0</v>
      </c>
      <c r="Q750" t="n">
        <v>0</v>
      </c>
      <c r="R750" s="2" t="inlineStr"/>
    </row>
    <row r="751" ht="15" customHeight="1">
      <c r="A751" t="inlineStr">
        <is>
          <t>A 49714-2023</t>
        </is>
      </c>
      <c r="B751" s="1" t="n">
        <v>45212</v>
      </c>
      <c r="C751" s="1" t="n">
        <v>45802</v>
      </c>
      <c r="D751" t="inlineStr">
        <is>
          <t>DALARNAS LÄN</t>
        </is>
      </c>
      <c r="E751" t="inlineStr">
        <is>
          <t>LUDVIKA</t>
        </is>
      </c>
      <c r="F751" t="inlineStr">
        <is>
          <t>Bergvik skog väst AB</t>
        </is>
      </c>
      <c r="G751" t="n">
        <v>5.7</v>
      </c>
      <c r="H751" t="n">
        <v>0</v>
      </c>
      <c r="I751" t="n">
        <v>0</v>
      </c>
      <c r="J751" t="n">
        <v>0</v>
      </c>
      <c r="K751" t="n">
        <v>0</v>
      </c>
      <c r="L751" t="n">
        <v>0</v>
      </c>
      <c r="M751" t="n">
        <v>0</v>
      </c>
      <c r="N751" t="n">
        <v>0</v>
      </c>
      <c r="O751" t="n">
        <v>0</v>
      </c>
      <c r="P751" t="n">
        <v>0</v>
      </c>
      <c r="Q751" t="n">
        <v>0</v>
      </c>
      <c r="R751" s="2" t="inlineStr"/>
    </row>
    <row r="752" ht="15" customHeight="1">
      <c r="A752" t="inlineStr">
        <is>
          <t>A 49798-2023</t>
        </is>
      </c>
      <c r="B752" s="1" t="n">
        <v>45212</v>
      </c>
      <c r="C752" s="1" t="n">
        <v>45802</v>
      </c>
      <c r="D752" t="inlineStr">
        <is>
          <t>DALARNAS LÄN</t>
        </is>
      </c>
      <c r="E752" t="inlineStr">
        <is>
          <t>LUDVIKA</t>
        </is>
      </c>
      <c r="F752" t="inlineStr">
        <is>
          <t>Bergvik skog väst AB</t>
        </is>
      </c>
      <c r="G752" t="n">
        <v>9.6</v>
      </c>
      <c r="H752" t="n">
        <v>0</v>
      </c>
      <c r="I752" t="n">
        <v>0</v>
      </c>
      <c r="J752" t="n">
        <v>0</v>
      </c>
      <c r="K752" t="n">
        <v>0</v>
      </c>
      <c r="L752" t="n">
        <v>0</v>
      </c>
      <c r="M752" t="n">
        <v>0</v>
      </c>
      <c r="N752" t="n">
        <v>0</v>
      </c>
      <c r="O752" t="n">
        <v>0</v>
      </c>
      <c r="P752" t="n">
        <v>0</v>
      </c>
      <c r="Q752" t="n">
        <v>0</v>
      </c>
      <c r="R752" s="2" t="inlineStr"/>
    </row>
    <row r="753" ht="15" customHeight="1">
      <c r="A753" t="inlineStr">
        <is>
          <t>A 49805-2023</t>
        </is>
      </c>
      <c r="B753" s="1" t="n">
        <v>45212</v>
      </c>
      <c r="C753" s="1" t="n">
        <v>45802</v>
      </c>
      <c r="D753" t="inlineStr">
        <is>
          <t>DALARNAS LÄN</t>
        </is>
      </c>
      <c r="E753" t="inlineStr">
        <is>
          <t>LUDVIKA</t>
        </is>
      </c>
      <c r="G753" t="n">
        <v>1.9</v>
      </c>
      <c r="H753" t="n">
        <v>0</v>
      </c>
      <c r="I753" t="n">
        <v>0</v>
      </c>
      <c r="J753" t="n">
        <v>0</v>
      </c>
      <c r="K753" t="n">
        <v>0</v>
      </c>
      <c r="L753" t="n">
        <v>0</v>
      </c>
      <c r="M753" t="n">
        <v>0</v>
      </c>
      <c r="N753" t="n">
        <v>0</v>
      </c>
      <c r="O753" t="n">
        <v>0</v>
      </c>
      <c r="P753" t="n">
        <v>0</v>
      </c>
      <c r="Q753" t="n">
        <v>0</v>
      </c>
      <c r="R753" s="2" t="inlineStr"/>
    </row>
    <row r="754" ht="15" customHeight="1">
      <c r="A754" t="inlineStr">
        <is>
          <t>A 50132-2023</t>
        </is>
      </c>
      <c r="B754" s="1" t="n">
        <v>45215</v>
      </c>
      <c r="C754" s="1" t="n">
        <v>45802</v>
      </c>
      <c r="D754" t="inlineStr">
        <is>
          <t>DALARNAS LÄN</t>
        </is>
      </c>
      <c r="E754" t="inlineStr">
        <is>
          <t>LUDVIKA</t>
        </is>
      </c>
      <c r="F754" t="inlineStr">
        <is>
          <t>Bergvik skog väst AB</t>
        </is>
      </c>
      <c r="G754" t="n">
        <v>3.1</v>
      </c>
      <c r="H754" t="n">
        <v>0</v>
      </c>
      <c r="I754" t="n">
        <v>0</v>
      </c>
      <c r="J754" t="n">
        <v>0</v>
      </c>
      <c r="K754" t="n">
        <v>0</v>
      </c>
      <c r="L754" t="n">
        <v>0</v>
      </c>
      <c r="M754" t="n">
        <v>0</v>
      </c>
      <c r="N754" t="n">
        <v>0</v>
      </c>
      <c r="O754" t="n">
        <v>0</v>
      </c>
      <c r="P754" t="n">
        <v>0</v>
      </c>
      <c r="Q754" t="n">
        <v>0</v>
      </c>
      <c r="R754" s="2" t="inlineStr"/>
    </row>
    <row r="755" ht="15" customHeight="1">
      <c r="A755" t="inlineStr">
        <is>
          <t>A 50054-2023</t>
        </is>
      </c>
      <c r="B755" s="1" t="n">
        <v>45215</v>
      </c>
      <c r="C755" s="1" t="n">
        <v>45802</v>
      </c>
      <c r="D755" t="inlineStr">
        <is>
          <t>DALARNAS LÄN</t>
        </is>
      </c>
      <c r="E755" t="inlineStr">
        <is>
          <t>LUDVIKA</t>
        </is>
      </c>
      <c r="F755" t="inlineStr">
        <is>
          <t>Bergvik skog väst AB</t>
        </is>
      </c>
      <c r="G755" t="n">
        <v>11.4</v>
      </c>
      <c r="H755" t="n">
        <v>0</v>
      </c>
      <c r="I755" t="n">
        <v>0</v>
      </c>
      <c r="J755" t="n">
        <v>0</v>
      </c>
      <c r="K755" t="n">
        <v>0</v>
      </c>
      <c r="L755" t="n">
        <v>0</v>
      </c>
      <c r="M755" t="n">
        <v>0</v>
      </c>
      <c r="N755" t="n">
        <v>0</v>
      </c>
      <c r="O755" t="n">
        <v>0</v>
      </c>
      <c r="P755" t="n">
        <v>0</v>
      </c>
      <c r="Q755" t="n">
        <v>0</v>
      </c>
      <c r="R755" s="2" t="inlineStr"/>
    </row>
    <row r="756" ht="15" customHeight="1">
      <c r="A756" t="inlineStr">
        <is>
          <t>A 50310-2023</t>
        </is>
      </c>
      <c r="B756" s="1" t="n">
        <v>45216</v>
      </c>
      <c r="C756" s="1" t="n">
        <v>45802</v>
      </c>
      <c r="D756" t="inlineStr">
        <is>
          <t>DALARNAS LÄN</t>
        </is>
      </c>
      <c r="E756" t="inlineStr">
        <is>
          <t>LUDVIKA</t>
        </is>
      </c>
      <c r="G756" t="n">
        <v>2</v>
      </c>
      <c r="H756" t="n">
        <v>0</v>
      </c>
      <c r="I756" t="n">
        <v>0</v>
      </c>
      <c r="J756" t="n">
        <v>0</v>
      </c>
      <c r="K756" t="n">
        <v>0</v>
      </c>
      <c r="L756" t="n">
        <v>0</v>
      </c>
      <c r="M756" t="n">
        <v>0</v>
      </c>
      <c r="N756" t="n">
        <v>0</v>
      </c>
      <c r="O756" t="n">
        <v>0</v>
      </c>
      <c r="P756" t="n">
        <v>0</v>
      </c>
      <c r="Q756" t="n">
        <v>0</v>
      </c>
      <c r="R756" s="2" t="inlineStr"/>
    </row>
    <row r="757" ht="15" customHeight="1">
      <c r="A757" t="inlineStr">
        <is>
          <t>A 50594-2023</t>
        </is>
      </c>
      <c r="B757" s="1" t="n">
        <v>45217</v>
      </c>
      <c r="C757" s="1" t="n">
        <v>45802</v>
      </c>
      <c r="D757" t="inlineStr">
        <is>
          <t>DALARNAS LÄN</t>
        </is>
      </c>
      <c r="E757" t="inlineStr">
        <is>
          <t>LUDVIKA</t>
        </is>
      </c>
      <c r="F757" t="inlineStr">
        <is>
          <t>Bergvik skog väst AB</t>
        </is>
      </c>
      <c r="G757" t="n">
        <v>10.3</v>
      </c>
      <c r="H757" t="n">
        <v>0</v>
      </c>
      <c r="I757" t="n">
        <v>0</v>
      </c>
      <c r="J757" t="n">
        <v>0</v>
      </c>
      <c r="K757" t="n">
        <v>0</v>
      </c>
      <c r="L757" t="n">
        <v>0</v>
      </c>
      <c r="M757" t="n">
        <v>0</v>
      </c>
      <c r="N757" t="n">
        <v>0</v>
      </c>
      <c r="O757" t="n">
        <v>0</v>
      </c>
      <c r="P757" t="n">
        <v>0</v>
      </c>
      <c r="Q757" t="n">
        <v>0</v>
      </c>
      <c r="R757" s="2" t="inlineStr"/>
    </row>
    <row r="758" ht="15" customHeight="1">
      <c r="A758" t="inlineStr">
        <is>
          <t>A 51015-2023</t>
        </is>
      </c>
      <c r="B758" s="1" t="n">
        <v>45218</v>
      </c>
      <c r="C758" s="1" t="n">
        <v>45802</v>
      </c>
      <c r="D758" t="inlineStr">
        <is>
          <t>DALARNAS LÄN</t>
        </is>
      </c>
      <c r="E758" t="inlineStr">
        <is>
          <t>LUDVIKA</t>
        </is>
      </c>
      <c r="G758" t="n">
        <v>5.9</v>
      </c>
      <c r="H758" t="n">
        <v>0</v>
      </c>
      <c r="I758" t="n">
        <v>0</v>
      </c>
      <c r="J758" t="n">
        <v>0</v>
      </c>
      <c r="K758" t="n">
        <v>0</v>
      </c>
      <c r="L758" t="n">
        <v>0</v>
      </c>
      <c r="M758" t="n">
        <v>0</v>
      </c>
      <c r="N758" t="n">
        <v>0</v>
      </c>
      <c r="O758" t="n">
        <v>0</v>
      </c>
      <c r="P758" t="n">
        <v>0</v>
      </c>
      <c r="Q758" t="n">
        <v>0</v>
      </c>
      <c r="R758" s="2" t="inlineStr"/>
    </row>
    <row r="759" ht="15" customHeight="1">
      <c r="A759" t="inlineStr">
        <is>
          <t>A 51208-2023</t>
        </is>
      </c>
      <c r="B759" s="1" t="n">
        <v>45219</v>
      </c>
      <c r="C759" s="1" t="n">
        <v>45802</v>
      </c>
      <c r="D759" t="inlineStr">
        <is>
          <t>DALARNAS LÄN</t>
        </is>
      </c>
      <c r="E759" t="inlineStr">
        <is>
          <t>LUDVIKA</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51181-2023</t>
        </is>
      </c>
      <c r="B760" s="1" t="n">
        <v>45219</v>
      </c>
      <c r="C760" s="1" t="n">
        <v>45802</v>
      </c>
      <c r="D760" t="inlineStr">
        <is>
          <t>DALARNAS LÄN</t>
        </is>
      </c>
      <c r="E760" t="inlineStr">
        <is>
          <t>LUDVIKA</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51160-2023</t>
        </is>
      </c>
      <c r="B761" s="1" t="n">
        <v>45219</v>
      </c>
      <c r="C761" s="1" t="n">
        <v>45802</v>
      </c>
      <c r="D761" t="inlineStr">
        <is>
          <t>DALARNAS LÄN</t>
        </is>
      </c>
      <c r="E761" t="inlineStr">
        <is>
          <t>LUDVIKA</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51200-2023</t>
        </is>
      </c>
      <c r="B762" s="1" t="n">
        <v>45219</v>
      </c>
      <c r="C762" s="1" t="n">
        <v>45802</v>
      </c>
      <c r="D762" t="inlineStr">
        <is>
          <t>DALARNAS LÄN</t>
        </is>
      </c>
      <c r="E762" t="inlineStr">
        <is>
          <t>LUDVIKA</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52038-2023</t>
        </is>
      </c>
      <c r="B763" s="1" t="n">
        <v>45223</v>
      </c>
      <c r="C763" s="1" t="n">
        <v>45802</v>
      </c>
      <c r="D763" t="inlineStr">
        <is>
          <t>DALARNAS LÄN</t>
        </is>
      </c>
      <c r="E763" t="inlineStr">
        <is>
          <t>LUDVIKA</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52230-2023</t>
        </is>
      </c>
      <c r="B764" s="1" t="n">
        <v>45224</v>
      </c>
      <c r="C764" s="1" t="n">
        <v>45802</v>
      </c>
      <c r="D764" t="inlineStr">
        <is>
          <t>DALARNAS LÄN</t>
        </is>
      </c>
      <c r="E764" t="inlineStr">
        <is>
          <t>LUDVIKA</t>
        </is>
      </c>
      <c r="G764" t="n">
        <v>3.5</v>
      </c>
      <c r="H764" t="n">
        <v>0</v>
      </c>
      <c r="I764" t="n">
        <v>0</v>
      </c>
      <c r="J764" t="n">
        <v>0</v>
      </c>
      <c r="K764" t="n">
        <v>0</v>
      </c>
      <c r="L764" t="n">
        <v>0</v>
      </c>
      <c r="M764" t="n">
        <v>0</v>
      </c>
      <c r="N764" t="n">
        <v>0</v>
      </c>
      <c r="O764" t="n">
        <v>0</v>
      </c>
      <c r="P764" t="n">
        <v>0</v>
      </c>
      <c r="Q764" t="n">
        <v>0</v>
      </c>
      <c r="R764" s="2" t="inlineStr"/>
    </row>
    <row r="765" ht="15" customHeight="1">
      <c r="A765" t="inlineStr">
        <is>
          <t>A 52440-2023</t>
        </is>
      </c>
      <c r="B765" s="1" t="n">
        <v>45225</v>
      </c>
      <c r="C765" s="1" t="n">
        <v>45802</v>
      </c>
      <c r="D765" t="inlineStr">
        <is>
          <t>DALARNAS LÄN</t>
        </is>
      </c>
      <c r="E765" t="inlineStr">
        <is>
          <t>LUDVIKA</t>
        </is>
      </c>
      <c r="F765" t="inlineStr">
        <is>
          <t>Bergvik skog väst AB</t>
        </is>
      </c>
      <c r="G765" t="n">
        <v>4.8</v>
      </c>
      <c r="H765" t="n">
        <v>0</v>
      </c>
      <c r="I765" t="n">
        <v>0</v>
      </c>
      <c r="J765" t="n">
        <v>0</v>
      </c>
      <c r="K765" t="n">
        <v>0</v>
      </c>
      <c r="L765" t="n">
        <v>0</v>
      </c>
      <c r="M765" t="n">
        <v>0</v>
      </c>
      <c r="N765" t="n">
        <v>0</v>
      </c>
      <c r="O765" t="n">
        <v>0</v>
      </c>
      <c r="P765" t="n">
        <v>0</v>
      </c>
      <c r="Q765" t="n">
        <v>0</v>
      </c>
      <c r="R765" s="2" t="inlineStr"/>
    </row>
    <row r="766" ht="15" customHeight="1">
      <c r="A766" t="inlineStr">
        <is>
          <t>A 52466-2023</t>
        </is>
      </c>
      <c r="B766" s="1" t="n">
        <v>45225</v>
      </c>
      <c r="C766" s="1" t="n">
        <v>45802</v>
      </c>
      <c r="D766" t="inlineStr">
        <is>
          <t>DALARNAS LÄN</t>
        </is>
      </c>
      <c r="E766" t="inlineStr">
        <is>
          <t>LUDVIKA</t>
        </is>
      </c>
      <c r="F766" t="inlineStr">
        <is>
          <t>Bergvik skog väst AB</t>
        </is>
      </c>
      <c r="G766" t="n">
        <v>3.6</v>
      </c>
      <c r="H766" t="n">
        <v>0</v>
      </c>
      <c r="I766" t="n">
        <v>0</v>
      </c>
      <c r="J766" t="n">
        <v>0</v>
      </c>
      <c r="K766" t="n">
        <v>0</v>
      </c>
      <c r="L766" t="n">
        <v>0</v>
      </c>
      <c r="M766" t="n">
        <v>0</v>
      </c>
      <c r="N766" t="n">
        <v>0</v>
      </c>
      <c r="O766" t="n">
        <v>0</v>
      </c>
      <c r="P766" t="n">
        <v>0</v>
      </c>
      <c r="Q766" t="n">
        <v>0</v>
      </c>
      <c r="R766" s="2" t="inlineStr"/>
    </row>
    <row r="767" ht="15" customHeight="1">
      <c r="A767" t="inlineStr">
        <is>
          <t>A 52461-2023</t>
        </is>
      </c>
      <c r="B767" s="1" t="n">
        <v>45225</v>
      </c>
      <c r="C767" s="1" t="n">
        <v>45802</v>
      </c>
      <c r="D767" t="inlineStr">
        <is>
          <t>DALARNAS LÄN</t>
        </is>
      </c>
      <c r="E767" t="inlineStr">
        <is>
          <t>LUDVIKA</t>
        </is>
      </c>
      <c r="F767" t="inlineStr">
        <is>
          <t>Bergvik skog väst AB</t>
        </is>
      </c>
      <c r="G767" t="n">
        <v>1.6</v>
      </c>
      <c r="H767" t="n">
        <v>0</v>
      </c>
      <c r="I767" t="n">
        <v>0</v>
      </c>
      <c r="J767" t="n">
        <v>0</v>
      </c>
      <c r="K767" t="n">
        <v>0</v>
      </c>
      <c r="L767" t="n">
        <v>0</v>
      </c>
      <c r="M767" t="n">
        <v>0</v>
      </c>
      <c r="N767" t="n">
        <v>0</v>
      </c>
      <c r="O767" t="n">
        <v>0</v>
      </c>
      <c r="P767" t="n">
        <v>0</v>
      </c>
      <c r="Q767" t="n">
        <v>0</v>
      </c>
      <c r="R767" s="2" t="inlineStr"/>
    </row>
    <row r="768" ht="15" customHeight="1">
      <c r="A768" t="inlineStr">
        <is>
          <t>A 52720-2023</t>
        </is>
      </c>
      <c r="B768" s="1" t="n">
        <v>45225</v>
      </c>
      <c r="C768" s="1" t="n">
        <v>45802</v>
      </c>
      <c r="D768" t="inlineStr">
        <is>
          <t>DALARNAS LÄN</t>
        </is>
      </c>
      <c r="E768" t="inlineStr">
        <is>
          <t>LUDVIKA</t>
        </is>
      </c>
      <c r="G768" t="n">
        <v>6.2</v>
      </c>
      <c r="H768" t="n">
        <v>0</v>
      </c>
      <c r="I768" t="n">
        <v>0</v>
      </c>
      <c r="J768" t="n">
        <v>0</v>
      </c>
      <c r="K768" t="n">
        <v>0</v>
      </c>
      <c r="L768" t="n">
        <v>0</v>
      </c>
      <c r="M768" t="n">
        <v>0</v>
      </c>
      <c r="N768" t="n">
        <v>0</v>
      </c>
      <c r="O768" t="n">
        <v>0</v>
      </c>
      <c r="P768" t="n">
        <v>0</v>
      </c>
      <c r="Q768" t="n">
        <v>0</v>
      </c>
      <c r="R768" s="2" t="inlineStr"/>
    </row>
    <row r="769" ht="15" customHeight="1">
      <c r="A769" t="inlineStr">
        <is>
          <t>A 52868-2023</t>
        </is>
      </c>
      <c r="B769" s="1" t="n">
        <v>45226</v>
      </c>
      <c r="C769" s="1" t="n">
        <v>45802</v>
      </c>
      <c r="D769" t="inlineStr">
        <is>
          <t>DALARNAS LÄN</t>
        </is>
      </c>
      <c r="E769" t="inlineStr">
        <is>
          <t>LUDVIKA</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52894-2023</t>
        </is>
      </c>
      <c r="B770" s="1" t="n">
        <v>45226</v>
      </c>
      <c r="C770" s="1" t="n">
        <v>45802</v>
      </c>
      <c r="D770" t="inlineStr">
        <is>
          <t>DALARNAS LÄN</t>
        </is>
      </c>
      <c r="E770" t="inlineStr">
        <is>
          <t>LUDVIKA</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52932-2023</t>
        </is>
      </c>
      <c r="B771" s="1" t="n">
        <v>45226</v>
      </c>
      <c r="C771" s="1" t="n">
        <v>45802</v>
      </c>
      <c r="D771" t="inlineStr">
        <is>
          <t>DALARNAS LÄN</t>
        </is>
      </c>
      <c r="E771" t="inlineStr">
        <is>
          <t>LUDVIKA</t>
        </is>
      </c>
      <c r="F771" t="inlineStr">
        <is>
          <t>Bergvik skog väst AB</t>
        </is>
      </c>
      <c r="G771" t="n">
        <v>4.5</v>
      </c>
      <c r="H771" t="n">
        <v>0</v>
      </c>
      <c r="I771" t="n">
        <v>0</v>
      </c>
      <c r="J771" t="n">
        <v>0</v>
      </c>
      <c r="K771" t="n">
        <v>0</v>
      </c>
      <c r="L771" t="n">
        <v>0</v>
      </c>
      <c r="M771" t="n">
        <v>0</v>
      </c>
      <c r="N771" t="n">
        <v>0</v>
      </c>
      <c r="O771" t="n">
        <v>0</v>
      </c>
      <c r="P771" t="n">
        <v>0</v>
      </c>
      <c r="Q771" t="n">
        <v>0</v>
      </c>
      <c r="R771" s="2" t="inlineStr"/>
    </row>
    <row r="772" ht="15" customHeight="1">
      <c r="A772" t="inlineStr">
        <is>
          <t>A 53632-2023</t>
        </is>
      </c>
      <c r="B772" s="1" t="n">
        <v>45230</v>
      </c>
      <c r="C772" s="1" t="n">
        <v>45802</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53622-2023</t>
        </is>
      </c>
      <c r="B773" s="1" t="n">
        <v>45230</v>
      </c>
      <c r="C773" s="1" t="n">
        <v>45802</v>
      </c>
      <c r="D773" t="inlineStr">
        <is>
          <t>DALARNAS LÄN</t>
        </is>
      </c>
      <c r="E773" t="inlineStr">
        <is>
          <t>LUDVIKA</t>
        </is>
      </c>
      <c r="G773" t="n">
        <v>2.3</v>
      </c>
      <c r="H773" t="n">
        <v>0</v>
      </c>
      <c r="I773" t="n">
        <v>0</v>
      </c>
      <c r="J773" t="n">
        <v>0</v>
      </c>
      <c r="K773" t="n">
        <v>0</v>
      </c>
      <c r="L773" t="n">
        <v>0</v>
      </c>
      <c r="M773" t="n">
        <v>0</v>
      </c>
      <c r="N773" t="n">
        <v>0</v>
      </c>
      <c r="O773" t="n">
        <v>0</v>
      </c>
      <c r="P773" t="n">
        <v>0</v>
      </c>
      <c r="Q773" t="n">
        <v>0</v>
      </c>
      <c r="R773" s="2" t="inlineStr"/>
    </row>
    <row r="774" ht="15" customHeight="1">
      <c r="A774" t="inlineStr">
        <is>
          <t>A 53602-2023</t>
        </is>
      </c>
      <c r="B774" s="1" t="n">
        <v>45230</v>
      </c>
      <c r="C774" s="1" t="n">
        <v>45802</v>
      </c>
      <c r="D774" t="inlineStr">
        <is>
          <t>DALARNAS LÄN</t>
        </is>
      </c>
      <c r="E774" t="inlineStr">
        <is>
          <t>LUDVIKA</t>
        </is>
      </c>
      <c r="F774" t="inlineStr">
        <is>
          <t>Bergvik skog väst AB</t>
        </is>
      </c>
      <c r="G774" t="n">
        <v>4.9</v>
      </c>
      <c r="H774" t="n">
        <v>0</v>
      </c>
      <c r="I774" t="n">
        <v>0</v>
      </c>
      <c r="J774" t="n">
        <v>0</v>
      </c>
      <c r="K774" t="n">
        <v>0</v>
      </c>
      <c r="L774" t="n">
        <v>0</v>
      </c>
      <c r="M774" t="n">
        <v>0</v>
      </c>
      <c r="N774" t="n">
        <v>0</v>
      </c>
      <c r="O774" t="n">
        <v>0</v>
      </c>
      <c r="P774" t="n">
        <v>0</v>
      </c>
      <c r="Q774" t="n">
        <v>0</v>
      </c>
      <c r="R774" s="2" t="inlineStr"/>
    </row>
    <row r="775" ht="15" customHeight="1">
      <c r="A775" t="inlineStr">
        <is>
          <t>A 53633-2023</t>
        </is>
      </c>
      <c r="B775" s="1" t="n">
        <v>45230</v>
      </c>
      <c r="C775" s="1" t="n">
        <v>45802</v>
      </c>
      <c r="D775" t="inlineStr">
        <is>
          <t>DALARNAS LÄN</t>
        </is>
      </c>
      <c r="E775" t="inlineStr">
        <is>
          <t>LUDVIKA</t>
        </is>
      </c>
      <c r="F775" t="inlineStr">
        <is>
          <t>Bergvik skog väst AB</t>
        </is>
      </c>
      <c r="G775" t="n">
        <v>3.2</v>
      </c>
      <c r="H775" t="n">
        <v>0</v>
      </c>
      <c r="I775" t="n">
        <v>0</v>
      </c>
      <c r="J775" t="n">
        <v>0</v>
      </c>
      <c r="K775" t="n">
        <v>0</v>
      </c>
      <c r="L775" t="n">
        <v>0</v>
      </c>
      <c r="M775" t="n">
        <v>0</v>
      </c>
      <c r="N775" t="n">
        <v>0</v>
      </c>
      <c r="O775" t="n">
        <v>0</v>
      </c>
      <c r="P775" t="n">
        <v>0</v>
      </c>
      <c r="Q775" t="n">
        <v>0</v>
      </c>
      <c r="R775" s="2" t="inlineStr"/>
    </row>
    <row r="776" ht="15" customHeight="1">
      <c r="A776" t="inlineStr">
        <is>
          <t>A 53570-2023</t>
        </is>
      </c>
      <c r="B776" s="1" t="n">
        <v>45230</v>
      </c>
      <c r="C776" s="1" t="n">
        <v>45802</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54744-2023</t>
        </is>
      </c>
      <c r="B777" s="1" t="n">
        <v>45236</v>
      </c>
      <c r="C777" s="1" t="n">
        <v>45802</v>
      </c>
      <c r="D777" t="inlineStr">
        <is>
          <t>DALARNAS LÄN</t>
        </is>
      </c>
      <c r="E777" t="inlineStr">
        <is>
          <t>LUDVIKA</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54886-2023</t>
        </is>
      </c>
      <c r="B778" s="1" t="n">
        <v>45236</v>
      </c>
      <c r="C778" s="1" t="n">
        <v>45802</v>
      </c>
      <c r="D778" t="inlineStr">
        <is>
          <t>DALARNAS LÄN</t>
        </is>
      </c>
      <c r="E778" t="inlineStr">
        <is>
          <t>LUDVIKA</t>
        </is>
      </c>
      <c r="F778" t="inlineStr">
        <is>
          <t>Bergvik skog väst AB</t>
        </is>
      </c>
      <c r="G778" t="n">
        <v>4.6</v>
      </c>
      <c r="H778" t="n">
        <v>0</v>
      </c>
      <c r="I778" t="n">
        <v>0</v>
      </c>
      <c r="J778" t="n">
        <v>0</v>
      </c>
      <c r="K778" t="n">
        <v>0</v>
      </c>
      <c r="L778" t="n">
        <v>0</v>
      </c>
      <c r="M778" t="n">
        <v>0</v>
      </c>
      <c r="N778" t="n">
        <v>0</v>
      </c>
      <c r="O778" t="n">
        <v>0</v>
      </c>
      <c r="P778" t="n">
        <v>0</v>
      </c>
      <c r="Q778" t="n">
        <v>0</v>
      </c>
      <c r="R778" s="2" t="inlineStr"/>
    </row>
    <row r="779" ht="15" customHeight="1">
      <c r="A779" t="inlineStr">
        <is>
          <t>A 55213-2023</t>
        </is>
      </c>
      <c r="B779" s="1" t="n">
        <v>45237</v>
      </c>
      <c r="C779" s="1" t="n">
        <v>45802</v>
      </c>
      <c r="D779" t="inlineStr">
        <is>
          <t>DALARNAS LÄN</t>
        </is>
      </c>
      <c r="E779" t="inlineStr">
        <is>
          <t>LUDVIKA</t>
        </is>
      </c>
      <c r="G779" t="n">
        <v>5.1</v>
      </c>
      <c r="H779" t="n">
        <v>0</v>
      </c>
      <c r="I779" t="n">
        <v>0</v>
      </c>
      <c r="J779" t="n">
        <v>0</v>
      </c>
      <c r="K779" t="n">
        <v>0</v>
      </c>
      <c r="L779" t="n">
        <v>0</v>
      </c>
      <c r="M779" t="n">
        <v>0</v>
      </c>
      <c r="N779" t="n">
        <v>0</v>
      </c>
      <c r="O779" t="n">
        <v>0</v>
      </c>
      <c r="P779" t="n">
        <v>0</v>
      </c>
      <c r="Q779" t="n">
        <v>0</v>
      </c>
      <c r="R779" s="2" t="inlineStr"/>
    </row>
    <row r="780" ht="15" customHeight="1">
      <c r="A780" t="inlineStr">
        <is>
          <t>A 55760-2023</t>
        </is>
      </c>
      <c r="B780" s="1" t="n">
        <v>45239</v>
      </c>
      <c r="C780" s="1" t="n">
        <v>45802</v>
      </c>
      <c r="D780" t="inlineStr">
        <is>
          <t>DALARNAS LÄN</t>
        </is>
      </c>
      <c r="E780" t="inlineStr">
        <is>
          <t>LUDVIKA</t>
        </is>
      </c>
      <c r="F780" t="inlineStr">
        <is>
          <t>Bergvik skog väst AB</t>
        </is>
      </c>
      <c r="G780" t="n">
        <v>9.1</v>
      </c>
      <c r="H780" t="n">
        <v>0</v>
      </c>
      <c r="I780" t="n">
        <v>0</v>
      </c>
      <c r="J780" t="n">
        <v>0</v>
      </c>
      <c r="K780" t="n">
        <v>0</v>
      </c>
      <c r="L780" t="n">
        <v>0</v>
      </c>
      <c r="M780" t="n">
        <v>0</v>
      </c>
      <c r="N780" t="n">
        <v>0</v>
      </c>
      <c r="O780" t="n">
        <v>0</v>
      </c>
      <c r="P780" t="n">
        <v>0</v>
      </c>
      <c r="Q780" t="n">
        <v>0</v>
      </c>
      <c r="R780" s="2" t="inlineStr"/>
    </row>
    <row r="781" ht="15" customHeight="1">
      <c r="A781" t="inlineStr">
        <is>
          <t>A 56604-2023</t>
        </is>
      </c>
      <c r="B781" s="1" t="n">
        <v>45243</v>
      </c>
      <c r="C781" s="1" t="n">
        <v>45802</v>
      </c>
      <c r="D781" t="inlineStr">
        <is>
          <t>DALARNAS LÄN</t>
        </is>
      </c>
      <c r="E781" t="inlineStr">
        <is>
          <t>LUDVIKA</t>
        </is>
      </c>
      <c r="G781" t="n">
        <v>2.5</v>
      </c>
      <c r="H781" t="n">
        <v>0</v>
      </c>
      <c r="I781" t="n">
        <v>0</v>
      </c>
      <c r="J781" t="n">
        <v>0</v>
      </c>
      <c r="K781" t="n">
        <v>0</v>
      </c>
      <c r="L781" t="n">
        <v>0</v>
      </c>
      <c r="M781" t="n">
        <v>0</v>
      </c>
      <c r="N781" t="n">
        <v>0</v>
      </c>
      <c r="O781" t="n">
        <v>0</v>
      </c>
      <c r="P781" t="n">
        <v>0</v>
      </c>
      <c r="Q781" t="n">
        <v>0</v>
      </c>
      <c r="R781" s="2" t="inlineStr"/>
    </row>
    <row r="782" ht="15" customHeight="1">
      <c r="A782" t="inlineStr">
        <is>
          <t>A 56672-2023</t>
        </is>
      </c>
      <c r="B782" s="1" t="n">
        <v>45243</v>
      </c>
      <c r="C782" s="1" t="n">
        <v>45802</v>
      </c>
      <c r="D782" t="inlineStr">
        <is>
          <t>DALARNAS LÄN</t>
        </is>
      </c>
      <c r="E782" t="inlineStr">
        <is>
          <t>LUDVIKA</t>
        </is>
      </c>
      <c r="G782" t="n">
        <v>2.9</v>
      </c>
      <c r="H782" t="n">
        <v>0</v>
      </c>
      <c r="I782" t="n">
        <v>0</v>
      </c>
      <c r="J782" t="n">
        <v>0</v>
      </c>
      <c r="K782" t="n">
        <v>0</v>
      </c>
      <c r="L782" t="n">
        <v>0</v>
      </c>
      <c r="M782" t="n">
        <v>0</v>
      </c>
      <c r="N782" t="n">
        <v>0</v>
      </c>
      <c r="O782" t="n">
        <v>0</v>
      </c>
      <c r="P782" t="n">
        <v>0</v>
      </c>
      <c r="Q782" t="n">
        <v>0</v>
      </c>
      <c r="R782" s="2" t="inlineStr"/>
    </row>
    <row r="783" ht="15" customHeight="1">
      <c r="A783" t="inlineStr">
        <is>
          <t>A 56621-2023</t>
        </is>
      </c>
      <c r="B783" s="1" t="n">
        <v>45243</v>
      </c>
      <c r="C783" s="1" t="n">
        <v>45802</v>
      </c>
      <c r="D783" t="inlineStr">
        <is>
          <t>DALARNAS LÄN</t>
        </is>
      </c>
      <c r="E783" t="inlineStr">
        <is>
          <t>LUDVIKA</t>
        </is>
      </c>
      <c r="G783" t="n">
        <v>0.5</v>
      </c>
      <c r="H783" t="n">
        <v>0</v>
      </c>
      <c r="I783" t="n">
        <v>0</v>
      </c>
      <c r="J783" t="n">
        <v>0</v>
      </c>
      <c r="K783" t="n">
        <v>0</v>
      </c>
      <c r="L783" t="n">
        <v>0</v>
      </c>
      <c r="M783" t="n">
        <v>0</v>
      </c>
      <c r="N783" t="n">
        <v>0</v>
      </c>
      <c r="O783" t="n">
        <v>0</v>
      </c>
      <c r="P783" t="n">
        <v>0</v>
      </c>
      <c r="Q783" t="n">
        <v>0</v>
      </c>
      <c r="R783" s="2" t="inlineStr"/>
    </row>
    <row r="784" ht="15" customHeight="1">
      <c r="A784" t="inlineStr">
        <is>
          <t>A 56818-2023</t>
        </is>
      </c>
      <c r="B784" s="1" t="n">
        <v>45244</v>
      </c>
      <c r="C784" s="1" t="n">
        <v>45802</v>
      </c>
      <c r="D784" t="inlineStr">
        <is>
          <t>DALARNAS LÄN</t>
        </is>
      </c>
      <c r="E784" t="inlineStr">
        <is>
          <t>LUDVIKA</t>
        </is>
      </c>
      <c r="G784" t="n">
        <v>1.4</v>
      </c>
      <c r="H784" t="n">
        <v>0</v>
      </c>
      <c r="I784" t="n">
        <v>0</v>
      </c>
      <c r="J784" t="n">
        <v>0</v>
      </c>
      <c r="K784" t="n">
        <v>0</v>
      </c>
      <c r="L784" t="n">
        <v>0</v>
      </c>
      <c r="M784" t="n">
        <v>0</v>
      </c>
      <c r="N784" t="n">
        <v>0</v>
      </c>
      <c r="O784" t="n">
        <v>0</v>
      </c>
      <c r="P784" t="n">
        <v>0</v>
      </c>
      <c r="Q784" t="n">
        <v>0</v>
      </c>
      <c r="R784" s="2" t="inlineStr"/>
    </row>
    <row r="785" ht="15" customHeight="1">
      <c r="A785" t="inlineStr">
        <is>
          <t>A 57557-2023</t>
        </is>
      </c>
      <c r="B785" s="1" t="n">
        <v>45246</v>
      </c>
      <c r="C785" s="1" t="n">
        <v>45802</v>
      </c>
      <c r="D785" t="inlineStr">
        <is>
          <t>DALARNAS LÄN</t>
        </is>
      </c>
      <c r="E785" t="inlineStr">
        <is>
          <t>LUDVIKA</t>
        </is>
      </c>
      <c r="G785" t="n">
        <v>12.7</v>
      </c>
      <c r="H785" t="n">
        <v>0</v>
      </c>
      <c r="I785" t="n">
        <v>0</v>
      </c>
      <c r="J785" t="n">
        <v>0</v>
      </c>
      <c r="K785" t="n">
        <v>0</v>
      </c>
      <c r="L785" t="n">
        <v>0</v>
      </c>
      <c r="M785" t="n">
        <v>0</v>
      </c>
      <c r="N785" t="n">
        <v>0</v>
      </c>
      <c r="O785" t="n">
        <v>0</v>
      </c>
      <c r="P785" t="n">
        <v>0</v>
      </c>
      <c r="Q785" t="n">
        <v>0</v>
      </c>
      <c r="R785" s="2" t="inlineStr"/>
    </row>
    <row r="786" ht="15" customHeight="1">
      <c r="A786" t="inlineStr">
        <is>
          <t>A 57424-2023</t>
        </is>
      </c>
      <c r="B786" s="1" t="n">
        <v>45246</v>
      </c>
      <c r="C786" s="1" t="n">
        <v>45802</v>
      </c>
      <c r="D786" t="inlineStr">
        <is>
          <t>DALARNAS LÄN</t>
        </is>
      </c>
      <c r="E786" t="inlineStr">
        <is>
          <t>LUDVIKA</t>
        </is>
      </c>
      <c r="G786" t="n">
        <v>4.5</v>
      </c>
      <c r="H786" t="n">
        <v>0</v>
      </c>
      <c r="I786" t="n">
        <v>0</v>
      </c>
      <c r="J786" t="n">
        <v>0</v>
      </c>
      <c r="K786" t="n">
        <v>0</v>
      </c>
      <c r="L786" t="n">
        <v>0</v>
      </c>
      <c r="M786" t="n">
        <v>0</v>
      </c>
      <c r="N786" t="n">
        <v>0</v>
      </c>
      <c r="O786" t="n">
        <v>0</v>
      </c>
      <c r="P786" t="n">
        <v>0</v>
      </c>
      <c r="Q786" t="n">
        <v>0</v>
      </c>
      <c r="R786" s="2" t="inlineStr"/>
    </row>
    <row r="787" ht="15" customHeight="1">
      <c r="A787" t="inlineStr">
        <is>
          <t>A 57803-2023</t>
        </is>
      </c>
      <c r="B787" s="1" t="n">
        <v>45246</v>
      </c>
      <c r="C787" s="1" t="n">
        <v>45802</v>
      </c>
      <c r="D787" t="inlineStr">
        <is>
          <t>DALARNAS LÄN</t>
        </is>
      </c>
      <c r="E787" t="inlineStr">
        <is>
          <t>LUDVIKA</t>
        </is>
      </c>
      <c r="G787" t="n">
        <v>3.3</v>
      </c>
      <c r="H787" t="n">
        <v>0</v>
      </c>
      <c r="I787" t="n">
        <v>0</v>
      </c>
      <c r="J787" t="n">
        <v>0</v>
      </c>
      <c r="K787" t="n">
        <v>0</v>
      </c>
      <c r="L787" t="n">
        <v>0</v>
      </c>
      <c r="M787" t="n">
        <v>0</v>
      </c>
      <c r="N787" t="n">
        <v>0</v>
      </c>
      <c r="O787" t="n">
        <v>0</v>
      </c>
      <c r="P787" t="n">
        <v>0</v>
      </c>
      <c r="Q787" t="n">
        <v>0</v>
      </c>
      <c r="R787" s="2" t="inlineStr"/>
    </row>
    <row r="788" ht="15" customHeight="1">
      <c r="A788" t="inlineStr">
        <is>
          <t>A 57858-2023</t>
        </is>
      </c>
      <c r="B788" s="1" t="n">
        <v>45247</v>
      </c>
      <c r="C788" s="1" t="n">
        <v>45802</v>
      </c>
      <c r="D788" t="inlineStr">
        <is>
          <t>DALARNAS LÄN</t>
        </is>
      </c>
      <c r="E788" t="inlineStr">
        <is>
          <t>LUDVIKA</t>
        </is>
      </c>
      <c r="F788" t="inlineStr">
        <is>
          <t>Bergvik skog väst AB</t>
        </is>
      </c>
      <c r="G788" t="n">
        <v>14.2</v>
      </c>
      <c r="H788" t="n">
        <v>0</v>
      </c>
      <c r="I788" t="n">
        <v>0</v>
      </c>
      <c r="J788" t="n">
        <v>0</v>
      </c>
      <c r="K788" t="n">
        <v>0</v>
      </c>
      <c r="L788" t="n">
        <v>0</v>
      </c>
      <c r="M788" t="n">
        <v>0</v>
      </c>
      <c r="N788" t="n">
        <v>0</v>
      </c>
      <c r="O788" t="n">
        <v>0</v>
      </c>
      <c r="P788" t="n">
        <v>0</v>
      </c>
      <c r="Q788" t="n">
        <v>0</v>
      </c>
      <c r="R788" s="2" t="inlineStr"/>
    </row>
    <row r="789" ht="15" customHeight="1">
      <c r="A789" t="inlineStr">
        <is>
          <t>A 57922-2023</t>
        </is>
      </c>
      <c r="B789" s="1" t="n">
        <v>45247</v>
      </c>
      <c r="C789" s="1" t="n">
        <v>45802</v>
      </c>
      <c r="D789" t="inlineStr">
        <is>
          <t>DALARNAS LÄN</t>
        </is>
      </c>
      <c r="E789" t="inlineStr">
        <is>
          <t>LUDVIKA</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57982-2023</t>
        </is>
      </c>
      <c r="B790" s="1" t="n">
        <v>45247</v>
      </c>
      <c r="C790" s="1" t="n">
        <v>45802</v>
      </c>
      <c r="D790" t="inlineStr">
        <is>
          <t>DALARNAS LÄN</t>
        </is>
      </c>
      <c r="E790" t="inlineStr">
        <is>
          <t>LUDVIKA</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58112-2023</t>
        </is>
      </c>
      <c r="B791" s="1" t="n">
        <v>45249</v>
      </c>
      <c r="C791" s="1" t="n">
        <v>45802</v>
      </c>
      <c r="D791" t="inlineStr">
        <is>
          <t>DALARNAS LÄN</t>
        </is>
      </c>
      <c r="E791" t="inlineStr">
        <is>
          <t>LUDVIKA</t>
        </is>
      </c>
      <c r="G791" t="n">
        <v>4.7</v>
      </c>
      <c r="H791" t="n">
        <v>0</v>
      </c>
      <c r="I791" t="n">
        <v>0</v>
      </c>
      <c r="J791" t="n">
        <v>0</v>
      </c>
      <c r="K791" t="n">
        <v>0</v>
      </c>
      <c r="L791" t="n">
        <v>0</v>
      </c>
      <c r="M791" t="n">
        <v>0</v>
      </c>
      <c r="N791" t="n">
        <v>0</v>
      </c>
      <c r="O791" t="n">
        <v>0</v>
      </c>
      <c r="P791" t="n">
        <v>0</v>
      </c>
      <c r="Q791" t="n">
        <v>0</v>
      </c>
      <c r="R791" s="2" t="inlineStr"/>
    </row>
    <row r="792" ht="15" customHeight="1">
      <c r="A792" t="inlineStr">
        <is>
          <t>A 59201-2023</t>
        </is>
      </c>
      <c r="B792" s="1" t="n">
        <v>45253</v>
      </c>
      <c r="C792" s="1" t="n">
        <v>45802</v>
      </c>
      <c r="D792" t="inlineStr">
        <is>
          <t>DALARNAS LÄN</t>
        </is>
      </c>
      <c r="E792" t="inlineStr">
        <is>
          <t>LUDVIKA</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59206-2023</t>
        </is>
      </c>
      <c r="B793" s="1" t="n">
        <v>45253</v>
      </c>
      <c r="C793" s="1" t="n">
        <v>45802</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59219-2023</t>
        </is>
      </c>
      <c r="B794" s="1" t="n">
        <v>45253</v>
      </c>
      <c r="C794" s="1" t="n">
        <v>45802</v>
      </c>
      <c r="D794" t="inlineStr">
        <is>
          <t>DALARNAS LÄN</t>
        </is>
      </c>
      <c r="E794" t="inlineStr">
        <is>
          <t>LUDVIKA</t>
        </is>
      </c>
      <c r="F794" t="inlineStr">
        <is>
          <t>Bergvik skog väst AB</t>
        </is>
      </c>
      <c r="G794" t="n">
        <v>3.2</v>
      </c>
      <c r="H794" t="n">
        <v>0</v>
      </c>
      <c r="I794" t="n">
        <v>0</v>
      </c>
      <c r="J794" t="n">
        <v>0</v>
      </c>
      <c r="K794" t="n">
        <v>0</v>
      </c>
      <c r="L794" t="n">
        <v>0</v>
      </c>
      <c r="M794" t="n">
        <v>0</v>
      </c>
      <c r="N794" t="n">
        <v>0</v>
      </c>
      <c r="O794" t="n">
        <v>0</v>
      </c>
      <c r="P794" t="n">
        <v>0</v>
      </c>
      <c r="Q794" t="n">
        <v>0</v>
      </c>
      <c r="R794" s="2" t="inlineStr"/>
    </row>
    <row r="795" ht="15" customHeight="1">
      <c r="A795" t="inlineStr">
        <is>
          <t>A 59285-2023</t>
        </is>
      </c>
      <c r="B795" s="1" t="n">
        <v>45253</v>
      </c>
      <c r="C795" s="1" t="n">
        <v>45802</v>
      </c>
      <c r="D795" t="inlineStr">
        <is>
          <t>DALARNAS LÄN</t>
        </is>
      </c>
      <c r="E795" t="inlineStr">
        <is>
          <t>LUDVIKA</t>
        </is>
      </c>
      <c r="F795" t="inlineStr">
        <is>
          <t>Bergvik skog väst AB</t>
        </is>
      </c>
      <c r="G795" t="n">
        <v>2.8</v>
      </c>
      <c r="H795" t="n">
        <v>0</v>
      </c>
      <c r="I795" t="n">
        <v>0</v>
      </c>
      <c r="J795" t="n">
        <v>0</v>
      </c>
      <c r="K795" t="n">
        <v>0</v>
      </c>
      <c r="L795" t="n">
        <v>0</v>
      </c>
      <c r="M795" t="n">
        <v>0</v>
      </c>
      <c r="N795" t="n">
        <v>0</v>
      </c>
      <c r="O795" t="n">
        <v>0</v>
      </c>
      <c r="P795" t="n">
        <v>0</v>
      </c>
      <c r="Q795" t="n">
        <v>0</v>
      </c>
      <c r="R795" s="2" t="inlineStr"/>
    </row>
    <row r="796" ht="15" customHeight="1">
      <c r="A796" t="inlineStr">
        <is>
          <t>A 59351-2023</t>
        </is>
      </c>
      <c r="B796" s="1" t="n">
        <v>45253</v>
      </c>
      <c r="C796" s="1" t="n">
        <v>45802</v>
      </c>
      <c r="D796" t="inlineStr">
        <is>
          <t>DALARNAS LÄN</t>
        </is>
      </c>
      <c r="E796" t="inlineStr">
        <is>
          <t>LUDVIKA</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59437-2023</t>
        </is>
      </c>
      <c r="B797" s="1" t="n">
        <v>45254</v>
      </c>
      <c r="C797" s="1" t="n">
        <v>45802</v>
      </c>
      <c r="D797" t="inlineStr">
        <is>
          <t>DALARNAS LÄN</t>
        </is>
      </c>
      <c r="E797" t="inlineStr">
        <is>
          <t>LUDVIKA</t>
        </is>
      </c>
      <c r="F797" t="inlineStr">
        <is>
          <t>Bergvik skog väst AB</t>
        </is>
      </c>
      <c r="G797" t="n">
        <v>0.8</v>
      </c>
      <c r="H797" t="n">
        <v>0</v>
      </c>
      <c r="I797" t="n">
        <v>0</v>
      </c>
      <c r="J797" t="n">
        <v>0</v>
      </c>
      <c r="K797" t="n">
        <v>0</v>
      </c>
      <c r="L797" t="n">
        <v>0</v>
      </c>
      <c r="M797" t="n">
        <v>0</v>
      </c>
      <c r="N797" t="n">
        <v>0</v>
      </c>
      <c r="O797" t="n">
        <v>0</v>
      </c>
      <c r="P797" t="n">
        <v>0</v>
      </c>
      <c r="Q797" t="n">
        <v>0</v>
      </c>
      <c r="R797" s="2" t="inlineStr"/>
    </row>
    <row r="798" ht="15" customHeight="1">
      <c r="A798" t="inlineStr">
        <is>
          <t>A 59646-2023</t>
        </is>
      </c>
      <c r="B798" s="1" t="n">
        <v>45254</v>
      </c>
      <c r="C798" s="1" t="n">
        <v>45802</v>
      </c>
      <c r="D798" t="inlineStr">
        <is>
          <t>DALARNAS LÄN</t>
        </is>
      </c>
      <c r="E798" t="inlineStr">
        <is>
          <t>LUDVIKA</t>
        </is>
      </c>
      <c r="G798" t="n">
        <v>7.6</v>
      </c>
      <c r="H798" t="n">
        <v>0</v>
      </c>
      <c r="I798" t="n">
        <v>0</v>
      </c>
      <c r="J798" t="n">
        <v>0</v>
      </c>
      <c r="K798" t="n">
        <v>0</v>
      </c>
      <c r="L798" t="n">
        <v>0</v>
      </c>
      <c r="M798" t="n">
        <v>0</v>
      </c>
      <c r="N798" t="n">
        <v>0</v>
      </c>
      <c r="O798" t="n">
        <v>0</v>
      </c>
      <c r="P798" t="n">
        <v>0</v>
      </c>
      <c r="Q798" t="n">
        <v>0</v>
      </c>
      <c r="R798" s="2" t="inlineStr"/>
    </row>
    <row r="799" ht="15" customHeight="1">
      <c r="A799" t="inlineStr">
        <is>
          <t>A 60180-2023</t>
        </is>
      </c>
      <c r="B799" s="1" t="n">
        <v>45257</v>
      </c>
      <c r="C799" s="1" t="n">
        <v>45802</v>
      </c>
      <c r="D799" t="inlineStr">
        <is>
          <t>DALARNAS LÄN</t>
        </is>
      </c>
      <c r="E799" t="inlineStr">
        <is>
          <t>LUDVIKA</t>
        </is>
      </c>
      <c r="G799" t="n">
        <v>2.4</v>
      </c>
      <c r="H799" t="n">
        <v>0</v>
      </c>
      <c r="I799" t="n">
        <v>0</v>
      </c>
      <c r="J799" t="n">
        <v>0</v>
      </c>
      <c r="K799" t="n">
        <v>0</v>
      </c>
      <c r="L799" t="n">
        <v>0</v>
      </c>
      <c r="M799" t="n">
        <v>0</v>
      </c>
      <c r="N799" t="n">
        <v>0</v>
      </c>
      <c r="O799" t="n">
        <v>0</v>
      </c>
      <c r="P799" t="n">
        <v>0</v>
      </c>
      <c r="Q799" t="n">
        <v>0</v>
      </c>
      <c r="R799" s="2" t="inlineStr"/>
    </row>
    <row r="800" ht="15" customHeight="1">
      <c r="A800" t="inlineStr">
        <is>
          <t>A 60183-2023</t>
        </is>
      </c>
      <c r="B800" s="1" t="n">
        <v>45257</v>
      </c>
      <c r="C800" s="1" t="n">
        <v>45802</v>
      </c>
      <c r="D800" t="inlineStr">
        <is>
          <t>DALARNAS LÄN</t>
        </is>
      </c>
      <c r="E800" t="inlineStr">
        <is>
          <t>LUDVIKA</t>
        </is>
      </c>
      <c r="G800" t="n">
        <v>3.9</v>
      </c>
      <c r="H800" t="n">
        <v>0</v>
      </c>
      <c r="I800" t="n">
        <v>0</v>
      </c>
      <c r="J800" t="n">
        <v>0</v>
      </c>
      <c r="K800" t="n">
        <v>0</v>
      </c>
      <c r="L800" t="n">
        <v>0</v>
      </c>
      <c r="M800" t="n">
        <v>0</v>
      </c>
      <c r="N800" t="n">
        <v>0</v>
      </c>
      <c r="O800" t="n">
        <v>0</v>
      </c>
      <c r="P800" t="n">
        <v>0</v>
      </c>
      <c r="Q800" t="n">
        <v>0</v>
      </c>
      <c r="R800" s="2" t="inlineStr"/>
    </row>
    <row r="801" ht="15" customHeight="1">
      <c r="A801" t="inlineStr">
        <is>
          <t>A 59918-2023</t>
        </is>
      </c>
      <c r="B801" s="1" t="n">
        <v>45257</v>
      </c>
      <c r="C801" s="1" t="n">
        <v>45802</v>
      </c>
      <c r="D801" t="inlineStr">
        <is>
          <t>DALARNAS LÄN</t>
        </is>
      </c>
      <c r="E801" t="inlineStr">
        <is>
          <t>LUDVIKA</t>
        </is>
      </c>
      <c r="F801" t="inlineStr">
        <is>
          <t>Bergvik skog väst AB</t>
        </is>
      </c>
      <c r="G801" t="n">
        <v>5.9</v>
      </c>
      <c r="H801" t="n">
        <v>0</v>
      </c>
      <c r="I801" t="n">
        <v>0</v>
      </c>
      <c r="J801" t="n">
        <v>0</v>
      </c>
      <c r="K801" t="n">
        <v>0</v>
      </c>
      <c r="L801" t="n">
        <v>0</v>
      </c>
      <c r="M801" t="n">
        <v>0</v>
      </c>
      <c r="N801" t="n">
        <v>0</v>
      </c>
      <c r="O801" t="n">
        <v>0</v>
      </c>
      <c r="P801" t="n">
        <v>0</v>
      </c>
      <c r="Q801" t="n">
        <v>0</v>
      </c>
      <c r="R801" s="2" t="inlineStr"/>
    </row>
    <row r="802" ht="15" customHeight="1">
      <c r="A802" t="inlineStr">
        <is>
          <t>A 60138-2023</t>
        </is>
      </c>
      <c r="B802" s="1" t="n">
        <v>45258</v>
      </c>
      <c r="C802" s="1" t="n">
        <v>45802</v>
      </c>
      <c r="D802" t="inlineStr">
        <is>
          <t>DALARNAS LÄN</t>
        </is>
      </c>
      <c r="E802" t="inlineStr">
        <is>
          <t>LUDVIKA</t>
        </is>
      </c>
      <c r="G802" t="n">
        <v>1.3</v>
      </c>
      <c r="H802" t="n">
        <v>0</v>
      </c>
      <c r="I802" t="n">
        <v>0</v>
      </c>
      <c r="J802" t="n">
        <v>0</v>
      </c>
      <c r="K802" t="n">
        <v>0</v>
      </c>
      <c r="L802" t="n">
        <v>0</v>
      </c>
      <c r="M802" t="n">
        <v>0</v>
      </c>
      <c r="N802" t="n">
        <v>0</v>
      </c>
      <c r="O802" t="n">
        <v>0</v>
      </c>
      <c r="P802" t="n">
        <v>0</v>
      </c>
      <c r="Q802" t="n">
        <v>0</v>
      </c>
      <c r="R802" s="2" t="inlineStr"/>
    </row>
    <row r="803" ht="15" customHeight="1">
      <c r="A803" t="inlineStr">
        <is>
          <t>A 60636-2023</t>
        </is>
      </c>
      <c r="B803" s="1" t="n">
        <v>45260</v>
      </c>
      <c r="C803" s="1" t="n">
        <v>45802</v>
      </c>
      <c r="D803" t="inlineStr">
        <is>
          <t>DALARNAS LÄN</t>
        </is>
      </c>
      <c r="E803" t="inlineStr">
        <is>
          <t>LUDVIKA</t>
        </is>
      </c>
      <c r="G803" t="n">
        <v>0.8</v>
      </c>
      <c r="H803" t="n">
        <v>0</v>
      </c>
      <c r="I803" t="n">
        <v>0</v>
      </c>
      <c r="J803" t="n">
        <v>0</v>
      </c>
      <c r="K803" t="n">
        <v>0</v>
      </c>
      <c r="L803" t="n">
        <v>0</v>
      </c>
      <c r="M803" t="n">
        <v>0</v>
      </c>
      <c r="N803" t="n">
        <v>0</v>
      </c>
      <c r="O803" t="n">
        <v>0</v>
      </c>
      <c r="P803" t="n">
        <v>0</v>
      </c>
      <c r="Q803" t="n">
        <v>0</v>
      </c>
      <c r="R803" s="2" t="inlineStr"/>
    </row>
    <row r="804" ht="15" customHeight="1">
      <c r="A804" t="inlineStr">
        <is>
          <t>A 61507-2023</t>
        </is>
      </c>
      <c r="B804" s="1" t="n">
        <v>45265</v>
      </c>
      <c r="C804" s="1" t="n">
        <v>45802</v>
      </c>
      <c r="D804" t="inlineStr">
        <is>
          <t>DALARNAS LÄN</t>
        </is>
      </c>
      <c r="E804" t="inlineStr">
        <is>
          <t>LUDVIKA</t>
        </is>
      </c>
      <c r="G804" t="n">
        <v>3</v>
      </c>
      <c r="H804" t="n">
        <v>0</v>
      </c>
      <c r="I804" t="n">
        <v>0</v>
      </c>
      <c r="J804" t="n">
        <v>0</v>
      </c>
      <c r="K804" t="n">
        <v>0</v>
      </c>
      <c r="L804" t="n">
        <v>0</v>
      </c>
      <c r="M804" t="n">
        <v>0</v>
      </c>
      <c r="N804" t="n">
        <v>0</v>
      </c>
      <c r="O804" t="n">
        <v>0</v>
      </c>
      <c r="P804" t="n">
        <v>0</v>
      </c>
      <c r="Q804" t="n">
        <v>0</v>
      </c>
      <c r="R804" s="2" t="inlineStr"/>
    </row>
    <row r="805" ht="15" customHeight="1">
      <c r="A805" t="inlineStr">
        <is>
          <t>A 63131-2023</t>
        </is>
      </c>
      <c r="B805" s="1" t="n">
        <v>45273</v>
      </c>
      <c r="C805" s="1" t="n">
        <v>45802</v>
      </c>
      <c r="D805" t="inlineStr">
        <is>
          <t>DALARNAS LÄN</t>
        </is>
      </c>
      <c r="E805" t="inlineStr">
        <is>
          <t>LUDVIKA</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64171-2023</t>
        </is>
      </c>
      <c r="B806" s="1" t="n">
        <v>45279</v>
      </c>
      <c r="C806" s="1" t="n">
        <v>45802</v>
      </c>
      <c r="D806" t="inlineStr">
        <is>
          <t>DALARNAS LÄN</t>
        </is>
      </c>
      <c r="E806" t="inlineStr">
        <is>
          <t>LUDVIKA</t>
        </is>
      </c>
      <c r="G806" t="n">
        <v>8.6</v>
      </c>
      <c r="H806" t="n">
        <v>0</v>
      </c>
      <c r="I806" t="n">
        <v>0</v>
      </c>
      <c r="J806" t="n">
        <v>0</v>
      </c>
      <c r="K806" t="n">
        <v>0</v>
      </c>
      <c r="L806" t="n">
        <v>0</v>
      </c>
      <c r="M806" t="n">
        <v>0</v>
      </c>
      <c r="N806" t="n">
        <v>0</v>
      </c>
      <c r="O806" t="n">
        <v>0</v>
      </c>
      <c r="P806" t="n">
        <v>0</v>
      </c>
      <c r="Q806" t="n">
        <v>0</v>
      </c>
      <c r="R806" s="2" t="inlineStr"/>
    </row>
    <row r="807" ht="15" customHeight="1">
      <c r="A807" t="inlineStr">
        <is>
          <t>A 64450-2023</t>
        </is>
      </c>
      <c r="B807" s="1" t="n">
        <v>45280</v>
      </c>
      <c r="C807" s="1" t="n">
        <v>45802</v>
      </c>
      <c r="D807" t="inlineStr">
        <is>
          <t>DALARNAS LÄN</t>
        </is>
      </c>
      <c r="E807" t="inlineStr">
        <is>
          <t>LUDVIKA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64447-2023</t>
        </is>
      </c>
      <c r="B808" s="1" t="n">
        <v>45280</v>
      </c>
      <c r="C808" s="1" t="n">
        <v>45802</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64449-2023</t>
        </is>
      </c>
      <c r="B809" s="1" t="n">
        <v>45280</v>
      </c>
      <c r="C809" s="1" t="n">
        <v>45802</v>
      </c>
      <c r="D809" t="inlineStr">
        <is>
          <t>DALARNAS LÄN</t>
        </is>
      </c>
      <c r="E809" t="inlineStr">
        <is>
          <t>LUDVIKA</t>
        </is>
      </c>
      <c r="G809" t="n">
        <v>10.2</v>
      </c>
      <c r="H809" t="n">
        <v>0</v>
      </c>
      <c r="I809" t="n">
        <v>0</v>
      </c>
      <c r="J809" t="n">
        <v>0</v>
      </c>
      <c r="K809" t="n">
        <v>0</v>
      </c>
      <c r="L809" t="n">
        <v>0</v>
      </c>
      <c r="M809" t="n">
        <v>0</v>
      </c>
      <c r="N809" t="n">
        <v>0</v>
      </c>
      <c r="O809" t="n">
        <v>0</v>
      </c>
      <c r="P809" t="n">
        <v>0</v>
      </c>
      <c r="Q809" t="n">
        <v>0</v>
      </c>
      <c r="R809" s="2" t="inlineStr"/>
    </row>
    <row r="810" ht="15" customHeight="1">
      <c r="A810" t="inlineStr">
        <is>
          <t>A 65104-2023</t>
        </is>
      </c>
      <c r="B810" s="1" t="n">
        <v>45288</v>
      </c>
      <c r="C810" s="1" t="n">
        <v>45802</v>
      </c>
      <c r="D810" t="inlineStr">
        <is>
          <t>DALARNAS LÄN</t>
        </is>
      </c>
      <c r="E810" t="inlineStr">
        <is>
          <t>LUDVIKA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451-2024</t>
        </is>
      </c>
      <c r="B811" s="1" t="n">
        <v>45296</v>
      </c>
      <c r="C811" s="1" t="n">
        <v>45802</v>
      </c>
      <c r="D811" t="inlineStr">
        <is>
          <t>DALARNAS LÄN</t>
        </is>
      </c>
      <c r="E811" t="inlineStr">
        <is>
          <t>LUDVIKA</t>
        </is>
      </c>
      <c r="F811" t="inlineStr">
        <is>
          <t>Bergvik skog väst AB</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478-2024</t>
        </is>
      </c>
      <c r="B812" s="1" t="n">
        <v>45297</v>
      </c>
      <c r="C812" s="1" t="n">
        <v>45802</v>
      </c>
      <c r="D812" t="inlineStr">
        <is>
          <t>DALARNAS LÄN</t>
        </is>
      </c>
      <c r="E812" t="inlineStr">
        <is>
          <t>LUDVIKA</t>
        </is>
      </c>
      <c r="G812" t="n">
        <v>3.2</v>
      </c>
      <c r="H812" t="n">
        <v>0</v>
      </c>
      <c r="I812" t="n">
        <v>0</v>
      </c>
      <c r="J812" t="n">
        <v>0</v>
      </c>
      <c r="K812" t="n">
        <v>0</v>
      </c>
      <c r="L812" t="n">
        <v>0</v>
      </c>
      <c r="M812" t="n">
        <v>0</v>
      </c>
      <c r="N812" t="n">
        <v>0</v>
      </c>
      <c r="O812" t="n">
        <v>0</v>
      </c>
      <c r="P812" t="n">
        <v>0</v>
      </c>
      <c r="Q812" t="n">
        <v>0</v>
      </c>
      <c r="R812" s="2" t="inlineStr"/>
    </row>
    <row r="813" ht="15" customHeight="1">
      <c r="A813" t="inlineStr">
        <is>
          <t>A 923-2024</t>
        </is>
      </c>
      <c r="B813" s="1" t="n">
        <v>45301</v>
      </c>
      <c r="C813" s="1" t="n">
        <v>45802</v>
      </c>
      <c r="D813" t="inlineStr">
        <is>
          <t>DALARNAS LÄN</t>
        </is>
      </c>
      <c r="E813" t="inlineStr">
        <is>
          <t>LUDVIKA</t>
        </is>
      </c>
      <c r="G813" t="n">
        <v>0.3</v>
      </c>
      <c r="H813" t="n">
        <v>0</v>
      </c>
      <c r="I813" t="n">
        <v>0</v>
      </c>
      <c r="J813" t="n">
        <v>0</v>
      </c>
      <c r="K813" t="n">
        <v>0</v>
      </c>
      <c r="L813" t="n">
        <v>0</v>
      </c>
      <c r="M813" t="n">
        <v>0</v>
      </c>
      <c r="N813" t="n">
        <v>0</v>
      </c>
      <c r="O813" t="n">
        <v>0</v>
      </c>
      <c r="P813" t="n">
        <v>0</v>
      </c>
      <c r="Q813" t="n">
        <v>0</v>
      </c>
      <c r="R813" s="2" t="inlineStr"/>
    </row>
    <row r="814" ht="15" customHeight="1">
      <c r="A814" t="inlineStr">
        <is>
          <t>A 918-2024</t>
        </is>
      </c>
      <c r="B814" s="1" t="n">
        <v>45301</v>
      </c>
      <c r="C814" s="1" t="n">
        <v>45802</v>
      </c>
      <c r="D814" t="inlineStr">
        <is>
          <t>DALARNAS LÄN</t>
        </is>
      </c>
      <c r="E814" t="inlineStr">
        <is>
          <t>LUDVIKA</t>
        </is>
      </c>
      <c r="G814" t="n">
        <v>6</v>
      </c>
      <c r="H814" t="n">
        <v>0</v>
      </c>
      <c r="I814" t="n">
        <v>0</v>
      </c>
      <c r="J814" t="n">
        <v>0</v>
      </c>
      <c r="K814" t="n">
        <v>0</v>
      </c>
      <c r="L814" t="n">
        <v>0</v>
      </c>
      <c r="M814" t="n">
        <v>0</v>
      </c>
      <c r="N814" t="n">
        <v>0</v>
      </c>
      <c r="O814" t="n">
        <v>0</v>
      </c>
      <c r="P814" t="n">
        <v>0</v>
      </c>
      <c r="Q814" t="n">
        <v>0</v>
      </c>
      <c r="R814" s="2" t="inlineStr"/>
    </row>
    <row r="815" ht="15" customHeight="1">
      <c r="A815" t="inlineStr">
        <is>
          <t>A 1133-2024</t>
        </is>
      </c>
      <c r="B815" s="1" t="n">
        <v>45302</v>
      </c>
      <c r="C815" s="1" t="n">
        <v>45802</v>
      </c>
      <c r="D815" t="inlineStr">
        <is>
          <t>DALARNAS LÄN</t>
        </is>
      </c>
      <c r="E815" t="inlineStr">
        <is>
          <t>LUDVIKA</t>
        </is>
      </c>
      <c r="G815" t="n">
        <v>2.6</v>
      </c>
      <c r="H815" t="n">
        <v>0</v>
      </c>
      <c r="I815" t="n">
        <v>0</v>
      </c>
      <c r="J815" t="n">
        <v>0</v>
      </c>
      <c r="K815" t="n">
        <v>0</v>
      </c>
      <c r="L815" t="n">
        <v>0</v>
      </c>
      <c r="M815" t="n">
        <v>0</v>
      </c>
      <c r="N815" t="n">
        <v>0</v>
      </c>
      <c r="O815" t="n">
        <v>0</v>
      </c>
      <c r="P815" t="n">
        <v>0</v>
      </c>
      <c r="Q815" t="n">
        <v>0</v>
      </c>
      <c r="R815" s="2" t="inlineStr"/>
    </row>
    <row r="816" ht="15" customHeight="1">
      <c r="A816" t="inlineStr">
        <is>
          <t>A 1444-2024</t>
        </is>
      </c>
      <c r="B816" s="1" t="n">
        <v>45303</v>
      </c>
      <c r="C816" s="1" t="n">
        <v>45802</v>
      </c>
      <c r="D816" t="inlineStr">
        <is>
          <t>DALARNAS LÄN</t>
        </is>
      </c>
      <c r="E816" t="inlineStr">
        <is>
          <t>LUDVIKA</t>
        </is>
      </c>
      <c r="G816" t="n">
        <v>0.9</v>
      </c>
      <c r="H816" t="n">
        <v>0</v>
      </c>
      <c r="I816" t="n">
        <v>0</v>
      </c>
      <c r="J816" t="n">
        <v>0</v>
      </c>
      <c r="K816" t="n">
        <v>0</v>
      </c>
      <c r="L816" t="n">
        <v>0</v>
      </c>
      <c r="M816" t="n">
        <v>0</v>
      </c>
      <c r="N816" t="n">
        <v>0</v>
      </c>
      <c r="O816" t="n">
        <v>0</v>
      </c>
      <c r="P816" t="n">
        <v>0</v>
      </c>
      <c r="Q816" t="n">
        <v>0</v>
      </c>
      <c r="R816" s="2" t="inlineStr"/>
    </row>
    <row r="817" ht="15" customHeight="1">
      <c r="A817" t="inlineStr">
        <is>
          <t>A 1761-2024</t>
        </is>
      </c>
      <c r="B817" s="1" t="n">
        <v>45307</v>
      </c>
      <c r="C817" s="1" t="n">
        <v>45802</v>
      </c>
      <c r="D817" t="inlineStr">
        <is>
          <t>DALARNAS LÄN</t>
        </is>
      </c>
      <c r="E817" t="inlineStr">
        <is>
          <t>LUDVIKA</t>
        </is>
      </c>
      <c r="F817" t="inlineStr">
        <is>
          <t>Naturvårdsverket</t>
        </is>
      </c>
      <c r="G817" t="n">
        <v>1.5</v>
      </c>
      <c r="H817" t="n">
        <v>0</v>
      </c>
      <c r="I817" t="n">
        <v>0</v>
      </c>
      <c r="J817" t="n">
        <v>0</v>
      </c>
      <c r="K817" t="n">
        <v>0</v>
      </c>
      <c r="L817" t="n">
        <v>0</v>
      </c>
      <c r="M817" t="n">
        <v>0</v>
      </c>
      <c r="N817" t="n">
        <v>0</v>
      </c>
      <c r="O817" t="n">
        <v>0</v>
      </c>
      <c r="P817" t="n">
        <v>0</v>
      </c>
      <c r="Q817" t="n">
        <v>0</v>
      </c>
      <c r="R817" s="2" t="inlineStr"/>
    </row>
    <row r="818" ht="15" customHeight="1">
      <c r="A818" t="inlineStr">
        <is>
          <t>A 1988-2024</t>
        </is>
      </c>
      <c r="B818" s="1" t="n">
        <v>45308</v>
      </c>
      <c r="C818" s="1" t="n">
        <v>45802</v>
      </c>
      <c r="D818" t="inlineStr">
        <is>
          <t>DALARNAS LÄN</t>
        </is>
      </c>
      <c r="E818" t="inlineStr">
        <is>
          <t>LUDVIKA</t>
        </is>
      </c>
      <c r="G818" t="n">
        <v>4.2</v>
      </c>
      <c r="H818" t="n">
        <v>0</v>
      </c>
      <c r="I818" t="n">
        <v>0</v>
      </c>
      <c r="J818" t="n">
        <v>0</v>
      </c>
      <c r="K818" t="n">
        <v>0</v>
      </c>
      <c r="L818" t="n">
        <v>0</v>
      </c>
      <c r="M818" t="n">
        <v>0</v>
      </c>
      <c r="N818" t="n">
        <v>0</v>
      </c>
      <c r="O818" t="n">
        <v>0</v>
      </c>
      <c r="P818" t="n">
        <v>0</v>
      </c>
      <c r="Q818" t="n">
        <v>0</v>
      </c>
      <c r="R818" s="2" t="inlineStr"/>
    </row>
    <row r="819" ht="15" customHeight="1">
      <c r="A819" t="inlineStr">
        <is>
          <t>A 2481-2024</t>
        </is>
      </c>
      <c r="B819" s="1" t="n">
        <v>45313</v>
      </c>
      <c r="C819" s="1" t="n">
        <v>45802</v>
      </c>
      <c r="D819" t="inlineStr">
        <is>
          <t>DALARNAS LÄN</t>
        </is>
      </c>
      <c r="E819" t="inlineStr">
        <is>
          <t>LUDVIKA</t>
        </is>
      </c>
      <c r="G819" t="n">
        <v>4.8</v>
      </c>
      <c r="H819" t="n">
        <v>0</v>
      </c>
      <c r="I819" t="n">
        <v>0</v>
      </c>
      <c r="J819" t="n">
        <v>0</v>
      </c>
      <c r="K819" t="n">
        <v>0</v>
      </c>
      <c r="L819" t="n">
        <v>0</v>
      </c>
      <c r="M819" t="n">
        <v>0</v>
      </c>
      <c r="N819" t="n">
        <v>0</v>
      </c>
      <c r="O819" t="n">
        <v>0</v>
      </c>
      <c r="P819" t="n">
        <v>0</v>
      </c>
      <c r="Q819" t="n">
        <v>0</v>
      </c>
      <c r="R819" s="2" t="inlineStr"/>
      <c r="U819">
        <f>HYPERLINK("https://klasma.github.io/Logging_2085/knärot/A 2481-2024 karta knärot.png", "A 2481-2024")</f>
        <v/>
      </c>
      <c r="V819">
        <f>HYPERLINK("https://klasma.github.io/Logging_2085/klagomål/A 2481-2024 FSC-klagomål.docx", "A 2481-2024")</f>
        <v/>
      </c>
      <c r="W819">
        <f>HYPERLINK("https://klasma.github.io/Logging_2085/klagomålsmail/A 2481-2024 FSC-klagomål mail.docx", "A 2481-2024")</f>
        <v/>
      </c>
      <c r="X819">
        <f>HYPERLINK("https://klasma.github.io/Logging_2085/tillsyn/A 2481-2024 tillsynsbegäran.docx", "A 2481-2024")</f>
        <v/>
      </c>
      <c r="Y819">
        <f>HYPERLINK("https://klasma.github.io/Logging_2085/tillsynsmail/A 2481-2024 tillsynsbegäran mail.docx", "A 2481-2024")</f>
        <v/>
      </c>
    </row>
    <row r="820" ht="15" customHeight="1">
      <c r="A820" t="inlineStr">
        <is>
          <t>A 2485-2024</t>
        </is>
      </c>
      <c r="B820" s="1" t="n">
        <v>45313</v>
      </c>
      <c r="C820" s="1" t="n">
        <v>45802</v>
      </c>
      <c r="D820" t="inlineStr">
        <is>
          <t>DALARNAS LÄN</t>
        </is>
      </c>
      <c r="E820" t="inlineStr">
        <is>
          <t>LUDVIKA</t>
        </is>
      </c>
      <c r="G820" t="n">
        <v>2</v>
      </c>
      <c r="H820" t="n">
        <v>0</v>
      </c>
      <c r="I820" t="n">
        <v>0</v>
      </c>
      <c r="J820" t="n">
        <v>0</v>
      </c>
      <c r="K820" t="n">
        <v>0</v>
      </c>
      <c r="L820" t="n">
        <v>0</v>
      </c>
      <c r="M820" t="n">
        <v>0</v>
      </c>
      <c r="N820" t="n">
        <v>0</v>
      </c>
      <c r="O820" t="n">
        <v>0</v>
      </c>
      <c r="P820" t="n">
        <v>0</v>
      </c>
      <c r="Q820" t="n">
        <v>0</v>
      </c>
      <c r="R820" s="2" t="inlineStr"/>
    </row>
    <row r="821" ht="15" customHeight="1">
      <c r="A821" t="inlineStr">
        <is>
          <t>A 2484-2024</t>
        </is>
      </c>
      <c r="B821" s="1" t="n">
        <v>45313</v>
      </c>
      <c r="C821" s="1" t="n">
        <v>45802</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2603-2024</t>
        </is>
      </c>
      <c r="B822" s="1" t="n">
        <v>45313</v>
      </c>
      <c r="C822" s="1" t="n">
        <v>45802</v>
      </c>
      <c r="D822" t="inlineStr">
        <is>
          <t>DALARNAS LÄN</t>
        </is>
      </c>
      <c r="E822" t="inlineStr">
        <is>
          <t>LUDVIKA</t>
        </is>
      </c>
      <c r="G822" t="n">
        <v>0.8</v>
      </c>
      <c r="H822" t="n">
        <v>0</v>
      </c>
      <c r="I822" t="n">
        <v>0</v>
      </c>
      <c r="J822" t="n">
        <v>0</v>
      </c>
      <c r="K822" t="n">
        <v>0</v>
      </c>
      <c r="L822" t="n">
        <v>0</v>
      </c>
      <c r="M822" t="n">
        <v>0</v>
      </c>
      <c r="N822" t="n">
        <v>0</v>
      </c>
      <c r="O822" t="n">
        <v>0</v>
      </c>
      <c r="P822" t="n">
        <v>0</v>
      </c>
      <c r="Q822" t="n">
        <v>0</v>
      </c>
      <c r="R822" s="2" t="inlineStr"/>
    </row>
    <row r="823" ht="15" customHeight="1">
      <c r="A823" t="inlineStr">
        <is>
          <t>A 3277-2024</t>
        </is>
      </c>
      <c r="B823" s="1" t="n">
        <v>45317</v>
      </c>
      <c r="C823" s="1" t="n">
        <v>45802</v>
      </c>
      <c r="D823" t="inlineStr">
        <is>
          <t>DALARNAS LÄN</t>
        </is>
      </c>
      <c r="E823" t="inlineStr">
        <is>
          <t>LUDVIKA</t>
        </is>
      </c>
      <c r="G823" t="n">
        <v>0.3</v>
      </c>
      <c r="H823" t="n">
        <v>0</v>
      </c>
      <c r="I823" t="n">
        <v>0</v>
      </c>
      <c r="J823" t="n">
        <v>0</v>
      </c>
      <c r="K823" t="n">
        <v>0</v>
      </c>
      <c r="L823" t="n">
        <v>0</v>
      </c>
      <c r="M823" t="n">
        <v>0</v>
      </c>
      <c r="N823" t="n">
        <v>0</v>
      </c>
      <c r="O823" t="n">
        <v>0</v>
      </c>
      <c r="P823" t="n">
        <v>0</v>
      </c>
      <c r="Q823" t="n">
        <v>0</v>
      </c>
      <c r="R823" s="2" t="inlineStr"/>
    </row>
    <row r="824" ht="15" customHeight="1">
      <c r="A824" t="inlineStr">
        <is>
          <t>A 3280-2024</t>
        </is>
      </c>
      <c r="B824" s="1" t="n">
        <v>45317</v>
      </c>
      <c r="C824" s="1" t="n">
        <v>45802</v>
      </c>
      <c r="D824" t="inlineStr">
        <is>
          <t>DALARNAS LÄN</t>
        </is>
      </c>
      <c r="E824" t="inlineStr">
        <is>
          <t>LUDVIKA</t>
        </is>
      </c>
      <c r="G824" t="n">
        <v>0.4</v>
      </c>
      <c r="H824" t="n">
        <v>0</v>
      </c>
      <c r="I824" t="n">
        <v>0</v>
      </c>
      <c r="J824" t="n">
        <v>0</v>
      </c>
      <c r="K824" t="n">
        <v>0</v>
      </c>
      <c r="L824" t="n">
        <v>0</v>
      </c>
      <c r="M824" t="n">
        <v>0</v>
      </c>
      <c r="N824" t="n">
        <v>0</v>
      </c>
      <c r="O824" t="n">
        <v>0</v>
      </c>
      <c r="P824" t="n">
        <v>0</v>
      </c>
      <c r="Q824" t="n">
        <v>0</v>
      </c>
      <c r="R824" s="2" t="inlineStr"/>
    </row>
    <row r="825" ht="15" customHeight="1">
      <c r="A825" t="inlineStr">
        <is>
          <t>A 3349-2024</t>
        </is>
      </c>
      <c r="B825" s="1" t="n">
        <v>45317</v>
      </c>
      <c r="C825" s="1" t="n">
        <v>45802</v>
      </c>
      <c r="D825" t="inlineStr">
        <is>
          <t>DALARNAS LÄN</t>
        </is>
      </c>
      <c r="E825" t="inlineStr">
        <is>
          <t>LUDVIKA</t>
        </is>
      </c>
      <c r="G825" t="n">
        <v>3.8</v>
      </c>
      <c r="H825" t="n">
        <v>0</v>
      </c>
      <c r="I825" t="n">
        <v>0</v>
      </c>
      <c r="J825" t="n">
        <v>0</v>
      </c>
      <c r="K825" t="n">
        <v>0</v>
      </c>
      <c r="L825" t="n">
        <v>0</v>
      </c>
      <c r="M825" t="n">
        <v>0</v>
      </c>
      <c r="N825" t="n">
        <v>0</v>
      </c>
      <c r="O825" t="n">
        <v>0</v>
      </c>
      <c r="P825" t="n">
        <v>0</v>
      </c>
      <c r="Q825" t="n">
        <v>0</v>
      </c>
      <c r="R825" s="2" t="inlineStr"/>
    </row>
    <row r="826" ht="15" customHeight="1">
      <c r="A826" t="inlineStr">
        <is>
          <t>A 3687-2024</t>
        </is>
      </c>
      <c r="B826" s="1" t="n">
        <v>45321</v>
      </c>
      <c r="C826" s="1" t="n">
        <v>45802</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5576-2024</t>
        </is>
      </c>
      <c r="B827" s="1" t="n">
        <v>45334</v>
      </c>
      <c r="C827" s="1" t="n">
        <v>45802</v>
      </c>
      <c r="D827" t="inlineStr">
        <is>
          <t>DALARNAS LÄN</t>
        </is>
      </c>
      <c r="E827" t="inlineStr">
        <is>
          <t>LUDVIKA</t>
        </is>
      </c>
      <c r="G827" t="n">
        <v>7</v>
      </c>
      <c r="H827" t="n">
        <v>0</v>
      </c>
      <c r="I827" t="n">
        <v>0</v>
      </c>
      <c r="J827" t="n">
        <v>0</v>
      </c>
      <c r="K827" t="n">
        <v>0</v>
      </c>
      <c r="L827" t="n">
        <v>0</v>
      </c>
      <c r="M827" t="n">
        <v>0</v>
      </c>
      <c r="N827" t="n">
        <v>0</v>
      </c>
      <c r="O827" t="n">
        <v>0</v>
      </c>
      <c r="P827" t="n">
        <v>0</v>
      </c>
      <c r="Q827" t="n">
        <v>0</v>
      </c>
      <c r="R827" s="2" t="inlineStr"/>
    </row>
    <row r="828" ht="15" customHeight="1">
      <c r="A828" t="inlineStr">
        <is>
          <t>A 5841-2024</t>
        </is>
      </c>
      <c r="B828" s="1" t="n">
        <v>45335</v>
      </c>
      <c r="C828" s="1" t="n">
        <v>45802</v>
      </c>
      <c r="D828" t="inlineStr">
        <is>
          <t>DALARNAS LÄN</t>
        </is>
      </c>
      <c r="E828" t="inlineStr">
        <is>
          <t>LUDVIKA</t>
        </is>
      </c>
      <c r="G828" t="n">
        <v>1.6</v>
      </c>
      <c r="H828" t="n">
        <v>0</v>
      </c>
      <c r="I828" t="n">
        <v>0</v>
      </c>
      <c r="J828" t="n">
        <v>0</v>
      </c>
      <c r="K828" t="n">
        <v>0</v>
      </c>
      <c r="L828" t="n">
        <v>0</v>
      </c>
      <c r="M828" t="n">
        <v>0</v>
      </c>
      <c r="N828" t="n">
        <v>0</v>
      </c>
      <c r="O828" t="n">
        <v>0</v>
      </c>
      <c r="P828" t="n">
        <v>0</v>
      </c>
      <c r="Q828" t="n">
        <v>0</v>
      </c>
      <c r="R828" s="2" t="inlineStr"/>
    </row>
    <row r="829" ht="15" customHeight="1">
      <c r="A829" t="inlineStr">
        <is>
          <t>A 5947-2024</t>
        </is>
      </c>
      <c r="B829" s="1" t="n">
        <v>45335</v>
      </c>
      <c r="C829" s="1" t="n">
        <v>45802</v>
      </c>
      <c r="D829" t="inlineStr">
        <is>
          <t>DALARNAS LÄN</t>
        </is>
      </c>
      <c r="E829" t="inlineStr">
        <is>
          <t>LUDVIKA</t>
        </is>
      </c>
      <c r="G829" t="n">
        <v>5</v>
      </c>
      <c r="H829" t="n">
        <v>0</v>
      </c>
      <c r="I829" t="n">
        <v>0</v>
      </c>
      <c r="J829" t="n">
        <v>0</v>
      </c>
      <c r="K829" t="n">
        <v>0</v>
      </c>
      <c r="L829" t="n">
        <v>0</v>
      </c>
      <c r="M829" t="n">
        <v>0</v>
      </c>
      <c r="N829" t="n">
        <v>0</v>
      </c>
      <c r="O829" t="n">
        <v>0</v>
      </c>
      <c r="P829" t="n">
        <v>0</v>
      </c>
      <c r="Q829" t="n">
        <v>0</v>
      </c>
      <c r="R829" s="2" t="inlineStr"/>
    </row>
    <row r="830" ht="15" customHeight="1">
      <c r="A830" t="inlineStr">
        <is>
          <t>A 6151-2024</t>
        </is>
      </c>
      <c r="B830" s="1" t="n">
        <v>45337</v>
      </c>
      <c r="C830" s="1" t="n">
        <v>45802</v>
      </c>
      <c r="D830" t="inlineStr">
        <is>
          <t>DALARNAS LÄN</t>
        </is>
      </c>
      <c r="E830" t="inlineStr">
        <is>
          <t>LUDVIKA</t>
        </is>
      </c>
      <c r="G830" t="n">
        <v>1.7</v>
      </c>
      <c r="H830" t="n">
        <v>0</v>
      </c>
      <c r="I830" t="n">
        <v>0</v>
      </c>
      <c r="J830" t="n">
        <v>0</v>
      </c>
      <c r="K830" t="n">
        <v>0</v>
      </c>
      <c r="L830" t="n">
        <v>0</v>
      </c>
      <c r="M830" t="n">
        <v>0</v>
      </c>
      <c r="N830" t="n">
        <v>0</v>
      </c>
      <c r="O830" t="n">
        <v>0</v>
      </c>
      <c r="P830" t="n">
        <v>0</v>
      </c>
      <c r="Q830" t="n">
        <v>0</v>
      </c>
      <c r="R830" s="2" t="inlineStr"/>
    </row>
    <row r="831" ht="15" customHeight="1">
      <c r="A831" t="inlineStr">
        <is>
          <t>A 7317-2024</t>
        </is>
      </c>
      <c r="B831" s="1" t="n">
        <v>45345</v>
      </c>
      <c r="C831" s="1" t="n">
        <v>45802</v>
      </c>
      <c r="D831" t="inlineStr">
        <is>
          <t>DALARNAS LÄN</t>
        </is>
      </c>
      <c r="E831" t="inlineStr">
        <is>
          <t>LUDVIKA</t>
        </is>
      </c>
      <c r="G831" t="n">
        <v>3.9</v>
      </c>
      <c r="H831" t="n">
        <v>0</v>
      </c>
      <c r="I831" t="n">
        <v>0</v>
      </c>
      <c r="J831" t="n">
        <v>0</v>
      </c>
      <c r="K831" t="n">
        <v>0</v>
      </c>
      <c r="L831" t="n">
        <v>0</v>
      </c>
      <c r="M831" t="n">
        <v>0</v>
      </c>
      <c r="N831" t="n">
        <v>0</v>
      </c>
      <c r="O831" t="n">
        <v>0</v>
      </c>
      <c r="P831" t="n">
        <v>0</v>
      </c>
      <c r="Q831" t="n">
        <v>0</v>
      </c>
      <c r="R831" s="2" t="inlineStr"/>
    </row>
    <row r="832" ht="15" customHeight="1">
      <c r="A832" t="inlineStr">
        <is>
          <t>A 8162-2024</t>
        </is>
      </c>
      <c r="B832" s="1" t="n">
        <v>45349</v>
      </c>
      <c r="C832" s="1" t="n">
        <v>45802</v>
      </c>
      <c r="D832" t="inlineStr">
        <is>
          <t>DALARNAS LÄN</t>
        </is>
      </c>
      <c r="E832" t="inlineStr">
        <is>
          <t>LUDVIKA</t>
        </is>
      </c>
      <c r="F832" t="inlineStr">
        <is>
          <t>Allmännings- och besparingsskogar</t>
        </is>
      </c>
      <c r="G832" t="n">
        <v>6.9</v>
      </c>
      <c r="H832" t="n">
        <v>0</v>
      </c>
      <c r="I832" t="n">
        <v>0</v>
      </c>
      <c r="J832" t="n">
        <v>0</v>
      </c>
      <c r="K832" t="n">
        <v>0</v>
      </c>
      <c r="L832" t="n">
        <v>0</v>
      </c>
      <c r="M832" t="n">
        <v>0</v>
      </c>
      <c r="N832" t="n">
        <v>0</v>
      </c>
      <c r="O832" t="n">
        <v>0</v>
      </c>
      <c r="P832" t="n">
        <v>0</v>
      </c>
      <c r="Q832" t="n">
        <v>0</v>
      </c>
      <c r="R832" s="2" t="inlineStr"/>
      <c r="U832">
        <f>HYPERLINK("https://klasma.github.io/Logging_2085/knärot/A 8162-2024 karta knärot.png", "A 8162-2024")</f>
        <v/>
      </c>
      <c r="V832">
        <f>HYPERLINK("https://klasma.github.io/Logging_2085/klagomål/A 8162-2024 FSC-klagomål.docx", "A 8162-2024")</f>
        <v/>
      </c>
      <c r="W832">
        <f>HYPERLINK("https://klasma.github.io/Logging_2085/klagomålsmail/A 8162-2024 FSC-klagomål mail.docx", "A 8162-2024")</f>
        <v/>
      </c>
      <c r="X832">
        <f>HYPERLINK("https://klasma.github.io/Logging_2085/tillsyn/A 8162-2024 tillsynsbegäran.docx", "A 8162-2024")</f>
        <v/>
      </c>
      <c r="Y832">
        <f>HYPERLINK("https://klasma.github.io/Logging_2085/tillsynsmail/A 8162-2024 tillsynsbegäran mail.docx", "A 8162-2024")</f>
        <v/>
      </c>
    </row>
    <row r="833" ht="15" customHeight="1">
      <c r="A833" t="inlineStr">
        <is>
          <t>A 8172-2024</t>
        </is>
      </c>
      <c r="B833" s="1" t="n">
        <v>45349</v>
      </c>
      <c r="C833" s="1" t="n">
        <v>45802</v>
      </c>
      <c r="D833" t="inlineStr">
        <is>
          <t>DALARNAS LÄN</t>
        </is>
      </c>
      <c r="E833" t="inlineStr">
        <is>
          <t>LUDVIKA</t>
        </is>
      </c>
      <c r="F833" t="inlineStr">
        <is>
          <t>Allmännings- och besparingsskogar</t>
        </is>
      </c>
      <c r="G833" t="n">
        <v>2</v>
      </c>
      <c r="H833" t="n">
        <v>0</v>
      </c>
      <c r="I833" t="n">
        <v>0</v>
      </c>
      <c r="J833" t="n">
        <v>0</v>
      </c>
      <c r="K833" t="n">
        <v>0</v>
      </c>
      <c r="L833" t="n">
        <v>0</v>
      </c>
      <c r="M833" t="n">
        <v>0</v>
      </c>
      <c r="N833" t="n">
        <v>0</v>
      </c>
      <c r="O833" t="n">
        <v>0</v>
      </c>
      <c r="P833" t="n">
        <v>0</v>
      </c>
      <c r="Q833" t="n">
        <v>0</v>
      </c>
      <c r="R833" s="2" t="inlineStr"/>
    </row>
    <row r="834" ht="15" customHeight="1">
      <c r="A834" t="inlineStr">
        <is>
          <t>A 8170-2024</t>
        </is>
      </c>
      <c r="B834" s="1" t="n">
        <v>45349</v>
      </c>
      <c r="C834" s="1" t="n">
        <v>45802</v>
      </c>
      <c r="D834" t="inlineStr">
        <is>
          <t>DALARNAS LÄN</t>
        </is>
      </c>
      <c r="E834" t="inlineStr">
        <is>
          <t>LUDVIKA</t>
        </is>
      </c>
      <c r="F834" t="inlineStr">
        <is>
          <t>Allmännings- och besparingsskogar</t>
        </is>
      </c>
      <c r="G834" t="n">
        <v>5.7</v>
      </c>
      <c r="H834" t="n">
        <v>0</v>
      </c>
      <c r="I834" t="n">
        <v>0</v>
      </c>
      <c r="J834" t="n">
        <v>0</v>
      </c>
      <c r="K834" t="n">
        <v>0</v>
      </c>
      <c r="L834" t="n">
        <v>0</v>
      </c>
      <c r="M834" t="n">
        <v>0</v>
      </c>
      <c r="N834" t="n">
        <v>0</v>
      </c>
      <c r="O834" t="n">
        <v>0</v>
      </c>
      <c r="P834" t="n">
        <v>0</v>
      </c>
      <c r="Q834" t="n">
        <v>0</v>
      </c>
      <c r="R834" s="2" t="inlineStr"/>
    </row>
    <row r="835" ht="15" customHeight="1">
      <c r="A835" t="inlineStr">
        <is>
          <t>A 8175-2024</t>
        </is>
      </c>
      <c r="B835" s="1" t="n">
        <v>45349</v>
      </c>
      <c r="C835" s="1" t="n">
        <v>45802</v>
      </c>
      <c r="D835" t="inlineStr">
        <is>
          <t>DALARNAS LÄN</t>
        </is>
      </c>
      <c r="E835" t="inlineStr">
        <is>
          <t>LUDVIKA</t>
        </is>
      </c>
      <c r="F835" t="inlineStr">
        <is>
          <t>Allmännings- och besparingsskogar</t>
        </is>
      </c>
      <c r="G835" t="n">
        <v>3.8</v>
      </c>
      <c r="H835" t="n">
        <v>0</v>
      </c>
      <c r="I835" t="n">
        <v>0</v>
      </c>
      <c r="J835" t="n">
        <v>0</v>
      </c>
      <c r="K835" t="n">
        <v>0</v>
      </c>
      <c r="L835" t="n">
        <v>0</v>
      </c>
      <c r="M835" t="n">
        <v>0</v>
      </c>
      <c r="N835" t="n">
        <v>0</v>
      </c>
      <c r="O835" t="n">
        <v>0</v>
      </c>
      <c r="P835" t="n">
        <v>0</v>
      </c>
      <c r="Q835" t="n">
        <v>0</v>
      </c>
      <c r="R835" s="2" t="inlineStr"/>
    </row>
    <row r="836" ht="15" customHeight="1">
      <c r="A836" t="inlineStr">
        <is>
          <t>A 7996-2024</t>
        </is>
      </c>
      <c r="B836" s="1" t="n">
        <v>45350</v>
      </c>
      <c r="C836" s="1" t="n">
        <v>45802</v>
      </c>
      <c r="D836" t="inlineStr">
        <is>
          <t>DALARNAS LÄN</t>
        </is>
      </c>
      <c r="E836" t="inlineStr">
        <is>
          <t>LUDVIKA</t>
        </is>
      </c>
      <c r="G836" t="n">
        <v>1</v>
      </c>
      <c r="H836" t="n">
        <v>0</v>
      </c>
      <c r="I836" t="n">
        <v>0</v>
      </c>
      <c r="J836" t="n">
        <v>0</v>
      </c>
      <c r="K836" t="n">
        <v>0</v>
      </c>
      <c r="L836" t="n">
        <v>0</v>
      </c>
      <c r="M836" t="n">
        <v>0</v>
      </c>
      <c r="N836" t="n">
        <v>0</v>
      </c>
      <c r="O836" t="n">
        <v>0</v>
      </c>
      <c r="P836" t="n">
        <v>0</v>
      </c>
      <c r="Q836" t="n">
        <v>0</v>
      </c>
      <c r="R836" s="2" t="inlineStr"/>
    </row>
    <row r="837" ht="15" customHeight="1">
      <c r="A837" t="inlineStr">
        <is>
          <t>A 11237-2024</t>
        </is>
      </c>
      <c r="B837" s="1" t="n">
        <v>45371</v>
      </c>
      <c r="C837" s="1" t="n">
        <v>45802</v>
      </c>
      <c r="D837" t="inlineStr">
        <is>
          <t>DALARNAS LÄN</t>
        </is>
      </c>
      <c r="E837" t="inlineStr">
        <is>
          <t>LUDVIKA</t>
        </is>
      </c>
      <c r="G837" t="n">
        <v>20.8</v>
      </c>
      <c r="H837" t="n">
        <v>0</v>
      </c>
      <c r="I837" t="n">
        <v>0</v>
      </c>
      <c r="J837" t="n">
        <v>0</v>
      </c>
      <c r="K837" t="n">
        <v>0</v>
      </c>
      <c r="L837" t="n">
        <v>0</v>
      </c>
      <c r="M837" t="n">
        <v>0</v>
      </c>
      <c r="N837" t="n">
        <v>0</v>
      </c>
      <c r="O837" t="n">
        <v>0</v>
      </c>
      <c r="P837" t="n">
        <v>0</v>
      </c>
      <c r="Q837" t="n">
        <v>0</v>
      </c>
      <c r="R837" s="2" t="inlineStr"/>
    </row>
    <row r="838" ht="15" customHeight="1">
      <c r="A838" t="inlineStr">
        <is>
          <t>A 11436-2024</t>
        </is>
      </c>
      <c r="B838" s="1" t="n">
        <v>45372</v>
      </c>
      <c r="C838" s="1" t="n">
        <v>45802</v>
      </c>
      <c r="D838" t="inlineStr">
        <is>
          <t>DALARNAS LÄN</t>
        </is>
      </c>
      <c r="E838" t="inlineStr">
        <is>
          <t>LUDVIKA</t>
        </is>
      </c>
      <c r="G838" t="n">
        <v>0.5</v>
      </c>
      <c r="H838" t="n">
        <v>0</v>
      </c>
      <c r="I838" t="n">
        <v>0</v>
      </c>
      <c r="J838" t="n">
        <v>0</v>
      </c>
      <c r="K838" t="n">
        <v>0</v>
      </c>
      <c r="L838" t="n">
        <v>0</v>
      </c>
      <c r="M838" t="n">
        <v>0</v>
      </c>
      <c r="N838" t="n">
        <v>0</v>
      </c>
      <c r="O838" t="n">
        <v>0</v>
      </c>
      <c r="P838" t="n">
        <v>0</v>
      </c>
      <c r="Q838" t="n">
        <v>0</v>
      </c>
      <c r="R838" s="2" t="inlineStr"/>
    </row>
    <row r="839" ht="15" customHeight="1">
      <c r="A839" t="inlineStr">
        <is>
          <t>A 11491-2024</t>
        </is>
      </c>
      <c r="B839" s="1" t="n">
        <v>45372</v>
      </c>
      <c r="C839" s="1" t="n">
        <v>45802</v>
      </c>
      <c r="D839" t="inlineStr">
        <is>
          <t>DALARNAS LÄN</t>
        </is>
      </c>
      <c r="E839" t="inlineStr">
        <is>
          <t>LUDVIKA</t>
        </is>
      </c>
      <c r="F839" t="inlineStr">
        <is>
          <t>Kommuner</t>
        </is>
      </c>
      <c r="G839" t="n">
        <v>3.2</v>
      </c>
      <c r="H839" t="n">
        <v>0</v>
      </c>
      <c r="I839" t="n">
        <v>0</v>
      </c>
      <c r="J839" t="n">
        <v>0</v>
      </c>
      <c r="K839" t="n">
        <v>0</v>
      </c>
      <c r="L839" t="n">
        <v>0</v>
      </c>
      <c r="M839" t="n">
        <v>0</v>
      </c>
      <c r="N839" t="n">
        <v>0</v>
      </c>
      <c r="O839" t="n">
        <v>0</v>
      </c>
      <c r="P839" t="n">
        <v>0</v>
      </c>
      <c r="Q839" t="n">
        <v>0</v>
      </c>
      <c r="R839" s="2" t="inlineStr"/>
    </row>
    <row r="840" ht="15" customHeight="1">
      <c r="A840" t="inlineStr">
        <is>
          <t>A 11632-2024</t>
        </is>
      </c>
      <c r="B840" s="1" t="n">
        <v>45373</v>
      </c>
      <c r="C840" s="1" t="n">
        <v>45802</v>
      </c>
      <c r="D840" t="inlineStr">
        <is>
          <t>DALARNAS LÄN</t>
        </is>
      </c>
      <c r="E840" t="inlineStr">
        <is>
          <t>LUDVIKA</t>
        </is>
      </c>
      <c r="G840" t="n">
        <v>5.1</v>
      </c>
      <c r="H840" t="n">
        <v>0</v>
      </c>
      <c r="I840" t="n">
        <v>0</v>
      </c>
      <c r="J840" t="n">
        <v>0</v>
      </c>
      <c r="K840" t="n">
        <v>0</v>
      </c>
      <c r="L840" t="n">
        <v>0</v>
      </c>
      <c r="M840" t="n">
        <v>0</v>
      </c>
      <c r="N840" t="n">
        <v>0</v>
      </c>
      <c r="O840" t="n">
        <v>0</v>
      </c>
      <c r="P840" t="n">
        <v>0</v>
      </c>
      <c r="Q840" t="n">
        <v>0</v>
      </c>
      <c r="R840" s="2" t="inlineStr"/>
    </row>
    <row r="841" ht="15" customHeight="1">
      <c r="A841" t="inlineStr">
        <is>
          <t>A 11829-2024</t>
        </is>
      </c>
      <c r="B841" s="1" t="n">
        <v>45376</v>
      </c>
      <c r="C841" s="1" t="n">
        <v>45802</v>
      </c>
      <c r="D841" t="inlineStr">
        <is>
          <t>DALARNAS LÄN</t>
        </is>
      </c>
      <c r="E841" t="inlineStr">
        <is>
          <t>LUDVIKA</t>
        </is>
      </c>
      <c r="G841" t="n">
        <v>0.6</v>
      </c>
      <c r="H841" t="n">
        <v>0</v>
      </c>
      <c r="I841" t="n">
        <v>0</v>
      </c>
      <c r="J841" t="n">
        <v>0</v>
      </c>
      <c r="K841" t="n">
        <v>0</v>
      </c>
      <c r="L841" t="n">
        <v>0</v>
      </c>
      <c r="M841" t="n">
        <v>0</v>
      </c>
      <c r="N841" t="n">
        <v>0</v>
      </c>
      <c r="O841" t="n">
        <v>0</v>
      </c>
      <c r="P841" t="n">
        <v>0</v>
      </c>
      <c r="Q841" t="n">
        <v>0</v>
      </c>
      <c r="R841" s="2" t="inlineStr"/>
    </row>
    <row r="842" ht="15" customHeight="1">
      <c r="A842" t="inlineStr">
        <is>
          <t>A 12497-2024</t>
        </is>
      </c>
      <c r="B842" s="1" t="n">
        <v>45379</v>
      </c>
      <c r="C842" s="1" t="n">
        <v>45802</v>
      </c>
      <c r="D842" t="inlineStr">
        <is>
          <t>DALARNAS LÄN</t>
        </is>
      </c>
      <c r="E842" t="inlineStr">
        <is>
          <t>LUDVIKA</t>
        </is>
      </c>
      <c r="F842" t="inlineStr">
        <is>
          <t>Naturvårdsverket</t>
        </is>
      </c>
      <c r="G842" t="n">
        <v>0.4</v>
      </c>
      <c r="H842" t="n">
        <v>0</v>
      </c>
      <c r="I842" t="n">
        <v>0</v>
      </c>
      <c r="J842" t="n">
        <v>0</v>
      </c>
      <c r="K842" t="n">
        <v>0</v>
      </c>
      <c r="L842" t="n">
        <v>0</v>
      </c>
      <c r="M842" t="n">
        <v>0</v>
      </c>
      <c r="N842" t="n">
        <v>0</v>
      </c>
      <c r="O842" t="n">
        <v>0</v>
      </c>
      <c r="P842" t="n">
        <v>0</v>
      </c>
      <c r="Q842" t="n">
        <v>0</v>
      </c>
      <c r="R842" s="2" t="inlineStr"/>
    </row>
    <row r="843" ht="15" customHeight="1">
      <c r="A843" t="inlineStr">
        <is>
          <t>A 13861-2024</t>
        </is>
      </c>
      <c r="B843" s="1" t="n">
        <v>45390</v>
      </c>
      <c r="C843" s="1" t="n">
        <v>45802</v>
      </c>
      <c r="D843" t="inlineStr">
        <is>
          <t>DALARNAS LÄN</t>
        </is>
      </c>
      <c r="E843" t="inlineStr">
        <is>
          <t>LUDVIKA</t>
        </is>
      </c>
      <c r="G843" t="n">
        <v>2.5</v>
      </c>
      <c r="H843" t="n">
        <v>0</v>
      </c>
      <c r="I843" t="n">
        <v>0</v>
      </c>
      <c r="J843" t="n">
        <v>0</v>
      </c>
      <c r="K843" t="n">
        <v>0</v>
      </c>
      <c r="L843" t="n">
        <v>0</v>
      </c>
      <c r="M843" t="n">
        <v>0</v>
      </c>
      <c r="N843" t="n">
        <v>0</v>
      </c>
      <c r="O843" t="n">
        <v>0</v>
      </c>
      <c r="P843" t="n">
        <v>0</v>
      </c>
      <c r="Q843" t="n">
        <v>0</v>
      </c>
      <c r="R843" s="2" t="inlineStr"/>
    </row>
    <row r="844" ht="15" customHeight="1">
      <c r="A844" t="inlineStr">
        <is>
          <t>A 14997-2024</t>
        </is>
      </c>
      <c r="B844" s="1" t="n">
        <v>45399</v>
      </c>
      <c r="C844" s="1" t="n">
        <v>45802</v>
      </c>
      <c r="D844" t="inlineStr">
        <is>
          <t>DALARNAS LÄN</t>
        </is>
      </c>
      <c r="E844" t="inlineStr">
        <is>
          <t>LUDVIKA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15100-2024</t>
        </is>
      </c>
      <c r="B845" s="1" t="n">
        <v>45399</v>
      </c>
      <c r="C845" s="1" t="n">
        <v>45802</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14986-2024</t>
        </is>
      </c>
      <c r="B846" s="1" t="n">
        <v>45399</v>
      </c>
      <c r="C846" s="1" t="n">
        <v>45802</v>
      </c>
      <c r="D846" t="inlineStr">
        <is>
          <t>DALARNAS LÄN</t>
        </is>
      </c>
      <c r="E846" t="inlineStr">
        <is>
          <t>LUDVIKA</t>
        </is>
      </c>
      <c r="F846" t="inlineStr">
        <is>
          <t>Bergvik skog väst AB</t>
        </is>
      </c>
      <c r="G846" t="n">
        <v>0.7</v>
      </c>
      <c r="H846" t="n">
        <v>0</v>
      </c>
      <c r="I846" t="n">
        <v>0</v>
      </c>
      <c r="J846" t="n">
        <v>0</v>
      </c>
      <c r="K846" t="n">
        <v>0</v>
      </c>
      <c r="L846" t="n">
        <v>0</v>
      </c>
      <c r="M846" t="n">
        <v>0</v>
      </c>
      <c r="N846" t="n">
        <v>0</v>
      </c>
      <c r="O846" t="n">
        <v>0</v>
      </c>
      <c r="P846" t="n">
        <v>0</v>
      </c>
      <c r="Q846" t="n">
        <v>0</v>
      </c>
      <c r="R846" s="2" t="inlineStr"/>
    </row>
    <row r="847" ht="15" customHeight="1">
      <c r="A847" t="inlineStr">
        <is>
          <t>A 15014-2024</t>
        </is>
      </c>
      <c r="B847" s="1" t="n">
        <v>45399</v>
      </c>
      <c r="C847" s="1" t="n">
        <v>45802</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14996-2024</t>
        </is>
      </c>
      <c r="B848" s="1" t="n">
        <v>45399</v>
      </c>
      <c r="C848" s="1" t="n">
        <v>45802</v>
      </c>
      <c r="D848" t="inlineStr">
        <is>
          <t>DALARNAS LÄN</t>
        </is>
      </c>
      <c r="E848" t="inlineStr">
        <is>
          <t>LUDVIKA</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15008-2024</t>
        </is>
      </c>
      <c r="B849" s="1" t="n">
        <v>45399</v>
      </c>
      <c r="C849" s="1" t="n">
        <v>45802</v>
      </c>
      <c r="D849" t="inlineStr">
        <is>
          <t>DALARNAS LÄN</t>
        </is>
      </c>
      <c r="E849" t="inlineStr">
        <is>
          <t>LUDVIKA</t>
        </is>
      </c>
      <c r="G849" t="n">
        <v>1.3</v>
      </c>
      <c r="H849" t="n">
        <v>0</v>
      </c>
      <c r="I849" t="n">
        <v>0</v>
      </c>
      <c r="J849" t="n">
        <v>0</v>
      </c>
      <c r="K849" t="n">
        <v>0</v>
      </c>
      <c r="L849" t="n">
        <v>0</v>
      </c>
      <c r="M849" t="n">
        <v>0</v>
      </c>
      <c r="N849" t="n">
        <v>0</v>
      </c>
      <c r="O849" t="n">
        <v>0</v>
      </c>
      <c r="P849" t="n">
        <v>0</v>
      </c>
      <c r="Q849" t="n">
        <v>0</v>
      </c>
      <c r="R849" s="2" t="inlineStr"/>
    </row>
    <row r="850" ht="15" customHeight="1">
      <c r="A850" t="inlineStr">
        <is>
          <t>A 15016-2024</t>
        </is>
      </c>
      <c r="B850" s="1" t="n">
        <v>45399</v>
      </c>
      <c r="C850" s="1" t="n">
        <v>45802</v>
      </c>
      <c r="D850" t="inlineStr">
        <is>
          <t>DALARNAS LÄN</t>
        </is>
      </c>
      <c r="E850" t="inlineStr">
        <is>
          <t>LUDVIKA</t>
        </is>
      </c>
      <c r="F850" t="inlineStr">
        <is>
          <t>Bergvik skog väst AB</t>
        </is>
      </c>
      <c r="G850" t="n">
        <v>1.9</v>
      </c>
      <c r="H850" t="n">
        <v>0</v>
      </c>
      <c r="I850" t="n">
        <v>0</v>
      </c>
      <c r="J850" t="n">
        <v>0</v>
      </c>
      <c r="K850" t="n">
        <v>0</v>
      </c>
      <c r="L850" t="n">
        <v>0</v>
      </c>
      <c r="M850" t="n">
        <v>0</v>
      </c>
      <c r="N850" t="n">
        <v>0</v>
      </c>
      <c r="O850" t="n">
        <v>0</v>
      </c>
      <c r="P850" t="n">
        <v>0</v>
      </c>
      <c r="Q850" t="n">
        <v>0</v>
      </c>
      <c r="R850" s="2" t="inlineStr"/>
    </row>
    <row r="851" ht="15" customHeight="1">
      <c r="A851" t="inlineStr">
        <is>
          <t>A 15718-2024</t>
        </is>
      </c>
      <c r="B851" s="1" t="n">
        <v>45404</v>
      </c>
      <c r="C851" s="1" t="n">
        <v>45802</v>
      </c>
      <c r="D851" t="inlineStr">
        <is>
          <t>DALARNAS LÄN</t>
        </is>
      </c>
      <c r="E851" t="inlineStr">
        <is>
          <t>LUDVIKA</t>
        </is>
      </c>
      <c r="F851" t="inlineStr">
        <is>
          <t>Bergvik skog väst AB</t>
        </is>
      </c>
      <c r="G851" t="n">
        <v>4.8</v>
      </c>
      <c r="H851" t="n">
        <v>0</v>
      </c>
      <c r="I851" t="n">
        <v>0</v>
      </c>
      <c r="J851" t="n">
        <v>0</v>
      </c>
      <c r="K851" t="n">
        <v>0</v>
      </c>
      <c r="L851" t="n">
        <v>0</v>
      </c>
      <c r="M851" t="n">
        <v>0</v>
      </c>
      <c r="N851" t="n">
        <v>0</v>
      </c>
      <c r="O851" t="n">
        <v>0</v>
      </c>
      <c r="P851" t="n">
        <v>0</v>
      </c>
      <c r="Q851" t="n">
        <v>0</v>
      </c>
      <c r="R851" s="2" t="inlineStr"/>
    </row>
    <row r="852" ht="15" customHeight="1">
      <c r="A852" t="inlineStr">
        <is>
          <t>A 15851-2024</t>
        </is>
      </c>
      <c r="B852" s="1" t="n">
        <v>45404</v>
      </c>
      <c r="C852" s="1" t="n">
        <v>45802</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15876-2024</t>
        </is>
      </c>
      <c r="B853" s="1" t="n">
        <v>45405</v>
      </c>
      <c r="C853" s="1" t="n">
        <v>45802</v>
      </c>
      <c r="D853" t="inlineStr">
        <is>
          <t>DALARNAS LÄN</t>
        </is>
      </c>
      <c r="E853" t="inlineStr">
        <is>
          <t>LUDVIKA</t>
        </is>
      </c>
      <c r="F853" t="inlineStr">
        <is>
          <t>Bergvik skog väst AB</t>
        </is>
      </c>
      <c r="G853" t="n">
        <v>1.6</v>
      </c>
      <c r="H853" t="n">
        <v>0</v>
      </c>
      <c r="I853" t="n">
        <v>0</v>
      </c>
      <c r="J853" t="n">
        <v>0</v>
      </c>
      <c r="K853" t="n">
        <v>0</v>
      </c>
      <c r="L853" t="n">
        <v>0</v>
      </c>
      <c r="M853" t="n">
        <v>0</v>
      </c>
      <c r="N853" t="n">
        <v>0</v>
      </c>
      <c r="O853" t="n">
        <v>0</v>
      </c>
      <c r="P853" t="n">
        <v>0</v>
      </c>
      <c r="Q853" t="n">
        <v>0</v>
      </c>
      <c r="R853" s="2" t="inlineStr"/>
    </row>
    <row r="854" ht="15" customHeight="1">
      <c r="A854" t="inlineStr">
        <is>
          <t>A 15939-2024</t>
        </is>
      </c>
      <c r="B854" s="1" t="n">
        <v>45405</v>
      </c>
      <c r="C854" s="1" t="n">
        <v>45802</v>
      </c>
      <c r="D854" t="inlineStr">
        <is>
          <t>DALARNAS LÄN</t>
        </is>
      </c>
      <c r="E854" t="inlineStr">
        <is>
          <t>LUDVIKA</t>
        </is>
      </c>
      <c r="G854" t="n">
        <v>1.3</v>
      </c>
      <c r="H854" t="n">
        <v>0</v>
      </c>
      <c r="I854" t="n">
        <v>0</v>
      </c>
      <c r="J854" t="n">
        <v>0</v>
      </c>
      <c r="K854" t="n">
        <v>0</v>
      </c>
      <c r="L854" t="n">
        <v>0</v>
      </c>
      <c r="M854" t="n">
        <v>0</v>
      </c>
      <c r="N854" t="n">
        <v>0</v>
      </c>
      <c r="O854" t="n">
        <v>0</v>
      </c>
      <c r="P854" t="n">
        <v>0</v>
      </c>
      <c r="Q854" t="n">
        <v>0</v>
      </c>
      <c r="R854" s="2" t="inlineStr"/>
      <c r="U854">
        <f>HYPERLINK("https://klasma.github.io/Logging_2085/knärot/A 15939-2024 karta knärot.png", "A 15939-2024")</f>
        <v/>
      </c>
      <c r="V854">
        <f>HYPERLINK("https://klasma.github.io/Logging_2085/klagomål/A 15939-2024 FSC-klagomål.docx", "A 15939-2024")</f>
        <v/>
      </c>
      <c r="W854">
        <f>HYPERLINK("https://klasma.github.io/Logging_2085/klagomålsmail/A 15939-2024 FSC-klagomål mail.docx", "A 15939-2024")</f>
        <v/>
      </c>
      <c r="X854">
        <f>HYPERLINK("https://klasma.github.io/Logging_2085/tillsyn/A 15939-2024 tillsynsbegäran.docx", "A 15939-2024")</f>
        <v/>
      </c>
      <c r="Y854">
        <f>HYPERLINK("https://klasma.github.io/Logging_2085/tillsynsmail/A 15939-2024 tillsynsbegäran mail.docx", "A 15939-2024")</f>
        <v/>
      </c>
    </row>
    <row r="855" ht="15" customHeight="1">
      <c r="A855" t="inlineStr">
        <is>
          <t>A 16494-2024</t>
        </is>
      </c>
      <c r="B855" s="1" t="n">
        <v>45408</v>
      </c>
      <c r="C855" s="1" t="n">
        <v>45802</v>
      </c>
      <c r="D855" t="inlineStr">
        <is>
          <t>DALARNAS LÄN</t>
        </is>
      </c>
      <c r="E855" t="inlineStr">
        <is>
          <t>LUDVIKA</t>
        </is>
      </c>
      <c r="F855" t="inlineStr">
        <is>
          <t>Bergvik skog väst AB</t>
        </is>
      </c>
      <c r="G855" t="n">
        <v>6.8</v>
      </c>
      <c r="H855" t="n">
        <v>0</v>
      </c>
      <c r="I855" t="n">
        <v>0</v>
      </c>
      <c r="J855" t="n">
        <v>0</v>
      </c>
      <c r="K855" t="n">
        <v>0</v>
      </c>
      <c r="L855" t="n">
        <v>0</v>
      </c>
      <c r="M855" t="n">
        <v>0</v>
      </c>
      <c r="N855" t="n">
        <v>0</v>
      </c>
      <c r="O855" t="n">
        <v>0</v>
      </c>
      <c r="P855" t="n">
        <v>0</v>
      </c>
      <c r="Q855" t="n">
        <v>0</v>
      </c>
      <c r="R855" s="2" t="inlineStr"/>
    </row>
    <row r="856" ht="15" customHeight="1">
      <c r="A856" t="inlineStr">
        <is>
          <t>A 16926-2024</t>
        </is>
      </c>
      <c r="B856" s="1" t="n">
        <v>45411</v>
      </c>
      <c r="C856" s="1" t="n">
        <v>45802</v>
      </c>
      <c r="D856" t="inlineStr">
        <is>
          <t>DALARNAS LÄN</t>
        </is>
      </c>
      <c r="E856" t="inlineStr">
        <is>
          <t>LUDVIKA</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16814-2024</t>
        </is>
      </c>
      <c r="B857" s="1" t="n">
        <v>45411</v>
      </c>
      <c r="C857" s="1" t="n">
        <v>45802</v>
      </c>
      <c r="D857" t="inlineStr">
        <is>
          <t>DALARNAS LÄN</t>
        </is>
      </c>
      <c r="E857" t="inlineStr">
        <is>
          <t>LUDVIKA</t>
        </is>
      </c>
      <c r="F857" t="inlineStr">
        <is>
          <t>Bergvik skog väst AB</t>
        </is>
      </c>
      <c r="G857" t="n">
        <v>0.4</v>
      </c>
      <c r="H857" t="n">
        <v>0</v>
      </c>
      <c r="I857" t="n">
        <v>0</v>
      </c>
      <c r="J857" t="n">
        <v>0</v>
      </c>
      <c r="K857" t="n">
        <v>0</v>
      </c>
      <c r="L857" t="n">
        <v>0</v>
      </c>
      <c r="M857" t="n">
        <v>0</v>
      </c>
      <c r="N857" t="n">
        <v>0</v>
      </c>
      <c r="O857" t="n">
        <v>0</v>
      </c>
      <c r="P857" t="n">
        <v>0</v>
      </c>
      <c r="Q857" t="n">
        <v>0</v>
      </c>
      <c r="R857" s="2" t="inlineStr"/>
    </row>
    <row r="858" ht="15" customHeight="1">
      <c r="A858" t="inlineStr">
        <is>
          <t>A 16928-2024</t>
        </is>
      </c>
      <c r="B858" s="1" t="n">
        <v>45411</v>
      </c>
      <c r="C858" s="1" t="n">
        <v>45802</v>
      </c>
      <c r="D858" t="inlineStr">
        <is>
          <t>DALARNAS LÄN</t>
        </is>
      </c>
      <c r="E858" t="inlineStr">
        <is>
          <t>LUDVIKA</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16924-2024</t>
        </is>
      </c>
      <c r="B859" s="1" t="n">
        <v>45411</v>
      </c>
      <c r="C859" s="1" t="n">
        <v>45802</v>
      </c>
      <c r="D859" t="inlineStr">
        <is>
          <t>DALARNAS LÄN</t>
        </is>
      </c>
      <c r="E859" t="inlineStr">
        <is>
          <t>LUDVIKA</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17054-2024</t>
        </is>
      </c>
      <c r="B860" s="1" t="n">
        <v>45412</v>
      </c>
      <c r="C860" s="1" t="n">
        <v>45802</v>
      </c>
      <c r="D860" t="inlineStr">
        <is>
          <t>DALARNAS LÄN</t>
        </is>
      </c>
      <c r="E860" t="inlineStr">
        <is>
          <t>LUDVIKA</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17638-2024</t>
        </is>
      </c>
      <c r="B861" s="1" t="n">
        <v>45418</v>
      </c>
      <c r="C861" s="1" t="n">
        <v>45802</v>
      </c>
      <c r="D861" t="inlineStr">
        <is>
          <t>DALARNAS LÄN</t>
        </is>
      </c>
      <c r="E861" t="inlineStr">
        <is>
          <t>LUDVIKA</t>
        </is>
      </c>
      <c r="F861" t="inlineStr">
        <is>
          <t>Bergvik skog väst AB</t>
        </is>
      </c>
      <c r="G861" t="n">
        <v>8.1</v>
      </c>
      <c r="H861" t="n">
        <v>0</v>
      </c>
      <c r="I861" t="n">
        <v>0</v>
      </c>
      <c r="J861" t="n">
        <v>0</v>
      </c>
      <c r="K861" t="n">
        <v>0</v>
      </c>
      <c r="L861" t="n">
        <v>0</v>
      </c>
      <c r="M861" t="n">
        <v>0</v>
      </c>
      <c r="N861" t="n">
        <v>0</v>
      </c>
      <c r="O861" t="n">
        <v>0</v>
      </c>
      <c r="P861" t="n">
        <v>0</v>
      </c>
      <c r="Q861" t="n">
        <v>0</v>
      </c>
      <c r="R861" s="2" t="inlineStr"/>
    </row>
    <row r="862" ht="15" customHeight="1">
      <c r="A862" t="inlineStr">
        <is>
          <t>A 18102-2024</t>
        </is>
      </c>
      <c r="B862" s="1" t="n">
        <v>45420</v>
      </c>
      <c r="C862" s="1" t="n">
        <v>45802</v>
      </c>
      <c r="D862" t="inlineStr">
        <is>
          <t>DALARNAS LÄN</t>
        </is>
      </c>
      <c r="E862" t="inlineStr">
        <is>
          <t>LUDVIKA</t>
        </is>
      </c>
      <c r="F862" t="inlineStr">
        <is>
          <t>Bergvik skog väst AB</t>
        </is>
      </c>
      <c r="G862" t="n">
        <v>3.4</v>
      </c>
      <c r="H862" t="n">
        <v>0</v>
      </c>
      <c r="I862" t="n">
        <v>0</v>
      </c>
      <c r="J862" t="n">
        <v>0</v>
      </c>
      <c r="K862" t="n">
        <v>0</v>
      </c>
      <c r="L862" t="n">
        <v>0</v>
      </c>
      <c r="M862" t="n">
        <v>0</v>
      </c>
      <c r="N862" t="n">
        <v>0</v>
      </c>
      <c r="O862" t="n">
        <v>0</v>
      </c>
      <c r="P862" t="n">
        <v>0</v>
      </c>
      <c r="Q862" t="n">
        <v>0</v>
      </c>
      <c r="R862" s="2" t="inlineStr"/>
    </row>
    <row r="863" ht="15" customHeight="1">
      <c r="A863" t="inlineStr">
        <is>
          <t>A 19030-2024</t>
        </is>
      </c>
      <c r="B863" s="1" t="n">
        <v>45427</v>
      </c>
      <c r="C863" s="1" t="n">
        <v>45802</v>
      </c>
      <c r="D863" t="inlineStr">
        <is>
          <t>DALARNAS LÄN</t>
        </is>
      </c>
      <c r="E863" t="inlineStr">
        <is>
          <t>LUDVIKA</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19277-2024</t>
        </is>
      </c>
      <c r="B864" s="1" t="n">
        <v>45428</v>
      </c>
      <c r="C864" s="1" t="n">
        <v>45802</v>
      </c>
      <c r="D864" t="inlineStr">
        <is>
          <t>DALARNAS LÄN</t>
        </is>
      </c>
      <c r="E864" t="inlineStr">
        <is>
          <t>LUDVIKA</t>
        </is>
      </c>
      <c r="G864" t="n">
        <v>1.8</v>
      </c>
      <c r="H864" t="n">
        <v>0</v>
      </c>
      <c r="I864" t="n">
        <v>0</v>
      </c>
      <c r="J864" t="n">
        <v>0</v>
      </c>
      <c r="K864" t="n">
        <v>0</v>
      </c>
      <c r="L864" t="n">
        <v>0</v>
      </c>
      <c r="M864" t="n">
        <v>0</v>
      </c>
      <c r="N864" t="n">
        <v>0</v>
      </c>
      <c r="O864" t="n">
        <v>0</v>
      </c>
      <c r="P864" t="n">
        <v>0</v>
      </c>
      <c r="Q864" t="n">
        <v>0</v>
      </c>
      <c r="R864" s="2" t="inlineStr"/>
    </row>
    <row r="865" ht="15" customHeight="1">
      <c r="A865" t="inlineStr">
        <is>
          <t>A 19276-2024</t>
        </is>
      </c>
      <c r="B865" s="1" t="n">
        <v>45428</v>
      </c>
      <c r="C865" s="1" t="n">
        <v>45802</v>
      </c>
      <c r="D865" t="inlineStr">
        <is>
          <t>DALARNAS LÄN</t>
        </is>
      </c>
      <c r="E865" t="inlineStr">
        <is>
          <t>LUDVIKA</t>
        </is>
      </c>
      <c r="G865" t="n">
        <v>2.8</v>
      </c>
      <c r="H865" t="n">
        <v>0</v>
      </c>
      <c r="I865" t="n">
        <v>0</v>
      </c>
      <c r="J865" t="n">
        <v>0</v>
      </c>
      <c r="K865" t="n">
        <v>0</v>
      </c>
      <c r="L865" t="n">
        <v>0</v>
      </c>
      <c r="M865" t="n">
        <v>0</v>
      </c>
      <c r="N865" t="n">
        <v>0</v>
      </c>
      <c r="O865" t="n">
        <v>0</v>
      </c>
      <c r="P865" t="n">
        <v>0</v>
      </c>
      <c r="Q865" t="n">
        <v>0</v>
      </c>
      <c r="R865" s="2" t="inlineStr"/>
    </row>
    <row r="866" ht="15" customHeight="1">
      <c r="A866" t="inlineStr">
        <is>
          <t>A 19463-2024</t>
        </is>
      </c>
      <c r="B866" s="1" t="n">
        <v>45429</v>
      </c>
      <c r="C866" s="1" t="n">
        <v>45802</v>
      </c>
      <c r="D866" t="inlineStr">
        <is>
          <t>DALARNAS LÄN</t>
        </is>
      </c>
      <c r="E866" t="inlineStr">
        <is>
          <t>LUDVIKA</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19389-2024</t>
        </is>
      </c>
      <c r="B867" s="1" t="n">
        <v>45429</v>
      </c>
      <c r="C867" s="1" t="n">
        <v>45802</v>
      </c>
      <c r="D867" t="inlineStr">
        <is>
          <t>DALARNAS LÄN</t>
        </is>
      </c>
      <c r="E867" t="inlineStr">
        <is>
          <t>LUDVIKA</t>
        </is>
      </c>
      <c r="F867" t="inlineStr">
        <is>
          <t>Bergvik skog väst AB</t>
        </is>
      </c>
      <c r="G867" t="n">
        <v>5.3</v>
      </c>
      <c r="H867" t="n">
        <v>0</v>
      </c>
      <c r="I867" t="n">
        <v>0</v>
      </c>
      <c r="J867" t="n">
        <v>0</v>
      </c>
      <c r="K867" t="n">
        <v>0</v>
      </c>
      <c r="L867" t="n">
        <v>0</v>
      </c>
      <c r="M867" t="n">
        <v>0</v>
      </c>
      <c r="N867" t="n">
        <v>0</v>
      </c>
      <c r="O867" t="n">
        <v>0</v>
      </c>
      <c r="P867" t="n">
        <v>0</v>
      </c>
      <c r="Q867" t="n">
        <v>0</v>
      </c>
      <c r="R867" s="2" t="inlineStr"/>
    </row>
    <row r="868" ht="15" customHeight="1">
      <c r="A868" t="inlineStr">
        <is>
          <t>A 19445-2024</t>
        </is>
      </c>
      <c r="B868" s="1" t="n">
        <v>45429</v>
      </c>
      <c r="C868" s="1" t="n">
        <v>45802</v>
      </c>
      <c r="D868" t="inlineStr">
        <is>
          <t>DALARNAS LÄN</t>
        </is>
      </c>
      <c r="E868" t="inlineStr">
        <is>
          <t>LUDVIKA</t>
        </is>
      </c>
      <c r="F868" t="inlineStr">
        <is>
          <t>Bergvik skog väst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19651-2024</t>
        </is>
      </c>
      <c r="B869" s="1" t="n">
        <v>45432</v>
      </c>
      <c r="C869" s="1" t="n">
        <v>45802</v>
      </c>
      <c r="D869" t="inlineStr">
        <is>
          <t>DALARNAS LÄN</t>
        </is>
      </c>
      <c r="E869" t="inlineStr">
        <is>
          <t>LUDVIKA</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19684-2024</t>
        </is>
      </c>
      <c r="B870" s="1" t="n">
        <v>45432</v>
      </c>
      <c r="C870" s="1" t="n">
        <v>45802</v>
      </c>
      <c r="D870" t="inlineStr">
        <is>
          <t>DALARNAS LÄN</t>
        </is>
      </c>
      <c r="E870" t="inlineStr">
        <is>
          <t>LUDVIKA</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19688-2024</t>
        </is>
      </c>
      <c r="B871" s="1" t="n">
        <v>45432</v>
      </c>
      <c r="C871" s="1" t="n">
        <v>45802</v>
      </c>
      <c r="D871" t="inlineStr">
        <is>
          <t>DALARNAS LÄN</t>
        </is>
      </c>
      <c r="E871" t="inlineStr">
        <is>
          <t>LUDVIKA</t>
        </is>
      </c>
      <c r="F871" t="inlineStr">
        <is>
          <t>Bergvik skog väst AB</t>
        </is>
      </c>
      <c r="G871" t="n">
        <v>10</v>
      </c>
      <c r="H871" t="n">
        <v>0</v>
      </c>
      <c r="I871" t="n">
        <v>0</v>
      </c>
      <c r="J871" t="n">
        <v>0</v>
      </c>
      <c r="K871" t="n">
        <v>0</v>
      </c>
      <c r="L871" t="n">
        <v>0</v>
      </c>
      <c r="M871" t="n">
        <v>0</v>
      </c>
      <c r="N871" t="n">
        <v>0</v>
      </c>
      <c r="O871" t="n">
        <v>0</v>
      </c>
      <c r="P871" t="n">
        <v>0</v>
      </c>
      <c r="Q871" t="n">
        <v>0</v>
      </c>
      <c r="R871" s="2" t="inlineStr"/>
    </row>
    <row r="872" ht="15" customHeight="1">
      <c r="A872" t="inlineStr">
        <is>
          <t>A 20692-2024</t>
        </is>
      </c>
      <c r="B872" s="1" t="n">
        <v>45436</v>
      </c>
      <c r="C872" s="1" t="n">
        <v>45802</v>
      </c>
      <c r="D872" t="inlineStr">
        <is>
          <t>DALARNAS LÄN</t>
        </is>
      </c>
      <c r="E872" t="inlineStr">
        <is>
          <t>LUDVIKA</t>
        </is>
      </c>
      <c r="F872" t="inlineStr">
        <is>
          <t>Bergvik skog väst AB</t>
        </is>
      </c>
      <c r="G872" t="n">
        <v>12.8</v>
      </c>
      <c r="H872" t="n">
        <v>0</v>
      </c>
      <c r="I872" t="n">
        <v>0</v>
      </c>
      <c r="J872" t="n">
        <v>0</v>
      </c>
      <c r="K872" t="n">
        <v>0</v>
      </c>
      <c r="L872" t="n">
        <v>0</v>
      </c>
      <c r="M872" t="n">
        <v>0</v>
      </c>
      <c r="N872" t="n">
        <v>0</v>
      </c>
      <c r="O872" t="n">
        <v>0</v>
      </c>
      <c r="P872" t="n">
        <v>0</v>
      </c>
      <c r="Q872" t="n">
        <v>0</v>
      </c>
      <c r="R872" s="2" t="inlineStr"/>
    </row>
    <row r="873" ht="15" customHeight="1">
      <c r="A873" t="inlineStr">
        <is>
          <t>A 23103-2024</t>
        </is>
      </c>
      <c r="B873" s="1" t="n">
        <v>45450</v>
      </c>
      <c r="C873" s="1" t="n">
        <v>45802</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23443-2024</t>
        </is>
      </c>
      <c r="B874" s="1" t="n">
        <v>45453</v>
      </c>
      <c r="C874" s="1" t="n">
        <v>45802</v>
      </c>
      <c r="D874" t="inlineStr">
        <is>
          <t>DALARNAS LÄN</t>
        </is>
      </c>
      <c r="E874" t="inlineStr">
        <is>
          <t>LUDVIKA</t>
        </is>
      </c>
      <c r="F874" t="inlineStr">
        <is>
          <t>Bergvik skog väst AB</t>
        </is>
      </c>
      <c r="G874" t="n">
        <v>3.2</v>
      </c>
      <c r="H874" t="n">
        <v>0</v>
      </c>
      <c r="I874" t="n">
        <v>0</v>
      </c>
      <c r="J874" t="n">
        <v>0</v>
      </c>
      <c r="K874" t="n">
        <v>0</v>
      </c>
      <c r="L874" t="n">
        <v>0</v>
      </c>
      <c r="M874" t="n">
        <v>0</v>
      </c>
      <c r="N874" t="n">
        <v>0</v>
      </c>
      <c r="O874" t="n">
        <v>0</v>
      </c>
      <c r="P874" t="n">
        <v>0</v>
      </c>
      <c r="Q874" t="n">
        <v>0</v>
      </c>
      <c r="R874" s="2" t="inlineStr"/>
    </row>
    <row r="875" ht="15" customHeight="1">
      <c r="A875" t="inlineStr">
        <is>
          <t>A 23392-2024</t>
        </is>
      </c>
      <c r="B875" s="1" t="n">
        <v>45453</v>
      </c>
      <c r="C875" s="1" t="n">
        <v>45802</v>
      </c>
      <c r="D875" t="inlineStr">
        <is>
          <t>DALARNAS LÄN</t>
        </is>
      </c>
      <c r="E875" t="inlineStr">
        <is>
          <t>LUDVIKA</t>
        </is>
      </c>
      <c r="G875" t="n">
        <v>5.2</v>
      </c>
      <c r="H875" t="n">
        <v>0</v>
      </c>
      <c r="I875" t="n">
        <v>0</v>
      </c>
      <c r="J875" t="n">
        <v>0</v>
      </c>
      <c r="K875" t="n">
        <v>0</v>
      </c>
      <c r="L875" t="n">
        <v>0</v>
      </c>
      <c r="M875" t="n">
        <v>0</v>
      </c>
      <c r="N875" t="n">
        <v>0</v>
      </c>
      <c r="O875" t="n">
        <v>0</v>
      </c>
      <c r="P875" t="n">
        <v>0</v>
      </c>
      <c r="Q875" t="n">
        <v>0</v>
      </c>
      <c r="R875" s="2" t="inlineStr"/>
    </row>
    <row r="876" ht="15" customHeight="1">
      <c r="A876" t="inlineStr">
        <is>
          <t>A 23383-2024</t>
        </is>
      </c>
      <c r="B876" s="1" t="n">
        <v>45453</v>
      </c>
      <c r="C876" s="1" t="n">
        <v>45802</v>
      </c>
      <c r="D876" t="inlineStr">
        <is>
          <t>DALARNAS LÄN</t>
        </is>
      </c>
      <c r="E876" t="inlineStr">
        <is>
          <t>LUDVIKA</t>
        </is>
      </c>
      <c r="G876" t="n">
        <v>1.6</v>
      </c>
      <c r="H876" t="n">
        <v>0</v>
      </c>
      <c r="I876" t="n">
        <v>0</v>
      </c>
      <c r="J876" t="n">
        <v>0</v>
      </c>
      <c r="K876" t="n">
        <v>0</v>
      </c>
      <c r="L876" t="n">
        <v>0</v>
      </c>
      <c r="M876" t="n">
        <v>0</v>
      </c>
      <c r="N876" t="n">
        <v>0</v>
      </c>
      <c r="O876" t="n">
        <v>0</v>
      </c>
      <c r="P876" t="n">
        <v>0</v>
      </c>
      <c r="Q876" t="n">
        <v>0</v>
      </c>
      <c r="R876" s="2" t="inlineStr"/>
    </row>
    <row r="877" ht="15" customHeight="1">
      <c r="A877" t="inlineStr">
        <is>
          <t>A 23363-2024</t>
        </is>
      </c>
      <c r="B877" s="1" t="n">
        <v>45453</v>
      </c>
      <c r="C877" s="1" t="n">
        <v>45802</v>
      </c>
      <c r="D877" t="inlineStr">
        <is>
          <t>DALARNAS LÄN</t>
        </is>
      </c>
      <c r="E877" t="inlineStr">
        <is>
          <t>LUDVIKA</t>
        </is>
      </c>
      <c r="G877" t="n">
        <v>6.4</v>
      </c>
      <c r="H877" t="n">
        <v>0</v>
      </c>
      <c r="I877" t="n">
        <v>0</v>
      </c>
      <c r="J877" t="n">
        <v>0</v>
      </c>
      <c r="K877" t="n">
        <v>0</v>
      </c>
      <c r="L877" t="n">
        <v>0</v>
      </c>
      <c r="M877" t="n">
        <v>0</v>
      </c>
      <c r="N877" t="n">
        <v>0</v>
      </c>
      <c r="O877" t="n">
        <v>0</v>
      </c>
      <c r="P877" t="n">
        <v>0</v>
      </c>
      <c r="Q877" t="n">
        <v>0</v>
      </c>
      <c r="R877" s="2" t="inlineStr"/>
    </row>
    <row r="878" ht="15" customHeight="1">
      <c r="A878" t="inlineStr">
        <is>
          <t>A 23689-2024</t>
        </is>
      </c>
      <c r="B878" s="1" t="n">
        <v>45454</v>
      </c>
      <c r="C878" s="1" t="n">
        <v>45802</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23867-2024</t>
        </is>
      </c>
      <c r="B879" s="1" t="n">
        <v>45455</v>
      </c>
      <c r="C879" s="1" t="n">
        <v>45802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24712-2024</t>
        </is>
      </c>
      <c r="B880" s="1" t="n">
        <v>45460</v>
      </c>
      <c r="C880" s="1" t="n">
        <v>45802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24977-2024</t>
        </is>
      </c>
      <c r="B881" s="1" t="n">
        <v>45461</v>
      </c>
      <c r="C881" s="1" t="n">
        <v>45802</v>
      </c>
      <c r="D881" t="inlineStr">
        <is>
          <t>DALARNAS LÄN</t>
        </is>
      </c>
      <c r="E881" t="inlineStr">
        <is>
          <t>LUDVIKA</t>
        </is>
      </c>
      <c r="F881" t="inlineStr">
        <is>
          <t>Bergvik skog väst AB</t>
        </is>
      </c>
      <c r="G881" t="n">
        <v>15.4</v>
      </c>
      <c r="H881" t="n">
        <v>0</v>
      </c>
      <c r="I881" t="n">
        <v>0</v>
      </c>
      <c r="J881" t="n">
        <v>0</v>
      </c>
      <c r="K881" t="n">
        <v>0</v>
      </c>
      <c r="L881" t="n">
        <v>0</v>
      </c>
      <c r="M881" t="n">
        <v>0</v>
      </c>
      <c r="N881" t="n">
        <v>0</v>
      </c>
      <c r="O881" t="n">
        <v>0</v>
      </c>
      <c r="P881" t="n">
        <v>0</v>
      </c>
      <c r="Q881" t="n">
        <v>0</v>
      </c>
      <c r="R881" s="2" t="inlineStr"/>
    </row>
    <row r="882" ht="15" customHeight="1">
      <c r="A882" t="inlineStr">
        <is>
          <t>A 25281-2024</t>
        </is>
      </c>
      <c r="B882" s="1" t="n">
        <v>45462</v>
      </c>
      <c r="C882" s="1" t="n">
        <v>45802</v>
      </c>
      <c r="D882" t="inlineStr">
        <is>
          <t>DALARNAS LÄN</t>
        </is>
      </c>
      <c r="E882" t="inlineStr">
        <is>
          <t>LUDVIKA</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26856-2024</t>
        </is>
      </c>
      <c r="B883" s="1" t="n">
        <v>45470</v>
      </c>
      <c r="C883" s="1" t="n">
        <v>45802</v>
      </c>
      <c r="D883" t="inlineStr">
        <is>
          <t>DALARNAS LÄN</t>
        </is>
      </c>
      <c r="E883" t="inlineStr">
        <is>
          <t>LUDVIKA</t>
        </is>
      </c>
      <c r="G883" t="n">
        <v>3.2</v>
      </c>
      <c r="H883" t="n">
        <v>0</v>
      </c>
      <c r="I883" t="n">
        <v>0</v>
      </c>
      <c r="J883" t="n">
        <v>0</v>
      </c>
      <c r="K883" t="n">
        <v>0</v>
      </c>
      <c r="L883" t="n">
        <v>0</v>
      </c>
      <c r="M883" t="n">
        <v>0</v>
      </c>
      <c r="N883" t="n">
        <v>0</v>
      </c>
      <c r="O883" t="n">
        <v>0</v>
      </c>
      <c r="P883" t="n">
        <v>0</v>
      </c>
      <c r="Q883" t="n">
        <v>0</v>
      </c>
      <c r="R883" s="2" t="inlineStr"/>
    </row>
    <row r="884" ht="15" customHeight="1">
      <c r="A884" t="inlineStr">
        <is>
          <t>A 27044-2024</t>
        </is>
      </c>
      <c r="B884" s="1" t="n">
        <v>45471</v>
      </c>
      <c r="C884" s="1" t="n">
        <v>45802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27389-2024</t>
        </is>
      </c>
      <c r="B885" s="1" t="n">
        <v>45474</v>
      </c>
      <c r="C885" s="1" t="n">
        <v>45802</v>
      </c>
      <c r="D885" t="inlineStr">
        <is>
          <t>DALARNAS LÄN</t>
        </is>
      </c>
      <c r="E885" t="inlineStr">
        <is>
          <t>LUDVIKA</t>
        </is>
      </c>
      <c r="G885" t="n">
        <v>0.6</v>
      </c>
      <c r="H885" t="n">
        <v>0</v>
      </c>
      <c r="I885" t="n">
        <v>0</v>
      </c>
      <c r="J885" t="n">
        <v>0</v>
      </c>
      <c r="K885" t="n">
        <v>0</v>
      </c>
      <c r="L885" t="n">
        <v>0</v>
      </c>
      <c r="M885" t="n">
        <v>0</v>
      </c>
      <c r="N885" t="n">
        <v>0</v>
      </c>
      <c r="O885" t="n">
        <v>0</v>
      </c>
      <c r="P885" t="n">
        <v>0</v>
      </c>
      <c r="Q885" t="n">
        <v>0</v>
      </c>
      <c r="R885" s="2" t="inlineStr"/>
    </row>
    <row r="886" ht="15" customHeight="1">
      <c r="A886" t="inlineStr">
        <is>
          <t>A 27425-2024</t>
        </is>
      </c>
      <c r="B886" s="1" t="n">
        <v>45474</v>
      </c>
      <c r="C886" s="1" t="n">
        <v>45802</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27429-2024</t>
        </is>
      </c>
      <c r="B887" s="1" t="n">
        <v>45474</v>
      </c>
      <c r="C887" s="1" t="n">
        <v>45802</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28085-2024</t>
        </is>
      </c>
      <c r="B888" s="1" t="n">
        <v>45476</v>
      </c>
      <c r="C888" s="1" t="n">
        <v>45802</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28124-2024</t>
        </is>
      </c>
      <c r="B889" s="1" t="n">
        <v>45476</v>
      </c>
      <c r="C889" s="1" t="n">
        <v>45802</v>
      </c>
      <c r="D889" t="inlineStr">
        <is>
          <t>DALARNAS LÄN</t>
        </is>
      </c>
      <c r="E889" t="inlineStr">
        <is>
          <t>LUDVIKA</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28698-2024</t>
        </is>
      </c>
      <c r="B890" s="1" t="n">
        <v>45478</v>
      </c>
      <c r="C890" s="1" t="n">
        <v>45802</v>
      </c>
      <c r="D890" t="inlineStr">
        <is>
          <t>DALARNAS LÄN</t>
        </is>
      </c>
      <c r="E890" t="inlineStr">
        <is>
          <t>LUDVIKA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29114-2024</t>
        </is>
      </c>
      <c r="B891" s="1" t="n">
        <v>45482</v>
      </c>
      <c r="C891" s="1" t="n">
        <v>45802</v>
      </c>
      <c r="D891" t="inlineStr">
        <is>
          <t>DALARNAS LÄN</t>
        </is>
      </c>
      <c r="E891" t="inlineStr">
        <is>
          <t>LUDVIKA</t>
        </is>
      </c>
      <c r="G891" t="n">
        <v>1</v>
      </c>
      <c r="H891" t="n">
        <v>0</v>
      </c>
      <c r="I891" t="n">
        <v>0</v>
      </c>
      <c r="J891" t="n">
        <v>0</v>
      </c>
      <c r="K891" t="n">
        <v>0</v>
      </c>
      <c r="L891" t="n">
        <v>0</v>
      </c>
      <c r="M891" t="n">
        <v>0</v>
      </c>
      <c r="N891" t="n">
        <v>0</v>
      </c>
      <c r="O891" t="n">
        <v>0</v>
      </c>
      <c r="P891" t="n">
        <v>0</v>
      </c>
      <c r="Q891" t="n">
        <v>0</v>
      </c>
      <c r="R891" s="2" t="inlineStr"/>
    </row>
    <row r="892" ht="15" customHeight="1">
      <c r="A892" t="inlineStr">
        <is>
          <t>A 29007-2024</t>
        </is>
      </c>
      <c r="B892" s="1" t="n">
        <v>45481</v>
      </c>
      <c r="C892" s="1" t="n">
        <v>45802</v>
      </c>
      <c r="D892" t="inlineStr">
        <is>
          <t>DALARNAS LÄN</t>
        </is>
      </c>
      <c r="E892" t="inlineStr">
        <is>
          <t>LUDVIKA</t>
        </is>
      </c>
      <c r="G892" t="n">
        <v>2.4</v>
      </c>
      <c r="H892" t="n">
        <v>0</v>
      </c>
      <c r="I892" t="n">
        <v>0</v>
      </c>
      <c r="J892" t="n">
        <v>0</v>
      </c>
      <c r="K892" t="n">
        <v>0</v>
      </c>
      <c r="L892" t="n">
        <v>0</v>
      </c>
      <c r="M892" t="n">
        <v>0</v>
      </c>
      <c r="N892" t="n">
        <v>0</v>
      </c>
      <c r="O892" t="n">
        <v>0</v>
      </c>
      <c r="P892" t="n">
        <v>0</v>
      </c>
      <c r="Q892" t="n">
        <v>0</v>
      </c>
      <c r="R892" s="2" t="inlineStr"/>
    </row>
    <row r="893" ht="15" customHeight="1">
      <c r="A893" t="inlineStr">
        <is>
          <t>A 28921-2024</t>
        </is>
      </c>
      <c r="B893" s="1" t="n">
        <v>45481</v>
      </c>
      <c r="C893" s="1" t="n">
        <v>45802</v>
      </c>
      <c r="D893" t="inlineStr">
        <is>
          <t>DALARNAS LÄN</t>
        </is>
      </c>
      <c r="E893" t="inlineStr">
        <is>
          <t>LUDVIKA</t>
        </is>
      </c>
      <c r="G893" t="n">
        <v>4.2</v>
      </c>
      <c r="H893" t="n">
        <v>0</v>
      </c>
      <c r="I893" t="n">
        <v>0</v>
      </c>
      <c r="J893" t="n">
        <v>0</v>
      </c>
      <c r="K893" t="n">
        <v>0</v>
      </c>
      <c r="L893" t="n">
        <v>0</v>
      </c>
      <c r="M893" t="n">
        <v>0</v>
      </c>
      <c r="N893" t="n">
        <v>0</v>
      </c>
      <c r="O893" t="n">
        <v>0</v>
      </c>
      <c r="P893" t="n">
        <v>0</v>
      </c>
      <c r="Q893" t="n">
        <v>0</v>
      </c>
      <c r="R893" s="2" t="inlineStr"/>
    </row>
    <row r="894" ht="15" customHeight="1">
      <c r="A894" t="inlineStr">
        <is>
          <t>A 29320-2024</t>
        </is>
      </c>
      <c r="B894" s="1" t="n">
        <v>45483</v>
      </c>
      <c r="C894" s="1" t="n">
        <v>45802</v>
      </c>
      <c r="D894" t="inlineStr">
        <is>
          <t>DALARNAS LÄN</t>
        </is>
      </c>
      <c r="E894" t="inlineStr">
        <is>
          <t>LUDVIKA</t>
        </is>
      </c>
      <c r="G894" t="n">
        <v>4.6</v>
      </c>
      <c r="H894" t="n">
        <v>0</v>
      </c>
      <c r="I894" t="n">
        <v>0</v>
      </c>
      <c r="J894" t="n">
        <v>0</v>
      </c>
      <c r="K894" t="n">
        <v>0</v>
      </c>
      <c r="L894" t="n">
        <v>0</v>
      </c>
      <c r="M894" t="n">
        <v>0</v>
      </c>
      <c r="N894" t="n">
        <v>0</v>
      </c>
      <c r="O894" t="n">
        <v>0</v>
      </c>
      <c r="P894" t="n">
        <v>0</v>
      </c>
      <c r="Q894" t="n">
        <v>0</v>
      </c>
      <c r="R894" s="2" t="inlineStr"/>
    </row>
    <row r="895" ht="15" customHeight="1">
      <c r="A895" t="inlineStr">
        <is>
          <t>A 29453-2024</t>
        </is>
      </c>
      <c r="B895" s="1" t="n">
        <v>45484</v>
      </c>
      <c r="C895" s="1" t="n">
        <v>45802</v>
      </c>
      <c r="D895" t="inlineStr">
        <is>
          <t>DALARNAS LÄN</t>
        </is>
      </c>
      <c r="E895" t="inlineStr">
        <is>
          <t>LUDVIKA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29965-2024</t>
        </is>
      </c>
      <c r="B896" s="1" t="n">
        <v>45485</v>
      </c>
      <c r="C896" s="1" t="n">
        <v>45802</v>
      </c>
      <c r="D896" t="inlineStr">
        <is>
          <t>DALARNAS LÄN</t>
        </is>
      </c>
      <c r="E896" t="inlineStr">
        <is>
          <t>LUDVIKA</t>
        </is>
      </c>
      <c r="G896" t="n">
        <v>11.4</v>
      </c>
      <c r="H896" t="n">
        <v>0</v>
      </c>
      <c r="I896" t="n">
        <v>0</v>
      </c>
      <c r="J896" t="n">
        <v>0</v>
      </c>
      <c r="K896" t="n">
        <v>0</v>
      </c>
      <c r="L896" t="n">
        <v>0</v>
      </c>
      <c r="M896" t="n">
        <v>0</v>
      </c>
      <c r="N896" t="n">
        <v>0</v>
      </c>
      <c r="O896" t="n">
        <v>0</v>
      </c>
      <c r="P896" t="n">
        <v>0</v>
      </c>
      <c r="Q896" t="n">
        <v>0</v>
      </c>
      <c r="R896" s="2" t="inlineStr"/>
    </row>
    <row r="897" ht="15" customHeight="1">
      <c r="A897" t="inlineStr">
        <is>
          <t>A 29743-2024</t>
        </is>
      </c>
      <c r="B897" s="1" t="n">
        <v>45485</v>
      </c>
      <c r="C897" s="1" t="n">
        <v>45802</v>
      </c>
      <c r="D897" t="inlineStr">
        <is>
          <t>DALARNAS LÄN</t>
        </is>
      </c>
      <c r="E897" t="inlineStr">
        <is>
          <t>LUDVIKA</t>
        </is>
      </c>
      <c r="G897" t="n">
        <v>0.7</v>
      </c>
      <c r="H897" t="n">
        <v>0</v>
      </c>
      <c r="I897" t="n">
        <v>0</v>
      </c>
      <c r="J897" t="n">
        <v>0</v>
      </c>
      <c r="K897" t="n">
        <v>0</v>
      </c>
      <c r="L897" t="n">
        <v>0</v>
      </c>
      <c r="M897" t="n">
        <v>0</v>
      </c>
      <c r="N897" t="n">
        <v>0</v>
      </c>
      <c r="O897" t="n">
        <v>0</v>
      </c>
      <c r="P897" t="n">
        <v>0</v>
      </c>
      <c r="Q897" t="n">
        <v>0</v>
      </c>
      <c r="R897" s="2" t="inlineStr"/>
    </row>
    <row r="898" ht="15" customHeight="1">
      <c r="A898" t="inlineStr">
        <is>
          <t>A 29709-2024</t>
        </is>
      </c>
      <c r="B898" s="1" t="n">
        <v>45485</v>
      </c>
      <c r="C898" s="1" t="n">
        <v>45802</v>
      </c>
      <c r="D898" t="inlineStr">
        <is>
          <t>DALARNAS LÄN</t>
        </is>
      </c>
      <c r="E898" t="inlineStr">
        <is>
          <t>LUDVIKA</t>
        </is>
      </c>
      <c r="F898" t="inlineStr">
        <is>
          <t>Bergvik skog väst AB</t>
        </is>
      </c>
      <c r="G898" t="n">
        <v>2.1</v>
      </c>
      <c r="H898" t="n">
        <v>0</v>
      </c>
      <c r="I898" t="n">
        <v>0</v>
      </c>
      <c r="J898" t="n">
        <v>0</v>
      </c>
      <c r="K898" t="n">
        <v>0</v>
      </c>
      <c r="L898" t="n">
        <v>0</v>
      </c>
      <c r="M898" t="n">
        <v>0</v>
      </c>
      <c r="N898" t="n">
        <v>0</v>
      </c>
      <c r="O898" t="n">
        <v>0</v>
      </c>
      <c r="P898" t="n">
        <v>0</v>
      </c>
      <c r="Q898" t="n">
        <v>0</v>
      </c>
      <c r="R898" s="2" t="inlineStr"/>
    </row>
    <row r="899" ht="15" customHeight="1">
      <c r="A899" t="inlineStr">
        <is>
          <t>A 29780-2024</t>
        </is>
      </c>
      <c r="B899" s="1" t="n">
        <v>45485</v>
      </c>
      <c r="C899" s="1" t="n">
        <v>45802</v>
      </c>
      <c r="D899" t="inlineStr">
        <is>
          <t>DALARNAS LÄN</t>
        </is>
      </c>
      <c r="E899" t="inlineStr">
        <is>
          <t>LUDVIKA</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29757-2024</t>
        </is>
      </c>
      <c r="B900" s="1" t="n">
        <v>45485</v>
      </c>
      <c r="C900" s="1" t="n">
        <v>45802</v>
      </c>
      <c r="D900" t="inlineStr">
        <is>
          <t>DALARNAS LÄN</t>
        </is>
      </c>
      <c r="E900" t="inlineStr">
        <is>
          <t>LUDVIKA</t>
        </is>
      </c>
      <c r="F900" t="inlineStr">
        <is>
          <t>Bergvik skog väst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29882-2024</t>
        </is>
      </c>
      <c r="B901" s="1" t="n">
        <v>45486</v>
      </c>
      <c r="C901" s="1" t="n">
        <v>45802</v>
      </c>
      <c r="D901" t="inlineStr">
        <is>
          <t>DALARNAS LÄN</t>
        </is>
      </c>
      <c r="E901" t="inlineStr">
        <is>
          <t>LUDVIKA</t>
        </is>
      </c>
      <c r="G901" t="n">
        <v>1.3</v>
      </c>
      <c r="H901" t="n">
        <v>0</v>
      </c>
      <c r="I901" t="n">
        <v>0</v>
      </c>
      <c r="J901" t="n">
        <v>0</v>
      </c>
      <c r="K901" t="n">
        <v>0</v>
      </c>
      <c r="L901" t="n">
        <v>0</v>
      </c>
      <c r="M901" t="n">
        <v>0</v>
      </c>
      <c r="N901" t="n">
        <v>0</v>
      </c>
      <c r="O901" t="n">
        <v>0</v>
      </c>
      <c r="P901" t="n">
        <v>0</v>
      </c>
      <c r="Q901" t="n">
        <v>0</v>
      </c>
      <c r="R901" s="2" t="inlineStr"/>
    </row>
    <row r="902" ht="15" customHeight="1">
      <c r="A902" t="inlineStr">
        <is>
          <t>A 30039-2024</t>
        </is>
      </c>
      <c r="B902" s="1" t="n">
        <v>45488</v>
      </c>
      <c r="C902" s="1" t="n">
        <v>45802</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30844-2024</t>
        </is>
      </c>
      <c r="B903" s="1" t="n">
        <v>45497</v>
      </c>
      <c r="C903" s="1" t="n">
        <v>45802</v>
      </c>
      <c r="D903" t="inlineStr">
        <is>
          <t>DALARNAS LÄN</t>
        </is>
      </c>
      <c r="E903" t="inlineStr">
        <is>
          <t>LUDVIKA</t>
        </is>
      </c>
      <c r="G903" t="n">
        <v>1.1</v>
      </c>
      <c r="H903" t="n">
        <v>0</v>
      </c>
      <c r="I903" t="n">
        <v>0</v>
      </c>
      <c r="J903" t="n">
        <v>0</v>
      </c>
      <c r="K903" t="n">
        <v>0</v>
      </c>
      <c r="L903" t="n">
        <v>0</v>
      </c>
      <c r="M903" t="n">
        <v>0</v>
      </c>
      <c r="N903" t="n">
        <v>0</v>
      </c>
      <c r="O903" t="n">
        <v>0</v>
      </c>
      <c r="P903" t="n">
        <v>0</v>
      </c>
      <c r="Q903" t="n">
        <v>0</v>
      </c>
      <c r="R903" s="2" t="inlineStr"/>
    </row>
    <row r="904" ht="15" customHeight="1">
      <c r="A904" t="inlineStr">
        <is>
          <t>A 30977-2024</t>
        </is>
      </c>
      <c r="B904" s="1" t="n">
        <v>45499</v>
      </c>
      <c r="C904" s="1" t="n">
        <v>45802</v>
      </c>
      <c r="D904" t="inlineStr">
        <is>
          <t>DALARNAS LÄN</t>
        </is>
      </c>
      <c r="E904" t="inlineStr">
        <is>
          <t>LUDVIKA</t>
        </is>
      </c>
      <c r="G904" t="n">
        <v>3.3</v>
      </c>
      <c r="H904" t="n">
        <v>0</v>
      </c>
      <c r="I904" t="n">
        <v>0</v>
      </c>
      <c r="J904" t="n">
        <v>0</v>
      </c>
      <c r="K904" t="n">
        <v>0</v>
      </c>
      <c r="L904" t="n">
        <v>0</v>
      </c>
      <c r="M904" t="n">
        <v>0</v>
      </c>
      <c r="N904" t="n">
        <v>0</v>
      </c>
      <c r="O904" t="n">
        <v>0</v>
      </c>
      <c r="P904" t="n">
        <v>0</v>
      </c>
      <c r="Q904" t="n">
        <v>0</v>
      </c>
      <c r="R904" s="2" t="inlineStr"/>
    </row>
    <row r="905" ht="15" customHeight="1">
      <c r="A905" t="inlineStr">
        <is>
          <t>A 31043-2024</t>
        </is>
      </c>
      <c r="B905" s="1" t="n">
        <v>45502</v>
      </c>
      <c r="C905" s="1" t="n">
        <v>45802</v>
      </c>
      <c r="D905" t="inlineStr">
        <is>
          <t>DALARNAS LÄN</t>
        </is>
      </c>
      <c r="E905" t="inlineStr">
        <is>
          <t>LUDVIKA</t>
        </is>
      </c>
      <c r="F905" t="inlineStr">
        <is>
          <t>Bergvik skog väst AB</t>
        </is>
      </c>
      <c r="G905" t="n">
        <v>2</v>
      </c>
      <c r="H905" t="n">
        <v>0</v>
      </c>
      <c r="I905" t="n">
        <v>0</v>
      </c>
      <c r="J905" t="n">
        <v>0</v>
      </c>
      <c r="K905" t="n">
        <v>0</v>
      </c>
      <c r="L905" t="n">
        <v>0</v>
      </c>
      <c r="M905" t="n">
        <v>0</v>
      </c>
      <c r="N905" t="n">
        <v>0</v>
      </c>
      <c r="O905" t="n">
        <v>0</v>
      </c>
      <c r="P905" t="n">
        <v>0</v>
      </c>
      <c r="Q905" t="n">
        <v>0</v>
      </c>
      <c r="R905" s="2" t="inlineStr"/>
    </row>
    <row r="906" ht="15" customHeight="1">
      <c r="A906" t="inlineStr">
        <is>
          <t>A 31100-2024</t>
        </is>
      </c>
      <c r="B906" s="1" t="n">
        <v>45502</v>
      </c>
      <c r="C906" s="1" t="n">
        <v>45802</v>
      </c>
      <c r="D906" t="inlineStr">
        <is>
          <t>DALARNAS LÄN</t>
        </is>
      </c>
      <c r="E906" t="inlineStr">
        <is>
          <t>LUDVIKA</t>
        </is>
      </c>
      <c r="G906" t="n">
        <v>1.7</v>
      </c>
      <c r="H906" t="n">
        <v>0</v>
      </c>
      <c r="I906" t="n">
        <v>0</v>
      </c>
      <c r="J906" t="n">
        <v>0</v>
      </c>
      <c r="K906" t="n">
        <v>0</v>
      </c>
      <c r="L906" t="n">
        <v>0</v>
      </c>
      <c r="M906" t="n">
        <v>0</v>
      </c>
      <c r="N906" t="n">
        <v>0</v>
      </c>
      <c r="O906" t="n">
        <v>0</v>
      </c>
      <c r="P906" t="n">
        <v>0</v>
      </c>
      <c r="Q906" t="n">
        <v>0</v>
      </c>
      <c r="R906" s="2" t="inlineStr"/>
    </row>
    <row r="907" ht="15" customHeight="1">
      <c r="A907" t="inlineStr">
        <is>
          <t>A 31041-2024</t>
        </is>
      </c>
      <c r="B907" s="1" t="n">
        <v>45502</v>
      </c>
      <c r="C907" s="1" t="n">
        <v>45802</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31188-2024</t>
        </is>
      </c>
      <c r="B908" s="1" t="n">
        <v>45503</v>
      </c>
      <c r="C908" s="1" t="n">
        <v>45802</v>
      </c>
      <c r="D908" t="inlineStr">
        <is>
          <t>DALARNAS LÄN</t>
        </is>
      </c>
      <c r="E908" t="inlineStr">
        <is>
          <t>LUDVIKA</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31219-2024</t>
        </is>
      </c>
      <c r="B909" s="1" t="n">
        <v>45503</v>
      </c>
      <c r="C909" s="1" t="n">
        <v>45802</v>
      </c>
      <c r="D909" t="inlineStr">
        <is>
          <t>DALARNAS LÄN</t>
        </is>
      </c>
      <c r="E909" t="inlineStr">
        <is>
          <t>LUDVIKA</t>
        </is>
      </c>
      <c r="F909" t="inlineStr">
        <is>
          <t>Bergvik skog väst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31208-2024</t>
        </is>
      </c>
      <c r="B910" s="1" t="n">
        <v>45503</v>
      </c>
      <c r="C910" s="1" t="n">
        <v>45802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31181-2024</t>
        </is>
      </c>
      <c r="B911" s="1" t="n">
        <v>45503</v>
      </c>
      <c r="C911" s="1" t="n">
        <v>45802</v>
      </c>
      <c r="D911" t="inlineStr">
        <is>
          <t>DALARNAS LÄN</t>
        </is>
      </c>
      <c r="E911" t="inlineStr">
        <is>
          <t>LUDVIKA</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31214-2024</t>
        </is>
      </c>
      <c r="B912" s="1" t="n">
        <v>45503</v>
      </c>
      <c r="C912" s="1" t="n">
        <v>45802</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31236-2024</t>
        </is>
      </c>
      <c r="B913" s="1" t="n">
        <v>45503</v>
      </c>
      <c r="C913" s="1" t="n">
        <v>45802</v>
      </c>
      <c r="D913" t="inlineStr">
        <is>
          <t>DALARNAS LÄN</t>
        </is>
      </c>
      <c r="E913" t="inlineStr">
        <is>
          <t>LUDVIKA</t>
        </is>
      </c>
      <c r="F913" t="inlineStr">
        <is>
          <t>Bergvik skog väst AB</t>
        </is>
      </c>
      <c r="G913" t="n">
        <v>3</v>
      </c>
      <c r="H913" t="n">
        <v>0</v>
      </c>
      <c r="I913" t="n">
        <v>0</v>
      </c>
      <c r="J913" t="n">
        <v>0</v>
      </c>
      <c r="K913" t="n">
        <v>0</v>
      </c>
      <c r="L913" t="n">
        <v>0</v>
      </c>
      <c r="M913" t="n">
        <v>0</v>
      </c>
      <c r="N913" t="n">
        <v>0</v>
      </c>
      <c r="O913" t="n">
        <v>0</v>
      </c>
      <c r="P913" t="n">
        <v>0</v>
      </c>
      <c r="Q913" t="n">
        <v>0</v>
      </c>
      <c r="R913" s="2" t="inlineStr"/>
    </row>
    <row r="914" ht="15" customHeight="1">
      <c r="A914" t="inlineStr">
        <is>
          <t>A 31249-2024</t>
        </is>
      </c>
      <c r="B914" s="1" t="n">
        <v>45503</v>
      </c>
      <c r="C914" s="1" t="n">
        <v>45802</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31222-2024</t>
        </is>
      </c>
      <c r="B915" s="1" t="n">
        <v>45503</v>
      </c>
      <c r="C915" s="1" t="n">
        <v>45802</v>
      </c>
      <c r="D915" t="inlineStr">
        <is>
          <t>DALARNAS LÄN</t>
        </is>
      </c>
      <c r="E915" t="inlineStr">
        <is>
          <t>LUDVIKA</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31331-2024</t>
        </is>
      </c>
      <c r="B916" s="1" t="n">
        <v>45504</v>
      </c>
      <c r="C916" s="1" t="n">
        <v>45802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31328-2024</t>
        </is>
      </c>
      <c r="B917" s="1" t="n">
        <v>45504</v>
      </c>
      <c r="C917" s="1" t="n">
        <v>45802</v>
      </c>
      <c r="D917" t="inlineStr">
        <is>
          <t>DALARNAS LÄN</t>
        </is>
      </c>
      <c r="E917" t="inlineStr">
        <is>
          <t>LUDVIKA</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31602-2024</t>
        </is>
      </c>
      <c r="B918" s="1" t="n">
        <v>45506</v>
      </c>
      <c r="C918" s="1" t="n">
        <v>45802</v>
      </c>
      <c r="D918" t="inlineStr">
        <is>
          <t>DALARNAS LÄN</t>
        </is>
      </c>
      <c r="E918" t="inlineStr">
        <is>
          <t>LUDVIKA</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31761-2024</t>
        </is>
      </c>
      <c r="B919" s="1" t="n">
        <v>45509</v>
      </c>
      <c r="C919" s="1" t="n">
        <v>45802</v>
      </c>
      <c r="D919" t="inlineStr">
        <is>
          <t>DALARNAS LÄN</t>
        </is>
      </c>
      <c r="E919" t="inlineStr">
        <is>
          <t>LUDVIKA</t>
        </is>
      </c>
      <c r="F919" t="inlineStr">
        <is>
          <t>Bergvik skog väst AB</t>
        </is>
      </c>
      <c r="G919" t="n">
        <v>4.6</v>
      </c>
      <c r="H919" t="n">
        <v>0</v>
      </c>
      <c r="I919" t="n">
        <v>0</v>
      </c>
      <c r="J919" t="n">
        <v>0</v>
      </c>
      <c r="K919" t="n">
        <v>0</v>
      </c>
      <c r="L919" t="n">
        <v>0</v>
      </c>
      <c r="M919" t="n">
        <v>0</v>
      </c>
      <c r="N919" t="n">
        <v>0</v>
      </c>
      <c r="O919" t="n">
        <v>0</v>
      </c>
      <c r="P919" t="n">
        <v>0</v>
      </c>
      <c r="Q919" t="n">
        <v>0</v>
      </c>
      <c r="R919" s="2" t="inlineStr"/>
    </row>
    <row r="920" ht="15" customHeight="1">
      <c r="A920" t="inlineStr">
        <is>
          <t>A 31985-2024</t>
        </is>
      </c>
      <c r="B920" s="1" t="n">
        <v>45510</v>
      </c>
      <c r="C920" s="1" t="n">
        <v>45802</v>
      </c>
      <c r="D920" t="inlineStr">
        <is>
          <t>DALARNAS LÄN</t>
        </is>
      </c>
      <c r="E920" t="inlineStr">
        <is>
          <t>LUDVIKA</t>
        </is>
      </c>
      <c r="F920" t="inlineStr">
        <is>
          <t>Bergvik skog väst AB</t>
        </is>
      </c>
      <c r="G920" t="n">
        <v>10.7</v>
      </c>
      <c r="H920" t="n">
        <v>0</v>
      </c>
      <c r="I920" t="n">
        <v>0</v>
      </c>
      <c r="J920" t="n">
        <v>0</v>
      </c>
      <c r="K920" t="n">
        <v>0</v>
      </c>
      <c r="L920" t="n">
        <v>0</v>
      </c>
      <c r="M920" t="n">
        <v>0</v>
      </c>
      <c r="N920" t="n">
        <v>0</v>
      </c>
      <c r="O920" t="n">
        <v>0</v>
      </c>
      <c r="P920" t="n">
        <v>0</v>
      </c>
      <c r="Q920" t="n">
        <v>0</v>
      </c>
      <c r="R920" s="2" t="inlineStr"/>
    </row>
    <row r="921" ht="15" customHeight="1">
      <c r="A921" t="inlineStr">
        <is>
          <t>A 31958-2024</t>
        </is>
      </c>
      <c r="B921" s="1" t="n">
        <v>45510</v>
      </c>
      <c r="C921" s="1" t="n">
        <v>45802</v>
      </c>
      <c r="D921" t="inlineStr">
        <is>
          <t>DALARNAS LÄN</t>
        </is>
      </c>
      <c r="E921" t="inlineStr">
        <is>
          <t>LUDVIKA</t>
        </is>
      </c>
      <c r="G921" t="n">
        <v>1.1</v>
      </c>
      <c r="H921" t="n">
        <v>0</v>
      </c>
      <c r="I921" t="n">
        <v>0</v>
      </c>
      <c r="J921" t="n">
        <v>0</v>
      </c>
      <c r="K921" t="n">
        <v>0</v>
      </c>
      <c r="L921" t="n">
        <v>0</v>
      </c>
      <c r="M921" t="n">
        <v>0</v>
      </c>
      <c r="N921" t="n">
        <v>0</v>
      </c>
      <c r="O921" t="n">
        <v>0</v>
      </c>
      <c r="P921" t="n">
        <v>0</v>
      </c>
      <c r="Q921" t="n">
        <v>0</v>
      </c>
      <c r="R921" s="2" t="inlineStr"/>
    </row>
    <row r="922" ht="15" customHeight="1">
      <c r="A922" t="inlineStr">
        <is>
          <t>A 32022-2024</t>
        </is>
      </c>
      <c r="B922" s="1" t="n">
        <v>45510</v>
      </c>
      <c r="C922" s="1" t="n">
        <v>45802</v>
      </c>
      <c r="D922" t="inlineStr">
        <is>
          <t>DALARNAS LÄN</t>
        </is>
      </c>
      <c r="E922" t="inlineStr">
        <is>
          <t>LUDVIKA</t>
        </is>
      </c>
      <c r="F922" t="inlineStr">
        <is>
          <t>Bergvik skog väst AB</t>
        </is>
      </c>
      <c r="G922" t="n">
        <v>5.7</v>
      </c>
      <c r="H922" t="n">
        <v>0</v>
      </c>
      <c r="I922" t="n">
        <v>0</v>
      </c>
      <c r="J922" t="n">
        <v>0</v>
      </c>
      <c r="K922" t="n">
        <v>0</v>
      </c>
      <c r="L922" t="n">
        <v>0</v>
      </c>
      <c r="M922" t="n">
        <v>0</v>
      </c>
      <c r="N922" t="n">
        <v>0</v>
      </c>
      <c r="O922" t="n">
        <v>0</v>
      </c>
      <c r="P922" t="n">
        <v>0</v>
      </c>
      <c r="Q922" t="n">
        <v>0</v>
      </c>
      <c r="R922" s="2" t="inlineStr"/>
    </row>
    <row r="923" ht="15" customHeight="1">
      <c r="A923" t="inlineStr">
        <is>
          <t>A 31982-2024</t>
        </is>
      </c>
      <c r="B923" s="1" t="n">
        <v>45510</v>
      </c>
      <c r="C923" s="1" t="n">
        <v>45802</v>
      </c>
      <c r="D923" t="inlineStr">
        <is>
          <t>DALARNAS LÄN</t>
        </is>
      </c>
      <c r="E923" t="inlineStr">
        <is>
          <t>LUDVIKA</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32163-2024</t>
        </is>
      </c>
      <c r="B924" s="1" t="n">
        <v>45511</v>
      </c>
      <c r="C924" s="1" t="n">
        <v>45802</v>
      </c>
      <c r="D924" t="inlineStr">
        <is>
          <t>DALARNAS LÄN</t>
        </is>
      </c>
      <c r="E924" t="inlineStr">
        <is>
          <t>LUDVIKA</t>
        </is>
      </c>
      <c r="F924" t="inlineStr">
        <is>
          <t>Bergvik skog väst AB</t>
        </is>
      </c>
      <c r="G924" t="n">
        <v>2.7</v>
      </c>
      <c r="H924" t="n">
        <v>0</v>
      </c>
      <c r="I924" t="n">
        <v>0</v>
      </c>
      <c r="J924" t="n">
        <v>0</v>
      </c>
      <c r="K924" t="n">
        <v>0</v>
      </c>
      <c r="L924" t="n">
        <v>0</v>
      </c>
      <c r="M924" t="n">
        <v>0</v>
      </c>
      <c r="N924" t="n">
        <v>0</v>
      </c>
      <c r="O924" t="n">
        <v>0</v>
      </c>
      <c r="P924" t="n">
        <v>0</v>
      </c>
      <c r="Q924" t="n">
        <v>0</v>
      </c>
      <c r="R924" s="2" t="inlineStr"/>
    </row>
    <row r="925" ht="15" customHeight="1">
      <c r="A925" t="inlineStr">
        <is>
          <t>A 32305-2024</t>
        </is>
      </c>
      <c r="B925" s="1" t="n">
        <v>45512</v>
      </c>
      <c r="C925" s="1" t="n">
        <v>45802</v>
      </c>
      <c r="D925" t="inlineStr">
        <is>
          <t>DALARNAS LÄN</t>
        </is>
      </c>
      <c r="E925" t="inlineStr">
        <is>
          <t>LUDVIKA</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32301-2024</t>
        </is>
      </c>
      <c r="B926" s="1" t="n">
        <v>45512</v>
      </c>
      <c r="C926" s="1" t="n">
        <v>45802</v>
      </c>
      <c r="D926" t="inlineStr">
        <is>
          <t>DALARNAS LÄN</t>
        </is>
      </c>
      <c r="E926" t="inlineStr">
        <is>
          <t>LUDVIKA</t>
        </is>
      </c>
      <c r="F926" t="inlineStr">
        <is>
          <t>Bergvik skog väst AB</t>
        </is>
      </c>
      <c r="G926" t="n">
        <v>2.8</v>
      </c>
      <c r="H926" t="n">
        <v>0</v>
      </c>
      <c r="I926" t="n">
        <v>0</v>
      </c>
      <c r="J926" t="n">
        <v>0</v>
      </c>
      <c r="K926" t="n">
        <v>0</v>
      </c>
      <c r="L926" t="n">
        <v>0</v>
      </c>
      <c r="M926" t="n">
        <v>0</v>
      </c>
      <c r="N926" t="n">
        <v>0</v>
      </c>
      <c r="O926" t="n">
        <v>0</v>
      </c>
      <c r="P926" t="n">
        <v>0</v>
      </c>
      <c r="Q926" t="n">
        <v>0</v>
      </c>
      <c r="R926" s="2" t="inlineStr"/>
    </row>
    <row r="927" ht="15" customHeight="1">
      <c r="A927" t="inlineStr">
        <is>
          <t>A 32277-2024</t>
        </is>
      </c>
      <c r="B927" s="1" t="n">
        <v>45512</v>
      </c>
      <c r="C927" s="1" t="n">
        <v>45802</v>
      </c>
      <c r="D927" t="inlineStr">
        <is>
          <t>DALARNAS LÄN</t>
        </is>
      </c>
      <c r="E927" t="inlineStr">
        <is>
          <t>LUDVIKA</t>
        </is>
      </c>
      <c r="F927" t="inlineStr">
        <is>
          <t>Bergvik skog väst AB</t>
        </is>
      </c>
      <c r="G927" t="n">
        <v>0.7</v>
      </c>
      <c r="H927" t="n">
        <v>0</v>
      </c>
      <c r="I927" t="n">
        <v>0</v>
      </c>
      <c r="J927" t="n">
        <v>0</v>
      </c>
      <c r="K927" t="n">
        <v>0</v>
      </c>
      <c r="L927" t="n">
        <v>0</v>
      </c>
      <c r="M927" t="n">
        <v>0</v>
      </c>
      <c r="N927" t="n">
        <v>0</v>
      </c>
      <c r="O927" t="n">
        <v>0</v>
      </c>
      <c r="P927" t="n">
        <v>0</v>
      </c>
      <c r="Q927" t="n">
        <v>0</v>
      </c>
      <c r="R927" s="2" t="inlineStr"/>
    </row>
    <row r="928" ht="15" customHeight="1">
      <c r="A928" t="inlineStr">
        <is>
          <t>A 32273-2024</t>
        </is>
      </c>
      <c r="B928" s="1" t="n">
        <v>45512</v>
      </c>
      <c r="C928" s="1" t="n">
        <v>45802</v>
      </c>
      <c r="D928" t="inlineStr">
        <is>
          <t>DALARNAS LÄN</t>
        </is>
      </c>
      <c r="E928" t="inlineStr">
        <is>
          <t>LUDVIKA</t>
        </is>
      </c>
      <c r="F928" t="inlineStr">
        <is>
          <t>Bergvik skog väst AB</t>
        </is>
      </c>
      <c r="G928" t="n">
        <v>2.5</v>
      </c>
      <c r="H928" t="n">
        <v>0</v>
      </c>
      <c r="I928" t="n">
        <v>0</v>
      </c>
      <c r="J928" t="n">
        <v>0</v>
      </c>
      <c r="K928" t="n">
        <v>0</v>
      </c>
      <c r="L928" t="n">
        <v>0</v>
      </c>
      <c r="M928" t="n">
        <v>0</v>
      </c>
      <c r="N928" t="n">
        <v>0</v>
      </c>
      <c r="O928" t="n">
        <v>0</v>
      </c>
      <c r="P928" t="n">
        <v>0</v>
      </c>
      <c r="Q928" t="n">
        <v>0</v>
      </c>
      <c r="R928" s="2" t="inlineStr"/>
    </row>
    <row r="929" ht="15" customHeight="1">
      <c r="A929" t="inlineStr">
        <is>
          <t>A 32265-2024</t>
        </is>
      </c>
      <c r="B929" s="1" t="n">
        <v>45512</v>
      </c>
      <c r="C929" s="1" t="n">
        <v>45802</v>
      </c>
      <c r="D929" t="inlineStr">
        <is>
          <t>DALARNAS LÄN</t>
        </is>
      </c>
      <c r="E929" t="inlineStr">
        <is>
          <t>LUDVIKA</t>
        </is>
      </c>
      <c r="F929" t="inlineStr">
        <is>
          <t>Bergvik skog väst AB</t>
        </is>
      </c>
      <c r="G929" t="n">
        <v>2.1</v>
      </c>
      <c r="H929" t="n">
        <v>0</v>
      </c>
      <c r="I929" t="n">
        <v>0</v>
      </c>
      <c r="J929" t="n">
        <v>0</v>
      </c>
      <c r="K929" t="n">
        <v>0</v>
      </c>
      <c r="L929" t="n">
        <v>0</v>
      </c>
      <c r="M929" t="n">
        <v>0</v>
      </c>
      <c r="N929" t="n">
        <v>0</v>
      </c>
      <c r="O929" t="n">
        <v>0</v>
      </c>
      <c r="P929" t="n">
        <v>0</v>
      </c>
      <c r="Q929" t="n">
        <v>0</v>
      </c>
      <c r="R929" s="2" t="inlineStr"/>
    </row>
    <row r="930" ht="15" customHeight="1">
      <c r="A930" t="inlineStr">
        <is>
          <t>A 32329-2024</t>
        </is>
      </c>
      <c r="B930" s="1" t="n">
        <v>45512</v>
      </c>
      <c r="C930" s="1" t="n">
        <v>45802</v>
      </c>
      <c r="D930" t="inlineStr">
        <is>
          <t>DALARNAS LÄN</t>
        </is>
      </c>
      <c r="E930" t="inlineStr">
        <is>
          <t>LUDVIKA</t>
        </is>
      </c>
      <c r="F930" t="inlineStr">
        <is>
          <t>Bergvik skog väst AB</t>
        </is>
      </c>
      <c r="G930" t="n">
        <v>6</v>
      </c>
      <c r="H930" t="n">
        <v>0</v>
      </c>
      <c r="I930" t="n">
        <v>0</v>
      </c>
      <c r="J930" t="n">
        <v>0</v>
      </c>
      <c r="K930" t="n">
        <v>0</v>
      </c>
      <c r="L930" t="n">
        <v>0</v>
      </c>
      <c r="M930" t="n">
        <v>0</v>
      </c>
      <c r="N930" t="n">
        <v>0</v>
      </c>
      <c r="O930" t="n">
        <v>0</v>
      </c>
      <c r="P930" t="n">
        <v>0</v>
      </c>
      <c r="Q930" t="n">
        <v>0</v>
      </c>
      <c r="R930" s="2" t="inlineStr"/>
    </row>
    <row r="931" ht="15" customHeight="1">
      <c r="A931" t="inlineStr">
        <is>
          <t>A 32332-2024</t>
        </is>
      </c>
      <c r="B931" s="1" t="n">
        <v>45512</v>
      </c>
      <c r="C931" s="1" t="n">
        <v>45802</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32486-2024</t>
        </is>
      </c>
      <c r="B932" s="1" t="n">
        <v>45513</v>
      </c>
      <c r="C932" s="1" t="n">
        <v>45802</v>
      </c>
      <c r="D932" t="inlineStr">
        <is>
          <t>DALARNAS LÄN</t>
        </is>
      </c>
      <c r="E932" t="inlineStr">
        <is>
          <t>LUDVIKA</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32493-2024</t>
        </is>
      </c>
      <c r="B933" s="1" t="n">
        <v>45513</v>
      </c>
      <c r="C933" s="1" t="n">
        <v>45802</v>
      </c>
      <c r="D933" t="inlineStr">
        <is>
          <t>DALARNAS LÄN</t>
        </is>
      </c>
      <c r="E933" t="inlineStr">
        <is>
          <t>LUDVIKA</t>
        </is>
      </c>
      <c r="F933" t="inlineStr">
        <is>
          <t>Bergvik skog väst AB</t>
        </is>
      </c>
      <c r="G933" t="n">
        <v>6.3</v>
      </c>
      <c r="H933" t="n">
        <v>0</v>
      </c>
      <c r="I933" t="n">
        <v>0</v>
      </c>
      <c r="J933" t="n">
        <v>0</v>
      </c>
      <c r="K933" t="n">
        <v>0</v>
      </c>
      <c r="L933" t="n">
        <v>0</v>
      </c>
      <c r="M933" t="n">
        <v>0</v>
      </c>
      <c r="N933" t="n">
        <v>0</v>
      </c>
      <c r="O933" t="n">
        <v>0</v>
      </c>
      <c r="P933" t="n">
        <v>0</v>
      </c>
      <c r="Q933" t="n">
        <v>0</v>
      </c>
      <c r="R933" s="2" t="inlineStr"/>
    </row>
    <row r="934" ht="15" customHeight="1">
      <c r="A934" t="inlineStr">
        <is>
          <t>A 33060-2024</t>
        </is>
      </c>
      <c r="B934" s="1" t="n">
        <v>45517</v>
      </c>
      <c r="C934" s="1" t="n">
        <v>45802</v>
      </c>
      <c r="D934" t="inlineStr">
        <is>
          <t>DALARNAS LÄN</t>
        </is>
      </c>
      <c r="E934" t="inlineStr">
        <is>
          <t>LUDVIKA</t>
        </is>
      </c>
      <c r="F934" t="inlineStr">
        <is>
          <t>Bergvik skog väst AB</t>
        </is>
      </c>
      <c r="G934" t="n">
        <v>1.5</v>
      </c>
      <c r="H934" t="n">
        <v>0</v>
      </c>
      <c r="I934" t="n">
        <v>0</v>
      </c>
      <c r="J934" t="n">
        <v>0</v>
      </c>
      <c r="K934" t="n">
        <v>0</v>
      </c>
      <c r="L934" t="n">
        <v>0</v>
      </c>
      <c r="M934" t="n">
        <v>0</v>
      </c>
      <c r="N934" t="n">
        <v>0</v>
      </c>
      <c r="O934" t="n">
        <v>0</v>
      </c>
      <c r="P934" t="n">
        <v>0</v>
      </c>
      <c r="Q934" t="n">
        <v>0</v>
      </c>
      <c r="R934" s="2" t="inlineStr"/>
    </row>
    <row r="935" ht="15" customHeight="1">
      <c r="A935" t="inlineStr">
        <is>
          <t>A 33063-2024</t>
        </is>
      </c>
      <c r="B935" s="1" t="n">
        <v>45517</v>
      </c>
      <c r="C935" s="1" t="n">
        <v>45802</v>
      </c>
      <c r="D935" t="inlineStr">
        <is>
          <t>DALARNAS LÄN</t>
        </is>
      </c>
      <c r="E935" t="inlineStr">
        <is>
          <t>LUDVIKA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33242-2024</t>
        </is>
      </c>
      <c r="B936" s="1" t="n">
        <v>45518</v>
      </c>
      <c r="C936" s="1" t="n">
        <v>45802</v>
      </c>
      <c r="D936" t="inlineStr">
        <is>
          <t>DALARNAS LÄN</t>
        </is>
      </c>
      <c r="E936" t="inlineStr">
        <is>
          <t>LUDVIKA</t>
        </is>
      </c>
      <c r="G936" t="n">
        <v>4.2</v>
      </c>
      <c r="H936" t="n">
        <v>0</v>
      </c>
      <c r="I936" t="n">
        <v>0</v>
      </c>
      <c r="J936" t="n">
        <v>0</v>
      </c>
      <c r="K936" t="n">
        <v>0</v>
      </c>
      <c r="L936" t="n">
        <v>0</v>
      </c>
      <c r="M936" t="n">
        <v>0</v>
      </c>
      <c r="N936" t="n">
        <v>0</v>
      </c>
      <c r="O936" t="n">
        <v>0</v>
      </c>
      <c r="P936" t="n">
        <v>0</v>
      </c>
      <c r="Q936" t="n">
        <v>0</v>
      </c>
      <c r="R936" s="2" t="inlineStr"/>
    </row>
    <row r="937" ht="15" customHeight="1">
      <c r="A937" t="inlineStr">
        <is>
          <t>A 33330-2024</t>
        </is>
      </c>
      <c r="B937" s="1" t="n">
        <v>45519</v>
      </c>
      <c r="C937" s="1" t="n">
        <v>45802</v>
      </c>
      <c r="D937" t="inlineStr">
        <is>
          <t>DALARNAS LÄN</t>
        </is>
      </c>
      <c r="E937" t="inlineStr">
        <is>
          <t>LUDVIKA</t>
        </is>
      </c>
      <c r="G937" t="n">
        <v>4.9</v>
      </c>
      <c r="H937" t="n">
        <v>0</v>
      </c>
      <c r="I937" t="n">
        <v>0</v>
      </c>
      <c r="J937" t="n">
        <v>0</v>
      </c>
      <c r="K937" t="n">
        <v>0</v>
      </c>
      <c r="L937" t="n">
        <v>0</v>
      </c>
      <c r="M937" t="n">
        <v>0</v>
      </c>
      <c r="N937" t="n">
        <v>0</v>
      </c>
      <c r="O937" t="n">
        <v>0</v>
      </c>
      <c r="P937" t="n">
        <v>0</v>
      </c>
      <c r="Q937" t="n">
        <v>0</v>
      </c>
      <c r="R937" s="2" t="inlineStr"/>
    </row>
    <row r="938" ht="15" customHeight="1">
      <c r="A938" t="inlineStr">
        <is>
          <t>A 33403-2024</t>
        </is>
      </c>
      <c r="B938" s="1" t="n">
        <v>45519</v>
      </c>
      <c r="C938" s="1" t="n">
        <v>45802</v>
      </c>
      <c r="D938" t="inlineStr">
        <is>
          <t>DALARNAS LÄN</t>
        </is>
      </c>
      <c r="E938" t="inlineStr">
        <is>
          <t>LUDVIKA</t>
        </is>
      </c>
      <c r="F938" t="inlineStr">
        <is>
          <t>Bergvik skog väst AB</t>
        </is>
      </c>
      <c r="G938" t="n">
        <v>5</v>
      </c>
      <c r="H938" t="n">
        <v>0</v>
      </c>
      <c r="I938" t="n">
        <v>0</v>
      </c>
      <c r="J938" t="n">
        <v>0</v>
      </c>
      <c r="K938" t="n">
        <v>0</v>
      </c>
      <c r="L938" t="n">
        <v>0</v>
      </c>
      <c r="M938" t="n">
        <v>0</v>
      </c>
      <c r="N938" t="n">
        <v>0</v>
      </c>
      <c r="O938" t="n">
        <v>0</v>
      </c>
      <c r="P938" t="n">
        <v>0</v>
      </c>
      <c r="Q938" t="n">
        <v>0</v>
      </c>
      <c r="R938" s="2" t="inlineStr"/>
    </row>
    <row r="939" ht="15" customHeight="1">
      <c r="A939" t="inlineStr">
        <is>
          <t>A 33345-2024</t>
        </is>
      </c>
      <c r="B939" s="1" t="n">
        <v>45519</v>
      </c>
      <c r="C939" s="1" t="n">
        <v>45802</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33413-2024</t>
        </is>
      </c>
      <c r="B940" s="1" t="n">
        <v>45519</v>
      </c>
      <c r="C940" s="1" t="n">
        <v>45802</v>
      </c>
      <c r="D940" t="inlineStr">
        <is>
          <t>DALARNAS LÄN</t>
        </is>
      </c>
      <c r="E940" t="inlineStr">
        <is>
          <t>LUDVIKA</t>
        </is>
      </c>
      <c r="F940" t="inlineStr">
        <is>
          <t>Bergvik skog väst AB</t>
        </is>
      </c>
      <c r="G940" t="n">
        <v>4.9</v>
      </c>
      <c r="H940" t="n">
        <v>0</v>
      </c>
      <c r="I940" t="n">
        <v>0</v>
      </c>
      <c r="J940" t="n">
        <v>0</v>
      </c>
      <c r="K940" t="n">
        <v>0</v>
      </c>
      <c r="L940" t="n">
        <v>0</v>
      </c>
      <c r="M940" t="n">
        <v>0</v>
      </c>
      <c r="N940" t="n">
        <v>0</v>
      </c>
      <c r="O940" t="n">
        <v>0</v>
      </c>
      <c r="P940" t="n">
        <v>0</v>
      </c>
      <c r="Q940" t="n">
        <v>0</v>
      </c>
      <c r="R940" s="2" t="inlineStr"/>
    </row>
    <row r="941" ht="15" customHeight="1">
      <c r="A941" t="inlineStr">
        <is>
          <t>A 33723-2024</t>
        </is>
      </c>
      <c r="B941" s="1" t="n">
        <v>45520</v>
      </c>
      <c r="C941" s="1" t="n">
        <v>45802</v>
      </c>
      <c r="D941" t="inlineStr">
        <is>
          <t>DALARNAS LÄN</t>
        </is>
      </c>
      <c r="E941" t="inlineStr">
        <is>
          <t>LUDVIKA</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33839-2024</t>
        </is>
      </c>
      <c r="B942" s="1" t="n">
        <v>45520</v>
      </c>
      <c r="C942" s="1" t="n">
        <v>45802</v>
      </c>
      <c r="D942" t="inlineStr">
        <is>
          <t>DALARNAS LÄN</t>
        </is>
      </c>
      <c r="E942" t="inlineStr">
        <is>
          <t>LUDVIKA</t>
        </is>
      </c>
      <c r="G942" t="n">
        <v>0.5</v>
      </c>
      <c r="H942" t="n">
        <v>0</v>
      </c>
      <c r="I942" t="n">
        <v>0</v>
      </c>
      <c r="J942" t="n">
        <v>0</v>
      </c>
      <c r="K942" t="n">
        <v>0</v>
      </c>
      <c r="L942" t="n">
        <v>0</v>
      </c>
      <c r="M942" t="n">
        <v>0</v>
      </c>
      <c r="N942" t="n">
        <v>0</v>
      </c>
      <c r="O942" t="n">
        <v>0</v>
      </c>
      <c r="P942" t="n">
        <v>0</v>
      </c>
      <c r="Q942" t="n">
        <v>0</v>
      </c>
      <c r="R942" s="2" t="inlineStr"/>
    </row>
    <row r="943" ht="15" customHeight="1">
      <c r="A943" t="inlineStr">
        <is>
          <t>A 34274-2024</t>
        </is>
      </c>
      <c r="B943" s="1" t="n">
        <v>45524</v>
      </c>
      <c r="C943" s="1" t="n">
        <v>45802</v>
      </c>
      <c r="D943" t="inlineStr">
        <is>
          <t>DALARNAS LÄN</t>
        </is>
      </c>
      <c r="E943" t="inlineStr">
        <is>
          <t>LUDVIKA</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34271-2024</t>
        </is>
      </c>
      <c r="B944" s="1" t="n">
        <v>45524</v>
      </c>
      <c r="C944" s="1" t="n">
        <v>45802</v>
      </c>
      <c r="D944" t="inlineStr">
        <is>
          <t>DALARNAS LÄN</t>
        </is>
      </c>
      <c r="E944" t="inlineStr">
        <is>
          <t>LUDVIKA</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34280-2024</t>
        </is>
      </c>
      <c r="B945" s="1" t="n">
        <v>45524</v>
      </c>
      <c r="C945" s="1" t="n">
        <v>45802</v>
      </c>
      <c r="D945" t="inlineStr">
        <is>
          <t>DALARNAS LÄN</t>
        </is>
      </c>
      <c r="E945" t="inlineStr">
        <is>
          <t>LUDVIKA</t>
        </is>
      </c>
      <c r="F945" t="inlineStr">
        <is>
          <t>Bergvik skog väst AB</t>
        </is>
      </c>
      <c r="G945" t="n">
        <v>2.3</v>
      </c>
      <c r="H945" t="n">
        <v>0</v>
      </c>
      <c r="I945" t="n">
        <v>0</v>
      </c>
      <c r="J945" t="n">
        <v>0</v>
      </c>
      <c r="K945" t="n">
        <v>0</v>
      </c>
      <c r="L945" t="n">
        <v>0</v>
      </c>
      <c r="M945" t="n">
        <v>0</v>
      </c>
      <c r="N945" t="n">
        <v>0</v>
      </c>
      <c r="O945" t="n">
        <v>0</v>
      </c>
      <c r="P945" t="n">
        <v>0</v>
      </c>
      <c r="Q945" t="n">
        <v>0</v>
      </c>
      <c r="R945" s="2" t="inlineStr"/>
    </row>
    <row r="946" ht="15" customHeight="1">
      <c r="A946" t="inlineStr">
        <is>
          <t>A 34455-2024</t>
        </is>
      </c>
      <c r="B946" s="1" t="n">
        <v>45525</v>
      </c>
      <c r="C946" s="1" t="n">
        <v>45802</v>
      </c>
      <c r="D946" t="inlineStr">
        <is>
          <t>DALARNAS LÄN</t>
        </is>
      </c>
      <c r="E946" t="inlineStr">
        <is>
          <t>LUDVIKA</t>
        </is>
      </c>
      <c r="G946" t="n">
        <v>0.9</v>
      </c>
      <c r="H946" t="n">
        <v>0</v>
      </c>
      <c r="I946" t="n">
        <v>0</v>
      </c>
      <c r="J946" t="n">
        <v>0</v>
      </c>
      <c r="K946" t="n">
        <v>0</v>
      </c>
      <c r="L946" t="n">
        <v>0</v>
      </c>
      <c r="M946" t="n">
        <v>0</v>
      </c>
      <c r="N946" t="n">
        <v>0</v>
      </c>
      <c r="O946" t="n">
        <v>0</v>
      </c>
      <c r="P946" t="n">
        <v>0</v>
      </c>
      <c r="Q946" t="n">
        <v>0</v>
      </c>
      <c r="R946" s="2" t="inlineStr"/>
    </row>
    <row r="947" ht="15" customHeight="1">
      <c r="A947" t="inlineStr">
        <is>
          <t>A 34545-2024</t>
        </is>
      </c>
      <c r="B947" s="1" t="n">
        <v>45525</v>
      </c>
      <c r="C947" s="1" t="n">
        <v>45802</v>
      </c>
      <c r="D947" t="inlineStr">
        <is>
          <t>DALARNAS LÄN</t>
        </is>
      </c>
      <c r="E947" t="inlineStr">
        <is>
          <t>LUDVIKA</t>
        </is>
      </c>
      <c r="G947" t="n">
        <v>1</v>
      </c>
      <c r="H947" t="n">
        <v>0</v>
      </c>
      <c r="I947" t="n">
        <v>0</v>
      </c>
      <c r="J947" t="n">
        <v>0</v>
      </c>
      <c r="K947" t="n">
        <v>0</v>
      </c>
      <c r="L947" t="n">
        <v>0</v>
      </c>
      <c r="M947" t="n">
        <v>0</v>
      </c>
      <c r="N947" t="n">
        <v>0</v>
      </c>
      <c r="O947" t="n">
        <v>0</v>
      </c>
      <c r="P947" t="n">
        <v>0</v>
      </c>
      <c r="Q947" t="n">
        <v>0</v>
      </c>
      <c r="R947" s="2" t="inlineStr"/>
    </row>
    <row r="948" ht="15" customHeight="1">
      <c r="A948" t="inlineStr">
        <is>
          <t>A 34845-2024</t>
        </is>
      </c>
      <c r="B948" s="1" t="n">
        <v>45527</v>
      </c>
      <c r="C948" s="1" t="n">
        <v>45802</v>
      </c>
      <c r="D948" t="inlineStr">
        <is>
          <t>DALARNAS LÄN</t>
        </is>
      </c>
      <c r="E948" t="inlineStr">
        <is>
          <t>LUDVIKA</t>
        </is>
      </c>
      <c r="G948" t="n">
        <v>0.5</v>
      </c>
      <c r="H948" t="n">
        <v>0</v>
      </c>
      <c r="I948" t="n">
        <v>0</v>
      </c>
      <c r="J948" t="n">
        <v>0</v>
      </c>
      <c r="K948" t="n">
        <v>0</v>
      </c>
      <c r="L948" t="n">
        <v>0</v>
      </c>
      <c r="M948" t="n">
        <v>0</v>
      </c>
      <c r="N948" t="n">
        <v>0</v>
      </c>
      <c r="O948" t="n">
        <v>0</v>
      </c>
      <c r="P948" t="n">
        <v>0</v>
      </c>
      <c r="Q948" t="n">
        <v>0</v>
      </c>
      <c r="R948" s="2" t="inlineStr"/>
    </row>
    <row r="949" ht="15" customHeight="1">
      <c r="A949" t="inlineStr">
        <is>
          <t>A 34894-2024</t>
        </is>
      </c>
      <c r="B949" s="1" t="n">
        <v>45527</v>
      </c>
      <c r="C949" s="1" t="n">
        <v>45802</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34911-2024</t>
        </is>
      </c>
      <c r="B950" s="1" t="n">
        <v>45527</v>
      </c>
      <c r="C950" s="1" t="n">
        <v>45802</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34887-2024</t>
        </is>
      </c>
      <c r="B951" s="1" t="n">
        <v>45527</v>
      </c>
      <c r="C951" s="1" t="n">
        <v>45802</v>
      </c>
      <c r="D951" t="inlineStr">
        <is>
          <t>DALARNAS LÄN</t>
        </is>
      </c>
      <c r="E951" t="inlineStr">
        <is>
          <t>LUDVIKA</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35354-2024</t>
        </is>
      </c>
      <c r="B952" s="1" t="n">
        <v>45531</v>
      </c>
      <c r="C952" s="1" t="n">
        <v>45802</v>
      </c>
      <c r="D952" t="inlineStr">
        <is>
          <t>DALARNAS LÄN</t>
        </is>
      </c>
      <c r="E952" t="inlineStr">
        <is>
          <t>LUDVIKA</t>
        </is>
      </c>
      <c r="F952" t="inlineStr">
        <is>
          <t>Bergvik skog väst AB</t>
        </is>
      </c>
      <c r="G952" t="n">
        <v>2</v>
      </c>
      <c r="H952" t="n">
        <v>0</v>
      </c>
      <c r="I952" t="n">
        <v>0</v>
      </c>
      <c r="J952" t="n">
        <v>0</v>
      </c>
      <c r="K952" t="n">
        <v>0</v>
      </c>
      <c r="L952" t="n">
        <v>0</v>
      </c>
      <c r="M952" t="n">
        <v>0</v>
      </c>
      <c r="N952" t="n">
        <v>0</v>
      </c>
      <c r="O952" t="n">
        <v>0</v>
      </c>
      <c r="P952" t="n">
        <v>0</v>
      </c>
      <c r="Q952" t="n">
        <v>0</v>
      </c>
      <c r="R952" s="2" t="inlineStr"/>
    </row>
    <row r="953" ht="15" customHeight="1">
      <c r="A953" t="inlineStr">
        <is>
          <t>A 35353-2024</t>
        </is>
      </c>
      <c r="B953" s="1" t="n">
        <v>45531</v>
      </c>
      <c r="C953" s="1" t="n">
        <v>45802</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35812-2024</t>
        </is>
      </c>
      <c r="B954" s="1" t="n">
        <v>45532</v>
      </c>
      <c r="C954" s="1" t="n">
        <v>45802</v>
      </c>
      <c r="D954" t="inlineStr">
        <is>
          <t>DALARNAS LÄN</t>
        </is>
      </c>
      <c r="E954" t="inlineStr">
        <is>
          <t>LUDVIKA</t>
        </is>
      </c>
      <c r="F954" t="inlineStr">
        <is>
          <t>Bergvik skog väst AB</t>
        </is>
      </c>
      <c r="G954" t="n">
        <v>4.1</v>
      </c>
      <c r="H954" t="n">
        <v>0</v>
      </c>
      <c r="I954" t="n">
        <v>0</v>
      </c>
      <c r="J954" t="n">
        <v>0</v>
      </c>
      <c r="K954" t="n">
        <v>0</v>
      </c>
      <c r="L954" t="n">
        <v>0</v>
      </c>
      <c r="M954" t="n">
        <v>0</v>
      </c>
      <c r="N954" t="n">
        <v>0</v>
      </c>
      <c r="O954" t="n">
        <v>0</v>
      </c>
      <c r="P954" t="n">
        <v>0</v>
      </c>
      <c r="Q954" t="n">
        <v>0</v>
      </c>
      <c r="R954" s="2" t="inlineStr"/>
    </row>
    <row r="955" ht="15" customHeight="1">
      <c r="A955" t="inlineStr">
        <is>
          <t>A 35818-2024</t>
        </is>
      </c>
      <c r="B955" s="1" t="n">
        <v>45532</v>
      </c>
      <c r="C955" s="1" t="n">
        <v>45802</v>
      </c>
      <c r="D955" t="inlineStr">
        <is>
          <t>DALARNAS LÄN</t>
        </is>
      </c>
      <c r="E955" t="inlineStr">
        <is>
          <t>LUDVIKA</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35846-2024</t>
        </is>
      </c>
      <c r="B956" s="1" t="n">
        <v>45532</v>
      </c>
      <c r="C956" s="1" t="n">
        <v>45802</v>
      </c>
      <c r="D956" t="inlineStr">
        <is>
          <t>DALARNAS LÄN</t>
        </is>
      </c>
      <c r="E956" t="inlineStr">
        <is>
          <t>LUDVIKA</t>
        </is>
      </c>
      <c r="G956" t="n">
        <v>2.9</v>
      </c>
      <c r="H956" t="n">
        <v>0</v>
      </c>
      <c r="I956" t="n">
        <v>0</v>
      </c>
      <c r="J956" t="n">
        <v>0</v>
      </c>
      <c r="K956" t="n">
        <v>0</v>
      </c>
      <c r="L956" t="n">
        <v>0</v>
      </c>
      <c r="M956" t="n">
        <v>0</v>
      </c>
      <c r="N956" t="n">
        <v>0</v>
      </c>
      <c r="O956" t="n">
        <v>0</v>
      </c>
      <c r="P956" t="n">
        <v>0</v>
      </c>
      <c r="Q956" t="n">
        <v>0</v>
      </c>
      <c r="R956" s="2" t="inlineStr"/>
    </row>
    <row r="957" ht="15" customHeight="1">
      <c r="A957" t="inlineStr">
        <is>
          <t>A 36066-2024</t>
        </is>
      </c>
      <c r="B957" s="1" t="n">
        <v>45533</v>
      </c>
      <c r="C957" s="1" t="n">
        <v>45802</v>
      </c>
      <c r="D957" t="inlineStr">
        <is>
          <t>DALARNAS LÄN</t>
        </is>
      </c>
      <c r="E957" t="inlineStr">
        <is>
          <t>LUDVIKA</t>
        </is>
      </c>
      <c r="F957" t="inlineStr">
        <is>
          <t>Bergvik skog väst AB</t>
        </is>
      </c>
      <c r="G957" t="n">
        <v>2.1</v>
      </c>
      <c r="H957" t="n">
        <v>0</v>
      </c>
      <c r="I957" t="n">
        <v>0</v>
      </c>
      <c r="J957" t="n">
        <v>0</v>
      </c>
      <c r="K957" t="n">
        <v>0</v>
      </c>
      <c r="L957" t="n">
        <v>0</v>
      </c>
      <c r="M957" t="n">
        <v>0</v>
      </c>
      <c r="N957" t="n">
        <v>0</v>
      </c>
      <c r="O957" t="n">
        <v>0</v>
      </c>
      <c r="P957" t="n">
        <v>0</v>
      </c>
      <c r="Q957" t="n">
        <v>0</v>
      </c>
      <c r="R957" s="2" t="inlineStr"/>
    </row>
    <row r="958" ht="15" customHeight="1">
      <c r="A958" t="inlineStr">
        <is>
          <t>A 36068-2024</t>
        </is>
      </c>
      <c r="B958" s="1" t="n">
        <v>45533</v>
      </c>
      <c r="C958" s="1" t="n">
        <v>45802</v>
      </c>
      <c r="D958" t="inlineStr">
        <is>
          <t>DALARNAS LÄN</t>
        </is>
      </c>
      <c r="E958" t="inlineStr">
        <is>
          <t>LUDVIKA</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36527-2024</t>
        </is>
      </c>
      <c r="B959" s="1" t="n">
        <v>45537</v>
      </c>
      <c r="C959" s="1" t="n">
        <v>45802</v>
      </c>
      <c r="D959" t="inlineStr">
        <is>
          <t>DALARNAS LÄN</t>
        </is>
      </c>
      <c r="E959" t="inlineStr">
        <is>
          <t>LUDVIKA</t>
        </is>
      </c>
      <c r="F959" t="inlineStr">
        <is>
          <t>Övriga Aktiebolag</t>
        </is>
      </c>
      <c r="G959" t="n">
        <v>3.3</v>
      </c>
      <c r="H959" t="n">
        <v>0</v>
      </c>
      <c r="I959" t="n">
        <v>0</v>
      </c>
      <c r="J959" t="n">
        <v>0</v>
      </c>
      <c r="K959" t="n">
        <v>0</v>
      </c>
      <c r="L959" t="n">
        <v>0</v>
      </c>
      <c r="M959" t="n">
        <v>0</v>
      </c>
      <c r="N959" t="n">
        <v>0</v>
      </c>
      <c r="O959" t="n">
        <v>0</v>
      </c>
      <c r="P959" t="n">
        <v>0</v>
      </c>
      <c r="Q959" t="n">
        <v>0</v>
      </c>
      <c r="R959" s="2" t="inlineStr"/>
    </row>
    <row r="960" ht="15" customHeight="1">
      <c r="A960" t="inlineStr">
        <is>
          <t>A 37394-2024</t>
        </is>
      </c>
      <c r="B960" s="1" t="n">
        <v>45540</v>
      </c>
      <c r="C960" s="1" t="n">
        <v>45802</v>
      </c>
      <c r="D960" t="inlineStr">
        <is>
          <t>DALARNAS LÄN</t>
        </is>
      </c>
      <c r="E960" t="inlineStr">
        <is>
          <t>LUDVIKA</t>
        </is>
      </c>
      <c r="G960" t="n">
        <v>4.5</v>
      </c>
      <c r="H960" t="n">
        <v>0</v>
      </c>
      <c r="I960" t="n">
        <v>0</v>
      </c>
      <c r="J960" t="n">
        <v>0</v>
      </c>
      <c r="K960" t="n">
        <v>0</v>
      </c>
      <c r="L960" t="n">
        <v>0</v>
      </c>
      <c r="M960" t="n">
        <v>0</v>
      </c>
      <c r="N960" t="n">
        <v>0</v>
      </c>
      <c r="O960" t="n">
        <v>0</v>
      </c>
      <c r="P960" t="n">
        <v>0</v>
      </c>
      <c r="Q960" t="n">
        <v>0</v>
      </c>
      <c r="R960" s="2" t="inlineStr"/>
    </row>
    <row r="961" ht="15" customHeight="1">
      <c r="A961" t="inlineStr">
        <is>
          <t>A 37535-2024</t>
        </is>
      </c>
      <c r="B961" s="1" t="n">
        <v>45541</v>
      </c>
      <c r="C961" s="1" t="n">
        <v>45802</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37650-2024</t>
        </is>
      </c>
      <c r="B962" s="1" t="n">
        <v>45541</v>
      </c>
      <c r="C962" s="1" t="n">
        <v>45802</v>
      </c>
      <c r="D962" t="inlineStr">
        <is>
          <t>DALARNAS LÄN</t>
        </is>
      </c>
      <c r="E962" t="inlineStr">
        <is>
          <t>LUDVIKA</t>
        </is>
      </c>
      <c r="F962" t="inlineStr">
        <is>
          <t>Bergvik skog väst AB</t>
        </is>
      </c>
      <c r="G962" t="n">
        <v>2.6</v>
      </c>
      <c r="H962" t="n">
        <v>0</v>
      </c>
      <c r="I962" t="n">
        <v>0</v>
      </c>
      <c r="J962" t="n">
        <v>0</v>
      </c>
      <c r="K962" t="n">
        <v>0</v>
      </c>
      <c r="L962" t="n">
        <v>0</v>
      </c>
      <c r="M962" t="n">
        <v>0</v>
      </c>
      <c r="N962" t="n">
        <v>0</v>
      </c>
      <c r="O962" t="n">
        <v>0</v>
      </c>
      <c r="P962" t="n">
        <v>0</v>
      </c>
      <c r="Q962" t="n">
        <v>0</v>
      </c>
      <c r="R962" s="2" t="inlineStr"/>
    </row>
    <row r="963" ht="15" customHeight="1">
      <c r="A963" t="inlineStr">
        <is>
          <t>A 37538-2024</t>
        </is>
      </c>
      <c r="B963" s="1" t="n">
        <v>45541</v>
      </c>
      <c r="C963" s="1" t="n">
        <v>45802</v>
      </c>
      <c r="D963" t="inlineStr">
        <is>
          <t>DALARNAS LÄN</t>
        </is>
      </c>
      <c r="E963" t="inlineStr">
        <is>
          <t>LUDVIKA</t>
        </is>
      </c>
      <c r="F963" t="inlineStr">
        <is>
          <t>Bergvik skog väst AB</t>
        </is>
      </c>
      <c r="G963" t="n">
        <v>6</v>
      </c>
      <c r="H963" t="n">
        <v>0</v>
      </c>
      <c r="I963" t="n">
        <v>0</v>
      </c>
      <c r="J963" t="n">
        <v>0</v>
      </c>
      <c r="K963" t="n">
        <v>0</v>
      </c>
      <c r="L963" t="n">
        <v>0</v>
      </c>
      <c r="M963" t="n">
        <v>0</v>
      </c>
      <c r="N963" t="n">
        <v>0</v>
      </c>
      <c r="O963" t="n">
        <v>0</v>
      </c>
      <c r="P963" t="n">
        <v>0</v>
      </c>
      <c r="Q963" t="n">
        <v>0</v>
      </c>
      <c r="R963" s="2" t="inlineStr"/>
    </row>
    <row r="964" ht="15" customHeight="1">
      <c r="A964" t="inlineStr">
        <is>
          <t>A 37644-2024</t>
        </is>
      </c>
      <c r="B964" s="1" t="n">
        <v>45541</v>
      </c>
      <c r="C964" s="1" t="n">
        <v>45802</v>
      </c>
      <c r="D964" t="inlineStr">
        <is>
          <t>DALARNAS LÄN</t>
        </is>
      </c>
      <c r="E964" t="inlineStr">
        <is>
          <t>LUDVIKA</t>
        </is>
      </c>
      <c r="F964" t="inlineStr">
        <is>
          <t>Bergvik skog väst AB</t>
        </is>
      </c>
      <c r="G964" t="n">
        <v>4.5</v>
      </c>
      <c r="H964" t="n">
        <v>0</v>
      </c>
      <c r="I964" t="n">
        <v>0</v>
      </c>
      <c r="J964" t="n">
        <v>0</v>
      </c>
      <c r="K964" t="n">
        <v>0</v>
      </c>
      <c r="L964" t="n">
        <v>0</v>
      </c>
      <c r="M964" t="n">
        <v>0</v>
      </c>
      <c r="N964" t="n">
        <v>0</v>
      </c>
      <c r="O964" t="n">
        <v>0</v>
      </c>
      <c r="P964" t="n">
        <v>0</v>
      </c>
      <c r="Q964" t="n">
        <v>0</v>
      </c>
      <c r="R964" s="2" t="inlineStr"/>
    </row>
    <row r="965" ht="15" customHeight="1">
      <c r="A965" t="inlineStr">
        <is>
          <t>A 37549-2024</t>
        </is>
      </c>
      <c r="B965" s="1" t="n">
        <v>45541</v>
      </c>
      <c r="C965" s="1" t="n">
        <v>45802</v>
      </c>
      <c r="D965" t="inlineStr">
        <is>
          <t>DALARNAS LÄN</t>
        </is>
      </c>
      <c r="E965" t="inlineStr">
        <is>
          <t>LUDVIKA</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37586-2024</t>
        </is>
      </c>
      <c r="B966" s="1" t="n">
        <v>45541</v>
      </c>
      <c r="C966" s="1" t="n">
        <v>45802</v>
      </c>
      <c r="D966" t="inlineStr">
        <is>
          <t>DALARNAS LÄN</t>
        </is>
      </c>
      <c r="E966" t="inlineStr">
        <is>
          <t>LUDVIKA</t>
        </is>
      </c>
      <c r="F966" t="inlineStr">
        <is>
          <t>Bergvik skog väst AB</t>
        </is>
      </c>
      <c r="G966" t="n">
        <v>0.6</v>
      </c>
      <c r="H966" t="n">
        <v>0</v>
      </c>
      <c r="I966" t="n">
        <v>0</v>
      </c>
      <c r="J966" t="n">
        <v>0</v>
      </c>
      <c r="K966" t="n">
        <v>0</v>
      </c>
      <c r="L966" t="n">
        <v>0</v>
      </c>
      <c r="M966" t="n">
        <v>0</v>
      </c>
      <c r="N966" t="n">
        <v>0</v>
      </c>
      <c r="O966" t="n">
        <v>0</v>
      </c>
      <c r="P966" t="n">
        <v>0</v>
      </c>
      <c r="Q966" t="n">
        <v>0</v>
      </c>
      <c r="R966" s="2" t="inlineStr"/>
    </row>
    <row r="967" ht="15" customHeight="1">
      <c r="A967" t="inlineStr">
        <is>
          <t>A 38359-2024</t>
        </is>
      </c>
      <c r="B967" s="1" t="n">
        <v>45545</v>
      </c>
      <c r="C967" s="1" t="n">
        <v>45802</v>
      </c>
      <c r="D967" t="inlineStr">
        <is>
          <t>DALARNAS LÄN</t>
        </is>
      </c>
      <c r="E967" t="inlineStr">
        <is>
          <t>LUDVIKA</t>
        </is>
      </c>
      <c r="G967" t="n">
        <v>2.4</v>
      </c>
      <c r="H967" t="n">
        <v>0</v>
      </c>
      <c r="I967" t="n">
        <v>0</v>
      </c>
      <c r="J967" t="n">
        <v>0</v>
      </c>
      <c r="K967" t="n">
        <v>0</v>
      </c>
      <c r="L967" t="n">
        <v>0</v>
      </c>
      <c r="M967" t="n">
        <v>0</v>
      </c>
      <c r="N967" t="n">
        <v>0</v>
      </c>
      <c r="O967" t="n">
        <v>0</v>
      </c>
      <c r="P967" t="n">
        <v>0</v>
      </c>
      <c r="Q967" t="n">
        <v>0</v>
      </c>
      <c r="R967" s="2" t="inlineStr"/>
    </row>
    <row r="968" ht="15" customHeight="1">
      <c r="A968" t="inlineStr">
        <is>
          <t>A 38374-2024</t>
        </is>
      </c>
      <c r="B968" s="1" t="n">
        <v>45545</v>
      </c>
      <c r="C968" s="1" t="n">
        <v>45802</v>
      </c>
      <c r="D968" t="inlineStr">
        <is>
          <t>DALARNAS LÄN</t>
        </is>
      </c>
      <c r="E968" t="inlineStr">
        <is>
          <t>LUDVIKA</t>
        </is>
      </c>
      <c r="G968" t="n">
        <v>0.9</v>
      </c>
      <c r="H968" t="n">
        <v>0</v>
      </c>
      <c r="I968" t="n">
        <v>0</v>
      </c>
      <c r="J968" t="n">
        <v>0</v>
      </c>
      <c r="K968" t="n">
        <v>0</v>
      </c>
      <c r="L968" t="n">
        <v>0</v>
      </c>
      <c r="M968" t="n">
        <v>0</v>
      </c>
      <c r="N968" t="n">
        <v>0</v>
      </c>
      <c r="O968" t="n">
        <v>0</v>
      </c>
      <c r="P968" t="n">
        <v>0</v>
      </c>
      <c r="Q968" t="n">
        <v>0</v>
      </c>
      <c r="R968" s="2" t="inlineStr"/>
    </row>
    <row r="969" ht="15" customHeight="1">
      <c r="A969" t="inlineStr">
        <is>
          <t>A 38952-2024</t>
        </is>
      </c>
      <c r="B969" s="1" t="n">
        <v>45548</v>
      </c>
      <c r="C969" s="1" t="n">
        <v>45802</v>
      </c>
      <c r="D969" t="inlineStr">
        <is>
          <t>DALARNAS LÄN</t>
        </is>
      </c>
      <c r="E969" t="inlineStr">
        <is>
          <t>LUDVIKA</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38955-2024</t>
        </is>
      </c>
      <c r="B970" s="1" t="n">
        <v>45548</v>
      </c>
      <c r="C970" s="1" t="n">
        <v>45802</v>
      </c>
      <c r="D970" t="inlineStr">
        <is>
          <t>DALARNAS LÄN</t>
        </is>
      </c>
      <c r="E970" t="inlineStr">
        <is>
          <t>LUDVIKA</t>
        </is>
      </c>
      <c r="F970" t="inlineStr">
        <is>
          <t>Bergvik skog väst AB</t>
        </is>
      </c>
      <c r="G970" t="n">
        <v>3.7</v>
      </c>
      <c r="H970" t="n">
        <v>0</v>
      </c>
      <c r="I970" t="n">
        <v>0</v>
      </c>
      <c r="J970" t="n">
        <v>0</v>
      </c>
      <c r="K970" t="n">
        <v>0</v>
      </c>
      <c r="L970" t="n">
        <v>0</v>
      </c>
      <c r="M970" t="n">
        <v>0</v>
      </c>
      <c r="N970" t="n">
        <v>0</v>
      </c>
      <c r="O970" t="n">
        <v>0</v>
      </c>
      <c r="P970" t="n">
        <v>0</v>
      </c>
      <c r="Q970" t="n">
        <v>0</v>
      </c>
      <c r="R970" s="2" t="inlineStr"/>
    </row>
    <row r="971" ht="15" customHeight="1">
      <c r="A971" t="inlineStr">
        <is>
          <t>A 39008-2024</t>
        </is>
      </c>
      <c r="B971" s="1" t="n">
        <v>45548</v>
      </c>
      <c r="C971" s="1" t="n">
        <v>45802</v>
      </c>
      <c r="D971" t="inlineStr">
        <is>
          <t>DALARNAS LÄN</t>
        </is>
      </c>
      <c r="E971" t="inlineStr">
        <is>
          <t>LUDVIKA</t>
        </is>
      </c>
      <c r="F971" t="inlineStr">
        <is>
          <t>Bergvik skog väst AB</t>
        </is>
      </c>
      <c r="G971" t="n">
        <v>5.1</v>
      </c>
      <c r="H971" t="n">
        <v>0</v>
      </c>
      <c r="I971" t="n">
        <v>0</v>
      </c>
      <c r="J971" t="n">
        <v>0</v>
      </c>
      <c r="K971" t="n">
        <v>0</v>
      </c>
      <c r="L971" t="n">
        <v>0</v>
      </c>
      <c r="M971" t="n">
        <v>0</v>
      </c>
      <c r="N971" t="n">
        <v>0</v>
      </c>
      <c r="O971" t="n">
        <v>0</v>
      </c>
      <c r="P971" t="n">
        <v>0</v>
      </c>
      <c r="Q971" t="n">
        <v>0</v>
      </c>
      <c r="R971" s="2" t="inlineStr"/>
    </row>
    <row r="972" ht="15" customHeight="1">
      <c r="A972" t="inlineStr">
        <is>
          <t>A 39036-2024</t>
        </is>
      </c>
      <c r="B972" s="1" t="n">
        <v>45548</v>
      </c>
      <c r="C972" s="1" t="n">
        <v>45802</v>
      </c>
      <c r="D972" t="inlineStr">
        <is>
          <t>DALARNAS LÄN</t>
        </is>
      </c>
      <c r="E972" t="inlineStr">
        <is>
          <t>LUDVIKA</t>
        </is>
      </c>
      <c r="F972" t="inlineStr">
        <is>
          <t>Bergvik skog väst AB</t>
        </is>
      </c>
      <c r="G972" t="n">
        <v>2.6</v>
      </c>
      <c r="H972" t="n">
        <v>0</v>
      </c>
      <c r="I972" t="n">
        <v>0</v>
      </c>
      <c r="J972" t="n">
        <v>0</v>
      </c>
      <c r="K972" t="n">
        <v>0</v>
      </c>
      <c r="L972" t="n">
        <v>0</v>
      </c>
      <c r="M972" t="n">
        <v>0</v>
      </c>
      <c r="N972" t="n">
        <v>0</v>
      </c>
      <c r="O972" t="n">
        <v>0</v>
      </c>
      <c r="P972" t="n">
        <v>0</v>
      </c>
      <c r="Q972" t="n">
        <v>0</v>
      </c>
      <c r="R972" s="2" t="inlineStr"/>
    </row>
    <row r="973" ht="15" customHeight="1">
      <c r="A973" t="inlineStr">
        <is>
          <t>A 39052-2024</t>
        </is>
      </c>
      <c r="B973" s="1" t="n">
        <v>45548</v>
      </c>
      <c r="C973" s="1" t="n">
        <v>45802</v>
      </c>
      <c r="D973" t="inlineStr">
        <is>
          <t>DALARNAS LÄN</t>
        </is>
      </c>
      <c r="E973" t="inlineStr">
        <is>
          <t>LUDVIKA</t>
        </is>
      </c>
      <c r="F973" t="inlineStr">
        <is>
          <t>Bergvik skog väst AB</t>
        </is>
      </c>
      <c r="G973" t="n">
        <v>7.1</v>
      </c>
      <c r="H973" t="n">
        <v>0</v>
      </c>
      <c r="I973" t="n">
        <v>0</v>
      </c>
      <c r="J973" t="n">
        <v>0</v>
      </c>
      <c r="K973" t="n">
        <v>0</v>
      </c>
      <c r="L973" t="n">
        <v>0</v>
      </c>
      <c r="M973" t="n">
        <v>0</v>
      </c>
      <c r="N973" t="n">
        <v>0</v>
      </c>
      <c r="O973" t="n">
        <v>0</v>
      </c>
      <c r="P973" t="n">
        <v>0</v>
      </c>
      <c r="Q973" t="n">
        <v>0</v>
      </c>
      <c r="R973" s="2" t="inlineStr"/>
    </row>
    <row r="974" ht="15" customHeight="1">
      <c r="A974" t="inlineStr">
        <is>
          <t>A 39172-2024</t>
        </is>
      </c>
      <c r="B974" s="1" t="n">
        <v>45548</v>
      </c>
      <c r="C974" s="1" t="n">
        <v>45802</v>
      </c>
      <c r="D974" t="inlineStr">
        <is>
          <t>DALARNAS LÄN</t>
        </is>
      </c>
      <c r="E974" t="inlineStr">
        <is>
          <t>LUDVIKA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39167-2024</t>
        </is>
      </c>
      <c r="B975" s="1" t="n">
        <v>45548</v>
      </c>
      <c r="C975" s="1" t="n">
        <v>45802</v>
      </c>
      <c r="D975" t="inlineStr">
        <is>
          <t>DALARNAS LÄN</t>
        </is>
      </c>
      <c r="E975" t="inlineStr">
        <is>
          <t>LUDVIKA</t>
        </is>
      </c>
      <c r="F975" t="inlineStr">
        <is>
          <t>Bergvik skog väst AB</t>
        </is>
      </c>
      <c r="G975" t="n">
        <v>1.7</v>
      </c>
      <c r="H975" t="n">
        <v>0</v>
      </c>
      <c r="I975" t="n">
        <v>0</v>
      </c>
      <c r="J975" t="n">
        <v>0</v>
      </c>
      <c r="K975" t="n">
        <v>0</v>
      </c>
      <c r="L975" t="n">
        <v>0</v>
      </c>
      <c r="M975" t="n">
        <v>0</v>
      </c>
      <c r="N975" t="n">
        <v>0</v>
      </c>
      <c r="O975" t="n">
        <v>0</v>
      </c>
      <c r="P975" t="n">
        <v>0</v>
      </c>
      <c r="Q975" t="n">
        <v>0</v>
      </c>
      <c r="R975" s="2" t="inlineStr"/>
    </row>
    <row r="976" ht="15" customHeight="1">
      <c r="A976" t="inlineStr">
        <is>
          <t>A 39519-2024</t>
        </is>
      </c>
      <c r="B976" s="1" t="n">
        <v>45551</v>
      </c>
      <c r="C976" s="1" t="n">
        <v>45802</v>
      </c>
      <c r="D976" t="inlineStr">
        <is>
          <t>DALARNAS LÄN</t>
        </is>
      </c>
      <c r="E976" t="inlineStr">
        <is>
          <t>LUDVIKA</t>
        </is>
      </c>
      <c r="G976" t="n">
        <v>0.5</v>
      </c>
      <c r="H976" t="n">
        <v>0</v>
      </c>
      <c r="I976" t="n">
        <v>0</v>
      </c>
      <c r="J976" t="n">
        <v>0</v>
      </c>
      <c r="K976" t="n">
        <v>0</v>
      </c>
      <c r="L976" t="n">
        <v>0</v>
      </c>
      <c r="M976" t="n">
        <v>0</v>
      </c>
      <c r="N976" t="n">
        <v>0</v>
      </c>
      <c r="O976" t="n">
        <v>0</v>
      </c>
      <c r="P976" t="n">
        <v>0</v>
      </c>
      <c r="Q976" t="n">
        <v>0</v>
      </c>
      <c r="R976" s="2" t="inlineStr"/>
    </row>
    <row r="977" ht="15" customHeight="1">
      <c r="A977" t="inlineStr">
        <is>
          <t>A 39611-2024</t>
        </is>
      </c>
      <c r="B977" s="1" t="n">
        <v>45552</v>
      </c>
      <c r="C977" s="1" t="n">
        <v>45802</v>
      </c>
      <c r="D977" t="inlineStr">
        <is>
          <t>DALARNAS LÄN</t>
        </is>
      </c>
      <c r="E977" t="inlineStr">
        <is>
          <t>LUDVIKA</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40125-2024</t>
        </is>
      </c>
      <c r="B978" s="1" t="n">
        <v>45554</v>
      </c>
      <c r="C978" s="1" t="n">
        <v>45802</v>
      </c>
      <c r="D978" t="inlineStr">
        <is>
          <t>DALARNAS LÄN</t>
        </is>
      </c>
      <c r="E978" t="inlineStr">
        <is>
          <t>LUDVIKA</t>
        </is>
      </c>
      <c r="G978" t="n">
        <v>1</v>
      </c>
      <c r="H978" t="n">
        <v>0</v>
      </c>
      <c r="I978" t="n">
        <v>0</v>
      </c>
      <c r="J978" t="n">
        <v>0</v>
      </c>
      <c r="K978" t="n">
        <v>0</v>
      </c>
      <c r="L978" t="n">
        <v>0</v>
      </c>
      <c r="M978" t="n">
        <v>0</v>
      </c>
      <c r="N978" t="n">
        <v>0</v>
      </c>
      <c r="O978" t="n">
        <v>0</v>
      </c>
      <c r="P978" t="n">
        <v>0</v>
      </c>
      <c r="Q978" t="n">
        <v>0</v>
      </c>
      <c r="R978" s="2" t="inlineStr"/>
    </row>
    <row r="979" ht="15" customHeight="1">
      <c r="A979" t="inlineStr">
        <is>
          <t>A 40439-2024</t>
        </is>
      </c>
      <c r="B979" s="1" t="n">
        <v>45555</v>
      </c>
      <c r="C979" s="1" t="n">
        <v>45802</v>
      </c>
      <c r="D979" t="inlineStr">
        <is>
          <t>DALARNAS LÄN</t>
        </is>
      </c>
      <c r="E979" t="inlineStr">
        <is>
          <t>LUDVIKA</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41495-2024</t>
        </is>
      </c>
      <c r="B980" s="1" t="n">
        <v>45560</v>
      </c>
      <c r="C980" s="1" t="n">
        <v>45802</v>
      </c>
      <c r="D980" t="inlineStr">
        <is>
          <t>DALARNAS LÄN</t>
        </is>
      </c>
      <c r="E980" t="inlineStr">
        <is>
          <t>LUDVIKA</t>
        </is>
      </c>
      <c r="F980" t="inlineStr">
        <is>
          <t>Bergvik skog väst AB</t>
        </is>
      </c>
      <c r="G980" t="n">
        <v>5.8</v>
      </c>
      <c r="H980" t="n">
        <v>0</v>
      </c>
      <c r="I980" t="n">
        <v>0</v>
      </c>
      <c r="J980" t="n">
        <v>0</v>
      </c>
      <c r="K980" t="n">
        <v>0</v>
      </c>
      <c r="L980" t="n">
        <v>0</v>
      </c>
      <c r="M980" t="n">
        <v>0</v>
      </c>
      <c r="N980" t="n">
        <v>0</v>
      </c>
      <c r="O980" t="n">
        <v>0</v>
      </c>
      <c r="P980" t="n">
        <v>0</v>
      </c>
      <c r="Q980" t="n">
        <v>0</v>
      </c>
      <c r="R980" s="2" t="inlineStr"/>
    </row>
    <row r="981" ht="15" customHeight="1">
      <c r="A981" t="inlineStr">
        <is>
          <t>A 41449-2024</t>
        </is>
      </c>
      <c r="B981" s="1" t="n">
        <v>45560</v>
      </c>
      <c r="C981" s="1" t="n">
        <v>45802</v>
      </c>
      <c r="D981" t="inlineStr">
        <is>
          <t>DALARNAS LÄN</t>
        </is>
      </c>
      <c r="E981" t="inlineStr">
        <is>
          <t>LUDVIKA</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41616-2024</t>
        </is>
      </c>
      <c r="B982" s="1" t="n">
        <v>45560</v>
      </c>
      <c r="C982" s="1" t="n">
        <v>45802</v>
      </c>
      <c r="D982" t="inlineStr">
        <is>
          <t>DALARNAS LÄN</t>
        </is>
      </c>
      <c r="E982" t="inlineStr">
        <is>
          <t>LUDVIKA</t>
        </is>
      </c>
      <c r="F982" t="inlineStr">
        <is>
          <t>Bergvik skog väst AB</t>
        </is>
      </c>
      <c r="G982" t="n">
        <v>4.4</v>
      </c>
      <c r="H982" t="n">
        <v>0</v>
      </c>
      <c r="I982" t="n">
        <v>0</v>
      </c>
      <c r="J982" t="n">
        <v>0</v>
      </c>
      <c r="K982" t="n">
        <v>0</v>
      </c>
      <c r="L982" t="n">
        <v>0</v>
      </c>
      <c r="M982" t="n">
        <v>0</v>
      </c>
      <c r="N982" t="n">
        <v>0</v>
      </c>
      <c r="O982" t="n">
        <v>0</v>
      </c>
      <c r="P982" t="n">
        <v>0</v>
      </c>
      <c r="Q982" t="n">
        <v>0</v>
      </c>
      <c r="R982" s="2" t="inlineStr"/>
    </row>
    <row r="983" ht="15" customHeight="1">
      <c r="A983" t="inlineStr">
        <is>
          <t>A 41509-2024</t>
        </is>
      </c>
      <c r="B983" s="1" t="n">
        <v>45560</v>
      </c>
      <c r="C983" s="1" t="n">
        <v>45802</v>
      </c>
      <c r="D983" t="inlineStr">
        <is>
          <t>DALARNAS LÄN</t>
        </is>
      </c>
      <c r="E983" t="inlineStr">
        <is>
          <t>LUDVIKA</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41473-2024</t>
        </is>
      </c>
      <c r="B984" s="1" t="n">
        <v>45560</v>
      </c>
      <c r="C984" s="1" t="n">
        <v>45802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41459-2024</t>
        </is>
      </c>
      <c r="B985" s="1" t="n">
        <v>45560</v>
      </c>
      <c r="C985" s="1" t="n">
        <v>45802</v>
      </c>
      <c r="D985" t="inlineStr">
        <is>
          <t>DALARNAS LÄN</t>
        </is>
      </c>
      <c r="E985" t="inlineStr">
        <is>
          <t>LUDVIKA</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41426-2024</t>
        </is>
      </c>
      <c r="B986" s="1" t="n">
        <v>45560</v>
      </c>
      <c r="C986" s="1" t="n">
        <v>45802</v>
      </c>
      <c r="D986" t="inlineStr">
        <is>
          <t>DALARNAS LÄN</t>
        </is>
      </c>
      <c r="E986" t="inlineStr">
        <is>
          <t>LUDVIKA</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41539-2024</t>
        </is>
      </c>
      <c r="B987" s="1" t="n">
        <v>45560</v>
      </c>
      <c r="C987" s="1" t="n">
        <v>45802</v>
      </c>
      <c r="D987" t="inlineStr">
        <is>
          <t>DALARNAS LÄN</t>
        </is>
      </c>
      <c r="E987" t="inlineStr">
        <is>
          <t>LUDVIKA</t>
        </is>
      </c>
      <c r="F987" t="inlineStr">
        <is>
          <t>Bergvik skog väst AB</t>
        </is>
      </c>
      <c r="G987" t="n">
        <v>1.9</v>
      </c>
      <c r="H987" t="n">
        <v>0</v>
      </c>
      <c r="I987" t="n">
        <v>0</v>
      </c>
      <c r="J987" t="n">
        <v>0</v>
      </c>
      <c r="K987" t="n">
        <v>0</v>
      </c>
      <c r="L987" t="n">
        <v>0</v>
      </c>
      <c r="M987" t="n">
        <v>0</v>
      </c>
      <c r="N987" t="n">
        <v>0</v>
      </c>
      <c r="O987" t="n">
        <v>0</v>
      </c>
      <c r="P987" t="n">
        <v>0</v>
      </c>
      <c r="Q987" t="n">
        <v>0</v>
      </c>
      <c r="R987" s="2" t="inlineStr"/>
    </row>
    <row r="988" ht="15" customHeight="1">
      <c r="A988" t="inlineStr">
        <is>
          <t>A 41883-2024</t>
        </is>
      </c>
      <c r="B988" s="1" t="n">
        <v>45561</v>
      </c>
      <c r="C988" s="1" t="n">
        <v>45802</v>
      </c>
      <c r="D988" t="inlineStr">
        <is>
          <t>DALARNAS LÄN</t>
        </is>
      </c>
      <c r="E988" t="inlineStr">
        <is>
          <t>LUDVIKA</t>
        </is>
      </c>
      <c r="F988" t="inlineStr">
        <is>
          <t>Naturvårdsverket</t>
        </is>
      </c>
      <c r="G988" t="n">
        <v>2.2</v>
      </c>
      <c r="H988" t="n">
        <v>0</v>
      </c>
      <c r="I988" t="n">
        <v>0</v>
      </c>
      <c r="J988" t="n">
        <v>0</v>
      </c>
      <c r="K988" t="n">
        <v>0</v>
      </c>
      <c r="L988" t="n">
        <v>0</v>
      </c>
      <c r="M988" t="n">
        <v>0</v>
      </c>
      <c r="N988" t="n">
        <v>0</v>
      </c>
      <c r="O988" t="n">
        <v>0</v>
      </c>
      <c r="P988" t="n">
        <v>0</v>
      </c>
      <c r="Q988" t="n">
        <v>0</v>
      </c>
      <c r="R988" s="2" t="inlineStr"/>
    </row>
    <row r="989" ht="15" customHeight="1">
      <c r="A989" t="inlineStr">
        <is>
          <t>A 42108-2024</t>
        </is>
      </c>
      <c r="B989" s="1" t="n">
        <v>45562</v>
      </c>
      <c r="C989" s="1" t="n">
        <v>45802</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42128-2024</t>
        </is>
      </c>
      <c r="B990" s="1" t="n">
        <v>45562</v>
      </c>
      <c r="C990" s="1" t="n">
        <v>45802</v>
      </c>
      <c r="D990" t="inlineStr">
        <is>
          <t>DALARNAS LÄN</t>
        </is>
      </c>
      <c r="E990" t="inlineStr">
        <is>
          <t>LUDVIKA</t>
        </is>
      </c>
      <c r="G990" t="n">
        <v>3.1</v>
      </c>
      <c r="H990" t="n">
        <v>0</v>
      </c>
      <c r="I990" t="n">
        <v>0</v>
      </c>
      <c r="J990" t="n">
        <v>0</v>
      </c>
      <c r="K990" t="n">
        <v>0</v>
      </c>
      <c r="L990" t="n">
        <v>0</v>
      </c>
      <c r="M990" t="n">
        <v>0</v>
      </c>
      <c r="N990" t="n">
        <v>0</v>
      </c>
      <c r="O990" t="n">
        <v>0</v>
      </c>
      <c r="P990" t="n">
        <v>0</v>
      </c>
      <c r="Q990" t="n">
        <v>0</v>
      </c>
      <c r="R990" s="2" t="inlineStr"/>
    </row>
    <row r="991" ht="15" customHeight="1">
      <c r="A991" t="inlineStr">
        <is>
          <t>A 42213-2024</t>
        </is>
      </c>
      <c r="B991" s="1" t="n">
        <v>45562</v>
      </c>
      <c r="C991" s="1" t="n">
        <v>45802</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42254-2024</t>
        </is>
      </c>
      <c r="B992" s="1" t="n">
        <v>45562</v>
      </c>
      <c r="C992" s="1" t="n">
        <v>45802</v>
      </c>
      <c r="D992" t="inlineStr">
        <is>
          <t>DALARNAS LÄN</t>
        </is>
      </c>
      <c r="E992" t="inlineStr">
        <is>
          <t>LUDVIKA</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42106-2024</t>
        </is>
      </c>
      <c r="B993" s="1" t="n">
        <v>45562</v>
      </c>
      <c r="C993" s="1" t="n">
        <v>45802</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42215-2024</t>
        </is>
      </c>
      <c r="B994" s="1" t="n">
        <v>45562</v>
      </c>
      <c r="C994" s="1" t="n">
        <v>45802</v>
      </c>
      <c r="D994" t="inlineStr">
        <is>
          <t>DALARNAS LÄN</t>
        </is>
      </c>
      <c r="E994" t="inlineStr">
        <is>
          <t>LUDVIKA</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42341-2024</t>
        </is>
      </c>
      <c r="B995" s="1" t="n">
        <v>45562</v>
      </c>
      <c r="C995" s="1" t="n">
        <v>45802</v>
      </c>
      <c r="D995" t="inlineStr">
        <is>
          <t>DALARNAS LÄN</t>
        </is>
      </c>
      <c r="E995" t="inlineStr">
        <is>
          <t>LUDVIKA</t>
        </is>
      </c>
      <c r="G995" t="n">
        <v>5.3</v>
      </c>
      <c r="H995" t="n">
        <v>0</v>
      </c>
      <c r="I995" t="n">
        <v>0</v>
      </c>
      <c r="J995" t="n">
        <v>0</v>
      </c>
      <c r="K995" t="n">
        <v>0</v>
      </c>
      <c r="L995" t="n">
        <v>0</v>
      </c>
      <c r="M995" t="n">
        <v>0</v>
      </c>
      <c r="N995" t="n">
        <v>0</v>
      </c>
      <c r="O995" t="n">
        <v>0</v>
      </c>
      <c r="P995" t="n">
        <v>0</v>
      </c>
      <c r="Q995" t="n">
        <v>0</v>
      </c>
      <c r="R995" s="2" t="inlineStr"/>
    </row>
    <row r="996" ht="15" customHeight="1">
      <c r="A996" t="inlineStr">
        <is>
          <t>A 42421-2024</t>
        </is>
      </c>
      <c r="B996" s="1" t="n">
        <v>45565</v>
      </c>
      <c r="C996" s="1" t="n">
        <v>45802</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42829-2024</t>
        </is>
      </c>
      <c r="B997" s="1" t="n">
        <v>45566</v>
      </c>
      <c r="C997" s="1" t="n">
        <v>45802</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42827-2024</t>
        </is>
      </c>
      <c r="B998" s="1" t="n">
        <v>45566</v>
      </c>
      <c r="C998" s="1" t="n">
        <v>45802</v>
      </c>
      <c r="D998" t="inlineStr">
        <is>
          <t>DALARNAS LÄN</t>
        </is>
      </c>
      <c r="E998" t="inlineStr">
        <is>
          <t>LUDVIKA</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43057-2024</t>
        </is>
      </c>
      <c r="B999" s="1" t="n">
        <v>45567</v>
      </c>
      <c r="C999" s="1" t="n">
        <v>45802</v>
      </c>
      <c r="D999" t="inlineStr">
        <is>
          <t>DALARNAS LÄN</t>
        </is>
      </c>
      <c r="E999" t="inlineStr">
        <is>
          <t>LUDVIKA</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43111-2024</t>
        </is>
      </c>
      <c r="B1000" s="1" t="n">
        <v>45567</v>
      </c>
      <c r="C1000" s="1" t="n">
        <v>45802</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43033-2024</t>
        </is>
      </c>
      <c r="B1001" s="1" t="n">
        <v>45567</v>
      </c>
      <c r="C1001" s="1" t="n">
        <v>45802</v>
      </c>
      <c r="D1001" t="inlineStr">
        <is>
          <t>DALARNAS LÄN</t>
        </is>
      </c>
      <c r="E1001" t="inlineStr">
        <is>
          <t>LUDVIKA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43116-2024</t>
        </is>
      </c>
      <c r="B1002" s="1" t="n">
        <v>45567</v>
      </c>
      <c r="C1002" s="1" t="n">
        <v>45802</v>
      </c>
      <c r="D1002" t="inlineStr">
        <is>
          <t>DALARNAS LÄN</t>
        </is>
      </c>
      <c r="E1002" t="inlineStr">
        <is>
          <t>LUDVIKA</t>
        </is>
      </c>
      <c r="F1002" t="inlineStr">
        <is>
          <t>Bergvik skog väst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43055-2024</t>
        </is>
      </c>
      <c r="B1003" s="1" t="n">
        <v>45567</v>
      </c>
      <c r="C1003" s="1" t="n">
        <v>45802</v>
      </c>
      <c r="D1003" t="inlineStr">
        <is>
          <t>DALARNAS LÄN</t>
        </is>
      </c>
      <c r="E1003" t="inlineStr">
        <is>
          <t>LUDVIKA</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43015-2024</t>
        </is>
      </c>
      <c r="B1004" s="1" t="n">
        <v>45567</v>
      </c>
      <c r="C1004" s="1" t="n">
        <v>45802</v>
      </c>
      <c r="D1004" t="inlineStr">
        <is>
          <t>DALARNAS LÄN</t>
        </is>
      </c>
      <c r="E1004" t="inlineStr">
        <is>
          <t>LUDVIKA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43240-2024</t>
        </is>
      </c>
      <c r="B1005" s="1" t="n">
        <v>45568</v>
      </c>
      <c r="C1005" s="1" t="n">
        <v>45802</v>
      </c>
      <c r="D1005" t="inlineStr">
        <is>
          <t>DALARNAS LÄN</t>
        </is>
      </c>
      <c r="E1005" t="inlineStr">
        <is>
          <t>LUDVIKA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43330-2024</t>
        </is>
      </c>
      <c r="B1006" s="1" t="n">
        <v>45568</v>
      </c>
      <c r="C1006" s="1" t="n">
        <v>45802</v>
      </c>
      <c r="D1006" t="inlineStr">
        <is>
          <t>DALARNAS LÄN</t>
        </is>
      </c>
      <c r="E1006" t="inlineStr">
        <is>
          <t>LUDVIKA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43706-2024</t>
        </is>
      </c>
      <c r="B1007" s="1" t="n">
        <v>45569</v>
      </c>
      <c r="C1007" s="1" t="n">
        <v>45802</v>
      </c>
      <c r="D1007" t="inlineStr">
        <is>
          <t>DALARNAS LÄN</t>
        </is>
      </c>
      <c r="E1007" t="inlineStr">
        <is>
          <t>LUDVIKA</t>
        </is>
      </c>
      <c r="F1007" t="inlineStr">
        <is>
          <t>Naturvårdsverket</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43704-2024</t>
        </is>
      </c>
      <c r="B1008" s="1" t="n">
        <v>45569</v>
      </c>
      <c r="C1008" s="1" t="n">
        <v>45802</v>
      </c>
      <c r="D1008" t="inlineStr">
        <is>
          <t>DALARNAS LÄN</t>
        </is>
      </c>
      <c r="E1008" t="inlineStr">
        <is>
          <t>LUDVIKA</t>
        </is>
      </c>
      <c r="F1008" t="inlineStr">
        <is>
          <t>Bergvik skog väst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43700-2024</t>
        </is>
      </c>
      <c r="B1009" s="1" t="n">
        <v>45569</v>
      </c>
      <c r="C1009" s="1" t="n">
        <v>45802</v>
      </c>
      <c r="D1009" t="inlineStr">
        <is>
          <t>DALARNAS LÄN</t>
        </is>
      </c>
      <c r="E1009" t="inlineStr">
        <is>
          <t>LUDVIKA</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43702-2024</t>
        </is>
      </c>
      <c r="B1010" s="1" t="n">
        <v>45569</v>
      </c>
      <c r="C1010" s="1" t="n">
        <v>45802</v>
      </c>
      <c r="D1010" t="inlineStr">
        <is>
          <t>DALARNAS LÄN</t>
        </is>
      </c>
      <c r="E1010" t="inlineStr">
        <is>
          <t>LUDVIKA</t>
        </is>
      </c>
      <c r="F1010" t="inlineStr">
        <is>
          <t>Bergvik skog väst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43694-2024</t>
        </is>
      </c>
      <c r="B1011" s="1" t="n">
        <v>45569</v>
      </c>
      <c r="C1011" s="1" t="n">
        <v>45802</v>
      </c>
      <c r="D1011" t="inlineStr">
        <is>
          <t>DALARNAS LÄN</t>
        </is>
      </c>
      <c r="E1011" t="inlineStr">
        <is>
          <t>LUDVIKA</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43981-2024</t>
        </is>
      </c>
      <c r="B1012" s="1" t="n">
        <v>45572</v>
      </c>
      <c r="C1012" s="1" t="n">
        <v>45802</v>
      </c>
      <c r="D1012" t="inlineStr">
        <is>
          <t>DALARNAS LÄN</t>
        </is>
      </c>
      <c r="E1012" t="inlineStr">
        <is>
          <t>LUDVIKA</t>
        </is>
      </c>
      <c r="F1012" t="inlineStr">
        <is>
          <t>Bergvik skog väst AB</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44217-2024</t>
        </is>
      </c>
      <c r="B1013" s="1" t="n">
        <v>45573</v>
      </c>
      <c r="C1013" s="1" t="n">
        <v>45802</v>
      </c>
      <c r="D1013" t="inlineStr">
        <is>
          <t>DALARNAS LÄN</t>
        </is>
      </c>
      <c r="E1013" t="inlineStr">
        <is>
          <t>LUDVIKA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44248-2024</t>
        </is>
      </c>
      <c r="B1014" s="1" t="n">
        <v>45573</v>
      </c>
      <c r="C1014" s="1" t="n">
        <v>45802</v>
      </c>
      <c r="D1014" t="inlineStr">
        <is>
          <t>DALARNAS LÄN</t>
        </is>
      </c>
      <c r="E1014" t="inlineStr">
        <is>
          <t>LUDVIKA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44537-2024</t>
        </is>
      </c>
      <c r="B1015" s="1" t="n">
        <v>45574</v>
      </c>
      <c r="C1015" s="1" t="n">
        <v>45802</v>
      </c>
      <c r="D1015" t="inlineStr">
        <is>
          <t>DALARNAS LÄN</t>
        </is>
      </c>
      <c r="E1015" t="inlineStr">
        <is>
          <t>LUDVIKA</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44534-2024</t>
        </is>
      </c>
      <c r="B1016" s="1" t="n">
        <v>45574</v>
      </c>
      <c r="C1016" s="1" t="n">
        <v>45802</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44732-2024</t>
        </is>
      </c>
      <c r="B1017" s="1" t="n">
        <v>45574</v>
      </c>
      <c r="C1017" s="1" t="n">
        <v>45802</v>
      </c>
      <c r="D1017" t="inlineStr">
        <is>
          <t>DALARNAS LÄN</t>
        </is>
      </c>
      <c r="E1017" t="inlineStr">
        <is>
          <t>LUDVIKA</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44880-2024</t>
        </is>
      </c>
      <c r="B1018" s="1" t="n">
        <v>45575</v>
      </c>
      <c r="C1018" s="1" t="n">
        <v>45802</v>
      </c>
      <c r="D1018" t="inlineStr">
        <is>
          <t>DALARNAS LÄN</t>
        </is>
      </c>
      <c r="E1018" t="inlineStr">
        <is>
          <t>LUDVIKA</t>
        </is>
      </c>
      <c r="F1018" t="inlineStr">
        <is>
          <t>Bergvik skog väst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45184-2024</t>
        </is>
      </c>
      <c r="B1019" s="1" t="n">
        <v>45575</v>
      </c>
      <c r="C1019" s="1" t="n">
        <v>45802</v>
      </c>
      <c r="D1019" t="inlineStr">
        <is>
          <t>DALARNAS LÄN</t>
        </is>
      </c>
      <c r="E1019" t="inlineStr">
        <is>
          <t>LUDVIKA</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45188-2024</t>
        </is>
      </c>
      <c r="B1020" s="1" t="n">
        <v>45575</v>
      </c>
      <c r="C1020" s="1" t="n">
        <v>45802</v>
      </c>
      <c r="D1020" t="inlineStr">
        <is>
          <t>DALARNAS LÄN</t>
        </is>
      </c>
      <c r="E1020" t="inlineStr">
        <is>
          <t>LUDVIKA</t>
        </is>
      </c>
      <c r="F1020" t="inlineStr">
        <is>
          <t>Bergvik skog väst AB</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44885-2024</t>
        </is>
      </c>
      <c r="B1021" s="1" t="n">
        <v>45575</v>
      </c>
      <c r="C1021" s="1" t="n">
        <v>45802</v>
      </c>
      <c r="D1021" t="inlineStr">
        <is>
          <t>DALARNAS LÄN</t>
        </is>
      </c>
      <c r="E1021" t="inlineStr">
        <is>
          <t>LUDVIKA</t>
        </is>
      </c>
      <c r="F1021" t="inlineStr">
        <is>
          <t>Bergvik skog väst AB</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44881-2024</t>
        </is>
      </c>
      <c r="B1022" s="1" t="n">
        <v>45575</v>
      </c>
      <c r="C1022" s="1" t="n">
        <v>45802</v>
      </c>
      <c r="D1022" t="inlineStr">
        <is>
          <t>DALARNAS LÄN</t>
        </is>
      </c>
      <c r="E1022" t="inlineStr">
        <is>
          <t>LUDVIKA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45405-2024</t>
        </is>
      </c>
      <c r="B1023" s="1" t="n">
        <v>45576</v>
      </c>
      <c r="C1023" s="1" t="n">
        <v>45802</v>
      </c>
      <c r="D1023" t="inlineStr">
        <is>
          <t>DALARNAS LÄN</t>
        </is>
      </c>
      <c r="E1023" t="inlineStr">
        <is>
          <t>LUDVIKA</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45445-2024</t>
        </is>
      </c>
      <c r="B1024" s="1" t="n">
        <v>45576</v>
      </c>
      <c r="C1024" s="1" t="n">
        <v>45802</v>
      </c>
      <c r="D1024" t="inlineStr">
        <is>
          <t>DALARNAS LÄN</t>
        </is>
      </c>
      <c r="E1024" t="inlineStr">
        <is>
          <t>LUDVIKA</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45443-2024</t>
        </is>
      </c>
      <c r="B1025" s="1" t="n">
        <v>45576</v>
      </c>
      <c r="C1025" s="1" t="n">
        <v>45802</v>
      </c>
      <c r="D1025" t="inlineStr">
        <is>
          <t>DALARNAS LÄN</t>
        </is>
      </c>
      <c r="E1025" t="inlineStr">
        <is>
          <t>LUDVIKA</t>
        </is>
      </c>
      <c r="F1025" t="inlineStr">
        <is>
          <t>Bergvik skog väst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45400-2024</t>
        </is>
      </c>
      <c r="B1026" s="1" t="n">
        <v>45576</v>
      </c>
      <c r="C1026" s="1" t="n">
        <v>45802</v>
      </c>
      <c r="D1026" t="inlineStr">
        <is>
          <t>DALARNAS LÄN</t>
        </is>
      </c>
      <c r="E1026" t="inlineStr">
        <is>
          <t>LUDVIKA</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45402-2024</t>
        </is>
      </c>
      <c r="B1027" s="1" t="n">
        <v>45576</v>
      </c>
      <c r="C1027" s="1" t="n">
        <v>45802</v>
      </c>
      <c r="D1027" t="inlineStr">
        <is>
          <t>DALARNAS LÄN</t>
        </is>
      </c>
      <c r="E1027" t="inlineStr">
        <is>
          <t>LUDVIKA</t>
        </is>
      </c>
      <c r="F1027" t="inlineStr">
        <is>
          <t>Bergvik skog väst AB</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45559-2024</t>
        </is>
      </c>
      <c r="B1028" s="1" t="n">
        <v>45579</v>
      </c>
      <c r="C1028" s="1" t="n">
        <v>45802</v>
      </c>
      <c r="D1028" t="inlineStr">
        <is>
          <t>DALARNAS LÄN</t>
        </is>
      </c>
      <c r="E1028" t="inlineStr">
        <is>
          <t>LUDVIKA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45544-2024</t>
        </is>
      </c>
      <c r="B1029" s="1" t="n">
        <v>45579</v>
      </c>
      <c r="C1029" s="1" t="n">
        <v>45802</v>
      </c>
      <c r="D1029" t="inlineStr">
        <is>
          <t>DALARNAS LÄN</t>
        </is>
      </c>
      <c r="E1029" t="inlineStr">
        <is>
          <t>LUDVIKA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45547-2024</t>
        </is>
      </c>
      <c r="B1030" s="1" t="n">
        <v>45579</v>
      </c>
      <c r="C1030" s="1" t="n">
        <v>45802</v>
      </c>
      <c r="D1030" t="inlineStr">
        <is>
          <t>DALARNAS LÄN</t>
        </is>
      </c>
      <c r="E1030" t="inlineStr">
        <is>
          <t>LUDVIKA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45543-2024</t>
        </is>
      </c>
      <c r="B1031" s="1" t="n">
        <v>45579</v>
      </c>
      <c r="C1031" s="1" t="n">
        <v>45802</v>
      </c>
      <c r="D1031" t="inlineStr">
        <is>
          <t>DALARNAS LÄN</t>
        </is>
      </c>
      <c r="E1031" t="inlineStr">
        <is>
          <t>LUDVIKA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46102-2024</t>
        </is>
      </c>
      <c r="B1032" s="1" t="n">
        <v>45581</v>
      </c>
      <c r="C1032" s="1" t="n">
        <v>45802</v>
      </c>
      <c r="D1032" t="inlineStr">
        <is>
          <t>DALARNAS LÄN</t>
        </is>
      </c>
      <c r="E1032" t="inlineStr">
        <is>
          <t>LUDVIKA</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46093-2024</t>
        </is>
      </c>
      <c r="B1033" s="1" t="n">
        <v>45581</v>
      </c>
      <c r="C1033" s="1" t="n">
        <v>45802</v>
      </c>
      <c r="D1033" t="inlineStr">
        <is>
          <t>DALARNAS LÄN</t>
        </is>
      </c>
      <c r="E1033" t="inlineStr">
        <is>
          <t>LUDVIKA</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46097-2024</t>
        </is>
      </c>
      <c r="B1034" s="1" t="n">
        <v>45581</v>
      </c>
      <c r="C1034" s="1" t="n">
        <v>45802</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46183-2024</t>
        </is>
      </c>
      <c r="B1035" s="1" t="n">
        <v>45581</v>
      </c>
      <c r="C1035" s="1" t="n">
        <v>45802</v>
      </c>
      <c r="D1035" t="inlineStr">
        <is>
          <t>DALARNAS LÄN</t>
        </is>
      </c>
      <c r="E1035" t="inlineStr">
        <is>
          <t>LUDVIKA</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46107-2024</t>
        </is>
      </c>
      <c r="B1036" s="1" t="n">
        <v>45581</v>
      </c>
      <c r="C1036" s="1" t="n">
        <v>45802</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46095-2024</t>
        </is>
      </c>
      <c r="B1037" s="1" t="n">
        <v>45581</v>
      </c>
      <c r="C1037" s="1" t="n">
        <v>45802</v>
      </c>
      <c r="D1037" t="inlineStr">
        <is>
          <t>DALARNAS LÄN</t>
        </is>
      </c>
      <c r="E1037" t="inlineStr">
        <is>
          <t>LUDVIKA</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46092-2024</t>
        </is>
      </c>
      <c r="B1038" s="1" t="n">
        <v>45581</v>
      </c>
      <c r="C1038" s="1" t="n">
        <v>45802</v>
      </c>
      <c r="D1038" t="inlineStr">
        <is>
          <t>DALARNAS LÄN</t>
        </is>
      </c>
      <c r="E1038" t="inlineStr">
        <is>
          <t>LUDVIKA</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46185-2024</t>
        </is>
      </c>
      <c r="B1039" s="1" t="n">
        <v>45581</v>
      </c>
      <c r="C1039" s="1" t="n">
        <v>45802</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46358-2024</t>
        </is>
      </c>
      <c r="B1040" s="1" t="n">
        <v>45582</v>
      </c>
      <c r="C1040" s="1" t="n">
        <v>45802</v>
      </c>
      <c r="D1040" t="inlineStr">
        <is>
          <t>DALARNAS LÄN</t>
        </is>
      </c>
      <c r="E1040" t="inlineStr">
        <is>
          <t>LUDVIKA</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46351-2024</t>
        </is>
      </c>
      <c r="B1041" s="1" t="n">
        <v>45582</v>
      </c>
      <c r="C1041" s="1" t="n">
        <v>45802</v>
      </c>
      <c r="D1041" t="inlineStr">
        <is>
          <t>DALARNAS LÄN</t>
        </is>
      </c>
      <c r="E1041" t="inlineStr">
        <is>
          <t>LUDVIKA</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47233-2024</t>
        </is>
      </c>
      <c r="B1042" s="1" t="n">
        <v>45586</v>
      </c>
      <c r="C1042" s="1" t="n">
        <v>45802</v>
      </c>
      <c r="D1042" t="inlineStr">
        <is>
          <t>DALARNAS LÄN</t>
        </is>
      </c>
      <c r="E1042" t="inlineStr">
        <is>
          <t>LUDVIKA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47239-2024</t>
        </is>
      </c>
      <c r="B1043" s="1" t="n">
        <v>45586</v>
      </c>
      <c r="C1043" s="1" t="n">
        <v>45802</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47229-2024</t>
        </is>
      </c>
      <c r="B1044" s="1" t="n">
        <v>45586</v>
      </c>
      <c r="C1044" s="1" t="n">
        <v>45802</v>
      </c>
      <c r="D1044" t="inlineStr">
        <is>
          <t>DALARNAS LÄN</t>
        </is>
      </c>
      <c r="E1044" t="inlineStr">
        <is>
          <t>LUDVIKA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47671-2024</t>
        </is>
      </c>
      <c r="B1045" s="1" t="n">
        <v>45588</v>
      </c>
      <c r="C1045" s="1" t="n">
        <v>45802</v>
      </c>
      <c r="D1045" t="inlineStr">
        <is>
          <t>DALARNAS LÄN</t>
        </is>
      </c>
      <c r="E1045" t="inlineStr">
        <is>
          <t>LUDVIKA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47999-2024</t>
        </is>
      </c>
      <c r="B1046" s="1" t="n">
        <v>45589</v>
      </c>
      <c r="C1046" s="1" t="n">
        <v>45802</v>
      </c>
      <c r="D1046" t="inlineStr">
        <is>
          <t>DALARNAS LÄN</t>
        </is>
      </c>
      <c r="E1046" t="inlineStr">
        <is>
          <t>LUDVIKA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48003-2024</t>
        </is>
      </c>
      <c r="B1047" s="1" t="n">
        <v>45589</v>
      </c>
      <c r="C1047" s="1" t="n">
        <v>45802</v>
      </c>
      <c r="D1047" t="inlineStr">
        <is>
          <t>DALARNAS LÄN</t>
        </is>
      </c>
      <c r="E1047" t="inlineStr">
        <is>
          <t>LUDVIKA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47901-2024</t>
        </is>
      </c>
      <c r="B1048" s="1" t="n">
        <v>45589</v>
      </c>
      <c r="C1048" s="1" t="n">
        <v>45802</v>
      </c>
      <c r="D1048" t="inlineStr">
        <is>
          <t>DALARNAS LÄN</t>
        </is>
      </c>
      <c r="E1048" t="inlineStr">
        <is>
          <t>LUDVIKA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48164-2024</t>
        </is>
      </c>
      <c r="B1049" s="1" t="n">
        <v>45589</v>
      </c>
      <c r="C1049" s="1" t="n">
        <v>45802</v>
      </c>
      <c r="D1049" t="inlineStr">
        <is>
          <t>DALARNAS LÄN</t>
        </is>
      </c>
      <c r="E1049" t="inlineStr">
        <is>
          <t>LUDVIKA</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48774-2024</t>
        </is>
      </c>
      <c r="B1050" s="1" t="n">
        <v>45593</v>
      </c>
      <c r="C1050" s="1" t="n">
        <v>45802</v>
      </c>
      <c r="D1050" t="inlineStr">
        <is>
          <t>DALARNAS LÄN</t>
        </is>
      </c>
      <c r="E1050" t="inlineStr">
        <is>
          <t>LUDVIKA</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48726-2024</t>
        </is>
      </c>
      <c r="B1051" s="1" t="n">
        <v>45593</v>
      </c>
      <c r="C1051" s="1" t="n">
        <v>45802</v>
      </c>
      <c r="D1051" t="inlineStr">
        <is>
          <t>DALARNAS LÄN</t>
        </is>
      </c>
      <c r="E1051" t="inlineStr">
        <is>
          <t>LUDVIKA</t>
        </is>
      </c>
      <c r="F1051" t="inlineStr">
        <is>
          <t>Bergvik skog väst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48760-2024</t>
        </is>
      </c>
      <c r="B1052" s="1" t="n">
        <v>45593</v>
      </c>
      <c r="C1052" s="1" t="n">
        <v>45802</v>
      </c>
      <c r="D1052" t="inlineStr">
        <is>
          <t>DALARNAS LÄN</t>
        </is>
      </c>
      <c r="E1052" t="inlineStr">
        <is>
          <t>LUDVIKA</t>
        </is>
      </c>
      <c r="F1052" t="inlineStr">
        <is>
          <t>Naturvårdsverket</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48991-2024</t>
        </is>
      </c>
      <c r="B1053" s="1" t="n">
        <v>45594</v>
      </c>
      <c r="C1053" s="1" t="n">
        <v>45802</v>
      </c>
      <c r="D1053" t="inlineStr">
        <is>
          <t>DALARNAS LÄN</t>
        </is>
      </c>
      <c r="E1053" t="inlineStr">
        <is>
          <t>LUDVIKA</t>
        </is>
      </c>
      <c r="F1053" t="inlineStr">
        <is>
          <t>Naturvårdsverket</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49035-2024</t>
        </is>
      </c>
      <c r="B1054" s="1" t="n">
        <v>45594</v>
      </c>
      <c r="C1054" s="1" t="n">
        <v>45802</v>
      </c>
      <c r="D1054" t="inlineStr">
        <is>
          <t>DALARNAS LÄN</t>
        </is>
      </c>
      <c r="E1054" t="inlineStr">
        <is>
          <t>LUDVIKA</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49043-2024</t>
        </is>
      </c>
      <c r="B1055" s="1" t="n">
        <v>45594</v>
      </c>
      <c r="C1055" s="1" t="n">
        <v>45802</v>
      </c>
      <c r="D1055" t="inlineStr">
        <is>
          <t>DALARNAS LÄN</t>
        </is>
      </c>
      <c r="E1055" t="inlineStr">
        <is>
          <t>LUDVIKA</t>
        </is>
      </c>
      <c r="F1055" t="inlineStr">
        <is>
          <t>Naturvårdsverket</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49051-2024</t>
        </is>
      </c>
      <c r="B1056" s="1" t="n">
        <v>45594</v>
      </c>
      <c r="C1056" s="1" t="n">
        <v>45802</v>
      </c>
      <c r="D1056" t="inlineStr">
        <is>
          <t>DALARNAS LÄN</t>
        </is>
      </c>
      <c r="E1056" t="inlineStr">
        <is>
          <t>LUDVIKA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48922-2024</t>
        </is>
      </c>
      <c r="B1057" s="1" t="n">
        <v>45594</v>
      </c>
      <c r="C1057" s="1" t="n">
        <v>45802</v>
      </c>
      <c r="D1057" t="inlineStr">
        <is>
          <t>DALARNAS LÄN</t>
        </is>
      </c>
      <c r="E1057" t="inlineStr">
        <is>
          <t>LUDVIKA</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49045-2024</t>
        </is>
      </c>
      <c r="B1058" s="1" t="n">
        <v>45594</v>
      </c>
      <c r="C1058" s="1" t="n">
        <v>45802</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48925-2024</t>
        </is>
      </c>
      <c r="B1059" s="1" t="n">
        <v>45594</v>
      </c>
      <c r="C1059" s="1" t="n">
        <v>45802</v>
      </c>
      <c r="D1059" t="inlineStr">
        <is>
          <t>DALARNAS LÄN</t>
        </is>
      </c>
      <c r="E1059" t="inlineStr">
        <is>
          <t>LUDVIKA</t>
        </is>
      </c>
      <c r="F1059" t="inlineStr">
        <is>
          <t>Bergvik skog väst AB</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48927-2024</t>
        </is>
      </c>
      <c r="B1060" s="1" t="n">
        <v>45594</v>
      </c>
      <c r="C1060" s="1" t="n">
        <v>45802</v>
      </c>
      <c r="D1060" t="inlineStr">
        <is>
          <t>DALARNAS LÄN</t>
        </is>
      </c>
      <c r="E1060" t="inlineStr">
        <is>
          <t>LUDVIKA</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49177-2024</t>
        </is>
      </c>
      <c r="B1061" s="1" t="n">
        <v>45595</v>
      </c>
      <c r="C1061" s="1" t="n">
        <v>45802</v>
      </c>
      <c r="D1061" t="inlineStr">
        <is>
          <t>DALARNAS LÄN</t>
        </is>
      </c>
      <c r="E1061" t="inlineStr">
        <is>
          <t>LUDVIKA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49669-2024</t>
        </is>
      </c>
      <c r="B1062" s="1" t="n">
        <v>45596</v>
      </c>
      <c r="C1062" s="1" t="n">
        <v>45802</v>
      </c>
      <c r="D1062" t="inlineStr">
        <is>
          <t>DALARNAS LÄN</t>
        </is>
      </c>
      <c r="E1062" t="inlineStr">
        <is>
          <t>LUDVIKA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49676-2024</t>
        </is>
      </c>
      <c r="B1063" s="1" t="n">
        <v>45596</v>
      </c>
      <c r="C1063" s="1" t="n">
        <v>45802</v>
      </c>
      <c r="D1063" t="inlineStr">
        <is>
          <t>DALARNAS LÄN</t>
        </is>
      </c>
      <c r="E1063" t="inlineStr">
        <is>
          <t>LUDVIKA</t>
        </is>
      </c>
      <c r="F1063" t="inlineStr">
        <is>
          <t>Bergvik skog väst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49480-2024</t>
        </is>
      </c>
      <c r="B1064" s="1" t="n">
        <v>45596</v>
      </c>
      <c r="C1064" s="1" t="n">
        <v>45802</v>
      </c>
      <c r="D1064" t="inlineStr">
        <is>
          <t>DALARNAS LÄN</t>
        </is>
      </c>
      <c r="E1064" t="inlineStr">
        <is>
          <t>LUDVIKA</t>
        </is>
      </c>
      <c r="F1064" t="inlineStr">
        <is>
          <t>Bergvik skog väst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49484-2024</t>
        </is>
      </c>
      <c r="B1065" s="1" t="n">
        <v>45596</v>
      </c>
      <c r="C1065" s="1" t="n">
        <v>45802</v>
      </c>
      <c r="D1065" t="inlineStr">
        <is>
          <t>DALARNAS LÄN</t>
        </is>
      </c>
      <c r="E1065" t="inlineStr">
        <is>
          <t>LUDVIKA</t>
        </is>
      </c>
      <c r="F1065" t="inlineStr">
        <is>
          <t>Bergvik skog väst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50240-2024</t>
        </is>
      </c>
      <c r="B1066" s="1" t="n">
        <v>45600</v>
      </c>
      <c r="C1066" s="1" t="n">
        <v>45802</v>
      </c>
      <c r="D1066" t="inlineStr">
        <is>
          <t>DALARNAS LÄN</t>
        </is>
      </c>
      <c r="E1066" t="inlineStr">
        <is>
          <t>LUDVIKA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50199-2024</t>
        </is>
      </c>
      <c r="B1067" s="1" t="n">
        <v>45600</v>
      </c>
      <c r="C1067" s="1" t="n">
        <v>45802</v>
      </c>
      <c r="D1067" t="inlineStr">
        <is>
          <t>DALARNAS LÄN</t>
        </is>
      </c>
      <c r="E1067" t="inlineStr">
        <is>
          <t>LUDVIKA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50529-2024</t>
        </is>
      </c>
      <c r="B1068" s="1" t="n">
        <v>45601</v>
      </c>
      <c r="C1068" s="1" t="n">
        <v>45802</v>
      </c>
      <c r="D1068" t="inlineStr">
        <is>
          <t>DALARNAS LÄN</t>
        </is>
      </c>
      <c r="E1068" t="inlineStr">
        <is>
          <t>LUDVIKA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50384-2024</t>
        </is>
      </c>
      <c r="B1069" s="1" t="n">
        <v>45601</v>
      </c>
      <c r="C1069" s="1" t="n">
        <v>45802</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50528-2024</t>
        </is>
      </c>
      <c r="B1070" s="1" t="n">
        <v>45601</v>
      </c>
      <c r="C1070" s="1" t="n">
        <v>45802</v>
      </c>
      <c r="D1070" t="inlineStr">
        <is>
          <t>DALARNAS LÄN</t>
        </is>
      </c>
      <c r="E1070" t="inlineStr">
        <is>
          <t>LUDVIKA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50714-2024</t>
        </is>
      </c>
      <c r="B1071" s="1" t="n">
        <v>45602</v>
      </c>
      <c r="C1071" s="1" t="n">
        <v>45802</v>
      </c>
      <c r="D1071" t="inlineStr">
        <is>
          <t>DALARNAS LÄN</t>
        </is>
      </c>
      <c r="E1071" t="inlineStr">
        <is>
          <t>LUDVIKA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50777-2024</t>
        </is>
      </c>
      <c r="B1072" s="1" t="n">
        <v>45602</v>
      </c>
      <c r="C1072" s="1" t="n">
        <v>45802</v>
      </c>
      <c r="D1072" t="inlineStr">
        <is>
          <t>DALARNAS LÄN</t>
        </is>
      </c>
      <c r="E1072" t="inlineStr">
        <is>
          <t>LUDVIKA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50871-2024</t>
        </is>
      </c>
      <c r="B1073" s="1" t="n">
        <v>45602</v>
      </c>
      <c r="C1073" s="1" t="n">
        <v>45802</v>
      </c>
      <c r="D1073" t="inlineStr">
        <is>
          <t>DALARNAS LÄN</t>
        </is>
      </c>
      <c r="E1073" t="inlineStr">
        <is>
          <t>LUDVIKA</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50868-2024</t>
        </is>
      </c>
      <c r="B1074" s="1" t="n">
        <v>45602</v>
      </c>
      <c r="C1074" s="1" t="n">
        <v>45802</v>
      </c>
      <c r="D1074" t="inlineStr">
        <is>
          <t>DALARNAS LÄN</t>
        </is>
      </c>
      <c r="E1074" t="inlineStr">
        <is>
          <t>LUDVIKA</t>
        </is>
      </c>
      <c r="F1074" t="inlineStr">
        <is>
          <t>Bergvik skog väst AB</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51080-2024</t>
        </is>
      </c>
      <c r="B1075" s="1" t="n">
        <v>45603</v>
      </c>
      <c r="C1075" s="1" t="n">
        <v>45802</v>
      </c>
      <c r="D1075" t="inlineStr">
        <is>
          <t>DALARNAS LÄN</t>
        </is>
      </c>
      <c r="E1075" t="inlineStr">
        <is>
          <t>LUDVIKA</t>
        </is>
      </c>
      <c r="F1075" t="inlineStr">
        <is>
          <t>Naturvårdsverket</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51043-2024</t>
        </is>
      </c>
      <c r="B1076" s="1" t="n">
        <v>45603</v>
      </c>
      <c r="C1076" s="1" t="n">
        <v>45802</v>
      </c>
      <c r="D1076" t="inlineStr">
        <is>
          <t>DALARNAS LÄN</t>
        </is>
      </c>
      <c r="E1076" t="inlineStr">
        <is>
          <t>LUDVIKA</t>
        </is>
      </c>
      <c r="F1076" t="inlineStr">
        <is>
          <t>Bergvik skog väst AB</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51029-2024</t>
        </is>
      </c>
      <c r="B1077" s="1" t="n">
        <v>45603</v>
      </c>
      <c r="C1077" s="1" t="n">
        <v>45802</v>
      </c>
      <c r="D1077" t="inlineStr">
        <is>
          <t>DALARNAS LÄN</t>
        </is>
      </c>
      <c r="E1077" t="inlineStr">
        <is>
          <t>LUDVIKA</t>
        </is>
      </c>
      <c r="F1077" t="inlineStr">
        <is>
          <t>Bergvik skog väst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51410-2024</t>
        </is>
      </c>
      <c r="B1078" s="1" t="n">
        <v>45604</v>
      </c>
      <c r="C1078" s="1" t="n">
        <v>45802</v>
      </c>
      <c r="D1078" t="inlineStr">
        <is>
          <t>DALARNAS LÄN</t>
        </is>
      </c>
      <c r="E1078" t="inlineStr">
        <is>
          <t>LUDVIKA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51429-2024</t>
        </is>
      </c>
      <c r="B1079" s="1" t="n">
        <v>45604</v>
      </c>
      <c r="C1079" s="1" t="n">
        <v>45802</v>
      </c>
      <c r="D1079" t="inlineStr">
        <is>
          <t>DALARNAS LÄN</t>
        </is>
      </c>
      <c r="E1079" t="inlineStr">
        <is>
          <t>LUDVIKA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51956-2024</t>
        </is>
      </c>
      <c r="B1080" s="1" t="n">
        <v>45607</v>
      </c>
      <c r="C1080" s="1" t="n">
        <v>45802</v>
      </c>
      <c r="D1080" t="inlineStr">
        <is>
          <t>DALARNAS LÄN</t>
        </is>
      </c>
      <c r="E1080" t="inlineStr">
        <is>
          <t>LUDVIKA</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51972-2024</t>
        </is>
      </c>
      <c r="B1081" s="1" t="n">
        <v>45607</v>
      </c>
      <c r="C1081" s="1" t="n">
        <v>45802</v>
      </c>
      <c r="D1081" t="inlineStr">
        <is>
          <t>DALARNAS LÄN</t>
        </is>
      </c>
      <c r="E1081" t="inlineStr">
        <is>
          <t>LUDVIKA</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51702-2024</t>
        </is>
      </c>
      <c r="B1082" s="1" t="n">
        <v>45607</v>
      </c>
      <c r="C1082" s="1" t="n">
        <v>45802</v>
      </c>
      <c r="D1082" t="inlineStr">
        <is>
          <t>DALARNAS LÄN</t>
        </is>
      </c>
      <c r="E1082" t="inlineStr">
        <is>
          <t>LUDVIKA</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51704-2024</t>
        </is>
      </c>
      <c r="B1083" s="1" t="n">
        <v>45607</v>
      </c>
      <c r="C1083" s="1" t="n">
        <v>45802</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52347-2024</t>
        </is>
      </c>
      <c r="B1084" s="1" t="n">
        <v>45609</v>
      </c>
      <c r="C1084" s="1" t="n">
        <v>45802</v>
      </c>
      <c r="D1084" t="inlineStr">
        <is>
          <t>DALARNAS LÄN</t>
        </is>
      </c>
      <c r="E1084" t="inlineStr">
        <is>
          <t>LUDVIKA</t>
        </is>
      </c>
      <c r="F1084" t="inlineStr">
        <is>
          <t>Bergvik skog väst AB</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52351-2024</t>
        </is>
      </c>
      <c r="B1085" s="1" t="n">
        <v>45609</v>
      </c>
      <c r="C1085" s="1" t="n">
        <v>45802</v>
      </c>
      <c r="D1085" t="inlineStr">
        <is>
          <t>DALARNAS LÄN</t>
        </is>
      </c>
      <c r="E1085" t="inlineStr">
        <is>
          <t>LUDVIKA</t>
        </is>
      </c>
      <c r="F1085" t="inlineStr">
        <is>
          <t>Bergvik skog väst AB</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52359-2024</t>
        </is>
      </c>
      <c r="B1086" s="1" t="n">
        <v>45609</v>
      </c>
      <c r="C1086" s="1" t="n">
        <v>45802</v>
      </c>
      <c r="D1086" t="inlineStr">
        <is>
          <t>DALARNAS LÄN</t>
        </is>
      </c>
      <c r="E1086" t="inlineStr">
        <is>
          <t>LUDVIKA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52792-2024</t>
        </is>
      </c>
      <c r="B1087" s="1" t="n">
        <v>45610</v>
      </c>
      <c r="C1087" s="1" t="n">
        <v>45802</v>
      </c>
      <c r="D1087" t="inlineStr">
        <is>
          <t>DALARNAS LÄN</t>
        </is>
      </c>
      <c r="E1087" t="inlineStr">
        <is>
          <t>LUDVIKA</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52766-2024</t>
        </is>
      </c>
      <c r="B1088" s="1" t="n">
        <v>45610</v>
      </c>
      <c r="C1088" s="1" t="n">
        <v>45802</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52782-2024</t>
        </is>
      </c>
      <c r="B1089" s="1" t="n">
        <v>45610</v>
      </c>
      <c r="C1089" s="1" t="n">
        <v>45802</v>
      </c>
      <c r="D1089" t="inlineStr">
        <is>
          <t>DALARNAS LÄN</t>
        </is>
      </c>
      <c r="E1089" t="inlineStr">
        <is>
          <t>LUDVIKA</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53057-2024</t>
        </is>
      </c>
      <c r="B1090" s="1" t="n">
        <v>45611</v>
      </c>
      <c r="C1090" s="1" t="n">
        <v>45802</v>
      </c>
      <c r="D1090" t="inlineStr">
        <is>
          <t>DALARNAS LÄN</t>
        </is>
      </c>
      <c r="E1090" t="inlineStr">
        <is>
          <t>LUDVIKA</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53183-2024</t>
        </is>
      </c>
      <c r="B1091" s="1" t="n">
        <v>45611</v>
      </c>
      <c r="C1091" s="1" t="n">
        <v>45802</v>
      </c>
      <c r="D1091" t="inlineStr">
        <is>
          <t>DALARNAS LÄN</t>
        </is>
      </c>
      <c r="E1091" t="inlineStr">
        <is>
          <t>LUDVIKA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53106-2024</t>
        </is>
      </c>
      <c r="B1092" s="1" t="n">
        <v>45611</v>
      </c>
      <c r="C1092" s="1" t="n">
        <v>45802</v>
      </c>
      <c r="D1092" t="inlineStr">
        <is>
          <t>DALARNAS LÄN</t>
        </is>
      </c>
      <c r="E1092" t="inlineStr">
        <is>
          <t>LUDVIKA</t>
        </is>
      </c>
      <c r="F1092" t="inlineStr">
        <is>
          <t>Bergvik skog väst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53048-2024</t>
        </is>
      </c>
      <c r="B1093" s="1" t="n">
        <v>45611</v>
      </c>
      <c r="C1093" s="1" t="n">
        <v>45802</v>
      </c>
      <c r="D1093" t="inlineStr">
        <is>
          <t>DALARNAS LÄN</t>
        </is>
      </c>
      <c r="E1093" t="inlineStr">
        <is>
          <t>LUDVIKA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53104-2024</t>
        </is>
      </c>
      <c r="B1094" s="1" t="n">
        <v>45611</v>
      </c>
      <c r="C1094" s="1" t="n">
        <v>45802</v>
      </c>
      <c r="D1094" t="inlineStr">
        <is>
          <t>DALARNAS LÄN</t>
        </is>
      </c>
      <c r="E1094" t="inlineStr">
        <is>
          <t>LUDVIKA</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53054-2024</t>
        </is>
      </c>
      <c r="B1095" s="1" t="n">
        <v>45611</v>
      </c>
      <c r="C1095" s="1" t="n">
        <v>45802</v>
      </c>
      <c r="D1095" t="inlineStr">
        <is>
          <t>DALARNAS LÄN</t>
        </is>
      </c>
      <c r="E1095" t="inlineStr">
        <is>
          <t>LUDVIKA</t>
        </is>
      </c>
      <c r="F1095" t="inlineStr">
        <is>
          <t>Bergvik skog väst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53632-2024</t>
        </is>
      </c>
      <c r="B1096" s="1" t="n">
        <v>45614</v>
      </c>
      <c r="C1096" s="1" t="n">
        <v>45802</v>
      </c>
      <c r="D1096" t="inlineStr">
        <is>
          <t>DALARNAS LÄN</t>
        </is>
      </c>
      <c r="E1096" t="inlineStr">
        <is>
          <t>LUDVIKA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54137-2024</t>
        </is>
      </c>
      <c r="B1097" s="1" t="n">
        <v>45616</v>
      </c>
      <c r="C1097" s="1" t="n">
        <v>45802</v>
      </c>
      <c r="D1097" t="inlineStr">
        <is>
          <t>DALARNAS LÄN</t>
        </is>
      </c>
      <c r="E1097" t="inlineStr">
        <is>
          <t>LUDVIKA</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54154-2024</t>
        </is>
      </c>
      <c r="B1098" s="1" t="n">
        <v>45616</v>
      </c>
      <c r="C1098" s="1" t="n">
        <v>45802</v>
      </c>
      <c r="D1098" t="inlineStr">
        <is>
          <t>DALARNAS LÄN</t>
        </is>
      </c>
      <c r="E1098" t="inlineStr">
        <is>
          <t>LUDVIKA</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54222-2024</t>
        </is>
      </c>
      <c r="B1099" s="1" t="n">
        <v>45616</v>
      </c>
      <c r="C1099" s="1" t="n">
        <v>45802</v>
      </c>
      <c r="D1099" t="inlineStr">
        <is>
          <t>DALARNAS LÄN</t>
        </is>
      </c>
      <c r="E1099" t="inlineStr">
        <is>
          <t>LUDVIKA</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53996-2024</t>
        </is>
      </c>
      <c r="B1100" s="1" t="n">
        <v>45616</v>
      </c>
      <c r="C1100" s="1" t="n">
        <v>45802</v>
      </c>
      <c r="D1100" t="inlineStr">
        <is>
          <t>DALARNAS LÄN</t>
        </is>
      </c>
      <c r="E1100" t="inlineStr">
        <is>
          <t>LUDVIKA</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54096-2024</t>
        </is>
      </c>
      <c r="B1101" s="1" t="n">
        <v>45616</v>
      </c>
      <c r="C1101" s="1" t="n">
        <v>45802</v>
      </c>
      <c r="D1101" t="inlineStr">
        <is>
          <t>DALARNAS LÄN</t>
        </is>
      </c>
      <c r="E1101" t="inlineStr">
        <is>
          <t>LUDVIKA</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54089-2024</t>
        </is>
      </c>
      <c r="B1102" s="1" t="n">
        <v>45616</v>
      </c>
      <c r="C1102" s="1" t="n">
        <v>45802</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54353-2024</t>
        </is>
      </c>
      <c r="B1103" s="1" t="n">
        <v>45617</v>
      </c>
      <c r="C1103" s="1" t="n">
        <v>45802</v>
      </c>
      <c r="D1103" t="inlineStr">
        <is>
          <t>DALARNAS LÄN</t>
        </is>
      </c>
      <c r="E1103" t="inlineStr">
        <is>
          <t>LUDVIKA</t>
        </is>
      </c>
      <c r="F1103" t="inlineStr">
        <is>
          <t>Bergvik skog väst AB</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54373-2024</t>
        </is>
      </c>
      <c r="B1104" s="1" t="n">
        <v>45617</v>
      </c>
      <c r="C1104" s="1" t="n">
        <v>45802</v>
      </c>
      <c r="D1104" t="inlineStr">
        <is>
          <t>DALARNAS LÄN</t>
        </is>
      </c>
      <c r="E1104" t="inlineStr">
        <is>
          <t>LUDVIKA</t>
        </is>
      </c>
      <c r="F1104" t="inlineStr">
        <is>
          <t>Bergvik skog väst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54551-2024</t>
        </is>
      </c>
      <c r="B1105" s="1" t="n">
        <v>45617</v>
      </c>
      <c r="C1105" s="1" t="n">
        <v>45802</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54556-2024</t>
        </is>
      </c>
      <c r="B1106" s="1" t="n">
        <v>45617</v>
      </c>
      <c r="C1106" s="1" t="n">
        <v>45802</v>
      </c>
      <c r="D1106" t="inlineStr">
        <is>
          <t>DALARNAS LÄN</t>
        </is>
      </c>
      <c r="E1106" t="inlineStr">
        <is>
          <t>LUDVIKA</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54754-2024</t>
        </is>
      </c>
      <c r="B1107" s="1" t="n">
        <v>45618</v>
      </c>
      <c r="C1107" s="1" t="n">
        <v>45802</v>
      </c>
      <c r="D1107" t="inlineStr">
        <is>
          <t>DALARNAS LÄN</t>
        </is>
      </c>
      <c r="E1107" t="inlineStr">
        <is>
          <t>LUDVIKA</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54666-2024</t>
        </is>
      </c>
      <c r="B1108" s="1" t="n">
        <v>45618</v>
      </c>
      <c r="C1108" s="1" t="n">
        <v>45802</v>
      </c>
      <c r="D1108" t="inlineStr">
        <is>
          <t>DALARNAS LÄN</t>
        </is>
      </c>
      <c r="E1108" t="inlineStr">
        <is>
          <t>LUDVIKA</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54708-2024</t>
        </is>
      </c>
      <c r="B1109" s="1" t="n">
        <v>45618</v>
      </c>
      <c r="C1109" s="1" t="n">
        <v>45802</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55281-2024</t>
        </is>
      </c>
      <c r="B1110" s="1" t="n">
        <v>45621</v>
      </c>
      <c r="C1110" s="1" t="n">
        <v>45802</v>
      </c>
      <c r="D1110" t="inlineStr">
        <is>
          <t>DALARNAS LÄN</t>
        </is>
      </c>
      <c r="E1110" t="inlineStr">
        <is>
          <t>LUDVIKA</t>
        </is>
      </c>
      <c r="F1110" t="inlineStr">
        <is>
          <t>Naturvårdsverket</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55034-2024</t>
        </is>
      </c>
      <c r="B1111" s="1" t="n">
        <v>45621</v>
      </c>
      <c r="C1111" s="1" t="n">
        <v>45802</v>
      </c>
      <c r="D1111" t="inlineStr">
        <is>
          <t>DALARNAS LÄN</t>
        </is>
      </c>
      <c r="E1111" t="inlineStr">
        <is>
          <t>LUDVIKA</t>
        </is>
      </c>
      <c r="F1111" t="inlineStr">
        <is>
          <t>Naturvårdsverket</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55126-2024</t>
        </is>
      </c>
      <c r="B1112" s="1" t="n">
        <v>45621</v>
      </c>
      <c r="C1112" s="1" t="n">
        <v>45802</v>
      </c>
      <c r="D1112" t="inlineStr">
        <is>
          <t>DALARNAS LÄN</t>
        </is>
      </c>
      <c r="E1112" t="inlineStr">
        <is>
          <t>LUDVIKA</t>
        </is>
      </c>
      <c r="F1112" t="inlineStr">
        <is>
          <t>Bergvik skog väst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55218-2024</t>
        </is>
      </c>
      <c r="B1113" s="1" t="n">
        <v>45621</v>
      </c>
      <c r="C1113" s="1" t="n">
        <v>45802</v>
      </c>
      <c r="D1113" t="inlineStr">
        <is>
          <t>DALARNAS LÄN</t>
        </is>
      </c>
      <c r="E1113" t="inlineStr">
        <is>
          <t>LUDVIKA</t>
        </is>
      </c>
      <c r="F1113" t="inlineStr">
        <is>
          <t>Naturvårdsverket</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55485-2024</t>
        </is>
      </c>
      <c r="B1114" s="1" t="n">
        <v>45622</v>
      </c>
      <c r="C1114" s="1" t="n">
        <v>45802</v>
      </c>
      <c r="D1114" t="inlineStr">
        <is>
          <t>DALARNAS LÄN</t>
        </is>
      </c>
      <c r="E1114" t="inlineStr">
        <is>
          <t>LUDVIKA</t>
        </is>
      </c>
      <c r="F1114" t="inlineStr">
        <is>
          <t>Naturvårdsverket</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55510-2024</t>
        </is>
      </c>
      <c r="B1115" s="1" t="n">
        <v>45622</v>
      </c>
      <c r="C1115" s="1" t="n">
        <v>45802</v>
      </c>
      <c r="D1115" t="inlineStr">
        <is>
          <t>DALARNAS LÄN</t>
        </is>
      </c>
      <c r="E1115" t="inlineStr">
        <is>
          <t>LUDVIKA</t>
        </is>
      </c>
      <c r="F1115" t="inlineStr">
        <is>
          <t>Naturvårdsverket</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55462-2024</t>
        </is>
      </c>
      <c r="B1116" s="1" t="n">
        <v>45622</v>
      </c>
      <c r="C1116" s="1" t="n">
        <v>45802</v>
      </c>
      <c r="D1116" t="inlineStr">
        <is>
          <t>DALARNAS LÄN</t>
        </is>
      </c>
      <c r="E1116" t="inlineStr">
        <is>
          <t>LUDVIKA</t>
        </is>
      </c>
      <c r="F1116" t="inlineStr">
        <is>
          <t>Naturvårdsverket</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55474-2024</t>
        </is>
      </c>
      <c r="B1117" s="1" t="n">
        <v>45622</v>
      </c>
      <c r="C1117" s="1" t="n">
        <v>45802</v>
      </c>
      <c r="D1117" t="inlineStr">
        <is>
          <t>DALARNAS LÄN</t>
        </is>
      </c>
      <c r="E1117" t="inlineStr">
        <is>
          <t>LUDVIKA</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55551-2024</t>
        </is>
      </c>
      <c r="B1118" s="1" t="n">
        <v>45622</v>
      </c>
      <c r="C1118" s="1" t="n">
        <v>45802</v>
      </c>
      <c r="D1118" t="inlineStr">
        <is>
          <t>DALARNAS LÄN</t>
        </is>
      </c>
      <c r="E1118" t="inlineStr">
        <is>
          <t>LUDVIKA</t>
        </is>
      </c>
      <c r="F1118" t="inlineStr">
        <is>
          <t>Bergvik skog väst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55662-2024</t>
        </is>
      </c>
      <c r="B1119" s="1" t="n">
        <v>45622</v>
      </c>
      <c r="C1119" s="1" t="n">
        <v>45802</v>
      </c>
      <c r="D1119" t="inlineStr">
        <is>
          <t>DALARNAS LÄN</t>
        </is>
      </c>
      <c r="E1119" t="inlineStr">
        <is>
          <t>LUDVIKA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55472-2024</t>
        </is>
      </c>
      <c r="B1120" s="1" t="n">
        <v>45622</v>
      </c>
      <c r="C1120" s="1" t="n">
        <v>45802</v>
      </c>
      <c r="D1120" t="inlineStr">
        <is>
          <t>DALARNAS LÄN</t>
        </is>
      </c>
      <c r="E1120" t="inlineStr">
        <is>
          <t>LUDVIKA</t>
        </is>
      </c>
      <c r="F1120" t="inlineStr">
        <is>
          <t>Naturvårdsverket</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55488-2024</t>
        </is>
      </c>
      <c r="B1121" s="1" t="n">
        <v>45622</v>
      </c>
      <c r="C1121" s="1" t="n">
        <v>45802</v>
      </c>
      <c r="D1121" t="inlineStr">
        <is>
          <t>DALARNAS LÄN</t>
        </is>
      </c>
      <c r="E1121" t="inlineStr">
        <is>
          <t>LUDVIKA</t>
        </is>
      </c>
      <c r="F1121" t="inlineStr">
        <is>
          <t>Naturvårdsverket</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55772-2024</t>
        </is>
      </c>
      <c r="B1122" s="1" t="n">
        <v>45622</v>
      </c>
      <c r="C1122" s="1" t="n">
        <v>45802</v>
      </c>
      <c r="D1122" t="inlineStr">
        <is>
          <t>DALARNAS LÄN</t>
        </is>
      </c>
      <c r="E1122" t="inlineStr">
        <is>
          <t>LUDVIKA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55880-2024</t>
        </is>
      </c>
      <c r="B1123" s="1" t="n">
        <v>45623</v>
      </c>
      <c r="C1123" s="1" t="n">
        <v>45802</v>
      </c>
      <c r="D1123" t="inlineStr">
        <is>
          <t>DALARNAS LÄN</t>
        </is>
      </c>
      <c r="E1123" t="inlineStr">
        <is>
          <t>LUDVIKA</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55971-2024</t>
        </is>
      </c>
      <c r="B1124" s="1" t="n">
        <v>45623</v>
      </c>
      <c r="C1124" s="1" t="n">
        <v>45802</v>
      </c>
      <c r="D1124" t="inlineStr">
        <is>
          <t>DALARNAS LÄN</t>
        </is>
      </c>
      <c r="E1124" t="inlineStr">
        <is>
          <t>LUDVIKA</t>
        </is>
      </c>
      <c r="F1124" t="inlineStr">
        <is>
          <t>Bergvik skog väst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55961-2024</t>
        </is>
      </c>
      <c r="B1125" s="1" t="n">
        <v>45623</v>
      </c>
      <c r="C1125" s="1" t="n">
        <v>45802</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55964-2024</t>
        </is>
      </c>
      <c r="B1126" s="1" t="n">
        <v>45623</v>
      </c>
      <c r="C1126" s="1" t="n">
        <v>45802</v>
      </c>
      <c r="D1126" t="inlineStr">
        <is>
          <t>DALARNAS LÄN</t>
        </is>
      </c>
      <c r="E1126" t="inlineStr">
        <is>
          <t>LUDVIKA</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55982-2024</t>
        </is>
      </c>
      <c r="B1127" s="1" t="n">
        <v>45623</v>
      </c>
      <c r="C1127" s="1" t="n">
        <v>45802</v>
      </c>
      <c r="D1127" t="inlineStr">
        <is>
          <t>DALARNAS LÄN</t>
        </is>
      </c>
      <c r="E1127" t="inlineStr">
        <is>
          <t>LUDVIKA</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56203-2024</t>
        </is>
      </c>
      <c r="B1128" s="1" t="n">
        <v>45624</v>
      </c>
      <c r="C1128" s="1" t="n">
        <v>45802</v>
      </c>
      <c r="D1128" t="inlineStr">
        <is>
          <t>DALARNAS LÄN</t>
        </is>
      </c>
      <c r="E1128" t="inlineStr">
        <is>
          <t>LUDVIKA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56570-2024</t>
        </is>
      </c>
      <c r="B1129" s="1" t="n">
        <v>45625</v>
      </c>
      <c r="C1129" s="1" t="n">
        <v>45802</v>
      </c>
      <c r="D1129" t="inlineStr">
        <is>
          <t>DALARNAS LÄN</t>
        </is>
      </c>
      <c r="E1129" t="inlineStr">
        <is>
          <t>LUDVIKA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56445-2024</t>
        </is>
      </c>
      <c r="B1130" s="1" t="n">
        <v>45625</v>
      </c>
      <c r="C1130" s="1" t="n">
        <v>45802</v>
      </c>
      <c r="D1130" t="inlineStr">
        <is>
          <t>DALARNAS LÄN</t>
        </is>
      </c>
      <c r="E1130" t="inlineStr">
        <is>
          <t>LUDVIKA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56573-2024</t>
        </is>
      </c>
      <c r="B1131" s="1" t="n">
        <v>45625</v>
      </c>
      <c r="C1131" s="1" t="n">
        <v>45802</v>
      </c>
      <c r="D1131" t="inlineStr">
        <is>
          <t>DALARNAS LÄN</t>
        </is>
      </c>
      <c r="E1131" t="inlineStr">
        <is>
          <t>LUDVIKA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56580-2024</t>
        </is>
      </c>
      <c r="B1132" s="1" t="n">
        <v>45625</v>
      </c>
      <c r="C1132" s="1" t="n">
        <v>45802</v>
      </c>
      <c r="D1132" t="inlineStr">
        <is>
          <t>DALARNAS LÄN</t>
        </is>
      </c>
      <c r="E1132" t="inlineStr">
        <is>
          <t>LUDVIKA</t>
        </is>
      </c>
      <c r="F1132" t="inlineStr">
        <is>
          <t>Bergvik skog väst AB</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56563-2024</t>
        </is>
      </c>
      <c r="B1133" s="1" t="n">
        <v>45625</v>
      </c>
      <c r="C1133" s="1" t="n">
        <v>45802</v>
      </c>
      <c r="D1133" t="inlineStr">
        <is>
          <t>DALARNAS LÄN</t>
        </is>
      </c>
      <c r="E1133" t="inlineStr">
        <is>
          <t>LUDVIKA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56737-2024</t>
        </is>
      </c>
      <c r="B1134" s="1" t="n">
        <v>45628</v>
      </c>
      <c r="C1134" s="1" t="n">
        <v>45802</v>
      </c>
      <c r="D1134" t="inlineStr">
        <is>
          <t>DALARNAS LÄN</t>
        </is>
      </c>
      <c r="E1134" t="inlineStr">
        <is>
          <t>LUDVIKA</t>
        </is>
      </c>
      <c r="F1134" t="inlineStr">
        <is>
          <t>Naturvårdsverket</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57217-2024</t>
        </is>
      </c>
      <c r="B1135" s="1" t="n">
        <v>45629</v>
      </c>
      <c r="C1135" s="1" t="n">
        <v>45802</v>
      </c>
      <c r="D1135" t="inlineStr">
        <is>
          <t>DALARNAS LÄN</t>
        </is>
      </c>
      <c r="E1135" t="inlineStr">
        <is>
          <t>LUDVIKA</t>
        </is>
      </c>
      <c r="F1135" t="inlineStr">
        <is>
          <t>Bergvik skog väst AB</t>
        </is>
      </c>
      <c r="G1135" t="n">
        <v>17.3</v>
      </c>
      <c r="H1135" t="n">
        <v>0</v>
      </c>
      <c r="I1135" t="n">
        <v>0</v>
      </c>
      <c r="J1135" t="n">
        <v>0</v>
      </c>
      <c r="K1135" t="n">
        <v>0</v>
      </c>
      <c r="L1135" t="n">
        <v>0</v>
      </c>
      <c r="M1135" t="n">
        <v>0</v>
      </c>
      <c r="N1135" t="n">
        <v>0</v>
      </c>
      <c r="O1135" t="n">
        <v>0</v>
      </c>
      <c r="P1135" t="n">
        <v>0</v>
      </c>
      <c r="Q1135" t="n">
        <v>0</v>
      </c>
      <c r="R1135" s="2" t="inlineStr"/>
    </row>
    <row r="1136" ht="15" customHeight="1">
      <c r="A1136" t="inlineStr">
        <is>
          <t>A 57247-2024</t>
        </is>
      </c>
      <c r="B1136" s="1" t="n">
        <v>45629</v>
      </c>
      <c r="C1136" s="1" t="n">
        <v>45802</v>
      </c>
      <c r="D1136" t="inlineStr">
        <is>
          <t>DALARNAS LÄN</t>
        </is>
      </c>
      <c r="E1136" t="inlineStr">
        <is>
          <t>LUDVIKA</t>
        </is>
      </c>
      <c r="F1136" t="inlineStr">
        <is>
          <t>Bergvik skog väst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57310-2024</t>
        </is>
      </c>
      <c r="B1137" s="1" t="n">
        <v>45629</v>
      </c>
      <c r="C1137" s="1" t="n">
        <v>45802</v>
      </c>
      <c r="D1137" t="inlineStr">
        <is>
          <t>DALARNAS LÄN</t>
        </is>
      </c>
      <c r="E1137" t="inlineStr">
        <is>
          <t>LUDVIKA</t>
        </is>
      </c>
      <c r="F1137" t="inlineStr">
        <is>
          <t>Naturvårdsverket</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57230-2024</t>
        </is>
      </c>
      <c r="B1138" s="1" t="n">
        <v>45629</v>
      </c>
      <c r="C1138" s="1" t="n">
        <v>45802</v>
      </c>
      <c r="D1138" t="inlineStr">
        <is>
          <t>DALARNAS LÄN</t>
        </is>
      </c>
      <c r="E1138" t="inlineStr">
        <is>
          <t>LUDVIKA</t>
        </is>
      </c>
      <c r="F1138" t="inlineStr">
        <is>
          <t>Bergvik skog väst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57307-2024</t>
        </is>
      </c>
      <c r="B1139" s="1" t="n">
        <v>45629</v>
      </c>
      <c r="C1139" s="1" t="n">
        <v>45802</v>
      </c>
      <c r="D1139" t="inlineStr">
        <is>
          <t>DALARNAS LÄN</t>
        </is>
      </c>
      <c r="E1139" t="inlineStr">
        <is>
          <t>LUDVIKA</t>
        </is>
      </c>
      <c r="F1139" t="inlineStr">
        <is>
          <t>Naturvårdsverket</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57776-2024</t>
        </is>
      </c>
      <c r="B1140" s="1" t="n">
        <v>45631</v>
      </c>
      <c r="C1140" s="1" t="n">
        <v>45802</v>
      </c>
      <c r="D1140" t="inlineStr">
        <is>
          <t>DALARNAS LÄN</t>
        </is>
      </c>
      <c r="E1140" t="inlineStr">
        <is>
          <t>LUDVIKA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57969-2024</t>
        </is>
      </c>
      <c r="B1141" s="1" t="n">
        <v>45631</v>
      </c>
      <c r="C1141" s="1" t="n">
        <v>45802</v>
      </c>
      <c r="D1141" t="inlineStr">
        <is>
          <t>DALARNAS LÄN</t>
        </is>
      </c>
      <c r="E1141" t="inlineStr">
        <is>
          <t>LUDVIKA</t>
        </is>
      </c>
      <c r="F1141" t="inlineStr">
        <is>
          <t>Bergvik skog väst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58044-2024</t>
        </is>
      </c>
      <c r="B1142" s="1" t="n">
        <v>45631</v>
      </c>
      <c r="C1142" s="1" t="n">
        <v>45802</v>
      </c>
      <c r="D1142" t="inlineStr">
        <is>
          <t>DALARNAS LÄN</t>
        </is>
      </c>
      <c r="E1142" t="inlineStr">
        <is>
          <t>LUDVIKA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58071-2024</t>
        </is>
      </c>
      <c r="B1143" s="1" t="n">
        <v>45632</v>
      </c>
      <c r="C1143" s="1" t="n">
        <v>45802</v>
      </c>
      <c r="D1143" t="inlineStr">
        <is>
          <t>DALARNAS LÄN</t>
        </is>
      </c>
      <c r="E1143" t="inlineStr">
        <is>
          <t>LUDVIKA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58090-2024</t>
        </is>
      </c>
      <c r="B1144" s="1" t="n">
        <v>45632</v>
      </c>
      <c r="C1144" s="1" t="n">
        <v>45802</v>
      </c>
      <c r="D1144" t="inlineStr">
        <is>
          <t>DALARNAS LÄN</t>
        </is>
      </c>
      <c r="E1144" t="inlineStr">
        <is>
          <t>LUDVIKA</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58072-2024</t>
        </is>
      </c>
      <c r="B1145" s="1" t="n">
        <v>45632</v>
      </c>
      <c r="C1145" s="1" t="n">
        <v>45802</v>
      </c>
      <c r="D1145" t="inlineStr">
        <is>
          <t>DALARNAS LÄN</t>
        </is>
      </c>
      <c r="E1145" t="inlineStr">
        <is>
          <t>LUDVIKA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58997-2024</t>
        </is>
      </c>
      <c r="B1146" s="1" t="n">
        <v>45636</v>
      </c>
      <c r="C1146" s="1" t="n">
        <v>45802</v>
      </c>
      <c r="D1146" t="inlineStr">
        <is>
          <t>DALARNAS LÄN</t>
        </is>
      </c>
      <c r="E1146" t="inlineStr">
        <is>
          <t>LUDVIKA</t>
        </is>
      </c>
      <c r="F1146" t="inlineStr">
        <is>
          <t>Bergvik skog väst AB</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59346-2024</t>
        </is>
      </c>
      <c r="B1147" s="1" t="n">
        <v>45638</v>
      </c>
      <c r="C1147" s="1" t="n">
        <v>45802</v>
      </c>
      <c r="D1147" t="inlineStr">
        <is>
          <t>DALARNAS LÄN</t>
        </is>
      </c>
      <c r="E1147" t="inlineStr">
        <is>
          <t>LUDVIKA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59634-2024</t>
        </is>
      </c>
      <c r="B1148" s="1" t="n">
        <v>45639</v>
      </c>
      <c r="C1148" s="1" t="n">
        <v>45802</v>
      </c>
      <c r="D1148" t="inlineStr">
        <is>
          <t>DALARNAS LÄN</t>
        </is>
      </c>
      <c r="E1148" t="inlineStr">
        <is>
          <t>LUDVIKA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59448-2024</t>
        </is>
      </c>
      <c r="B1149" s="1" t="n">
        <v>45638</v>
      </c>
      <c r="C1149" s="1" t="n">
        <v>45802</v>
      </c>
      <c r="D1149" t="inlineStr">
        <is>
          <t>DALARNAS LÄN</t>
        </is>
      </c>
      <c r="E1149" t="inlineStr">
        <is>
          <t>LUDVIKA</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59347-2024</t>
        </is>
      </c>
      <c r="B1150" s="1" t="n">
        <v>45638</v>
      </c>
      <c r="C1150" s="1" t="n">
        <v>45802</v>
      </c>
      <c r="D1150" t="inlineStr">
        <is>
          <t>DALARNAS LÄN</t>
        </is>
      </c>
      <c r="E1150" t="inlineStr">
        <is>
          <t>LUDVIKA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59398-2024</t>
        </is>
      </c>
      <c r="B1151" s="1" t="n">
        <v>45638</v>
      </c>
      <c r="C1151" s="1" t="n">
        <v>45802</v>
      </c>
      <c r="D1151" t="inlineStr">
        <is>
          <t>DALARNAS LÄN</t>
        </is>
      </c>
      <c r="E1151" t="inlineStr">
        <is>
          <t>LUDVIKA</t>
        </is>
      </c>
      <c r="F1151" t="inlineStr">
        <is>
          <t>Naturvårdsverket</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59356-2024</t>
        </is>
      </c>
      <c r="B1152" s="1" t="n">
        <v>45638</v>
      </c>
      <c r="C1152" s="1" t="n">
        <v>45802</v>
      </c>
      <c r="D1152" t="inlineStr">
        <is>
          <t>DALARNAS LÄN</t>
        </is>
      </c>
      <c r="E1152" t="inlineStr">
        <is>
          <t>LUDVIKA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59667-2024</t>
        </is>
      </c>
      <c r="B1153" s="1" t="n">
        <v>45639</v>
      </c>
      <c r="C1153" s="1" t="n">
        <v>45802</v>
      </c>
      <c r="D1153" t="inlineStr">
        <is>
          <t>DALARNAS LÄN</t>
        </is>
      </c>
      <c r="E1153" t="inlineStr">
        <is>
          <t>LUDVIKA</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59842-2024</t>
        </is>
      </c>
      <c r="B1154" s="1" t="n">
        <v>45639</v>
      </c>
      <c r="C1154" s="1" t="n">
        <v>45802</v>
      </c>
      <c r="D1154" t="inlineStr">
        <is>
          <t>DALARNAS LÄN</t>
        </is>
      </c>
      <c r="E1154" t="inlineStr">
        <is>
          <t>LUDVIKA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60787-2024</t>
        </is>
      </c>
      <c r="B1155" s="1" t="n">
        <v>45644</v>
      </c>
      <c r="C1155" s="1" t="n">
        <v>45802</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60668-2024</t>
        </is>
      </c>
      <c r="B1156" s="1" t="n">
        <v>45644</v>
      </c>
      <c r="C1156" s="1" t="n">
        <v>45802</v>
      </c>
      <c r="D1156" t="inlineStr">
        <is>
          <t>DALARNAS LÄN</t>
        </is>
      </c>
      <c r="E1156" t="inlineStr">
        <is>
          <t>LUDVIKA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60660-2024</t>
        </is>
      </c>
      <c r="B1157" s="1" t="n">
        <v>45644</v>
      </c>
      <c r="C1157" s="1" t="n">
        <v>45802</v>
      </c>
      <c r="D1157" t="inlineStr">
        <is>
          <t>DALARNAS LÄN</t>
        </is>
      </c>
      <c r="E1157" t="inlineStr">
        <is>
          <t>LUDVIKA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60788-2024</t>
        </is>
      </c>
      <c r="B1158" s="1" t="n">
        <v>45644</v>
      </c>
      <c r="C1158" s="1" t="n">
        <v>45802</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60843-2024</t>
        </is>
      </c>
      <c r="B1159" s="1" t="n">
        <v>45644</v>
      </c>
      <c r="C1159" s="1" t="n">
        <v>45802</v>
      </c>
      <c r="D1159" t="inlineStr">
        <is>
          <t>DALARNAS LÄN</t>
        </is>
      </c>
      <c r="E1159" t="inlineStr">
        <is>
          <t>LUDVIKA</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61054-2024</t>
        </is>
      </c>
      <c r="B1160" s="1" t="n">
        <v>45645</v>
      </c>
      <c r="C1160" s="1" t="n">
        <v>45802</v>
      </c>
      <c r="D1160" t="inlineStr">
        <is>
          <t>DALARNAS LÄN</t>
        </is>
      </c>
      <c r="E1160" t="inlineStr">
        <is>
          <t>LUDVIKA</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61231-2024</t>
        </is>
      </c>
      <c r="B1161" s="1" t="n">
        <v>45645</v>
      </c>
      <c r="C1161" s="1" t="n">
        <v>45802</v>
      </c>
      <c r="D1161" t="inlineStr">
        <is>
          <t>DALARNAS LÄN</t>
        </is>
      </c>
      <c r="E1161" t="inlineStr">
        <is>
          <t>LUDVIKA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61384-2024</t>
        </is>
      </c>
      <c r="B1162" s="1" t="n">
        <v>45646</v>
      </c>
      <c r="C1162" s="1" t="n">
        <v>45802</v>
      </c>
      <c r="D1162" t="inlineStr">
        <is>
          <t>DALARNAS LÄN</t>
        </is>
      </c>
      <c r="E1162" t="inlineStr">
        <is>
          <t>LUDVIKA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3170-2025</t>
        </is>
      </c>
      <c r="B1163" s="1" t="n">
        <v>45679</v>
      </c>
      <c r="C1163" s="1" t="n">
        <v>45802</v>
      </c>
      <c r="D1163" t="inlineStr">
        <is>
          <t>DALARNAS LÄN</t>
        </is>
      </c>
      <c r="E1163" t="inlineStr">
        <is>
          <t>LUDVIKA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3468-2025</t>
        </is>
      </c>
      <c r="B1164" s="1" t="n">
        <v>45680</v>
      </c>
      <c r="C1164" s="1" t="n">
        <v>45802</v>
      </c>
      <c r="D1164" t="inlineStr">
        <is>
          <t>DALARNAS LÄN</t>
        </is>
      </c>
      <c r="E1164" t="inlineStr">
        <is>
          <t>LUDVIKA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3391-2025</t>
        </is>
      </c>
      <c r="B1165" s="1" t="n">
        <v>45680</v>
      </c>
      <c r="C1165" s="1" t="n">
        <v>45802</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3470-2025</t>
        </is>
      </c>
      <c r="B1166" s="1" t="n">
        <v>45680</v>
      </c>
      <c r="C1166" s="1" t="n">
        <v>45802</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3380-2025</t>
        </is>
      </c>
      <c r="B1167" s="1" t="n">
        <v>45680</v>
      </c>
      <c r="C1167" s="1" t="n">
        <v>45802</v>
      </c>
      <c r="D1167" t="inlineStr">
        <is>
          <t>DALARNAS LÄN</t>
        </is>
      </c>
      <c r="E1167" t="inlineStr">
        <is>
          <t>LUDVIKA</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4170-2025</t>
        </is>
      </c>
      <c r="B1168" s="1" t="n">
        <v>45685</v>
      </c>
      <c r="C1168" s="1" t="n">
        <v>45802</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4173-2025</t>
        </is>
      </c>
      <c r="B1169" s="1" t="n">
        <v>45685</v>
      </c>
      <c r="C1169" s="1" t="n">
        <v>45802</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4544-2025</t>
        </is>
      </c>
      <c r="B1170" s="1" t="n">
        <v>45687</v>
      </c>
      <c r="C1170" s="1" t="n">
        <v>45802</v>
      </c>
      <c r="D1170" t="inlineStr">
        <is>
          <t>DALARNAS LÄN</t>
        </is>
      </c>
      <c r="E1170" t="inlineStr">
        <is>
          <t>LUDVIKA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4550-2025</t>
        </is>
      </c>
      <c r="B1171" s="1" t="n">
        <v>45687</v>
      </c>
      <c r="C1171" s="1" t="n">
        <v>45802</v>
      </c>
      <c r="D1171" t="inlineStr">
        <is>
          <t>DALARNAS LÄN</t>
        </is>
      </c>
      <c r="E1171" t="inlineStr">
        <is>
          <t>LUDVIKA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4782-2025</t>
        </is>
      </c>
      <c r="B1172" s="1" t="n">
        <v>45688</v>
      </c>
      <c r="C1172" s="1" t="n">
        <v>45802</v>
      </c>
      <c r="D1172" t="inlineStr">
        <is>
          <t>DALARNAS LÄN</t>
        </is>
      </c>
      <c r="E1172" t="inlineStr">
        <is>
          <t>LUDVIKA</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4772-2025</t>
        </is>
      </c>
      <c r="B1173" s="1" t="n">
        <v>45688</v>
      </c>
      <c r="C1173" s="1" t="n">
        <v>45802</v>
      </c>
      <c r="D1173" t="inlineStr">
        <is>
          <t>DALARNAS LÄN</t>
        </is>
      </c>
      <c r="E1173" t="inlineStr">
        <is>
          <t>LUDVIKA</t>
        </is>
      </c>
      <c r="G1173" t="n">
        <v>15.9</v>
      </c>
      <c r="H1173" t="n">
        <v>0</v>
      </c>
      <c r="I1173" t="n">
        <v>0</v>
      </c>
      <c r="J1173" t="n">
        <v>0</v>
      </c>
      <c r="K1173" t="n">
        <v>0</v>
      </c>
      <c r="L1173" t="n">
        <v>0</v>
      </c>
      <c r="M1173" t="n">
        <v>0</v>
      </c>
      <c r="N1173" t="n">
        <v>0</v>
      </c>
      <c r="O1173" t="n">
        <v>0</v>
      </c>
      <c r="P1173" t="n">
        <v>0</v>
      </c>
      <c r="Q1173" t="n">
        <v>0</v>
      </c>
      <c r="R1173" s="2" t="inlineStr"/>
    </row>
    <row r="1174" ht="15" customHeight="1">
      <c r="A1174" t="inlineStr">
        <is>
          <t>A 7526-2025</t>
        </is>
      </c>
      <c r="B1174" s="1" t="n">
        <v>45705</v>
      </c>
      <c r="C1174" s="1" t="n">
        <v>45802</v>
      </c>
      <c r="D1174" t="inlineStr">
        <is>
          <t>DALARNAS LÄN</t>
        </is>
      </c>
      <c r="E1174" t="inlineStr">
        <is>
          <t>LUDVIKA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8202-2025</t>
        </is>
      </c>
      <c r="B1175" s="1" t="n">
        <v>45708</v>
      </c>
      <c r="C1175" s="1" t="n">
        <v>45802</v>
      </c>
      <c r="D1175" t="inlineStr">
        <is>
          <t>DALARNAS LÄN</t>
        </is>
      </c>
      <c r="E1175" t="inlineStr">
        <is>
          <t>LUDVIKA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9725-2025</t>
        </is>
      </c>
      <c r="B1176" s="1" t="n">
        <v>45716</v>
      </c>
      <c r="C1176" s="1" t="n">
        <v>45802</v>
      </c>
      <c r="D1176" t="inlineStr">
        <is>
          <t>DALARNAS LÄN</t>
        </is>
      </c>
      <c r="E1176" t="inlineStr">
        <is>
          <t>LUDVIKA</t>
        </is>
      </c>
      <c r="F1176" t="inlineStr">
        <is>
          <t>Bergvik skog väst AB</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10514-2025</t>
        </is>
      </c>
      <c r="B1177" s="1" t="n">
        <v>45721</v>
      </c>
      <c r="C1177" s="1" t="n">
        <v>45802</v>
      </c>
      <c r="D1177" t="inlineStr">
        <is>
          <t>DALARNAS LÄN</t>
        </is>
      </c>
      <c r="E1177" t="inlineStr">
        <is>
          <t>LUDVIKA</t>
        </is>
      </c>
      <c r="F1177" t="inlineStr">
        <is>
          <t>Bergvik skog väst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12435-2025</t>
        </is>
      </c>
      <c r="B1178" s="1" t="n">
        <v>45730</v>
      </c>
      <c r="C1178" s="1" t="n">
        <v>45802</v>
      </c>
      <c r="D1178" t="inlineStr">
        <is>
          <t>DALARNAS LÄN</t>
        </is>
      </c>
      <c r="E1178" t="inlineStr">
        <is>
          <t>LUDVIKA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12836-2025</t>
        </is>
      </c>
      <c r="B1179" s="1" t="n">
        <v>45733</v>
      </c>
      <c r="C1179" s="1" t="n">
        <v>45802</v>
      </c>
      <c r="D1179" t="inlineStr">
        <is>
          <t>DALARNAS LÄN</t>
        </is>
      </c>
      <c r="E1179" t="inlineStr">
        <is>
          <t>LUDVIKA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13080-2025</t>
        </is>
      </c>
      <c r="B1180" s="1" t="n">
        <v>45734</v>
      </c>
      <c r="C1180" s="1" t="n">
        <v>45802</v>
      </c>
      <c r="D1180" t="inlineStr">
        <is>
          <t>DALARNAS LÄN</t>
        </is>
      </c>
      <c r="E1180" t="inlineStr">
        <is>
          <t>LUDVIKA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13809-2025</t>
        </is>
      </c>
      <c r="B1181" s="1" t="n">
        <v>45737</v>
      </c>
      <c r="C1181" s="1" t="n">
        <v>45802</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14046-2025</t>
        </is>
      </c>
      <c r="B1182" s="1" t="n">
        <v>45740</v>
      </c>
      <c r="C1182" s="1" t="n">
        <v>45802</v>
      </c>
      <c r="D1182" t="inlineStr">
        <is>
          <t>DALARNAS LÄN</t>
        </is>
      </c>
      <c r="E1182" t="inlineStr">
        <is>
          <t>LUDVIKA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14764-2025</t>
        </is>
      </c>
      <c r="B1183" s="1" t="n">
        <v>45742</v>
      </c>
      <c r="C1183" s="1" t="n">
        <v>45802</v>
      </c>
      <c r="D1183" t="inlineStr">
        <is>
          <t>DALARNAS LÄN</t>
        </is>
      </c>
      <c r="E1183" t="inlineStr">
        <is>
          <t>LUDVIKA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14881-2025</t>
        </is>
      </c>
      <c r="B1184" s="1" t="n">
        <v>45743</v>
      </c>
      <c r="C1184" s="1" t="n">
        <v>45802</v>
      </c>
      <c r="D1184" t="inlineStr">
        <is>
          <t>DALARNAS LÄN</t>
        </is>
      </c>
      <c r="E1184" t="inlineStr">
        <is>
          <t>LUDVIKA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15127-2025</t>
        </is>
      </c>
      <c r="B1185" s="1" t="n">
        <v>45744</v>
      </c>
      <c r="C1185" s="1" t="n">
        <v>45802</v>
      </c>
      <c r="D1185" t="inlineStr">
        <is>
          <t>DALARNAS LÄN</t>
        </is>
      </c>
      <c r="E1185" t="inlineStr">
        <is>
          <t>LUDVIKA</t>
        </is>
      </c>
      <c r="F1185" t="inlineStr">
        <is>
          <t>Bergvik skog väst AB</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15128-2025</t>
        </is>
      </c>
      <c r="B1186" s="1" t="n">
        <v>45744</v>
      </c>
      <c r="C1186" s="1" t="n">
        <v>45802</v>
      </c>
      <c r="D1186" t="inlineStr">
        <is>
          <t>DALARNAS LÄN</t>
        </is>
      </c>
      <c r="E1186" t="inlineStr">
        <is>
          <t>LUDVIKA</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15421-2025</t>
        </is>
      </c>
      <c r="B1187" s="1" t="n">
        <v>45747</v>
      </c>
      <c r="C1187" s="1" t="n">
        <v>45802</v>
      </c>
      <c r="D1187" t="inlineStr">
        <is>
          <t>DALARNAS LÄN</t>
        </is>
      </c>
      <c r="E1187" t="inlineStr">
        <is>
          <t>LUDVIKA</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16768-2025</t>
        </is>
      </c>
      <c r="B1188" s="1" t="n">
        <v>45754</v>
      </c>
      <c r="C1188" s="1" t="n">
        <v>45802</v>
      </c>
      <c r="D1188" t="inlineStr">
        <is>
          <t>DALARNAS LÄN</t>
        </is>
      </c>
      <c r="E1188" t="inlineStr">
        <is>
          <t>LUDVIKA</t>
        </is>
      </c>
      <c r="F1188" t="inlineStr">
        <is>
          <t>Naturvårdsverket</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16807-2025</t>
        </is>
      </c>
      <c r="B1189" s="1" t="n">
        <v>45754</v>
      </c>
      <c r="C1189" s="1" t="n">
        <v>45802</v>
      </c>
      <c r="D1189" t="inlineStr">
        <is>
          <t>DALARNAS LÄN</t>
        </is>
      </c>
      <c r="E1189" t="inlineStr">
        <is>
          <t>LUDVIKA</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18180-2025</t>
        </is>
      </c>
      <c r="B1190" s="1" t="n">
        <v>45761</v>
      </c>
      <c r="C1190" s="1" t="n">
        <v>45802</v>
      </c>
      <c r="D1190" t="inlineStr">
        <is>
          <t>DALARNAS LÄN</t>
        </is>
      </c>
      <c r="E1190" t="inlineStr">
        <is>
          <t>LUDVIKA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18237-2025</t>
        </is>
      </c>
      <c r="B1191" s="1" t="n">
        <v>45762</v>
      </c>
      <c r="C1191" s="1" t="n">
        <v>45802</v>
      </c>
      <c r="D1191" t="inlineStr">
        <is>
          <t>DALARNAS LÄN</t>
        </is>
      </c>
      <c r="E1191" t="inlineStr">
        <is>
          <t>LUDVIKA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17998-2025</t>
        </is>
      </c>
      <c r="B1192" s="1" t="n">
        <v>45761</v>
      </c>
      <c r="C1192" s="1" t="n">
        <v>45802</v>
      </c>
      <c r="D1192" t="inlineStr">
        <is>
          <t>DALARNAS LÄN</t>
        </is>
      </c>
      <c r="E1192" t="inlineStr">
        <is>
          <t>LUDVIKA</t>
        </is>
      </c>
      <c r="F1192" t="inlineStr">
        <is>
          <t>Naturvårdsverket</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17986-2025</t>
        </is>
      </c>
      <c r="B1193" s="1" t="n">
        <v>45761</v>
      </c>
      <c r="C1193" s="1" t="n">
        <v>45802</v>
      </c>
      <c r="D1193" t="inlineStr">
        <is>
          <t>DALARNAS LÄN</t>
        </is>
      </c>
      <c r="E1193" t="inlineStr">
        <is>
          <t>LUDVIKA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18187-2025</t>
        </is>
      </c>
      <c r="B1194" s="1" t="n">
        <v>45761</v>
      </c>
      <c r="C1194" s="1" t="n">
        <v>45802</v>
      </c>
      <c r="D1194" t="inlineStr">
        <is>
          <t>DALARNAS LÄN</t>
        </is>
      </c>
      <c r="E1194" t="inlineStr">
        <is>
          <t>LUDVIKA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18189-2025</t>
        </is>
      </c>
      <c r="B1195" s="1" t="n">
        <v>45761</v>
      </c>
      <c r="C1195" s="1" t="n">
        <v>45802</v>
      </c>
      <c r="D1195" t="inlineStr">
        <is>
          <t>DALARNAS LÄN</t>
        </is>
      </c>
      <c r="E1195" t="inlineStr">
        <is>
          <t>LUDVIKA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17999-2025</t>
        </is>
      </c>
      <c r="B1196" s="1" t="n">
        <v>45761</v>
      </c>
      <c r="C1196" s="1" t="n">
        <v>45802</v>
      </c>
      <c r="D1196" t="inlineStr">
        <is>
          <t>DALARNAS LÄN</t>
        </is>
      </c>
      <c r="E1196" t="inlineStr">
        <is>
          <t>LUDVIKA</t>
        </is>
      </c>
      <c r="F1196" t="inlineStr">
        <is>
          <t>Naturvårdsverket</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18421-2025</t>
        </is>
      </c>
      <c r="B1197" s="1" t="n">
        <v>45762</v>
      </c>
      <c r="C1197" s="1" t="n">
        <v>45802</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18435-2025</t>
        </is>
      </c>
      <c r="B1198" s="1" t="n">
        <v>45762</v>
      </c>
      <c r="C1198" s="1" t="n">
        <v>45802</v>
      </c>
      <c r="D1198" t="inlineStr">
        <is>
          <t>DALARNAS LÄN</t>
        </is>
      </c>
      <c r="E1198" t="inlineStr">
        <is>
          <t>LUDVIKA</t>
        </is>
      </c>
      <c r="F1198" t="inlineStr">
        <is>
          <t>Bergvik skog väst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18372-2025</t>
        </is>
      </c>
      <c r="B1199" s="1" t="n">
        <v>45762</v>
      </c>
      <c r="C1199" s="1" t="n">
        <v>45802</v>
      </c>
      <c r="D1199" t="inlineStr">
        <is>
          <t>DALARNAS LÄN</t>
        </is>
      </c>
      <c r="E1199" t="inlineStr">
        <is>
          <t>LUDVIKA</t>
        </is>
      </c>
      <c r="F1199" t="inlineStr">
        <is>
          <t>Bergvik skog väst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19071-2025</t>
        </is>
      </c>
      <c r="B1200" s="1" t="n">
        <v>45765</v>
      </c>
      <c r="C1200" s="1" t="n">
        <v>45802</v>
      </c>
      <c r="D1200" t="inlineStr">
        <is>
          <t>DALARNAS LÄN</t>
        </is>
      </c>
      <c r="E1200" t="inlineStr">
        <is>
          <t>LUDVIKA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19226-2025</t>
        </is>
      </c>
      <c r="B1201" s="1" t="n">
        <v>45769</v>
      </c>
      <c r="C1201" s="1" t="n">
        <v>45802</v>
      </c>
      <c r="D1201" t="inlineStr">
        <is>
          <t>DALARNAS LÄN</t>
        </is>
      </c>
      <c r="E1201" t="inlineStr">
        <is>
          <t>LUDVIKA</t>
        </is>
      </c>
      <c r="F1201" t="inlineStr">
        <is>
          <t>Bergvik skog väst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19677-2025</t>
        </is>
      </c>
      <c r="B1202" s="1" t="n">
        <v>45770</v>
      </c>
      <c r="C1202" s="1" t="n">
        <v>45802</v>
      </c>
      <c r="D1202" t="inlineStr">
        <is>
          <t>DALARNAS LÄN</t>
        </is>
      </c>
      <c r="E1202" t="inlineStr">
        <is>
          <t>LUDVIKA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20368-2025</t>
        </is>
      </c>
      <c r="B1203" s="1" t="n">
        <v>45775</v>
      </c>
      <c r="C1203" s="1" t="n">
        <v>45802</v>
      </c>
      <c r="D1203" t="inlineStr">
        <is>
          <t>DALARNAS LÄN</t>
        </is>
      </c>
      <c r="E1203" t="inlineStr">
        <is>
          <t>LUDVIKA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20449-2025</t>
        </is>
      </c>
      <c r="B1204" s="1" t="n">
        <v>45775</v>
      </c>
      <c r="C1204" s="1" t="n">
        <v>45802</v>
      </c>
      <c r="D1204" t="inlineStr">
        <is>
          <t>DALARNAS LÄN</t>
        </is>
      </c>
      <c r="E1204" t="inlineStr">
        <is>
          <t>LUDVIKA</t>
        </is>
      </c>
      <c r="F1204" t="inlineStr">
        <is>
          <t>Bergvik skog väst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20427-2025</t>
        </is>
      </c>
      <c r="B1205" s="1" t="n">
        <v>45775</v>
      </c>
      <c r="C1205" s="1" t="n">
        <v>45802</v>
      </c>
      <c r="D1205" t="inlineStr">
        <is>
          <t>DALARNAS LÄN</t>
        </is>
      </c>
      <c r="E1205" t="inlineStr">
        <is>
          <t>LUDVIKA</t>
        </is>
      </c>
      <c r="F1205" t="inlineStr">
        <is>
          <t>Bergvik skog väst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20642-2025</t>
        </is>
      </c>
      <c r="B1206" s="1" t="n">
        <v>45776</v>
      </c>
      <c r="C1206" s="1" t="n">
        <v>45802</v>
      </c>
      <c r="D1206" t="inlineStr">
        <is>
          <t>DALARNAS LÄN</t>
        </is>
      </c>
      <c r="E1206" t="inlineStr">
        <is>
          <t>LUDVIKA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20994-2025</t>
        </is>
      </c>
      <c r="B1207" s="1" t="n">
        <v>45777</v>
      </c>
      <c r="C1207" s="1" t="n">
        <v>45802</v>
      </c>
      <c r="D1207" t="inlineStr">
        <is>
          <t>DALARNAS LÄN</t>
        </is>
      </c>
      <c r="E1207" t="inlineStr">
        <is>
          <t>LUDVIKA</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21021-2025</t>
        </is>
      </c>
      <c r="B1208" s="1" t="n">
        <v>45777</v>
      </c>
      <c r="C1208" s="1" t="n">
        <v>45802</v>
      </c>
      <c r="D1208" t="inlineStr">
        <is>
          <t>DALARNAS LÄN</t>
        </is>
      </c>
      <c r="E1208" t="inlineStr">
        <is>
          <t>LUDVIKA</t>
        </is>
      </c>
      <c r="F1208" t="inlineStr">
        <is>
          <t>Bergvik skog väst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21893-2025</t>
        </is>
      </c>
      <c r="B1209" s="1" t="n">
        <v>45784</v>
      </c>
      <c r="C1209" s="1" t="n">
        <v>45802</v>
      </c>
      <c r="D1209" t="inlineStr">
        <is>
          <t>DALARNAS LÄN</t>
        </is>
      </c>
      <c r="E1209" t="inlineStr">
        <is>
          <t>LUDVIKA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45802</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22195-2025</t>
        </is>
      </c>
      <c r="B1211" s="1" t="n">
        <v>45785</v>
      </c>
      <c r="C1211" s="1" t="n">
        <v>45802</v>
      </c>
      <c r="D1211" t="inlineStr">
        <is>
          <t>DALARNAS LÄN</t>
        </is>
      </c>
      <c r="E1211" t="inlineStr">
        <is>
          <t>LUDVIKA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22330-2025</t>
        </is>
      </c>
      <c r="B1212" s="1" t="n">
        <v>45786</v>
      </c>
      <c r="C1212" s="1" t="n">
        <v>45802</v>
      </c>
      <c r="D1212" t="inlineStr">
        <is>
          <t>DALARNAS LÄN</t>
        </is>
      </c>
      <c r="E1212" t="inlineStr">
        <is>
          <t>LUDVIKA</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22325-2025</t>
        </is>
      </c>
      <c r="B1213" s="1" t="n">
        <v>45786</v>
      </c>
      <c r="C1213" s="1" t="n">
        <v>45802</v>
      </c>
      <c r="D1213" t="inlineStr">
        <is>
          <t>DALARNAS LÄN</t>
        </is>
      </c>
      <c r="E1213" t="inlineStr">
        <is>
          <t>LUDVIKA</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22328-2025</t>
        </is>
      </c>
      <c r="B1214" s="1" t="n">
        <v>45786</v>
      </c>
      <c r="C1214" s="1" t="n">
        <v>45802</v>
      </c>
      <c r="D1214" t="inlineStr">
        <is>
          <t>DALARNAS LÄN</t>
        </is>
      </c>
      <c r="E1214" t="inlineStr">
        <is>
          <t>LUDVIKA</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22324-2025</t>
        </is>
      </c>
      <c r="B1215" s="1" t="n">
        <v>45786</v>
      </c>
      <c r="C1215" s="1" t="n">
        <v>45802</v>
      </c>
      <c r="D1215" t="inlineStr">
        <is>
          <t>DALARNAS LÄN</t>
        </is>
      </c>
      <c r="E1215" t="inlineStr">
        <is>
          <t>LUDVIKA</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22686-2025</t>
        </is>
      </c>
      <c r="B1216" s="1" t="n">
        <v>45786</v>
      </c>
      <c r="C1216" s="1" t="n">
        <v>45802</v>
      </c>
      <c r="D1216" t="inlineStr">
        <is>
          <t>DALARNAS LÄN</t>
        </is>
      </c>
      <c r="E1216" t="inlineStr">
        <is>
          <t>LUDVIKA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22801-2025</t>
        </is>
      </c>
      <c r="B1217" s="1" t="n">
        <v>45789</v>
      </c>
      <c r="C1217" s="1" t="n">
        <v>45802</v>
      </c>
      <c r="D1217" t="inlineStr">
        <is>
          <t>DALARNAS LÄN</t>
        </is>
      </c>
      <c r="E1217" t="inlineStr">
        <is>
          <t>LUDVIKA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22594-2025</t>
        </is>
      </c>
      <c r="B1218" s="1" t="n">
        <v>45789</v>
      </c>
      <c r="C1218" s="1" t="n">
        <v>45802</v>
      </c>
      <c r="D1218" t="inlineStr">
        <is>
          <t>DALARNAS LÄN</t>
        </is>
      </c>
      <c r="E1218" t="inlineStr">
        <is>
          <t>LUDVIKA</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45802</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22610-2025</t>
        </is>
      </c>
      <c r="B1220" s="1" t="n">
        <v>45789</v>
      </c>
      <c r="C1220" s="1" t="n">
        <v>45802</v>
      </c>
      <c r="D1220" t="inlineStr">
        <is>
          <t>DALARNAS LÄN</t>
        </is>
      </c>
      <c r="E1220" t="inlineStr">
        <is>
          <t>LUDVIKA</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22599-2025</t>
        </is>
      </c>
      <c r="B1221" s="1" t="n">
        <v>45789</v>
      </c>
      <c r="C1221" s="1" t="n">
        <v>45802</v>
      </c>
      <c r="D1221" t="inlineStr">
        <is>
          <t>DALARNAS LÄN</t>
        </is>
      </c>
      <c r="E1221" t="inlineStr">
        <is>
          <t>LUDVIKA</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22606-2025</t>
        </is>
      </c>
      <c r="B1222" s="1" t="n">
        <v>45789</v>
      </c>
      <c r="C1222" s="1" t="n">
        <v>45802</v>
      </c>
      <c r="D1222" t="inlineStr">
        <is>
          <t>DALARNAS LÄN</t>
        </is>
      </c>
      <c r="E1222" t="inlineStr">
        <is>
          <t>LUDVIKA</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22850-2025</t>
        </is>
      </c>
      <c r="B1223" s="1" t="n">
        <v>45790</v>
      </c>
      <c r="C1223" s="1" t="n">
        <v>45802</v>
      </c>
      <c r="D1223" t="inlineStr">
        <is>
          <t>DALARNAS LÄN</t>
        </is>
      </c>
      <c r="E1223" t="inlineStr">
        <is>
          <t>LUDVIKA</t>
        </is>
      </c>
      <c r="F1223" t="inlineStr">
        <is>
          <t>Övriga Aktiebolag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23082-2025</t>
        </is>
      </c>
      <c r="B1224" s="1" t="n">
        <v>45791</v>
      </c>
      <c r="C1224" s="1" t="n">
        <v>45802</v>
      </c>
      <c r="D1224" t="inlineStr">
        <is>
          <t>DALARNAS LÄN</t>
        </is>
      </c>
      <c r="E1224" t="inlineStr">
        <is>
          <t>LUDVIKA</t>
        </is>
      </c>
      <c r="F1224" t="inlineStr">
        <is>
          <t>Bergvik skog väst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23117-2025</t>
        </is>
      </c>
      <c r="B1225" s="1" t="n">
        <v>45791</v>
      </c>
      <c r="C1225" s="1" t="n">
        <v>45802</v>
      </c>
      <c r="D1225" t="inlineStr">
        <is>
          <t>DALARNAS LÄN</t>
        </is>
      </c>
      <c r="E1225" t="inlineStr">
        <is>
          <t>LUDVIKA</t>
        </is>
      </c>
      <c r="F1225" t="inlineStr">
        <is>
          <t>Bergvik skog väst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23087-2025</t>
        </is>
      </c>
      <c r="B1226" s="1" t="n">
        <v>45791</v>
      </c>
      <c r="C1226" s="1" t="n">
        <v>45802</v>
      </c>
      <c r="D1226" t="inlineStr">
        <is>
          <t>DALARNAS LÄN</t>
        </is>
      </c>
      <c r="E1226" t="inlineStr">
        <is>
          <t>LUDVIKA</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23097-2025</t>
        </is>
      </c>
      <c r="B1227" s="1" t="n">
        <v>45791</v>
      </c>
      <c r="C1227" s="1" t="n">
        <v>45802</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23111-2025</t>
        </is>
      </c>
      <c r="B1228" s="1" t="n">
        <v>45791</v>
      </c>
      <c r="C1228" s="1" t="n">
        <v>45802</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23137-2025</t>
        </is>
      </c>
      <c r="B1229" s="1" t="n">
        <v>45791</v>
      </c>
      <c r="C1229" s="1" t="n">
        <v>45802</v>
      </c>
      <c r="D1229" t="inlineStr">
        <is>
          <t>DALARNAS LÄN</t>
        </is>
      </c>
      <c r="E1229" t="inlineStr">
        <is>
          <t>LUDVIKA</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23139-2025</t>
        </is>
      </c>
      <c r="B1230" s="1" t="n">
        <v>45791</v>
      </c>
      <c r="C1230" s="1" t="n">
        <v>45802</v>
      </c>
      <c r="D1230" t="inlineStr">
        <is>
          <t>DALARNAS LÄN</t>
        </is>
      </c>
      <c r="E1230" t="inlineStr">
        <is>
          <t>LUDVIKA</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45802</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23086-2025</t>
        </is>
      </c>
      <c r="B1232" s="1" t="n">
        <v>45791</v>
      </c>
      <c r="C1232" s="1" t="n">
        <v>45802</v>
      </c>
      <c r="D1232" t="inlineStr">
        <is>
          <t>DALARNAS LÄN</t>
        </is>
      </c>
      <c r="E1232" t="inlineStr">
        <is>
          <t>LUDVIKA</t>
        </is>
      </c>
      <c r="F1232" t="inlineStr">
        <is>
          <t>Bergvik skog väst AB</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23103-2025</t>
        </is>
      </c>
      <c r="B1233" s="1" t="n">
        <v>45791</v>
      </c>
      <c r="C1233" s="1" t="n">
        <v>45802</v>
      </c>
      <c r="D1233" t="inlineStr">
        <is>
          <t>DALARNAS LÄN</t>
        </is>
      </c>
      <c r="E1233" t="inlineStr">
        <is>
          <t>LUDVIKA</t>
        </is>
      </c>
      <c r="F1233" t="inlineStr">
        <is>
          <t>Bergvik skog väst AB</t>
        </is>
      </c>
      <c r="G1233" t="n">
        <v>15.9</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45802</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23521-2025</t>
        </is>
      </c>
      <c r="B1235" s="1" t="n">
        <v>45792</v>
      </c>
      <c r="C1235" s="1" t="n">
        <v>45802</v>
      </c>
      <c r="D1235" t="inlineStr">
        <is>
          <t>DALARNAS LÄN</t>
        </is>
      </c>
      <c r="E1235" t="inlineStr">
        <is>
          <t>LUDVIKA</t>
        </is>
      </c>
      <c r="F1235" t="inlineStr">
        <is>
          <t>Bergvik skog väst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24081-2025</t>
        </is>
      </c>
      <c r="B1236" s="1" t="n">
        <v>45796</v>
      </c>
      <c r="C1236" s="1" t="n">
        <v>45802</v>
      </c>
      <c r="D1236" t="inlineStr">
        <is>
          <t>DALARNAS LÄN</t>
        </is>
      </c>
      <c r="E1236" t="inlineStr">
        <is>
          <t>LUDVIKA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45802</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24696-2025</t>
        </is>
      </c>
      <c r="B1238" s="1" t="n">
        <v>45798</v>
      </c>
      <c r="C1238" s="1" t="n">
        <v>45802</v>
      </c>
      <c r="D1238" t="inlineStr">
        <is>
          <t>DALARNAS LÄN</t>
        </is>
      </c>
      <c r="E1238" t="inlineStr">
        <is>
          <t>LUDVIKA</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45802</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24697-2025</t>
        </is>
      </c>
      <c r="B1240" s="1" t="n">
        <v>45798</v>
      </c>
      <c r="C1240" s="1" t="n">
        <v>45802</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24939-2025</t>
        </is>
      </c>
      <c r="B1241" s="1" t="n">
        <v>45799</v>
      </c>
      <c r="C1241" s="1" t="n">
        <v>45802</v>
      </c>
      <c r="D1241" t="inlineStr">
        <is>
          <t>DALARNAS LÄN</t>
        </is>
      </c>
      <c r="E1241" t="inlineStr">
        <is>
          <t>LUDVIKA</t>
        </is>
      </c>
      <c r="F1241" t="inlineStr">
        <is>
          <t>Bergvik skog väst AB</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24814-2025</t>
        </is>
      </c>
      <c r="B1242" s="1" t="n">
        <v>45799</v>
      </c>
      <c r="C1242" s="1" t="n">
        <v>45802</v>
      </c>
      <c r="D1242" t="inlineStr">
        <is>
          <t>DALARNAS LÄN</t>
        </is>
      </c>
      <c r="E1242" t="inlineStr">
        <is>
          <t>LUDVIKA</t>
        </is>
      </c>
      <c r="F1242" t="inlineStr">
        <is>
          <t>Bergvik skog väst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25004-2025</t>
        </is>
      </c>
      <c r="B1243" s="1" t="n">
        <v>45799</v>
      </c>
      <c r="C1243" s="1" t="n">
        <v>45802</v>
      </c>
      <c r="D1243" t="inlineStr">
        <is>
          <t>DALARNAS LÄN</t>
        </is>
      </c>
      <c r="E1243" t="inlineStr">
        <is>
          <t>LUDVIKA</t>
        </is>
      </c>
      <c r="F1243" t="inlineStr">
        <is>
          <t>Bergvik skog väst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45802</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24789-2025</t>
        </is>
      </c>
      <c r="B1245" s="1" t="n">
        <v>45799</v>
      </c>
      <c r="C1245" s="1" t="n">
        <v>45802</v>
      </c>
      <c r="D1245" t="inlineStr">
        <is>
          <t>DALARNAS LÄN</t>
        </is>
      </c>
      <c r="E1245" t="inlineStr">
        <is>
          <t>LUDVIKA</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45802</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24974-2025</t>
        </is>
      </c>
      <c r="B1247" s="1" t="n">
        <v>45799</v>
      </c>
      <c r="C1247" s="1" t="n">
        <v>45802</v>
      </c>
      <c r="D1247" t="inlineStr">
        <is>
          <t>DALARNAS LÄN</t>
        </is>
      </c>
      <c r="E1247" t="inlineStr">
        <is>
          <t>LUDVIKA</t>
        </is>
      </c>
      <c r="F1247" t="inlineStr">
        <is>
          <t>Bergvik skog väst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45802</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24928-2025</t>
        </is>
      </c>
      <c r="B1249" s="1" t="n">
        <v>45799</v>
      </c>
      <c r="C1249" s="1" t="n">
        <v>45802</v>
      </c>
      <c r="D1249" t="inlineStr">
        <is>
          <t>DALARNAS LÄN</t>
        </is>
      </c>
      <c r="E1249" t="inlineStr">
        <is>
          <t>LUDVIKA</t>
        </is>
      </c>
      <c r="F1249" t="inlineStr">
        <is>
          <t>Bergvik skog väst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24783-2025</t>
        </is>
      </c>
      <c r="B1250" s="1" t="n">
        <v>45799</v>
      </c>
      <c r="C1250" s="1" t="n">
        <v>45802</v>
      </c>
      <c r="D1250" t="inlineStr">
        <is>
          <t>DALARNAS LÄN</t>
        </is>
      </c>
      <c r="E1250" t="inlineStr">
        <is>
          <t>LUDVIKA</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24875-2025</t>
        </is>
      </c>
      <c r="B1251" s="1" t="n">
        <v>45799</v>
      </c>
      <c r="C1251" s="1" t="n">
        <v>45802</v>
      </c>
      <c r="D1251" t="inlineStr">
        <is>
          <t>DALARNAS LÄN</t>
        </is>
      </c>
      <c r="E1251" t="inlineStr">
        <is>
          <t>LUDVIKA</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25157-2025</t>
        </is>
      </c>
      <c r="B1252" s="1" t="n">
        <v>45800</v>
      </c>
      <c r="C1252" s="1" t="n">
        <v>45802</v>
      </c>
      <c r="D1252" t="inlineStr">
        <is>
          <t>DALARNAS LÄN</t>
        </is>
      </c>
      <c r="E1252" t="inlineStr">
        <is>
          <t>LUDVIKA</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45802</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25140-2025</t>
        </is>
      </c>
      <c r="B1254" s="1" t="n">
        <v>45800</v>
      </c>
      <c r="C1254" s="1" t="n">
        <v>45802</v>
      </c>
      <c r="D1254" t="inlineStr">
        <is>
          <t>DALARNAS LÄN</t>
        </is>
      </c>
      <c r="E1254" t="inlineStr">
        <is>
          <t>LUDVIKA</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45802</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45802</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45802</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c r="A1258" t="inlineStr">
        <is>
          <t>A 25150-2025</t>
        </is>
      </c>
      <c r="B1258" s="1" t="n">
        <v>45800</v>
      </c>
      <c r="C1258" s="1" t="n">
        <v>45802</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2025-05-25T18:06:27Z</dcterms:created>
  <dcterms:modified xmlns:dcterms="http://purl.org/dc/terms/" xmlns:xsi="http://www.w3.org/2001/XMLSchema-instance" xsi:type="dcterms:W3CDTF">2025-05-25T18:06:29Z</dcterms:modified>
</cp:coreProperties>
</file>
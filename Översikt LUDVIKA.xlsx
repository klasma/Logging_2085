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46277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46277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46277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46277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46277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46277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46277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46277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46277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46277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46277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46277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46277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46277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46277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46277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46277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46277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46277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46277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46277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46277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46277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46277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46277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46277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46277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46277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46277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46277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46277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46277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46277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46277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46277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46277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46277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46277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46277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46277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46277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46277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46277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46277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46277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46277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46277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46277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46277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46277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46277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46277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46277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56879-2025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46277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3</v>
      </c>
      <c r="V69" s="2" t="inlineStr">
        <is>
          <t>Garnlav
Tjäder</t>
        </is>
      </c>
      <c r="W69">
        <f>HYPERLINK("https://klasma.github.io/Logging_2085/artfynd/A 56879-2025 artfynd.xlsx", "A 56879-2025")</f>
        <v/>
      </c>
      <c r="X69">
        <f>HYPERLINK("https://klasma.github.io/Logging_2085/kartor/A 56879-2025 karta.png", "A 56879-2025")</f>
        <v/>
      </c>
      <c r="Y69">
        <f>HYPERLINK("https://klasma.github.io/Logging_2085/kartor_geotiff/A 56879-2025 georefererad karta.tif", "A 56879-2025")</f>
        <v/>
      </c>
      <c r="AA69">
        <f>HYPERLINK("https://klasma.github.io/Logging_2085/klagomål/A 56879-2025 FSC-klagomål.docx", "A 56879-2025")</f>
        <v/>
      </c>
      <c r="AB69">
        <f>HYPERLINK("https://klasma.github.io/Logging_2085/klagomålsmail/A 56879-2025 FSC-klagomål mail.docx", "A 56879-2025")</f>
        <v/>
      </c>
      <c r="AC69">
        <f>HYPERLINK("https://klasma.github.io/Logging_2085/tillsyn/A 56879-2025 tillsynsbegäran.docx", "A 56879-2025")</f>
        <v/>
      </c>
      <c r="AD69">
        <f>HYPERLINK("https://klasma.github.io/Logging_2085/tillsynsmail/A 56879-2025 tillsynsbegäran mail.docx", "A 56879-2025")</f>
        <v/>
      </c>
      <c r="AE69">
        <f>HYPERLINK("https://klasma.github.io/Logging_2085/fåglar/A 56879-2025 prioriterade fågelarter.docx", "A 56879-2025")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46277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46277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46277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46277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49051-2024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46277</v>
      </c>
      <c r="F74" t="inlineStr">
        <is>
          <t>DALARNAS LÄN</t>
        </is>
      </c>
      <c r="G74" t="inlineStr">
        <is>
          <t>LUDVIKA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2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Ladparasitspik
Vedkastanjelav</t>
        </is>
      </c>
      <c r="W74">
        <f>HYPERLINK("https://klasma.github.io/Logging_2085/artfynd/A 49051-2024 artfynd.xlsx", "A 49051-2024")</f>
        <v/>
      </c>
      <c r="X74">
        <f>HYPERLINK("https://klasma.github.io/Logging_2085/kartor/A 49051-2024 karta.png", "A 49051-2024")</f>
        <v/>
      </c>
      <c r="Y74">
        <f>HYPERLINK("https://klasma.github.io/Logging_2085/kartor_geotiff/A 49051-2024 georefererad karta.tif", "A 49051-2024")</f>
        <v/>
      </c>
      <c r="AA74">
        <f>HYPERLINK("https://klasma.github.io/Logging_2085/klagomål/A 49051-2024 FSC-klagomål.docx", "A 49051-2024")</f>
        <v/>
      </c>
      <c r="AB74">
        <f>HYPERLINK("https://klasma.github.io/Logging_2085/klagomålsmail/A 49051-2024 FSC-klagomål mail.docx", "A 49051-2024")</f>
        <v/>
      </c>
      <c r="AC74">
        <f>HYPERLINK("https://klasma.github.io/Logging_2085/tillsyn/A 49051-2024 tillsynsbegäran.docx", "A 49051-2024")</f>
        <v/>
      </c>
      <c r="AD74">
        <f>HYPERLINK("https://klasma.github.io/Logging_2085/tillsynsmail/A 49051-2024 tillsynsbegäran mail.docx", "A 49051-2024")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46277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18024-2026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46125</v>
      </c>
      <c r="E76" s="1" t="n">
        <v>46277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Skinnlav
Svavelriska</t>
        </is>
      </c>
      <c r="W76">
        <f>HYPERLINK("https://klasma.github.io/Logging_2085/artfynd/A 18024-2026 artfynd.xlsx", "A 18024-2026")</f>
        <v/>
      </c>
      <c r="X76">
        <f>HYPERLINK("https://klasma.github.io/Logging_2085/kartor/A 18024-2026 karta.png", "A 18024-2026")</f>
        <v/>
      </c>
      <c r="Y76">
        <f>HYPERLINK("https://klasma.github.io/Logging_2085/kartor_geotiff/A 18024-2026 georefererad karta.tif", "A 18024-2026")</f>
        <v/>
      </c>
      <c r="AA76">
        <f>HYPERLINK("https://klasma.github.io/Logging_2085/klagomål/A 18024-2026 FSC-klagomål.docx", "A 18024-2026")</f>
        <v/>
      </c>
      <c r="AB76">
        <f>HYPERLINK("https://klasma.github.io/Logging_2085/klagomålsmail/A 18024-2026 FSC-klagomål mail.docx", "A 18024-2026")</f>
        <v/>
      </c>
      <c r="AC76">
        <f>HYPERLINK("https://klasma.github.io/Logging_2085/tillsyn/A 18024-2026 tillsynsbegäran.docx", "A 18024-2026")</f>
        <v/>
      </c>
      <c r="AD76">
        <f>HYPERLINK("https://klasma.github.io/Logging_2085/tillsynsmail/A 18024-2026 tillsynsbegäran mail.docx", "A 18024-2026")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46277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46277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46277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46277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46277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46277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46277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46277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46277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46277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46277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46277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46277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46277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46277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55550-2022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44888</v>
      </c>
      <c r="E94" s="1" t="n">
        <v>46277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Ögonpyrola</t>
        </is>
      </c>
      <c r="W94">
        <f>HYPERLINK("https://klasma.github.io/Logging_2085/artfynd/A 55550-2022 artfynd.xlsx", "A 55550-2022")</f>
        <v/>
      </c>
      <c r="X94">
        <f>HYPERLINK("https://klasma.github.io/Logging_2085/kartor/A 55550-2022 karta.png", "A 55550-2022")</f>
        <v/>
      </c>
      <c r="Y94">
        <f>HYPERLINK("https://klasma.github.io/Logging_2085/kartor_geotiff/A 55550-2022 georefererad karta.tif", "A 55550-2022")</f>
        <v/>
      </c>
      <c r="AA94">
        <f>HYPERLINK("https://klasma.github.io/Logging_2085/klagomål/A 55550-2022 FSC-klagomål.docx", "A 55550-2022")</f>
        <v/>
      </c>
      <c r="AB94">
        <f>HYPERLINK("https://klasma.github.io/Logging_2085/klagomålsmail/A 55550-2022 FSC-klagomål mail.docx", "A 55550-2022")</f>
        <v/>
      </c>
      <c r="AC94">
        <f>HYPERLINK("https://klasma.github.io/Logging_2085/tillsyn/A 55550-2022 tillsynsbegäran.docx", "A 55550-2022")</f>
        <v/>
      </c>
      <c r="AD94">
        <f>HYPERLINK("https://klasma.github.io/Logging_2085/tillsynsmail/A 55550-2022 tillsynsbegäran mail.docx", "A 55550-2022")</f>
        <v/>
      </c>
    </row>
    <row r="95" ht="15" customHeight="1">
      <c r="A95" t="inlineStr">
        <is>
          <t>A 26850-2023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46277</v>
      </c>
      <c r="F95" t="inlineStr">
        <is>
          <t>DALARNAS LÄN</t>
        </is>
      </c>
      <c r="G95" t="inlineStr">
        <is>
          <t>LUDVIKA</t>
        </is>
      </c>
      <c r="H95" t="inlineStr">
        <is>
          <t>Naturvårdsverket</t>
        </is>
      </c>
      <c r="I95" t="n">
        <v>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HYPERLINK("https://klasma.github.io/Logging_2085/artfynd/A 26850-2023 artfynd.xlsx", "A 26850-2023")</f>
        <v/>
      </c>
      <c r="X95">
        <f>HYPERLINK("https://klasma.github.io/Logging_2085/kartor/A 26850-2023 karta.png", "A 26850-2023")</f>
        <v/>
      </c>
      <c r="Y95">
        <f>HYPERLINK("https://klasma.github.io/Logging_2085/kartor_geotiff/A 26850-2023 georefererad karta.tif", "A 26850-2023")</f>
        <v/>
      </c>
      <c r="AA95">
        <f>HYPERLINK("https://klasma.github.io/Logging_2085/klagomål/A 26850-2023 FSC-klagomål.docx", "A 26850-2023")</f>
        <v/>
      </c>
      <c r="AB95">
        <f>HYPERLINK("https://klasma.github.io/Logging_2085/klagomålsmail/A 26850-2023 FSC-klagomål mail.docx", "A 26850-2023")</f>
        <v/>
      </c>
      <c r="AC95">
        <f>HYPERLINK("https://klasma.github.io/Logging_2085/tillsyn/A 26850-2023 tillsynsbegäran.docx", "A 26850-2023")</f>
        <v/>
      </c>
      <c r="AD95">
        <f>HYPERLINK("https://klasma.github.io/Logging_2085/tillsynsmail/A 26850-2023 tillsynsbegäran mail.docx", "A 26850-2023")</f>
        <v/>
      </c>
    </row>
    <row r="96" ht="15" customHeight="1">
      <c r="A96" t="inlineStr">
        <is>
          <t>A 29733-2025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46277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HYPERLINK("https://klasma.github.io/Logging_2085/artfynd/A 29733-2025 artfynd.xlsx", "A 29733-2025")</f>
        <v/>
      </c>
      <c r="X96">
        <f>HYPERLINK("https://klasma.github.io/Logging_2085/kartor/A 29733-2025 karta.png", "A 29733-2025")</f>
        <v/>
      </c>
      <c r="Y96">
        <f>HYPERLINK("https://klasma.github.io/Logging_2085/kartor_geotiff/A 29733-2025 georefererad karta.tif", "A 29733-2025")</f>
        <v/>
      </c>
      <c r="AA96">
        <f>HYPERLINK("https://klasma.github.io/Logging_2085/klagomål/A 29733-2025 FSC-klagomål.docx", "A 29733-2025")</f>
        <v/>
      </c>
      <c r="AB96">
        <f>HYPERLINK("https://klasma.github.io/Logging_2085/klagomålsmail/A 29733-2025 FSC-klagomål mail.docx", "A 29733-2025")</f>
        <v/>
      </c>
      <c r="AC96">
        <f>HYPERLINK("https://klasma.github.io/Logging_2085/tillsyn/A 29733-2025 tillsynsbegäran.docx", "A 29733-2025")</f>
        <v/>
      </c>
      <c r="AD96">
        <f>HYPERLINK("https://klasma.github.io/Logging_2085/tillsynsmail/A 29733-2025 tillsynsbegäran mail.docx", "A 29733-2025")</f>
        <v/>
      </c>
    </row>
    <row r="97" ht="15" customHeight="1">
      <c r="A97" t="inlineStr">
        <is>
          <t>A 400-2023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44929</v>
      </c>
      <c r="E97" s="1" t="n">
        <v>46277</v>
      </c>
      <c r="F97" t="inlineStr">
        <is>
          <t>DALARNAS LÄN</t>
        </is>
      </c>
      <c r="G97" t="inlineStr">
        <is>
          <t>LUDVIKA</t>
        </is>
      </c>
      <c r="I97" t="n">
        <v>3.6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HYPERLINK("https://klasma.github.io/Logging_2085/artfynd/A 400-2023 artfynd.xlsx", "A 400-2023")</f>
        <v/>
      </c>
      <c r="X97">
        <f>HYPERLINK("https://klasma.github.io/Logging_2085/kartor/A 400-2023 karta.png", "A 400-2023")</f>
        <v/>
      </c>
      <c r="Y97">
        <f>HYPERLINK("https://klasma.github.io/Logging_2085/kartor_geotiff/A 400-2023 georefererad karta.tif", "A 400-2023")</f>
        <v/>
      </c>
      <c r="AA97">
        <f>HYPERLINK("https://klasma.github.io/Logging_2085/klagomål/A 400-2023 FSC-klagomål.docx", "A 400-2023")</f>
        <v/>
      </c>
      <c r="AB97">
        <f>HYPERLINK("https://klasma.github.io/Logging_2085/klagomålsmail/A 400-2023 FSC-klagomål mail.docx", "A 400-2023")</f>
        <v/>
      </c>
      <c r="AC97">
        <f>HYPERLINK("https://klasma.github.io/Logging_2085/tillsyn/A 400-2023 tillsynsbegäran.docx", "A 400-2023")</f>
        <v/>
      </c>
      <c r="AD97">
        <f>HYPERLINK("https://klasma.github.io/Logging_2085/tillsynsmail/A 400-2023 tillsynsbegäran mail.docx", "A 400-2023")</f>
        <v/>
      </c>
    </row>
    <row r="98" ht="15" customHeight="1">
      <c r="A98" t="inlineStr">
        <is>
          <t>A 31478-2023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45114</v>
      </c>
      <c r="E98" s="1" t="n">
        <v>46277</v>
      </c>
      <c r="F98" t="inlineStr">
        <is>
          <t>DALARNAS LÄN</t>
        </is>
      </c>
      <c r="G98" t="inlineStr">
        <is>
          <t>LUDVIKA</t>
        </is>
      </c>
      <c r="I98" t="n">
        <v>6.2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HYPERLINK("https://klasma.github.io/Logging_2085/artfynd/A 31478-2023 artfynd.xlsx", "A 31478-2023")</f>
        <v/>
      </c>
      <c r="X98">
        <f>HYPERLINK("https://klasma.github.io/Logging_2085/kartor/A 31478-2023 karta.png", "A 31478-2023")</f>
        <v/>
      </c>
      <c r="Y98">
        <f>HYPERLINK("https://klasma.github.io/Logging_2085/kartor_geotiff/A 31478-2023 georefererad karta.tif", "A 31478-2023")</f>
        <v/>
      </c>
      <c r="AA98">
        <f>HYPERLINK("https://klasma.github.io/Logging_2085/klagomål/A 31478-2023 FSC-klagomål.docx", "A 31478-2023")</f>
        <v/>
      </c>
      <c r="AB98">
        <f>HYPERLINK("https://klasma.github.io/Logging_2085/klagomålsmail/A 31478-2023 FSC-klagomål mail.docx", "A 31478-2023")</f>
        <v/>
      </c>
      <c r="AC98">
        <f>HYPERLINK("https://klasma.github.io/Logging_2085/tillsyn/A 31478-2023 tillsynsbegäran.docx", "A 31478-2023")</f>
        <v/>
      </c>
      <c r="AD98">
        <f>HYPERLINK("https://klasma.github.io/Logging_2085/tillsynsmail/A 31478-2023 tillsynsbegäran mail.docx", "A 31478-2023")</f>
        <v/>
      </c>
    </row>
    <row r="99" ht="15" customHeight="1">
      <c r="A99" t="inlineStr">
        <is>
          <t>A 74401-2021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44560</v>
      </c>
      <c r="E99" s="1" t="n">
        <v>46277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Gullgröppa</t>
        </is>
      </c>
      <c r="W99">
        <f>HYPERLINK("https://klasma.github.io/Logging_2085/artfynd/A 74401-2021 artfynd.xlsx", "A 74401-2021")</f>
        <v/>
      </c>
      <c r="X99">
        <f>HYPERLINK("https://klasma.github.io/Logging_2085/kartor/A 74401-2021 karta.png", "A 74401-2021")</f>
        <v/>
      </c>
      <c r="Y99">
        <f>HYPERLINK("https://klasma.github.io/Logging_2085/kartor_geotiff/A 74401-2021 georefererad karta.tif", "A 74401-2021")</f>
        <v/>
      </c>
      <c r="AA99">
        <f>HYPERLINK("https://klasma.github.io/Logging_2085/klagomål/A 74401-2021 FSC-klagomål.docx", "A 74401-2021")</f>
        <v/>
      </c>
      <c r="AB99">
        <f>HYPERLINK("https://klasma.github.io/Logging_2085/klagomålsmail/A 74401-2021 FSC-klagomål mail.docx", "A 74401-2021")</f>
        <v/>
      </c>
      <c r="AC99">
        <f>HYPERLINK("https://klasma.github.io/Logging_2085/tillsyn/A 74401-2021 tillsynsbegäran.docx", "A 74401-2021")</f>
        <v/>
      </c>
      <c r="AD99">
        <f>HYPERLINK("https://klasma.github.io/Logging_2085/tillsynsmail/A 74401-2021 tillsynsbegäran mail.docx", "A 74401-2021")</f>
        <v/>
      </c>
    </row>
    <row r="100" ht="15" customHeight="1">
      <c r="A100" t="inlineStr">
        <is>
          <t>A 45791-2025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46277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Vitfläckig guldvinge</t>
        </is>
      </c>
      <c r="W100">
        <f>HYPERLINK("https://klasma.github.io/Logging_2085/artfynd/A 45791-2025 artfynd.xlsx", "A 45791-2025")</f>
        <v/>
      </c>
      <c r="X100">
        <f>HYPERLINK("https://klasma.github.io/Logging_2085/kartor/A 45791-2025 karta.png", "A 45791-2025")</f>
        <v/>
      </c>
      <c r="Y100">
        <f>HYPERLINK("https://klasma.github.io/Logging_2085/kartor_geotiff/A 45791-2025 georefererad karta.tif", "A 45791-2025")</f>
        <v/>
      </c>
      <c r="AA100">
        <f>HYPERLINK("https://klasma.github.io/Logging_2085/klagomål/A 45791-2025 FSC-klagomål.docx", "A 45791-2025")</f>
        <v/>
      </c>
      <c r="AB100">
        <f>HYPERLINK("https://klasma.github.io/Logging_2085/klagomålsmail/A 45791-2025 FSC-klagomål mail.docx", "A 45791-2025")</f>
        <v/>
      </c>
      <c r="AC100">
        <f>HYPERLINK("https://klasma.github.io/Logging_2085/tillsyn/A 45791-2025 tillsynsbegäran.docx", "A 45791-2025")</f>
        <v/>
      </c>
      <c r="AD100">
        <f>HYPERLINK("https://klasma.github.io/Logging_2085/tillsynsmail/A 45791-2025 tillsynsbegäran mail.docx", "A 45791-2025")</f>
        <v/>
      </c>
    </row>
    <row r="101" ht="15" customHeight="1">
      <c r="A101" t="inlineStr">
        <is>
          <t>A 45858-2025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46277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Granbarkgnagare</t>
        </is>
      </c>
      <c r="W101">
        <f>HYPERLINK("https://klasma.github.io/Logging_2085/artfynd/A 45858-2025 artfynd.xlsx", "A 45858-2025")</f>
        <v/>
      </c>
      <c r="X101">
        <f>HYPERLINK("https://klasma.github.io/Logging_2085/kartor/A 45858-2025 karta.png", "A 45858-2025")</f>
        <v/>
      </c>
      <c r="Y101">
        <f>HYPERLINK("https://klasma.github.io/Logging_2085/kartor_geotiff/A 45858-2025 georefererad karta.tif", "A 45858-2025")</f>
        <v/>
      </c>
      <c r="AA101">
        <f>HYPERLINK("https://klasma.github.io/Logging_2085/klagomål/A 45858-2025 FSC-klagomål.docx", "A 45858-2025")</f>
        <v/>
      </c>
      <c r="AB101">
        <f>HYPERLINK("https://klasma.github.io/Logging_2085/klagomålsmail/A 45858-2025 FSC-klagomål mail.docx", "A 45858-2025")</f>
        <v/>
      </c>
      <c r="AC101">
        <f>HYPERLINK("https://klasma.github.io/Logging_2085/tillsyn/A 45858-2025 tillsynsbegäran.docx", "A 45858-2025")</f>
        <v/>
      </c>
      <c r="AD101">
        <f>HYPERLINK("https://klasma.github.io/Logging_2085/tillsynsmail/A 45858-2025 tillsynsbegäran mail.docx", "A 45858-2025")</f>
        <v/>
      </c>
    </row>
    <row r="102" ht="15" customHeight="1">
      <c r="A102" t="inlineStr">
        <is>
          <t>A 6579-2023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44960</v>
      </c>
      <c r="E102" s="1" t="n">
        <v>46277</v>
      </c>
      <c r="F102" t="inlineStr">
        <is>
          <t>DALARNAS LÄN</t>
        </is>
      </c>
      <c r="G102" t="inlineStr">
        <is>
          <t>LUDVIKA</t>
        </is>
      </c>
      <c r="I102" t="n">
        <v>3.4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HYPERLINK("https://klasma.github.io/Logging_2085/artfynd/A 6579-2023 artfynd.xlsx", "A 6579-2023")</f>
        <v/>
      </c>
      <c r="X102">
        <f>HYPERLINK("https://klasma.github.io/Logging_2085/kartor/A 6579-2023 karta.png", "A 6579-2023")</f>
        <v/>
      </c>
      <c r="Y102">
        <f>HYPERLINK("https://klasma.github.io/Logging_2085/kartor_geotiff/A 6579-2023 georefererad karta.tif", "A 6579-2023")</f>
        <v/>
      </c>
      <c r="AA102">
        <f>HYPERLINK("https://klasma.github.io/Logging_2085/klagomål/A 6579-2023 FSC-klagomål.docx", "A 6579-2023")</f>
        <v/>
      </c>
      <c r="AB102">
        <f>HYPERLINK("https://klasma.github.io/Logging_2085/klagomålsmail/A 6579-2023 FSC-klagomål mail.docx", "A 6579-2023")</f>
        <v/>
      </c>
      <c r="AC102">
        <f>HYPERLINK("https://klasma.github.io/Logging_2085/tillsyn/A 6579-2023 tillsynsbegäran.docx", "A 6579-2023")</f>
        <v/>
      </c>
      <c r="AD102">
        <f>HYPERLINK("https://klasma.github.io/Logging_2085/tillsynsmail/A 6579-2023 tillsynsbegäran mail.docx", "A 6579-2023")</f>
        <v/>
      </c>
    </row>
    <row r="103" ht="15" customHeight="1">
      <c r="A103" t="inlineStr">
        <is>
          <t>A 44578-2023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46277</v>
      </c>
      <c r="F103" t="inlineStr">
        <is>
          <t>DALARNAS LÄN</t>
        </is>
      </c>
      <c r="G103" t="inlineStr">
        <is>
          <t>LUDVIKA</t>
        </is>
      </c>
      <c r="H103" t="inlineStr">
        <is>
          <t>Övriga Aktiebolag</t>
        </is>
      </c>
      <c r="I103" t="n">
        <v>12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Dofttaggsvamp</t>
        </is>
      </c>
      <c r="W103">
        <f>HYPERLINK("https://klasma.github.io/Logging_2085/artfynd/A 44578-2023 artfynd.xlsx", "A 44578-2023")</f>
        <v/>
      </c>
      <c r="X103">
        <f>HYPERLINK("https://klasma.github.io/Logging_2085/kartor/A 44578-2023 karta.png", "A 44578-2023")</f>
        <v/>
      </c>
      <c r="Y103">
        <f>HYPERLINK("https://klasma.github.io/Logging_2085/kartor_geotiff/A 44578-2023 georefererad karta.tif", "A 44578-2023")</f>
        <v/>
      </c>
      <c r="AA103">
        <f>HYPERLINK("https://klasma.github.io/Logging_2085/klagomål/A 44578-2023 FSC-klagomål.docx", "A 44578-2023")</f>
        <v/>
      </c>
      <c r="AB103">
        <f>HYPERLINK("https://klasma.github.io/Logging_2085/klagomålsmail/A 44578-2023 FSC-klagomål mail.docx", "A 44578-2023")</f>
        <v/>
      </c>
      <c r="AC103">
        <f>HYPERLINK("https://klasma.github.io/Logging_2085/tillsyn/A 44578-2023 tillsynsbegäran.docx", "A 44578-2023")</f>
        <v/>
      </c>
      <c r="AD103">
        <f>HYPERLINK("https://klasma.github.io/Logging_2085/tillsynsmail/A 44578-2023 tillsynsbegäran mail.docx", "A 44578-2023")</f>
        <v/>
      </c>
    </row>
    <row r="104" ht="15" customHeight="1">
      <c r="A104" t="inlineStr">
        <is>
          <t>A 36050-2025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45866</v>
      </c>
      <c r="E104" s="1" t="n">
        <v>46277</v>
      </c>
      <c r="F104" t="inlineStr">
        <is>
          <t>DALARNAS LÄN</t>
        </is>
      </c>
      <c r="G104" t="inlineStr">
        <is>
          <t>LUDVIKA</t>
        </is>
      </c>
      <c r="I104" t="n">
        <v>1.4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HYPERLINK("https://klasma.github.io/Logging_2085/artfynd/A 36050-2025 artfynd.xlsx", "A 36050-2025")</f>
        <v/>
      </c>
      <c r="X104">
        <f>HYPERLINK("https://klasma.github.io/Logging_2085/kartor/A 36050-2025 karta.png", "A 36050-2025")</f>
        <v/>
      </c>
      <c r="Y104">
        <f>HYPERLINK("https://klasma.github.io/Logging_2085/kartor_geotiff/A 36050-2025 georefererad karta.tif", "A 36050-2025")</f>
        <v/>
      </c>
      <c r="AA104">
        <f>HYPERLINK("https://klasma.github.io/Logging_2085/klagomål/A 36050-2025 FSC-klagomål.docx", "A 36050-2025")</f>
        <v/>
      </c>
      <c r="AB104">
        <f>HYPERLINK("https://klasma.github.io/Logging_2085/klagomålsmail/A 36050-2025 FSC-klagomål mail.docx", "A 36050-2025")</f>
        <v/>
      </c>
      <c r="AC104">
        <f>HYPERLINK("https://klasma.github.io/Logging_2085/tillsyn/A 36050-2025 tillsynsbegäran.docx", "A 36050-2025")</f>
        <v/>
      </c>
      <c r="AD104">
        <f>HYPERLINK("https://klasma.github.io/Logging_2085/tillsynsmail/A 36050-2025 tillsynsbegäran mail.docx", "A 36050-2025")</f>
        <v/>
      </c>
      <c r="AE104">
        <f>HYPERLINK("https://klasma.github.io/Logging_2085/fåglar/A 36050-2025 prioriterade fågelarter.docx", "A 36050-2025")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46277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HYPERLINK("https://klasma.github.io/Logging_2085/artfynd/A 62275-2022 artfynd.xlsx", "A 62275-2022")</f>
        <v/>
      </c>
      <c r="X105">
        <f>HYPERLINK("https://klasma.github.io/Logging_2085/kartor/A 62275-2022 karta.png", "A 62275-2022")</f>
        <v/>
      </c>
      <c r="Y105">
        <f>HYPERLINK("https://klasma.github.io/Logging_2085/kartor_geotiff/A 62275-2022 georefererad karta.tif", "A 62275-2022")</f>
        <v/>
      </c>
      <c r="Z105">
        <f>HYPERLINK("https://klasma.github.io/Logging_2085/knärot/A 62275-2022 karta knärot.png", "A 62275-2022")</f>
        <v/>
      </c>
      <c r="AA105">
        <f>HYPERLINK("https://klasma.github.io/Logging_2085/klagomål/A 62275-2022 FSC-klagomål.docx", "A 62275-2022")</f>
        <v/>
      </c>
      <c r="AB105">
        <f>HYPERLINK("https://klasma.github.io/Logging_2085/klagomålsmail/A 62275-2022 FSC-klagomål mail.docx", "A 62275-2022")</f>
        <v/>
      </c>
      <c r="AC105">
        <f>HYPERLINK("https://klasma.github.io/Logging_2085/tillsyn/A 62275-2022 tillsynsbegäran.docx", "A 62275-2022")</f>
        <v/>
      </c>
      <c r="AD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59873-2025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46277</v>
      </c>
      <c r="F106" t="inlineStr">
        <is>
          <t>DALARNAS LÄN</t>
        </is>
      </c>
      <c r="G106" t="inlineStr">
        <is>
          <t>LUDVIKA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Lateritticka</t>
        </is>
      </c>
      <c r="W106">
        <f>HYPERLINK("https://klasma.github.io/Logging_2085/artfynd/A 59873-2025 artfynd.xlsx", "A 59873-2025")</f>
        <v/>
      </c>
      <c r="X106">
        <f>HYPERLINK("https://klasma.github.io/Logging_2085/kartor/A 59873-2025 karta.png", "A 59873-2025")</f>
        <v/>
      </c>
      <c r="Y106">
        <f>HYPERLINK("https://klasma.github.io/Logging_2085/kartor_geotiff/A 59873-2025 georefererad karta.tif", "A 59873-2025")</f>
        <v/>
      </c>
      <c r="AA106">
        <f>HYPERLINK("https://klasma.github.io/Logging_2085/klagomål/A 59873-2025 FSC-klagomål.docx", "A 59873-2025")</f>
        <v/>
      </c>
      <c r="AB106">
        <f>HYPERLINK("https://klasma.github.io/Logging_2085/klagomålsmail/A 59873-2025 FSC-klagomål mail.docx", "A 59873-2025")</f>
        <v/>
      </c>
      <c r="AC106">
        <f>HYPERLINK("https://klasma.github.io/Logging_2085/tillsyn/A 59873-2025 tillsynsbegäran.docx", "A 59873-2025")</f>
        <v/>
      </c>
      <c r="AD106">
        <f>HYPERLINK("https://klasma.github.io/Logging_2085/tillsynsmail/A 59873-2025 tillsynsbegäran mail.docx", "A 59873-2025")</f>
        <v/>
      </c>
    </row>
    <row r="107" ht="15" customHeight="1">
      <c r="A107" t="inlineStr">
        <is>
          <t>A 17987-2025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46277</v>
      </c>
      <c r="F107" t="inlineStr">
        <is>
          <t>DALARNAS LÄN</t>
        </is>
      </c>
      <c r="G107" t="inlineStr">
        <is>
          <t>LUDVIKA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HYPERLINK("https://klasma.github.io/Logging_2085/artfynd/A 17987-2025 artfynd.xlsx", "A 17987-2025")</f>
        <v/>
      </c>
      <c r="X107">
        <f>HYPERLINK("https://klasma.github.io/Logging_2085/kartor/A 17987-2025 karta.png", "A 17987-2025")</f>
        <v/>
      </c>
      <c r="Y107">
        <f>HYPERLINK("https://klasma.github.io/Logging_2085/kartor_geotiff/A 17987-2025 georefererad karta.tif", "A 17987-2025")</f>
        <v/>
      </c>
      <c r="AA107">
        <f>HYPERLINK("https://klasma.github.io/Logging_2085/klagomål/A 17987-2025 FSC-klagomål.docx", "A 17987-2025")</f>
        <v/>
      </c>
      <c r="AB107">
        <f>HYPERLINK("https://klasma.github.io/Logging_2085/klagomålsmail/A 17987-2025 FSC-klagomål mail.docx", "A 17987-2025")</f>
        <v/>
      </c>
      <c r="AC107">
        <f>HYPERLINK("https://klasma.github.io/Logging_2085/tillsyn/A 17987-2025 tillsynsbegäran.docx", "A 17987-2025")</f>
        <v/>
      </c>
      <c r="AD107">
        <f>HYPERLINK("https://klasma.github.io/Logging_2085/tillsynsmail/A 17987-2025 tillsynsbegäran mail.docx", "A 17987-2025")</f>
        <v/>
      </c>
      <c r="AE107">
        <f>HYPERLINK("https://klasma.github.io/Logging_2085/fåglar/A 17987-2025 prioriterade fågelarter.docx", "A 17987-2025")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46277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HYPERLINK("https://klasma.github.io/Logging_2085/artfynd/A 25588-2023 artfynd.xlsx", "A 25588-2023")</f>
        <v/>
      </c>
      <c r="X108">
        <f>HYPERLINK("https://klasma.github.io/Logging_2085/kartor/A 25588-2023 karta.png", "A 25588-2023")</f>
        <v/>
      </c>
      <c r="Y108">
        <f>HYPERLINK("https://klasma.github.io/Logging_2085/kartor_geotiff/A 25588-2023 georefererad karta.tif", "A 25588-2023")</f>
        <v/>
      </c>
      <c r="AA108">
        <f>HYPERLINK("https://klasma.github.io/Logging_2085/klagomål/A 25588-2023 FSC-klagomål.docx", "A 25588-2023")</f>
        <v/>
      </c>
      <c r="AB108">
        <f>HYPERLINK("https://klasma.github.io/Logging_2085/klagomålsmail/A 25588-2023 FSC-klagomål mail.docx", "A 25588-2023")</f>
        <v/>
      </c>
      <c r="AC108">
        <f>HYPERLINK("https://klasma.github.io/Logging_2085/tillsyn/A 25588-2023 tillsynsbegäran.docx", "A 25588-2023")</f>
        <v/>
      </c>
      <c r="AD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62676-2025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46277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4.2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HYPERLINK("https://klasma.github.io/Logging_2085/artfynd/A 62676-2025 artfynd.xlsx", "A 62676-2025")</f>
        <v/>
      </c>
      <c r="X109">
        <f>HYPERLINK("https://klasma.github.io/Logging_2085/kartor/A 62676-2025 karta.png", "A 62676-2025")</f>
        <v/>
      </c>
      <c r="Y109">
        <f>HYPERLINK("https://klasma.github.io/Logging_2085/kartor_geotiff/A 62676-2025 georefererad karta.tif", "A 62676-2025")</f>
        <v/>
      </c>
      <c r="AA109">
        <f>HYPERLINK("https://klasma.github.io/Logging_2085/klagomål/A 62676-2025 FSC-klagomål.docx", "A 62676-2025")</f>
        <v/>
      </c>
      <c r="AB109">
        <f>HYPERLINK("https://klasma.github.io/Logging_2085/klagomålsmail/A 62676-2025 FSC-klagomål mail.docx", "A 62676-2025")</f>
        <v/>
      </c>
      <c r="AC109">
        <f>HYPERLINK("https://klasma.github.io/Logging_2085/tillsyn/A 62676-2025 tillsynsbegäran.docx", "A 62676-2025")</f>
        <v/>
      </c>
      <c r="AD109">
        <f>HYPERLINK("https://klasma.github.io/Logging_2085/tillsynsmail/A 62676-2025 tillsynsbegäran mail.docx", "A 62676-2025")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46277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46277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46277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3687-2024 artfynd.xlsx", "A 3687-2024")</f>
        <v/>
      </c>
      <c r="X112">
        <f>HYPERLINK("https://klasma.github.io/Logging_2085/kartor/A 3687-2024 karta.png", "A 3687-2024")</f>
        <v/>
      </c>
      <c r="Y112">
        <f>HYPERLINK("https://klasma.github.io/Logging_2085/kartor_geotiff/A 3687-2024 georefererad karta.tif", "A 3687-2024")</f>
        <v/>
      </c>
      <c r="AA112">
        <f>HYPERLINK("https://klasma.github.io/Logging_2085/klagomål/A 3687-2024 FSC-klagomål.docx", "A 3687-2024")</f>
        <v/>
      </c>
      <c r="AB112">
        <f>HYPERLINK("https://klasma.github.io/Logging_2085/klagomålsmail/A 3687-2024 FSC-klagomål mail.docx", "A 3687-2024")</f>
        <v/>
      </c>
      <c r="AC112">
        <f>HYPERLINK("https://klasma.github.io/Logging_2085/tillsyn/A 3687-2024 tillsynsbegäran.docx", "A 3687-2024")</f>
        <v/>
      </c>
      <c r="AD112">
        <f>HYPERLINK("https://klasma.github.io/Logging_2085/tillsynsmail/A 3687-2024 tillsynsbegäran mail.docx", "A 3687-2024")</f>
        <v/>
      </c>
    </row>
    <row r="113" ht="15" customHeight="1">
      <c r="A113" t="inlineStr">
        <is>
          <t>A 56119-2021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44477</v>
      </c>
      <c r="E113" s="1" t="n">
        <v>46277</v>
      </c>
      <c r="F113" t="inlineStr">
        <is>
          <t>DALARNAS LÄN</t>
        </is>
      </c>
      <c r="G113" t="inlineStr">
        <is>
          <t>LUDVIKA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HYPERLINK("https://klasma.github.io/Logging_2085/artfynd/A 56119-2021 artfynd.xlsx", "A 56119-2021")</f>
        <v/>
      </c>
      <c r="X113">
        <f>HYPERLINK("https://klasma.github.io/Logging_2085/kartor/A 56119-2021 karta.png", "A 56119-2021")</f>
        <v/>
      </c>
      <c r="Y113">
        <f>HYPERLINK("https://klasma.github.io/Logging_2085/kartor_geotiff/A 56119-2021 georefererad karta.tif", "A 56119-2021")</f>
        <v/>
      </c>
      <c r="AA113">
        <f>HYPERLINK("https://klasma.github.io/Logging_2085/klagomål/A 56119-2021 FSC-klagomål.docx", "A 56119-2021")</f>
        <v/>
      </c>
      <c r="AB113">
        <f>HYPERLINK("https://klasma.github.io/Logging_2085/klagomålsmail/A 56119-2021 FSC-klagomål mail.docx", "A 56119-2021")</f>
        <v/>
      </c>
      <c r="AC113">
        <f>HYPERLINK("https://klasma.github.io/Logging_2085/tillsyn/A 56119-2021 tillsynsbegäran.docx", "A 56119-2021")</f>
        <v/>
      </c>
      <c r="AD113">
        <f>HYPERLINK("https://klasma.github.io/Logging_2085/tillsynsmail/A 56119-2021 tillsynsbegäran mail.docx", "A 56119-2021")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46277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21880-2026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46277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21880-2026 artfynd.xlsx", "A 21880-2026")</f>
        <v/>
      </c>
      <c r="X115">
        <f>HYPERLINK("https://klasma.github.io/Logging_2085/kartor/A 21880-2026 karta.png", "A 21880-2026")</f>
        <v/>
      </c>
      <c r="Y115">
        <f>HYPERLINK("https://klasma.github.io/Logging_2085/kartor_geotiff/A 21880-2026 georefererad karta.tif", "A 21880-2026")</f>
        <v/>
      </c>
      <c r="AA115">
        <f>HYPERLINK("https://klasma.github.io/Logging_2085/klagomål/A 21880-2026 FSC-klagomål.docx", "A 21880-2026")</f>
        <v/>
      </c>
      <c r="AB115">
        <f>HYPERLINK("https://klasma.github.io/Logging_2085/klagomålsmail/A 21880-2026 FSC-klagomål mail.docx", "A 21880-2026")</f>
        <v/>
      </c>
      <c r="AC115">
        <f>HYPERLINK("https://klasma.github.io/Logging_2085/tillsyn/A 21880-2026 tillsynsbegäran.docx", "A 21880-2026")</f>
        <v/>
      </c>
      <c r="AD115">
        <f>HYPERLINK("https://klasma.github.io/Logging_2085/tillsynsmail/A 21880-2026 tillsynsbegäran mail.docx", "A 21880-2026")</f>
        <v/>
      </c>
      <c r="AE115">
        <f>HYPERLINK("https://klasma.github.io/Logging_2085/fåglar/A 21880-2026 prioriterade fågelarter.docx", "A 21880-2026")</f>
        <v/>
      </c>
    </row>
    <row r="116" ht="15" customHeight="1">
      <c r="A116" t="inlineStr">
        <is>
          <t>A 23720-2026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46277</v>
      </c>
      <c r="F116" t="inlineStr">
        <is>
          <t>DALARNAS LÄN</t>
        </is>
      </c>
      <c r="G116" t="inlineStr">
        <is>
          <t>LUDVIKA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HYPERLINK("https://klasma.github.io/Logging_2085/artfynd/A 23720-2026 artfynd.xlsx", "A 23720-2026")</f>
        <v/>
      </c>
      <c r="X116">
        <f>HYPERLINK("https://klasma.github.io/Logging_2085/kartor/A 23720-2026 karta.png", "A 23720-2026")</f>
        <v/>
      </c>
      <c r="Y116">
        <f>HYPERLINK("https://klasma.github.io/Logging_2085/kartor_geotiff/A 23720-2026 georefererad karta.tif", "A 23720-2026")</f>
        <v/>
      </c>
      <c r="AA116">
        <f>HYPERLINK("https://klasma.github.io/Logging_2085/klagomål/A 23720-2026 FSC-klagomål.docx", "A 23720-2026")</f>
        <v/>
      </c>
      <c r="AB116">
        <f>HYPERLINK("https://klasma.github.io/Logging_2085/klagomålsmail/A 23720-2026 FSC-klagomål mail.docx", "A 23720-2026")</f>
        <v/>
      </c>
      <c r="AC116">
        <f>HYPERLINK("https://klasma.github.io/Logging_2085/tillsyn/A 23720-2026 tillsynsbegäran.docx", "A 23720-2026")</f>
        <v/>
      </c>
      <c r="AD116">
        <f>HYPERLINK("https://klasma.github.io/Logging_2085/tillsynsmail/A 23720-2026 tillsynsbegäran mail.docx", "A 23720-2026")</f>
        <v/>
      </c>
      <c r="AE116">
        <f>HYPERLINK("https://klasma.github.io/Logging_2085/fåglar/A 23720-2026 prioriterade fågelarter.docx", "A 23720-2026")</f>
        <v/>
      </c>
    </row>
    <row r="117" ht="15" customHeight="1">
      <c r="A117" t="inlineStr">
        <is>
          <t>A 23778-2026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46277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23778-2026 artfynd.xlsx", "A 23778-2026")</f>
        <v/>
      </c>
      <c r="X117">
        <f>HYPERLINK("https://klasma.github.io/Logging_2085/kartor/A 23778-2026 karta.png", "A 23778-2026")</f>
        <v/>
      </c>
      <c r="Y117">
        <f>HYPERLINK("https://klasma.github.io/Logging_2085/kartor_geotiff/A 23778-2026 georefererad karta.tif", "A 23778-2026")</f>
        <v/>
      </c>
      <c r="AA117">
        <f>HYPERLINK("https://klasma.github.io/Logging_2085/klagomål/A 23778-2026 FSC-klagomål.docx", "A 23778-2026")</f>
        <v/>
      </c>
      <c r="AB117">
        <f>HYPERLINK("https://klasma.github.io/Logging_2085/klagomålsmail/A 23778-2026 FSC-klagomål mail.docx", "A 23778-2026")</f>
        <v/>
      </c>
      <c r="AC117">
        <f>HYPERLINK("https://klasma.github.io/Logging_2085/tillsyn/A 23778-2026 tillsynsbegäran.docx", "A 23778-2026")</f>
        <v/>
      </c>
      <c r="AD117">
        <f>HYPERLINK("https://klasma.github.io/Logging_2085/tillsynsmail/A 23778-2026 tillsynsbegäran mail.docx", "A 23778-2026")</f>
        <v/>
      </c>
      <c r="AE117">
        <f>HYPERLINK("https://klasma.github.io/Logging_2085/fåglar/A 23778-2026 prioriterade fågelarter.docx", "A 23778-2026")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46277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46277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46277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56655-2025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46277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8.5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56655-2025 artfynd.xlsx", "A 56655-2025")</f>
        <v/>
      </c>
      <c r="X121">
        <f>HYPERLINK("https://klasma.github.io/Logging_2085/kartor/A 56655-2025 karta.png", "A 56655-2025")</f>
        <v/>
      </c>
      <c r="Y121">
        <f>HYPERLINK("https://klasma.github.io/Logging_2085/kartor_geotiff/A 56655-2025 georefererad karta.tif", "A 56655-2025")</f>
        <v/>
      </c>
      <c r="AA121">
        <f>HYPERLINK("https://klasma.github.io/Logging_2085/klagomål/A 56655-2025 FSC-klagomål.docx", "A 56655-2025")</f>
        <v/>
      </c>
      <c r="AB121">
        <f>HYPERLINK("https://klasma.github.io/Logging_2085/klagomålsmail/A 56655-2025 FSC-klagomål mail.docx", "A 56655-2025")</f>
        <v/>
      </c>
      <c r="AC121">
        <f>HYPERLINK("https://klasma.github.io/Logging_2085/tillsyn/A 56655-2025 tillsynsbegäran.docx", "A 56655-2025")</f>
        <v/>
      </c>
      <c r="AD121">
        <f>HYPERLINK("https://klasma.github.io/Logging_2085/tillsynsmail/A 56655-2025 tillsynsbegäran mail.docx", "A 56655-2025")</f>
        <v/>
      </c>
      <c r="AE121">
        <f>HYPERLINK("https://klasma.github.io/Logging_2085/fåglar/A 56655-2025 prioriterade fågelarter.docx", "A 56655-2025")</f>
        <v/>
      </c>
    </row>
    <row r="122" ht="15" customHeight="1">
      <c r="A122" t="inlineStr">
        <is>
          <t>A 18189-2025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46277</v>
      </c>
      <c r="F122" t="inlineStr">
        <is>
          <t>DALARNAS LÄN</t>
        </is>
      </c>
      <c r="G122" t="inlineStr">
        <is>
          <t>LUDVIKA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HYPERLINK("https://klasma.github.io/Logging_2085/artfynd/A 18189-2025 artfynd.xlsx", "A 18189-2025")</f>
        <v/>
      </c>
      <c r="X122">
        <f>HYPERLINK("https://klasma.github.io/Logging_2085/kartor/A 18189-2025 karta.png", "A 18189-2025")</f>
        <v/>
      </c>
      <c r="Y122">
        <f>HYPERLINK("https://klasma.github.io/Logging_2085/kartor_geotiff/A 18189-2025 georefererad karta.tif", "A 18189-2025")</f>
        <v/>
      </c>
      <c r="AA122">
        <f>HYPERLINK("https://klasma.github.io/Logging_2085/klagomål/A 18189-2025 FSC-klagomål.docx", "A 18189-2025")</f>
        <v/>
      </c>
      <c r="AB122">
        <f>HYPERLINK("https://klasma.github.io/Logging_2085/klagomålsmail/A 18189-2025 FSC-klagomål mail.docx", "A 18189-2025")</f>
        <v/>
      </c>
      <c r="AC122">
        <f>HYPERLINK("https://klasma.github.io/Logging_2085/tillsyn/A 18189-2025 tillsynsbegäran.docx", "A 18189-2025")</f>
        <v/>
      </c>
      <c r="AD122">
        <f>HYPERLINK("https://klasma.github.io/Logging_2085/tillsynsmail/A 18189-2025 tillsynsbegäran mail.docx", "A 18189-2025")</f>
        <v/>
      </c>
    </row>
    <row r="123" ht="15" customHeight="1">
      <c r="A123" t="inlineStr">
        <is>
          <t>A 49660-2024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45596</v>
      </c>
      <c r="E123" s="1" t="n">
        <v>46277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husmossa</t>
        </is>
      </c>
      <c r="W123">
        <f>HYPERLINK("https://klasma.github.io/Logging_2085/artfynd/A 49660-2024 artfynd.xlsx", "A 49660-2024")</f>
        <v/>
      </c>
      <c r="X123">
        <f>HYPERLINK("https://klasma.github.io/Logging_2085/kartor/A 49660-2024 karta.png", "A 49660-2024")</f>
        <v/>
      </c>
      <c r="Y123">
        <f>HYPERLINK("https://klasma.github.io/Logging_2085/kartor_geotiff/A 49660-2024 georefererad karta.tif", "A 49660-2024")</f>
        <v/>
      </c>
      <c r="AA123">
        <f>HYPERLINK("https://klasma.github.io/Logging_2085/klagomål/A 49660-2024 FSC-klagomål.docx", "A 49660-2024")</f>
        <v/>
      </c>
      <c r="AB123">
        <f>HYPERLINK("https://klasma.github.io/Logging_2085/klagomålsmail/A 49660-2024 FSC-klagomål mail.docx", "A 49660-2024")</f>
        <v/>
      </c>
      <c r="AC123">
        <f>HYPERLINK("https://klasma.github.io/Logging_2085/tillsyn/A 49660-2024 tillsynsbegäran.docx", "A 49660-2024")</f>
        <v/>
      </c>
      <c r="AD123">
        <f>HYPERLINK("https://klasma.github.io/Logging_2085/tillsynsmail/A 49660-2024 tillsynsbegäran mail.docx", "A 49660-2024")</f>
        <v/>
      </c>
    </row>
    <row r="124" ht="15" customHeight="1">
      <c r="A124" t="inlineStr">
        <is>
          <t>A 60787-2024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45644</v>
      </c>
      <c r="E124" s="1" t="n">
        <v>46277</v>
      </c>
      <c r="F124" t="inlineStr">
        <is>
          <t>DALARNAS LÄN</t>
        </is>
      </c>
      <c r="G124" t="inlineStr">
        <is>
          <t>LUDVIKA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HYPERLINK("https://klasma.github.io/Logging_2085/artfynd/A 60787-2024 artfynd.xlsx", "A 60787-2024")</f>
        <v/>
      </c>
      <c r="X124">
        <f>HYPERLINK("https://klasma.github.io/Logging_2085/kartor/A 60787-2024 karta.png", "A 60787-2024")</f>
        <v/>
      </c>
      <c r="Y124">
        <f>HYPERLINK("https://klasma.github.io/Logging_2085/kartor_geotiff/A 60787-2024 georefererad karta.tif", "A 60787-2024")</f>
        <v/>
      </c>
      <c r="AA124">
        <f>HYPERLINK("https://klasma.github.io/Logging_2085/klagomål/A 60787-2024 FSC-klagomål.docx", "A 60787-2024")</f>
        <v/>
      </c>
      <c r="AB124">
        <f>HYPERLINK("https://klasma.github.io/Logging_2085/klagomålsmail/A 60787-2024 FSC-klagomål mail.docx", "A 60787-2024")</f>
        <v/>
      </c>
      <c r="AC124">
        <f>HYPERLINK("https://klasma.github.io/Logging_2085/tillsyn/A 60787-2024 tillsynsbegäran.docx", "A 60787-2024")</f>
        <v/>
      </c>
      <c r="AD124">
        <f>HYPERLINK("https://klasma.github.io/Logging_2085/tillsynsmail/A 60787-2024 tillsynsbegäran mail.docx", "A 60787-2024")</f>
        <v/>
      </c>
      <c r="AE124">
        <f>HYPERLINK("https://klasma.github.io/Logging_2085/fåglar/A 60787-2024 prioriterade fågelarter.docx", "A 60787-2024")</f>
        <v/>
      </c>
    </row>
    <row r="125" ht="15" customHeight="1">
      <c r="A125" t="inlineStr">
        <is>
          <t>A 33399-2026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46247</v>
      </c>
      <c r="E125" s="1" t="n">
        <v>46277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Järpe</t>
        </is>
      </c>
      <c r="W125">
        <f>HYPERLINK("https://klasma.github.io/Logging_2085/artfynd/A 33399-2026 artfynd.xlsx", "A 33399-2026")</f>
        <v/>
      </c>
      <c r="X125">
        <f>HYPERLINK("https://klasma.github.io/Logging_2085/kartor/A 33399-2026 karta.png", "A 33399-2026")</f>
        <v/>
      </c>
      <c r="Y125">
        <f>HYPERLINK("https://klasma.github.io/Logging_2085/kartor_geotiff/A 33399-2026 georefererad karta.tif", "A 33399-2026")</f>
        <v/>
      </c>
      <c r="AA125">
        <f>HYPERLINK("https://klasma.github.io/Logging_2085/klagomål/A 33399-2026 FSC-klagomål.docx", "A 33399-2026")</f>
        <v/>
      </c>
      <c r="AB125">
        <f>HYPERLINK("https://klasma.github.io/Logging_2085/klagomålsmail/A 33399-2026 FSC-klagomål mail.docx", "A 33399-2026")</f>
        <v/>
      </c>
      <c r="AC125">
        <f>HYPERLINK("https://klasma.github.io/Logging_2085/tillsyn/A 33399-2026 tillsynsbegäran.docx", "A 33399-2026")</f>
        <v/>
      </c>
      <c r="AD125">
        <f>HYPERLINK("https://klasma.github.io/Logging_2085/tillsynsmail/A 33399-2026 tillsynsbegäran mail.docx", "A 33399-2026")</f>
        <v/>
      </c>
      <c r="AE125">
        <f>HYPERLINK("https://klasma.github.io/Logging_2085/fåglar/A 33399-2026 prioriterade fågelarter.docx", "A 33399-2026")</f>
        <v/>
      </c>
    </row>
    <row r="126" ht="15" customHeight="1">
      <c r="A126" t="inlineStr">
        <is>
          <t>A 51886-2022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46277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Brun gräsfjäril</t>
        </is>
      </c>
      <c r="W126">
        <f>HYPERLINK("https://klasma.github.io/Logging_2085/artfynd/A 51886-2022 artfynd.xlsx", "A 51886-2022")</f>
        <v/>
      </c>
      <c r="X126">
        <f>HYPERLINK("https://klasma.github.io/Logging_2085/kartor/A 51886-2022 karta.png", "A 51886-2022")</f>
        <v/>
      </c>
      <c r="Y126">
        <f>HYPERLINK("https://klasma.github.io/Logging_2085/kartor_geotiff/A 51886-2022 georefererad karta.tif", "A 51886-2022")</f>
        <v/>
      </c>
      <c r="AA126">
        <f>HYPERLINK("https://klasma.github.io/Logging_2085/klagomål/A 51886-2022 FSC-klagomål.docx", "A 51886-2022")</f>
        <v/>
      </c>
      <c r="AB126">
        <f>HYPERLINK("https://klasma.github.io/Logging_2085/klagomålsmail/A 51886-2022 FSC-klagomål mail.docx", "A 51886-2022")</f>
        <v/>
      </c>
      <c r="AC126">
        <f>HYPERLINK("https://klasma.github.io/Logging_2085/tillsyn/A 51886-2022 tillsynsbegäran.docx", "A 51886-2022")</f>
        <v/>
      </c>
      <c r="AD126">
        <f>HYPERLINK("https://klasma.github.io/Logging_2085/tillsynsmail/A 51886-2022 tillsynsbegäran mail.docx", "A 51886-2022")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46277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1047-2023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46277</v>
      </c>
      <c r="F128" t="inlineStr">
        <is>
          <t>DALARNAS LÄN</t>
        </is>
      </c>
      <c r="G128" t="inlineStr">
        <is>
          <t>LUDVIKA</t>
        </is>
      </c>
      <c r="H128" t="inlineStr">
        <is>
          <t>Kommuner</t>
        </is>
      </c>
      <c r="I128" t="n">
        <v>3.2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Ullticka</t>
        </is>
      </c>
      <c r="W128">
        <f>HYPERLINK("https://klasma.github.io/Logging_2085/artfynd/A 1047-2023 artfynd.xlsx", "A 1047-2023")</f>
        <v/>
      </c>
      <c r="X128">
        <f>HYPERLINK("https://klasma.github.io/Logging_2085/kartor/A 1047-2023 karta.png", "A 1047-2023")</f>
        <v/>
      </c>
      <c r="Y128">
        <f>HYPERLINK("https://klasma.github.io/Logging_2085/kartor_geotiff/A 1047-2023 georefererad karta.tif", "A 1047-2023")</f>
        <v/>
      </c>
      <c r="AA128">
        <f>HYPERLINK("https://klasma.github.io/Logging_2085/klagomål/A 1047-2023 FSC-klagomål.docx", "A 1047-2023")</f>
        <v/>
      </c>
      <c r="AB128">
        <f>HYPERLINK("https://klasma.github.io/Logging_2085/klagomålsmail/A 1047-2023 FSC-klagomål mail.docx", "A 1047-2023")</f>
        <v/>
      </c>
      <c r="AC128">
        <f>HYPERLINK("https://klasma.github.io/Logging_2085/tillsyn/A 1047-2023 tillsynsbegäran.docx", "A 1047-2023")</f>
        <v/>
      </c>
      <c r="AD128">
        <f>HYPERLINK("https://klasma.github.io/Logging_2085/tillsynsmail/A 1047-2023 tillsynsbegäran mail.docx", "A 1047-2023")</f>
        <v/>
      </c>
    </row>
    <row r="129" ht="15" customHeight="1">
      <c r="A129" t="inlineStr">
        <is>
          <t>A 36478-2026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46277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Skogsalm</t>
        </is>
      </c>
      <c r="W129">
        <f>HYPERLINK("https://klasma.github.io/Logging_2085/artfynd/A 36478-2026 artfynd.xlsx", "A 36478-2026")</f>
        <v/>
      </c>
      <c r="X129">
        <f>HYPERLINK("https://klasma.github.io/Logging_2085/kartor/A 36478-2026 karta.png", "A 36478-2026")</f>
        <v/>
      </c>
      <c r="Y129">
        <f>HYPERLINK("https://klasma.github.io/Logging_2085/kartor_geotiff/A 36478-2026 georefererad karta.tif", "A 36478-2026")</f>
        <v/>
      </c>
      <c r="AA129">
        <f>HYPERLINK("https://klasma.github.io/Logging_2085/klagomål/A 36478-2026 FSC-klagomål.docx", "A 36478-2026")</f>
        <v/>
      </c>
      <c r="AB129">
        <f>HYPERLINK("https://klasma.github.io/Logging_2085/klagomålsmail/A 36478-2026 FSC-klagomål mail.docx", "A 36478-2026")</f>
        <v/>
      </c>
      <c r="AC129">
        <f>HYPERLINK("https://klasma.github.io/Logging_2085/tillsyn/A 36478-2026 tillsynsbegäran.docx", "A 36478-2026")</f>
        <v/>
      </c>
      <c r="AD129">
        <f>HYPERLINK("https://klasma.github.io/Logging_2085/tillsynsmail/A 36478-2026 tillsynsbegäran mail.docx", "A 36478-2026")</f>
        <v/>
      </c>
    </row>
    <row r="130" ht="15" customHeight="1">
      <c r="A130" t="inlineStr">
        <is>
          <t>A 37560-2026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46276</v>
      </c>
      <c r="E130" s="1" t="n">
        <v>46277</v>
      </c>
      <c r="F130" t="inlineStr">
        <is>
          <t>DALARNAS LÄN</t>
        </is>
      </c>
      <c r="G130" t="inlineStr">
        <is>
          <t>LUDVIKA</t>
        </is>
      </c>
      <c r="H130" t="inlineStr">
        <is>
          <t>Naturvårdsverket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Motaggsvamp</t>
        </is>
      </c>
      <c r="W130">
        <f>HYPERLINK("https://klasma.github.io/Logging_2085/artfynd/A 37560-2026 artfynd.xlsx", "A 37560-2026")</f>
        <v/>
      </c>
      <c r="X130">
        <f>HYPERLINK("https://klasma.github.io/Logging_2085/kartor/A 37560-2026 karta.png", "A 37560-2026")</f>
        <v/>
      </c>
      <c r="Y130">
        <f>HYPERLINK("https://klasma.github.io/Logging_2085/kartor_geotiff/A 37560-2026 georefererad karta.tif", "A 37560-2026")</f>
        <v/>
      </c>
      <c r="AA130">
        <f>HYPERLINK("https://klasma.github.io/Logging_2085/klagomål/A 37560-2026 FSC-klagomål.docx", "A 37560-2026")</f>
        <v/>
      </c>
      <c r="AB130">
        <f>HYPERLINK("https://klasma.github.io/Logging_2085/klagomålsmail/A 37560-2026 FSC-klagomål mail.docx", "A 37560-2026")</f>
        <v/>
      </c>
      <c r="AC130">
        <f>HYPERLINK("https://klasma.github.io/Logging_2085/tillsyn/A 37560-2026 tillsynsbegäran.docx", "A 37560-2026")</f>
        <v/>
      </c>
      <c r="AD130">
        <f>HYPERLINK("https://klasma.github.io/Logging_2085/tillsynsmail/A 37560-2026 tillsynsbegäran mail.docx", "A 37560-2026")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46277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46277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A 31273-2022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44771</v>
      </c>
      <c r="E133" s="1" t="n">
        <v>46277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46277</v>
      </c>
      <c r="F134" t="inlineStr">
        <is>
          <t>DALARNAS LÄN</t>
        </is>
      </c>
      <c r="G134" t="inlineStr">
        <is>
          <t>LUDVIKA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46277</v>
      </c>
      <c r="F135" t="inlineStr">
        <is>
          <t>DALARNAS LÄN</t>
        </is>
      </c>
      <c r="G135" t="inlineStr">
        <is>
          <t>LUDVIKA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62467-2021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46277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46277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44456</v>
      </c>
      <c r="E138" s="1" t="n">
        <v>46277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44730</v>
      </c>
      <c r="E139" s="1" t="n">
        <v>46277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46277</v>
      </c>
      <c r="F140" t="inlineStr">
        <is>
          <t>DALARNAS LÄN</t>
        </is>
      </c>
      <c r="G140" t="inlineStr">
        <is>
          <t>LUDVIKA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44771</v>
      </c>
      <c r="E141" s="1" t="n">
        <v>46277</v>
      </c>
      <c r="F141" t="inlineStr">
        <is>
          <t>DALARNAS LÄN</t>
        </is>
      </c>
      <c r="G141" t="inlineStr">
        <is>
          <t>LUDVIKA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46277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46277</v>
      </c>
      <c r="F143" t="inlineStr">
        <is>
          <t>DALARNAS LÄN</t>
        </is>
      </c>
      <c r="G143" t="inlineStr">
        <is>
          <t>LUDVIKA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46277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44720</v>
      </c>
      <c r="E145" s="1" t="n">
        <v>46277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44560</v>
      </c>
      <c r="E146" s="1" t="n">
        <v>46277</v>
      </c>
      <c r="F146" t="inlineStr">
        <is>
          <t>DALARNAS LÄN</t>
        </is>
      </c>
      <c r="G146" t="inlineStr">
        <is>
          <t>LUDVIKA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46277</v>
      </c>
      <c r="F147" t="inlineStr">
        <is>
          <t>DALARNAS LÄN</t>
        </is>
      </c>
      <c r="G147" t="inlineStr">
        <is>
          <t>LUDVIKA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46277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44590</v>
      </c>
      <c r="E149" s="1" t="n">
        <v>46277</v>
      </c>
      <c r="F149" t="inlineStr">
        <is>
          <t>DALARNAS LÄN</t>
        </is>
      </c>
      <c r="G149" t="inlineStr">
        <is>
          <t>LUDVIKA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46277</v>
      </c>
      <c r="F150" t="inlineStr">
        <is>
          <t>DALARNAS LÄN</t>
        </is>
      </c>
      <c r="G150" t="inlineStr">
        <is>
          <t>LUDVIKA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46277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44785</v>
      </c>
      <c r="E152" s="1" t="n">
        <v>46277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46277</v>
      </c>
      <c r="F153" t="inlineStr">
        <is>
          <t>DALARNAS LÄN</t>
        </is>
      </c>
      <c r="G153" t="inlineStr">
        <is>
          <t>LUDVIKA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46277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46277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46277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46277</v>
      </c>
      <c r="F157" t="inlineStr">
        <is>
          <t>DALARNAS LÄN</t>
        </is>
      </c>
      <c r="G157" t="inlineStr">
        <is>
          <t>LUDVIKA</t>
        </is>
      </c>
      <c r="H157" t="inlineStr">
        <is>
          <t>Naturvårdsverket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45705</v>
      </c>
      <c r="E158" s="1" t="n">
        <v>46277</v>
      </c>
      <c r="F158" t="inlineStr">
        <is>
          <t>DALARNAS LÄN</t>
        </is>
      </c>
      <c r="G158" t="inlineStr">
        <is>
          <t>LUDVIKA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46277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46277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46277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46277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46277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46277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11436-2024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45372</v>
      </c>
      <c r="E165" s="1" t="n">
        <v>46277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46277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45450</v>
      </c>
      <c r="E167" s="1" t="n">
        <v>46277</v>
      </c>
      <c r="F167" t="inlineStr">
        <is>
          <t>DALARNAS LÄN</t>
        </is>
      </c>
      <c r="G167" t="inlineStr">
        <is>
          <t>LUDVIKA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34845-2024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45526</v>
      </c>
      <c r="E168" s="1" t="n">
        <v>46277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46277</v>
      </c>
      <c r="F169" t="inlineStr">
        <is>
          <t>DALARNAS LÄN</t>
        </is>
      </c>
      <c r="G169" t="inlineStr">
        <is>
          <t>LUDVIKA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46277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45105</v>
      </c>
      <c r="E171" s="1" t="n">
        <v>46277</v>
      </c>
      <c r="F171" t="inlineStr">
        <is>
          <t>DALARNAS LÄN</t>
        </is>
      </c>
      <c r="G171" t="inlineStr">
        <is>
          <t>LUDVIKA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46277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46277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47496-2022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44853</v>
      </c>
      <c r="E174" s="1" t="n">
        <v>46277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46277</v>
      </c>
      <c r="F175" t="inlineStr">
        <is>
          <t>DALARNAS LÄN</t>
        </is>
      </c>
      <c r="G175" t="inlineStr">
        <is>
          <t>LUDVIKA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44883</v>
      </c>
      <c r="E176" s="1" t="n">
        <v>46277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46277</v>
      </c>
      <c r="F177" t="inlineStr">
        <is>
          <t>DALARNAS LÄN</t>
        </is>
      </c>
      <c r="G177" t="inlineStr">
        <is>
          <t>LUDVIKA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46277</v>
      </c>
      <c r="F178" t="inlineStr">
        <is>
          <t>DALARNAS LÄN</t>
        </is>
      </c>
      <c r="G178" t="inlineStr">
        <is>
          <t>LUDVIKA</t>
        </is>
      </c>
      <c r="H178" t="inlineStr">
        <is>
          <t>Naturvårdsverket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46277</v>
      </c>
      <c r="F179" t="inlineStr">
        <is>
          <t>DALARNAS LÄN</t>
        </is>
      </c>
      <c r="G179" t="inlineStr">
        <is>
          <t>LUDVIKA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44844</v>
      </c>
      <c r="E180" s="1" t="n">
        <v>46277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46277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45512</v>
      </c>
      <c r="E182" s="1" t="n">
        <v>46277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46277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46277</v>
      </c>
      <c r="F184" t="inlineStr">
        <is>
          <t>DALARNAS LÄN</t>
        </is>
      </c>
      <c r="G184" t="inlineStr">
        <is>
          <t>LUDVIKA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46277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65195-2021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44515</v>
      </c>
      <c r="E186" s="1" t="n">
        <v>46277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46277</v>
      </c>
      <c r="F187" t="inlineStr">
        <is>
          <t>DALARNAS LÄN</t>
        </is>
      </c>
      <c r="G187" t="inlineStr">
        <is>
          <t>LUDVIKA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46277</v>
      </c>
      <c r="F188" t="inlineStr">
        <is>
          <t>DALARNAS LÄN</t>
        </is>
      </c>
      <c r="G188" t="inlineStr">
        <is>
          <t>LUDVIKA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46277</v>
      </c>
      <c r="F189" t="inlineStr">
        <is>
          <t>DALARNAS LÄN</t>
        </is>
      </c>
      <c r="G189" t="inlineStr">
        <is>
          <t>LUDVIKA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46277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46277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46277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46277</v>
      </c>
      <c r="F193" t="inlineStr">
        <is>
          <t>DALARNAS LÄN</t>
        </is>
      </c>
      <c r="G193" t="inlineStr">
        <is>
          <t>LUDVIKA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46277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46277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46277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46277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56615-2025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45975</v>
      </c>
      <c r="E198" s="1" t="n">
        <v>46277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46277</v>
      </c>
      <c r="F199" t="inlineStr">
        <is>
          <t>DALARNAS LÄN</t>
        </is>
      </c>
      <c r="G199" t="inlineStr">
        <is>
          <t>LUDVIKA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45224</v>
      </c>
      <c r="E200" s="1" t="n">
        <v>46277</v>
      </c>
      <c r="F200" t="inlineStr">
        <is>
          <t>DALARNAS LÄN</t>
        </is>
      </c>
      <c r="G200" t="inlineStr">
        <is>
          <t>LUDVIKA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62368-2025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46277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46277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46277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46277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46277</v>
      </c>
      <c r="F205" t="inlineStr">
        <is>
          <t>DALARNAS LÄN</t>
        </is>
      </c>
      <c r="G205" t="inlineStr">
        <is>
          <t>LUDVIKA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46277</v>
      </c>
      <c r="F206" t="inlineStr">
        <is>
          <t>DALARNAS LÄN</t>
        </is>
      </c>
      <c r="G206" t="inlineStr">
        <is>
          <t>LUDVIKA</t>
        </is>
      </c>
      <c r="H206" t="inlineStr">
        <is>
          <t>Naturvårdsverket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46277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46277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46277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46277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46277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46277</v>
      </c>
      <c r="F212" t="inlineStr">
        <is>
          <t>DALARNAS LÄN</t>
        </is>
      </c>
      <c r="G212" t="inlineStr">
        <is>
          <t>LUDVIKA</t>
        </is>
      </c>
      <c r="H212" t="inlineStr">
        <is>
          <t>Övriga Aktiebolag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45761</v>
      </c>
      <c r="E213" s="1" t="n">
        <v>46277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46277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46277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46277</v>
      </c>
      <c r="F216" t="inlineStr">
        <is>
          <t>DALARNAS LÄN</t>
        </is>
      </c>
      <c r="G216" t="inlineStr">
        <is>
          <t>LUDVIKA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45579</v>
      </c>
      <c r="E217" s="1" t="n">
        <v>46277</v>
      </c>
      <c r="F217" t="inlineStr">
        <is>
          <t>DALARNAS LÄN</t>
        </is>
      </c>
      <c r="G217" t="inlineStr">
        <is>
          <t>LUDVIKA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46277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46277</v>
      </c>
      <c r="F219" t="inlineStr">
        <is>
          <t>DALARNAS LÄN</t>
        </is>
      </c>
      <c r="G219" t="inlineStr">
        <is>
          <t>LUDVIKA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34067-2025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45845</v>
      </c>
      <c r="E220" s="1" t="n">
        <v>46277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46277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45502</v>
      </c>
      <c r="E222" s="1" t="n">
        <v>46277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46277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46277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45525</v>
      </c>
      <c r="E225" s="1" t="n">
        <v>46277</v>
      </c>
      <c r="F225" t="inlineStr">
        <is>
          <t>DALARNAS LÄN</t>
        </is>
      </c>
      <c r="G225" t="inlineStr">
        <is>
          <t>LUDVIKA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46277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46277</v>
      </c>
      <c r="F227" t="inlineStr">
        <is>
          <t>DALARNAS LÄN</t>
        </is>
      </c>
      <c r="G227" t="inlineStr">
        <is>
          <t>LUDVIKA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46277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46277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46277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46277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46277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46277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45623</v>
      </c>
      <c r="E234" s="1" t="n">
        <v>46277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36338-2025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45868</v>
      </c>
      <c r="E235" s="1" t="n">
        <v>46277</v>
      </c>
      <c r="F235" t="inlineStr">
        <is>
          <t>DALARNAS LÄN</t>
        </is>
      </c>
      <c r="G235" t="inlineStr">
        <is>
          <t>LUDVIKA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46277</v>
      </c>
      <c r="F236" t="inlineStr">
        <is>
          <t>DALARNAS LÄN</t>
        </is>
      </c>
      <c r="G236" t="inlineStr">
        <is>
          <t>LUDVIKA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46277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45512</v>
      </c>
      <c r="E238" s="1" t="n">
        <v>46277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46277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46277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46277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46277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46277</v>
      </c>
      <c r="F243" t="inlineStr">
        <is>
          <t>DALARNAS LÄN</t>
        </is>
      </c>
      <c r="G243" t="inlineStr">
        <is>
          <t>LUDVIKA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46277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46277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46277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46277</v>
      </c>
      <c r="F247" t="inlineStr">
        <is>
          <t>DALARNAS LÄN</t>
        </is>
      </c>
      <c r="G247" t="inlineStr">
        <is>
          <t>LUDVIKA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46277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46277</v>
      </c>
      <c r="F249" t="inlineStr">
        <is>
          <t>DALARNAS LÄN</t>
        </is>
      </c>
      <c r="G249" t="inlineStr">
        <is>
          <t>LUDVIKA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44680</v>
      </c>
      <c r="E250" s="1" t="n">
        <v>46277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45869</v>
      </c>
      <c r="E251" s="1" t="n">
        <v>46277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46277</v>
      </c>
      <c r="F252" t="inlineStr">
        <is>
          <t>DALARNAS LÄN</t>
        </is>
      </c>
      <c r="G252" t="inlineStr">
        <is>
          <t>LUDVIKA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44711</v>
      </c>
      <c r="E253" s="1" t="n">
        <v>46277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46277</v>
      </c>
      <c r="F254" t="inlineStr">
        <is>
          <t>DALARNAS LÄN</t>
        </is>
      </c>
      <c r="G254" t="inlineStr">
        <is>
          <t>LUDVIKA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44960</v>
      </c>
      <c r="E255" s="1" t="n">
        <v>46277</v>
      </c>
      <c r="F255" t="inlineStr">
        <is>
          <t>DALARNAS LÄN</t>
        </is>
      </c>
      <c r="G255" t="inlineStr">
        <is>
          <t>LUDVIKA</t>
        </is>
      </c>
      <c r="H255" t="inlineStr">
        <is>
          <t>Naturvårdsverket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45624</v>
      </c>
      <c r="E256" s="1" t="n">
        <v>46277</v>
      </c>
      <c r="F256" t="inlineStr">
        <is>
          <t>DALARNAS LÄN</t>
        </is>
      </c>
      <c r="G256" t="inlineStr">
        <is>
          <t>LUDVIKA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46277</v>
      </c>
      <c r="F257" t="inlineStr">
        <is>
          <t>DALARNAS LÄN</t>
        </is>
      </c>
      <c r="G257" t="inlineStr">
        <is>
          <t>LUDVIKA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46277</v>
      </c>
      <c r="F258" t="inlineStr">
        <is>
          <t>DALARNAS LÄN</t>
        </is>
      </c>
      <c r="G258" t="inlineStr">
        <is>
          <t>LUDVIKA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46277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46277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45875</v>
      </c>
      <c r="E261" s="1" t="n">
        <v>46277</v>
      </c>
      <c r="F261" t="inlineStr">
        <is>
          <t>DALARNAS LÄN</t>
        </is>
      </c>
      <c r="G261" t="inlineStr">
        <is>
          <t>LUDVIKA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46277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46277</v>
      </c>
      <c r="F263" t="inlineStr">
        <is>
          <t>DALARNAS LÄN</t>
        </is>
      </c>
      <c r="G263" t="inlineStr">
        <is>
          <t>LUDVIKA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46277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46277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46277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46277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46108-2025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46277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46277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46277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45301</v>
      </c>
      <c r="E271" s="1" t="n">
        <v>46277</v>
      </c>
      <c r="F271" t="inlineStr">
        <is>
          <t>DALARNAS LÄN</t>
        </is>
      </c>
      <c r="G271" t="inlineStr">
        <is>
          <t>LUDVIKA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46277</v>
      </c>
      <c r="F272" t="inlineStr">
        <is>
          <t>DALARNAS LÄN</t>
        </is>
      </c>
      <c r="G272" t="inlineStr">
        <is>
          <t>LUDVIKA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46277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46277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45519</v>
      </c>
      <c r="E275" s="1" t="n">
        <v>46277</v>
      </c>
      <c r="F275" t="inlineStr">
        <is>
          <t>DALARNAS LÄN</t>
        </is>
      </c>
      <c r="G275" t="inlineStr">
        <is>
          <t>LUDVIKA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46277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46277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45062</v>
      </c>
      <c r="E278" s="1" t="n">
        <v>46277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45210</v>
      </c>
      <c r="E279" s="1" t="n">
        <v>46277</v>
      </c>
      <c r="F279" t="inlineStr">
        <is>
          <t>DALARNAS LÄN</t>
        </is>
      </c>
      <c r="G279" t="inlineStr">
        <is>
          <t>LUDVIKA</t>
        </is>
      </c>
      <c r="H279" t="inlineStr">
        <is>
          <t>Naturvårdsverket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46277</v>
      </c>
      <c r="F280" t="inlineStr">
        <is>
          <t>DALARNAS LÄN</t>
        </is>
      </c>
      <c r="G280" t="inlineStr">
        <is>
          <t>LUDVIKA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45644</v>
      </c>
      <c r="E281" s="1" t="n">
        <v>46277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46277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46277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46277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46277</v>
      </c>
      <c r="F285" t="inlineStr">
        <is>
          <t>DALARNAS LÄN</t>
        </is>
      </c>
      <c r="G285" t="inlineStr">
        <is>
          <t>LUDVIKA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45944</v>
      </c>
      <c r="E286" s="1" t="n">
        <v>46277</v>
      </c>
      <c r="F286" t="inlineStr">
        <is>
          <t>DALARNAS LÄN</t>
        </is>
      </c>
      <c r="G286" t="inlineStr">
        <is>
          <t>LUDVIKA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44729</v>
      </c>
      <c r="E287" s="1" t="n">
        <v>46277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51865-2025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45952</v>
      </c>
      <c r="E288" s="1" t="n">
        <v>46277</v>
      </c>
      <c r="F288" t="inlineStr">
        <is>
          <t>DALARNAS LÄN</t>
        </is>
      </c>
      <c r="G288" t="inlineStr">
        <is>
          <t>LUDVIKA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52552-2025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45954</v>
      </c>
      <c r="E289" s="1" t="n">
        <v>46277</v>
      </c>
      <c r="F289" t="inlineStr">
        <is>
          <t>DALARNAS LÄN</t>
        </is>
      </c>
      <c r="G289" t="inlineStr">
        <is>
          <t>LUDVIKA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46277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46277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9.300000000000001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52459-2025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46277</v>
      </c>
      <c r="F292" t="inlineStr">
        <is>
          <t>DALARNAS LÄN</t>
        </is>
      </c>
      <c r="G292" t="inlineStr">
        <is>
          <t>LUDVIKA</t>
        </is>
      </c>
      <c r="H292" t="inlineStr">
        <is>
          <t>Övriga Aktiebolag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46277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52900-2025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46277</v>
      </c>
      <c r="F294" t="inlineStr">
        <is>
          <t>DALARNAS LÄN</t>
        </is>
      </c>
      <c r="G294" t="inlineStr">
        <is>
          <t>LUDVIKA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46277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52427-2025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45954</v>
      </c>
      <c r="E296" s="1" t="n">
        <v>46277</v>
      </c>
      <c r="F296" t="inlineStr">
        <is>
          <t>DALARNAS LÄN</t>
        </is>
      </c>
      <c r="G296" t="inlineStr">
        <is>
          <t>LUDVIKA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2838-2022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44581</v>
      </c>
      <c r="E297" s="1" t="n">
        <v>46277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52724-2025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45957</v>
      </c>
      <c r="E298" s="1" t="n">
        <v>46277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52556-2025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45954</v>
      </c>
      <c r="E299" s="1" t="n">
        <v>46277</v>
      </c>
      <c r="F299" t="inlineStr">
        <is>
          <t>DALARNAS LÄN</t>
        </is>
      </c>
      <c r="G299" t="inlineStr">
        <is>
          <t>LUDVIKA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40142-2022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44820</v>
      </c>
      <c r="E300" s="1" t="n">
        <v>46277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40151-2022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46277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46277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46277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46277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46277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45963</v>
      </c>
      <c r="E306" s="1" t="n">
        <v>46277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46277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46277</v>
      </c>
      <c r="F308" t="inlineStr">
        <is>
          <t>DALARNAS LÄN</t>
        </is>
      </c>
      <c r="G308" t="inlineStr">
        <is>
          <t>LUDVIKA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46277</v>
      </c>
      <c r="F309" t="inlineStr">
        <is>
          <t>DALARNAS LÄN</t>
        </is>
      </c>
      <c r="G309" t="inlineStr">
        <is>
          <t>LUDVIKA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45762</v>
      </c>
      <c r="E310" s="1" t="n">
        <v>46277</v>
      </c>
      <c r="F310" t="inlineStr">
        <is>
          <t>DALARNAS LÄN</t>
        </is>
      </c>
      <c r="G310" t="inlineStr">
        <is>
          <t>LUDVIKA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46277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46277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54341-2025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45965</v>
      </c>
      <c r="E313" s="1" t="n">
        <v>46277</v>
      </c>
      <c r="F313" t="inlineStr">
        <is>
          <t>DALARNAS LÄN</t>
        </is>
      </c>
      <c r="G313" t="inlineStr">
        <is>
          <t>LUDVIKA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45968</v>
      </c>
      <c r="E314" s="1" t="n">
        <v>46277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45972</v>
      </c>
      <c r="E315" s="1" t="n">
        <v>46277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46114</v>
      </c>
      <c r="E316" s="1" t="n">
        <v>46277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46277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46277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46277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46277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46277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46277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56002-2025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46277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46277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46277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45765</v>
      </c>
      <c r="E326" s="1" t="n">
        <v>46277</v>
      </c>
      <c r="F326" t="inlineStr">
        <is>
          <t>DALARNAS LÄN</t>
        </is>
      </c>
      <c r="G326" t="inlineStr">
        <is>
          <t>LUDVIKA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46277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46119</v>
      </c>
      <c r="E328" s="1" t="n">
        <v>46277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19.8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46277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46277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56155-2025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46277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46277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61621-2022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44916</v>
      </c>
      <c r="E333" s="1" t="n">
        <v>46277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46277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46277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17913-2026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46122</v>
      </c>
      <c r="E336" s="1" t="n">
        <v>46277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57870-2025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46277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46277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46277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30844-2024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45497</v>
      </c>
      <c r="E340" s="1" t="n">
        <v>46277</v>
      </c>
      <c r="F340" t="inlineStr">
        <is>
          <t>DALARNAS LÄN</t>
        </is>
      </c>
      <c r="G340" t="inlineStr">
        <is>
          <t>LUDVIKA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46277</v>
      </c>
      <c r="F341" t="inlineStr">
        <is>
          <t>DALARNAS LÄN</t>
        </is>
      </c>
      <c r="G341" t="inlineStr">
        <is>
          <t>LUDVIKA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46277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46277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46277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47086-2025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45929</v>
      </c>
      <c r="E345" s="1" t="n">
        <v>46277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46277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18355-2026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46277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46277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46277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46277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46277</v>
      </c>
      <c r="F351" t="inlineStr">
        <is>
          <t>DALARNAS LÄN</t>
        </is>
      </c>
      <c r="G351" t="inlineStr">
        <is>
          <t>LUDVIKA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46277</v>
      </c>
      <c r="F352" t="inlineStr">
        <is>
          <t>DALARNAS LÄN</t>
        </is>
      </c>
      <c r="G352" t="inlineStr">
        <is>
          <t>LUDVIKA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46277</v>
      </c>
      <c r="F353" t="inlineStr">
        <is>
          <t>DALARNAS LÄN</t>
        </is>
      </c>
      <c r="G353" t="inlineStr">
        <is>
          <t>LUDVIKA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46277</v>
      </c>
      <c r="F354" t="inlineStr">
        <is>
          <t>DALARNAS LÄN</t>
        </is>
      </c>
      <c r="G354" t="inlineStr">
        <is>
          <t>LUDVIKA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46277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46277</v>
      </c>
      <c r="F356" t="inlineStr">
        <is>
          <t>DALARNAS LÄN</t>
        </is>
      </c>
      <c r="G356" t="inlineStr">
        <is>
          <t>LUDVIKA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16814-2024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46277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46277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50273-2021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44459</v>
      </c>
      <c r="E359" s="1" t="n">
        <v>46277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46277</v>
      </c>
      <c r="F360" t="inlineStr">
        <is>
          <t>DALARNAS LÄN</t>
        </is>
      </c>
      <c r="G360" t="inlineStr">
        <is>
          <t>LUDVIKA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46277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46277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44942</v>
      </c>
      <c r="E363" s="1" t="n">
        <v>46277</v>
      </c>
      <c r="F363" t="inlineStr">
        <is>
          <t>DALARNAS LÄN</t>
        </is>
      </c>
      <c r="G363" t="inlineStr">
        <is>
          <t>LUDVIKA</t>
        </is>
      </c>
      <c r="I363" t="n">
        <v>13.1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46277</v>
      </c>
      <c r="F364" t="inlineStr">
        <is>
          <t>DALARNAS LÄN</t>
        </is>
      </c>
      <c r="G364" t="inlineStr">
        <is>
          <t>LUDVIKA</t>
        </is>
      </c>
      <c r="H364" t="inlineStr">
        <is>
          <t>Naturvårdsverket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44730</v>
      </c>
      <c r="E365" s="1" t="n">
        <v>46277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46277</v>
      </c>
      <c r="F366" t="inlineStr">
        <is>
          <t>DALARNAS LÄN</t>
        </is>
      </c>
      <c r="G366" t="inlineStr">
        <is>
          <t>LUDVIKA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46277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46277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46277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62704-2025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46008</v>
      </c>
      <c r="E370" s="1" t="n">
        <v>46277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62367-2025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46277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62842-2025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46277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46277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46277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46277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62838-2025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46277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62688-2025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46277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46277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46277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46277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61507-2023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46277</v>
      </c>
      <c r="F381" t="inlineStr">
        <is>
          <t>DALARNAS LÄN</t>
        </is>
      </c>
      <c r="G381" t="inlineStr">
        <is>
          <t>LUDVIKA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46277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46277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46277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62930-2025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46277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62945-2025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46009</v>
      </c>
      <c r="E386" s="1" t="n">
        <v>46277</v>
      </c>
      <c r="F386" t="inlineStr">
        <is>
          <t>DALARNAS LÄN</t>
        </is>
      </c>
      <c r="G386" t="inlineStr">
        <is>
          <t>LUDVIKA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46277</v>
      </c>
      <c r="F387" t="inlineStr">
        <is>
          <t>DALARNAS LÄN</t>
        </is>
      </c>
      <c r="G387" t="inlineStr">
        <is>
          <t>LUDVIKA</t>
        </is>
      </c>
      <c r="H387" t="inlineStr">
        <is>
          <t>Naturvårdsverket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53554-2025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46277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46277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46277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46136</v>
      </c>
      <c r="E391" s="1" t="n">
        <v>46277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46277</v>
      </c>
      <c r="F392" t="inlineStr">
        <is>
          <t>DALARNAS LÄN</t>
        </is>
      </c>
      <c r="G392" t="inlineStr">
        <is>
          <t>LUDVIKA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46277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34070-2025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45845</v>
      </c>
      <c r="E394" s="1" t="n">
        <v>46277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65104-2023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45288</v>
      </c>
      <c r="E395" s="1" t="n">
        <v>46277</v>
      </c>
      <c r="F395" t="inlineStr">
        <is>
          <t>DALARNAS LÄN</t>
        </is>
      </c>
      <c r="G395" t="inlineStr">
        <is>
          <t>LUDVIKA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46277</v>
      </c>
      <c r="F396" t="inlineStr">
        <is>
          <t>DALARNAS LÄN</t>
        </is>
      </c>
      <c r="G396" t="inlineStr">
        <is>
          <t>LUDVIKA</t>
        </is>
      </c>
      <c r="H396" t="inlineStr">
        <is>
          <t>Övriga Aktiebolag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8728-2026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46277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46277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55151-2025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46277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44865</v>
      </c>
      <c r="E400" s="1" t="n">
        <v>46277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52466-2023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46277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45399</v>
      </c>
      <c r="E402" s="1" t="n">
        <v>46277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45954</v>
      </c>
      <c r="E403" s="1" t="n">
        <v>46277</v>
      </c>
      <c r="F403" t="inlineStr">
        <is>
          <t>DALARNAS LÄN</t>
        </is>
      </c>
      <c r="G403" t="inlineStr">
        <is>
          <t>LUDVIKA</t>
        </is>
      </c>
      <c r="I403" t="n">
        <v>9.800000000000001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46277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46277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32224-2025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46277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46002</v>
      </c>
      <c r="E407" s="1" t="n">
        <v>46277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46277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45961</v>
      </c>
      <c r="E409" s="1" t="n">
        <v>46277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43694-2024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45569</v>
      </c>
      <c r="E410" s="1" t="n">
        <v>46277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46277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44476</v>
      </c>
      <c r="E412" s="1" t="n">
        <v>46277</v>
      </c>
      <c r="F412" t="inlineStr">
        <is>
          <t>DALARNAS LÄN</t>
        </is>
      </c>
      <c r="G412" t="inlineStr">
        <is>
          <t>LUDVIKA</t>
        </is>
      </c>
      <c r="H412" t="inlineStr">
        <is>
          <t>Övriga Aktiebolag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42106-2024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45562</v>
      </c>
      <c r="E413" s="1" t="n">
        <v>46277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35708-2025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45860</v>
      </c>
      <c r="E414" s="1" t="n">
        <v>46277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45258</v>
      </c>
      <c r="E415" s="1" t="n">
        <v>46277</v>
      </c>
      <c r="F415" t="inlineStr">
        <is>
          <t>DALARNAS LÄN</t>
        </is>
      </c>
      <c r="G415" t="inlineStr">
        <is>
          <t>LUDVIKA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45404</v>
      </c>
      <c r="E416" s="1" t="n">
        <v>46277</v>
      </c>
      <c r="F416" t="inlineStr">
        <is>
          <t>DALARNAS LÄN</t>
        </is>
      </c>
      <c r="G416" t="inlineStr">
        <is>
          <t>LUDVIKA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45902</v>
      </c>
      <c r="E417" s="1" t="n">
        <v>46277</v>
      </c>
      <c r="F417" t="inlineStr">
        <is>
          <t>DALARNAS LÄN</t>
        </is>
      </c>
      <c r="G417" t="inlineStr">
        <is>
          <t>LUDVIKA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30123-2023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45110</v>
      </c>
      <c r="E418" s="1" t="n">
        <v>46277</v>
      </c>
      <c r="F418" t="inlineStr">
        <is>
          <t>DALARNAS LÄN</t>
        </is>
      </c>
      <c r="G418" t="inlineStr">
        <is>
          <t>LUDVIKA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44537-2024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45574</v>
      </c>
      <c r="E419" s="1" t="n">
        <v>46277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70046-2021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44533</v>
      </c>
      <c r="E420" s="1" t="n">
        <v>46277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46277</v>
      </c>
      <c r="F421" t="inlineStr">
        <is>
          <t>DALARNAS LÄN</t>
        </is>
      </c>
      <c r="G421" t="inlineStr">
        <is>
          <t>LUDVIKA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47671-2024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45588</v>
      </c>
      <c r="E422" s="1" t="n">
        <v>46277</v>
      </c>
      <c r="F422" t="inlineStr">
        <is>
          <t>DALARNAS LÄN</t>
        </is>
      </c>
      <c r="G422" t="inlineStr">
        <is>
          <t>LUDVIKA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46277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46277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46185-2024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46277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46141</v>
      </c>
      <c r="E426" s="1" t="n">
        <v>46277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46277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46277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30039-2024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45488</v>
      </c>
      <c r="E429" s="1" t="n">
        <v>46277</v>
      </c>
      <c r="F429" t="inlineStr">
        <is>
          <t>DALARNAS LÄN</t>
        </is>
      </c>
      <c r="G429" t="inlineStr">
        <is>
          <t>LUDVIKA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46277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46277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32995-2023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45113</v>
      </c>
      <c r="E432" s="1" t="n">
        <v>46277</v>
      </c>
      <c r="F432" t="inlineStr">
        <is>
          <t>DALARNAS LÄN</t>
        </is>
      </c>
      <c r="G432" t="inlineStr">
        <is>
          <t>LUDVIKA</t>
        </is>
      </c>
      <c r="H432" t="inlineStr">
        <is>
          <t>Kommuner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50714-2024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45602</v>
      </c>
      <c r="E433" s="1" t="n">
        <v>46277</v>
      </c>
      <c r="F433" t="inlineStr">
        <is>
          <t>DALARNAS LÄN</t>
        </is>
      </c>
      <c r="G433" t="inlineStr">
        <is>
          <t>LUDVIKA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32854-2023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46277</v>
      </c>
      <c r="F434" t="inlineStr">
        <is>
          <t>DALARNAS LÄN</t>
        </is>
      </c>
      <c r="G434" t="inlineStr">
        <is>
          <t>LUDVIKA</t>
        </is>
      </c>
      <c r="H434" t="inlineStr">
        <is>
          <t>Kommuner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46277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46277</v>
      </c>
      <c r="F436" t="inlineStr">
        <is>
          <t>DALARNAS LÄN</t>
        </is>
      </c>
      <c r="G436" t="inlineStr">
        <is>
          <t>LUDVIKA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46277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59667-2024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45639</v>
      </c>
      <c r="E438" s="1" t="n">
        <v>46277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21798-2026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46277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46277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46277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46148</v>
      </c>
      <c r="E442" s="1" t="n">
        <v>46277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37586-2024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45541</v>
      </c>
      <c r="E443" s="1" t="n">
        <v>46277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55551-2024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46277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46277</v>
      </c>
      <c r="F445" t="inlineStr">
        <is>
          <t>DALARNAS LÄN</t>
        </is>
      </c>
      <c r="G445" t="inlineStr">
        <is>
          <t>LUDVIKA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46277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45883</v>
      </c>
      <c r="E447" s="1" t="n">
        <v>46277</v>
      </c>
      <c r="F447" t="inlineStr">
        <is>
          <t>DALARNAS LÄN</t>
        </is>
      </c>
      <c r="G447" t="inlineStr">
        <is>
          <t>LUDVIKA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45045-2023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46277</v>
      </c>
      <c r="F448" t="inlineStr">
        <is>
          <t>DALARNAS LÄN</t>
        </is>
      </c>
      <c r="G448" t="inlineStr">
        <is>
          <t>LUDVIKA</t>
        </is>
      </c>
      <c r="H448" t="inlineStr">
        <is>
          <t>Sveaskog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55510-2024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46277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45594</v>
      </c>
      <c r="E450" s="1" t="n">
        <v>46277</v>
      </c>
      <c r="F450" t="inlineStr">
        <is>
          <t>DALARNAS LÄN</t>
        </is>
      </c>
      <c r="G450" t="inlineStr">
        <is>
          <t>LUDVIKA</t>
        </is>
      </c>
      <c r="H450" t="inlineStr">
        <is>
          <t>Naturvårdsverket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45198</v>
      </c>
      <c r="E451" s="1" t="n">
        <v>46277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46277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8.9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46277</v>
      </c>
      <c r="F453" t="inlineStr">
        <is>
          <t>DALARNAS LÄN</t>
        </is>
      </c>
      <c r="G453" t="inlineStr">
        <is>
          <t>LUDVIKA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45679</v>
      </c>
      <c r="E454" s="1" t="n">
        <v>46277</v>
      </c>
      <c r="F454" t="inlineStr">
        <is>
          <t>DALARNAS LÄN</t>
        </is>
      </c>
      <c r="G454" t="inlineStr">
        <is>
          <t>LUDVIKA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22558-2026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46277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46277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46277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46277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16843-2026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46277</v>
      </c>
      <c r="F459" t="inlineStr">
        <is>
          <t>DALARNAS LÄN</t>
        </is>
      </c>
      <c r="G459" t="inlineStr">
        <is>
          <t>LUDVIKA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46277</v>
      </c>
      <c r="F460" t="inlineStr">
        <is>
          <t>DALARNAS LÄN</t>
        </is>
      </c>
      <c r="G460" t="inlineStr">
        <is>
          <t>LUDVIKA</t>
        </is>
      </c>
      <c r="H460" t="inlineStr">
        <is>
          <t>Naturvårdsverket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45512</v>
      </c>
      <c r="E461" s="1" t="n">
        <v>46277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46277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55462-2024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46277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46277</v>
      </c>
      <c r="F464" t="inlineStr">
        <is>
          <t>DALARNAS LÄN</t>
        </is>
      </c>
      <c r="G464" t="inlineStr">
        <is>
          <t>LUDVIKA</t>
        </is>
      </c>
      <c r="H464" t="inlineStr">
        <is>
          <t>Naturvårdsverket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46277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46277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45687</v>
      </c>
      <c r="E467" s="1" t="n">
        <v>46277</v>
      </c>
      <c r="F467" t="inlineStr">
        <is>
          <t>DALARNAS LÄN</t>
        </is>
      </c>
      <c r="G467" t="inlineStr">
        <is>
          <t>LUDVIKA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39849-2023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46277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45208</v>
      </c>
      <c r="E469" s="1" t="n">
        <v>46277</v>
      </c>
      <c r="F469" t="inlineStr">
        <is>
          <t>DALARNAS LÄN</t>
        </is>
      </c>
      <c r="G469" t="inlineStr">
        <is>
          <t>LUDVIKA</t>
        </is>
      </c>
      <c r="H469" t="inlineStr">
        <is>
          <t>Naturvårdsverket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44789</v>
      </c>
      <c r="E470" s="1" t="n">
        <v>46277</v>
      </c>
      <c r="F470" t="inlineStr">
        <is>
          <t>DALARNAS LÄN</t>
        </is>
      </c>
      <c r="G470" t="inlineStr">
        <is>
          <t>LUDVIKA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39437-2023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46277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21741-2022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44708</v>
      </c>
      <c r="E472" s="1" t="n">
        <v>46277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18724-2022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44687</v>
      </c>
      <c r="E473" s="1" t="n">
        <v>46277</v>
      </c>
      <c r="F473" t="inlineStr">
        <is>
          <t>DALARNAS LÄN</t>
        </is>
      </c>
      <c r="G473" t="inlineStr">
        <is>
          <t>LUDVIKA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49114-2023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46277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45060-2022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44841</v>
      </c>
      <c r="E475" s="1" t="n">
        <v>46277</v>
      </c>
      <c r="F475" t="inlineStr">
        <is>
          <t>DALARNAS LÄN</t>
        </is>
      </c>
      <c r="G475" t="inlineStr">
        <is>
          <t>LUDVIKA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45754</v>
      </c>
      <c r="E476" s="1" t="n">
        <v>46277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23097-2025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45791</v>
      </c>
      <c r="E477" s="1" t="n">
        <v>46277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46277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46277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45833</v>
      </c>
      <c r="E480" s="1" t="n">
        <v>46277</v>
      </c>
      <c r="F480" t="inlineStr">
        <is>
          <t>DALARNAS LÄN</t>
        </is>
      </c>
      <c r="G480" t="inlineStr">
        <is>
          <t>LUDVIKA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56818-2023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45244</v>
      </c>
      <c r="E481" s="1" t="n">
        <v>46277</v>
      </c>
      <c r="F481" t="inlineStr">
        <is>
          <t>DALARNAS LÄN</t>
        </is>
      </c>
      <c r="G481" t="inlineStr">
        <is>
          <t>LUDVIKA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45834</v>
      </c>
      <c r="E482" s="1" t="n">
        <v>46277</v>
      </c>
      <c r="F482" t="inlineStr">
        <is>
          <t>DALARNAS LÄN</t>
        </is>
      </c>
      <c r="G482" t="inlineStr">
        <is>
          <t>LUDVIKA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46277</v>
      </c>
      <c r="F483" t="inlineStr">
        <is>
          <t>DALARNAS LÄN</t>
        </is>
      </c>
      <c r="G483" t="inlineStr">
        <is>
          <t>LUDVIKA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46277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45156</v>
      </c>
      <c r="E485" s="1" t="n">
        <v>46277</v>
      </c>
      <c r="F485" t="inlineStr">
        <is>
          <t>DALARNAS LÄN</t>
        </is>
      </c>
      <c r="G485" t="inlineStr">
        <is>
          <t>LUDVIKA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46277</v>
      </c>
      <c r="F486" t="inlineStr">
        <is>
          <t>DALARNAS LÄN</t>
        </is>
      </c>
      <c r="G486" t="inlineStr">
        <is>
          <t>LUDVIKA</t>
        </is>
      </c>
      <c r="H486" t="inlineStr">
        <is>
          <t>Naturvårdsverket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45219</v>
      </c>
      <c r="E487" s="1" t="n">
        <v>46277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59206-2023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45253</v>
      </c>
      <c r="E488" s="1" t="n">
        <v>46277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46277</v>
      </c>
      <c r="F489" t="inlineStr">
        <is>
          <t>DALARNAS LÄN</t>
        </is>
      </c>
      <c r="G489" t="inlineStr">
        <is>
          <t>LUDVIKA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59351-2023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46277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46277</v>
      </c>
      <c r="F491" t="inlineStr">
        <is>
          <t>DALARNAS LÄN</t>
        </is>
      </c>
      <c r="G491" t="inlineStr">
        <is>
          <t>LUDVIKA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46656-2023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45198</v>
      </c>
      <c r="E492" s="1" t="n">
        <v>46277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48683-2023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45208</v>
      </c>
      <c r="E493" s="1" t="n">
        <v>46277</v>
      </c>
      <c r="F493" t="inlineStr">
        <is>
          <t>DALARNAS LÄN</t>
        </is>
      </c>
      <c r="G493" t="inlineStr">
        <is>
          <t>LUDVIKA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46277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46277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46277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24678-2026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46171</v>
      </c>
      <c r="E497" s="1" t="n">
        <v>46277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46277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46171</v>
      </c>
      <c r="E499" s="1" t="n">
        <v>46277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46277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8.1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46277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49166-2025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46277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20104-2026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46136</v>
      </c>
      <c r="E503" s="1" t="n">
        <v>46277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57557-2023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46277</v>
      </c>
      <c r="F504" t="inlineStr">
        <is>
          <t>DALARNAS LÄN</t>
        </is>
      </c>
      <c r="G504" t="inlineStr">
        <is>
          <t>LUDVIKA</t>
        </is>
      </c>
      <c r="I504" t="n">
        <v>12.7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45754</v>
      </c>
      <c r="E505" s="1" t="n">
        <v>46277</v>
      </c>
      <c r="F505" t="inlineStr">
        <is>
          <t>DALARNAS LÄN</t>
        </is>
      </c>
      <c r="G505" t="inlineStr">
        <is>
          <t>LUDVIKA</t>
        </is>
      </c>
      <c r="H505" t="inlineStr">
        <is>
          <t>Naturvårdsverket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15128-2025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46277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46277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46277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46277</v>
      </c>
      <c r="F509" t="inlineStr">
        <is>
          <t>DALARNAS LÄN</t>
        </is>
      </c>
      <c r="G509" t="inlineStr">
        <is>
          <t>LUDVIKA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44771</v>
      </c>
      <c r="E510" s="1" t="n">
        <v>46277</v>
      </c>
      <c r="F510" t="inlineStr">
        <is>
          <t>DALARNAS LÄN</t>
        </is>
      </c>
      <c r="G510" t="inlineStr">
        <is>
          <t>LUDVIKA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46277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46277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61309-2022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44915</v>
      </c>
      <c r="E513" s="1" t="n">
        <v>46277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50347-2021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44459</v>
      </c>
      <c r="E514" s="1" t="n">
        <v>46277</v>
      </c>
      <c r="F514" t="inlineStr">
        <is>
          <t>DALARNAS LÄN</t>
        </is>
      </c>
      <c r="G514" t="inlineStr">
        <is>
          <t>LUDVIKA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48740-2022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44859</v>
      </c>
      <c r="E515" s="1" t="n">
        <v>46277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49669-2024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46277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46277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27609-2026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46277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56621-2023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46277</v>
      </c>
      <c r="F519" t="inlineStr">
        <is>
          <t>DALARNAS LÄN</t>
        </is>
      </c>
      <c r="G519" t="inlineStr">
        <is>
          <t>LUDVIKA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46277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46277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26574-2026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46183</v>
      </c>
      <c r="E522" s="1" t="n">
        <v>46277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46277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53996-2024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45616</v>
      </c>
      <c r="E524" s="1" t="n">
        <v>46277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46277</v>
      </c>
      <c r="F525" t="inlineStr">
        <is>
          <t>DALARNAS LÄN</t>
        </is>
      </c>
      <c r="G525" t="inlineStr">
        <is>
          <t>LUDVIKA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64171-2023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45279</v>
      </c>
      <c r="E526" s="1" t="n">
        <v>46277</v>
      </c>
      <c r="F526" t="inlineStr">
        <is>
          <t>DALARNAS LÄN</t>
        </is>
      </c>
      <c r="G526" t="inlineStr">
        <is>
          <t>LUDVIKA</t>
        </is>
      </c>
      <c r="I526" t="n">
        <v>8.6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923-2024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45301</v>
      </c>
      <c r="E527" s="1" t="n">
        <v>46277</v>
      </c>
      <c r="F527" t="inlineStr">
        <is>
          <t>DALARNAS LÄN</t>
        </is>
      </c>
      <c r="G527" t="inlineStr">
        <is>
          <t>LUDVIKA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20427-2025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46277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53620-2022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44879</v>
      </c>
      <c r="E529" s="1" t="n">
        <v>46277</v>
      </c>
      <c r="F529" t="inlineStr">
        <is>
          <t>DALARNAS LÄN</t>
        </is>
      </c>
      <c r="G529" t="inlineStr">
        <is>
          <t>LUDVIKA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46277</v>
      </c>
      <c r="F530" t="inlineStr">
        <is>
          <t>DALARNAS LÄN</t>
        </is>
      </c>
      <c r="G530" t="inlineStr">
        <is>
          <t>LUDVIKA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46160</v>
      </c>
      <c r="E531" s="1" t="n">
        <v>46277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46277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46277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46160</v>
      </c>
      <c r="E534" s="1" t="n">
        <v>46277</v>
      </c>
      <c r="F534" t="inlineStr">
        <is>
          <t>DALARNAS LÄN</t>
        </is>
      </c>
      <c r="G534" t="inlineStr">
        <is>
          <t>LUDVIKA</t>
        </is>
      </c>
      <c r="H534" t="inlineStr">
        <is>
          <t>Naturvårdsverket</t>
        </is>
      </c>
      <c r="I534" t="n">
        <v>9.9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7238-2023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44970</v>
      </c>
      <c r="E535" s="1" t="n">
        <v>46277</v>
      </c>
      <c r="F535" t="inlineStr">
        <is>
          <t>DALARNAS LÄN</t>
        </is>
      </c>
      <c r="G535" t="inlineStr">
        <is>
          <t>LUDVIKA</t>
        </is>
      </c>
      <c r="H535" t="inlineStr">
        <is>
          <t>Övriga Aktiebolag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46160</v>
      </c>
      <c r="E536" s="1" t="n">
        <v>46277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46277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73703-2021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44552</v>
      </c>
      <c r="E538" s="1" t="n">
        <v>46277</v>
      </c>
      <c r="F538" t="inlineStr">
        <is>
          <t>DALARNAS LÄN</t>
        </is>
      </c>
      <c r="G538" t="inlineStr">
        <is>
          <t>LUDVIKA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28714-2026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46277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46277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46277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46277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25299-2022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44730</v>
      </c>
      <c r="E543" s="1" t="n">
        <v>46277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44599</v>
      </c>
      <c r="E544" s="1" t="n">
        <v>46277</v>
      </c>
      <c r="F544" t="inlineStr">
        <is>
          <t>DALARNAS LÄN</t>
        </is>
      </c>
      <c r="G544" t="inlineStr">
        <is>
          <t>LUDVIKA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46241</v>
      </c>
      <c r="E545" s="1" t="n">
        <v>46277</v>
      </c>
      <c r="F545" t="inlineStr">
        <is>
          <t>DALARNAS LÄN</t>
        </is>
      </c>
      <c r="G545" t="inlineStr">
        <is>
          <t>LUDVIKA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32752-2026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46277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44859</v>
      </c>
      <c r="E547" s="1" t="n">
        <v>46277</v>
      </c>
      <c r="F547" t="inlineStr">
        <is>
          <t>DALARNAS LÄN</t>
        </is>
      </c>
      <c r="G547" t="inlineStr">
        <is>
          <t>LUDVIKA</t>
        </is>
      </c>
      <c r="H547" t="inlineStr">
        <is>
          <t>Naturvårdsverket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24693-2026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46171</v>
      </c>
      <c r="E548" s="1" t="n">
        <v>46277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10.4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44960</v>
      </c>
      <c r="E549" s="1" t="n">
        <v>46277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46277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46074-2023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45196</v>
      </c>
      <c r="E551" s="1" t="n">
        <v>46277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45205</v>
      </c>
      <c r="E552" s="1" t="n">
        <v>46277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27608-2026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46277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46205</v>
      </c>
      <c r="E554" s="1" t="n">
        <v>46277</v>
      </c>
      <c r="F554" t="inlineStr">
        <is>
          <t>DALARNAS LÄN</t>
        </is>
      </c>
      <c r="G554" t="inlineStr">
        <is>
          <t>LUDVIKA</t>
        </is>
      </c>
      <c r="H554" t="inlineStr">
        <is>
          <t>Naturvårdsverket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46247</v>
      </c>
      <c r="E555" s="1" t="n">
        <v>46277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49035-2024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45594</v>
      </c>
      <c r="E557" s="1" t="n">
        <v>46277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45594</v>
      </c>
      <c r="E558" s="1" t="n">
        <v>46277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45043</v>
      </c>
      <c r="E559" s="1" t="n">
        <v>46277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46247</v>
      </c>
      <c r="E560" s="1" t="n">
        <v>46277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46277</v>
      </c>
      <c r="F561" t="inlineStr">
        <is>
          <t>DALARNAS LÄN</t>
        </is>
      </c>
      <c r="G561" t="inlineStr">
        <is>
          <t>LUDVIKA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46248</v>
      </c>
      <c r="E562" s="1" t="n">
        <v>46277</v>
      </c>
      <c r="F562" t="inlineStr">
        <is>
          <t>DALARNAS LÄN</t>
        </is>
      </c>
      <c r="G562" t="inlineStr">
        <is>
          <t>LUDVIKA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59050-2022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44903</v>
      </c>
      <c r="E563" s="1" t="n">
        <v>46277</v>
      </c>
      <c r="F563" t="inlineStr">
        <is>
          <t>DALARNAS LÄN</t>
        </is>
      </c>
      <c r="G563" t="inlineStr">
        <is>
          <t>LUDVIKA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46142</v>
      </c>
      <c r="E564" s="1" t="n">
        <v>46277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44970</v>
      </c>
      <c r="E565" s="1" t="n">
        <v>46277</v>
      </c>
      <c r="F565" t="inlineStr">
        <is>
          <t>DALARNAS LÄN</t>
        </is>
      </c>
      <c r="G565" t="inlineStr">
        <is>
          <t>LUDVIKA</t>
        </is>
      </c>
      <c r="H565" t="inlineStr">
        <is>
          <t>Övriga Aktiebolag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46277</v>
      </c>
      <c r="F566" t="inlineStr">
        <is>
          <t>DALARNAS LÄN</t>
        </is>
      </c>
      <c r="G566" t="inlineStr">
        <is>
          <t>LUDVIKA</t>
        </is>
      </c>
      <c r="H566" t="inlineStr">
        <is>
          <t>Kommuner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46277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46277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38170-2023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45161</v>
      </c>
      <c r="E569" s="1" t="n">
        <v>46277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42128-2024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45562</v>
      </c>
      <c r="E570" s="1" t="n">
        <v>46277</v>
      </c>
      <c r="F570" t="inlineStr">
        <is>
          <t>DALARNAS LÄN</t>
        </is>
      </c>
      <c r="G570" t="inlineStr">
        <is>
          <t>LUDVIKA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56346-2022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44890</v>
      </c>
      <c r="E571" s="1" t="n">
        <v>46277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28062-2026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46195</v>
      </c>
      <c r="E572" s="1" t="n">
        <v>46277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46277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11237-2024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45371</v>
      </c>
      <c r="E574" s="1" t="n">
        <v>46277</v>
      </c>
      <c r="F574" t="inlineStr">
        <is>
          <t>DALARNAS LÄN</t>
        </is>
      </c>
      <c r="G574" t="inlineStr">
        <is>
          <t>LUDVIKA</t>
        </is>
      </c>
      <c r="I574" t="n">
        <v>20.8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56672-2023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45243</v>
      </c>
      <c r="E575" s="1" t="n">
        <v>46277</v>
      </c>
      <c r="F575" t="inlineStr">
        <is>
          <t>DALARNAS LÄN</t>
        </is>
      </c>
      <c r="G575" t="inlineStr">
        <is>
          <t>LUDVIKA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34558-2026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46277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45373</v>
      </c>
      <c r="E577" s="1" t="n">
        <v>46277</v>
      </c>
      <c r="F577" t="inlineStr">
        <is>
          <t>DALARNAS LÄN</t>
        </is>
      </c>
      <c r="G577" t="inlineStr">
        <is>
          <t>LUDVIKA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46277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46277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57969-2024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45631</v>
      </c>
      <c r="E580" s="1" t="n">
        <v>46277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41668-2023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45176</v>
      </c>
      <c r="E581" s="1" t="n">
        <v>46277</v>
      </c>
      <c r="F581" t="inlineStr">
        <is>
          <t>DALARNAS LÄN</t>
        </is>
      </c>
      <c r="G581" t="inlineStr">
        <is>
          <t>LUDVIKA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34632-2026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46255</v>
      </c>
      <c r="E582" s="1" t="n">
        <v>46277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46277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20411-2023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45056</v>
      </c>
      <c r="E584" s="1" t="n">
        <v>46277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34638-2026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46277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39400-2023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45166</v>
      </c>
      <c r="E586" s="1" t="n">
        <v>46277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46277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28838-2026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46277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46277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28132-2026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46277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22276-2026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46154</v>
      </c>
      <c r="E591" s="1" t="n">
        <v>46277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46277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35101-2026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46260</v>
      </c>
      <c r="E593" s="1" t="n">
        <v>46277</v>
      </c>
      <c r="F593" t="inlineStr">
        <is>
          <t>DALARNAS LÄN</t>
        </is>
      </c>
      <c r="G593" t="inlineStr">
        <is>
          <t>LUDVIKA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46277</v>
      </c>
      <c r="F594" t="inlineStr">
        <is>
          <t>DALARNAS LÄN</t>
        </is>
      </c>
      <c r="G594" t="inlineStr">
        <is>
          <t>LUDVIKA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46277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27989-2026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46277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46277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46277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45110</v>
      </c>
      <c r="E599" s="1" t="n">
        <v>46277</v>
      </c>
      <c r="F599" t="inlineStr">
        <is>
          <t>DALARNAS LÄN</t>
        </is>
      </c>
      <c r="G599" t="inlineStr">
        <is>
          <t>LUDVIKA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46260</v>
      </c>
      <c r="E600" s="1" t="n">
        <v>46277</v>
      </c>
      <c r="F600" t="inlineStr">
        <is>
          <t>DALARNAS LÄN</t>
        </is>
      </c>
      <c r="G600" t="inlineStr">
        <is>
          <t>LUDVIKA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46277</v>
      </c>
      <c r="F601" t="inlineStr">
        <is>
          <t>DALARNAS LÄN</t>
        </is>
      </c>
      <c r="G601" t="inlineStr">
        <is>
          <t>LUDVIKA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46277</v>
      </c>
      <c r="F602" t="inlineStr">
        <is>
          <t>DALARNAS LÄN</t>
        </is>
      </c>
      <c r="G602" t="inlineStr">
        <is>
          <t>LUDVIKA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46277</v>
      </c>
      <c r="F603" t="inlineStr">
        <is>
          <t>DALARNAS LÄN</t>
        </is>
      </c>
      <c r="G603" t="inlineStr">
        <is>
          <t>LUDVIKA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46277</v>
      </c>
      <c r="F604" t="inlineStr">
        <is>
          <t>DALARNAS LÄN</t>
        </is>
      </c>
      <c r="G604" t="inlineStr">
        <is>
          <t>LUDVIKA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39519-2024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45551</v>
      </c>
      <c r="E605" s="1" t="n">
        <v>46277</v>
      </c>
      <c r="F605" t="inlineStr">
        <is>
          <t>DALARNAS LÄN</t>
        </is>
      </c>
      <c r="G605" t="inlineStr">
        <is>
          <t>LUDVIKA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46277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46277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46258</v>
      </c>
      <c r="E608" s="1" t="n">
        <v>46277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46277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46277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46277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6975-2023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44967</v>
      </c>
      <c r="E612" s="1" t="n">
        <v>46277</v>
      </c>
      <c r="F612" t="inlineStr">
        <is>
          <t>DALARNAS LÄN</t>
        </is>
      </c>
      <c r="G612" t="inlineStr">
        <is>
          <t>LUDVIKA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4173-2025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46277</v>
      </c>
      <c r="F613" t="inlineStr">
        <is>
          <t>DALARNAS LÄN</t>
        </is>
      </c>
      <c r="G613" t="inlineStr">
        <is>
          <t>LUDVIKA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46277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46277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46217</v>
      </c>
      <c r="E616" s="1" t="n">
        <v>46277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40125-2024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45554</v>
      </c>
      <c r="E617" s="1" t="n">
        <v>46277</v>
      </c>
      <c r="F617" t="inlineStr">
        <is>
          <t>DALARNAS LÄN</t>
        </is>
      </c>
      <c r="G617" t="inlineStr">
        <is>
          <t>LUDVIKA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31299-2026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46218</v>
      </c>
      <c r="E618" s="1" t="n">
        <v>46277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46219</v>
      </c>
      <c r="E619" s="1" t="n">
        <v>46277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45520</v>
      </c>
      <c r="E620" s="1" t="n">
        <v>46277</v>
      </c>
      <c r="F620" t="inlineStr">
        <is>
          <t>DALARNAS LÄN</t>
        </is>
      </c>
      <c r="G620" t="inlineStr">
        <is>
          <t>LUDVIKA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29114-2024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45481</v>
      </c>
      <c r="E621" s="1" t="n">
        <v>46277</v>
      </c>
      <c r="F621" t="inlineStr">
        <is>
          <t>DALARNAS LÄN</t>
        </is>
      </c>
      <c r="G621" t="inlineStr">
        <is>
          <t>LUDVIKA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45297</v>
      </c>
      <c r="E622" s="1" t="n">
        <v>46277</v>
      </c>
      <c r="F622" t="inlineStr">
        <is>
          <t>DALARNAS LÄN</t>
        </is>
      </c>
      <c r="G622" t="inlineStr">
        <is>
          <t>LUDVIKA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35490-2026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46262</v>
      </c>
      <c r="E623" s="1" t="n">
        <v>46277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19.9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51015-2023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45218</v>
      </c>
      <c r="E624" s="1" t="n">
        <v>46277</v>
      </c>
      <c r="F624" t="inlineStr">
        <is>
          <t>DALARNAS LÄN</t>
        </is>
      </c>
      <c r="G624" t="inlineStr">
        <is>
          <t>LUDVIKA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35652-2026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46265</v>
      </c>
      <c r="E625" s="1" t="n">
        <v>46277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46277</v>
      </c>
      <c r="F626" t="inlineStr">
        <is>
          <t>DALARNAS LÄN</t>
        </is>
      </c>
      <c r="G626" t="inlineStr">
        <is>
          <t>LUDVIKA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46265</v>
      </c>
      <c r="E627" s="1" t="n">
        <v>46277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35837-2026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46265</v>
      </c>
      <c r="E628" s="1" t="n">
        <v>46277</v>
      </c>
      <c r="F628" t="inlineStr">
        <is>
          <t>DALARNAS LÄN</t>
        </is>
      </c>
      <c r="G628" t="inlineStr">
        <is>
          <t>LUDVIKA</t>
        </is>
      </c>
      <c r="H628" t="inlineStr">
        <is>
          <t>Kyrkan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46220</v>
      </c>
      <c r="E629" s="1" t="n">
        <v>46277</v>
      </c>
      <c r="F629" t="inlineStr">
        <is>
          <t>DALARNAS LÄN</t>
        </is>
      </c>
      <c r="G629" t="inlineStr">
        <is>
          <t>LUDVIKA</t>
        </is>
      </c>
      <c r="H629" t="inlineStr">
        <is>
          <t>Naturvårdsverket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53048-2024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45611</v>
      </c>
      <c r="E630" s="1" t="n">
        <v>46277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50777-2024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45602</v>
      </c>
      <c r="E631" s="1" t="n">
        <v>46277</v>
      </c>
      <c r="F631" t="inlineStr">
        <is>
          <t>DALARNAS LÄN</t>
        </is>
      </c>
      <c r="G631" t="inlineStr">
        <is>
          <t>LUDVIKA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46277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46267</v>
      </c>
      <c r="E633" s="1" t="n">
        <v>46277</v>
      </c>
      <c r="F633" t="inlineStr">
        <is>
          <t>DALARNAS LÄN</t>
        </is>
      </c>
      <c r="G633" t="inlineStr">
        <is>
          <t>LUDVIKA</t>
        </is>
      </c>
      <c r="I633" t="n">
        <v>8.5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28507-2023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46277</v>
      </c>
      <c r="F634" t="inlineStr">
        <is>
          <t>DALARNAS LÄN</t>
        </is>
      </c>
      <c r="G634" t="inlineStr">
        <is>
          <t>LUDVIKA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3470-2025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45680</v>
      </c>
      <c r="E635" s="1" t="n">
        <v>46277</v>
      </c>
      <c r="F635" t="inlineStr">
        <is>
          <t>DALARNAS LÄN</t>
        </is>
      </c>
      <c r="G635" t="inlineStr">
        <is>
          <t>LUDVIKA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45544-2024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46277</v>
      </c>
      <c r="F636" t="inlineStr">
        <is>
          <t>DALARNAS LÄN</t>
        </is>
      </c>
      <c r="G636" t="inlineStr">
        <is>
          <t>LUDVIKA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45547-2024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46277</v>
      </c>
      <c r="F637" t="inlineStr">
        <is>
          <t>DALARNAS LÄN</t>
        </is>
      </c>
      <c r="G637" t="inlineStr">
        <is>
          <t>LUDVIKA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56996-2021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44482</v>
      </c>
      <c r="E638" s="1" t="n">
        <v>46277</v>
      </c>
      <c r="F638" t="inlineStr">
        <is>
          <t>DALARNAS LÄN</t>
        </is>
      </c>
      <c r="G638" t="inlineStr">
        <is>
          <t>LUDVIKA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46277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46277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46277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37052-2026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46277</v>
      </c>
      <c r="F642" t="inlineStr">
        <is>
          <t>DALARNAS LÄN</t>
        </is>
      </c>
      <c r="G642" t="inlineStr">
        <is>
          <t>LUDVIKA</t>
        </is>
      </c>
      <c r="I642" t="n">
        <v>8.5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46230</v>
      </c>
      <c r="E643" s="1" t="n">
        <v>46277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37015-2026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46273</v>
      </c>
      <c r="E644" s="1" t="n">
        <v>46277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46277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46277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3277-2024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45317</v>
      </c>
      <c r="E647" s="1" t="n">
        <v>46277</v>
      </c>
      <c r="F647" t="inlineStr">
        <is>
          <t>DALARNAS LÄN</t>
        </is>
      </c>
      <c r="G647" t="inlineStr">
        <is>
          <t>LUDVIKA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12497-2024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45379</v>
      </c>
      <c r="E648" s="1" t="n">
        <v>46277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36126-2026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46267</v>
      </c>
      <c r="E649" s="1" t="n">
        <v>46277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46267</v>
      </c>
      <c r="E650" s="1" t="n">
        <v>46277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46275</v>
      </c>
      <c r="E651" s="1" t="n">
        <v>46277</v>
      </c>
      <c r="F651" t="inlineStr">
        <is>
          <t>DALARNAS LÄN</t>
        </is>
      </c>
      <c r="G651" t="inlineStr">
        <is>
          <t>LUDVIKA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46277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49805-2023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45212</v>
      </c>
      <c r="E653" s="1" t="n">
        <v>46277</v>
      </c>
      <c r="F653" t="inlineStr">
        <is>
          <t>DALARNAS LÄN</t>
        </is>
      </c>
      <c r="G653" t="inlineStr">
        <is>
          <t>LUDVIKA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46275</v>
      </c>
      <c r="E654" s="1" t="n">
        <v>46277</v>
      </c>
      <c r="F654" t="inlineStr">
        <is>
          <t>DALARNAS LÄN</t>
        </is>
      </c>
      <c r="G654" t="inlineStr">
        <is>
          <t>LUDVIKA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46276</v>
      </c>
      <c r="E655" s="1" t="n">
        <v>46277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45646</v>
      </c>
      <c r="E656" s="1" t="n">
        <v>46277</v>
      </c>
      <c r="F656" t="inlineStr">
        <is>
          <t>DALARNAS LÄN</t>
        </is>
      </c>
      <c r="G656" t="inlineStr">
        <is>
          <t>LUDVIKA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3280-2024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45317</v>
      </c>
      <c r="E657" s="1" t="n">
        <v>46277</v>
      </c>
      <c r="F657" t="inlineStr">
        <is>
          <t>DALARNAS LÄN</t>
        </is>
      </c>
      <c r="G657" t="inlineStr">
        <is>
          <t>LUDVIKA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29780-2024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45485</v>
      </c>
      <c r="E658" s="1" t="n">
        <v>46277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14881-2025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46277</v>
      </c>
      <c r="F659" t="inlineStr">
        <is>
          <t>DALARNAS LÄN</t>
        </is>
      </c>
      <c r="G659" t="inlineStr">
        <is>
          <t>LUDVIKA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46277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45784</v>
      </c>
      <c r="E661" s="1" t="n">
        <v>46277</v>
      </c>
      <c r="F661" t="inlineStr">
        <is>
          <t>DALARNAS LÄN</t>
        </is>
      </c>
      <c r="G661" t="inlineStr">
        <is>
          <t>LUDVIKA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45545</v>
      </c>
      <c r="E662" s="1" t="n">
        <v>46277</v>
      </c>
      <c r="F662" t="inlineStr">
        <is>
          <t>DALARNAS LÄN</t>
        </is>
      </c>
      <c r="G662" t="inlineStr">
        <is>
          <t>LUDVIKA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42421-2024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45565</v>
      </c>
      <c r="E663" s="1" t="n">
        <v>46277</v>
      </c>
      <c r="F663" t="inlineStr">
        <is>
          <t>DALARNAS LÄN</t>
        </is>
      </c>
      <c r="G663" t="inlineStr">
        <is>
          <t>LUDVIKA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45460</v>
      </c>
      <c r="E664" s="1" t="n">
        <v>46277</v>
      </c>
      <c r="F664" t="inlineStr">
        <is>
          <t>DALARNAS LÄN</t>
        </is>
      </c>
      <c r="G664" t="inlineStr">
        <is>
          <t>LUDVIKA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53602-2023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45230</v>
      </c>
      <c r="E665" s="1" t="n">
        <v>46277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52359-2024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45609</v>
      </c>
      <c r="E667" s="1" t="n">
        <v>46277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45581</v>
      </c>
      <c r="E668" s="1" t="n">
        <v>46277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33914-2023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45134</v>
      </c>
      <c r="E669" s="1" t="n">
        <v>46277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46277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46277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50240-2024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45600</v>
      </c>
      <c r="E672" s="1" t="n">
        <v>46277</v>
      </c>
      <c r="F672" t="inlineStr">
        <is>
          <t>DALARNAS LÄN</t>
        </is>
      </c>
      <c r="G672" t="inlineStr">
        <is>
          <t>LUDVIKA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36066-2024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45533</v>
      </c>
      <c r="E673" s="1" t="n">
        <v>46277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46277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22599-2025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45789</v>
      </c>
      <c r="E675" s="1" t="n">
        <v>46277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22594-2025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45789</v>
      </c>
      <c r="E676" s="1" t="n">
        <v>46277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45586</v>
      </c>
      <c r="E677" s="1" t="n">
        <v>46277</v>
      </c>
      <c r="F677" t="inlineStr">
        <is>
          <t>DALARNAS LÄN</t>
        </is>
      </c>
      <c r="G677" t="inlineStr">
        <is>
          <t>LUDVIKA</t>
        </is>
      </c>
      <c r="I677" t="n">
        <v>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46107-2024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45581</v>
      </c>
      <c r="E678" s="1" t="n">
        <v>46277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46277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46277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45786</v>
      </c>
      <c r="E681" s="1" t="n">
        <v>46277</v>
      </c>
      <c r="F681" t="inlineStr">
        <is>
          <t>DALARNAS LÄN</t>
        </is>
      </c>
      <c r="G681" t="inlineStr">
        <is>
          <t>LUDVIKA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45524</v>
      </c>
      <c r="E682" s="1" t="n">
        <v>46277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46277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45453</v>
      </c>
      <c r="E684" s="1" t="n">
        <v>46277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46277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24027-2025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45796</v>
      </c>
      <c r="E686" s="1" t="n">
        <v>46277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61278-2022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44915</v>
      </c>
      <c r="E687" s="1" t="n">
        <v>46277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30977-2024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45499</v>
      </c>
      <c r="E688" s="1" t="n">
        <v>46277</v>
      </c>
      <c r="F688" t="inlineStr">
        <is>
          <t>DALARNAS LÄN</t>
        </is>
      </c>
      <c r="G688" t="inlineStr">
        <is>
          <t>LUDVIKA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46277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46277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23137-2025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45791</v>
      </c>
      <c r="E691" s="1" t="n">
        <v>46277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46277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19677-2025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46277</v>
      </c>
      <c r="F693" t="inlineStr">
        <is>
          <t>DALARNAS LÄN</t>
        </is>
      </c>
      <c r="G693" t="inlineStr">
        <is>
          <t>LUDVIKA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25235-2025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45800</v>
      </c>
      <c r="E694" s="1" t="n">
        <v>46277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25004-2025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45799</v>
      </c>
      <c r="E695" s="1" t="n">
        <v>46277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25113-2025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45800</v>
      </c>
      <c r="E696" s="1" t="n">
        <v>46277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45805</v>
      </c>
      <c r="E697" s="1" t="n">
        <v>46277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26698-2025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45810</v>
      </c>
      <c r="E698" s="1" t="n">
        <v>46277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26628-2025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45810</v>
      </c>
      <c r="E699" s="1" t="n">
        <v>46277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26794-2025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45810</v>
      </c>
      <c r="E700" s="1" t="n">
        <v>46277</v>
      </c>
      <c r="F700" t="inlineStr">
        <is>
          <t>DALARNAS LÄN</t>
        </is>
      </c>
      <c r="G700" t="inlineStr">
        <is>
          <t>LUDVIKA</t>
        </is>
      </c>
      <c r="H700" t="inlineStr">
        <is>
          <t>Kommuner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45569</v>
      </c>
      <c r="E701" s="1" t="n">
        <v>46277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45813</v>
      </c>
      <c r="E702" s="1" t="n">
        <v>46277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27532-2025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45813</v>
      </c>
      <c r="E703" s="1" t="n">
        <v>46277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45813</v>
      </c>
      <c r="E704" s="1" t="n">
        <v>46277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27448-2025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45813</v>
      </c>
      <c r="E705" s="1" t="n">
        <v>46277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2837-2023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45167</v>
      </c>
      <c r="E706" s="1" t="n">
        <v>46277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1122-2023</t>
        </is>
      </c>
      <c r="B707" t="inlineStr">
        <is>
          <t>samrådsanmälan</t>
        </is>
      </c>
      <c r="C707" t="inlineStr">
        <is>
          <t>Skogsgödsling</t>
        </is>
      </c>
      <c r="D707" s="1" t="n">
        <v>45015</v>
      </c>
      <c r="E707" s="1" t="n">
        <v>46277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115.7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3660-2023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45216</v>
      </c>
      <c r="E708" s="1" t="n">
        <v>46277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1246-2024</t>
        </is>
      </c>
      <c r="B709" t="inlineStr">
        <is>
          <t>samrådsanmälan</t>
        </is>
      </c>
      <c r="C709" t="inlineStr">
        <is>
          <t>Skogsgödsling</t>
        </is>
      </c>
      <c r="D709" s="1" t="n">
        <v>45400</v>
      </c>
      <c r="E709" s="1" t="n">
        <v>46277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1096-2024</t>
        </is>
      </c>
      <c r="B710" t="inlineStr">
        <is>
          <t>samrådsanmälan</t>
        </is>
      </c>
      <c r="C710" t="inlineStr">
        <is>
          <t>Skogsgödsling</t>
        </is>
      </c>
      <c r="D710" s="1" t="n">
        <v>45391</v>
      </c>
      <c r="E710" s="1" t="n">
        <v>46277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4863-2022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44805</v>
      </c>
      <c r="E711" s="1" t="n">
        <v>46277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1113-2023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46277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>
      <c r="A713" t="inlineStr">
        <is>
          <t>S 1815-2026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46190</v>
      </c>
      <c r="E713" s="1" t="n">
        <v>46277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2026-09-12T02:09:45Z</dcterms:created>
  <dcterms:modified xmlns:dcterms="http://purl.org/dc/terms/" xmlns:xsi="http://www.w3.org/2001/XMLSchema-instance" xsi:type="dcterms:W3CDTF">2026-09-12T02:09:45Z</dcterms:modified>
</cp:coreProperties>
</file>
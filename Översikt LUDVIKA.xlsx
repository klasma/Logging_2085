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46255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46255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46255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46255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46255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46255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46255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46255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46255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t="n">
        <v>14</v>
      </c>
      <c r="V20" s="2" t="inlineStr">
        <is>
          <t>Tornseglare
Entita
Fjällig taggsvamp s.str.
Grönsångare
Nordfladdermus
Talltita
Tjäder
Vattenfladdermus</t>
        </is>
      </c>
      <c r="W20">
        <f>HYPERLINK("https://klasma.github.io/Logging_2085/artfynd/A 23658-2025 artfynd.xlsx", "A 23658-2025")</f>
        <v/>
      </c>
      <c r="X20">
        <f>HYPERLINK("https://klasma.github.io/Logging_2085/kartor/A 23658-2025 karta.png", "A 23658-2025")</f>
        <v/>
      </c>
      <c r="Y20">
        <f>HYPERLINK("https://klasma.github.io/Logging_2085/kartor_geotiff/A 23658-2025 georefererad karta.tif", "A 23658-2025")</f>
        <v/>
      </c>
      <c r="AA20">
        <f>HYPERLINK("https://klasma.github.io/Logging_2085/klagomål/A 23658-2025 FSC-klagomål.docx", "A 23658-2025")</f>
        <v/>
      </c>
      <c r="AB20">
        <f>HYPERLINK("https://klasma.github.io/Logging_2085/klagomålsmail/A 23658-2025 FSC-klagomål mail.docx", "A 23658-2025")</f>
        <v/>
      </c>
      <c r="AC20">
        <f>HYPERLINK("https://klasma.github.io/Logging_2085/tillsyn/A 23658-2025 tillsynsbegäran.docx", "A 23658-2025")</f>
        <v/>
      </c>
      <c r="AD20">
        <f>HYPERLINK("https://klasma.github.io/Logging_2085/tillsynsmail/A 23658-2025 tillsynsbegäran mail.docx", "A 23658-2025")</f>
        <v/>
      </c>
      <c r="AE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46255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46255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46255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46255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46255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46255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46255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46255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46255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46255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46255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46255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46255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46255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46255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46255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46255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46255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46255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46255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46255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46255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46721-2025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46255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8.800000000000001</v>
      </c>
      <c r="J43" t="n">
        <v>3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4</v>
      </c>
      <c r="V43" s="2" t="inlineStr">
        <is>
          <t>Talltita
Tretåig hackspett
Vedskivlav
Järpe</t>
        </is>
      </c>
      <c r="W43">
        <f>HYPERLINK("https://klasma.github.io/Logging_2085/artfynd/A 46721-2025 artfynd.xlsx", "A 46721-2025")</f>
        <v/>
      </c>
      <c r="X43">
        <f>HYPERLINK("https://klasma.github.io/Logging_2085/kartor/A 46721-2025 karta.png", "A 46721-2025")</f>
        <v/>
      </c>
      <c r="Y43">
        <f>HYPERLINK("https://klasma.github.io/Logging_2085/kartor_geotiff/A 46721-2025 georefererad karta.tif", "A 46721-2025")</f>
        <v/>
      </c>
      <c r="AA43">
        <f>HYPERLINK("https://klasma.github.io/Logging_2085/klagomål/A 46721-2025 FSC-klagomål.docx", "A 46721-2025")</f>
        <v/>
      </c>
      <c r="AB43">
        <f>HYPERLINK("https://klasma.github.io/Logging_2085/klagomålsmail/A 46721-2025 FSC-klagomål mail.docx", "A 46721-2025")</f>
        <v/>
      </c>
      <c r="AC43">
        <f>HYPERLINK("https://klasma.github.io/Logging_2085/tillsyn/A 46721-2025 tillsynsbegäran.docx", "A 46721-2025")</f>
        <v/>
      </c>
      <c r="AD43">
        <f>HYPERLINK("https://klasma.github.io/Logging_2085/tillsynsmail/A 46721-2025 tillsynsbegäran mail.docx", "A 46721-2025")</f>
        <v/>
      </c>
      <c r="AE43">
        <f>HYPERLINK("https://klasma.github.io/Logging_2085/fåglar/A 46721-2025 prioriterade fågelarter.docx", "A 46721-2025")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46255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58513-2025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45985</v>
      </c>
      <c r="E45" s="1" t="n">
        <v>46255</v>
      </c>
      <c r="F45" t="inlineStr">
        <is>
          <t>DALARNAS LÄN</t>
        </is>
      </c>
      <c r="G45" t="inlineStr">
        <is>
          <t>LUDVIKA</t>
        </is>
      </c>
      <c r="H45" t="inlineStr">
        <is>
          <t>Övriga Aktiebolag</t>
        </is>
      </c>
      <c r="I45" t="n">
        <v>7.2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23</v>
      </c>
      <c r="U45" t="n">
        <v>23</v>
      </c>
      <c r="V45" s="2" t="inlineStr">
        <is>
          <t>Garnlav
Tretåig hackspett
Gullgröppa
Spillkråka</t>
        </is>
      </c>
      <c r="W45">
        <f>HYPERLINK("https://klasma.github.io/Logging_2085/artfynd/A 58513-2025 artfynd.xlsx", "A 58513-2025")</f>
        <v/>
      </c>
      <c r="X45">
        <f>HYPERLINK("https://klasma.github.io/Logging_2085/kartor/A 58513-2025 karta.png", "A 58513-2025")</f>
        <v/>
      </c>
      <c r="Y45">
        <f>HYPERLINK("https://klasma.github.io/Logging_2085/kartor_geotiff/A 58513-2025 georefererad karta.tif", "A 58513-2025")</f>
        <v/>
      </c>
      <c r="AA45">
        <f>HYPERLINK("https://klasma.github.io/Logging_2085/klagomål/A 58513-2025 FSC-klagomål.docx", "A 58513-2025")</f>
        <v/>
      </c>
      <c r="AB45">
        <f>HYPERLINK("https://klasma.github.io/Logging_2085/klagomålsmail/A 58513-2025 FSC-klagomål mail.docx", "A 58513-2025")</f>
        <v/>
      </c>
      <c r="AC45">
        <f>HYPERLINK("https://klasma.github.io/Logging_2085/tillsyn/A 58513-2025 tillsynsbegäran.docx", "A 58513-2025")</f>
        <v/>
      </c>
      <c r="AD45">
        <f>HYPERLINK("https://klasma.github.io/Logging_2085/tillsynsmail/A 58513-2025 tillsynsbegäran mail.docx", "A 58513-2025")</f>
        <v/>
      </c>
      <c r="AE45">
        <f>HYPERLINK("https://klasma.github.io/Logging_2085/fåglar/A 58513-2025 prioriterade fågelarter.docx", "A 58513-2025")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46255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46255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46255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46255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46255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46255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46255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46255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74432-2021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44560</v>
      </c>
      <c r="E54" s="1" t="n">
        <v>46255</v>
      </c>
      <c r="F54" t="inlineStr">
        <is>
          <t>DALARNAS LÄN</t>
        </is>
      </c>
      <c r="G54" t="inlineStr">
        <is>
          <t>LUDVIKA</t>
        </is>
      </c>
      <c r="H54" t="inlineStr">
        <is>
          <t>Kommuner</t>
        </is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Spillkråka
Gröngöling
Kungsfågel</t>
        </is>
      </c>
      <c r="W54">
        <f>HYPERLINK("https://klasma.github.io/Logging_2085/artfynd/A 74432-2021 artfynd.xlsx", "A 74432-2021")</f>
        <v/>
      </c>
      <c r="X54">
        <f>HYPERLINK("https://klasma.github.io/Logging_2085/kartor/A 74432-2021 karta.png", "A 74432-2021")</f>
        <v/>
      </c>
      <c r="Y54">
        <f>HYPERLINK("https://klasma.github.io/Logging_2085/kartor_geotiff/A 74432-2021 georefererad karta.tif", "A 74432-2021")</f>
        <v/>
      </c>
      <c r="AA54">
        <f>HYPERLINK("https://klasma.github.io/Logging_2085/klagomål/A 74432-2021 FSC-klagomål.docx", "A 74432-2021")</f>
        <v/>
      </c>
      <c r="AB54">
        <f>HYPERLINK("https://klasma.github.io/Logging_2085/klagomålsmail/A 74432-2021 FSC-klagomål mail.docx", "A 74432-2021")</f>
        <v/>
      </c>
      <c r="AC54">
        <f>HYPERLINK("https://klasma.github.io/Logging_2085/tillsyn/A 74432-2021 tillsynsbegäran.docx", "A 74432-2021")</f>
        <v/>
      </c>
      <c r="AD54">
        <f>HYPERLINK("https://klasma.github.io/Logging_2085/tillsynsmail/A 74432-2021 tillsynsbegäran mail.docx", "A 74432-2021")</f>
        <v/>
      </c>
      <c r="AE54">
        <f>HYPERLINK("https://klasma.github.io/Logging_2085/fåglar/A 74432-2021 prioriterade fågelarter.docx", "A 74432-2021")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46255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29144-2023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46255</v>
      </c>
      <c r="F56" t="inlineStr">
        <is>
          <t>DALARNAS LÄN</t>
        </is>
      </c>
      <c r="G56" t="inlineStr">
        <is>
          <t>LUDVIKA</t>
        </is>
      </c>
      <c r="H56" t="inlineStr">
        <is>
          <t>Allmännings- och besparingsskogar</t>
        </is>
      </c>
      <c r="I56" t="n">
        <v>6.2</v>
      </c>
      <c r="J56" t="n">
        <v>1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14</v>
      </c>
      <c r="U56" t="n">
        <v>0</v>
      </c>
      <c r="V56" s="2" t="inlineStr">
        <is>
          <t>Garnlav
Knärot
Brunklöver</t>
        </is>
      </c>
      <c r="W56">
        <f>HYPERLINK("https://klasma.github.io/Logging_2085/artfynd/A 29144-2023 artfynd.xlsx", "A 29144-2023")</f>
        <v/>
      </c>
      <c r="X56">
        <f>HYPERLINK("https://klasma.github.io/Logging_2085/kartor/A 29144-2023 karta.png", "A 29144-2023")</f>
        <v/>
      </c>
      <c r="Y56">
        <f>HYPERLINK("https://klasma.github.io/Logging_2085/kartor_geotiff/A 29144-2023 georefererad karta.tif", "A 29144-2023")</f>
        <v/>
      </c>
      <c r="Z56">
        <f>HYPERLINK("https://klasma.github.io/Logging_2085/knärot/A 29144-2023 karta knärot.png", "A 29144-2023")</f>
        <v/>
      </c>
      <c r="AA56">
        <f>HYPERLINK("https://klasma.github.io/Logging_2085/klagomål/A 29144-2023 FSC-klagomål.docx", "A 29144-2023")</f>
        <v/>
      </c>
      <c r="AB56">
        <f>HYPERLINK("https://klasma.github.io/Logging_2085/klagomålsmail/A 29144-2023 FSC-klagomål mail.docx", "A 29144-2023")</f>
        <v/>
      </c>
      <c r="AC56">
        <f>HYPERLINK("https://klasma.github.io/Logging_2085/tillsyn/A 29144-2023 tillsynsbegäran.docx", "A 29144-2023")</f>
        <v/>
      </c>
      <c r="AD56">
        <f>HYPERLINK("https://klasma.github.io/Logging_2085/tillsynsmail/A 29144-2023 tillsynsbegäran mail.docx", "A 29144-2023")</f>
        <v/>
      </c>
    </row>
    <row r="57" ht="15" customHeight="1">
      <c r="A57" t="inlineStr">
        <is>
          <t>A 24425-2026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46168</v>
      </c>
      <c r="E57" s="1" t="n">
        <v>46255</v>
      </c>
      <c r="F57" t="inlineStr">
        <is>
          <t>DALARNAS LÄN</t>
        </is>
      </c>
      <c r="G57" t="inlineStr">
        <is>
          <t>LUDVIKA</t>
        </is>
      </c>
      <c r="H57" t="inlineStr">
        <is>
          <t>Övriga Aktiebolag</t>
        </is>
      </c>
      <c r="I57" t="n">
        <v>5.6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6</v>
      </c>
      <c r="U57" t="n">
        <v>0</v>
      </c>
      <c r="V57" s="2" t="inlineStr">
        <is>
          <t>Tretåig hackspett
Spillkråka
Sälg</t>
        </is>
      </c>
      <c r="W57">
        <f>HYPERLINK("https://klasma.github.io/Logging_2085/artfynd/A 24425-2026 artfynd.xlsx", "A 24425-2026")</f>
        <v/>
      </c>
      <c r="X57">
        <f>HYPERLINK("https://klasma.github.io/Logging_2085/kartor/A 24425-2026 karta.png", "A 24425-2026")</f>
        <v/>
      </c>
      <c r="Y57">
        <f>HYPERLINK("https://klasma.github.io/Logging_2085/kartor_geotiff/A 24425-2026 georefererad karta.tif", "A 24425-2026")</f>
        <v/>
      </c>
      <c r="AA57">
        <f>HYPERLINK("https://klasma.github.io/Logging_2085/klagomål/A 24425-2026 FSC-klagomål.docx", "A 24425-2026")</f>
        <v/>
      </c>
      <c r="AB57">
        <f>HYPERLINK("https://klasma.github.io/Logging_2085/klagomålsmail/A 24425-2026 FSC-klagomål mail.docx", "A 24425-2026")</f>
        <v/>
      </c>
      <c r="AC57">
        <f>HYPERLINK("https://klasma.github.io/Logging_2085/tillsyn/A 24425-2026 tillsynsbegäran.docx", "A 24425-2026")</f>
        <v/>
      </c>
      <c r="AD57">
        <f>HYPERLINK("https://klasma.github.io/Logging_2085/tillsynsmail/A 24425-2026 tillsynsbegäran mail.docx", "A 24425-2026")</f>
        <v/>
      </c>
      <c r="AE57">
        <f>HYPERLINK("https://klasma.github.io/Logging_2085/fåglar/A 24425-2026 prioriterade fågelarter.docx", "A 24425-2026")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46255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43226-2025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45910</v>
      </c>
      <c r="E59" s="1" t="n">
        <v>46255</v>
      </c>
      <c r="F59" t="inlineStr">
        <is>
          <t>DALARNAS LÄN</t>
        </is>
      </c>
      <c r="G59" t="inlineStr">
        <is>
          <t>LUDVIKA</t>
        </is>
      </c>
      <c r="I59" t="n">
        <v>1.1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4</v>
      </c>
      <c r="V59" s="2" t="inlineStr">
        <is>
          <t>Tretåig hackspett
Rävticka
Rödgul trumpetsvamp</t>
        </is>
      </c>
      <c r="W59">
        <f>HYPERLINK("https://klasma.github.io/Logging_2085/artfynd/A 43226-2025 artfynd.xlsx", "A 43226-2025")</f>
        <v/>
      </c>
      <c r="X59">
        <f>HYPERLINK("https://klasma.github.io/Logging_2085/kartor/A 43226-2025 karta.png", "A 43226-2025")</f>
        <v/>
      </c>
      <c r="Y59">
        <f>HYPERLINK("https://klasma.github.io/Logging_2085/kartor_geotiff/A 43226-2025 georefererad karta.tif", "A 43226-2025")</f>
        <v/>
      </c>
      <c r="AA59">
        <f>HYPERLINK("https://klasma.github.io/Logging_2085/klagomål/A 43226-2025 FSC-klagomål.docx", "A 43226-2025")</f>
        <v/>
      </c>
      <c r="AB59">
        <f>HYPERLINK("https://klasma.github.io/Logging_2085/klagomålsmail/A 43226-2025 FSC-klagomål mail.docx", "A 43226-2025")</f>
        <v/>
      </c>
      <c r="AC59">
        <f>HYPERLINK("https://klasma.github.io/Logging_2085/tillsyn/A 43226-2025 tillsynsbegäran.docx", "A 43226-2025")</f>
        <v/>
      </c>
      <c r="AD59">
        <f>HYPERLINK("https://klasma.github.io/Logging_2085/tillsynsmail/A 43226-2025 tillsynsbegäran mail.docx", "A 43226-2025")</f>
        <v/>
      </c>
      <c r="AE59">
        <f>HYPERLINK("https://klasma.github.io/Logging_2085/fåglar/A 43226-2025 prioriterade fågelarter.docx", "A 43226-2025")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46255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Dropptaggsvamp
Motaggsvamp
Orange taggsvamp</t>
        </is>
      </c>
      <c r="W60">
        <f>HYPERLINK("https://klasma.github.io/Logging_2085/artfynd/A 23087-2025 artfynd.xlsx", "A 23087-2025")</f>
        <v/>
      </c>
      <c r="X60">
        <f>HYPERLINK("https://klasma.github.io/Logging_2085/kartor/A 23087-2025 karta.png", "A 23087-2025")</f>
        <v/>
      </c>
      <c r="Y60">
        <f>HYPERLINK("https://klasma.github.io/Logging_2085/kartor_geotiff/A 23087-2025 georefererad karta.tif", "A 23087-2025")</f>
        <v/>
      </c>
      <c r="AA60">
        <f>HYPERLINK("https://klasma.github.io/Logging_2085/klagomål/A 23087-2025 FSC-klagomål.docx", "A 23087-2025")</f>
        <v/>
      </c>
      <c r="AB60">
        <f>HYPERLINK("https://klasma.github.io/Logging_2085/klagomålsmail/A 23087-2025 FSC-klagomål mail.docx", "A 23087-2025")</f>
        <v/>
      </c>
      <c r="AC60">
        <f>HYPERLINK("https://klasma.github.io/Logging_2085/tillsyn/A 23087-2025 tillsynsbegäran.docx", "A 23087-2025")</f>
        <v/>
      </c>
      <c r="AD60">
        <f>HYPERLINK("https://klasma.github.io/Logging_2085/tillsynsmail/A 23087-2025 tillsynsbegäran mail.docx", "A 23087-2025")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46255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21369-2023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45063</v>
      </c>
      <c r="E62" s="1" t="n">
        <v>46255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0.4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Skogsalm
Tibast</t>
        </is>
      </c>
      <c r="W62">
        <f>HYPERLINK("https://klasma.github.io/Logging_2085/artfynd/A 21369-2023 artfynd.xlsx", "A 21369-2023")</f>
        <v/>
      </c>
      <c r="X62">
        <f>HYPERLINK("https://klasma.github.io/Logging_2085/kartor/A 21369-2023 karta.png", "A 21369-2023")</f>
        <v/>
      </c>
      <c r="Y62">
        <f>HYPERLINK("https://klasma.github.io/Logging_2085/kartor_geotiff/A 21369-2023 georefererad karta.tif", "A 21369-2023")</f>
        <v/>
      </c>
      <c r="AA62">
        <f>HYPERLINK("https://klasma.github.io/Logging_2085/klagomål/A 21369-2023 FSC-klagomål.docx", "A 21369-2023")</f>
        <v/>
      </c>
      <c r="AB62">
        <f>HYPERLINK("https://klasma.github.io/Logging_2085/klagomålsmail/A 21369-2023 FSC-klagomål mail.docx", "A 21369-2023")</f>
        <v/>
      </c>
      <c r="AC62">
        <f>HYPERLINK("https://klasma.github.io/Logging_2085/tillsyn/A 21369-2023 tillsynsbegäran.docx", "A 21369-2023")</f>
        <v/>
      </c>
      <c r="AD62">
        <f>HYPERLINK("https://klasma.github.io/Logging_2085/tillsynsmail/A 21369-2023 tillsynsbegäran mail.docx", "A 21369-2023")</f>
        <v/>
      </c>
    </row>
    <row r="63" ht="15" customHeight="1">
      <c r="A63" t="inlineStr">
        <is>
          <t>A 11755-2023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46255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Spillkråka</t>
        </is>
      </c>
      <c r="W63">
        <f>HYPERLINK("https://klasma.github.io/Logging_2085/artfynd/A 11755-2023 artfynd.xlsx", "A 11755-2023")</f>
        <v/>
      </c>
      <c r="X63">
        <f>HYPERLINK("https://klasma.github.io/Logging_2085/kartor/A 11755-2023 karta.png", "A 11755-2023")</f>
        <v/>
      </c>
      <c r="Y63">
        <f>HYPERLINK("https://klasma.github.io/Logging_2085/kartor_geotiff/A 11755-2023 georefererad karta.tif", "A 11755-2023")</f>
        <v/>
      </c>
      <c r="AA63">
        <f>HYPERLINK("https://klasma.github.io/Logging_2085/klagomål/A 11755-2023 FSC-klagomål.docx", "A 11755-2023")</f>
        <v/>
      </c>
      <c r="AB63">
        <f>HYPERLINK("https://klasma.github.io/Logging_2085/klagomålsmail/A 11755-2023 FSC-klagomål mail.docx", "A 11755-2023")</f>
        <v/>
      </c>
      <c r="AC63">
        <f>HYPERLINK("https://klasma.github.io/Logging_2085/tillsyn/A 11755-2023 tillsynsbegäran.docx", "A 11755-2023")</f>
        <v/>
      </c>
      <c r="AD63">
        <f>HYPERLINK("https://klasma.github.io/Logging_2085/tillsynsmail/A 11755-2023 tillsynsbegäran mail.docx", "A 11755-2023")</f>
        <v/>
      </c>
      <c r="AE63">
        <f>HYPERLINK("https://klasma.github.io/Logging_2085/fåglar/A 11755-2023 prioriterade fågelarter.docx", "A 11755-2023")</f>
        <v/>
      </c>
    </row>
    <row r="64" ht="15" customHeight="1">
      <c r="A64" t="inlineStr">
        <is>
          <t>A 45225-2024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45575</v>
      </c>
      <c r="E64" s="1" t="n">
        <v>46255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Kungsfågel
Ärtsångare</t>
        </is>
      </c>
      <c r="W64">
        <f>HYPERLINK("https://klasma.github.io/Logging_2085/artfynd/A 45225-2024 artfynd.xlsx", "A 45225-2024")</f>
        <v/>
      </c>
      <c r="X64">
        <f>HYPERLINK("https://klasma.github.io/Logging_2085/kartor/A 45225-2024 karta.png", "A 45225-2024")</f>
        <v/>
      </c>
      <c r="Y64">
        <f>HYPERLINK("https://klasma.github.io/Logging_2085/kartor_geotiff/A 45225-2024 georefererad karta.tif", "A 45225-2024")</f>
        <v/>
      </c>
      <c r="AA64">
        <f>HYPERLINK("https://klasma.github.io/Logging_2085/klagomål/A 45225-2024 FSC-klagomål.docx", "A 45225-2024")</f>
        <v/>
      </c>
      <c r="AB64">
        <f>HYPERLINK("https://klasma.github.io/Logging_2085/klagomålsmail/A 45225-2024 FSC-klagomål mail.docx", "A 45225-2024")</f>
        <v/>
      </c>
      <c r="AC64">
        <f>HYPERLINK("https://klasma.github.io/Logging_2085/tillsyn/A 45225-2024 tillsynsbegäran.docx", "A 45225-2024")</f>
        <v/>
      </c>
      <c r="AD64">
        <f>HYPERLINK("https://klasma.github.io/Logging_2085/tillsynsmail/A 45225-2024 tillsynsbegäran mail.docx", "A 45225-2024")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46255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t="n">
        <v>0</v>
      </c>
      <c r="V65" s="2" t="inlineStr">
        <is>
          <t>Nordfladdermus
Fläcknycklar</t>
        </is>
      </c>
      <c r="W65">
        <f>HYPERLINK("https://klasma.github.io/Logging_2085/artfynd/A 44262-2025 artfynd.xlsx", "A 44262-2025")</f>
        <v/>
      </c>
      <c r="X65">
        <f>HYPERLINK("https://klasma.github.io/Logging_2085/kartor/A 44262-2025 karta.png", "A 44262-2025")</f>
        <v/>
      </c>
      <c r="Y65">
        <f>HYPERLINK("https://klasma.github.io/Logging_2085/kartor_geotiff/A 44262-2025 georefererad karta.tif", "A 44262-2025")</f>
        <v/>
      </c>
      <c r="AA65">
        <f>HYPERLINK("https://klasma.github.io/Logging_2085/klagomål/A 44262-2025 FSC-klagomål.docx", "A 44262-2025")</f>
        <v/>
      </c>
      <c r="AB65">
        <f>HYPERLINK("https://klasma.github.io/Logging_2085/klagomålsmail/A 44262-2025 FSC-klagomål mail.docx", "A 44262-2025")</f>
        <v/>
      </c>
      <c r="AC65">
        <f>HYPERLINK("https://klasma.github.io/Logging_2085/tillsyn/A 44262-2025 tillsynsbegäran.docx", "A 44262-2025")</f>
        <v/>
      </c>
      <c r="AD65">
        <f>HYPERLINK("https://klasma.github.io/Logging_2085/tillsynsmail/A 44262-2025 tillsynsbegäran mail.docx", "A 44262-2025")</f>
        <v/>
      </c>
    </row>
    <row r="66" ht="15" customHeight="1">
      <c r="A66" t="inlineStr">
        <is>
          <t>A 49767-2025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45940</v>
      </c>
      <c r="E66" s="1" t="n">
        <v>46255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2.5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Garnlav
Tretåig hackspett</t>
        </is>
      </c>
      <c r="W66">
        <f>HYPERLINK("https://klasma.github.io/Logging_2085/artfynd/A 49767-2025 artfynd.xlsx", "A 49767-2025")</f>
        <v/>
      </c>
      <c r="X66">
        <f>HYPERLINK("https://klasma.github.io/Logging_2085/kartor/A 49767-2025 karta.png", "A 49767-2025")</f>
        <v/>
      </c>
      <c r="Y66">
        <f>HYPERLINK("https://klasma.github.io/Logging_2085/kartor_geotiff/A 49767-2025 georefererad karta.tif", "A 49767-2025")</f>
        <v/>
      </c>
      <c r="AA66">
        <f>HYPERLINK("https://klasma.github.io/Logging_2085/klagomål/A 49767-2025 FSC-klagomål.docx", "A 49767-2025")</f>
        <v/>
      </c>
      <c r="AB66">
        <f>HYPERLINK("https://klasma.github.io/Logging_2085/klagomålsmail/A 49767-2025 FSC-klagomål mail.docx", "A 49767-2025")</f>
        <v/>
      </c>
      <c r="AC66">
        <f>HYPERLINK("https://klasma.github.io/Logging_2085/tillsyn/A 49767-2025 tillsynsbegäran.docx", "A 49767-2025")</f>
        <v/>
      </c>
      <c r="AD66">
        <f>HYPERLINK("https://klasma.github.io/Logging_2085/tillsynsmail/A 49767-2025 tillsynsbegäran mail.docx", "A 49767-2025")</f>
        <v/>
      </c>
      <c r="AE66">
        <f>HYPERLINK("https://klasma.github.io/Logging_2085/fåglar/A 49767-2025 prioriterade fågelarter.docx", "A 49767-2025")</f>
        <v/>
      </c>
    </row>
    <row r="67" ht="15" customHeight="1">
      <c r="A67" t="inlineStr">
        <is>
          <t>A 50170-2025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46255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Labyrintlav
Gulnål</t>
        </is>
      </c>
      <c r="W67">
        <f>HYPERLINK("https://klasma.github.io/Logging_2085/artfynd/A 50170-2025 artfynd.xlsx", "A 50170-2025")</f>
        <v/>
      </c>
      <c r="X67">
        <f>HYPERLINK("https://klasma.github.io/Logging_2085/kartor/A 50170-2025 karta.png", "A 50170-2025")</f>
        <v/>
      </c>
      <c r="Y67">
        <f>HYPERLINK("https://klasma.github.io/Logging_2085/kartor_geotiff/A 50170-2025 georefererad karta.tif", "A 50170-2025")</f>
        <v/>
      </c>
      <c r="AA67">
        <f>HYPERLINK("https://klasma.github.io/Logging_2085/klagomål/A 50170-2025 FSC-klagomål.docx", "A 50170-2025")</f>
        <v/>
      </c>
      <c r="AB67">
        <f>HYPERLINK("https://klasma.github.io/Logging_2085/klagomålsmail/A 50170-2025 FSC-klagomål mail.docx", "A 50170-2025")</f>
        <v/>
      </c>
      <c r="AC67">
        <f>HYPERLINK("https://klasma.github.io/Logging_2085/tillsyn/A 50170-2025 tillsynsbegäran.docx", "A 50170-2025")</f>
        <v/>
      </c>
      <c r="AD67">
        <f>HYPERLINK("https://klasma.github.io/Logging_2085/tillsynsmail/A 50170-2025 tillsynsbegäran mail.docx", "A 50170-2025")</f>
        <v/>
      </c>
    </row>
    <row r="68" ht="15" customHeight="1">
      <c r="A68" t="inlineStr">
        <is>
          <t>A 56179-2025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46255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Gultoppig fingersvamp
Kortskaftad ärgspik</t>
        </is>
      </c>
      <c r="W68">
        <f>HYPERLINK("https://klasma.github.io/Logging_2085/artfynd/A 56179-2025 artfynd.xlsx", "A 56179-2025")</f>
        <v/>
      </c>
      <c r="X68">
        <f>HYPERLINK("https://klasma.github.io/Logging_2085/kartor/A 56179-2025 karta.png", "A 56179-2025")</f>
        <v/>
      </c>
      <c r="Y68">
        <f>HYPERLINK("https://klasma.github.io/Logging_2085/kartor_geotiff/A 56179-2025 georefererad karta.tif", "A 56179-2025")</f>
        <v/>
      </c>
      <c r="Z68">
        <f>HYPERLINK("https://klasma.github.io/Logging_2085/knärot/A 56179-2025 karta knärot.png", "A 56179-2025")</f>
        <v/>
      </c>
      <c r="AA68">
        <f>HYPERLINK("https://klasma.github.io/Logging_2085/klagomål/A 56179-2025 FSC-klagomål.docx", "A 56179-2025")</f>
        <v/>
      </c>
      <c r="AB68">
        <f>HYPERLINK("https://klasma.github.io/Logging_2085/klagomålsmail/A 56179-2025 FSC-klagomål mail.docx", "A 56179-2025")</f>
        <v/>
      </c>
      <c r="AC68">
        <f>HYPERLINK("https://klasma.github.io/Logging_2085/tillsyn/A 56179-2025 tillsynsbegäran.docx", "A 56179-2025")</f>
        <v/>
      </c>
      <c r="AD68">
        <f>HYPERLINK("https://klasma.github.io/Logging_2085/tillsynsmail/A 56179-2025 tillsynsbegäran mail.docx", "A 56179-2025")</f>
        <v/>
      </c>
    </row>
    <row r="69" ht="15" customHeight="1">
      <c r="A69" t="inlineStr">
        <is>
          <t>A 56879-2025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46255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3</v>
      </c>
      <c r="V69" s="2" t="inlineStr">
        <is>
          <t>Garnlav
Tjäder</t>
        </is>
      </c>
      <c r="W69">
        <f>HYPERLINK("https://klasma.github.io/Logging_2085/artfynd/A 56879-2025 artfynd.xlsx", "A 56879-2025")</f>
        <v/>
      </c>
      <c r="X69">
        <f>HYPERLINK("https://klasma.github.io/Logging_2085/kartor/A 56879-2025 karta.png", "A 56879-2025")</f>
        <v/>
      </c>
      <c r="Y69">
        <f>HYPERLINK("https://klasma.github.io/Logging_2085/kartor_geotiff/A 56879-2025 georefererad karta.tif", "A 56879-2025")</f>
        <v/>
      </c>
      <c r="AA69">
        <f>HYPERLINK("https://klasma.github.io/Logging_2085/klagomål/A 56879-2025 FSC-klagomål.docx", "A 56879-2025")</f>
        <v/>
      </c>
      <c r="AB69">
        <f>HYPERLINK("https://klasma.github.io/Logging_2085/klagomålsmail/A 56879-2025 FSC-klagomål mail.docx", "A 56879-2025")</f>
        <v/>
      </c>
      <c r="AC69">
        <f>HYPERLINK("https://klasma.github.io/Logging_2085/tillsyn/A 56879-2025 tillsynsbegäran.docx", "A 56879-2025")</f>
        <v/>
      </c>
      <c r="AD69">
        <f>HYPERLINK("https://klasma.github.io/Logging_2085/tillsynsmail/A 56879-2025 tillsynsbegäran mail.docx", "A 56879-2025")</f>
        <v/>
      </c>
      <c r="AE69">
        <f>HYPERLINK("https://klasma.github.io/Logging_2085/fåglar/A 56879-2025 prioriterade fågelarter.docx", "A 56879-2025")</f>
        <v/>
      </c>
    </row>
    <row r="70" ht="15" customHeight="1">
      <c r="A70" t="inlineStr">
        <is>
          <t>A 19538-2026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46255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3.8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Mörk husmossa
Tibast</t>
        </is>
      </c>
      <c r="W70">
        <f>HYPERLINK("https://klasma.github.io/Logging_2085/artfynd/A 19538-2026 artfynd.xlsx", "A 19538-2026")</f>
        <v/>
      </c>
      <c r="X70">
        <f>HYPERLINK("https://klasma.github.io/Logging_2085/kartor/A 19538-2026 karta.png", "A 19538-2026")</f>
        <v/>
      </c>
      <c r="Y70">
        <f>HYPERLINK("https://klasma.github.io/Logging_2085/kartor_geotiff/A 19538-2026 georefererad karta.tif", "A 19538-2026")</f>
        <v/>
      </c>
      <c r="AA70">
        <f>HYPERLINK("https://klasma.github.io/Logging_2085/klagomål/A 19538-2026 FSC-klagomål.docx", "A 19538-2026")</f>
        <v/>
      </c>
      <c r="AB70">
        <f>HYPERLINK("https://klasma.github.io/Logging_2085/klagomålsmail/A 19538-2026 FSC-klagomål mail.docx", "A 19538-2026")</f>
        <v/>
      </c>
      <c r="AC70">
        <f>HYPERLINK("https://klasma.github.io/Logging_2085/tillsyn/A 19538-2026 tillsynsbegäran.docx", "A 19538-2026")</f>
        <v/>
      </c>
      <c r="AD70">
        <f>HYPERLINK("https://klasma.github.io/Logging_2085/tillsynsmail/A 19538-2026 tillsynsbegäran mail.docx", "A 19538-2026")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46255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49051-2024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46255</v>
      </c>
      <c r="F72" t="inlineStr">
        <is>
          <t>DALARNAS LÄN</t>
        </is>
      </c>
      <c r="G72" t="inlineStr">
        <is>
          <t>LUDVIKA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2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Ladparasitspik
Vedkastanjelav</t>
        </is>
      </c>
      <c r="W72">
        <f>HYPERLINK("https://klasma.github.io/Logging_2085/artfynd/A 49051-2024 artfynd.xlsx", "A 49051-2024")</f>
        <v/>
      </c>
      <c r="X72">
        <f>HYPERLINK("https://klasma.github.io/Logging_2085/kartor/A 49051-2024 karta.png", "A 49051-2024")</f>
        <v/>
      </c>
      <c r="Y72">
        <f>HYPERLINK("https://klasma.github.io/Logging_2085/kartor_geotiff/A 49051-2024 georefererad karta.tif", "A 49051-2024")</f>
        <v/>
      </c>
      <c r="AA72">
        <f>HYPERLINK("https://klasma.github.io/Logging_2085/klagomål/A 49051-2024 FSC-klagomål.docx", "A 49051-2024")</f>
        <v/>
      </c>
      <c r="AB72">
        <f>HYPERLINK("https://klasma.github.io/Logging_2085/klagomålsmail/A 49051-2024 FSC-klagomål mail.docx", "A 49051-2024")</f>
        <v/>
      </c>
      <c r="AC72">
        <f>HYPERLINK("https://klasma.github.io/Logging_2085/tillsyn/A 49051-2024 tillsynsbegäran.docx", "A 49051-2024")</f>
        <v/>
      </c>
      <c r="AD72">
        <f>HYPERLINK("https://klasma.github.io/Logging_2085/tillsynsmail/A 49051-2024 tillsynsbegäran mail.docx", "A 49051-2024")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46255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46255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46255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31070-2026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46216</v>
      </c>
      <c r="E76" s="1" t="n">
        <v>46255</v>
      </c>
      <c r="F76" t="inlineStr">
        <is>
          <t>DALARNAS LÄN</t>
        </is>
      </c>
      <c r="G76" t="inlineStr">
        <is>
          <t>LUDVIKA</t>
        </is>
      </c>
      <c r="I76" t="n">
        <v>8.9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Blåsippa</t>
        </is>
      </c>
      <c r="W76">
        <f>HYPERLINK("https://klasma.github.io/Logging_2085/artfynd/A 31070-2026 artfynd.xlsx", "A 31070-2026")</f>
        <v/>
      </c>
      <c r="X76">
        <f>HYPERLINK("https://klasma.github.io/Logging_2085/kartor/A 31070-2026 karta.png", "A 31070-2026")</f>
        <v/>
      </c>
      <c r="Y76">
        <f>HYPERLINK("https://klasma.github.io/Logging_2085/kartor_geotiff/A 31070-2026 georefererad karta.tif", "A 31070-2026")</f>
        <v/>
      </c>
      <c r="Z76">
        <f>HYPERLINK("https://klasma.github.io/Logging_2085/knärot/A 31070-2026 karta knärot.png", "A 31070-2026")</f>
        <v/>
      </c>
      <c r="AA76">
        <f>HYPERLINK("https://klasma.github.io/Logging_2085/klagomål/A 31070-2026 FSC-klagomål.docx", "A 31070-2026")</f>
        <v/>
      </c>
      <c r="AB76">
        <f>HYPERLINK("https://klasma.github.io/Logging_2085/klagomålsmail/A 31070-2026 FSC-klagomål mail.docx", "A 31070-2026")</f>
        <v/>
      </c>
      <c r="AC76">
        <f>HYPERLINK("https://klasma.github.io/Logging_2085/tillsyn/A 31070-2026 tillsynsbegäran.docx", "A 31070-2026")</f>
        <v/>
      </c>
      <c r="AD76">
        <f>HYPERLINK("https://klasma.github.io/Logging_2085/tillsynsmail/A 31070-2026 tillsynsbegäran mail.docx", "A 31070-2026")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46255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46255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46255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46255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28639-2026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46255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Blå taggsvamp
Motaggsvamp</t>
        </is>
      </c>
      <c r="W81">
        <f>HYPERLINK("https://klasma.github.io/Logging_2085/artfynd/A 28639-2026 artfynd.xlsx", "A 28639-2026")</f>
        <v/>
      </c>
      <c r="X81">
        <f>HYPERLINK("https://klasma.github.io/Logging_2085/kartor/A 28639-2026 karta.png", "A 28639-2026")</f>
        <v/>
      </c>
      <c r="Y81">
        <f>HYPERLINK("https://klasma.github.io/Logging_2085/kartor_geotiff/A 28639-2026 georefererad karta.tif", "A 28639-2026")</f>
        <v/>
      </c>
      <c r="AA81">
        <f>HYPERLINK("https://klasma.github.io/Logging_2085/klagomål/A 28639-2026 FSC-klagomål.docx", "A 28639-2026")</f>
        <v/>
      </c>
      <c r="AB81">
        <f>HYPERLINK("https://klasma.github.io/Logging_2085/klagomålsmail/A 28639-2026 FSC-klagomål mail.docx", "A 28639-2026")</f>
        <v/>
      </c>
      <c r="AC81">
        <f>HYPERLINK("https://klasma.github.io/Logging_2085/tillsyn/A 28639-2026 tillsynsbegäran.docx", "A 28639-2026")</f>
        <v/>
      </c>
      <c r="AD81">
        <f>HYPERLINK("https://klasma.github.io/Logging_2085/tillsynsmail/A 28639-2026 tillsynsbegäran mail.docx", "A 28639-2026")</f>
        <v/>
      </c>
    </row>
    <row r="82" ht="15" customHeight="1">
      <c r="A82" t="inlineStr">
        <is>
          <t>A 28727-2026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46255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14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Mindre märgborre</t>
        </is>
      </c>
      <c r="W82">
        <f>HYPERLINK("https://klasma.github.io/Logging_2085/artfynd/A 28727-2026 artfynd.xlsx", "A 28727-2026")</f>
        <v/>
      </c>
      <c r="X82">
        <f>HYPERLINK("https://klasma.github.io/Logging_2085/kartor/A 28727-2026 karta.png", "A 28727-2026")</f>
        <v/>
      </c>
      <c r="Y82">
        <f>HYPERLINK("https://klasma.github.io/Logging_2085/kartor_geotiff/A 28727-2026 georefererad karta.tif", "A 28727-2026")</f>
        <v/>
      </c>
      <c r="AA82">
        <f>HYPERLINK("https://klasma.github.io/Logging_2085/klagomål/A 28727-2026 FSC-klagomål.docx", "A 28727-2026")</f>
        <v/>
      </c>
      <c r="AB82">
        <f>HYPERLINK("https://klasma.github.io/Logging_2085/klagomålsmail/A 28727-2026 FSC-klagomål mail.docx", "A 28727-2026")</f>
        <v/>
      </c>
      <c r="AC82">
        <f>HYPERLINK("https://klasma.github.io/Logging_2085/tillsyn/A 28727-2026 tillsynsbegäran.docx", "A 28727-2026")</f>
        <v/>
      </c>
      <c r="AD82">
        <f>HYPERLINK("https://klasma.github.io/Logging_2085/tillsynsmail/A 28727-2026 tillsynsbegäran mail.docx", "A 28727-2026")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46255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49763-2025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46255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6.9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2</v>
      </c>
      <c r="V84" s="2" t="inlineStr">
        <is>
          <t>Dvärgbägarlav
Vedticka</t>
        </is>
      </c>
      <c r="W84">
        <f>HYPERLINK("https://klasma.github.io/Logging_2085/artfynd/A 49763-2025 artfynd.xlsx", "A 49763-2025")</f>
        <v/>
      </c>
      <c r="X84">
        <f>HYPERLINK("https://klasma.github.io/Logging_2085/kartor/A 49763-2025 karta.png", "A 49763-2025")</f>
        <v/>
      </c>
      <c r="Y84">
        <f>HYPERLINK("https://klasma.github.io/Logging_2085/kartor_geotiff/A 49763-2025 georefererad karta.tif", "A 49763-2025")</f>
        <v/>
      </c>
      <c r="AA84">
        <f>HYPERLINK("https://klasma.github.io/Logging_2085/klagomål/A 49763-2025 FSC-klagomål.docx", "A 49763-2025")</f>
        <v/>
      </c>
      <c r="AB84">
        <f>HYPERLINK("https://klasma.github.io/Logging_2085/klagomålsmail/A 49763-2025 FSC-klagomål mail.docx", "A 49763-2025")</f>
        <v/>
      </c>
      <c r="AC84">
        <f>HYPERLINK("https://klasma.github.io/Logging_2085/tillsyn/A 49763-2025 tillsynsbegäran.docx", "A 49763-2025")</f>
        <v/>
      </c>
      <c r="AD84">
        <f>HYPERLINK("https://klasma.github.io/Logging_2085/tillsynsmail/A 49763-2025 tillsynsbegäran mail.docx", "A 49763-2025")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46255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46255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46255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46255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46255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46255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46255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46255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46255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55550-2022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46255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Ögonpyrola</t>
        </is>
      </c>
      <c r="W95">
        <f>HYPERLINK("https://klasma.github.io/Logging_2085/artfynd/A 55550-2022 artfynd.xlsx", "A 55550-2022")</f>
        <v/>
      </c>
      <c r="X95">
        <f>HYPERLINK("https://klasma.github.io/Logging_2085/kartor/A 55550-2022 karta.png", "A 55550-2022")</f>
        <v/>
      </c>
      <c r="Y95">
        <f>HYPERLINK("https://klasma.github.io/Logging_2085/kartor_geotiff/A 55550-2022 georefererad karta.tif", "A 55550-2022")</f>
        <v/>
      </c>
      <c r="AA95">
        <f>HYPERLINK("https://klasma.github.io/Logging_2085/klagomål/A 55550-2022 FSC-klagomål.docx", "A 55550-2022")</f>
        <v/>
      </c>
      <c r="AB95">
        <f>HYPERLINK("https://klasma.github.io/Logging_2085/klagomålsmail/A 55550-2022 FSC-klagomål mail.docx", "A 55550-2022")</f>
        <v/>
      </c>
      <c r="AC95">
        <f>HYPERLINK("https://klasma.github.io/Logging_2085/tillsyn/A 55550-2022 tillsynsbegäran.docx", "A 55550-2022")</f>
        <v/>
      </c>
      <c r="AD95">
        <f>HYPERLINK("https://klasma.github.io/Logging_2085/tillsynsmail/A 55550-2022 tillsynsbegäran mail.docx", "A 55550-2022")</f>
        <v/>
      </c>
    </row>
    <row r="96" ht="15" customHeight="1">
      <c r="A96" t="inlineStr">
        <is>
          <t>A 26850-2023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46255</v>
      </c>
      <c r="F96" t="inlineStr">
        <is>
          <t>DALARNAS LÄN</t>
        </is>
      </c>
      <c r="G96" t="inlineStr">
        <is>
          <t>LUDVIKA</t>
        </is>
      </c>
      <c r="H96" t="inlineStr">
        <is>
          <t>Naturvårdsverket</t>
        </is>
      </c>
      <c r="I96" t="n">
        <v>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Motaggsvamp</t>
        </is>
      </c>
      <c r="W96">
        <f>HYPERLINK("https://klasma.github.io/Logging_2085/artfynd/A 26850-2023 artfynd.xlsx", "A 26850-2023")</f>
        <v/>
      </c>
      <c r="X96">
        <f>HYPERLINK("https://klasma.github.io/Logging_2085/kartor/A 26850-2023 karta.png", "A 26850-2023")</f>
        <v/>
      </c>
      <c r="Y96">
        <f>HYPERLINK("https://klasma.github.io/Logging_2085/kartor_geotiff/A 26850-2023 georefererad karta.tif", "A 26850-2023")</f>
        <v/>
      </c>
      <c r="AA96">
        <f>HYPERLINK("https://klasma.github.io/Logging_2085/klagomål/A 26850-2023 FSC-klagomål.docx", "A 26850-2023")</f>
        <v/>
      </c>
      <c r="AB96">
        <f>HYPERLINK("https://klasma.github.io/Logging_2085/klagomålsmail/A 26850-2023 FSC-klagomål mail.docx", "A 26850-2023")</f>
        <v/>
      </c>
      <c r="AC96">
        <f>HYPERLINK("https://klasma.github.io/Logging_2085/tillsyn/A 26850-2023 tillsynsbegäran.docx", "A 26850-2023")</f>
        <v/>
      </c>
      <c r="AD96">
        <f>HYPERLINK("https://klasma.github.io/Logging_2085/tillsynsmail/A 26850-2023 tillsynsbegäran mail.docx", "A 26850-2023")</f>
        <v/>
      </c>
    </row>
    <row r="97" ht="15" customHeight="1">
      <c r="A97" t="inlineStr">
        <is>
          <t>A 29733-2025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46255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Stuplav</t>
        </is>
      </c>
      <c r="W97">
        <f>HYPERLINK("https://klasma.github.io/Logging_2085/artfynd/A 29733-2025 artfynd.xlsx", "A 29733-2025")</f>
        <v/>
      </c>
      <c r="X97">
        <f>HYPERLINK("https://klasma.github.io/Logging_2085/kartor/A 29733-2025 karta.png", "A 29733-2025")</f>
        <v/>
      </c>
      <c r="Y97">
        <f>HYPERLINK("https://klasma.github.io/Logging_2085/kartor_geotiff/A 29733-2025 georefererad karta.tif", "A 29733-2025")</f>
        <v/>
      </c>
      <c r="AA97">
        <f>HYPERLINK("https://klasma.github.io/Logging_2085/klagomål/A 29733-2025 FSC-klagomål.docx", "A 29733-2025")</f>
        <v/>
      </c>
      <c r="AB97">
        <f>HYPERLINK("https://klasma.github.io/Logging_2085/klagomålsmail/A 29733-2025 FSC-klagomål mail.docx", "A 29733-2025")</f>
        <v/>
      </c>
      <c r="AC97">
        <f>HYPERLINK("https://klasma.github.io/Logging_2085/tillsyn/A 29733-2025 tillsynsbegäran.docx", "A 29733-2025")</f>
        <v/>
      </c>
      <c r="AD97">
        <f>HYPERLINK("https://klasma.github.io/Logging_2085/tillsynsmail/A 29733-2025 tillsynsbegäran mail.docx", "A 29733-2025")</f>
        <v/>
      </c>
    </row>
    <row r="98" ht="15" customHeight="1">
      <c r="A98" t="inlineStr">
        <is>
          <t>A 400-2023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44929</v>
      </c>
      <c r="E98" s="1" t="n">
        <v>46255</v>
      </c>
      <c r="F98" t="inlineStr">
        <is>
          <t>DALARNAS LÄN</t>
        </is>
      </c>
      <c r="G98" t="inlineStr">
        <is>
          <t>LUDVIKA</t>
        </is>
      </c>
      <c r="I98" t="n">
        <v>3.6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HYPERLINK("https://klasma.github.io/Logging_2085/artfynd/A 400-2023 artfynd.xlsx", "A 400-2023")</f>
        <v/>
      </c>
      <c r="X98">
        <f>HYPERLINK("https://klasma.github.io/Logging_2085/kartor/A 400-2023 karta.png", "A 400-2023")</f>
        <v/>
      </c>
      <c r="Y98">
        <f>HYPERLINK("https://klasma.github.io/Logging_2085/kartor_geotiff/A 400-2023 georefererad karta.tif", "A 400-2023")</f>
        <v/>
      </c>
      <c r="AA98">
        <f>HYPERLINK("https://klasma.github.io/Logging_2085/klagomål/A 400-2023 FSC-klagomål.docx", "A 400-2023")</f>
        <v/>
      </c>
      <c r="AB98">
        <f>HYPERLINK("https://klasma.github.io/Logging_2085/klagomålsmail/A 400-2023 FSC-klagomål mail.docx", "A 400-2023")</f>
        <v/>
      </c>
      <c r="AC98">
        <f>HYPERLINK("https://klasma.github.io/Logging_2085/tillsyn/A 400-2023 tillsynsbegäran.docx", "A 400-2023")</f>
        <v/>
      </c>
      <c r="AD98">
        <f>HYPERLINK("https://klasma.github.io/Logging_2085/tillsynsmail/A 400-2023 tillsynsbegäran mail.docx", "A 400-2023")</f>
        <v/>
      </c>
    </row>
    <row r="99" ht="15" customHeight="1">
      <c r="A99" t="inlineStr">
        <is>
          <t>A 74401-2021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44560</v>
      </c>
      <c r="E99" s="1" t="n">
        <v>46255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Gullgröppa</t>
        </is>
      </c>
      <c r="W99">
        <f>HYPERLINK("https://klasma.github.io/Logging_2085/artfynd/A 74401-2021 artfynd.xlsx", "A 74401-2021")</f>
        <v/>
      </c>
      <c r="X99">
        <f>HYPERLINK("https://klasma.github.io/Logging_2085/kartor/A 74401-2021 karta.png", "A 74401-2021")</f>
        <v/>
      </c>
      <c r="Y99">
        <f>HYPERLINK("https://klasma.github.io/Logging_2085/kartor_geotiff/A 74401-2021 georefererad karta.tif", "A 74401-2021")</f>
        <v/>
      </c>
      <c r="AA99">
        <f>HYPERLINK("https://klasma.github.io/Logging_2085/klagomål/A 74401-2021 FSC-klagomål.docx", "A 74401-2021")</f>
        <v/>
      </c>
      <c r="AB99">
        <f>HYPERLINK("https://klasma.github.io/Logging_2085/klagomålsmail/A 74401-2021 FSC-klagomål mail.docx", "A 74401-2021")</f>
        <v/>
      </c>
      <c r="AC99">
        <f>HYPERLINK("https://klasma.github.io/Logging_2085/tillsyn/A 74401-2021 tillsynsbegäran.docx", "A 74401-2021")</f>
        <v/>
      </c>
      <c r="AD99">
        <f>HYPERLINK("https://klasma.github.io/Logging_2085/tillsynsmail/A 74401-2021 tillsynsbegäran mail.docx", "A 74401-2021")</f>
        <v/>
      </c>
    </row>
    <row r="100" ht="15" customHeight="1">
      <c r="A100" t="inlineStr">
        <is>
          <t>A 31478-2023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45114</v>
      </c>
      <c r="E100" s="1" t="n">
        <v>46255</v>
      </c>
      <c r="F100" t="inlineStr">
        <is>
          <t>DALARNAS LÄN</t>
        </is>
      </c>
      <c r="G100" t="inlineStr">
        <is>
          <t>LUDVIKA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HYPERLINK("https://klasma.github.io/Logging_2085/artfynd/A 31478-2023 artfynd.xlsx", "A 31478-2023")</f>
        <v/>
      </c>
      <c r="X100">
        <f>HYPERLINK("https://klasma.github.io/Logging_2085/kartor/A 31478-2023 karta.png", "A 31478-2023")</f>
        <v/>
      </c>
      <c r="Y100">
        <f>HYPERLINK("https://klasma.github.io/Logging_2085/kartor_geotiff/A 31478-2023 georefererad karta.tif", "A 31478-2023")</f>
        <v/>
      </c>
      <c r="AA100">
        <f>HYPERLINK("https://klasma.github.io/Logging_2085/klagomål/A 31478-2023 FSC-klagomål.docx", "A 31478-2023")</f>
        <v/>
      </c>
      <c r="AB100">
        <f>HYPERLINK("https://klasma.github.io/Logging_2085/klagomålsmail/A 31478-2023 FSC-klagomål mail.docx", "A 31478-2023")</f>
        <v/>
      </c>
      <c r="AC100">
        <f>HYPERLINK("https://klasma.github.io/Logging_2085/tillsyn/A 31478-2023 tillsynsbegäran.docx", "A 31478-2023")</f>
        <v/>
      </c>
      <c r="AD100">
        <f>HYPERLINK("https://klasma.github.io/Logging_2085/tillsynsmail/A 31478-2023 tillsynsbegäran mail.docx", "A 31478-2023")</f>
        <v/>
      </c>
    </row>
    <row r="101" ht="15" customHeight="1">
      <c r="A101" t="inlineStr">
        <is>
          <t>A 6579-2023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44960</v>
      </c>
      <c r="E101" s="1" t="n">
        <v>46255</v>
      </c>
      <c r="F101" t="inlineStr">
        <is>
          <t>DALARNAS LÄN</t>
        </is>
      </c>
      <c r="G101" t="inlineStr">
        <is>
          <t>LUDVIKA</t>
        </is>
      </c>
      <c r="I101" t="n">
        <v>3.4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Blomkålssvamp</t>
        </is>
      </c>
      <c r="W101">
        <f>HYPERLINK("https://klasma.github.io/Logging_2085/artfynd/A 6579-2023 artfynd.xlsx", "A 6579-2023")</f>
        <v/>
      </c>
      <c r="X101">
        <f>HYPERLINK("https://klasma.github.io/Logging_2085/kartor/A 6579-2023 karta.png", "A 6579-2023")</f>
        <v/>
      </c>
      <c r="Y101">
        <f>HYPERLINK("https://klasma.github.io/Logging_2085/kartor_geotiff/A 6579-2023 georefererad karta.tif", "A 6579-2023")</f>
        <v/>
      </c>
      <c r="AA101">
        <f>HYPERLINK("https://klasma.github.io/Logging_2085/klagomål/A 6579-2023 FSC-klagomål.docx", "A 6579-2023")</f>
        <v/>
      </c>
      <c r="AB101">
        <f>HYPERLINK("https://klasma.github.io/Logging_2085/klagomålsmail/A 6579-2023 FSC-klagomål mail.docx", "A 6579-2023")</f>
        <v/>
      </c>
      <c r="AC101">
        <f>HYPERLINK("https://klasma.github.io/Logging_2085/tillsyn/A 6579-2023 tillsynsbegäran.docx", "A 6579-2023")</f>
        <v/>
      </c>
      <c r="AD101">
        <f>HYPERLINK("https://klasma.github.io/Logging_2085/tillsynsmail/A 6579-2023 tillsynsbegäran mail.docx", "A 6579-2023")</f>
        <v/>
      </c>
    </row>
    <row r="102" ht="15" customHeight="1">
      <c r="A102" t="inlineStr">
        <is>
          <t>A 45791-2025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46255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Vitfläckig guldvinge</t>
        </is>
      </c>
      <c r="W102">
        <f>HYPERLINK("https://klasma.github.io/Logging_2085/artfynd/A 45791-2025 artfynd.xlsx", "A 45791-2025")</f>
        <v/>
      </c>
      <c r="X102">
        <f>HYPERLINK("https://klasma.github.io/Logging_2085/kartor/A 45791-2025 karta.png", "A 45791-2025")</f>
        <v/>
      </c>
      <c r="Y102">
        <f>HYPERLINK("https://klasma.github.io/Logging_2085/kartor_geotiff/A 45791-2025 georefererad karta.tif", "A 45791-2025")</f>
        <v/>
      </c>
      <c r="AA102">
        <f>HYPERLINK("https://klasma.github.io/Logging_2085/klagomål/A 45791-2025 FSC-klagomål.docx", "A 45791-2025")</f>
        <v/>
      </c>
      <c r="AB102">
        <f>HYPERLINK("https://klasma.github.io/Logging_2085/klagomålsmail/A 45791-2025 FSC-klagomål mail.docx", "A 45791-2025")</f>
        <v/>
      </c>
      <c r="AC102">
        <f>HYPERLINK("https://klasma.github.io/Logging_2085/tillsyn/A 45791-2025 tillsynsbegäran.docx", "A 45791-2025")</f>
        <v/>
      </c>
      <c r="AD102">
        <f>HYPERLINK("https://klasma.github.io/Logging_2085/tillsynsmail/A 45791-2025 tillsynsbegäran mail.docx", "A 45791-2025")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46255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44578-2023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46255</v>
      </c>
      <c r="F104" t="inlineStr">
        <is>
          <t>DALARNAS LÄN</t>
        </is>
      </c>
      <c r="G104" t="inlineStr">
        <is>
          <t>LUDVIKA</t>
        </is>
      </c>
      <c r="H104" t="inlineStr">
        <is>
          <t>Övriga Aktiebolag</t>
        </is>
      </c>
      <c r="I104" t="n">
        <v>12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Dofttaggsvamp</t>
        </is>
      </c>
      <c r="W104">
        <f>HYPERLINK("https://klasma.github.io/Logging_2085/artfynd/A 44578-2023 artfynd.xlsx", "A 44578-2023")</f>
        <v/>
      </c>
      <c r="X104">
        <f>HYPERLINK("https://klasma.github.io/Logging_2085/kartor/A 44578-2023 karta.png", "A 44578-2023")</f>
        <v/>
      </c>
      <c r="Y104">
        <f>HYPERLINK("https://klasma.github.io/Logging_2085/kartor_geotiff/A 44578-2023 georefererad karta.tif", "A 44578-2023")</f>
        <v/>
      </c>
      <c r="AA104">
        <f>HYPERLINK("https://klasma.github.io/Logging_2085/klagomål/A 44578-2023 FSC-klagomål.docx", "A 44578-2023")</f>
        <v/>
      </c>
      <c r="AB104">
        <f>HYPERLINK("https://klasma.github.io/Logging_2085/klagomålsmail/A 44578-2023 FSC-klagomål mail.docx", "A 44578-2023")</f>
        <v/>
      </c>
      <c r="AC104">
        <f>HYPERLINK("https://klasma.github.io/Logging_2085/tillsyn/A 44578-2023 tillsynsbegäran.docx", "A 44578-2023")</f>
        <v/>
      </c>
      <c r="AD104">
        <f>HYPERLINK("https://klasma.github.io/Logging_2085/tillsynsmail/A 44578-2023 tillsynsbegäran mail.docx", "A 44578-2023")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46255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HYPERLINK("https://klasma.github.io/Logging_2085/artfynd/A 62275-2022 artfynd.xlsx", "A 62275-2022")</f>
        <v/>
      </c>
      <c r="X105">
        <f>HYPERLINK("https://klasma.github.io/Logging_2085/kartor/A 62275-2022 karta.png", "A 62275-2022")</f>
        <v/>
      </c>
      <c r="Y105">
        <f>HYPERLINK("https://klasma.github.io/Logging_2085/kartor_geotiff/A 62275-2022 georefererad karta.tif", "A 62275-2022")</f>
        <v/>
      </c>
      <c r="Z105">
        <f>HYPERLINK("https://klasma.github.io/Logging_2085/knärot/A 62275-2022 karta knärot.png", "A 62275-2022")</f>
        <v/>
      </c>
      <c r="AA105">
        <f>HYPERLINK("https://klasma.github.io/Logging_2085/klagomål/A 62275-2022 FSC-klagomål.docx", "A 62275-2022")</f>
        <v/>
      </c>
      <c r="AB105">
        <f>HYPERLINK("https://klasma.github.io/Logging_2085/klagomålsmail/A 62275-2022 FSC-klagomål mail.docx", "A 62275-2022")</f>
        <v/>
      </c>
      <c r="AC105">
        <f>HYPERLINK("https://klasma.github.io/Logging_2085/tillsyn/A 62275-2022 tillsynsbegäran.docx", "A 62275-2022")</f>
        <v/>
      </c>
      <c r="AD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36050-2025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45866</v>
      </c>
      <c r="E106" s="1" t="n">
        <v>46255</v>
      </c>
      <c r="F106" t="inlineStr">
        <is>
          <t>DALARNAS LÄN</t>
        </is>
      </c>
      <c r="G106" t="inlineStr">
        <is>
          <t>LUDVIKA</t>
        </is>
      </c>
      <c r="I106" t="n">
        <v>1.4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HYPERLINK("https://klasma.github.io/Logging_2085/artfynd/A 36050-2025 artfynd.xlsx", "A 36050-2025")</f>
        <v/>
      </c>
      <c r="X106">
        <f>HYPERLINK("https://klasma.github.io/Logging_2085/kartor/A 36050-2025 karta.png", "A 36050-2025")</f>
        <v/>
      </c>
      <c r="Y106">
        <f>HYPERLINK("https://klasma.github.io/Logging_2085/kartor_geotiff/A 36050-2025 georefererad karta.tif", "A 36050-2025")</f>
        <v/>
      </c>
      <c r="AA106">
        <f>HYPERLINK("https://klasma.github.io/Logging_2085/klagomål/A 36050-2025 FSC-klagomål.docx", "A 36050-2025")</f>
        <v/>
      </c>
      <c r="AB106">
        <f>HYPERLINK("https://klasma.github.io/Logging_2085/klagomålsmail/A 36050-2025 FSC-klagomål mail.docx", "A 36050-2025")</f>
        <v/>
      </c>
      <c r="AC106">
        <f>HYPERLINK("https://klasma.github.io/Logging_2085/tillsyn/A 36050-2025 tillsynsbegäran.docx", "A 36050-2025")</f>
        <v/>
      </c>
      <c r="AD106">
        <f>HYPERLINK("https://klasma.github.io/Logging_2085/tillsynsmail/A 36050-2025 tillsynsbegäran mail.docx", "A 36050-2025")</f>
        <v/>
      </c>
      <c r="AE106">
        <f>HYPERLINK("https://klasma.github.io/Logging_2085/fåglar/A 36050-2025 prioriterade fågelarter.docx", "A 36050-2025")</f>
        <v/>
      </c>
    </row>
    <row r="107" ht="15" customHeight="1">
      <c r="A107" t="inlineStr">
        <is>
          <t>A 17987-2025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46255</v>
      </c>
      <c r="F107" t="inlineStr">
        <is>
          <t>DALARNAS LÄN</t>
        </is>
      </c>
      <c r="G107" t="inlineStr">
        <is>
          <t>LUDVIKA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HYPERLINK("https://klasma.github.io/Logging_2085/artfynd/A 17987-2025 artfynd.xlsx", "A 17987-2025")</f>
        <v/>
      </c>
      <c r="X107">
        <f>HYPERLINK("https://klasma.github.io/Logging_2085/kartor/A 17987-2025 karta.png", "A 17987-2025")</f>
        <v/>
      </c>
      <c r="Y107">
        <f>HYPERLINK("https://klasma.github.io/Logging_2085/kartor_geotiff/A 17987-2025 georefererad karta.tif", "A 17987-2025")</f>
        <v/>
      </c>
      <c r="AA107">
        <f>HYPERLINK("https://klasma.github.io/Logging_2085/klagomål/A 17987-2025 FSC-klagomål.docx", "A 17987-2025")</f>
        <v/>
      </c>
      <c r="AB107">
        <f>HYPERLINK("https://klasma.github.io/Logging_2085/klagomålsmail/A 17987-2025 FSC-klagomål mail.docx", "A 17987-2025")</f>
        <v/>
      </c>
      <c r="AC107">
        <f>HYPERLINK("https://klasma.github.io/Logging_2085/tillsyn/A 17987-2025 tillsynsbegäran.docx", "A 17987-2025")</f>
        <v/>
      </c>
      <c r="AD107">
        <f>HYPERLINK("https://klasma.github.io/Logging_2085/tillsynsmail/A 17987-2025 tillsynsbegäran mail.docx", "A 17987-2025")</f>
        <v/>
      </c>
      <c r="AE107">
        <f>HYPERLINK("https://klasma.github.io/Logging_2085/fåglar/A 17987-2025 prioriterade fågelarter.docx", "A 17987-2025")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46255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HYPERLINK("https://klasma.github.io/Logging_2085/artfynd/A 25588-2023 artfynd.xlsx", "A 25588-2023")</f>
        <v/>
      </c>
      <c r="X108">
        <f>HYPERLINK("https://klasma.github.io/Logging_2085/kartor/A 25588-2023 karta.png", "A 25588-2023")</f>
        <v/>
      </c>
      <c r="Y108">
        <f>HYPERLINK("https://klasma.github.io/Logging_2085/kartor_geotiff/A 25588-2023 georefererad karta.tif", "A 25588-2023")</f>
        <v/>
      </c>
      <c r="AA108">
        <f>HYPERLINK("https://klasma.github.io/Logging_2085/klagomål/A 25588-2023 FSC-klagomål.docx", "A 25588-2023")</f>
        <v/>
      </c>
      <c r="AB108">
        <f>HYPERLINK("https://klasma.github.io/Logging_2085/klagomålsmail/A 25588-2023 FSC-klagomål mail.docx", "A 25588-2023")</f>
        <v/>
      </c>
      <c r="AC108">
        <f>HYPERLINK("https://klasma.github.io/Logging_2085/tillsyn/A 25588-2023 tillsynsbegäran.docx", "A 25588-2023")</f>
        <v/>
      </c>
      <c r="AD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59873-2025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46255</v>
      </c>
      <c r="F109" t="inlineStr">
        <is>
          <t>DALARNAS LÄN</t>
        </is>
      </c>
      <c r="G109" t="inlineStr">
        <is>
          <t>LUDVIKA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Lateritticka</t>
        </is>
      </c>
      <c r="W109">
        <f>HYPERLINK("https://klasma.github.io/Logging_2085/artfynd/A 59873-2025 artfynd.xlsx", "A 59873-2025")</f>
        <v/>
      </c>
      <c r="X109">
        <f>HYPERLINK("https://klasma.github.io/Logging_2085/kartor/A 59873-2025 karta.png", "A 59873-2025")</f>
        <v/>
      </c>
      <c r="Y109">
        <f>HYPERLINK("https://klasma.github.io/Logging_2085/kartor_geotiff/A 59873-2025 georefererad karta.tif", "A 59873-2025")</f>
        <v/>
      </c>
      <c r="AA109">
        <f>HYPERLINK("https://klasma.github.io/Logging_2085/klagomål/A 59873-2025 FSC-klagomål.docx", "A 59873-2025")</f>
        <v/>
      </c>
      <c r="AB109">
        <f>HYPERLINK("https://klasma.github.io/Logging_2085/klagomålsmail/A 59873-2025 FSC-klagomål mail.docx", "A 59873-2025")</f>
        <v/>
      </c>
      <c r="AC109">
        <f>HYPERLINK("https://klasma.github.io/Logging_2085/tillsyn/A 59873-2025 tillsynsbegäran.docx", "A 59873-2025")</f>
        <v/>
      </c>
      <c r="AD109">
        <f>HYPERLINK("https://klasma.github.io/Logging_2085/tillsynsmail/A 59873-2025 tillsynsbegäran mail.docx", "A 59873-2025")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46255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46255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46255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3687-2024 artfynd.xlsx", "A 3687-2024")</f>
        <v/>
      </c>
      <c r="X112">
        <f>HYPERLINK("https://klasma.github.io/Logging_2085/kartor/A 3687-2024 karta.png", "A 3687-2024")</f>
        <v/>
      </c>
      <c r="Y112">
        <f>HYPERLINK("https://klasma.github.io/Logging_2085/kartor_geotiff/A 3687-2024 georefererad karta.tif", "A 3687-2024")</f>
        <v/>
      </c>
      <c r="AA112">
        <f>HYPERLINK("https://klasma.github.io/Logging_2085/klagomål/A 3687-2024 FSC-klagomål.docx", "A 3687-2024")</f>
        <v/>
      </c>
      <c r="AB112">
        <f>HYPERLINK("https://klasma.github.io/Logging_2085/klagomålsmail/A 3687-2024 FSC-klagomål mail.docx", "A 3687-2024")</f>
        <v/>
      </c>
      <c r="AC112">
        <f>HYPERLINK("https://klasma.github.io/Logging_2085/tillsyn/A 3687-2024 tillsynsbegäran.docx", "A 3687-2024")</f>
        <v/>
      </c>
      <c r="AD112">
        <f>HYPERLINK("https://klasma.github.io/Logging_2085/tillsynsmail/A 3687-2024 tillsynsbegäran mail.docx", "A 3687-2024")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46255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56119-2021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44477</v>
      </c>
      <c r="E114" s="1" t="n">
        <v>46255</v>
      </c>
      <c r="F114" t="inlineStr">
        <is>
          <t>DALARNAS LÄN</t>
        </is>
      </c>
      <c r="G114" t="inlineStr">
        <is>
          <t>LUDVIKA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HYPERLINK("https://klasma.github.io/Logging_2085/artfynd/A 56119-2021 artfynd.xlsx", "A 56119-2021")</f>
        <v/>
      </c>
      <c r="X114">
        <f>HYPERLINK("https://klasma.github.io/Logging_2085/kartor/A 56119-2021 karta.png", "A 56119-2021")</f>
        <v/>
      </c>
      <c r="Y114">
        <f>HYPERLINK("https://klasma.github.io/Logging_2085/kartor_geotiff/A 56119-2021 georefererad karta.tif", "A 56119-2021")</f>
        <v/>
      </c>
      <c r="AA114">
        <f>HYPERLINK("https://klasma.github.io/Logging_2085/klagomål/A 56119-2021 FSC-klagomål.docx", "A 56119-2021")</f>
        <v/>
      </c>
      <c r="AB114">
        <f>HYPERLINK("https://klasma.github.io/Logging_2085/klagomålsmail/A 56119-2021 FSC-klagomål mail.docx", "A 56119-2021")</f>
        <v/>
      </c>
      <c r="AC114">
        <f>HYPERLINK("https://klasma.github.io/Logging_2085/tillsyn/A 56119-2021 tillsynsbegäran.docx", "A 56119-2021")</f>
        <v/>
      </c>
      <c r="AD114">
        <f>HYPERLINK("https://klasma.github.io/Logging_2085/tillsynsmail/A 56119-2021 tillsynsbegäran mail.docx", "A 56119-2021")</f>
        <v/>
      </c>
    </row>
    <row r="115" ht="15" customHeight="1">
      <c r="A115" t="inlineStr">
        <is>
          <t>A 1237-2026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46255</v>
      </c>
      <c r="F115" t="inlineStr">
        <is>
          <t>DALARNAS LÄN</t>
        </is>
      </c>
      <c r="G115" t="inlineStr">
        <is>
          <t>LUDVIKA</t>
        </is>
      </c>
      <c r="I115" t="n">
        <v>5.9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Fläcknycklar</t>
        </is>
      </c>
      <c r="W115">
        <f>HYPERLINK("https://klasma.github.io/Logging_2085/artfynd/A 1237-2026 artfynd.xlsx", "A 1237-2026")</f>
        <v/>
      </c>
      <c r="X115">
        <f>HYPERLINK("https://klasma.github.io/Logging_2085/kartor/A 1237-2026 karta.png", "A 1237-2026")</f>
        <v/>
      </c>
      <c r="Y115">
        <f>HYPERLINK("https://klasma.github.io/Logging_2085/kartor_geotiff/A 1237-2026 georefererad karta.tif", "A 1237-2026")</f>
        <v/>
      </c>
      <c r="AA115">
        <f>HYPERLINK("https://klasma.github.io/Logging_2085/klagomål/A 1237-2026 FSC-klagomål.docx", "A 1237-2026")</f>
        <v/>
      </c>
      <c r="AB115">
        <f>HYPERLINK("https://klasma.github.io/Logging_2085/klagomålsmail/A 1237-2026 FSC-klagomål mail.docx", "A 1237-2026")</f>
        <v/>
      </c>
      <c r="AC115">
        <f>HYPERLINK("https://klasma.github.io/Logging_2085/tillsyn/A 1237-2026 tillsynsbegäran.docx", "A 1237-2026")</f>
        <v/>
      </c>
      <c r="AD115">
        <f>HYPERLINK("https://klasma.github.io/Logging_2085/tillsynsmail/A 1237-2026 tillsynsbegäran mail.docx", "A 1237-2026")</f>
        <v/>
      </c>
    </row>
    <row r="116" ht="15" customHeight="1">
      <c r="A116" t="inlineStr">
        <is>
          <t>A 59947-2025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46255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HYPERLINK("https://klasma.github.io/Logging_2085/artfynd/A 59947-2025 artfynd.xlsx", "A 59947-2025")</f>
        <v/>
      </c>
      <c r="X116">
        <f>HYPERLINK("https://klasma.github.io/Logging_2085/kartor/A 59947-2025 karta.png", "A 59947-2025")</f>
        <v/>
      </c>
      <c r="Y116">
        <f>HYPERLINK("https://klasma.github.io/Logging_2085/kartor_geotiff/A 59947-2025 georefererad karta.tif", "A 59947-2025")</f>
        <v/>
      </c>
      <c r="AA116">
        <f>HYPERLINK("https://klasma.github.io/Logging_2085/klagomål/A 59947-2025 FSC-klagomål.docx", "A 59947-2025")</f>
        <v/>
      </c>
      <c r="AB116">
        <f>HYPERLINK("https://klasma.github.io/Logging_2085/klagomålsmail/A 59947-2025 FSC-klagomål mail.docx", "A 59947-2025")</f>
        <v/>
      </c>
      <c r="AC116">
        <f>HYPERLINK("https://klasma.github.io/Logging_2085/tillsyn/A 59947-2025 tillsynsbegäran.docx", "A 59947-2025")</f>
        <v/>
      </c>
      <c r="AD116">
        <f>HYPERLINK("https://klasma.github.io/Logging_2085/tillsynsmail/A 59947-2025 tillsynsbegäran mail.docx", "A 59947-2025")</f>
        <v/>
      </c>
      <c r="AE116">
        <f>HYPERLINK("https://klasma.github.io/Logging_2085/fåglar/A 59947-2025 prioriterade fågelarter.docx", "A 59947-2025")</f>
        <v/>
      </c>
    </row>
    <row r="117" ht="15" customHeight="1">
      <c r="A117" t="inlineStr">
        <is>
          <t>A 21499-2022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46255</v>
      </c>
      <c r="F117" t="inlineStr">
        <is>
          <t>DALARNAS LÄN</t>
        </is>
      </c>
      <c r="G117" t="inlineStr">
        <is>
          <t>LUDVIKA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Strimspindling</t>
        </is>
      </c>
      <c r="W117">
        <f>HYPERLINK("https://klasma.github.io/Logging_2085/artfynd/A 21499-2022 artfynd.xlsx", "A 21499-2022")</f>
        <v/>
      </c>
      <c r="X117">
        <f>HYPERLINK("https://klasma.github.io/Logging_2085/kartor/A 21499-2022 karta.png", "A 21499-2022")</f>
        <v/>
      </c>
      <c r="Y117">
        <f>HYPERLINK("https://klasma.github.io/Logging_2085/kartor_geotiff/A 21499-2022 georefererad karta.tif", "A 21499-2022")</f>
        <v/>
      </c>
      <c r="AA117">
        <f>HYPERLINK("https://klasma.github.io/Logging_2085/klagomål/A 21499-2022 FSC-klagomål.docx", "A 21499-2022")</f>
        <v/>
      </c>
      <c r="AB117">
        <f>HYPERLINK("https://klasma.github.io/Logging_2085/klagomålsmail/A 21499-2022 FSC-klagomål mail.docx", "A 21499-2022")</f>
        <v/>
      </c>
      <c r="AC117">
        <f>HYPERLINK("https://klasma.github.io/Logging_2085/tillsyn/A 21499-2022 tillsynsbegäran.docx", "A 21499-2022")</f>
        <v/>
      </c>
      <c r="AD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46255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18189-2025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46255</v>
      </c>
      <c r="F119" t="inlineStr">
        <is>
          <t>DALARNAS LÄN</t>
        </is>
      </c>
      <c r="G119" t="inlineStr">
        <is>
          <t>LUDVIKA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HYPERLINK("https://klasma.github.io/Logging_2085/artfynd/A 18189-2025 artfynd.xlsx", "A 18189-2025")</f>
        <v/>
      </c>
      <c r="X119">
        <f>HYPERLINK("https://klasma.github.io/Logging_2085/kartor/A 18189-2025 karta.png", "A 18189-2025")</f>
        <v/>
      </c>
      <c r="Y119">
        <f>HYPERLINK("https://klasma.github.io/Logging_2085/kartor_geotiff/A 18189-2025 georefererad karta.tif", "A 18189-2025")</f>
        <v/>
      </c>
      <c r="AA119">
        <f>HYPERLINK("https://klasma.github.io/Logging_2085/klagomål/A 18189-2025 FSC-klagomål.docx", "A 18189-2025")</f>
        <v/>
      </c>
      <c r="AB119">
        <f>HYPERLINK("https://klasma.github.io/Logging_2085/klagomålsmail/A 18189-2025 FSC-klagomål mail.docx", "A 18189-2025")</f>
        <v/>
      </c>
      <c r="AC119">
        <f>HYPERLINK("https://klasma.github.io/Logging_2085/tillsyn/A 18189-2025 tillsynsbegäran.docx", "A 18189-2025")</f>
        <v/>
      </c>
      <c r="AD119">
        <f>HYPERLINK("https://klasma.github.io/Logging_2085/tillsynsmail/A 18189-2025 tillsynsbegäran mail.docx", "A 18189-2025")</f>
        <v/>
      </c>
    </row>
    <row r="120" ht="15" customHeight="1">
      <c r="A120" t="inlineStr">
        <is>
          <t>A 23720-2026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46163</v>
      </c>
      <c r="E120" s="1" t="n">
        <v>46255</v>
      </c>
      <c r="F120" t="inlineStr">
        <is>
          <t>DALARNAS LÄN</t>
        </is>
      </c>
      <c r="G120" t="inlineStr">
        <is>
          <t>LUDVIKA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Tretåig hackspett</t>
        </is>
      </c>
      <c r="W120">
        <f>HYPERLINK("https://klasma.github.io/Logging_2085/artfynd/A 23720-2026 artfynd.xlsx", "A 23720-2026")</f>
        <v/>
      </c>
      <c r="X120">
        <f>HYPERLINK("https://klasma.github.io/Logging_2085/kartor/A 23720-2026 karta.png", "A 23720-2026")</f>
        <v/>
      </c>
      <c r="Y120">
        <f>HYPERLINK("https://klasma.github.io/Logging_2085/kartor_geotiff/A 23720-2026 georefererad karta.tif", "A 23720-2026")</f>
        <v/>
      </c>
      <c r="AA120">
        <f>HYPERLINK("https://klasma.github.io/Logging_2085/klagomål/A 23720-2026 FSC-klagomål.docx", "A 23720-2026")</f>
        <v/>
      </c>
      <c r="AB120">
        <f>HYPERLINK("https://klasma.github.io/Logging_2085/klagomålsmail/A 23720-2026 FSC-klagomål mail.docx", "A 23720-2026")</f>
        <v/>
      </c>
      <c r="AC120">
        <f>HYPERLINK("https://klasma.github.io/Logging_2085/tillsyn/A 23720-2026 tillsynsbegäran.docx", "A 23720-2026")</f>
        <v/>
      </c>
      <c r="AD120">
        <f>HYPERLINK("https://klasma.github.io/Logging_2085/tillsynsmail/A 23720-2026 tillsynsbegäran mail.docx", "A 23720-2026")</f>
        <v/>
      </c>
      <c r="AE120">
        <f>HYPERLINK("https://klasma.github.io/Logging_2085/fåglar/A 23720-2026 prioriterade fågelarter.docx", "A 23720-2026")</f>
        <v/>
      </c>
    </row>
    <row r="121" ht="15" customHeight="1">
      <c r="A121" t="inlineStr">
        <is>
          <t>A 23778-2026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46164</v>
      </c>
      <c r="E121" s="1" t="n">
        <v>46255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23778-2026 artfynd.xlsx", "A 23778-2026")</f>
        <v/>
      </c>
      <c r="X121">
        <f>HYPERLINK("https://klasma.github.io/Logging_2085/kartor/A 23778-2026 karta.png", "A 23778-2026")</f>
        <v/>
      </c>
      <c r="Y121">
        <f>HYPERLINK("https://klasma.github.io/Logging_2085/kartor_geotiff/A 23778-2026 georefererad karta.tif", "A 23778-2026")</f>
        <v/>
      </c>
      <c r="AA121">
        <f>HYPERLINK("https://klasma.github.io/Logging_2085/klagomål/A 23778-2026 FSC-klagomål.docx", "A 23778-2026")</f>
        <v/>
      </c>
      <c r="AB121">
        <f>HYPERLINK("https://klasma.github.io/Logging_2085/klagomålsmail/A 23778-2026 FSC-klagomål mail.docx", "A 23778-2026")</f>
        <v/>
      </c>
      <c r="AC121">
        <f>HYPERLINK("https://klasma.github.io/Logging_2085/tillsyn/A 23778-2026 tillsynsbegäran.docx", "A 23778-2026")</f>
        <v/>
      </c>
      <c r="AD121">
        <f>HYPERLINK("https://klasma.github.io/Logging_2085/tillsynsmail/A 23778-2026 tillsynsbegäran mail.docx", "A 23778-2026")</f>
        <v/>
      </c>
      <c r="AE121">
        <f>HYPERLINK("https://klasma.github.io/Logging_2085/fåglar/A 23778-2026 prioriterade fågelarter.docx", "A 23778-2026")</f>
        <v/>
      </c>
    </row>
    <row r="122" ht="15" customHeight="1">
      <c r="A122" t="inlineStr">
        <is>
          <t>A 63005-2025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46255</v>
      </c>
      <c r="F122" t="inlineStr">
        <is>
          <t>DALARNAS LÄN</t>
        </is>
      </c>
      <c r="G122" t="inlineStr">
        <is>
          <t>LUDVIKA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63005-2025 artfynd.xlsx", "A 63005-2025")</f>
        <v/>
      </c>
      <c r="X122">
        <f>HYPERLINK("https://klasma.github.io/Logging_2085/kartor/A 63005-2025 karta.png", "A 63005-2025")</f>
        <v/>
      </c>
      <c r="Y122">
        <f>HYPERLINK("https://klasma.github.io/Logging_2085/kartor_geotiff/A 63005-2025 georefererad karta.tif", "A 63005-2025")</f>
        <v/>
      </c>
      <c r="AA122">
        <f>HYPERLINK("https://klasma.github.io/Logging_2085/klagomål/A 63005-2025 FSC-klagomål.docx", "A 63005-2025")</f>
        <v/>
      </c>
      <c r="AB122">
        <f>HYPERLINK("https://klasma.github.io/Logging_2085/klagomålsmail/A 63005-2025 FSC-klagomål mail.docx", "A 63005-2025")</f>
        <v/>
      </c>
      <c r="AC122">
        <f>HYPERLINK("https://klasma.github.io/Logging_2085/tillsyn/A 63005-2025 tillsynsbegäran.docx", "A 63005-2025")</f>
        <v/>
      </c>
      <c r="AD122">
        <f>HYPERLINK("https://klasma.github.io/Logging_2085/tillsynsmail/A 63005-2025 tillsynsbegäran mail.docx", "A 63005-2025")</f>
        <v/>
      </c>
      <c r="AE122">
        <f>HYPERLINK("https://klasma.github.io/Logging_2085/fåglar/A 63005-2025 prioriterade fågelarter.docx", "A 63005-2025")</f>
        <v/>
      </c>
    </row>
    <row r="123" ht="15" customHeight="1">
      <c r="A123" t="inlineStr">
        <is>
          <t>A 25159-2026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46175</v>
      </c>
      <c r="E123" s="1" t="n">
        <v>46255</v>
      </c>
      <c r="F123" t="inlineStr">
        <is>
          <t>DALARNAS LÄN</t>
        </is>
      </c>
      <c r="G123" t="inlineStr">
        <is>
          <t>LUDVIKA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HYPERLINK("https://klasma.github.io/Logging_2085/artfynd/A 25159-2026 artfynd.xlsx", "A 25159-2026")</f>
        <v/>
      </c>
      <c r="X123">
        <f>HYPERLINK("https://klasma.github.io/Logging_2085/kartor/A 25159-2026 karta.png", "A 25159-2026")</f>
        <v/>
      </c>
      <c r="Y123">
        <f>HYPERLINK("https://klasma.github.io/Logging_2085/kartor_geotiff/A 25159-2026 georefererad karta.tif", "A 25159-2026")</f>
        <v/>
      </c>
      <c r="AA123">
        <f>HYPERLINK("https://klasma.github.io/Logging_2085/klagomål/A 25159-2026 FSC-klagomål.docx", "A 25159-2026")</f>
        <v/>
      </c>
      <c r="AB123">
        <f>HYPERLINK("https://klasma.github.io/Logging_2085/klagomålsmail/A 25159-2026 FSC-klagomål mail.docx", "A 25159-2026")</f>
        <v/>
      </c>
      <c r="AC123">
        <f>HYPERLINK("https://klasma.github.io/Logging_2085/tillsyn/A 25159-2026 tillsynsbegäran.docx", "A 25159-2026")</f>
        <v/>
      </c>
      <c r="AD123">
        <f>HYPERLINK("https://klasma.github.io/Logging_2085/tillsynsmail/A 25159-2026 tillsynsbegäran mail.docx", "A 25159-2026")</f>
        <v/>
      </c>
    </row>
    <row r="124" ht="15" customHeight="1">
      <c r="A124" t="inlineStr">
        <is>
          <t>A 31352-2026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46219</v>
      </c>
      <c r="E124" s="1" t="n">
        <v>46255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HYPERLINK("https://klasma.github.io/Logging_2085/artfynd/A 31352-2026 artfynd.xlsx", "A 31352-2026")</f>
        <v/>
      </c>
      <c r="X124">
        <f>HYPERLINK("https://klasma.github.io/Logging_2085/kartor/A 31352-2026 karta.png", "A 31352-2026")</f>
        <v/>
      </c>
      <c r="Y124">
        <f>HYPERLINK("https://klasma.github.io/Logging_2085/kartor_geotiff/A 31352-2026 georefererad karta.tif", "A 31352-2026")</f>
        <v/>
      </c>
      <c r="AA124">
        <f>HYPERLINK("https://klasma.github.io/Logging_2085/klagomål/A 31352-2026 FSC-klagomål.docx", "A 31352-2026")</f>
        <v/>
      </c>
      <c r="AB124">
        <f>HYPERLINK("https://klasma.github.io/Logging_2085/klagomålsmail/A 31352-2026 FSC-klagomål mail.docx", "A 31352-2026")</f>
        <v/>
      </c>
      <c r="AC124">
        <f>HYPERLINK("https://klasma.github.io/Logging_2085/tillsyn/A 31352-2026 tillsynsbegäran.docx", "A 31352-2026")</f>
        <v/>
      </c>
      <c r="AD124">
        <f>HYPERLINK("https://klasma.github.io/Logging_2085/tillsynsmail/A 31352-2026 tillsynsbegäran mail.docx", "A 31352-2026")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46255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46255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46255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51886-2022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46255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Brun gräsfjäril</t>
        </is>
      </c>
      <c r="W128">
        <f>HYPERLINK("https://klasma.github.io/Logging_2085/artfynd/A 51886-2022 artfynd.xlsx", "A 51886-2022")</f>
        <v/>
      </c>
      <c r="X128">
        <f>HYPERLINK("https://klasma.github.io/Logging_2085/kartor/A 51886-2022 karta.png", "A 51886-2022")</f>
        <v/>
      </c>
      <c r="Y128">
        <f>HYPERLINK("https://klasma.github.io/Logging_2085/kartor_geotiff/A 51886-2022 georefererad karta.tif", "A 51886-2022")</f>
        <v/>
      </c>
      <c r="AA128">
        <f>HYPERLINK("https://klasma.github.io/Logging_2085/klagomål/A 51886-2022 FSC-klagomål.docx", "A 51886-2022")</f>
        <v/>
      </c>
      <c r="AB128">
        <f>HYPERLINK("https://klasma.github.io/Logging_2085/klagomålsmail/A 51886-2022 FSC-klagomål mail.docx", "A 51886-2022")</f>
        <v/>
      </c>
      <c r="AC128">
        <f>HYPERLINK("https://klasma.github.io/Logging_2085/tillsyn/A 51886-2022 tillsynsbegäran.docx", "A 51886-2022")</f>
        <v/>
      </c>
      <c r="AD128">
        <f>HYPERLINK("https://klasma.github.io/Logging_2085/tillsynsmail/A 51886-2022 tillsynsbegäran mail.docx", "A 51886-2022")</f>
        <v/>
      </c>
    </row>
    <row r="129" ht="15" customHeight="1">
      <c r="A129" t="inlineStr">
        <is>
          <t>A 1047-2023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44929</v>
      </c>
      <c r="E129" s="1" t="n">
        <v>46255</v>
      </c>
      <c r="F129" t="inlineStr">
        <is>
          <t>DALARNAS LÄN</t>
        </is>
      </c>
      <c r="G129" t="inlineStr">
        <is>
          <t>LUDVIKA</t>
        </is>
      </c>
      <c r="H129" t="inlineStr">
        <is>
          <t>Kommuner</t>
        </is>
      </c>
      <c r="I129" t="n">
        <v>3.2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HYPERLINK("https://klasma.github.io/Logging_2085/artfynd/A 1047-2023 artfynd.xlsx", "A 1047-2023")</f>
        <v/>
      </c>
      <c r="X129">
        <f>HYPERLINK("https://klasma.github.io/Logging_2085/kartor/A 1047-2023 karta.png", "A 1047-2023")</f>
        <v/>
      </c>
      <c r="Y129">
        <f>HYPERLINK("https://klasma.github.io/Logging_2085/kartor_geotiff/A 1047-2023 georefererad karta.tif", "A 1047-2023")</f>
        <v/>
      </c>
      <c r="AA129">
        <f>HYPERLINK("https://klasma.github.io/Logging_2085/klagomål/A 1047-2023 FSC-klagomål.docx", "A 1047-2023")</f>
        <v/>
      </c>
      <c r="AB129">
        <f>HYPERLINK("https://klasma.github.io/Logging_2085/klagomålsmail/A 1047-2023 FSC-klagomål mail.docx", "A 1047-2023")</f>
        <v/>
      </c>
      <c r="AC129">
        <f>HYPERLINK("https://klasma.github.io/Logging_2085/tillsyn/A 1047-2023 tillsynsbegäran.docx", "A 1047-2023")</f>
        <v/>
      </c>
      <c r="AD129">
        <f>HYPERLINK("https://klasma.github.io/Logging_2085/tillsynsmail/A 1047-2023 tillsynsbegäran mail.docx", "A 1047-2023")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46255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46255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46255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46255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46255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46255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46255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46255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46255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46255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46255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46255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46255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46255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46255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46255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46255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46255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46255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46255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46255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46255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46255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46255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46255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46255</v>
      </c>
      <c r="F156" t="inlineStr">
        <is>
          <t>DALARNAS LÄN</t>
        </is>
      </c>
      <c r="G156" t="inlineStr">
        <is>
          <t>LUDVIKA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63267-2021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44508</v>
      </c>
      <c r="E157" s="1" t="n">
        <v>46255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46255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44715</v>
      </c>
      <c r="E159" s="1" t="n">
        <v>46255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46255</v>
      </c>
      <c r="F160" t="inlineStr">
        <is>
          <t>DALARNAS LÄN</t>
        </is>
      </c>
      <c r="G160" t="inlineStr">
        <is>
          <t>LUDVIKA</t>
        </is>
      </c>
      <c r="H160" t="inlineStr">
        <is>
          <t>Naturvårdsverket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45335</v>
      </c>
      <c r="E161" s="1" t="n">
        <v>46255</v>
      </c>
      <c r="F161" t="inlineStr">
        <is>
          <t>DALARNAS LÄN</t>
        </is>
      </c>
      <c r="G161" t="inlineStr">
        <is>
          <t>LUDVIKA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46255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46255</v>
      </c>
      <c r="F163" t="inlineStr">
        <is>
          <t>DALARNAS LÄN</t>
        </is>
      </c>
      <c r="G163" t="inlineStr">
        <is>
          <t>LUDVIKA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46255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46255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44826</v>
      </c>
      <c r="E166" s="1" t="n">
        <v>46255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34845-2024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45526</v>
      </c>
      <c r="E167" s="1" t="n">
        <v>46255</v>
      </c>
      <c r="F167" t="inlineStr">
        <is>
          <t>DALARNAS LÄN</t>
        </is>
      </c>
      <c r="G167" t="inlineStr">
        <is>
          <t>LUDVIKA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46255</v>
      </c>
      <c r="F168" t="inlineStr">
        <is>
          <t>DALARNAS LÄN</t>
        </is>
      </c>
      <c r="G168" t="inlineStr">
        <is>
          <t>LUDVIKA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46255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11436-2024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45372</v>
      </c>
      <c r="E170" s="1" t="n">
        <v>46255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45208</v>
      </c>
      <c r="E171" s="1" t="n">
        <v>46255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46255</v>
      </c>
      <c r="F172" t="inlineStr">
        <is>
          <t>DALARNAS LÄN</t>
        </is>
      </c>
      <c r="G172" t="inlineStr">
        <is>
          <t>LUDVIKA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46255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31702-2023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45105</v>
      </c>
      <c r="E174" s="1" t="n">
        <v>46255</v>
      </c>
      <c r="F174" t="inlineStr">
        <is>
          <t>DALARNAS LÄN</t>
        </is>
      </c>
      <c r="G174" t="inlineStr">
        <is>
          <t>LUDVIKA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46255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46255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47496-2022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44853</v>
      </c>
      <c r="E177" s="1" t="n">
        <v>46255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46255</v>
      </c>
      <c r="F178" t="inlineStr">
        <is>
          <t>DALARNAS LÄN</t>
        </is>
      </c>
      <c r="G178" t="inlineStr">
        <is>
          <t>LUDVIKA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46255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45502</v>
      </c>
      <c r="E180" s="1" t="n">
        <v>46255</v>
      </c>
      <c r="F180" t="inlineStr">
        <is>
          <t>DALARNAS LÄN</t>
        </is>
      </c>
      <c r="G180" t="inlineStr">
        <is>
          <t>LUDVIKA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46255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46255</v>
      </c>
      <c r="F182" t="inlineStr">
        <is>
          <t>DALARNAS LÄN</t>
        </is>
      </c>
      <c r="G182" t="inlineStr">
        <is>
          <t>LUDVIKA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44844</v>
      </c>
      <c r="E183" s="1" t="n">
        <v>46255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46255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46255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46255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46255</v>
      </c>
      <c r="F187" t="inlineStr">
        <is>
          <t>DALARNAS LÄN</t>
        </is>
      </c>
      <c r="G187" t="inlineStr">
        <is>
          <t>LUDVIKA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46255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65195-2021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44515</v>
      </c>
      <c r="E189" s="1" t="n">
        <v>46255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45519</v>
      </c>
      <c r="E190" s="1" t="n">
        <v>46255</v>
      </c>
      <c r="F190" t="inlineStr">
        <is>
          <t>DALARNAS LÄN</t>
        </is>
      </c>
      <c r="G190" t="inlineStr">
        <is>
          <t>LUDVIKA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46255</v>
      </c>
      <c r="F191" t="inlineStr">
        <is>
          <t>DALARNAS LÄN</t>
        </is>
      </c>
      <c r="G191" t="inlineStr">
        <is>
          <t>LUDVIKA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46255</v>
      </c>
      <c r="F192" t="inlineStr">
        <is>
          <t>DALARNAS LÄN</t>
        </is>
      </c>
      <c r="G192" t="inlineStr">
        <is>
          <t>LUDVIKA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46255</v>
      </c>
      <c r="F193" t="inlineStr">
        <is>
          <t>DALARNAS LÄN</t>
        </is>
      </c>
      <c r="G193" t="inlineStr">
        <is>
          <t>LUDVIKA</t>
        </is>
      </c>
      <c r="H193" t="inlineStr">
        <is>
          <t>Övriga Aktiebolag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46255</v>
      </c>
      <c r="F194" t="inlineStr">
        <is>
          <t>DALARNAS LÄN</t>
        </is>
      </c>
      <c r="G194" t="inlineStr">
        <is>
          <t>LUDVIKA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46255</v>
      </c>
      <c r="F195" t="inlineStr">
        <is>
          <t>DALARNAS LÄN</t>
        </is>
      </c>
      <c r="G195" t="inlineStr">
        <is>
          <t>LUDVIKA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46255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46255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46255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46255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46255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46255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46255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45603</v>
      </c>
      <c r="E203" s="1" t="n">
        <v>46255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46255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32019-2025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46255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45589</v>
      </c>
      <c r="E206" s="1" t="n">
        <v>46255</v>
      </c>
      <c r="F206" t="inlineStr">
        <is>
          <t>DALARNAS LÄN</t>
        </is>
      </c>
      <c r="G206" t="inlineStr">
        <is>
          <t>LUDVIKA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46255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46255</v>
      </c>
      <c r="F208" t="inlineStr">
        <is>
          <t>DALARNAS LÄN</t>
        </is>
      </c>
      <c r="G208" t="inlineStr">
        <is>
          <t>LUDVIKA</t>
        </is>
      </c>
      <c r="H208" t="inlineStr">
        <is>
          <t>Naturvårdsverket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46255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46255</v>
      </c>
      <c r="F210" t="inlineStr">
        <is>
          <t>DALARNAS LÄN</t>
        </is>
      </c>
      <c r="G210" t="inlineStr">
        <is>
          <t>LUDVIKA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46255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46255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46255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46255</v>
      </c>
      <c r="F214" t="inlineStr">
        <is>
          <t>DALARNAS LÄN</t>
        </is>
      </c>
      <c r="G214" t="inlineStr">
        <is>
          <t>LUDVIKA</t>
        </is>
      </c>
      <c r="H214" t="inlineStr">
        <is>
          <t>Naturvårdsverket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46255</v>
      </c>
      <c r="F215" t="inlineStr">
        <is>
          <t>DALARNAS LÄN</t>
        </is>
      </c>
      <c r="G215" t="inlineStr">
        <is>
          <t>LUDVIKA</t>
        </is>
      </c>
      <c r="H215" t="inlineStr">
        <is>
          <t>Övriga Aktiebolag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45607</v>
      </c>
      <c r="E216" s="1" t="n">
        <v>46255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34067-2025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45845</v>
      </c>
      <c r="E217" s="1" t="n">
        <v>46255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46255</v>
      </c>
      <c r="F218" t="inlineStr">
        <is>
          <t>DALARNAS LÄN</t>
        </is>
      </c>
      <c r="G218" t="inlineStr">
        <is>
          <t>LUDVIKA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45502</v>
      </c>
      <c r="E219" s="1" t="n">
        <v>46255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46255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46255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45525</v>
      </c>
      <c r="E222" s="1" t="n">
        <v>46255</v>
      </c>
      <c r="F222" t="inlineStr">
        <is>
          <t>DALARNAS LÄN</t>
        </is>
      </c>
      <c r="G222" t="inlineStr">
        <is>
          <t>LUDVIKA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46255</v>
      </c>
      <c r="F223" t="inlineStr">
        <is>
          <t>DALARNAS LÄN</t>
        </is>
      </c>
      <c r="G223" t="inlineStr">
        <is>
          <t>LUDVIKA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56615-2025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45975</v>
      </c>
      <c r="E224" s="1" t="n">
        <v>46255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45825</v>
      </c>
      <c r="E225" s="1" t="n">
        <v>46255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46255</v>
      </c>
      <c r="F226" t="inlineStr">
        <is>
          <t>DALARNAS LÄN</t>
        </is>
      </c>
      <c r="G226" t="inlineStr">
        <is>
          <t>LUDVIKA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46255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45224</v>
      </c>
      <c r="E228" s="1" t="n">
        <v>46255</v>
      </c>
      <c r="F228" t="inlineStr">
        <is>
          <t>DALARNAS LÄN</t>
        </is>
      </c>
      <c r="G228" t="inlineStr">
        <is>
          <t>LUDVIKA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46255</v>
      </c>
      <c r="F229" t="inlineStr">
        <is>
          <t>DALARNAS LÄN</t>
        </is>
      </c>
      <c r="G229" t="inlineStr">
        <is>
          <t>LUDVIKA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46255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46255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46255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46255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45512</v>
      </c>
      <c r="E234" s="1" t="n">
        <v>46255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46255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46255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46255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46255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45623</v>
      </c>
      <c r="E239" s="1" t="n">
        <v>46255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46255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44680</v>
      </c>
      <c r="E241" s="1" t="n">
        <v>46255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44978</v>
      </c>
      <c r="E242" s="1" t="n">
        <v>46255</v>
      </c>
      <c r="F242" t="inlineStr">
        <is>
          <t>DALARNAS LÄN</t>
        </is>
      </c>
      <c r="G242" t="inlineStr">
        <is>
          <t>LUDVIKA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46255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45869</v>
      </c>
      <c r="E244" s="1" t="n">
        <v>46255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45337</v>
      </c>
      <c r="E245" s="1" t="n">
        <v>46255</v>
      </c>
      <c r="F245" t="inlineStr">
        <is>
          <t>DALARNAS LÄN</t>
        </is>
      </c>
      <c r="G245" t="inlineStr">
        <is>
          <t>LUDVIKA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46255</v>
      </c>
      <c r="F246" t="inlineStr">
        <is>
          <t>DALARNAS LÄN</t>
        </is>
      </c>
      <c r="G246" t="inlineStr">
        <is>
          <t>LUDVIKA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41866-2025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46255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46255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46255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22000-2022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44711</v>
      </c>
      <c r="E250" s="1" t="n">
        <v>46255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36338-2025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45868</v>
      </c>
      <c r="E251" s="1" t="n">
        <v>46255</v>
      </c>
      <c r="F251" t="inlineStr">
        <is>
          <t>DALARNAS LÄN</t>
        </is>
      </c>
      <c r="G251" t="inlineStr">
        <is>
          <t>LUDVIKA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46255</v>
      </c>
      <c r="F252" t="inlineStr">
        <is>
          <t>DALARNAS LÄN</t>
        </is>
      </c>
      <c r="G252" t="inlineStr">
        <is>
          <t>LUDVIKA</t>
        </is>
      </c>
      <c r="H252" t="inlineStr">
        <is>
          <t>Naturvårdsverket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46255</v>
      </c>
      <c r="F253" t="inlineStr">
        <is>
          <t>DALARNAS LÄN</t>
        </is>
      </c>
      <c r="G253" t="inlineStr">
        <is>
          <t>LUDVIKA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46255</v>
      </c>
      <c r="F254" t="inlineStr">
        <is>
          <t>DALARNAS LÄN</t>
        </is>
      </c>
      <c r="G254" t="inlineStr">
        <is>
          <t>LUDVIKA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45624</v>
      </c>
      <c r="E255" s="1" t="n">
        <v>46255</v>
      </c>
      <c r="F255" t="inlineStr">
        <is>
          <t>DALARNAS LÄN</t>
        </is>
      </c>
      <c r="G255" t="inlineStr">
        <is>
          <t>LUDVIKA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43145-2025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46255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46255</v>
      </c>
      <c r="F257" t="inlineStr">
        <is>
          <t>DALARNAS LÄN</t>
        </is>
      </c>
      <c r="G257" t="inlineStr">
        <is>
          <t>LUDVIKA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43345-2025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46255</v>
      </c>
      <c r="F258" t="inlineStr">
        <is>
          <t>DALARNAS LÄN</t>
        </is>
      </c>
      <c r="G258" t="inlineStr">
        <is>
          <t>LUDVIKA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46255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46255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46255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46255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46255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46255</v>
      </c>
      <c r="F264" t="inlineStr">
        <is>
          <t>DALARNAS LÄN</t>
        </is>
      </c>
      <c r="G264" t="inlineStr">
        <is>
          <t>LUDVIKA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46255</v>
      </c>
      <c r="F265" t="inlineStr">
        <is>
          <t>DALARNAS LÄN</t>
        </is>
      </c>
      <c r="G265" t="inlineStr">
        <is>
          <t>LUDVIKA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46255</v>
      </c>
      <c r="F266" t="inlineStr">
        <is>
          <t>DALARNAS LÄN</t>
        </is>
      </c>
      <c r="G266" t="inlineStr">
        <is>
          <t>LUDVIKA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45301</v>
      </c>
      <c r="E267" s="1" t="n">
        <v>46255</v>
      </c>
      <c r="F267" t="inlineStr">
        <is>
          <t>DALARNAS LÄN</t>
        </is>
      </c>
      <c r="G267" t="inlineStr">
        <is>
          <t>LUDVIKA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46255</v>
      </c>
      <c r="F268" t="inlineStr">
        <is>
          <t>DALARNAS LÄN</t>
        </is>
      </c>
      <c r="G268" t="inlineStr">
        <is>
          <t>LUDVIKA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45593</v>
      </c>
      <c r="E269" s="1" t="n">
        <v>46255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46255</v>
      </c>
      <c r="F270" t="inlineStr">
        <is>
          <t>DALARNAS LÄN</t>
        </is>
      </c>
      <c r="G270" t="inlineStr">
        <is>
          <t>LUDVIKA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46255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46255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46255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46255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46255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46255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46255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46255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46255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46255</v>
      </c>
      <c r="F280" t="inlineStr">
        <is>
          <t>DALARNAS LÄN</t>
        </is>
      </c>
      <c r="G280" t="inlineStr">
        <is>
          <t>LUDVIKA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46255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46255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46255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46255</v>
      </c>
      <c r="F284" t="inlineStr">
        <is>
          <t>DALARNAS LÄN</t>
        </is>
      </c>
      <c r="G284" t="inlineStr">
        <is>
          <t>LUDVIKA</t>
        </is>
      </c>
      <c r="H284" t="inlineStr">
        <is>
          <t>Naturvårdsverket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45638</v>
      </c>
      <c r="E285" s="1" t="n">
        <v>46255</v>
      </c>
      <c r="F285" t="inlineStr">
        <is>
          <t>DALARNAS LÄN</t>
        </is>
      </c>
      <c r="G285" t="inlineStr">
        <is>
          <t>LUDVIKA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45644</v>
      </c>
      <c r="E286" s="1" t="n">
        <v>46255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43240-2024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45568</v>
      </c>
      <c r="E287" s="1" t="n">
        <v>46255</v>
      </c>
      <c r="F287" t="inlineStr">
        <is>
          <t>DALARNAS LÄN</t>
        </is>
      </c>
      <c r="G287" t="inlineStr">
        <is>
          <t>LUDVIKA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25273-2022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44729</v>
      </c>
      <c r="E288" s="1" t="n">
        <v>46255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46255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46255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46255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45944</v>
      </c>
      <c r="E292" s="1" t="n">
        <v>46255</v>
      </c>
      <c r="F292" t="inlineStr">
        <is>
          <t>DALARNAS LÄN</t>
        </is>
      </c>
      <c r="G292" t="inlineStr">
        <is>
          <t>LUDVIKA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2838-2022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44581</v>
      </c>
      <c r="E293" s="1" t="n">
        <v>46255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40142-2022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44820</v>
      </c>
      <c r="E294" s="1" t="n">
        <v>46255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44820</v>
      </c>
      <c r="E295" s="1" t="n">
        <v>46255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46255</v>
      </c>
      <c r="F296" t="inlineStr">
        <is>
          <t>DALARNAS LÄN</t>
        </is>
      </c>
      <c r="G296" t="inlineStr">
        <is>
          <t>LUDVIKA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52552-2025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46255</v>
      </c>
      <c r="F297" t="inlineStr">
        <is>
          <t>DALARNAS LÄN</t>
        </is>
      </c>
      <c r="G297" t="inlineStr">
        <is>
          <t>LUDVIKA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46255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45687</v>
      </c>
      <c r="E299" s="1" t="n">
        <v>46255</v>
      </c>
      <c r="F299" t="inlineStr">
        <is>
          <t>DALARNAS LÄN</t>
        </is>
      </c>
      <c r="G299" t="inlineStr">
        <is>
          <t>LUDVIKA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46255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46255</v>
      </c>
      <c r="F301" t="inlineStr">
        <is>
          <t>DALARNAS LÄN</t>
        </is>
      </c>
      <c r="G301" t="inlineStr">
        <is>
          <t>LUDVIKA</t>
        </is>
      </c>
      <c r="H301" t="inlineStr">
        <is>
          <t>Övriga Aktiebolag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46255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46255</v>
      </c>
      <c r="F303" t="inlineStr">
        <is>
          <t>DALARNAS LÄN</t>
        </is>
      </c>
      <c r="G303" t="inlineStr">
        <is>
          <t>LUDVIKA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46255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52427-2025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46255</v>
      </c>
      <c r="F305" t="inlineStr">
        <is>
          <t>DALARNAS LÄN</t>
        </is>
      </c>
      <c r="G305" t="inlineStr">
        <is>
          <t>LUDVIKA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46255</v>
      </c>
      <c r="F306" t="inlineStr">
        <is>
          <t>DALARNAS LÄN</t>
        </is>
      </c>
      <c r="G306" t="inlineStr">
        <is>
          <t>LUDVIKA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46255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52556-2025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46255</v>
      </c>
      <c r="F308" t="inlineStr">
        <is>
          <t>DALARNAS LÄN</t>
        </is>
      </c>
      <c r="G308" t="inlineStr">
        <is>
          <t>LUDVIKA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46255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46255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45765</v>
      </c>
      <c r="E311" s="1" t="n">
        <v>46255</v>
      </c>
      <c r="F311" t="inlineStr">
        <is>
          <t>DALARNAS LÄN</t>
        </is>
      </c>
      <c r="G311" t="inlineStr">
        <is>
          <t>LUDVIKA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46255</v>
      </c>
      <c r="F312" t="inlineStr">
        <is>
          <t>DALARNAS LÄN</t>
        </is>
      </c>
      <c r="G312" t="inlineStr">
        <is>
          <t>LUDVIKA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46255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46255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45963</v>
      </c>
      <c r="E315" s="1" t="n">
        <v>46255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46255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46255</v>
      </c>
      <c r="F317" t="inlineStr">
        <is>
          <t>DALARNAS LÄN</t>
        </is>
      </c>
      <c r="G317" t="inlineStr">
        <is>
          <t>LUDVIKA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61621-2022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44916</v>
      </c>
      <c r="E318" s="1" t="n">
        <v>46255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46255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46255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54341-2025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45965</v>
      </c>
      <c r="E321" s="1" t="n">
        <v>46255</v>
      </c>
      <c r="F321" t="inlineStr">
        <is>
          <t>DALARNAS LÄN</t>
        </is>
      </c>
      <c r="G321" t="inlineStr">
        <is>
          <t>LUDVIKA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46255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46255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30844-2024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45497</v>
      </c>
      <c r="E324" s="1" t="n">
        <v>46255</v>
      </c>
      <c r="F324" t="inlineStr">
        <is>
          <t>DALARNAS LÄN</t>
        </is>
      </c>
      <c r="G324" t="inlineStr">
        <is>
          <t>LUDVIKA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43115-2021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44431</v>
      </c>
      <c r="E325" s="1" t="n">
        <v>46255</v>
      </c>
      <c r="F325" t="inlineStr">
        <is>
          <t>DALARNAS LÄN</t>
        </is>
      </c>
      <c r="G325" t="inlineStr">
        <is>
          <t>LUDVIKA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45106</v>
      </c>
      <c r="E326" s="1" t="n">
        <v>46255</v>
      </c>
      <c r="F326" t="inlineStr">
        <is>
          <t>DALARNAS LÄN</t>
        </is>
      </c>
      <c r="G326" t="inlineStr">
        <is>
          <t>LUDVIKA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46255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46255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46255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46255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46255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46255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46255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46255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46255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56030-2025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46255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46255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46255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46255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46255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45411</v>
      </c>
      <c r="E341" s="1" t="n">
        <v>46255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46255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44942</v>
      </c>
      <c r="E343" s="1" t="n">
        <v>46255</v>
      </c>
      <c r="F343" t="inlineStr">
        <is>
          <t>DALARNAS LÄN</t>
        </is>
      </c>
      <c r="G343" t="inlineStr">
        <is>
          <t>LUDVIKA</t>
        </is>
      </c>
      <c r="I343" t="n">
        <v>13.1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46255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46255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45603</v>
      </c>
      <c r="E346" s="1" t="n">
        <v>46255</v>
      </c>
      <c r="F346" t="inlineStr">
        <is>
          <t>DALARNAS LÄN</t>
        </is>
      </c>
      <c r="G346" t="inlineStr">
        <is>
          <t>LUDVIKA</t>
        </is>
      </c>
      <c r="H346" t="inlineStr">
        <is>
          <t>Naturvårdsverket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25296-2022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44730</v>
      </c>
      <c r="E347" s="1" t="n">
        <v>46255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46255</v>
      </c>
      <c r="F348" t="inlineStr">
        <is>
          <t>DALARNAS LÄN</t>
        </is>
      </c>
      <c r="G348" t="inlineStr">
        <is>
          <t>LUDVIKA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46255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46255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46255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46255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46255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46255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46255</v>
      </c>
      <c r="F355" t="inlineStr">
        <is>
          <t>DALARNAS LÄN</t>
        </is>
      </c>
      <c r="G355" t="inlineStr">
        <is>
          <t>LUDVIKA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46255</v>
      </c>
      <c r="F356" t="inlineStr">
        <is>
          <t>DALARNAS LÄN</t>
        </is>
      </c>
      <c r="G356" t="inlineStr">
        <is>
          <t>LUDVIKA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45099</v>
      </c>
      <c r="E357" s="1" t="n">
        <v>46255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46255</v>
      </c>
      <c r="F358" t="inlineStr">
        <is>
          <t>DALARNAS LÄN</t>
        </is>
      </c>
      <c r="G358" t="inlineStr">
        <is>
          <t>LUDVIKA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59530-2025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46255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46255</v>
      </c>
      <c r="F360" t="inlineStr">
        <is>
          <t>DALARNAS LÄN</t>
        </is>
      </c>
      <c r="G360" t="inlineStr">
        <is>
          <t>LUDVIKA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45265</v>
      </c>
      <c r="E361" s="1" t="n">
        <v>46255</v>
      </c>
      <c r="F361" t="inlineStr">
        <is>
          <t>DALARNAS LÄN</t>
        </is>
      </c>
      <c r="G361" t="inlineStr">
        <is>
          <t>LUDVIKA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17999-2025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46255</v>
      </c>
      <c r="F362" t="inlineStr">
        <is>
          <t>DALARNAS LÄN</t>
        </is>
      </c>
      <c r="G362" t="inlineStr">
        <is>
          <t>LUDVIKA</t>
        </is>
      </c>
      <c r="H362" t="inlineStr">
        <is>
          <t>Naturvårdsverket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46255</v>
      </c>
      <c r="F363" t="inlineStr">
        <is>
          <t>DALARNAS LÄN</t>
        </is>
      </c>
      <c r="G363" t="inlineStr">
        <is>
          <t>LUDVIKA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46255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46255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46255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46255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45288</v>
      </c>
      <c r="E368" s="1" t="n">
        <v>46255</v>
      </c>
      <c r="F368" t="inlineStr">
        <is>
          <t>DALARNAS LÄN</t>
        </is>
      </c>
      <c r="G368" t="inlineStr">
        <is>
          <t>LUDVIKA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46255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62704-2025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46008</v>
      </c>
      <c r="E370" s="1" t="n">
        <v>46255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62367-2025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46255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62842-2025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46255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46255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46255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46255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46255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62706-2025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46255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46255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44865</v>
      </c>
      <c r="E379" s="1" t="n">
        <v>46255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46255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46255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46255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14986-2024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45399</v>
      </c>
      <c r="E383" s="1" t="n">
        <v>46255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62945-2025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46009</v>
      </c>
      <c r="E384" s="1" t="n">
        <v>46255</v>
      </c>
      <c r="F384" t="inlineStr">
        <is>
          <t>DALARNAS LÄN</t>
        </is>
      </c>
      <c r="G384" t="inlineStr">
        <is>
          <t>LUDVIKA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46114</v>
      </c>
      <c r="E385" s="1" t="n">
        <v>46255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46255</v>
      </c>
      <c r="F386" t="inlineStr">
        <is>
          <t>DALARNAS LÄN</t>
        </is>
      </c>
      <c r="G386" t="inlineStr">
        <is>
          <t>LUDVIKA</t>
        </is>
      </c>
      <c r="H386" t="inlineStr">
        <is>
          <t>Naturvårdsverket</t>
        </is>
      </c>
      <c r="I386" t="n">
        <v>19.8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43694-2024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45569</v>
      </c>
      <c r="E387" s="1" t="n">
        <v>46255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46122</v>
      </c>
      <c r="E388" s="1" t="n">
        <v>46255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17915-2026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46255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46255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55633-2021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44476</v>
      </c>
      <c r="E391" s="1" t="n">
        <v>46255</v>
      </c>
      <c r="F391" t="inlineStr">
        <is>
          <t>DALARNAS LÄN</t>
        </is>
      </c>
      <c r="G391" t="inlineStr">
        <is>
          <t>LUDVIKA</t>
        </is>
      </c>
      <c r="H391" t="inlineStr">
        <is>
          <t>Övriga Aktiebolag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46255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46255</v>
      </c>
      <c r="F393" t="inlineStr">
        <is>
          <t>DALARNAS LÄN</t>
        </is>
      </c>
      <c r="G393" t="inlineStr">
        <is>
          <t>LUDVIKA</t>
        </is>
      </c>
      <c r="H393" t="inlineStr">
        <is>
          <t>Övriga Aktiebolag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46255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46255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45258</v>
      </c>
      <c r="E396" s="1" t="n">
        <v>46255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15851-2024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45404</v>
      </c>
      <c r="E397" s="1" t="n">
        <v>46255</v>
      </c>
      <c r="F397" t="inlineStr">
        <is>
          <t>DALARNAS LÄN</t>
        </is>
      </c>
      <c r="G397" t="inlineStr">
        <is>
          <t>LUDVIKA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46255</v>
      </c>
      <c r="F398" t="inlineStr">
        <is>
          <t>DALARNAS LÄN</t>
        </is>
      </c>
      <c r="G398" t="inlineStr">
        <is>
          <t>LUDVIKA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46255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46255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70046-2021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44533</v>
      </c>
      <c r="E401" s="1" t="n">
        <v>46255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46255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46128</v>
      </c>
      <c r="E403" s="1" t="n">
        <v>46255</v>
      </c>
      <c r="F403" t="inlineStr">
        <is>
          <t>DALARNAS LÄN</t>
        </is>
      </c>
      <c r="G403" t="inlineStr">
        <is>
          <t>LUDVIKA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45961</v>
      </c>
      <c r="E404" s="1" t="n">
        <v>46255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53979-2025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45961</v>
      </c>
      <c r="E405" s="1" t="n">
        <v>46255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46255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43981-2024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45572</v>
      </c>
      <c r="E407" s="1" t="n">
        <v>46255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50273-2021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44459</v>
      </c>
      <c r="E408" s="1" t="n">
        <v>46255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45488</v>
      </c>
      <c r="E409" s="1" t="n">
        <v>46255</v>
      </c>
      <c r="F409" t="inlineStr">
        <is>
          <t>DALARNAS LÄN</t>
        </is>
      </c>
      <c r="G409" t="inlineStr">
        <is>
          <t>LUDVIKA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46255</v>
      </c>
      <c r="F410" t="inlineStr">
        <is>
          <t>DALARNAS LÄN</t>
        </is>
      </c>
      <c r="G410" t="inlineStr">
        <is>
          <t>LUDVIKA</t>
        </is>
      </c>
      <c r="H410" t="inlineStr">
        <is>
          <t>Kommuner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45602</v>
      </c>
      <c r="E411" s="1" t="n">
        <v>46255</v>
      </c>
      <c r="F411" t="inlineStr">
        <is>
          <t>DALARNAS LÄN</t>
        </is>
      </c>
      <c r="G411" t="inlineStr">
        <is>
          <t>LUDVIKA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46255</v>
      </c>
      <c r="F412" t="inlineStr">
        <is>
          <t>DALARNAS LÄN</t>
        </is>
      </c>
      <c r="G412" t="inlineStr">
        <is>
          <t>LUDVIKA</t>
        </is>
      </c>
      <c r="H412" t="inlineStr">
        <is>
          <t>Kommuner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46255</v>
      </c>
      <c r="F413" t="inlineStr">
        <is>
          <t>DALARNAS LÄN</t>
        </is>
      </c>
      <c r="G413" t="inlineStr">
        <is>
          <t>LUDVIKA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45639</v>
      </c>
      <c r="E414" s="1" t="n">
        <v>46255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19834-2026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46255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46255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43704-2024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45569</v>
      </c>
      <c r="E417" s="1" t="n">
        <v>46255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46255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46136</v>
      </c>
      <c r="E419" s="1" t="n">
        <v>46255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46255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20096-2026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46136</v>
      </c>
      <c r="E421" s="1" t="n">
        <v>46255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46255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46255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44520-2023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46255</v>
      </c>
      <c r="F424" t="inlineStr">
        <is>
          <t>DALARNAS LÄN</t>
        </is>
      </c>
      <c r="G424" t="inlineStr">
        <is>
          <t>LUDVIKA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46255</v>
      </c>
      <c r="F425" t="inlineStr">
        <is>
          <t>DALARNAS LÄN</t>
        </is>
      </c>
      <c r="G425" t="inlineStr">
        <is>
          <t>LUDVIKA</t>
        </is>
      </c>
      <c r="H425" t="inlineStr">
        <is>
          <t>Sveaskog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45622</v>
      </c>
      <c r="E426" s="1" t="n">
        <v>46255</v>
      </c>
      <c r="F426" t="inlineStr">
        <is>
          <t>DALARNAS LÄN</t>
        </is>
      </c>
      <c r="G426" t="inlineStr">
        <is>
          <t>LUDVIKA</t>
        </is>
      </c>
      <c r="H426" t="inlineStr">
        <is>
          <t>Naturvårdsverket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49045-2024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45594</v>
      </c>
      <c r="E427" s="1" t="n">
        <v>46255</v>
      </c>
      <c r="F427" t="inlineStr">
        <is>
          <t>DALARNAS LÄN</t>
        </is>
      </c>
      <c r="G427" t="inlineStr">
        <is>
          <t>LUDVIKA</t>
        </is>
      </c>
      <c r="H427" t="inlineStr">
        <is>
          <t>Naturvårdsverket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46255</v>
      </c>
      <c r="F428" t="inlineStr">
        <is>
          <t>DALARNAS LÄN</t>
        </is>
      </c>
      <c r="G428" t="inlineStr">
        <is>
          <t>LUDVIKA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34875-2025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45849</v>
      </c>
      <c r="E429" s="1" t="n">
        <v>46255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46255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45845</v>
      </c>
      <c r="E431" s="1" t="n">
        <v>46255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46255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45827</v>
      </c>
      <c r="E433" s="1" t="n">
        <v>46255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55151-2025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45968</v>
      </c>
      <c r="E434" s="1" t="n">
        <v>46255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45512</v>
      </c>
      <c r="E435" s="1" t="n">
        <v>46255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52466-2023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45225</v>
      </c>
      <c r="E436" s="1" t="n">
        <v>46255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46255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55474-2024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45622</v>
      </c>
      <c r="E438" s="1" t="n">
        <v>46255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28134-2023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46255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52912-2025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45954</v>
      </c>
      <c r="E440" s="1" t="n">
        <v>46255</v>
      </c>
      <c r="F440" t="inlineStr">
        <is>
          <t>DALARNAS LÄN</t>
        </is>
      </c>
      <c r="G440" t="inlineStr">
        <is>
          <t>LUDVIKA</t>
        </is>
      </c>
      <c r="I440" t="n">
        <v>9.800000000000001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59186-2025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46255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55323-2025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46255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46255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45687</v>
      </c>
      <c r="E444" s="1" t="n">
        <v>46255</v>
      </c>
      <c r="F444" t="inlineStr">
        <is>
          <t>DALARNAS LÄN</t>
        </is>
      </c>
      <c r="G444" t="inlineStr">
        <is>
          <t>LUDVIKA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46255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48589-2023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45208</v>
      </c>
      <c r="E446" s="1" t="n">
        <v>46255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33673-2022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44789</v>
      </c>
      <c r="E447" s="1" t="n">
        <v>46255</v>
      </c>
      <c r="F447" t="inlineStr">
        <is>
          <t>DALARNAS LÄN</t>
        </is>
      </c>
      <c r="G447" t="inlineStr">
        <is>
          <t>LUDVIKA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46255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46255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45562</v>
      </c>
      <c r="E450" s="1" t="n">
        <v>46255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45860</v>
      </c>
      <c r="E451" s="1" t="n">
        <v>46255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44708</v>
      </c>
      <c r="E452" s="1" t="n">
        <v>46255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41828-2025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45902</v>
      </c>
      <c r="E453" s="1" t="n">
        <v>46255</v>
      </c>
      <c r="F453" t="inlineStr">
        <is>
          <t>DALARNAS LÄN</t>
        </is>
      </c>
      <c r="G453" t="inlineStr">
        <is>
          <t>LUDVIKA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18724-2022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46255</v>
      </c>
      <c r="F454" t="inlineStr">
        <is>
          <t>DALARNAS LÄN</t>
        </is>
      </c>
      <c r="G454" t="inlineStr">
        <is>
          <t>LUDVIKA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49114-2023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45210</v>
      </c>
      <c r="E455" s="1" t="n">
        <v>46255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45060-2022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44841</v>
      </c>
      <c r="E456" s="1" t="n">
        <v>46255</v>
      </c>
      <c r="F456" t="inlineStr">
        <is>
          <t>DALARNAS LÄN</t>
        </is>
      </c>
      <c r="G456" t="inlineStr">
        <is>
          <t>LUDVIKA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44537-2024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45574</v>
      </c>
      <c r="E457" s="1" t="n">
        <v>46255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16768-2025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46255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46255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46037</v>
      </c>
      <c r="E460" s="1" t="n">
        <v>46255</v>
      </c>
      <c r="F460" t="inlineStr">
        <is>
          <t>DALARNAS LÄN</t>
        </is>
      </c>
      <c r="G460" t="inlineStr">
        <is>
          <t>LUDVIKA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56818-2023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45244</v>
      </c>
      <c r="E461" s="1" t="n">
        <v>46255</v>
      </c>
      <c r="F461" t="inlineStr">
        <is>
          <t>DALARNAS LÄN</t>
        </is>
      </c>
      <c r="G461" t="inlineStr">
        <is>
          <t>LUDVIKA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46255</v>
      </c>
      <c r="F462" t="inlineStr">
        <is>
          <t>DALARNAS LÄN</t>
        </is>
      </c>
      <c r="G462" t="inlineStr">
        <is>
          <t>LUDVIKA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46255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46255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37392-2023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45156</v>
      </c>
      <c r="E465" s="1" t="n">
        <v>46255</v>
      </c>
      <c r="F465" t="inlineStr">
        <is>
          <t>DALARNAS LÄN</t>
        </is>
      </c>
      <c r="G465" t="inlineStr">
        <is>
          <t>LUDVIKA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45581</v>
      </c>
      <c r="E466" s="1" t="n">
        <v>46255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46255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46255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59206-2023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45253</v>
      </c>
      <c r="E469" s="1" t="n">
        <v>46255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59351-2023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45253</v>
      </c>
      <c r="E470" s="1" t="n">
        <v>46255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20666-2026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46255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46142</v>
      </c>
      <c r="E472" s="1" t="n">
        <v>46255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46142</v>
      </c>
      <c r="E473" s="1" t="n">
        <v>46255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46255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46656-2023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45198</v>
      </c>
      <c r="E475" s="1" t="n">
        <v>46255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45208</v>
      </c>
      <c r="E476" s="1" t="n">
        <v>46255</v>
      </c>
      <c r="F476" t="inlineStr">
        <is>
          <t>DALARNAS LÄN</t>
        </is>
      </c>
      <c r="G476" t="inlineStr">
        <is>
          <t>LUDVIKA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46255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46255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46150</v>
      </c>
      <c r="E479" s="1" t="n">
        <v>46255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57557-2023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45246</v>
      </c>
      <c r="E480" s="1" t="n">
        <v>46255</v>
      </c>
      <c r="F480" t="inlineStr">
        <is>
          <t>DALARNAS LÄN</t>
        </is>
      </c>
      <c r="G480" t="inlineStr">
        <is>
          <t>LUDVIKA</t>
        </is>
      </c>
      <c r="I480" t="n">
        <v>12.7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16807-2025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45754</v>
      </c>
      <c r="E481" s="1" t="n">
        <v>46255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45744</v>
      </c>
      <c r="E482" s="1" t="n">
        <v>46255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21872-2026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46255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46255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22276-2026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46154</v>
      </c>
      <c r="E485" s="1" t="n">
        <v>46255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46255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38446-2025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45883</v>
      </c>
      <c r="E487" s="1" t="n">
        <v>46255</v>
      </c>
      <c r="F487" t="inlineStr">
        <is>
          <t>DALARNAS LÄN</t>
        </is>
      </c>
      <c r="G487" t="inlineStr">
        <is>
          <t>LUDVIKA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31270-2022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44771</v>
      </c>
      <c r="E488" s="1" t="n">
        <v>46255</v>
      </c>
      <c r="F488" t="inlineStr">
        <is>
          <t>DALARNAS LÄN</t>
        </is>
      </c>
      <c r="G488" t="inlineStr">
        <is>
          <t>LUDVIKA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46255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8.9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46255</v>
      </c>
      <c r="F490" t="inlineStr">
        <is>
          <t>DALARNAS LÄN</t>
        </is>
      </c>
      <c r="G490" t="inlineStr">
        <is>
          <t>LUDVIKA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45679</v>
      </c>
      <c r="E491" s="1" t="n">
        <v>46255</v>
      </c>
      <c r="F491" t="inlineStr">
        <is>
          <t>DALARNAS LÄN</t>
        </is>
      </c>
      <c r="G491" t="inlineStr">
        <is>
          <t>LUDVIKA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46255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46255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46255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44915</v>
      </c>
      <c r="E495" s="1" t="n">
        <v>46255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50347-2021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44459</v>
      </c>
      <c r="E496" s="1" t="n">
        <v>46255</v>
      </c>
      <c r="F496" t="inlineStr">
        <is>
          <t>DALARNAS LÄN</t>
        </is>
      </c>
      <c r="G496" t="inlineStr">
        <is>
          <t>LUDVIKA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46255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16843-2026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46255</v>
      </c>
      <c r="F498" t="inlineStr">
        <is>
          <t>DALARNAS LÄN</t>
        </is>
      </c>
      <c r="G498" t="inlineStr">
        <is>
          <t>LUDVIKA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48740-2022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44859</v>
      </c>
      <c r="E499" s="1" t="n">
        <v>46255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46255</v>
      </c>
      <c r="F500" t="inlineStr">
        <is>
          <t>DALARNAS LÄN</t>
        </is>
      </c>
      <c r="G500" t="inlineStr">
        <is>
          <t>LUDVIKA</t>
        </is>
      </c>
      <c r="H500" t="inlineStr">
        <is>
          <t>Naturvårdsverket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46255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46255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45243</v>
      </c>
      <c r="E503" s="1" t="n">
        <v>46255</v>
      </c>
      <c r="F503" t="inlineStr">
        <is>
          <t>DALARNAS LÄN</t>
        </is>
      </c>
      <c r="G503" t="inlineStr">
        <is>
          <t>LUDVIKA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53996-2024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46255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47999-2024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45589</v>
      </c>
      <c r="E505" s="1" t="n">
        <v>46255</v>
      </c>
      <c r="F505" t="inlineStr">
        <is>
          <t>DALARNAS LÄN</t>
        </is>
      </c>
      <c r="G505" t="inlineStr">
        <is>
          <t>LUDVIKA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64171-2023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45279</v>
      </c>
      <c r="E506" s="1" t="n">
        <v>46255</v>
      </c>
      <c r="F506" t="inlineStr">
        <is>
          <t>DALARNAS LÄN</t>
        </is>
      </c>
      <c r="G506" t="inlineStr">
        <is>
          <t>LUDVIKA</t>
        </is>
      </c>
      <c r="I506" t="n">
        <v>8.6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923-2024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45301</v>
      </c>
      <c r="E507" s="1" t="n">
        <v>46255</v>
      </c>
      <c r="F507" t="inlineStr">
        <is>
          <t>DALARNAS LÄN</t>
        </is>
      </c>
      <c r="G507" t="inlineStr">
        <is>
          <t>LUDVIKA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45775</v>
      </c>
      <c r="E508" s="1" t="n">
        <v>46255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53620-2022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44879</v>
      </c>
      <c r="E509" s="1" t="n">
        <v>46255</v>
      </c>
      <c r="F509" t="inlineStr">
        <is>
          <t>DALARNAS LÄN</t>
        </is>
      </c>
      <c r="G509" t="inlineStr">
        <is>
          <t>LUDVIKA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46255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46255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45833</v>
      </c>
      <c r="E512" s="1" t="n">
        <v>46255</v>
      </c>
      <c r="F512" t="inlineStr">
        <is>
          <t>DALARNAS LÄN</t>
        </is>
      </c>
      <c r="G512" t="inlineStr">
        <is>
          <t>LUDVIKA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7238-2023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44970</v>
      </c>
      <c r="E513" s="1" t="n">
        <v>46255</v>
      </c>
      <c r="F513" t="inlineStr">
        <is>
          <t>DALARNAS LÄN</t>
        </is>
      </c>
      <c r="G513" t="inlineStr">
        <is>
          <t>LUDVIKA</t>
        </is>
      </c>
      <c r="H513" t="inlineStr">
        <is>
          <t>Övriga Aktiebolag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45834</v>
      </c>
      <c r="E514" s="1" t="n">
        <v>46255</v>
      </c>
      <c r="F514" t="inlineStr">
        <is>
          <t>DALARNAS LÄN</t>
        </is>
      </c>
      <c r="G514" t="inlineStr">
        <is>
          <t>LUDVIKA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46255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73703-2021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44552</v>
      </c>
      <c r="E516" s="1" t="n">
        <v>46255</v>
      </c>
      <c r="F516" t="inlineStr">
        <is>
          <t>DALARNAS LÄN</t>
        </is>
      </c>
      <c r="G516" t="inlineStr">
        <is>
          <t>LUDVIKA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46255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25299-2022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44730</v>
      </c>
      <c r="E518" s="1" t="n">
        <v>46255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46255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5970-2022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44599</v>
      </c>
      <c r="E520" s="1" t="n">
        <v>46255</v>
      </c>
      <c r="F520" t="inlineStr">
        <is>
          <t>DALARNAS LÄN</t>
        </is>
      </c>
      <c r="G520" t="inlineStr">
        <is>
          <t>LUDVIKA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46255</v>
      </c>
      <c r="F521" t="inlineStr">
        <is>
          <t>DALARNAS LÄN</t>
        </is>
      </c>
      <c r="G521" t="inlineStr">
        <is>
          <t>LUDVIKA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48642-2022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44859</v>
      </c>
      <c r="E522" s="1" t="n">
        <v>46255</v>
      </c>
      <c r="F522" t="inlineStr">
        <is>
          <t>DALARNAS LÄN</t>
        </is>
      </c>
      <c r="G522" t="inlineStr">
        <is>
          <t>LUDVIKA</t>
        </is>
      </c>
      <c r="H522" t="inlineStr">
        <is>
          <t>Naturvårdsverket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31299-2026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46218</v>
      </c>
      <c r="E523" s="1" t="n">
        <v>46255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44960</v>
      </c>
      <c r="E524" s="1" t="n">
        <v>46255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46255</v>
      </c>
      <c r="F525" t="inlineStr">
        <is>
          <t>DALARNAS LÄN</t>
        </is>
      </c>
      <c r="G525" t="inlineStr">
        <is>
          <t>LUDVIKA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46217</v>
      </c>
      <c r="E526" s="1" t="n">
        <v>46255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46074-2023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45196</v>
      </c>
      <c r="E527" s="1" t="n">
        <v>46255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48288-2023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45205</v>
      </c>
      <c r="E528" s="1" t="n">
        <v>46255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46255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45309-2021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44439</v>
      </c>
      <c r="E530" s="1" t="n">
        <v>46255</v>
      </c>
      <c r="F530" t="inlineStr">
        <is>
          <t>DALARNAS LÄN</t>
        </is>
      </c>
      <c r="G530" t="inlineStr">
        <is>
          <t>LUDVIKA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46219</v>
      </c>
      <c r="E531" s="1" t="n">
        <v>46255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46255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46220</v>
      </c>
      <c r="E533" s="1" t="n">
        <v>46255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46255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46255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46255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46171</v>
      </c>
      <c r="E537" s="1" t="n">
        <v>46255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25320-2026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46176</v>
      </c>
      <c r="E538" s="1" t="n">
        <v>46255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8.1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46255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49166-2025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45938</v>
      </c>
      <c r="E540" s="1" t="n">
        <v>46255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49035-2024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45594</v>
      </c>
      <c r="E541" s="1" t="n">
        <v>46255</v>
      </c>
      <c r="F541" t="inlineStr">
        <is>
          <t>DALARNAS LÄN</t>
        </is>
      </c>
      <c r="G541" t="inlineStr">
        <is>
          <t>LUDVIKA</t>
        </is>
      </c>
      <c r="H541" t="inlineStr">
        <is>
          <t>Naturvårdsverket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45594</v>
      </c>
      <c r="E542" s="1" t="n">
        <v>46255</v>
      </c>
      <c r="F542" t="inlineStr">
        <is>
          <t>DALARNAS LÄN</t>
        </is>
      </c>
      <c r="G542" t="inlineStr">
        <is>
          <t>LUDVIKA</t>
        </is>
      </c>
      <c r="H542" t="inlineStr">
        <is>
          <t>Naturvårdsverket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20104-2026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46255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18708-2023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45043</v>
      </c>
      <c r="E544" s="1" t="n">
        <v>46255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59050-2022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44903</v>
      </c>
      <c r="E545" s="1" t="n">
        <v>46255</v>
      </c>
      <c r="F545" t="inlineStr">
        <is>
          <t>DALARNAS LÄN</t>
        </is>
      </c>
      <c r="G545" t="inlineStr">
        <is>
          <t>LUDVIKA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20969-2026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46255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7243-2023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44970</v>
      </c>
      <c r="E547" s="1" t="n">
        <v>46255</v>
      </c>
      <c r="F547" t="inlineStr">
        <is>
          <t>DALARNAS LÄN</t>
        </is>
      </c>
      <c r="G547" t="inlineStr">
        <is>
          <t>LUDVIKA</t>
        </is>
      </c>
      <c r="H547" t="inlineStr">
        <is>
          <t>Övriga Aktiebolag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46255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46255</v>
      </c>
      <c r="F549" t="inlineStr">
        <is>
          <t>DALARNAS LÄN</t>
        </is>
      </c>
      <c r="G549" t="inlineStr">
        <is>
          <t>LUDVIKA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46225</v>
      </c>
      <c r="E550" s="1" t="n">
        <v>46255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38170-2023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45161</v>
      </c>
      <c r="E551" s="1" t="n">
        <v>46255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42128-2024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45562</v>
      </c>
      <c r="E552" s="1" t="n">
        <v>46255</v>
      </c>
      <c r="F552" t="inlineStr">
        <is>
          <t>DALARNAS LÄN</t>
        </is>
      </c>
      <c r="G552" t="inlineStr">
        <is>
          <t>LUDVIKA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46230</v>
      </c>
      <c r="E553" s="1" t="n">
        <v>46255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56346-2022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44890</v>
      </c>
      <c r="E554" s="1" t="n">
        <v>46255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46255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26902-2026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46255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46230</v>
      </c>
      <c r="E557" s="1" t="n">
        <v>46255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11237-2024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45371</v>
      </c>
      <c r="E558" s="1" t="n">
        <v>46255</v>
      </c>
      <c r="F558" t="inlineStr">
        <is>
          <t>DALARNAS LÄN</t>
        </is>
      </c>
      <c r="G558" t="inlineStr">
        <is>
          <t>LUDVIKA</t>
        </is>
      </c>
      <c r="I558" t="n">
        <v>20.8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46255</v>
      </c>
      <c r="F559" t="inlineStr">
        <is>
          <t>DALARNAS LÄN</t>
        </is>
      </c>
      <c r="G559" t="inlineStr">
        <is>
          <t>LUDVIKA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11632-2024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46255</v>
      </c>
      <c r="F560" t="inlineStr">
        <is>
          <t>DALARNAS LÄN</t>
        </is>
      </c>
      <c r="G560" t="inlineStr">
        <is>
          <t>LUDVIKA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57969-2024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46255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41668-2023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45176</v>
      </c>
      <c r="E562" s="1" t="n">
        <v>46255</v>
      </c>
      <c r="F562" t="inlineStr">
        <is>
          <t>DALARNAS LÄN</t>
        </is>
      </c>
      <c r="G562" t="inlineStr">
        <is>
          <t>LUDVIKA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45056</v>
      </c>
      <c r="E563" s="1" t="n">
        <v>46255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49669-2024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45596</v>
      </c>
      <c r="E564" s="1" t="n">
        <v>46255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39400-2023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46255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46255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46190</v>
      </c>
      <c r="E567" s="1" t="n">
        <v>46255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27611-2026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46190</v>
      </c>
      <c r="E568" s="1" t="n">
        <v>46255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46255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45110</v>
      </c>
      <c r="E570" s="1" t="n">
        <v>46255</v>
      </c>
      <c r="F570" t="inlineStr">
        <is>
          <t>DALARNAS LÄN</t>
        </is>
      </c>
      <c r="G570" t="inlineStr">
        <is>
          <t>LUDVIKA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26574-2026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46183</v>
      </c>
      <c r="E571" s="1" t="n">
        <v>46255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32016-2026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46233</v>
      </c>
      <c r="E572" s="1" t="n">
        <v>46255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46255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45551</v>
      </c>
      <c r="E574" s="1" t="n">
        <v>46255</v>
      </c>
      <c r="F574" t="inlineStr">
        <is>
          <t>DALARNAS LÄN</t>
        </is>
      </c>
      <c r="G574" t="inlineStr">
        <is>
          <t>LUDVIKA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6975-2023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46255</v>
      </c>
      <c r="F575" t="inlineStr">
        <is>
          <t>DALARNAS LÄN</t>
        </is>
      </c>
      <c r="G575" t="inlineStr">
        <is>
          <t>LUDVIKA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46191</v>
      </c>
      <c r="E576" s="1" t="n">
        <v>46255</v>
      </c>
      <c r="F576" t="inlineStr">
        <is>
          <t>DALARNAS LÄN</t>
        </is>
      </c>
      <c r="G576" t="inlineStr">
        <is>
          <t>LUDVIKA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40125-2024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45554</v>
      </c>
      <c r="E577" s="1" t="n">
        <v>46255</v>
      </c>
      <c r="F577" t="inlineStr">
        <is>
          <t>DALARNAS LÄN</t>
        </is>
      </c>
      <c r="G577" t="inlineStr">
        <is>
          <t>LUDVIKA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46255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46255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46255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46255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46255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46255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46255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46255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33839-2024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45520</v>
      </c>
      <c r="E586" s="1" t="n">
        <v>46255</v>
      </c>
      <c r="F586" t="inlineStr">
        <is>
          <t>DALARNAS LÄN</t>
        </is>
      </c>
      <c r="G586" t="inlineStr">
        <is>
          <t>LUDVIKA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46255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46255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45481</v>
      </c>
      <c r="E589" s="1" t="n">
        <v>46255</v>
      </c>
      <c r="F589" t="inlineStr">
        <is>
          <t>DALARNAS LÄN</t>
        </is>
      </c>
      <c r="G589" t="inlineStr">
        <is>
          <t>LUDVIKA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45297</v>
      </c>
      <c r="E590" s="1" t="n">
        <v>46255</v>
      </c>
      <c r="F590" t="inlineStr">
        <is>
          <t>DALARNAS LÄN</t>
        </is>
      </c>
      <c r="G590" t="inlineStr">
        <is>
          <t>LUDVIKA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45218</v>
      </c>
      <c r="E591" s="1" t="n">
        <v>46255</v>
      </c>
      <c r="F591" t="inlineStr">
        <is>
          <t>DALARNAS LÄN</t>
        </is>
      </c>
      <c r="G591" t="inlineStr">
        <is>
          <t>LUDVIKA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46255</v>
      </c>
      <c r="F592" t="inlineStr">
        <is>
          <t>DALARNAS LÄN</t>
        </is>
      </c>
      <c r="G592" t="inlineStr">
        <is>
          <t>LUDVIKA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46255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46160</v>
      </c>
      <c r="E594" s="1" t="n">
        <v>46255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60660-2024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45644</v>
      </c>
      <c r="E595" s="1" t="n">
        <v>46255</v>
      </c>
      <c r="F595" t="inlineStr">
        <is>
          <t>DALARNAS LÄN</t>
        </is>
      </c>
      <c r="G595" t="inlineStr">
        <is>
          <t>LUDVIKA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46255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21032-2026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46146</v>
      </c>
      <c r="E597" s="1" t="n">
        <v>46255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21034-2026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46146</v>
      </c>
      <c r="E598" s="1" t="n">
        <v>46255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46160</v>
      </c>
      <c r="E599" s="1" t="n">
        <v>46255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28801-2026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46198</v>
      </c>
      <c r="E600" s="1" t="n">
        <v>46255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53048-2024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45611</v>
      </c>
      <c r="E601" s="1" t="n">
        <v>46255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22806-2026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46255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46255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50777-2024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45602</v>
      </c>
      <c r="E604" s="1" t="n">
        <v>46255</v>
      </c>
      <c r="F604" t="inlineStr">
        <is>
          <t>DALARNAS LÄN</t>
        </is>
      </c>
      <c r="G604" t="inlineStr">
        <is>
          <t>LUDVIKA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46255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46255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46241</v>
      </c>
      <c r="E607" s="1" t="n">
        <v>46255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46241</v>
      </c>
      <c r="E608" s="1" t="n">
        <v>46255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45103</v>
      </c>
      <c r="E609" s="1" t="n">
        <v>46255</v>
      </c>
      <c r="F609" t="inlineStr">
        <is>
          <t>DALARNAS LÄN</t>
        </is>
      </c>
      <c r="G609" t="inlineStr">
        <is>
          <t>LUDVIKA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46241</v>
      </c>
      <c r="E610" s="1" t="n">
        <v>46255</v>
      </c>
      <c r="F610" t="inlineStr">
        <is>
          <t>DALARNAS LÄN</t>
        </is>
      </c>
      <c r="G610" t="inlineStr">
        <is>
          <t>LUDVIKA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46241</v>
      </c>
      <c r="E611" s="1" t="n">
        <v>46255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46171</v>
      </c>
      <c r="E612" s="1" t="n">
        <v>46255</v>
      </c>
      <c r="F612" t="inlineStr">
        <is>
          <t>DALARNAS LÄN</t>
        </is>
      </c>
      <c r="G612" t="inlineStr">
        <is>
          <t>LUDVIKA</t>
        </is>
      </c>
      <c r="H612" t="inlineStr">
        <is>
          <t>Naturvårdsverket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3470-2025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45680</v>
      </c>
      <c r="E613" s="1" t="n">
        <v>46255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22611-2026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46155</v>
      </c>
      <c r="E614" s="1" t="n">
        <v>46255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46255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46205</v>
      </c>
      <c r="E616" s="1" t="n">
        <v>46255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8.300000000000001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46255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45544-2024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45579</v>
      </c>
      <c r="E618" s="1" t="n">
        <v>46255</v>
      </c>
      <c r="F618" t="inlineStr">
        <is>
          <t>DALARNAS LÄN</t>
        </is>
      </c>
      <c r="G618" t="inlineStr">
        <is>
          <t>LUDVIKA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46255</v>
      </c>
      <c r="F619" t="inlineStr">
        <is>
          <t>DALARNAS LÄN</t>
        </is>
      </c>
      <c r="G619" t="inlineStr">
        <is>
          <t>LUDVIKA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56996-2021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44482</v>
      </c>
      <c r="E620" s="1" t="n">
        <v>46255</v>
      </c>
      <c r="F620" t="inlineStr">
        <is>
          <t>DALARNAS LÄN</t>
        </is>
      </c>
      <c r="G620" t="inlineStr">
        <is>
          <t>LUDVIKA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46255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33397-2026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46247</v>
      </c>
      <c r="E622" s="1" t="n">
        <v>46255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46247</v>
      </c>
      <c r="E623" s="1" t="n">
        <v>46255</v>
      </c>
      <c r="F623" t="inlineStr">
        <is>
          <t>DALARNAS LÄN</t>
        </is>
      </c>
      <c r="G623" t="inlineStr">
        <is>
          <t>LUDVIKA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33689-2026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46248</v>
      </c>
      <c r="E624" s="1" t="n">
        <v>46255</v>
      </c>
      <c r="F624" t="inlineStr">
        <is>
          <t>DALARNAS LÄN</t>
        </is>
      </c>
      <c r="G624" t="inlineStr">
        <is>
          <t>LUDVIKA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3277-2024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45317</v>
      </c>
      <c r="E625" s="1" t="n">
        <v>46255</v>
      </c>
      <c r="F625" t="inlineStr">
        <is>
          <t>DALARNAS LÄN</t>
        </is>
      </c>
      <c r="G625" t="inlineStr">
        <is>
          <t>LUDVIKA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46142</v>
      </c>
      <c r="E626" s="1" t="n">
        <v>46255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12497-2024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45379</v>
      </c>
      <c r="E627" s="1" t="n">
        <v>46255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30210-2026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46255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46167</v>
      </c>
      <c r="E629" s="1" t="n">
        <v>46255</v>
      </c>
      <c r="F629" t="inlineStr">
        <is>
          <t>DALARNAS LÄN</t>
        </is>
      </c>
      <c r="G629" t="inlineStr">
        <is>
          <t>LUDVIKA</t>
        </is>
      </c>
      <c r="H629" t="inlineStr">
        <is>
          <t>Kommuner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46255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49805-2023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45212</v>
      </c>
      <c r="E631" s="1" t="n">
        <v>46255</v>
      </c>
      <c r="F631" t="inlineStr">
        <is>
          <t>DALARNAS LÄN</t>
        </is>
      </c>
      <c r="G631" t="inlineStr">
        <is>
          <t>LUDVIKA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61384-2024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45646</v>
      </c>
      <c r="E632" s="1" t="n">
        <v>46255</v>
      </c>
      <c r="F632" t="inlineStr">
        <is>
          <t>DALARNAS LÄN</t>
        </is>
      </c>
      <c r="G632" t="inlineStr">
        <is>
          <t>LUDVIKA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3280-2024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45317</v>
      </c>
      <c r="E633" s="1" t="n">
        <v>46255</v>
      </c>
      <c r="F633" t="inlineStr">
        <is>
          <t>DALARNAS LÄN</t>
        </is>
      </c>
      <c r="G633" t="inlineStr">
        <is>
          <t>LUDVIKA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46255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45485</v>
      </c>
      <c r="E635" s="1" t="n">
        <v>46255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45743</v>
      </c>
      <c r="E636" s="1" t="n">
        <v>46255</v>
      </c>
      <c r="F636" t="inlineStr">
        <is>
          <t>DALARNAS LÄN</t>
        </is>
      </c>
      <c r="G636" t="inlineStr">
        <is>
          <t>LUDVIKA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34144-2026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46253</v>
      </c>
      <c r="E637" s="1" t="n">
        <v>46255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28062-2026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46195</v>
      </c>
      <c r="E638" s="1" t="n">
        <v>46255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34147-2026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46253</v>
      </c>
      <c r="E639" s="1" t="n">
        <v>46255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21891-2025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45784</v>
      </c>
      <c r="E640" s="1" t="n">
        <v>46255</v>
      </c>
      <c r="F640" t="inlineStr">
        <is>
          <t>DALARNAS LÄN</t>
        </is>
      </c>
      <c r="G640" t="inlineStr">
        <is>
          <t>LUDVIKA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21893-2025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45784</v>
      </c>
      <c r="E641" s="1" t="n">
        <v>46255</v>
      </c>
      <c r="F641" t="inlineStr">
        <is>
          <t>DALARNAS LÄN</t>
        </is>
      </c>
      <c r="G641" t="inlineStr">
        <is>
          <t>LUDVIKA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38359-2024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45545</v>
      </c>
      <c r="E642" s="1" t="n">
        <v>46255</v>
      </c>
      <c r="F642" t="inlineStr">
        <is>
          <t>DALARNAS LÄN</t>
        </is>
      </c>
      <c r="G642" t="inlineStr">
        <is>
          <t>LUDVIKA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42421-2024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46255</v>
      </c>
      <c r="F643" t="inlineStr">
        <is>
          <t>DALARNAS LÄN</t>
        </is>
      </c>
      <c r="G643" t="inlineStr">
        <is>
          <t>LUDVIKA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24712-2024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45460</v>
      </c>
      <c r="E644" s="1" t="n">
        <v>46255</v>
      </c>
      <c r="F644" t="inlineStr">
        <is>
          <t>DALARNAS LÄN</t>
        </is>
      </c>
      <c r="G644" t="inlineStr">
        <is>
          <t>LUDVIKA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53602-2023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45230</v>
      </c>
      <c r="E645" s="1" t="n">
        <v>46255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46095-2024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45581</v>
      </c>
      <c r="E646" s="1" t="n">
        <v>46255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52359-2024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45609</v>
      </c>
      <c r="E647" s="1" t="n">
        <v>46255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45581</v>
      </c>
      <c r="E648" s="1" t="n">
        <v>46255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33914-2023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45134</v>
      </c>
      <c r="E649" s="1" t="n">
        <v>46255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45789</v>
      </c>
      <c r="E650" s="1" t="n">
        <v>46255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45789</v>
      </c>
      <c r="E651" s="1" t="n">
        <v>46255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50240-2024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45600</v>
      </c>
      <c r="E652" s="1" t="n">
        <v>46255</v>
      </c>
      <c r="F652" t="inlineStr">
        <is>
          <t>DALARNAS LÄN</t>
        </is>
      </c>
      <c r="G652" t="inlineStr">
        <is>
          <t>LUDVIKA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36066-2024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45533</v>
      </c>
      <c r="E653" s="1" t="n">
        <v>46255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43702-2024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45569</v>
      </c>
      <c r="E654" s="1" t="n">
        <v>46255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45789</v>
      </c>
      <c r="E655" s="1" t="n">
        <v>46255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22594-2025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46255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45790</v>
      </c>
      <c r="E657" s="1" t="n">
        <v>46255</v>
      </c>
      <c r="F657" t="inlineStr">
        <is>
          <t>DALARNAS LÄN</t>
        </is>
      </c>
      <c r="G657" t="inlineStr">
        <is>
          <t>LUDVIKA</t>
        </is>
      </c>
      <c r="H657" t="inlineStr">
        <is>
          <t>Övriga Aktiebolag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47233-2024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45586</v>
      </c>
      <c r="E658" s="1" t="n">
        <v>46255</v>
      </c>
      <c r="F658" t="inlineStr">
        <is>
          <t>DALARNAS LÄN</t>
        </is>
      </c>
      <c r="G658" t="inlineStr">
        <is>
          <t>LUDVIKA</t>
        </is>
      </c>
      <c r="I658" t="n">
        <v>9.5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46107-2024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45581</v>
      </c>
      <c r="E659" s="1" t="n">
        <v>46255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41539-2024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45560</v>
      </c>
      <c r="E660" s="1" t="n">
        <v>46255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23088-2025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45791</v>
      </c>
      <c r="E661" s="1" t="n">
        <v>46255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22686-2025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45786</v>
      </c>
      <c r="E662" s="1" t="n">
        <v>46255</v>
      </c>
      <c r="F662" t="inlineStr">
        <is>
          <t>DALARNAS LÄN</t>
        </is>
      </c>
      <c r="G662" t="inlineStr">
        <is>
          <t>LUDVIKA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46255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23105-2025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45791</v>
      </c>
      <c r="E664" s="1" t="n">
        <v>46255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45453</v>
      </c>
      <c r="E665" s="1" t="n">
        <v>46255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45541</v>
      </c>
      <c r="E666" s="1" t="n">
        <v>46255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24027-2025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45796</v>
      </c>
      <c r="E667" s="1" t="n">
        <v>46255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61278-2022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44915</v>
      </c>
      <c r="E668" s="1" t="n">
        <v>46255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30977-2024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45499</v>
      </c>
      <c r="E669" s="1" t="n">
        <v>46255</v>
      </c>
      <c r="F669" t="inlineStr">
        <is>
          <t>DALARNAS LÄN</t>
        </is>
      </c>
      <c r="G669" t="inlineStr">
        <is>
          <t>LUDVIKA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23117-2025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45791</v>
      </c>
      <c r="E670" s="1" t="n">
        <v>46255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20642-2025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45776</v>
      </c>
      <c r="E671" s="1" t="n">
        <v>46255</v>
      </c>
      <c r="F671" t="inlineStr">
        <is>
          <t>DALARNAS LÄN</t>
        </is>
      </c>
      <c r="G671" t="inlineStr">
        <is>
          <t>LUDVIKA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46255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46255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19677-2025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45770</v>
      </c>
      <c r="E674" s="1" t="n">
        <v>46255</v>
      </c>
      <c r="F674" t="inlineStr">
        <is>
          <t>DALARNAS LÄN</t>
        </is>
      </c>
      <c r="G674" t="inlineStr">
        <is>
          <t>LUDVIKA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25235-2025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45800</v>
      </c>
      <c r="E675" s="1" t="n">
        <v>46255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25004-2025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46255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25113-2025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45800</v>
      </c>
      <c r="E677" s="1" t="n">
        <v>46255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45805</v>
      </c>
      <c r="E678" s="1" t="n">
        <v>46255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26698-2025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45810</v>
      </c>
      <c r="E679" s="1" t="n">
        <v>46255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26628-2025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45810</v>
      </c>
      <c r="E680" s="1" t="n">
        <v>46255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26719-2025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45810</v>
      </c>
      <c r="E681" s="1" t="n">
        <v>46255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26794-2025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45810</v>
      </c>
      <c r="E682" s="1" t="n">
        <v>46255</v>
      </c>
      <c r="F682" t="inlineStr">
        <is>
          <t>DALARNAS LÄN</t>
        </is>
      </c>
      <c r="G682" t="inlineStr">
        <is>
          <t>LUDVIKA</t>
        </is>
      </c>
      <c r="H682" t="inlineStr">
        <is>
          <t>Kommuner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43700-2024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45569</v>
      </c>
      <c r="E683" s="1" t="n">
        <v>46255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27525-2025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45813</v>
      </c>
      <c r="E684" s="1" t="n">
        <v>46255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45813</v>
      </c>
      <c r="E685" s="1" t="n">
        <v>46255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27506-2025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45813</v>
      </c>
      <c r="E686" s="1" t="n">
        <v>46255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27448-2025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46255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2837-2023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45167</v>
      </c>
      <c r="E688" s="1" t="n">
        <v>46255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1122-2023</t>
        </is>
      </c>
      <c r="B689" t="inlineStr">
        <is>
          <t>samrådsanmälan</t>
        </is>
      </c>
      <c r="C689" t="inlineStr">
        <is>
          <t>Skogsgödsling</t>
        </is>
      </c>
      <c r="D689" s="1" t="n">
        <v>45015</v>
      </c>
      <c r="E689" s="1" t="n">
        <v>46255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115.7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3660-2023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45216</v>
      </c>
      <c r="E690" s="1" t="n">
        <v>46255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1246-2024</t>
        </is>
      </c>
      <c r="B691" t="inlineStr">
        <is>
          <t>samrådsanmälan</t>
        </is>
      </c>
      <c r="C691" t="inlineStr">
        <is>
          <t>Skogsgödsling</t>
        </is>
      </c>
      <c r="D691" s="1" t="n">
        <v>45400</v>
      </c>
      <c r="E691" s="1" t="n">
        <v>46255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1096-2024</t>
        </is>
      </c>
      <c r="B692" t="inlineStr">
        <is>
          <t>samrådsanmälan</t>
        </is>
      </c>
      <c r="C692" t="inlineStr">
        <is>
          <t>Skogsgödsling</t>
        </is>
      </c>
      <c r="D692" s="1" t="n">
        <v>45391</v>
      </c>
      <c r="E692" s="1" t="n">
        <v>46255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4863-2022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44805</v>
      </c>
      <c r="E693" s="1" t="n">
        <v>46255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1113-2023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46255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37.9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1815-2026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46190</v>
      </c>
      <c r="E695" s="1" t="n">
        <v>46255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2026-08-21T01:54:02Z</dcterms:created>
  <dcterms:modified xmlns:dcterms="http://purl.org/dc/terms/" xmlns:xsi="http://www.w3.org/2001/XMLSchema-instance" xsi:type="dcterms:W3CDTF">2026-08-21T01:54:03Z</dcterms:modified>
</cp:coreProperties>
</file>
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46298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46298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46298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46298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46298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46298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63299-2025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46010</v>
      </c>
      <c r="E27" s="1" t="n">
        <v>46298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1.4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8</v>
      </c>
      <c r="U27" t="n">
        <v>1</v>
      </c>
      <c r="V27" s="2" t="inlineStr">
        <is>
          <t>Garnlav
Skrovlig taggsvamp
Blå taggsvamp
Motaggsvamp
Talltaggsvamp
Tjäder</t>
        </is>
      </c>
      <c r="W27">
        <f>HYPERLINK("https://klasma.github.io/Logging_2085/artfynd/A 63299-2025 artfynd.xlsx", "A 63299-2025")</f>
        <v/>
      </c>
      <c r="X27">
        <f>HYPERLINK("https://klasma.github.io/Logging_2085/kartor/A 63299-2025 karta.png", "A 63299-2025")</f>
        <v/>
      </c>
      <c r="Y27">
        <f>HYPERLINK("https://klasma.github.io/Logging_2085/kartor_geotiff/A 63299-2025 georefererad karta.tif", "A 63299-2025")</f>
        <v/>
      </c>
      <c r="AA27">
        <f>HYPERLINK("https://klasma.github.io/Logging_2085/klagomål/A 63299-2025 FSC-klagomål.docx", "A 63299-2025")</f>
        <v/>
      </c>
      <c r="AB27">
        <f>HYPERLINK("https://klasma.github.io/Logging_2085/klagomålsmail/A 63299-2025 FSC-klagomål mail.docx", "A 63299-2025")</f>
        <v/>
      </c>
      <c r="AC27">
        <f>HYPERLINK("https://klasma.github.io/Logging_2085/tillsyn/A 63299-2025 tillsynsbegäran.docx", "A 63299-2025")</f>
        <v/>
      </c>
      <c r="AD27">
        <f>HYPERLINK("https://klasma.github.io/Logging_2085/tillsynsmail/A 63299-2025 tillsynsbegäran mail.docx", "A 63299-2025")</f>
        <v/>
      </c>
      <c r="AE27">
        <f>HYPERLINK("https://klasma.github.io/Logging_2085/fåglar/A 63299-2025 prioriterade fågelarter.docx", "A 63299-2025")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33885-2025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45842</v>
      </c>
      <c r="E30" s="1" t="n">
        <v>46298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2.6</v>
      </c>
      <c r="J30" t="n">
        <v>2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6</v>
      </c>
      <c r="T30" t="n">
        <v>10</v>
      </c>
      <c r="U30" t="n">
        <v>10</v>
      </c>
      <c r="V30" s="2" t="inlineStr">
        <is>
          <t>Garnlav
Knärot
Dropptaggsvamp
Ullticka
Nästlav
Tjäder</t>
        </is>
      </c>
      <c r="W30">
        <f>HYPERLINK("https://klasma.github.io/Logging_2085/artfynd/A 33885-2025 artfynd.xlsx", "A 33885-2025")</f>
        <v/>
      </c>
      <c r="X30">
        <f>HYPERLINK("https://klasma.github.io/Logging_2085/kartor/A 33885-2025 karta.png", "A 33885-2025")</f>
        <v/>
      </c>
      <c r="Y30">
        <f>HYPERLINK("https://klasma.github.io/Logging_2085/kartor_geotiff/A 33885-2025 georefererad karta.tif", "A 33885-2025")</f>
        <v/>
      </c>
      <c r="Z30">
        <f>HYPERLINK("https://klasma.github.io/Logging_2085/knärot/A 33885-2025 karta knärot.png", "A 33885-2025")</f>
        <v/>
      </c>
      <c r="AA30">
        <f>HYPERLINK("https://klasma.github.io/Logging_2085/klagomål/A 33885-2025 FSC-klagomål.docx", "A 33885-2025")</f>
        <v/>
      </c>
      <c r="AB30">
        <f>HYPERLINK("https://klasma.github.io/Logging_2085/klagomålsmail/A 33885-2025 FSC-klagomål mail.docx", "A 33885-2025")</f>
        <v/>
      </c>
      <c r="AC30">
        <f>HYPERLINK("https://klasma.github.io/Logging_2085/tillsyn/A 33885-2025 tillsynsbegäran.docx", "A 33885-2025")</f>
        <v/>
      </c>
      <c r="AD30">
        <f>HYPERLINK("https://klasma.github.io/Logging_2085/tillsynsmail/A 33885-2025 tillsynsbegäran mail.docx", "A 33885-2025")</f>
        <v/>
      </c>
      <c r="AE30">
        <f>HYPERLINK("https://klasma.github.io/Logging_2085/fåglar/A 33885-2025 prioriterade fågelarter.docx", "A 33885-2025")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46298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46298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46298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46298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46298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46298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46298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23714-2026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46298</v>
      </c>
      <c r="F42" t="inlineStr">
        <is>
          <t>DALARNAS LÄN</t>
        </is>
      </c>
      <c r="G42" t="inlineStr">
        <is>
          <t>LUDVIKA</t>
        </is>
      </c>
      <c r="I42" t="n">
        <v>4.6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Rosenticka
Tretåig hackspett
Ullticka
Spillkråka</t>
        </is>
      </c>
      <c r="W42">
        <f>HYPERLINK("https://klasma.github.io/Logging_2085/artfynd/A 23714-2026 artfynd.xlsx", "A 23714-2026")</f>
        <v/>
      </c>
      <c r="X42">
        <f>HYPERLINK("https://klasma.github.io/Logging_2085/kartor/A 23714-2026 karta.png", "A 23714-2026")</f>
        <v/>
      </c>
      <c r="Y42">
        <f>HYPERLINK("https://klasma.github.io/Logging_2085/kartor_geotiff/A 23714-2026 georefererad karta.tif", "A 23714-2026")</f>
        <v/>
      </c>
      <c r="AA42">
        <f>HYPERLINK("https://klasma.github.io/Logging_2085/klagomål/A 23714-2026 FSC-klagomål.docx", "A 23714-2026")</f>
        <v/>
      </c>
      <c r="AB42">
        <f>HYPERLINK("https://klasma.github.io/Logging_2085/klagomålsmail/A 23714-2026 FSC-klagomål mail.docx", "A 23714-2026")</f>
        <v/>
      </c>
      <c r="AC42">
        <f>HYPERLINK("https://klasma.github.io/Logging_2085/tillsyn/A 23714-2026 tillsynsbegäran.docx", "A 23714-2026")</f>
        <v/>
      </c>
      <c r="AD42">
        <f>HYPERLINK("https://klasma.github.io/Logging_2085/tillsynsmail/A 23714-2026 tillsynsbegäran mail.docx", "A 23714-2026")</f>
        <v/>
      </c>
      <c r="AE42">
        <f>HYPERLINK("https://klasma.github.io/Logging_2085/fåglar/A 23714-2026 prioriterade fågelarter.docx", "A 23714-2026")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46298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46298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46298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46298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46298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35100-2026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46260</v>
      </c>
      <c r="E50" s="1" t="n">
        <v>46298</v>
      </c>
      <c r="F50" t="inlineStr">
        <is>
          <t>DALARNAS LÄN</t>
        </is>
      </c>
      <c r="G50" t="inlineStr">
        <is>
          <t>LUDVIKA</t>
        </is>
      </c>
      <c r="I50" t="n">
        <v>1.6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Knärot
Trådticka
Spillkråka
Sälg</t>
        </is>
      </c>
      <c r="W50">
        <f>HYPERLINK("https://klasma.github.io/Logging_2085/artfynd/A 35100-2026 artfynd.xlsx", "A 35100-2026")</f>
        <v/>
      </c>
      <c r="X50">
        <f>HYPERLINK("https://klasma.github.io/Logging_2085/kartor/A 35100-2026 karta.png", "A 35100-2026")</f>
        <v/>
      </c>
      <c r="Y50">
        <f>HYPERLINK("https://klasma.github.io/Logging_2085/kartor_geotiff/A 35100-2026 georefererad karta.tif", "A 35100-2026")</f>
        <v/>
      </c>
      <c r="Z50">
        <f>HYPERLINK("https://klasma.github.io/Logging_2085/knärot/A 35100-2026 karta knärot.png", "A 35100-2026")</f>
        <v/>
      </c>
      <c r="AA50">
        <f>HYPERLINK("https://klasma.github.io/Logging_2085/klagomål/A 35100-2026 FSC-klagomål.docx", "A 35100-2026")</f>
        <v/>
      </c>
      <c r="AB50">
        <f>HYPERLINK("https://klasma.github.io/Logging_2085/klagomålsmail/A 35100-2026 FSC-klagomål mail.docx", "A 35100-2026")</f>
        <v/>
      </c>
      <c r="AC50">
        <f>HYPERLINK("https://klasma.github.io/Logging_2085/tillsyn/A 35100-2026 tillsynsbegäran.docx", "A 35100-2026")</f>
        <v/>
      </c>
      <c r="AD50">
        <f>HYPERLINK("https://klasma.github.io/Logging_2085/tillsynsmail/A 35100-2026 tillsynsbegäran mail.docx", "A 35100-2026")</f>
        <v/>
      </c>
      <c r="AE50">
        <f>HYPERLINK("https://klasma.github.io/Logging_2085/fåglar/A 35100-2026 prioriterade fågelarter.docx", "A 35100-2026")</f>
        <v/>
      </c>
    </row>
    <row r="51" ht="15" customHeight="1">
      <c r="A51" t="inlineStr">
        <is>
          <t>A 35101-2026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46260</v>
      </c>
      <c r="E51" s="1" t="n">
        <v>46298</v>
      </c>
      <c r="F51" t="inlineStr">
        <is>
          <t>DALARNAS LÄN</t>
        </is>
      </c>
      <c r="G51" t="inlineStr">
        <is>
          <t>LUDVIKA</t>
        </is>
      </c>
      <c r="I51" t="n">
        <v>2.3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7</v>
      </c>
      <c r="U51" t="n">
        <v>7</v>
      </c>
      <c r="V51" s="2" t="inlineStr">
        <is>
          <t>Tretåig hackspett
Rödgul trumpetsvamp
Järpe
Spillkråka</t>
        </is>
      </c>
      <c r="W51">
        <f>HYPERLINK("https://klasma.github.io/Logging_2085/artfynd/A 35101-2026 artfynd.xlsx", "A 35101-2026")</f>
        <v/>
      </c>
      <c r="X51">
        <f>HYPERLINK("https://klasma.github.io/Logging_2085/kartor/A 35101-2026 karta.png", "A 35101-2026")</f>
        <v/>
      </c>
      <c r="Y51">
        <f>HYPERLINK("https://klasma.github.io/Logging_2085/kartor_geotiff/A 35101-2026 georefererad karta.tif", "A 35101-2026")</f>
        <v/>
      </c>
      <c r="AA51">
        <f>HYPERLINK("https://klasma.github.io/Logging_2085/klagomål/A 35101-2026 FSC-klagomål.docx", "A 35101-2026")</f>
        <v/>
      </c>
      <c r="AB51">
        <f>HYPERLINK("https://klasma.github.io/Logging_2085/klagomålsmail/A 35101-2026 FSC-klagomål mail.docx", "A 35101-2026")</f>
        <v/>
      </c>
      <c r="AC51">
        <f>HYPERLINK("https://klasma.github.io/Logging_2085/tillsyn/A 35101-2026 tillsynsbegäran.docx", "A 35101-2026")</f>
        <v/>
      </c>
      <c r="AD51">
        <f>HYPERLINK("https://klasma.github.io/Logging_2085/tillsynsmail/A 35101-2026 tillsynsbegäran mail.docx", "A 35101-2026")</f>
        <v/>
      </c>
      <c r="AE51">
        <f>HYPERLINK("https://klasma.github.io/Logging_2085/fåglar/A 35101-2026 prioriterade fågelarter.docx", "A 35101-2026")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46298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46298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38635-2026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46283</v>
      </c>
      <c r="E54" s="1" t="n">
        <v>46298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Lunglav
Mörk husmossa
Vedticka
Vågbandad barkbock</t>
        </is>
      </c>
      <c r="W54">
        <f>HYPERLINK("https://klasma.github.io/Logging_2085/artfynd/A 38635-2026 artfynd.xlsx", "A 38635-2026")</f>
        <v/>
      </c>
      <c r="X54">
        <f>HYPERLINK("https://klasma.github.io/Logging_2085/kartor/A 38635-2026 karta.png", "A 38635-2026")</f>
        <v/>
      </c>
      <c r="Y54">
        <f>HYPERLINK("https://klasma.github.io/Logging_2085/kartor_geotiff/A 38635-2026 georefererad karta.tif", "A 38635-2026")</f>
        <v/>
      </c>
      <c r="AA54">
        <f>HYPERLINK("https://klasma.github.io/Logging_2085/klagomål/A 38635-2026 FSC-klagomål.docx", "A 38635-2026")</f>
        <v/>
      </c>
      <c r="AB54">
        <f>HYPERLINK("https://klasma.github.io/Logging_2085/klagomålsmail/A 38635-2026 FSC-klagomål mail.docx", "A 38635-2026")</f>
        <v/>
      </c>
      <c r="AC54">
        <f>HYPERLINK("https://klasma.github.io/Logging_2085/tillsyn/A 38635-2026 tillsynsbegäran.docx", "A 38635-2026")</f>
        <v/>
      </c>
      <c r="AD54">
        <f>HYPERLINK("https://klasma.github.io/Logging_2085/tillsynsmail/A 38635-2026 tillsynsbegäran mail.docx", "A 38635-2026")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46298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46298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A 23682-2026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46298</v>
      </c>
      <c r="F57" t="inlineStr">
        <is>
          <t>DALARNAS LÄN</t>
        </is>
      </c>
      <c r="G57" t="inlineStr">
        <is>
          <t>LUDVIKA</t>
        </is>
      </c>
      <c r="I57" t="n">
        <v>3.9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5</v>
      </c>
      <c r="U57" t="n">
        <v>5</v>
      </c>
      <c r="V57" s="2" t="inlineStr">
        <is>
          <t>Vårärt
Järpe
Spillkråka
Tjäder</t>
        </is>
      </c>
      <c r="W57">
        <f>HYPERLINK("https://klasma.github.io/Logging_2085/artfynd/A 23682-2026 artfynd.xlsx", "A 23682-2026")</f>
        <v/>
      </c>
      <c r="X57">
        <f>HYPERLINK("https://klasma.github.io/Logging_2085/kartor/A 23682-2026 karta.png", "A 23682-2026")</f>
        <v/>
      </c>
      <c r="Y57">
        <f>HYPERLINK("https://klasma.github.io/Logging_2085/kartor_geotiff/A 23682-2026 georefererad karta.tif", "A 23682-2026")</f>
        <v/>
      </c>
      <c r="AA57">
        <f>HYPERLINK("https://klasma.github.io/Logging_2085/klagomål/A 23682-2026 FSC-klagomål.docx", "A 23682-2026")</f>
        <v/>
      </c>
      <c r="AB57">
        <f>HYPERLINK("https://klasma.github.io/Logging_2085/klagomålsmail/A 23682-2026 FSC-klagomål mail.docx", "A 23682-2026")</f>
        <v/>
      </c>
      <c r="AC57">
        <f>HYPERLINK("https://klasma.github.io/Logging_2085/tillsyn/A 23682-2026 tillsynsbegäran.docx", "A 23682-2026")</f>
        <v/>
      </c>
      <c r="AD57">
        <f>HYPERLINK("https://klasma.github.io/Logging_2085/tillsynsmail/A 23682-2026 tillsynsbegäran mail.docx", "A 23682-2026")</f>
        <v/>
      </c>
      <c r="AE57">
        <f>HYPERLINK("https://klasma.github.io/Logging_2085/fåglar/A 23682-2026 prioriterade fågelarter.docx", "A 23682-2026")</f>
        <v/>
      </c>
    </row>
    <row r="58" ht="15" customHeight="1">
      <c r="A58" t="inlineStr">
        <is>
          <t>A 47044-2025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46298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2.7</v>
      </c>
      <c r="J58" t="n">
        <v>4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4</v>
      </c>
      <c r="T58" t="n">
        <v>4</v>
      </c>
      <c r="U58" t="n">
        <v>4</v>
      </c>
      <c r="V58" s="2" t="inlineStr">
        <is>
          <t>Duvhök
Tretåig hackspett
Järpe
Tjäder</t>
        </is>
      </c>
      <c r="W58">
        <f>HYPERLINK("https://klasma.github.io/Logging_2085/artfynd/A 47044-2025 artfynd.xlsx", "A 47044-2025")</f>
        <v/>
      </c>
      <c r="X58">
        <f>HYPERLINK("https://klasma.github.io/Logging_2085/kartor/A 47044-2025 karta.png", "A 47044-2025")</f>
        <v/>
      </c>
      <c r="Y58">
        <f>HYPERLINK("https://klasma.github.io/Logging_2085/kartor_geotiff/A 47044-2025 georefererad karta.tif", "A 47044-2025")</f>
        <v/>
      </c>
      <c r="AA58">
        <f>HYPERLINK("https://klasma.github.io/Logging_2085/klagomål/A 47044-2025 FSC-klagomål.docx", "A 47044-2025")</f>
        <v/>
      </c>
      <c r="AB58">
        <f>HYPERLINK("https://klasma.github.io/Logging_2085/klagomålsmail/A 47044-2025 FSC-klagomål mail.docx", "A 47044-2025")</f>
        <v/>
      </c>
      <c r="AC58">
        <f>HYPERLINK("https://klasma.github.io/Logging_2085/tillsyn/A 47044-2025 tillsynsbegäran.docx", "A 47044-2025")</f>
        <v/>
      </c>
      <c r="AD58">
        <f>HYPERLINK("https://klasma.github.io/Logging_2085/tillsynsmail/A 47044-2025 tillsynsbegäran mail.docx", "A 47044-2025")</f>
        <v/>
      </c>
      <c r="AE58">
        <f>HYPERLINK("https://klasma.github.io/Logging_2085/fåglar/A 47044-2025 prioriterade fågelarter.docx", "A 47044-2025")</f>
        <v/>
      </c>
    </row>
    <row r="59" ht="15" customHeight="1">
      <c r="A59" t="inlineStr">
        <is>
          <t>S 1284-2022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44624</v>
      </c>
      <c r="E59" s="1" t="n">
        <v>46298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374</v>
      </c>
      <c r="J59" t="n">
        <v>3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3</v>
      </c>
      <c r="V59" s="2" t="inlineStr">
        <is>
          <t>Korallblylav
Purpurknipprot
Järpe
Orre</t>
        </is>
      </c>
      <c r="W59">
        <f>HYPERLINK("https://klasma.github.io/Logging_2085/artfynd/S 1284-2022 artfynd.xlsx", "S 1284-2022")</f>
        <v/>
      </c>
      <c r="X59">
        <f>HYPERLINK("https://klasma.github.io/Logging_2085/kartor/S 1284-2022 karta.png", "S 1284-2022")</f>
        <v/>
      </c>
      <c r="Y59">
        <f>HYPERLINK("https://klasma.github.io/Logging_2085/kartor_geotiff/S 1284-2022 georefererad karta.tif", "S 1284-2022")</f>
        <v/>
      </c>
      <c r="AA59">
        <f>HYPERLINK("https://klasma.github.io/Logging_2085/klagomål/S 1284-2022 FSC-klagomål.docx", "S 1284-2022")</f>
        <v/>
      </c>
      <c r="AB59">
        <f>HYPERLINK("https://klasma.github.io/Logging_2085/klagomålsmail/S 1284-2022 FSC-klagomål mail.docx", "S 1284-2022")</f>
        <v/>
      </c>
      <c r="AC59">
        <f>HYPERLINK("https://klasma.github.io/Logging_2085/tillsyn/S 1284-2022 tillsynsbegäran.docx", "S 1284-2022")</f>
        <v/>
      </c>
      <c r="AD59">
        <f>HYPERLINK("https://klasma.github.io/Logging_2085/tillsynsmail/S 1284-2022 tillsynsbegäran mail.docx", "S 1284-2022")</f>
        <v/>
      </c>
      <c r="AE59">
        <f>HYPERLINK("https://klasma.github.io/Logging_2085/fåglar/S 1284-2022 prioriterade fågelarter.docx", "S 1284-2022")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46298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46298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46298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46298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46298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46298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46298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S 1583-2026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46170</v>
      </c>
      <c r="E67" s="1" t="n">
        <v>46298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3.5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Ullticka
Vedticka
Spillkråka</t>
        </is>
      </c>
      <c r="W67">
        <f>HYPERLINK("https://klasma.github.io/Logging_2085/artfynd/S 1583-2026 artfynd.xlsx", "S 1583-2026")</f>
        <v/>
      </c>
      <c r="X67">
        <f>HYPERLINK("https://klasma.github.io/Logging_2085/kartor/S 1583-2026 karta.png", "S 1583-2026")</f>
        <v/>
      </c>
      <c r="Y67">
        <f>HYPERLINK("https://klasma.github.io/Logging_2085/kartor_geotiff/S 1583-2026 georefererad karta.tif", "S 1583-2026")</f>
        <v/>
      </c>
      <c r="AA67">
        <f>HYPERLINK("https://klasma.github.io/Logging_2085/klagomål/S 1583-2026 FSC-klagomål.docx", "S 1583-2026")</f>
        <v/>
      </c>
      <c r="AB67">
        <f>HYPERLINK("https://klasma.github.io/Logging_2085/klagomålsmail/S 1583-2026 FSC-klagomål mail.docx", "S 1583-2026")</f>
        <v/>
      </c>
      <c r="AC67">
        <f>HYPERLINK("https://klasma.github.io/Logging_2085/tillsyn/S 1583-2026 tillsynsbegäran.docx", "S 1583-2026")</f>
        <v/>
      </c>
      <c r="AD67">
        <f>HYPERLINK("https://klasma.github.io/Logging_2085/tillsynsmail/S 1583-2026 tillsynsbegäran mail.docx", "S 1583-2026")</f>
        <v/>
      </c>
      <c r="AE67">
        <f>HYPERLINK("https://klasma.github.io/Logging_2085/fåglar/S 1583-2026 prioriterade fågelarter.docx", "S 1583-2026")</f>
        <v/>
      </c>
    </row>
    <row r="68" ht="15" customHeight="1">
      <c r="A68" t="inlineStr">
        <is>
          <t>A 51886-2022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46298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1.8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Brun gräsfjäril
Tvåblad</t>
        </is>
      </c>
      <c r="W68">
        <f>HYPERLINK("https://klasma.github.io/Logging_2085/artfynd/A 51886-2022 artfynd.xlsx", "A 51886-2022")</f>
        <v/>
      </c>
      <c r="X68">
        <f>HYPERLINK("https://klasma.github.io/Logging_2085/kartor/A 51886-2022 karta.png", "A 51886-2022")</f>
        <v/>
      </c>
      <c r="Y68">
        <f>HYPERLINK("https://klasma.github.io/Logging_2085/kartor_geotiff/A 51886-2022 georefererad karta.tif", "A 51886-2022")</f>
        <v/>
      </c>
      <c r="AA68">
        <f>HYPERLINK("https://klasma.github.io/Logging_2085/klagomål/A 51886-2022 FSC-klagomål.docx", "A 51886-2022")</f>
        <v/>
      </c>
      <c r="AB68">
        <f>HYPERLINK("https://klasma.github.io/Logging_2085/klagomålsmail/A 51886-2022 FSC-klagomål mail.docx", "A 51886-2022")</f>
        <v/>
      </c>
      <c r="AC68">
        <f>HYPERLINK("https://klasma.github.io/Logging_2085/tillsyn/A 51886-2022 tillsynsbegäran.docx", "A 51886-2022")</f>
        <v/>
      </c>
      <c r="AD68">
        <f>HYPERLINK("https://klasma.github.io/Logging_2085/tillsynsmail/A 51886-2022 tillsynsbegäran mail.docx", "A 51886-2022")</f>
        <v/>
      </c>
    </row>
    <row r="69" ht="15" customHeight="1">
      <c r="A69" t="inlineStr">
        <is>
          <t>A 49051-2024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46298</v>
      </c>
      <c r="F69" t="inlineStr">
        <is>
          <t>DALARNAS LÄN</t>
        </is>
      </c>
      <c r="G69" t="inlineStr">
        <is>
          <t>LUDVIKA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2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0</v>
      </c>
      <c r="V69" s="2" t="inlineStr">
        <is>
          <t>Ladparasitspik
Vedkastanjelav</t>
        </is>
      </c>
      <c r="W69">
        <f>HYPERLINK("https://klasma.github.io/Logging_2085/artfynd/A 49051-2024 artfynd.xlsx", "A 49051-2024")</f>
        <v/>
      </c>
      <c r="X69">
        <f>HYPERLINK("https://klasma.github.io/Logging_2085/kartor/A 49051-2024 karta.png", "A 49051-2024")</f>
        <v/>
      </c>
      <c r="Y69">
        <f>HYPERLINK("https://klasma.github.io/Logging_2085/kartor_geotiff/A 49051-2024 georefererad karta.tif", "A 49051-2024")</f>
        <v/>
      </c>
      <c r="AA69">
        <f>HYPERLINK("https://klasma.github.io/Logging_2085/klagomål/A 49051-2024 FSC-klagomål.docx", "A 49051-2024")</f>
        <v/>
      </c>
      <c r="AB69">
        <f>HYPERLINK("https://klasma.github.io/Logging_2085/klagomålsmail/A 49051-2024 FSC-klagomål mail.docx", "A 49051-2024")</f>
        <v/>
      </c>
      <c r="AC69">
        <f>HYPERLINK("https://klasma.github.io/Logging_2085/tillsyn/A 49051-2024 tillsynsbegäran.docx", "A 49051-2024")</f>
        <v/>
      </c>
      <c r="AD69">
        <f>HYPERLINK("https://klasma.github.io/Logging_2085/tillsynsmail/A 49051-2024 tillsynsbegäran mail.docx", "A 49051-2024")</f>
        <v/>
      </c>
    </row>
    <row r="70" ht="15" customHeight="1">
      <c r="A70" t="inlineStr">
        <is>
          <t>A 42558-2022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46298</v>
      </c>
      <c r="F70" t="inlineStr">
        <is>
          <t>DALARNAS LÄN</t>
        </is>
      </c>
      <c r="G70" t="inlineStr">
        <is>
          <t>LUDVIKA</t>
        </is>
      </c>
      <c r="H70" t="inlineStr">
        <is>
          <t>Naturvårdsverket</t>
        </is>
      </c>
      <c r="I70" t="n">
        <v>4.9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Gräddporing
Lopplummer (aggregat)</t>
        </is>
      </c>
      <c r="W70">
        <f>HYPERLINK("https://klasma.github.io/Logging_2085/artfynd/A 42558-2022 artfynd.xlsx", "A 42558-2022")</f>
        <v/>
      </c>
      <c r="X70">
        <f>HYPERLINK("https://klasma.github.io/Logging_2085/kartor/A 42558-2022 karta.png", "A 42558-2022")</f>
        <v/>
      </c>
      <c r="Y70">
        <f>HYPERLINK("https://klasma.github.io/Logging_2085/kartor_geotiff/A 42558-2022 georefererad karta.tif", "A 42558-2022")</f>
        <v/>
      </c>
      <c r="AA70">
        <f>HYPERLINK("https://klasma.github.io/Logging_2085/klagomål/A 42558-2022 FSC-klagomål.docx", "A 42558-2022")</f>
        <v/>
      </c>
      <c r="AB70">
        <f>HYPERLINK("https://klasma.github.io/Logging_2085/klagomålsmail/A 42558-2022 FSC-klagomål mail.docx", "A 42558-2022")</f>
        <v/>
      </c>
      <c r="AC70">
        <f>HYPERLINK("https://klasma.github.io/Logging_2085/tillsyn/A 42558-2022 tillsynsbegäran.docx", "A 42558-2022")</f>
        <v/>
      </c>
      <c r="AD70">
        <f>HYPERLINK("https://klasma.github.io/Logging_2085/tillsynsmail/A 42558-2022 tillsynsbegäran mail.docx", "A 42558-2022")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46298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46298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46298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21369-2023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46298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0.4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Skogsalm
Tibast</t>
        </is>
      </c>
      <c r="W76">
        <f>HYPERLINK("https://klasma.github.io/Logging_2085/artfynd/A 21369-2023 artfynd.xlsx", "A 21369-2023")</f>
        <v/>
      </c>
      <c r="X76">
        <f>HYPERLINK("https://klasma.github.io/Logging_2085/kartor/A 21369-2023 karta.png", "A 21369-2023")</f>
        <v/>
      </c>
      <c r="Y76">
        <f>HYPERLINK("https://klasma.github.io/Logging_2085/kartor_geotiff/A 21369-2023 georefererad karta.tif", "A 21369-2023")</f>
        <v/>
      </c>
      <c r="AA76">
        <f>HYPERLINK("https://klasma.github.io/Logging_2085/klagomål/A 21369-2023 FSC-klagomål.docx", "A 21369-2023")</f>
        <v/>
      </c>
      <c r="AB76">
        <f>HYPERLINK("https://klasma.github.io/Logging_2085/klagomålsmail/A 21369-2023 FSC-klagomål mail.docx", "A 21369-2023")</f>
        <v/>
      </c>
      <c r="AC76">
        <f>HYPERLINK("https://klasma.github.io/Logging_2085/tillsyn/A 21369-2023 tillsynsbegäran.docx", "A 21369-2023")</f>
        <v/>
      </c>
      <c r="AD76">
        <f>HYPERLINK("https://klasma.github.io/Logging_2085/tillsynsmail/A 21369-2023 tillsynsbegäran mail.docx", "A 21369-2023")</f>
        <v/>
      </c>
    </row>
    <row r="77" ht="15" customHeight="1">
      <c r="A77" t="inlineStr">
        <is>
          <t>A 56879-2025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46298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Tjäder</t>
        </is>
      </c>
      <c r="W77">
        <f>HYPERLINK("https://klasma.github.io/Logging_2085/artfynd/A 56879-2025 artfynd.xlsx", "A 56879-2025")</f>
        <v/>
      </c>
      <c r="X77">
        <f>HYPERLINK("https://klasma.github.io/Logging_2085/kartor/A 56879-2025 karta.png", "A 56879-2025")</f>
        <v/>
      </c>
      <c r="Y77">
        <f>HYPERLINK("https://klasma.github.io/Logging_2085/kartor_geotiff/A 56879-2025 georefererad karta.tif", "A 56879-2025")</f>
        <v/>
      </c>
      <c r="AA77">
        <f>HYPERLINK("https://klasma.github.io/Logging_2085/klagomål/A 56879-2025 FSC-klagomål.docx", "A 56879-2025")</f>
        <v/>
      </c>
      <c r="AB77">
        <f>HYPERLINK("https://klasma.github.io/Logging_2085/klagomålsmail/A 56879-2025 FSC-klagomål mail.docx", "A 56879-2025")</f>
        <v/>
      </c>
      <c r="AC77">
        <f>HYPERLINK("https://klasma.github.io/Logging_2085/tillsyn/A 56879-2025 tillsynsbegäran.docx", "A 56879-2025")</f>
        <v/>
      </c>
      <c r="AD77">
        <f>HYPERLINK("https://klasma.github.io/Logging_2085/tillsynsmail/A 56879-2025 tillsynsbegäran mail.docx", "A 56879-2025")</f>
        <v/>
      </c>
      <c r="AE77">
        <f>HYPERLINK("https://klasma.github.io/Logging_2085/fåglar/A 56879-2025 prioriterade fågelarter.docx", "A 56879-2025")</f>
        <v/>
      </c>
    </row>
    <row r="78" ht="15" customHeight="1">
      <c r="A78" t="inlineStr">
        <is>
          <t>A 56179-2025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46298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Gultoppig fingersvamp
Kortskaftad ärgspik</t>
        </is>
      </c>
      <c r="W78">
        <f>HYPERLINK("https://klasma.github.io/Logging_2085/artfynd/A 56179-2025 artfynd.xlsx", "A 56179-2025")</f>
        <v/>
      </c>
      <c r="X78">
        <f>HYPERLINK("https://klasma.github.io/Logging_2085/kartor/A 56179-2025 karta.png", "A 56179-2025")</f>
        <v/>
      </c>
      <c r="Y78">
        <f>HYPERLINK("https://klasma.github.io/Logging_2085/kartor_geotiff/A 56179-2025 georefererad karta.tif", "A 56179-2025")</f>
        <v/>
      </c>
      <c r="Z78">
        <f>HYPERLINK("https://klasma.github.io/Logging_2085/knärot/A 56179-2025 karta knärot.png", "A 56179-2025")</f>
        <v/>
      </c>
      <c r="AA78">
        <f>HYPERLINK("https://klasma.github.io/Logging_2085/klagomål/A 56179-2025 FSC-klagomål.docx", "A 56179-2025")</f>
        <v/>
      </c>
      <c r="AB78">
        <f>HYPERLINK("https://klasma.github.io/Logging_2085/klagomålsmail/A 56179-2025 FSC-klagomål mail.docx", "A 56179-2025")</f>
        <v/>
      </c>
      <c r="AC78">
        <f>HYPERLINK("https://klasma.github.io/Logging_2085/tillsyn/A 56179-2025 tillsynsbegäran.docx", "A 56179-2025")</f>
        <v/>
      </c>
      <c r="AD78">
        <f>HYPERLINK("https://klasma.github.io/Logging_2085/tillsynsmail/A 56179-2025 tillsynsbegäran mail.docx", "A 56179-2025")</f>
        <v/>
      </c>
    </row>
    <row r="79" ht="15" customHeight="1">
      <c r="A79" t="inlineStr">
        <is>
          <t>A 45225-2024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45575</v>
      </c>
      <c r="E79" s="1" t="n">
        <v>46298</v>
      </c>
      <c r="F79" t="inlineStr">
        <is>
          <t>DALARNAS LÄN</t>
        </is>
      </c>
      <c r="G79" t="inlineStr">
        <is>
          <t>LUDVIKA</t>
        </is>
      </c>
      <c r="I79" t="n">
        <v>1.1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Kungsfågel
Ärtsångare</t>
        </is>
      </c>
      <c r="W79">
        <f>HYPERLINK("https://klasma.github.io/Logging_2085/artfynd/A 45225-2024 artfynd.xlsx", "A 45225-2024")</f>
        <v/>
      </c>
      <c r="X79">
        <f>HYPERLINK("https://klasma.github.io/Logging_2085/kartor/A 45225-2024 karta.png", "A 45225-2024")</f>
        <v/>
      </c>
      <c r="Y79">
        <f>HYPERLINK("https://klasma.github.io/Logging_2085/kartor_geotiff/A 45225-2024 georefererad karta.tif", "A 45225-2024")</f>
        <v/>
      </c>
      <c r="AA79">
        <f>HYPERLINK("https://klasma.github.io/Logging_2085/klagomål/A 45225-2024 FSC-klagomål.docx", "A 45225-2024")</f>
        <v/>
      </c>
      <c r="AB79">
        <f>HYPERLINK("https://klasma.github.io/Logging_2085/klagomålsmail/A 45225-2024 FSC-klagomål mail.docx", "A 45225-2024")</f>
        <v/>
      </c>
      <c r="AC79">
        <f>HYPERLINK("https://klasma.github.io/Logging_2085/tillsyn/A 45225-2024 tillsynsbegäran.docx", "A 45225-2024")</f>
        <v/>
      </c>
      <c r="AD79">
        <f>HYPERLINK("https://klasma.github.io/Logging_2085/tillsynsmail/A 45225-2024 tillsynsbegäran mail.docx", "A 45225-2024")</f>
        <v/>
      </c>
    </row>
    <row r="80" ht="15" customHeight="1">
      <c r="A80" t="inlineStr">
        <is>
          <t>A 62275-2022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46298</v>
      </c>
      <c r="F80" t="inlineStr">
        <is>
          <t>DALARNAS LÄN</t>
        </is>
      </c>
      <c r="G80" t="inlineStr">
        <is>
          <t>LUDVIKA</t>
        </is>
      </c>
      <c r="I80" t="n">
        <v>4.6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5</v>
      </c>
      <c r="U80" t="n">
        <v>5</v>
      </c>
      <c r="V80" s="2" t="inlineStr">
        <is>
          <t>Knärot
Brunklöver</t>
        </is>
      </c>
      <c r="W80">
        <f>HYPERLINK("https://klasma.github.io/Logging_2085/artfynd/A 62275-2022 artfynd.xlsx", "A 62275-2022")</f>
        <v/>
      </c>
      <c r="X80">
        <f>HYPERLINK("https://klasma.github.io/Logging_2085/kartor/A 62275-2022 karta.png", "A 62275-2022")</f>
        <v/>
      </c>
      <c r="Y80">
        <f>HYPERLINK("https://klasma.github.io/Logging_2085/kartor_geotiff/A 62275-2022 georefererad karta.tif", "A 62275-2022")</f>
        <v/>
      </c>
      <c r="Z80">
        <f>HYPERLINK("https://klasma.github.io/Logging_2085/knärot/A 62275-2022 karta knärot.png", "A 62275-2022")</f>
        <v/>
      </c>
      <c r="AA80">
        <f>HYPERLINK("https://klasma.github.io/Logging_2085/klagomål/A 62275-2022 FSC-klagomål.docx", "A 62275-2022")</f>
        <v/>
      </c>
      <c r="AB80">
        <f>HYPERLINK("https://klasma.github.io/Logging_2085/klagomålsmail/A 62275-2022 FSC-klagomål mail.docx", "A 62275-2022")</f>
        <v/>
      </c>
      <c r="AC80">
        <f>HYPERLINK("https://klasma.github.io/Logging_2085/tillsyn/A 62275-2022 tillsynsbegäran.docx", "A 62275-2022")</f>
        <v/>
      </c>
      <c r="AD80">
        <f>HYPERLINK("https://klasma.github.io/Logging_2085/tillsynsmail/A 62275-2022 tillsynsbegäran mail.docx", "A 62275-2022")</f>
        <v/>
      </c>
    </row>
    <row r="81" ht="15" customHeight="1">
      <c r="A81" t="inlineStr">
        <is>
          <t>A 11755-2023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46298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Spillkråka</t>
        </is>
      </c>
      <c r="W81">
        <f>HYPERLINK("https://klasma.github.io/Logging_2085/artfynd/A 11755-2023 artfynd.xlsx", "A 11755-2023")</f>
        <v/>
      </c>
      <c r="X81">
        <f>HYPERLINK("https://klasma.github.io/Logging_2085/kartor/A 11755-2023 karta.png", "A 11755-2023")</f>
        <v/>
      </c>
      <c r="Y81">
        <f>HYPERLINK("https://klasma.github.io/Logging_2085/kartor_geotiff/A 11755-2023 georefererad karta.tif", "A 11755-2023")</f>
        <v/>
      </c>
      <c r="AA81">
        <f>HYPERLINK("https://klasma.github.io/Logging_2085/klagomål/A 11755-2023 FSC-klagomål.docx", "A 11755-2023")</f>
        <v/>
      </c>
      <c r="AB81">
        <f>HYPERLINK("https://klasma.github.io/Logging_2085/klagomålsmail/A 11755-2023 FSC-klagomål mail.docx", "A 11755-2023")</f>
        <v/>
      </c>
      <c r="AC81">
        <f>HYPERLINK("https://klasma.github.io/Logging_2085/tillsyn/A 11755-2023 tillsynsbegäran.docx", "A 11755-2023")</f>
        <v/>
      </c>
      <c r="AD81">
        <f>HYPERLINK("https://klasma.github.io/Logging_2085/tillsynsmail/A 11755-2023 tillsynsbegäran mail.docx", "A 11755-2023")</f>
        <v/>
      </c>
      <c r="AE81">
        <f>HYPERLINK("https://klasma.github.io/Logging_2085/fåglar/A 11755-2023 prioriterade fågelarter.docx", "A 11755-2023")</f>
        <v/>
      </c>
    </row>
    <row r="82" ht="15" customHeight="1">
      <c r="A82" t="inlineStr">
        <is>
          <t>A 21876-2026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46298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Tretåig hackspett</t>
        </is>
      </c>
      <c r="W82">
        <f>HYPERLINK("https://klasma.github.io/Logging_2085/artfynd/A 21876-2026 artfynd.xlsx", "A 21876-2026")</f>
        <v/>
      </c>
      <c r="X82">
        <f>HYPERLINK("https://klasma.github.io/Logging_2085/kartor/A 21876-2026 karta.png", "A 21876-2026")</f>
        <v/>
      </c>
      <c r="Y82">
        <f>HYPERLINK("https://klasma.github.io/Logging_2085/kartor_geotiff/A 21876-2026 georefererad karta.tif", "A 21876-2026")</f>
        <v/>
      </c>
      <c r="AA82">
        <f>HYPERLINK("https://klasma.github.io/Logging_2085/klagomål/A 21876-2026 FSC-klagomål.docx", "A 21876-2026")</f>
        <v/>
      </c>
      <c r="AB82">
        <f>HYPERLINK("https://klasma.github.io/Logging_2085/klagomålsmail/A 21876-2026 FSC-klagomål mail.docx", "A 21876-2026")</f>
        <v/>
      </c>
      <c r="AC82">
        <f>HYPERLINK("https://klasma.github.io/Logging_2085/tillsyn/A 21876-2026 tillsynsbegäran.docx", "A 21876-2026")</f>
        <v/>
      </c>
      <c r="AD82">
        <f>HYPERLINK("https://klasma.github.io/Logging_2085/tillsynsmail/A 21876-2026 tillsynsbegäran mail.docx", "A 21876-2026")</f>
        <v/>
      </c>
      <c r="AE82">
        <f>HYPERLINK("https://klasma.github.io/Logging_2085/fåglar/A 21876-2026 prioriterade fågelarter.docx", "A 21876-2026")</f>
        <v/>
      </c>
    </row>
    <row r="83" ht="15" customHeight="1">
      <c r="A83" t="inlineStr">
        <is>
          <t>A 3809-2024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46298</v>
      </c>
      <c r="F83" t="inlineStr">
        <is>
          <t>DALARNAS LÄN</t>
        </is>
      </c>
      <c r="G83" t="inlineStr">
        <is>
          <t>LUDVIKA</t>
        </is>
      </c>
      <c r="I83" t="n">
        <v>0.5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8</v>
      </c>
      <c r="U83" t="n">
        <v>8</v>
      </c>
      <c r="V83" s="2" t="inlineStr">
        <is>
          <t>Nordfladdermus
Fläcknycklar</t>
        </is>
      </c>
      <c r="W83">
        <f>HYPERLINK("https://klasma.github.io/Logging_2085/artfynd/A 3809-2024 artfynd.xlsx", "A 3809-2024")</f>
        <v/>
      </c>
      <c r="X83">
        <f>HYPERLINK("https://klasma.github.io/Logging_2085/kartor/A 3809-2024 karta.png", "A 3809-2024")</f>
        <v/>
      </c>
      <c r="Y83">
        <f>HYPERLINK("https://klasma.github.io/Logging_2085/kartor_geotiff/A 3809-2024 georefererad karta.tif", "A 3809-2024")</f>
        <v/>
      </c>
      <c r="AA83">
        <f>HYPERLINK("https://klasma.github.io/Logging_2085/klagomål/A 3809-2024 FSC-klagomål.docx", "A 3809-2024")</f>
        <v/>
      </c>
      <c r="AB83">
        <f>HYPERLINK("https://klasma.github.io/Logging_2085/klagomålsmail/A 3809-2024 FSC-klagomål mail.docx", "A 3809-2024")</f>
        <v/>
      </c>
      <c r="AC83">
        <f>HYPERLINK("https://klasma.github.io/Logging_2085/tillsyn/A 3809-2024 tillsynsbegäran.docx", "A 3809-2024")</f>
        <v/>
      </c>
      <c r="AD83">
        <f>HYPERLINK("https://klasma.github.io/Logging_2085/tillsynsmail/A 3809-2024 tillsynsbegäran mail.docx", "A 3809-2024")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46298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46298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46298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55399-2025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46298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11.5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HYPERLINK("https://klasma.github.io/Logging_2085/artfynd/A 55399-2025 artfynd.xlsx", "A 55399-2025")</f>
        <v/>
      </c>
      <c r="X87">
        <f>HYPERLINK("https://klasma.github.io/Logging_2085/kartor/A 55399-2025 karta.png", "A 55399-2025")</f>
        <v/>
      </c>
      <c r="Y87">
        <f>HYPERLINK("https://klasma.github.io/Logging_2085/kartor_geotiff/A 55399-2025 georefererad karta.tif", "A 55399-2025")</f>
        <v/>
      </c>
      <c r="AA87">
        <f>HYPERLINK("https://klasma.github.io/Logging_2085/klagomål/A 55399-2025 FSC-klagomål.docx", "A 55399-2025")</f>
        <v/>
      </c>
      <c r="AB87">
        <f>HYPERLINK("https://klasma.github.io/Logging_2085/klagomålsmail/A 55399-2025 FSC-klagomål mail.docx", "A 55399-2025")</f>
        <v/>
      </c>
      <c r="AC87">
        <f>HYPERLINK("https://klasma.github.io/Logging_2085/tillsyn/A 55399-2025 tillsynsbegäran.docx", "A 55399-2025")</f>
        <v/>
      </c>
      <c r="AD87">
        <f>HYPERLINK("https://klasma.github.io/Logging_2085/tillsynsmail/A 55399-2025 tillsynsbegäran mail.docx", "A 55399-2025")</f>
        <v/>
      </c>
      <c r="AE87">
        <f>HYPERLINK("https://klasma.github.io/Logging_2085/fåglar/A 55399-2025 prioriterade fågelarter.docx", "A 55399-2025")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46298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35104-2026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46298</v>
      </c>
      <c r="F89" t="inlineStr">
        <is>
          <t>DALARNAS LÄN</t>
        </is>
      </c>
      <c r="G89" t="inlineStr">
        <is>
          <t>LUDVIKA</t>
        </is>
      </c>
      <c r="I89" t="n">
        <v>1.4</v>
      </c>
      <c r="J89" t="n">
        <v>1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Rödgul trumpetsvamp</t>
        </is>
      </c>
      <c r="W89">
        <f>HYPERLINK("https://klasma.github.io/Logging_2085/artfynd/A 35104-2026 artfynd.xlsx", "A 35104-2026")</f>
        <v/>
      </c>
      <c r="X89">
        <f>HYPERLINK("https://klasma.github.io/Logging_2085/kartor/A 35104-2026 karta.png", "A 35104-2026")</f>
        <v/>
      </c>
      <c r="Y89">
        <f>HYPERLINK("https://klasma.github.io/Logging_2085/kartor_geotiff/A 35104-2026 georefererad karta.tif", "A 35104-2026")</f>
        <v/>
      </c>
      <c r="Z89">
        <f>HYPERLINK("https://klasma.github.io/Logging_2085/knärot/A 35104-2026 karta knärot.png", "A 35104-2026")</f>
        <v/>
      </c>
      <c r="AA89">
        <f>HYPERLINK("https://klasma.github.io/Logging_2085/klagomål/A 35104-2026 FSC-klagomål.docx", "A 35104-2026")</f>
        <v/>
      </c>
      <c r="AB89">
        <f>HYPERLINK("https://klasma.github.io/Logging_2085/klagomålsmail/A 35104-2026 FSC-klagomål mail.docx", "A 35104-2026")</f>
        <v/>
      </c>
      <c r="AC89">
        <f>HYPERLINK("https://klasma.github.io/Logging_2085/tillsyn/A 35104-2026 tillsynsbegäran.docx", "A 35104-2026")</f>
        <v/>
      </c>
      <c r="AD89">
        <f>HYPERLINK("https://klasma.github.io/Logging_2085/tillsynsmail/A 35104-2026 tillsynsbegäran mail.docx", "A 35104-2026")</f>
        <v/>
      </c>
    </row>
    <row r="90" ht="15" customHeight="1">
      <c r="A90" t="inlineStr">
        <is>
          <t>A 35099-2026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46298</v>
      </c>
      <c r="F90" t="inlineStr">
        <is>
          <t>DALARNAS LÄN</t>
        </is>
      </c>
      <c r="G90" t="inlineStr">
        <is>
          <t>LUDVIKA</t>
        </is>
      </c>
      <c r="I90" t="n">
        <v>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5</v>
      </c>
      <c r="V90" s="2" t="inlineStr">
        <is>
          <t>Knärot
Sälg</t>
        </is>
      </c>
      <c r="W90">
        <f>HYPERLINK("https://klasma.github.io/Logging_2085/artfynd/A 35099-2026 artfynd.xlsx", "A 35099-2026")</f>
        <v/>
      </c>
      <c r="X90">
        <f>HYPERLINK("https://klasma.github.io/Logging_2085/kartor/A 35099-2026 karta.png", "A 35099-2026")</f>
        <v/>
      </c>
      <c r="Y90">
        <f>HYPERLINK("https://klasma.github.io/Logging_2085/kartor_geotiff/A 35099-2026 georefererad karta.tif", "A 35099-2026")</f>
        <v/>
      </c>
      <c r="Z90">
        <f>HYPERLINK("https://klasma.github.io/Logging_2085/knärot/A 35099-2026 karta knärot.png", "A 35099-2026")</f>
        <v/>
      </c>
      <c r="AA90">
        <f>HYPERLINK("https://klasma.github.io/Logging_2085/klagomål/A 35099-2026 FSC-klagomål.docx", "A 35099-2026")</f>
        <v/>
      </c>
      <c r="AB90">
        <f>HYPERLINK("https://klasma.github.io/Logging_2085/klagomålsmail/A 35099-2026 FSC-klagomål mail.docx", "A 35099-2026")</f>
        <v/>
      </c>
      <c r="AC90">
        <f>HYPERLINK("https://klasma.github.io/Logging_2085/tillsyn/A 35099-2026 tillsynsbegäran.docx", "A 35099-2026")</f>
        <v/>
      </c>
      <c r="AD90">
        <f>HYPERLINK("https://klasma.github.io/Logging_2085/tillsynsmail/A 35099-2026 tillsynsbegäran mail.docx", "A 35099-2026")</f>
        <v/>
      </c>
    </row>
    <row r="91" ht="15" customHeight="1">
      <c r="A91" t="inlineStr">
        <is>
          <t>A 28639-2026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46198</v>
      </c>
      <c r="E91" s="1" t="n">
        <v>46298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Blå taggsvamp
Motaggsvamp</t>
        </is>
      </c>
      <c r="W91">
        <f>HYPERLINK("https://klasma.github.io/Logging_2085/artfynd/A 28639-2026 artfynd.xlsx", "A 28639-2026")</f>
        <v/>
      </c>
      <c r="X91">
        <f>HYPERLINK("https://klasma.github.io/Logging_2085/kartor/A 28639-2026 karta.png", "A 28639-2026")</f>
        <v/>
      </c>
      <c r="Y91">
        <f>HYPERLINK("https://klasma.github.io/Logging_2085/kartor_geotiff/A 28639-2026 georefererad karta.tif", "A 28639-2026")</f>
        <v/>
      </c>
      <c r="AA91">
        <f>HYPERLINK("https://klasma.github.io/Logging_2085/klagomål/A 28639-2026 FSC-klagomål.docx", "A 28639-2026")</f>
        <v/>
      </c>
      <c r="AB91">
        <f>HYPERLINK("https://klasma.github.io/Logging_2085/klagomålsmail/A 28639-2026 FSC-klagomål mail.docx", "A 28639-2026")</f>
        <v/>
      </c>
      <c r="AC91">
        <f>HYPERLINK("https://klasma.github.io/Logging_2085/tillsyn/A 28639-2026 tillsynsbegäran.docx", "A 28639-2026")</f>
        <v/>
      </c>
      <c r="AD91">
        <f>HYPERLINK("https://klasma.github.io/Logging_2085/tillsynsmail/A 28639-2026 tillsynsbegäran mail.docx", "A 28639-2026")</f>
        <v/>
      </c>
    </row>
    <row r="92" ht="15" customHeight="1">
      <c r="A92" t="inlineStr">
        <is>
          <t>A 49763-2025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46298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6.9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2</v>
      </c>
      <c r="V92" s="2" t="inlineStr">
        <is>
          <t>Dvärgbägarlav
Vedticka</t>
        </is>
      </c>
      <c r="W92">
        <f>HYPERLINK("https://klasma.github.io/Logging_2085/artfynd/A 49763-2025 artfynd.xlsx", "A 49763-2025")</f>
        <v/>
      </c>
      <c r="X92">
        <f>HYPERLINK("https://klasma.github.io/Logging_2085/kartor/A 49763-2025 karta.png", "A 49763-2025")</f>
        <v/>
      </c>
      <c r="Y92">
        <f>HYPERLINK("https://klasma.github.io/Logging_2085/kartor_geotiff/A 49763-2025 georefererad karta.tif", "A 49763-2025")</f>
        <v/>
      </c>
      <c r="AA92">
        <f>HYPERLINK("https://klasma.github.io/Logging_2085/klagomål/A 49763-2025 FSC-klagomål.docx", "A 49763-2025")</f>
        <v/>
      </c>
      <c r="AB92">
        <f>HYPERLINK("https://klasma.github.io/Logging_2085/klagomålsmail/A 49763-2025 FSC-klagomål mail.docx", "A 49763-2025")</f>
        <v/>
      </c>
      <c r="AC92">
        <f>HYPERLINK("https://klasma.github.io/Logging_2085/tillsyn/A 49763-2025 tillsynsbegäran.docx", "A 49763-2025")</f>
        <v/>
      </c>
      <c r="AD92">
        <f>HYPERLINK("https://klasma.github.io/Logging_2085/tillsynsmail/A 49763-2025 tillsynsbegäran mail.docx", "A 49763-2025")</f>
        <v/>
      </c>
    </row>
    <row r="93" ht="15" customHeight="1">
      <c r="A93" t="inlineStr">
        <is>
          <t>A 56826-2025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46298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4.5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8</v>
      </c>
      <c r="U93" t="n">
        <v>8</v>
      </c>
      <c r="V93" s="2" t="inlineStr">
        <is>
          <t>Garnlav
Tretåig hackspett</t>
        </is>
      </c>
      <c r="W93">
        <f>HYPERLINK("https://klasma.github.io/Logging_2085/artfynd/A 56826-2025 artfynd.xlsx", "A 56826-2025")</f>
        <v/>
      </c>
      <c r="X93">
        <f>HYPERLINK("https://klasma.github.io/Logging_2085/kartor/A 56826-2025 karta.png", "A 56826-2025")</f>
        <v/>
      </c>
      <c r="Y93">
        <f>HYPERLINK("https://klasma.github.io/Logging_2085/kartor_geotiff/A 56826-2025 georefererad karta.tif", "A 56826-2025")</f>
        <v/>
      </c>
      <c r="AA93">
        <f>HYPERLINK("https://klasma.github.io/Logging_2085/klagomål/A 56826-2025 FSC-klagomål.docx", "A 56826-2025")</f>
        <v/>
      </c>
      <c r="AB93">
        <f>HYPERLINK("https://klasma.github.io/Logging_2085/klagomålsmail/A 56826-2025 FSC-klagomål mail.docx", "A 56826-2025")</f>
        <v/>
      </c>
      <c r="AC93">
        <f>HYPERLINK("https://klasma.github.io/Logging_2085/tillsyn/A 56826-2025 tillsynsbegäran.docx", "A 56826-2025")</f>
        <v/>
      </c>
      <c r="AD93">
        <f>HYPERLINK("https://klasma.github.io/Logging_2085/tillsynsmail/A 56826-2025 tillsynsbegäran mail.docx", "A 56826-2025")</f>
        <v/>
      </c>
      <c r="AE93">
        <f>HYPERLINK("https://klasma.github.io/Logging_2085/fåglar/A 56826-2025 prioriterade fågelarter.docx", "A 56826-2025")</f>
        <v/>
      </c>
    </row>
    <row r="94" ht="15" customHeight="1">
      <c r="A94" t="inlineStr">
        <is>
          <t>A 19512-2022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46298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2.8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Tretåig hackspett
Nästlav</t>
        </is>
      </c>
      <c r="W94">
        <f>HYPERLINK("https://klasma.github.io/Logging_2085/artfynd/A 19512-2022 artfynd.xlsx", "A 19512-2022")</f>
        <v/>
      </c>
      <c r="X94">
        <f>HYPERLINK("https://klasma.github.io/Logging_2085/kartor/A 19512-2022 karta.png", "A 19512-2022")</f>
        <v/>
      </c>
      <c r="Y94">
        <f>HYPERLINK("https://klasma.github.io/Logging_2085/kartor_geotiff/A 19512-2022 georefererad karta.tif", "A 19512-2022")</f>
        <v/>
      </c>
      <c r="AA94">
        <f>HYPERLINK("https://klasma.github.io/Logging_2085/klagomål/A 19512-2022 FSC-klagomål.docx", "A 19512-2022")</f>
        <v/>
      </c>
      <c r="AB94">
        <f>HYPERLINK("https://klasma.github.io/Logging_2085/klagomålsmail/A 19512-2022 FSC-klagomål mail.docx", "A 19512-2022")</f>
        <v/>
      </c>
      <c r="AC94">
        <f>HYPERLINK("https://klasma.github.io/Logging_2085/tillsyn/A 19512-2022 tillsynsbegäran.docx", "A 19512-2022")</f>
        <v/>
      </c>
      <c r="AD94">
        <f>HYPERLINK("https://klasma.github.io/Logging_2085/tillsynsmail/A 19512-2022 tillsynsbegäran mail.docx", "A 19512-2022")</f>
        <v/>
      </c>
      <c r="AE94">
        <f>HYPERLINK("https://klasma.github.io/Logging_2085/fåglar/A 19512-2022 prioriterade fågelarter.docx", "A 19512-2022")</f>
        <v/>
      </c>
    </row>
    <row r="95" ht="15" customHeight="1">
      <c r="A95" t="inlineStr">
        <is>
          <t>A 8202-2025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46298</v>
      </c>
      <c r="F95" t="inlineStr">
        <is>
          <t>DALARNAS LÄN</t>
        </is>
      </c>
      <c r="G95" t="inlineStr">
        <is>
          <t>LUDVIKA</t>
        </is>
      </c>
      <c r="I95" t="n">
        <v>6.4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7</v>
      </c>
      <c r="U95" t="n">
        <v>7</v>
      </c>
      <c r="V95" s="2" t="inlineStr">
        <is>
          <t>Tretåig hackspett
Spillkråka</t>
        </is>
      </c>
      <c r="W95">
        <f>HYPERLINK("https://klasma.github.io/Logging_2085/artfynd/A 8202-2025 artfynd.xlsx", "A 8202-2025")</f>
        <v/>
      </c>
      <c r="X95">
        <f>HYPERLINK("https://klasma.github.io/Logging_2085/kartor/A 8202-2025 karta.png", "A 8202-2025")</f>
        <v/>
      </c>
      <c r="Y95">
        <f>HYPERLINK("https://klasma.github.io/Logging_2085/kartor_geotiff/A 8202-2025 georefererad karta.tif", "A 8202-2025")</f>
        <v/>
      </c>
      <c r="AA95">
        <f>HYPERLINK("https://klasma.github.io/Logging_2085/klagomål/A 8202-2025 FSC-klagomål.docx", "A 8202-2025")</f>
        <v/>
      </c>
      <c r="AB95">
        <f>HYPERLINK("https://klasma.github.io/Logging_2085/klagomålsmail/A 8202-2025 FSC-klagomål mail.docx", "A 8202-2025")</f>
        <v/>
      </c>
      <c r="AC95">
        <f>HYPERLINK("https://klasma.github.io/Logging_2085/tillsyn/A 8202-2025 tillsynsbegäran.docx", "A 8202-2025")</f>
        <v/>
      </c>
      <c r="AD95">
        <f>HYPERLINK("https://klasma.github.io/Logging_2085/tillsynsmail/A 8202-2025 tillsynsbegäran mail.docx", "A 8202-2025")</f>
        <v/>
      </c>
      <c r="AE95">
        <f>HYPERLINK("https://klasma.github.io/Logging_2085/fåglar/A 8202-2025 prioriterade fågelarter.docx", "A 8202-2025")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46298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46298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46298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46298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46298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56119-2021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44477</v>
      </c>
      <c r="E101" s="1" t="n">
        <v>46298</v>
      </c>
      <c r="F101" t="inlineStr">
        <is>
          <t>DALARNAS LÄN</t>
        </is>
      </c>
      <c r="G101" t="inlineStr">
        <is>
          <t>LUDVIKA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HYPERLINK("https://klasma.github.io/Logging_2085/artfynd/A 56119-2021 artfynd.xlsx", "A 56119-2021")</f>
        <v/>
      </c>
      <c r="X101">
        <f>HYPERLINK("https://klasma.github.io/Logging_2085/kartor/A 56119-2021 karta.png", "A 56119-2021")</f>
        <v/>
      </c>
      <c r="Y101">
        <f>HYPERLINK("https://klasma.github.io/Logging_2085/kartor_geotiff/A 56119-2021 georefererad karta.tif", "A 56119-2021")</f>
        <v/>
      </c>
      <c r="AA101">
        <f>HYPERLINK("https://klasma.github.io/Logging_2085/klagomål/A 56119-2021 FSC-klagomål.docx", "A 56119-2021")</f>
        <v/>
      </c>
      <c r="AB101">
        <f>HYPERLINK("https://klasma.github.io/Logging_2085/klagomålsmail/A 56119-2021 FSC-klagomål mail.docx", "A 56119-2021")</f>
        <v/>
      </c>
      <c r="AC101">
        <f>HYPERLINK("https://klasma.github.io/Logging_2085/tillsyn/A 56119-2021 tillsynsbegäran.docx", "A 56119-2021")</f>
        <v/>
      </c>
      <c r="AD101">
        <f>HYPERLINK("https://klasma.github.io/Logging_2085/tillsynsmail/A 56119-2021 tillsynsbegäran mail.docx", "A 56119-2021")</f>
        <v/>
      </c>
    </row>
    <row r="102" ht="15" customHeight="1">
      <c r="A102" t="inlineStr">
        <is>
          <t>A 18189-2025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46298</v>
      </c>
      <c r="F102" t="inlineStr">
        <is>
          <t>DALARNAS LÄN</t>
        </is>
      </c>
      <c r="G102" t="inlineStr">
        <is>
          <t>LUDVIKA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HYPERLINK("https://klasma.github.io/Logging_2085/artfynd/A 18189-2025 artfynd.xlsx", "A 18189-2025")</f>
        <v/>
      </c>
      <c r="X102">
        <f>HYPERLINK("https://klasma.github.io/Logging_2085/kartor/A 18189-2025 karta.png", "A 18189-2025")</f>
        <v/>
      </c>
      <c r="Y102">
        <f>HYPERLINK("https://klasma.github.io/Logging_2085/kartor_geotiff/A 18189-2025 georefererad karta.tif", "A 18189-2025")</f>
        <v/>
      </c>
      <c r="AA102">
        <f>HYPERLINK("https://klasma.github.io/Logging_2085/klagomål/A 18189-2025 FSC-klagomål.docx", "A 18189-2025")</f>
        <v/>
      </c>
      <c r="AB102">
        <f>HYPERLINK("https://klasma.github.io/Logging_2085/klagomålsmail/A 18189-2025 FSC-klagomål mail.docx", "A 18189-2025")</f>
        <v/>
      </c>
      <c r="AC102">
        <f>HYPERLINK("https://klasma.github.io/Logging_2085/tillsyn/A 18189-2025 tillsynsbegäran.docx", "A 18189-2025")</f>
        <v/>
      </c>
      <c r="AD102">
        <f>HYPERLINK("https://klasma.github.io/Logging_2085/tillsynsmail/A 18189-2025 tillsynsbegäran mail.docx", "A 18189-2025")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46298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29882-2024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45486</v>
      </c>
      <c r="E104" s="1" t="n">
        <v>46298</v>
      </c>
      <c r="F104" t="inlineStr">
        <is>
          <t>DALARNAS LÄN</t>
        </is>
      </c>
      <c r="G104" t="inlineStr">
        <is>
          <t>LUDVIKA</t>
        </is>
      </c>
      <c r="I104" t="n">
        <v>1.3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HYPERLINK("https://klasma.github.io/Logging_2085/artfynd/A 29882-2024 artfynd.xlsx", "A 29882-2024")</f>
        <v/>
      </c>
      <c r="X104">
        <f>HYPERLINK("https://klasma.github.io/Logging_2085/kartor/A 29882-2024 karta.png", "A 29882-2024")</f>
        <v/>
      </c>
      <c r="Y104">
        <f>HYPERLINK("https://klasma.github.io/Logging_2085/kartor_geotiff/A 29882-2024 georefererad karta.tif", "A 29882-2024")</f>
        <v/>
      </c>
      <c r="AA104">
        <f>HYPERLINK("https://klasma.github.io/Logging_2085/klagomål/A 29882-2024 FSC-klagomål.docx", "A 29882-2024")</f>
        <v/>
      </c>
      <c r="AB104">
        <f>HYPERLINK("https://klasma.github.io/Logging_2085/klagomålsmail/A 29882-2024 FSC-klagomål mail.docx", "A 29882-2024")</f>
        <v/>
      </c>
      <c r="AC104">
        <f>HYPERLINK("https://klasma.github.io/Logging_2085/tillsyn/A 29882-2024 tillsynsbegäran.docx", "A 29882-2024")</f>
        <v/>
      </c>
      <c r="AD104">
        <f>HYPERLINK("https://klasma.github.io/Logging_2085/tillsynsmail/A 29882-2024 tillsynsbegäran mail.docx", "A 29882-2024")</f>
        <v/>
      </c>
      <c r="AE104">
        <f>HYPERLINK("https://klasma.github.io/Logging_2085/fåglar/A 29882-2024 prioriterade fågelarter.docx", "A 29882-2024")</f>
        <v/>
      </c>
    </row>
    <row r="105" ht="15" customHeight="1">
      <c r="A105" t="inlineStr">
        <is>
          <t>A 62676-2025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46298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Kolflarnlav</t>
        </is>
      </c>
      <c r="W105">
        <f>HYPERLINK("https://klasma.github.io/Logging_2085/artfynd/A 62676-2025 artfynd.xlsx", "A 62676-2025")</f>
        <v/>
      </c>
      <c r="X105">
        <f>HYPERLINK("https://klasma.github.io/Logging_2085/kartor/A 62676-2025 karta.png", "A 62676-2025")</f>
        <v/>
      </c>
      <c r="Y105">
        <f>HYPERLINK("https://klasma.github.io/Logging_2085/kartor_geotiff/A 62676-2025 georefererad karta.tif", "A 62676-2025")</f>
        <v/>
      </c>
      <c r="AA105">
        <f>HYPERLINK("https://klasma.github.io/Logging_2085/klagomål/A 62676-2025 FSC-klagomål.docx", "A 62676-2025")</f>
        <v/>
      </c>
      <c r="AB105">
        <f>HYPERLINK("https://klasma.github.io/Logging_2085/klagomålsmail/A 62676-2025 FSC-klagomål mail.docx", "A 62676-2025")</f>
        <v/>
      </c>
      <c r="AC105">
        <f>HYPERLINK("https://klasma.github.io/Logging_2085/tillsyn/A 62676-2025 tillsynsbegäran.docx", "A 62676-2025")</f>
        <v/>
      </c>
      <c r="AD105">
        <f>HYPERLINK("https://klasma.github.io/Logging_2085/tillsynsmail/A 62676-2025 tillsynsbegäran mail.docx", "A 62676-2025")</f>
        <v/>
      </c>
    </row>
    <row r="106" ht="15" customHeight="1">
      <c r="A106" t="inlineStr">
        <is>
          <t>A 23102-2025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46298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groda</t>
        </is>
      </c>
      <c r="W106">
        <f>HYPERLINK("https://klasma.github.io/Logging_2085/artfynd/A 23102-2025 artfynd.xlsx", "A 23102-2025")</f>
        <v/>
      </c>
      <c r="X106">
        <f>HYPERLINK("https://klasma.github.io/Logging_2085/kartor/A 23102-2025 karta.png", "A 23102-2025")</f>
        <v/>
      </c>
      <c r="Y106">
        <f>HYPERLINK("https://klasma.github.io/Logging_2085/kartor_geotiff/A 23102-2025 georefererad karta.tif", "A 23102-2025")</f>
        <v/>
      </c>
      <c r="AA106">
        <f>HYPERLINK("https://klasma.github.io/Logging_2085/klagomål/A 23102-2025 FSC-klagomål.docx", "A 23102-2025")</f>
        <v/>
      </c>
      <c r="AB106">
        <f>HYPERLINK("https://klasma.github.io/Logging_2085/klagomålsmail/A 23102-2025 FSC-klagomål mail.docx", "A 23102-2025")</f>
        <v/>
      </c>
      <c r="AC106">
        <f>HYPERLINK("https://klasma.github.io/Logging_2085/tillsyn/A 23102-2025 tillsynsbegäran.docx", "A 23102-2025")</f>
        <v/>
      </c>
      <c r="AD106">
        <f>HYPERLINK("https://klasma.github.io/Logging_2085/tillsynsmail/A 23102-2025 tillsynsbegäran mail.docx", "A 23102-2025")</f>
        <v/>
      </c>
    </row>
    <row r="107" ht="15" customHeight="1">
      <c r="A107" t="inlineStr">
        <is>
          <t>A 6579-2023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44960</v>
      </c>
      <c r="E107" s="1" t="n">
        <v>46298</v>
      </c>
      <c r="F107" t="inlineStr">
        <is>
          <t>DALARNAS LÄN</t>
        </is>
      </c>
      <c r="G107" t="inlineStr">
        <is>
          <t>LUDVIKA</t>
        </is>
      </c>
      <c r="I107" t="n">
        <v>3.4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HYPERLINK("https://klasma.github.io/Logging_2085/artfynd/A 6579-2023 artfynd.xlsx", "A 6579-2023")</f>
        <v/>
      </c>
      <c r="X107">
        <f>HYPERLINK("https://klasma.github.io/Logging_2085/kartor/A 6579-2023 karta.png", "A 6579-2023")</f>
        <v/>
      </c>
      <c r="Y107">
        <f>HYPERLINK("https://klasma.github.io/Logging_2085/kartor_geotiff/A 6579-2023 georefererad karta.tif", "A 6579-2023")</f>
        <v/>
      </c>
      <c r="AA107">
        <f>HYPERLINK("https://klasma.github.io/Logging_2085/klagomål/A 6579-2023 FSC-klagomål.docx", "A 6579-2023")</f>
        <v/>
      </c>
      <c r="AB107">
        <f>HYPERLINK("https://klasma.github.io/Logging_2085/klagomålsmail/A 6579-2023 FSC-klagomål mail.docx", "A 6579-2023")</f>
        <v/>
      </c>
      <c r="AC107">
        <f>HYPERLINK("https://klasma.github.io/Logging_2085/tillsyn/A 6579-2023 tillsynsbegäran.docx", "A 6579-2023")</f>
        <v/>
      </c>
      <c r="AD107">
        <f>HYPERLINK("https://klasma.github.io/Logging_2085/tillsynsmail/A 6579-2023 tillsynsbegäran mail.docx", "A 6579-2023")</f>
        <v/>
      </c>
    </row>
    <row r="108" ht="15" customHeight="1">
      <c r="A108" t="inlineStr">
        <is>
          <t>A 55550-2022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46298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Ögonpyrola</t>
        </is>
      </c>
      <c r="W108">
        <f>HYPERLINK("https://klasma.github.io/Logging_2085/artfynd/A 55550-2022 artfynd.xlsx", "A 55550-2022")</f>
        <v/>
      </c>
      <c r="X108">
        <f>HYPERLINK("https://klasma.github.io/Logging_2085/kartor/A 55550-2022 karta.png", "A 55550-2022")</f>
        <v/>
      </c>
      <c r="Y108">
        <f>HYPERLINK("https://klasma.github.io/Logging_2085/kartor_geotiff/A 55550-2022 georefererad karta.tif", "A 55550-2022")</f>
        <v/>
      </c>
      <c r="AA108">
        <f>HYPERLINK("https://klasma.github.io/Logging_2085/klagomål/A 55550-2022 FSC-klagomål.docx", "A 55550-2022")</f>
        <v/>
      </c>
      <c r="AB108">
        <f>HYPERLINK("https://klasma.github.io/Logging_2085/klagomålsmail/A 55550-2022 FSC-klagomål mail.docx", "A 55550-2022")</f>
        <v/>
      </c>
      <c r="AC108">
        <f>HYPERLINK("https://klasma.github.io/Logging_2085/tillsyn/A 55550-2022 tillsynsbegäran.docx", "A 55550-2022")</f>
        <v/>
      </c>
      <c r="AD108">
        <f>HYPERLINK("https://klasma.github.io/Logging_2085/tillsynsmail/A 55550-2022 tillsynsbegäran mail.docx", "A 55550-2022")</f>
        <v/>
      </c>
    </row>
    <row r="109" ht="15" customHeight="1">
      <c r="A109" t="inlineStr">
        <is>
          <t>A 59947-2025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46298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0.5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HYPERLINK("https://klasma.github.io/Logging_2085/artfynd/A 59947-2025 artfynd.xlsx", "A 59947-2025")</f>
        <v/>
      </c>
      <c r="X109">
        <f>HYPERLINK("https://klasma.github.io/Logging_2085/kartor/A 59947-2025 karta.png", "A 59947-2025")</f>
        <v/>
      </c>
      <c r="Y109">
        <f>HYPERLINK("https://klasma.github.io/Logging_2085/kartor_geotiff/A 59947-2025 georefererad karta.tif", "A 59947-2025")</f>
        <v/>
      </c>
      <c r="AA109">
        <f>HYPERLINK("https://klasma.github.io/Logging_2085/klagomål/A 59947-2025 FSC-klagomål.docx", "A 59947-2025")</f>
        <v/>
      </c>
      <c r="AB109">
        <f>HYPERLINK("https://klasma.github.io/Logging_2085/klagomålsmail/A 59947-2025 FSC-klagomål mail.docx", "A 59947-2025")</f>
        <v/>
      </c>
      <c r="AC109">
        <f>HYPERLINK("https://klasma.github.io/Logging_2085/tillsyn/A 59947-2025 tillsynsbegäran.docx", "A 59947-2025")</f>
        <v/>
      </c>
      <c r="AD109">
        <f>HYPERLINK("https://klasma.github.io/Logging_2085/tillsynsmail/A 59947-2025 tillsynsbegäran mail.docx", "A 59947-2025")</f>
        <v/>
      </c>
      <c r="AE109">
        <f>HYPERLINK("https://klasma.github.io/Logging_2085/fåglar/A 59947-2025 prioriterade fågelarter.docx", "A 59947-2025")</f>
        <v/>
      </c>
    </row>
    <row r="110" ht="15" customHeight="1">
      <c r="A110" t="inlineStr">
        <is>
          <t>A 45858-2025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46298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Granbarkgnagare</t>
        </is>
      </c>
      <c r="W110">
        <f>HYPERLINK("https://klasma.github.io/Logging_2085/artfynd/A 45858-2025 artfynd.xlsx", "A 45858-2025")</f>
        <v/>
      </c>
      <c r="X110">
        <f>HYPERLINK("https://klasma.github.io/Logging_2085/kartor/A 45858-2025 karta.png", "A 45858-2025")</f>
        <v/>
      </c>
      <c r="Y110">
        <f>HYPERLINK("https://klasma.github.io/Logging_2085/kartor_geotiff/A 45858-2025 georefererad karta.tif", "A 45858-2025")</f>
        <v/>
      </c>
      <c r="AA110">
        <f>HYPERLINK("https://klasma.github.io/Logging_2085/klagomål/A 45858-2025 FSC-klagomål.docx", "A 45858-2025")</f>
        <v/>
      </c>
      <c r="AB110">
        <f>HYPERLINK("https://klasma.github.io/Logging_2085/klagomålsmail/A 45858-2025 FSC-klagomål mail.docx", "A 45858-2025")</f>
        <v/>
      </c>
      <c r="AC110">
        <f>HYPERLINK("https://klasma.github.io/Logging_2085/tillsyn/A 45858-2025 tillsynsbegäran.docx", "A 45858-2025")</f>
        <v/>
      </c>
      <c r="AD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1047-2023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46298</v>
      </c>
      <c r="F111" t="inlineStr">
        <is>
          <t>DALARNAS LÄN</t>
        </is>
      </c>
      <c r="G111" t="inlineStr">
        <is>
          <t>LUDVIKA</t>
        </is>
      </c>
      <c r="H111" t="inlineStr">
        <is>
          <t>Kommuner</t>
        </is>
      </c>
      <c r="I111" t="n">
        <v>3.2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Ullticka</t>
        </is>
      </c>
      <c r="W111">
        <f>HYPERLINK("https://klasma.github.io/Logging_2085/artfynd/A 1047-2023 artfynd.xlsx", "A 1047-2023")</f>
        <v/>
      </c>
      <c r="X111">
        <f>HYPERLINK("https://klasma.github.io/Logging_2085/kartor/A 1047-2023 karta.png", "A 1047-2023")</f>
        <v/>
      </c>
      <c r="Y111">
        <f>HYPERLINK("https://klasma.github.io/Logging_2085/kartor_geotiff/A 1047-2023 georefererad karta.tif", "A 1047-2023")</f>
        <v/>
      </c>
      <c r="AA111">
        <f>HYPERLINK("https://klasma.github.io/Logging_2085/klagomål/A 1047-2023 FSC-klagomål.docx", "A 1047-2023")</f>
        <v/>
      </c>
      <c r="AB111">
        <f>HYPERLINK("https://klasma.github.io/Logging_2085/klagomålsmail/A 1047-2023 FSC-klagomål mail.docx", "A 1047-2023")</f>
        <v/>
      </c>
      <c r="AC111">
        <f>HYPERLINK("https://klasma.github.io/Logging_2085/tillsyn/A 1047-2023 tillsynsbegäran.docx", "A 1047-2023")</f>
        <v/>
      </c>
      <c r="AD111">
        <f>HYPERLINK("https://klasma.github.io/Logging_2085/tillsynsmail/A 1047-2023 tillsynsbegäran mail.docx", "A 1047-2023")</f>
        <v/>
      </c>
    </row>
    <row r="112" ht="15" customHeight="1">
      <c r="A112" t="inlineStr">
        <is>
          <t>A 36050-2025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45866</v>
      </c>
      <c r="E112" s="1" t="n">
        <v>46298</v>
      </c>
      <c r="F112" t="inlineStr">
        <is>
          <t>DALARNAS LÄN</t>
        </is>
      </c>
      <c r="G112" t="inlineStr">
        <is>
          <t>LUDVIKA</t>
        </is>
      </c>
      <c r="I112" t="n">
        <v>1.4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hackspett</t>
        </is>
      </c>
      <c r="W112">
        <f>HYPERLINK("https://klasma.github.io/Logging_2085/artfynd/A 36050-2025 artfynd.xlsx", "A 36050-2025")</f>
        <v/>
      </c>
      <c r="X112">
        <f>HYPERLINK("https://klasma.github.io/Logging_2085/kartor/A 36050-2025 karta.png", "A 36050-2025")</f>
        <v/>
      </c>
      <c r="Y112">
        <f>HYPERLINK("https://klasma.github.io/Logging_2085/kartor_geotiff/A 36050-2025 georefererad karta.tif", "A 36050-2025")</f>
        <v/>
      </c>
      <c r="AA112">
        <f>HYPERLINK("https://klasma.github.io/Logging_2085/klagomål/A 36050-2025 FSC-klagomål.docx", "A 36050-2025")</f>
        <v/>
      </c>
      <c r="AB112">
        <f>HYPERLINK("https://klasma.github.io/Logging_2085/klagomålsmail/A 36050-2025 FSC-klagomål mail.docx", "A 36050-2025")</f>
        <v/>
      </c>
      <c r="AC112">
        <f>HYPERLINK("https://klasma.github.io/Logging_2085/tillsyn/A 36050-2025 tillsynsbegäran.docx", "A 36050-2025")</f>
        <v/>
      </c>
      <c r="AD112">
        <f>HYPERLINK("https://klasma.github.io/Logging_2085/tillsynsmail/A 36050-2025 tillsynsbegäran mail.docx", "A 36050-2025")</f>
        <v/>
      </c>
      <c r="AE112">
        <f>HYPERLINK("https://klasma.github.io/Logging_2085/fåglar/A 36050-2025 prioriterade fågelarter.docx", "A 36050-2025")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46298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46298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vattensalamander</t>
        </is>
      </c>
      <c r="W114">
        <f>HYPERLINK("https://klasma.github.io/Logging_2085/artfynd/A 33560-2023 artfynd.xlsx", "A 33560-2023")</f>
        <v/>
      </c>
      <c r="X114">
        <f>HYPERLINK("https://klasma.github.io/Logging_2085/kartor/A 33560-2023 karta.png", "A 33560-2023")</f>
        <v/>
      </c>
      <c r="Y114">
        <f>HYPERLINK("https://klasma.github.io/Logging_2085/kartor_geotiff/A 33560-2023 georefererad karta.tif", "A 33560-2023")</f>
        <v/>
      </c>
      <c r="AA114">
        <f>HYPERLINK("https://klasma.github.io/Logging_2085/klagomål/A 33560-2023 FSC-klagomål.docx", "A 33560-2023")</f>
        <v/>
      </c>
      <c r="AB114">
        <f>HYPERLINK("https://klasma.github.io/Logging_2085/klagomålsmail/A 33560-2023 FSC-klagomål mail.docx", "A 33560-2023")</f>
        <v/>
      </c>
      <c r="AC114">
        <f>HYPERLINK("https://klasma.github.io/Logging_2085/tillsyn/A 33560-2023 tillsynsbegäran.docx", "A 33560-2023")</f>
        <v/>
      </c>
      <c r="AD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26850-2023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46298</v>
      </c>
      <c r="F115" t="inlineStr">
        <is>
          <t>DALARNAS LÄN</t>
        </is>
      </c>
      <c r="G115" t="inlineStr">
        <is>
          <t>LUDVIKA</t>
        </is>
      </c>
      <c r="H115" t="inlineStr">
        <is>
          <t>Naturvårdsverket</t>
        </is>
      </c>
      <c r="I115" t="n">
        <v>2.7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Motaggsvamp</t>
        </is>
      </c>
      <c r="W115">
        <f>HYPERLINK("https://klasma.github.io/Logging_2085/artfynd/A 26850-2023 artfynd.xlsx", "A 26850-2023")</f>
        <v/>
      </c>
      <c r="X115">
        <f>HYPERLINK("https://klasma.github.io/Logging_2085/kartor/A 26850-2023 karta.png", "A 26850-2023")</f>
        <v/>
      </c>
      <c r="Y115">
        <f>HYPERLINK("https://klasma.github.io/Logging_2085/kartor_geotiff/A 26850-2023 georefererad karta.tif", "A 26850-2023")</f>
        <v/>
      </c>
      <c r="AA115">
        <f>HYPERLINK("https://klasma.github.io/Logging_2085/klagomål/A 26850-2023 FSC-klagomål.docx", "A 26850-2023")</f>
        <v/>
      </c>
      <c r="AB115">
        <f>HYPERLINK("https://klasma.github.io/Logging_2085/klagomålsmail/A 26850-2023 FSC-klagomål mail.docx", "A 26850-2023")</f>
        <v/>
      </c>
      <c r="AC115">
        <f>HYPERLINK("https://klasma.github.io/Logging_2085/tillsyn/A 26850-2023 tillsynsbegäran.docx", "A 26850-2023")</f>
        <v/>
      </c>
      <c r="AD115">
        <f>HYPERLINK("https://klasma.github.io/Logging_2085/tillsynsmail/A 26850-2023 tillsynsbegäran mail.docx", "A 26850-2023")</f>
        <v/>
      </c>
    </row>
    <row r="116" ht="15" customHeight="1">
      <c r="A116" t="inlineStr">
        <is>
          <t>A 59873-2025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46298</v>
      </c>
      <c r="F116" t="inlineStr">
        <is>
          <t>DALARNAS LÄN</t>
        </is>
      </c>
      <c r="G116" t="inlineStr">
        <is>
          <t>LUDVIKA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Lateritticka</t>
        </is>
      </c>
      <c r="W116">
        <f>HYPERLINK("https://klasma.github.io/Logging_2085/artfynd/A 59873-2025 artfynd.xlsx", "A 59873-2025")</f>
        <v/>
      </c>
      <c r="X116">
        <f>HYPERLINK("https://klasma.github.io/Logging_2085/kartor/A 59873-2025 karta.png", "A 59873-2025")</f>
        <v/>
      </c>
      <c r="Y116">
        <f>HYPERLINK("https://klasma.github.io/Logging_2085/kartor_geotiff/A 59873-2025 georefererad karta.tif", "A 59873-2025")</f>
        <v/>
      </c>
      <c r="AA116">
        <f>HYPERLINK("https://klasma.github.io/Logging_2085/klagomål/A 59873-2025 FSC-klagomål.docx", "A 59873-2025")</f>
        <v/>
      </c>
      <c r="AB116">
        <f>HYPERLINK("https://klasma.github.io/Logging_2085/klagomålsmail/A 59873-2025 FSC-klagomål mail.docx", "A 59873-2025")</f>
        <v/>
      </c>
      <c r="AC116">
        <f>HYPERLINK("https://klasma.github.io/Logging_2085/tillsyn/A 59873-2025 tillsynsbegäran.docx", "A 59873-2025")</f>
        <v/>
      </c>
      <c r="AD116">
        <f>HYPERLINK("https://klasma.github.io/Logging_2085/tillsynsmail/A 59873-2025 tillsynsbegäran mail.docx", "A 59873-2025")</f>
        <v/>
      </c>
    </row>
    <row r="117" ht="15" customHeight="1">
      <c r="A117" t="inlineStr">
        <is>
          <t>A 25588-2023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46298</v>
      </c>
      <c r="F117" t="inlineStr">
        <is>
          <t>DALARNAS LÄN</t>
        </is>
      </c>
      <c r="G117" t="inlineStr">
        <is>
          <t>LUDVIKA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HYPERLINK("https://klasma.github.io/Logging_2085/artfynd/A 25588-2023 artfynd.xlsx", "A 25588-2023")</f>
        <v/>
      </c>
      <c r="X117">
        <f>HYPERLINK("https://klasma.github.io/Logging_2085/kartor/A 25588-2023 karta.png", "A 25588-2023")</f>
        <v/>
      </c>
      <c r="Y117">
        <f>HYPERLINK("https://klasma.github.io/Logging_2085/kartor_geotiff/A 25588-2023 georefererad karta.tif", "A 25588-2023")</f>
        <v/>
      </c>
      <c r="AA117">
        <f>HYPERLINK("https://klasma.github.io/Logging_2085/klagomål/A 25588-2023 FSC-klagomål.docx", "A 25588-2023")</f>
        <v/>
      </c>
      <c r="AB117">
        <f>HYPERLINK("https://klasma.github.io/Logging_2085/klagomålsmail/A 25588-2023 FSC-klagomål mail.docx", "A 25588-2023")</f>
        <v/>
      </c>
      <c r="AC117">
        <f>HYPERLINK("https://klasma.github.io/Logging_2085/tillsyn/A 25588-2023 tillsynsbegäran.docx", "A 25588-2023")</f>
        <v/>
      </c>
      <c r="AD117">
        <f>HYPERLINK("https://klasma.github.io/Logging_2085/tillsynsmail/A 25588-2023 tillsynsbegäran mail.docx", "A 25588-2023")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Stuplav</t>
        </is>
      </c>
      <c r="W118">
        <f>HYPERLINK("https://klasma.github.io/Logging_2085/artfynd/A 29733-2025 artfynd.xlsx", "A 29733-2025")</f>
        <v/>
      </c>
      <c r="X118">
        <f>HYPERLINK("https://klasma.github.io/Logging_2085/kartor/A 29733-2025 karta.png", "A 29733-2025")</f>
        <v/>
      </c>
      <c r="Y118">
        <f>HYPERLINK("https://klasma.github.io/Logging_2085/kartor_geotiff/A 29733-2025 georefererad karta.tif", "A 29733-2025")</f>
        <v/>
      </c>
      <c r="AA118">
        <f>HYPERLINK("https://klasma.github.io/Logging_2085/klagomål/A 29733-2025 FSC-klagomål.docx", "A 29733-2025")</f>
        <v/>
      </c>
      <c r="AB118">
        <f>HYPERLINK("https://klasma.github.io/Logging_2085/klagomålsmail/A 29733-2025 FSC-klagomål mail.docx", "A 29733-2025")</f>
        <v/>
      </c>
      <c r="AC118">
        <f>HYPERLINK("https://klasma.github.io/Logging_2085/tillsyn/A 29733-2025 tillsynsbegäran.docx", "A 29733-2025")</f>
        <v/>
      </c>
      <c r="AD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21880-2026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46298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3.2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21880-2026 artfynd.xlsx", "A 21880-2026")</f>
        <v/>
      </c>
      <c r="X119">
        <f>HYPERLINK("https://klasma.github.io/Logging_2085/kartor/A 21880-2026 karta.png", "A 21880-2026")</f>
        <v/>
      </c>
      <c r="Y119">
        <f>HYPERLINK("https://klasma.github.io/Logging_2085/kartor_geotiff/A 21880-2026 georefererad karta.tif", "A 21880-2026")</f>
        <v/>
      </c>
      <c r="AA119">
        <f>HYPERLINK("https://klasma.github.io/Logging_2085/klagomål/A 21880-2026 FSC-klagomål.docx", "A 21880-2026")</f>
        <v/>
      </c>
      <c r="AB119">
        <f>HYPERLINK("https://klasma.github.io/Logging_2085/klagomålsmail/A 21880-2026 FSC-klagomål mail.docx", "A 21880-2026")</f>
        <v/>
      </c>
      <c r="AC119">
        <f>HYPERLINK("https://klasma.github.io/Logging_2085/tillsyn/A 21880-2026 tillsynsbegäran.docx", "A 21880-2026")</f>
        <v/>
      </c>
      <c r="AD119">
        <f>HYPERLINK("https://klasma.github.io/Logging_2085/tillsynsmail/A 21880-2026 tillsynsbegäran mail.docx", "A 21880-2026")</f>
        <v/>
      </c>
      <c r="AE119">
        <f>HYPERLINK("https://klasma.github.io/Logging_2085/fåglar/A 21880-2026 prioriterade fågelarter.docx", "A 21880-2026")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46298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17987-2025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45761</v>
      </c>
      <c r="E121" s="1" t="n">
        <v>46298</v>
      </c>
      <c r="F121" t="inlineStr">
        <is>
          <t>DALARNAS LÄN</t>
        </is>
      </c>
      <c r="G121" t="inlineStr">
        <is>
          <t>LUDVIKA</t>
        </is>
      </c>
      <c r="I121" t="n">
        <v>0.5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HYPERLINK("https://klasma.github.io/Logging_2085/artfynd/A 17987-2025 artfynd.xlsx", "A 17987-2025")</f>
        <v/>
      </c>
      <c r="X121">
        <f>HYPERLINK("https://klasma.github.io/Logging_2085/kartor/A 17987-2025 karta.png", "A 17987-2025")</f>
        <v/>
      </c>
      <c r="Y121">
        <f>HYPERLINK("https://klasma.github.io/Logging_2085/kartor_geotiff/A 17987-2025 georefererad karta.tif", "A 17987-2025")</f>
        <v/>
      </c>
      <c r="AA121">
        <f>HYPERLINK("https://klasma.github.io/Logging_2085/klagomål/A 17987-2025 FSC-klagomål.docx", "A 17987-2025")</f>
        <v/>
      </c>
      <c r="AB121">
        <f>HYPERLINK("https://klasma.github.io/Logging_2085/klagomålsmail/A 17987-2025 FSC-klagomål mail.docx", "A 17987-2025")</f>
        <v/>
      </c>
      <c r="AC121">
        <f>HYPERLINK("https://klasma.github.io/Logging_2085/tillsyn/A 17987-2025 tillsynsbegäran.docx", "A 17987-2025")</f>
        <v/>
      </c>
      <c r="AD121">
        <f>HYPERLINK("https://klasma.github.io/Logging_2085/tillsynsmail/A 17987-2025 tillsynsbegäran mail.docx", "A 17987-2025")</f>
        <v/>
      </c>
      <c r="AE121">
        <f>HYPERLINK("https://klasma.github.io/Logging_2085/fåglar/A 17987-2025 prioriterade fågelarter.docx", "A 17987-2025")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46298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HYPERLINK("https://klasma.github.io/Logging_2085/artfynd/A 23720-2026 artfynd.xlsx", "A 23720-2026")</f>
        <v/>
      </c>
      <c r="X122">
        <f>HYPERLINK("https://klasma.github.io/Logging_2085/kartor/A 23720-2026 karta.png", "A 23720-2026")</f>
        <v/>
      </c>
      <c r="Y122">
        <f>HYPERLINK("https://klasma.github.io/Logging_2085/kartor_geotiff/A 23720-2026 georefererad karta.tif", "A 23720-2026")</f>
        <v/>
      </c>
      <c r="AA122">
        <f>HYPERLINK("https://klasma.github.io/Logging_2085/klagomål/A 23720-2026 FSC-klagomål.docx", "A 23720-2026")</f>
        <v/>
      </c>
      <c r="AB122">
        <f>HYPERLINK("https://klasma.github.io/Logging_2085/klagomålsmail/A 23720-2026 FSC-klagomål mail.docx", "A 23720-2026")</f>
        <v/>
      </c>
      <c r="AC122">
        <f>HYPERLINK("https://klasma.github.io/Logging_2085/tillsyn/A 23720-2026 tillsynsbegäran.docx", "A 23720-2026")</f>
        <v/>
      </c>
      <c r="AD122">
        <f>HYPERLINK("https://klasma.github.io/Logging_2085/tillsynsmail/A 23720-2026 tillsynsbegäran mail.docx", "A 23720-2026")</f>
        <v/>
      </c>
      <c r="AE122">
        <f>HYPERLINK("https://klasma.github.io/Logging_2085/fåglar/A 23720-2026 prioriterade fågelarter.docx", "A 23720-2026")</f>
        <v/>
      </c>
    </row>
    <row r="123" ht="15" customHeight="1">
      <c r="A123" t="inlineStr">
        <is>
          <t>A 21499-2022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46298</v>
      </c>
      <c r="F123" t="inlineStr">
        <is>
          <t>DALARNAS LÄN</t>
        </is>
      </c>
      <c r="G123" t="inlineStr">
        <is>
          <t>LUDVIKA</t>
        </is>
      </c>
      <c r="I123" t="n">
        <v>4.3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Strimspindling</t>
        </is>
      </c>
      <c r="W123">
        <f>HYPERLINK("https://klasma.github.io/Logging_2085/artfynd/A 21499-2022 artfynd.xlsx", "A 21499-2022")</f>
        <v/>
      </c>
      <c r="X123">
        <f>HYPERLINK("https://klasma.github.io/Logging_2085/kartor/A 21499-2022 karta.png", "A 21499-2022")</f>
        <v/>
      </c>
      <c r="Y123">
        <f>HYPERLINK("https://klasma.github.io/Logging_2085/kartor_geotiff/A 21499-2022 georefererad karta.tif", "A 21499-2022")</f>
        <v/>
      </c>
      <c r="AA123">
        <f>HYPERLINK("https://klasma.github.io/Logging_2085/klagomål/A 21499-2022 FSC-klagomål.docx", "A 21499-2022")</f>
        <v/>
      </c>
      <c r="AB123">
        <f>HYPERLINK("https://klasma.github.io/Logging_2085/klagomålsmail/A 21499-2022 FSC-klagomål mail.docx", "A 21499-2022")</f>
        <v/>
      </c>
      <c r="AC123">
        <f>HYPERLINK("https://klasma.github.io/Logging_2085/tillsyn/A 21499-2022 tillsynsbegäran.docx", "A 21499-2022")</f>
        <v/>
      </c>
      <c r="AD123">
        <f>HYPERLINK("https://klasma.github.io/Logging_2085/tillsynsmail/A 21499-2022 tillsynsbegäran mail.docx", "A 21499-2022")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46298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46298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46298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46298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46298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46298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44929</v>
      </c>
      <c r="E130" s="1" t="n">
        <v>46298</v>
      </c>
      <c r="F130" t="inlineStr">
        <is>
          <t>DALARNAS LÄN</t>
        </is>
      </c>
      <c r="G130" t="inlineStr">
        <is>
          <t>LUDVIKA</t>
        </is>
      </c>
      <c r="I130" t="n">
        <v>3.6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Nordfladdermus</t>
        </is>
      </c>
      <c r="W130">
        <f>HYPERLINK("https://klasma.github.io/Logging_2085/artfynd/A 400-2023 artfynd.xlsx", "A 400-2023")</f>
        <v/>
      </c>
      <c r="X130">
        <f>HYPERLINK("https://klasma.github.io/Logging_2085/kartor/A 400-2023 karta.png", "A 400-2023")</f>
        <v/>
      </c>
      <c r="Y130">
        <f>HYPERLINK("https://klasma.github.io/Logging_2085/kartor_geotiff/A 400-2023 georefererad karta.tif", "A 400-2023")</f>
        <v/>
      </c>
      <c r="AA130">
        <f>HYPERLINK("https://klasma.github.io/Logging_2085/klagomål/A 400-2023 FSC-klagomål.docx", "A 400-2023")</f>
        <v/>
      </c>
      <c r="AB130">
        <f>HYPERLINK("https://klasma.github.io/Logging_2085/klagomålsmail/A 400-2023 FSC-klagomål mail.docx", "A 400-2023")</f>
        <v/>
      </c>
      <c r="AC130">
        <f>HYPERLINK("https://klasma.github.io/Logging_2085/tillsyn/A 400-2023 tillsynsbegäran.docx", "A 400-2023")</f>
        <v/>
      </c>
      <c r="AD130">
        <f>HYPERLINK("https://klasma.github.io/Logging_2085/tillsynsmail/A 400-2023 tillsynsbegäran mail.docx", "A 400-2023")</f>
        <v/>
      </c>
    </row>
    <row r="131" ht="15" customHeight="1">
      <c r="A131" t="inlineStr">
        <is>
          <t>A 31478-2023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45114</v>
      </c>
      <c r="E131" s="1" t="n">
        <v>46298</v>
      </c>
      <c r="F131" t="inlineStr">
        <is>
          <t>DALARNAS LÄN</t>
        </is>
      </c>
      <c r="G131" t="inlineStr">
        <is>
          <t>LUDVIKA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HYPERLINK("https://klasma.github.io/Logging_2085/artfynd/A 31478-2023 artfynd.xlsx", "A 31478-2023")</f>
        <v/>
      </c>
      <c r="X131">
        <f>HYPERLINK("https://klasma.github.io/Logging_2085/kartor/A 31478-2023 karta.png", "A 31478-2023")</f>
        <v/>
      </c>
      <c r="Y131">
        <f>HYPERLINK("https://klasma.github.io/Logging_2085/kartor_geotiff/A 31478-2023 georefererad karta.tif", "A 31478-2023")</f>
        <v/>
      </c>
      <c r="AA131">
        <f>HYPERLINK("https://klasma.github.io/Logging_2085/klagomål/A 31478-2023 FSC-klagomål.docx", "A 31478-2023")</f>
        <v/>
      </c>
      <c r="AB131">
        <f>HYPERLINK("https://klasma.github.io/Logging_2085/klagomålsmail/A 31478-2023 FSC-klagomål mail.docx", "A 31478-2023")</f>
        <v/>
      </c>
      <c r="AC131">
        <f>HYPERLINK("https://klasma.github.io/Logging_2085/tillsyn/A 31478-2023 tillsynsbegäran.docx", "A 31478-2023")</f>
        <v/>
      </c>
      <c r="AD131">
        <f>HYPERLINK("https://klasma.github.io/Logging_2085/tillsynsmail/A 31478-2023 tillsynsbegäran mail.docx", "A 31478-2023")</f>
        <v/>
      </c>
    </row>
    <row r="132" ht="15" customHeight="1">
      <c r="A132" t="inlineStr">
        <is>
          <t>A 25448-2024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45463</v>
      </c>
      <c r="E132" s="1" t="n">
        <v>46298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24.7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Blåsippa</t>
        </is>
      </c>
      <c r="W132">
        <f>HYPERLINK("https://klasma.github.io/Logging_2085/artfynd/A 25448-2024 artfynd.xlsx", "A 25448-2024")</f>
        <v/>
      </c>
      <c r="X132">
        <f>HYPERLINK("https://klasma.github.io/Logging_2085/kartor/A 25448-2024 karta.png", "A 25448-2024")</f>
        <v/>
      </c>
      <c r="Y132">
        <f>HYPERLINK("https://klasma.github.io/Logging_2085/kartor_geotiff/A 25448-2024 georefererad karta.tif", "A 25448-2024")</f>
        <v/>
      </c>
      <c r="AA132">
        <f>HYPERLINK("https://klasma.github.io/Logging_2085/klagomål/A 25448-2024 FSC-klagomål.docx", "A 25448-2024")</f>
        <v/>
      </c>
      <c r="AB132">
        <f>HYPERLINK("https://klasma.github.io/Logging_2085/klagomålsmail/A 25448-2024 FSC-klagomål mail.docx", "A 25448-2024")</f>
        <v/>
      </c>
      <c r="AC132">
        <f>HYPERLINK("https://klasma.github.io/Logging_2085/tillsyn/A 25448-2024 tillsynsbegäran.docx", "A 25448-2024")</f>
        <v/>
      </c>
      <c r="AD132">
        <f>HYPERLINK("https://klasma.github.io/Logging_2085/tillsynsmail/A 25448-2024 tillsynsbegäran mail.docx", "A 25448-2024")</f>
        <v/>
      </c>
    </row>
    <row r="133" ht="15" customHeight="1">
      <c r="A133" t="inlineStr">
        <is>
          <t>A 31352-2026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46219</v>
      </c>
      <c r="E133" s="1" t="n">
        <v>46298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1.2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Tvåblad</t>
        </is>
      </c>
      <c r="W133">
        <f>HYPERLINK("https://klasma.github.io/Logging_2085/artfynd/A 31352-2026 artfynd.xlsx", "A 31352-2026")</f>
        <v/>
      </c>
      <c r="X133">
        <f>HYPERLINK("https://klasma.github.io/Logging_2085/kartor/A 31352-2026 karta.png", "A 31352-2026")</f>
        <v/>
      </c>
      <c r="Y133">
        <f>HYPERLINK("https://klasma.github.io/Logging_2085/kartor_geotiff/A 31352-2026 georefererad karta.tif", "A 31352-2026")</f>
        <v/>
      </c>
      <c r="AA133">
        <f>HYPERLINK("https://klasma.github.io/Logging_2085/klagomål/A 31352-2026 FSC-klagomål.docx", "A 31352-2026")</f>
        <v/>
      </c>
      <c r="AB133">
        <f>HYPERLINK("https://klasma.github.io/Logging_2085/klagomålsmail/A 31352-2026 FSC-klagomål mail.docx", "A 31352-2026")</f>
        <v/>
      </c>
      <c r="AC133">
        <f>HYPERLINK("https://klasma.github.io/Logging_2085/tillsyn/A 31352-2026 tillsynsbegäran.docx", "A 31352-2026")</f>
        <v/>
      </c>
      <c r="AD133">
        <f>HYPERLINK("https://klasma.github.io/Logging_2085/tillsynsmail/A 31352-2026 tillsynsbegäran mail.docx", "A 31352-2026")</f>
        <v/>
      </c>
    </row>
    <row r="134" ht="15" customHeight="1">
      <c r="A134" t="inlineStr">
        <is>
          <t>A 35652-2026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46298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Garnlav</t>
        </is>
      </c>
      <c r="W134">
        <f>HYPERLINK("https://klasma.github.io/Logging_2085/artfynd/A 35652-2026 artfynd.xlsx", "A 35652-2026")</f>
        <v/>
      </c>
      <c r="X134">
        <f>HYPERLINK("https://klasma.github.io/Logging_2085/kartor/A 35652-2026 karta.png", "A 35652-2026")</f>
        <v/>
      </c>
      <c r="Y134">
        <f>HYPERLINK("https://klasma.github.io/Logging_2085/kartor_geotiff/A 35652-2026 georefererad karta.tif", "A 35652-2026")</f>
        <v/>
      </c>
      <c r="AA134">
        <f>HYPERLINK("https://klasma.github.io/Logging_2085/klagomål/A 35652-2026 FSC-klagomål.docx", "A 35652-2026")</f>
        <v/>
      </c>
      <c r="AB134">
        <f>HYPERLINK("https://klasma.github.io/Logging_2085/klagomålsmail/A 35652-2026 FSC-klagomål mail.docx", "A 35652-2026")</f>
        <v/>
      </c>
      <c r="AC134">
        <f>HYPERLINK("https://klasma.github.io/Logging_2085/tillsyn/A 35652-2026 tillsynsbegäran.docx", "A 35652-2026")</f>
        <v/>
      </c>
      <c r="AD134">
        <f>HYPERLINK("https://klasma.github.io/Logging_2085/tillsynsmail/A 35652-2026 tillsynsbegäran mail.docx", "A 35652-2026")</f>
        <v/>
      </c>
    </row>
    <row r="135" ht="15" customHeight="1">
      <c r="A135" t="inlineStr">
        <is>
          <t>A 12093-2023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44998</v>
      </c>
      <c r="E135" s="1" t="n">
        <v>46298</v>
      </c>
      <c r="F135" t="inlineStr">
        <is>
          <t>DALARNAS LÄN</t>
        </is>
      </c>
      <c r="G135" t="inlineStr">
        <is>
          <t>LUDVIKA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Bitter taggsvamp</t>
        </is>
      </c>
      <c r="W135">
        <f>HYPERLINK("https://klasma.github.io/Logging_2085/artfynd/A 12093-2023 artfynd.xlsx", "A 12093-2023")</f>
        <v/>
      </c>
      <c r="X135">
        <f>HYPERLINK("https://klasma.github.io/Logging_2085/kartor/A 12093-2023 karta.png", "A 12093-2023")</f>
        <v/>
      </c>
      <c r="Y135">
        <f>HYPERLINK("https://klasma.github.io/Logging_2085/kartor_geotiff/A 12093-2023 georefererad karta.tif", "A 12093-2023")</f>
        <v/>
      </c>
      <c r="AA135">
        <f>HYPERLINK("https://klasma.github.io/Logging_2085/klagomål/A 12093-2023 FSC-klagomål.docx", "A 12093-2023")</f>
        <v/>
      </c>
      <c r="AB135">
        <f>HYPERLINK("https://klasma.github.io/Logging_2085/klagomålsmail/A 12093-2023 FSC-klagomål mail.docx", "A 12093-2023")</f>
        <v/>
      </c>
      <c r="AC135">
        <f>HYPERLINK("https://klasma.github.io/Logging_2085/tillsyn/A 12093-2023 tillsynsbegäran.docx", "A 12093-2023")</f>
        <v/>
      </c>
      <c r="AD135">
        <f>HYPERLINK("https://klasma.github.io/Logging_2085/tillsynsmail/A 12093-2023 tillsynsbegäran mail.docx", "A 12093-2023")</f>
        <v/>
      </c>
    </row>
    <row r="136" ht="15" customHeight="1">
      <c r="A136" t="inlineStr">
        <is>
          <t>A 36478-2026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46298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Skogsalm</t>
        </is>
      </c>
      <c r="W136">
        <f>HYPERLINK("https://klasma.github.io/Logging_2085/artfynd/A 36478-2026 artfynd.xlsx", "A 36478-2026")</f>
        <v/>
      </c>
      <c r="X136">
        <f>HYPERLINK("https://klasma.github.io/Logging_2085/kartor/A 36478-2026 karta.png", "A 36478-2026")</f>
        <v/>
      </c>
      <c r="Y136">
        <f>HYPERLINK("https://klasma.github.io/Logging_2085/kartor_geotiff/A 36478-2026 georefererad karta.tif", "A 36478-2026")</f>
        <v/>
      </c>
      <c r="AA136">
        <f>HYPERLINK("https://klasma.github.io/Logging_2085/klagomål/A 36478-2026 FSC-klagomål.docx", "A 36478-2026")</f>
        <v/>
      </c>
      <c r="AB136">
        <f>HYPERLINK("https://klasma.github.io/Logging_2085/klagomålsmail/A 36478-2026 FSC-klagomål mail.docx", "A 36478-2026")</f>
        <v/>
      </c>
      <c r="AC136">
        <f>HYPERLINK("https://klasma.github.io/Logging_2085/tillsyn/A 36478-2026 tillsynsbegäran.docx", "A 36478-2026")</f>
        <v/>
      </c>
      <c r="AD136">
        <f>HYPERLINK("https://klasma.github.io/Logging_2085/tillsynsmail/A 36478-2026 tillsynsbegäran mail.docx", "A 36478-2026")</f>
        <v/>
      </c>
    </row>
    <row r="137" ht="15" customHeight="1">
      <c r="A137" t="inlineStr">
        <is>
          <t>A 37560-2026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46276</v>
      </c>
      <c r="E137" s="1" t="n">
        <v>46298</v>
      </c>
      <c r="F137" t="inlineStr">
        <is>
          <t>DALARNAS LÄN</t>
        </is>
      </c>
      <c r="G137" t="inlineStr">
        <is>
          <t>LUDVIKA</t>
        </is>
      </c>
      <c r="H137" t="inlineStr">
        <is>
          <t>Naturvårdsverket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HYPERLINK("https://klasma.github.io/Logging_2085/artfynd/A 37560-2026 artfynd.xlsx", "A 37560-2026")</f>
        <v/>
      </c>
      <c r="X137">
        <f>HYPERLINK("https://klasma.github.io/Logging_2085/kartor/A 37560-2026 karta.png", "A 37560-2026")</f>
        <v/>
      </c>
      <c r="Y137">
        <f>HYPERLINK("https://klasma.github.io/Logging_2085/kartor_geotiff/A 37560-2026 georefererad karta.tif", "A 37560-2026")</f>
        <v/>
      </c>
      <c r="AA137">
        <f>HYPERLINK("https://klasma.github.io/Logging_2085/klagomål/A 37560-2026 FSC-klagomål.docx", "A 37560-2026")</f>
        <v/>
      </c>
      <c r="AB137">
        <f>HYPERLINK("https://klasma.github.io/Logging_2085/klagomålsmail/A 37560-2026 FSC-klagomål mail.docx", "A 37560-2026")</f>
        <v/>
      </c>
      <c r="AC137">
        <f>HYPERLINK("https://klasma.github.io/Logging_2085/tillsyn/A 37560-2026 tillsynsbegäran.docx", "A 37560-2026")</f>
        <v/>
      </c>
      <c r="AD137">
        <f>HYPERLINK("https://klasma.github.io/Logging_2085/tillsynsmail/A 37560-2026 tillsynsbegäran mail.docx", "A 37560-2026")</f>
        <v/>
      </c>
    </row>
    <row r="138" ht="15" customHeight="1">
      <c r="A138" t="inlineStr">
        <is>
          <t>A 33399-2026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46247</v>
      </c>
      <c r="E138" s="1" t="n">
        <v>46298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HYPERLINK("https://klasma.github.io/Logging_2085/artfynd/A 33399-2026 artfynd.xlsx", "A 33399-2026")</f>
        <v/>
      </c>
      <c r="X138">
        <f>HYPERLINK("https://klasma.github.io/Logging_2085/kartor/A 33399-2026 karta.png", "A 33399-2026")</f>
        <v/>
      </c>
      <c r="Y138">
        <f>HYPERLINK("https://klasma.github.io/Logging_2085/kartor_geotiff/A 33399-2026 georefererad karta.tif", "A 33399-2026")</f>
        <v/>
      </c>
      <c r="AA138">
        <f>HYPERLINK("https://klasma.github.io/Logging_2085/klagomål/A 33399-2026 FSC-klagomål.docx", "A 33399-2026")</f>
        <v/>
      </c>
      <c r="AB138">
        <f>HYPERLINK("https://klasma.github.io/Logging_2085/klagomålsmail/A 33399-2026 FSC-klagomål mail.docx", "A 33399-2026")</f>
        <v/>
      </c>
      <c r="AC138">
        <f>HYPERLINK("https://klasma.github.io/Logging_2085/tillsyn/A 33399-2026 tillsynsbegäran.docx", "A 33399-2026")</f>
        <v/>
      </c>
      <c r="AD138">
        <f>HYPERLINK("https://klasma.github.io/Logging_2085/tillsynsmail/A 33399-2026 tillsynsbegäran mail.docx", "A 33399-2026")</f>
        <v/>
      </c>
      <c r="AE138">
        <f>HYPERLINK("https://klasma.github.io/Logging_2085/fåglar/A 33399-2026 prioriterade fågelarter.docx", "A 33399-2026")</f>
        <v/>
      </c>
    </row>
    <row r="139" ht="15" customHeight="1">
      <c r="A139" t="inlineStr">
        <is>
          <t>A 31273-2022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44771</v>
      </c>
      <c r="E139" s="1" t="n">
        <v>46298</v>
      </c>
      <c r="F139" t="inlineStr">
        <is>
          <t>DALARNAS LÄN</t>
        </is>
      </c>
      <c r="G139" t="inlineStr">
        <is>
          <t>LUDVIKA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46298</v>
      </c>
      <c r="F140" t="inlineStr">
        <is>
          <t>DALARNAS LÄN</t>
        </is>
      </c>
      <c r="G140" t="inlineStr">
        <is>
          <t>LUDVIKA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62152-2021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46298</v>
      </c>
      <c r="F141" t="inlineStr">
        <is>
          <t>DALARNAS LÄN</t>
        </is>
      </c>
      <c r="G141" t="inlineStr">
        <is>
          <t>LUDVIKA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46298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46298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46298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46298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46298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46298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46298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46298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46298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46298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46298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46298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46298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46298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46298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46298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46298</v>
      </c>
      <c r="F158" t="inlineStr">
        <is>
          <t>DALARNAS LÄN</t>
        </is>
      </c>
      <c r="G158" t="inlineStr">
        <is>
          <t>LUDVIKA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63267-2021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44508</v>
      </c>
      <c r="E159" s="1" t="n">
        <v>46298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46298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56996-2021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46298</v>
      </c>
      <c r="F161" t="inlineStr">
        <is>
          <t>DALARNAS LÄN</t>
        </is>
      </c>
      <c r="G161" t="inlineStr">
        <is>
          <t>LUDVIKA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46298</v>
      </c>
      <c r="F162" t="inlineStr">
        <is>
          <t>DALARNAS LÄN</t>
        </is>
      </c>
      <c r="G162" t="inlineStr">
        <is>
          <t>LUDVIKA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44841</v>
      </c>
      <c r="E163" s="1" t="n">
        <v>46298</v>
      </c>
      <c r="F163" t="inlineStr">
        <is>
          <t>DALARNAS LÄN</t>
        </is>
      </c>
      <c r="G163" t="inlineStr">
        <is>
          <t>LUDVIKA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46298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46298</v>
      </c>
      <c r="F165" t="inlineStr">
        <is>
          <t>DALARNAS LÄN</t>
        </is>
      </c>
      <c r="G165" t="inlineStr">
        <is>
          <t>LUDVIKA</t>
        </is>
      </c>
      <c r="H165" t="inlineStr">
        <is>
          <t>Naturvårdsverket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46298</v>
      </c>
      <c r="F166" t="inlineStr">
        <is>
          <t>DALARNAS LÄN</t>
        </is>
      </c>
      <c r="G166" t="inlineStr">
        <is>
          <t>LUDVIKA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46298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46298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45317</v>
      </c>
      <c r="E169" s="1" t="n">
        <v>46298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46298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46298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46298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46298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46298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46298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46298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46298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46298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46298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46298</v>
      </c>
      <c r="F180" t="inlineStr">
        <is>
          <t>DALARNAS LÄN</t>
        </is>
      </c>
      <c r="G180" t="inlineStr">
        <is>
          <t>LUDVIKA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46298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46298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46298</v>
      </c>
      <c r="F183" t="inlineStr">
        <is>
          <t>DALARNAS LÄN</t>
        </is>
      </c>
      <c r="G183" t="inlineStr">
        <is>
          <t>LUDVIKA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46298</v>
      </c>
      <c r="F184" t="inlineStr">
        <is>
          <t>DALARNAS LÄN</t>
        </is>
      </c>
      <c r="G184" t="inlineStr">
        <is>
          <t>LUDVIKA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46298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46298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46298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44844</v>
      </c>
      <c r="E188" s="1" t="n">
        <v>46298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46298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46298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46298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45512</v>
      </c>
      <c r="E192" s="1" t="n">
        <v>46298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46298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46298</v>
      </c>
      <c r="F194" t="inlineStr">
        <is>
          <t>DALARNAS LÄN</t>
        </is>
      </c>
      <c r="G194" t="inlineStr">
        <is>
          <t>LUDVIKA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46007</v>
      </c>
      <c r="E195" s="1" t="n">
        <v>46298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46298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46298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46298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62945-2025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46009</v>
      </c>
      <c r="E199" s="1" t="n">
        <v>46298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46298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46298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46298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46298</v>
      </c>
      <c r="F203" t="inlineStr">
        <is>
          <t>DALARNAS LÄN</t>
        </is>
      </c>
      <c r="G203" t="inlineStr">
        <is>
          <t>LUDVIKA</t>
        </is>
      </c>
      <c r="H203" t="inlineStr">
        <is>
          <t>Naturvårdsverket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46298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46298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46298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46008</v>
      </c>
      <c r="E207" s="1" t="n">
        <v>46298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46298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46298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46298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46298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46298</v>
      </c>
      <c r="F212" t="inlineStr">
        <is>
          <t>DALARNAS LÄN</t>
        </is>
      </c>
      <c r="G212" t="inlineStr">
        <is>
          <t>LUDVIKA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46298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46298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46298</v>
      </c>
      <c r="F215" t="inlineStr">
        <is>
          <t>DALARNAS LÄN</t>
        </is>
      </c>
      <c r="G215" t="inlineStr">
        <is>
          <t>LUDVIKA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46298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44730</v>
      </c>
      <c r="E217" s="1" t="n">
        <v>46298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46298</v>
      </c>
      <c r="F218" t="inlineStr">
        <is>
          <t>DALARNAS LÄN</t>
        </is>
      </c>
      <c r="G218" t="inlineStr">
        <is>
          <t>LUDVIKA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31702-2023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45105</v>
      </c>
      <c r="E219" s="1" t="n">
        <v>46298</v>
      </c>
      <c r="F219" t="inlineStr">
        <is>
          <t>DALARNAS LÄN</t>
        </is>
      </c>
      <c r="G219" t="inlineStr">
        <is>
          <t>LUDVIKA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46298</v>
      </c>
      <c r="F220" t="inlineStr">
        <is>
          <t>DALARNAS LÄN</t>
        </is>
      </c>
      <c r="G220" t="inlineStr">
        <is>
          <t>LUDVIKA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46298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8703-2023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44978</v>
      </c>
      <c r="E222" s="1" t="n">
        <v>46298</v>
      </c>
      <c r="F222" t="inlineStr">
        <is>
          <t>DALARNAS LÄN</t>
        </is>
      </c>
      <c r="G222" t="inlineStr">
        <is>
          <t>LUDVIKA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46298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48740-2022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44859</v>
      </c>
      <c r="E224" s="1" t="n">
        <v>46298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46298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46298</v>
      </c>
      <c r="F226" t="inlineStr">
        <is>
          <t>DALARNAS LÄN</t>
        </is>
      </c>
      <c r="G226" t="inlineStr">
        <is>
          <t>LUDVIKA</t>
        </is>
      </c>
      <c r="I226" t="n">
        <v>20.8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46298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46298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46298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46298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46298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46298</v>
      </c>
      <c r="F232" t="inlineStr">
        <is>
          <t>DALARNAS LÄN</t>
        </is>
      </c>
      <c r="G232" t="inlineStr">
        <is>
          <t>LUDVIKA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45786</v>
      </c>
      <c r="E233" s="1" t="n">
        <v>46298</v>
      </c>
      <c r="F233" t="inlineStr">
        <is>
          <t>DALARNAS LÄN</t>
        </is>
      </c>
      <c r="G233" t="inlineStr">
        <is>
          <t>LUDVIKA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46298</v>
      </c>
      <c r="F235" t="inlineStr">
        <is>
          <t>DALARNAS LÄN</t>
        </is>
      </c>
      <c r="G235" t="inlineStr">
        <is>
          <t>LUDVIKA</t>
        </is>
      </c>
      <c r="H235" t="inlineStr">
        <is>
          <t>Naturvårdsverket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46298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46298</v>
      </c>
      <c r="F237" t="inlineStr">
        <is>
          <t>DALARNAS LÄN</t>
        </is>
      </c>
      <c r="G237" t="inlineStr">
        <is>
          <t>LUDVIKA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46298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46298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46298</v>
      </c>
      <c r="F240" t="inlineStr">
        <is>
          <t>DALARNAS LÄN</t>
        </is>
      </c>
      <c r="G240" t="inlineStr">
        <is>
          <t>LUDVIKA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46298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46298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45770</v>
      </c>
      <c r="E243" s="1" t="n">
        <v>46298</v>
      </c>
      <c r="F243" t="inlineStr">
        <is>
          <t>DALARNAS LÄN</t>
        </is>
      </c>
      <c r="G243" t="inlineStr">
        <is>
          <t>LUDVIKA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46298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46298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46298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46298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46298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45776</v>
      </c>
      <c r="E249" s="1" t="n">
        <v>46298</v>
      </c>
      <c r="F249" t="inlineStr">
        <is>
          <t>DALARNAS LÄN</t>
        </is>
      </c>
      <c r="G249" t="inlineStr">
        <is>
          <t>LUDVIKA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46298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45622</v>
      </c>
      <c r="E251" s="1" t="n">
        <v>46298</v>
      </c>
      <c r="F251" t="inlineStr">
        <is>
          <t>DALARNAS LÄN</t>
        </is>
      </c>
      <c r="G251" t="inlineStr">
        <is>
          <t>LUDVIKA</t>
        </is>
      </c>
      <c r="H251" t="inlineStr">
        <is>
          <t>Naturvårdsverket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46298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46298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46298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46298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46298</v>
      </c>
      <c r="F256" t="inlineStr">
        <is>
          <t>DALARNAS LÄN</t>
        </is>
      </c>
      <c r="G256" t="inlineStr">
        <is>
          <t>LUDVIKA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30977-2024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45499</v>
      </c>
      <c r="E257" s="1" t="n">
        <v>46298</v>
      </c>
      <c r="F257" t="inlineStr">
        <is>
          <t>DALARNAS LÄN</t>
        </is>
      </c>
      <c r="G257" t="inlineStr">
        <is>
          <t>LUDVIKA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46298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46298</v>
      </c>
      <c r="F259" t="inlineStr">
        <is>
          <t>DALARNAS LÄN</t>
        </is>
      </c>
      <c r="G259" t="inlineStr">
        <is>
          <t>LUDVIKA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46298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45800</v>
      </c>
      <c r="E261" s="1" t="n">
        <v>46298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25235-2025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45800</v>
      </c>
      <c r="E262" s="1" t="n">
        <v>46298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45902</v>
      </c>
      <c r="E263" s="1" t="n">
        <v>46298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46298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46298</v>
      </c>
      <c r="F265" t="inlineStr">
        <is>
          <t>DALARNAS LÄN</t>
        </is>
      </c>
      <c r="G265" t="inlineStr">
        <is>
          <t>LUDVIKA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45208</v>
      </c>
      <c r="E266" s="1" t="n">
        <v>46298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45912</v>
      </c>
      <c r="E267" s="1" t="n">
        <v>46298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46298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46298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46298</v>
      </c>
      <c r="F270" t="inlineStr">
        <is>
          <t>DALARNAS LÄN</t>
        </is>
      </c>
      <c r="G270" t="inlineStr">
        <is>
          <t>LUDVIKA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46298</v>
      </c>
      <c r="F271" t="inlineStr">
        <is>
          <t>DALARNAS LÄN</t>
        </is>
      </c>
      <c r="G271" t="inlineStr">
        <is>
          <t>LUDVIKA</t>
        </is>
      </c>
      <c r="H271" t="inlineStr">
        <is>
          <t>Naturvårdsverket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46298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46298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46298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44859</v>
      </c>
      <c r="E275" s="1" t="n">
        <v>46298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46298</v>
      </c>
      <c r="F276" t="inlineStr">
        <is>
          <t>DALARNAS LÄN</t>
        </is>
      </c>
      <c r="G276" t="inlineStr">
        <is>
          <t>LUDVIKA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46298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46298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46298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26698-2025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45810</v>
      </c>
      <c r="E280" s="1" t="n">
        <v>46298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56615-2025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45975</v>
      </c>
      <c r="E281" s="1" t="n">
        <v>46298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45224</v>
      </c>
      <c r="E282" s="1" t="n">
        <v>46298</v>
      </c>
      <c r="F282" t="inlineStr">
        <is>
          <t>DALARNAS LÄN</t>
        </is>
      </c>
      <c r="G282" t="inlineStr">
        <is>
          <t>LUDVIKA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46298</v>
      </c>
      <c r="F283" t="inlineStr">
        <is>
          <t>DALARNAS LÄN</t>
        </is>
      </c>
      <c r="G283" t="inlineStr">
        <is>
          <t>LUDVIKA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46007</v>
      </c>
      <c r="E284" s="1" t="n">
        <v>46298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46298</v>
      </c>
      <c r="F285" t="inlineStr">
        <is>
          <t>DALARNAS LÄN</t>
        </is>
      </c>
      <c r="G285" t="inlineStr">
        <is>
          <t>LUDVIKA</t>
        </is>
      </c>
      <c r="H285" t="inlineStr">
        <is>
          <t>Naturvårdsverket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46298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46298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46298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46298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26794-2025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45810</v>
      </c>
      <c r="E290" s="1" t="n">
        <v>46298</v>
      </c>
      <c r="F290" t="inlineStr">
        <is>
          <t>DALARNAS LÄN</t>
        </is>
      </c>
      <c r="G290" t="inlineStr">
        <is>
          <t>LUDVIKA</t>
        </is>
      </c>
      <c r="H290" t="inlineStr">
        <is>
          <t>Kommuner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45944</v>
      </c>
      <c r="E291" s="1" t="n">
        <v>46298</v>
      </c>
      <c r="F291" t="inlineStr">
        <is>
          <t>DALARNAS LÄN</t>
        </is>
      </c>
      <c r="G291" t="inlineStr">
        <is>
          <t>LUDVIKA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26628-2025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45810</v>
      </c>
      <c r="E292" s="1" t="n">
        <v>46298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45191</v>
      </c>
      <c r="E293" s="1" t="n">
        <v>46298</v>
      </c>
      <c r="F293" t="inlineStr">
        <is>
          <t>DALARNAS LÄN</t>
        </is>
      </c>
      <c r="G293" t="inlineStr">
        <is>
          <t>LUDVIKA</t>
        </is>
      </c>
      <c r="H293" t="inlineStr">
        <is>
          <t>Sveaskog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45569</v>
      </c>
      <c r="E294" s="1" t="n">
        <v>46298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45623</v>
      </c>
      <c r="E295" s="1" t="n">
        <v>46298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46298</v>
      </c>
      <c r="F296" t="inlineStr">
        <is>
          <t>DALARNAS LÄN</t>
        </is>
      </c>
      <c r="G296" t="inlineStr">
        <is>
          <t>LUDVIKA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46298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46298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46298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46298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46298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46298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46298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46298</v>
      </c>
      <c r="F304" t="inlineStr">
        <is>
          <t>DALARNAS LÄN</t>
        </is>
      </c>
      <c r="G304" t="inlineStr">
        <is>
          <t>LUDVIKA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46298</v>
      </c>
      <c r="F305" t="inlineStr">
        <is>
          <t>DALARNAS LÄN</t>
        </is>
      </c>
      <c r="G305" t="inlineStr">
        <is>
          <t>LUDVIKA</t>
        </is>
      </c>
      <c r="H305" t="inlineStr">
        <is>
          <t>Övriga Aktiebolag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46298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46298</v>
      </c>
      <c r="F307" t="inlineStr">
        <is>
          <t>DALARNAS LÄN</t>
        </is>
      </c>
      <c r="G307" t="inlineStr">
        <is>
          <t>LUDVIKA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46298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46298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46298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46298</v>
      </c>
      <c r="F311" t="inlineStr">
        <is>
          <t>DALARNAS LÄN</t>
        </is>
      </c>
      <c r="G311" t="inlineStr">
        <is>
          <t>LUDVIKA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65195-2021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44515</v>
      </c>
      <c r="E312" s="1" t="n">
        <v>46298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46298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44893</v>
      </c>
      <c r="E314" s="1" t="n">
        <v>46298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46298</v>
      </c>
      <c r="F315" t="inlineStr">
        <is>
          <t>DALARNAS LÄN</t>
        </is>
      </c>
      <c r="G315" t="inlineStr">
        <is>
          <t>LUDVIKA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45502</v>
      </c>
      <c r="E316" s="1" t="n">
        <v>46298</v>
      </c>
      <c r="F316" t="inlineStr">
        <is>
          <t>DALARNAS LÄN</t>
        </is>
      </c>
      <c r="G316" t="inlineStr">
        <is>
          <t>LUDVIKA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46029-2025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46298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54341-2025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45965</v>
      </c>
      <c r="E318" s="1" t="n">
        <v>46298</v>
      </c>
      <c r="F318" t="inlineStr">
        <is>
          <t>DALARNAS LÄN</t>
        </is>
      </c>
      <c r="G318" t="inlineStr">
        <is>
          <t>LUDVIKA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46298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45891</v>
      </c>
      <c r="E320" s="1" t="n">
        <v>46298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45963</v>
      </c>
      <c r="E321" s="1" t="n">
        <v>46298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45891</v>
      </c>
      <c r="E322" s="1" t="n">
        <v>46298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46298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46298</v>
      </c>
      <c r="F324" t="inlineStr">
        <is>
          <t>DALARNAS LÄN</t>
        </is>
      </c>
      <c r="G324" t="inlineStr">
        <is>
          <t>LUDVIKA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46298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46298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46298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46298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46298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56002-2025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46298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46298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46298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46298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59351-2023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46298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46298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45208</v>
      </c>
      <c r="E337" s="1" t="n">
        <v>46298</v>
      </c>
      <c r="F337" t="inlineStr">
        <is>
          <t>DALARNAS LÄN</t>
        </is>
      </c>
      <c r="G337" t="inlineStr">
        <is>
          <t>LUDVIKA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46298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46298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46298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45512</v>
      </c>
      <c r="E341" s="1" t="n">
        <v>46298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46298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46298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46298</v>
      </c>
      <c r="F344" t="inlineStr">
        <is>
          <t>DALARNAS LÄN</t>
        </is>
      </c>
      <c r="G344" t="inlineStr">
        <is>
          <t>LUDVIKA</t>
        </is>
      </c>
      <c r="I344" t="n">
        <v>12.7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46298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46298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49035-2024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45594</v>
      </c>
      <c r="E347" s="1" t="n">
        <v>46298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61621-2022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44916</v>
      </c>
      <c r="E348" s="1" t="n">
        <v>46298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46114</v>
      </c>
      <c r="E349" s="1" t="n">
        <v>46298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46298</v>
      </c>
      <c r="F350" t="inlineStr">
        <is>
          <t>DALARNAS LÄN</t>
        </is>
      </c>
      <c r="G350" t="inlineStr">
        <is>
          <t>LUDVIKA</t>
        </is>
      </c>
      <c r="H350" t="inlineStr">
        <is>
          <t>Naturvårdsverket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46298</v>
      </c>
      <c r="F351" t="inlineStr">
        <is>
          <t>DALARNAS LÄN</t>
        </is>
      </c>
      <c r="G351" t="inlineStr">
        <is>
          <t>LUDVIKA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46298</v>
      </c>
      <c r="F352" t="inlineStr">
        <is>
          <t>DALARNAS LÄN</t>
        </is>
      </c>
      <c r="G352" t="inlineStr">
        <is>
          <t>LUDVIKA</t>
        </is>
      </c>
      <c r="H352" t="inlineStr">
        <is>
          <t>Naturvårdsverket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46298</v>
      </c>
      <c r="F353" t="inlineStr">
        <is>
          <t>DALARNAS LÄN</t>
        </is>
      </c>
      <c r="G353" t="inlineStr">
        <is>
          <t>LUDVIKA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46298</v>
      </c>
      <c r="F354" t="inlineStr">
        <is>
          <t>DALARNAS LÄN</t>
        </is>
      </c>
      <c r="G354" t="inlineStr">
        <is>
          <t>LUDVIKA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46298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46298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46298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46298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46298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46298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46298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46298</v>
      </c>
      <c r="F362" t="inlineStr">
        <is>
          <t>DALARNAS LÄN</t>
        </is>
      </c>
      <c r="G362" t="inlineStr">
        <is>
          <t>LUDVIKA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46298</v>
      </c>
      <c r="F363" t="inlineStr">
        <is>
          <t>DALARNAS LÄN</t>
        </is>
      </c>
      <c r="G363" t="inlineStr">
        <is>
          <t>LUDVIKA</t>
        </is>
      </c>
      <c r="H363" t="inlineStr">
        <is>
          <t>Naturvårdsverket</t>
        </is>
      </c>
      <c r="I363" t="n">
        <v>19.8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46298</v>
      </c>
      <c r="F364" t="inlineStr">
        <is>
          <t>DALARNAS LÄN</t>
        </is>
      </c>
      <c r="G364" t="inlineStr">
        <is>
          <t>LUDVIKA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46298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46298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46298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46298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46298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46298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45644</v>
      </c>
      <c r="E371" s="1" t="n">
        <v>46298</v>
      </c>
      <c r="F371" t="inlineStr">
        <is>
          <t>DALARNAS LÄN</t>
        </is>
      </c>
      <c r="G371" t="inlineStr">
        <is>
          <t>LUDVIKA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46298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46126</v>
      </c>
      <c r="E373" s="1" t="n">
        <v>46298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46298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46298</v>
      </c>
      <c r="F375" t="inlineStr">
        <is>
          <t>DALARNAS LÄN</t>
        </is>
      </c>
      <c r="G375" t="inlineStr">
        <is>
          <t>LUDVIKA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46298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46298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46126</v>
      </c>
      <c r="E378" s="1" t="n">
        <v>46298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45637</v>
      </c>
      <c r="E379" s="1" t="n">
        <v>46298</v>
      </c>
      <c r="F379" t="inlineStr">
        <is>
          <t>DALARNAS LÄN</t>
        </is>
      </c>
      <c r="G379" t="inlineStr">
        <is>
          <t>LUDVIKA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46298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48642-2022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44859</v>
      </c>
      <c r="E381" s="1" t="n">
        <v>46298</v>
      </c>
      <c r="F381" t="inlineStr">
        <is>
          <t>DALARNAS LÄN</t>
        </is>
      </c>
      <c r="G381" t="inlineStr">
        <is>
          <t>LUDVIKA</t>
        </is>
      </c>
      <c r="H381" t="inlineStr">
        <is>
          <t>Naturvårdsverket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46298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46298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46298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18829-2026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46128</v>
      </c>
      <c r="E385" s="1" t="n">
        <v>46298</v>
      </c>
      <c r="F385" t="inlineStr">
        <is>
          <t>DALARNAS LÄN</t>
        </is>
      </c>
      <c r="G385" t="inlineStr">
        <is>
          <t>LUDVIKA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44687</v>
      </c>
      <c r="E386" s="1" t="n">
        <v>46298</v>
      </c>
      <c r="F386" t="inlineStr">
        <is>
          <t>DALARNAS LÄN</t>
        </is>
      </c>
      <c r="G386" t="inlineStr">
        <is>
          <t>LUDVIKA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46298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46298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42128-2024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45562</v>
      </c>
      <c r="E389" s="1" t="n">
        <v>46298</v>
      </c>
      <c r="F389" t="inlineStr">
        <is>
          <t>DALARNAS LÄN</t>
        </is>
      </c>
      <c r="G389" t="inlineStr">
        <is>
          <t>LUDVIKA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46298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44789</v>
      </c>
      <c r="E391" s="1" t="n">
        <v>46298</v>
      </c>
      <c r="F391" t="inlineStr">
        <is>
          <t>DALARNAS LÄN</t>
        </is>
      </c>
      <c r="G391" t="inlineStr">
        <is>
          <t>LUDVIKA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56680-2022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44893</v>
      </c>
      <c r="E392" s="1" t="n">
        <v>46298</v>
      </c>
      <c r="F392" t="inlineStr">
        <is>
          <t>DALARNAS LÄN</t>
        </is>
      </c>
      <c r="G392" t="inlineStr">
        <is>
          <t>LUDVIKA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46298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46298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73703-2021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44552</v>
      </c>
      <c r="E395" s="1" t="n">
        <v>46298</v>
      </c>
      <c r="F395" t="inlineStr">
        <is>
          <t>DALARNAS LÄN</t>
        </is>
      </c>
      <c r="G395" t="inlineStr">
        <is>
          <t>LUDVIKA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46298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46298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46298</v>
      </c>
      <c r="F398" t="inlineStr">
        <is>
          <t>DALARNAS LÄN</t>
        </is>
      </c>
      <c r="G398" t="inlineStr">
        <is>
          <t>LUDVIKA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45835</v>
      </c>
      <c r="E399" s="1" t="n">
        <v>46298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45189</v>
      </c>
      <c r="E400" s="1" t="n">
        <v>46298</v>
      </c>
      <c r="F400" t="inlineStr">
        <is>
          <t>DALARNAS LÄN</t>
        </is>
      </c>
      <c r="G400" t="inlineStr">
        <is>
          <t>LUDVIKA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46298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33063-2025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45840</v>
      </c>
      <c r="E402" s="1" t="n">
        <v>46298</v>
      </c>
      <c r="F402" t="inlineStr">
        <is>
          <t>DALARNAS LÄN</t>
        </is>
      </c>
      <c r="G402" t="inlineStr">
        <is>
          <t>LUDVIKA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46298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46298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44825</v>
      </c>
      <c r="E405" s="1" t="n">
        <v>46298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34067-2025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45845</v>
      </c>
      <c r="E406" s="1" t="n">
        <v>46298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46298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46298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45502</v>
      </c>
      <c r="E409" s="1" t="n">
        <v>46298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45954</v>
      </c>
      <c r="E410" s="1" t="n">
        <v>46298</v>
      </c>
      <c r="F410" t="inlineStr">
        <is>
          <t>DALARNAS LÄN</t>
        </is>
      </c>
      <c r="G410" t="inlineStr">
        <is>
          <t>LUDVIKA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29578-2025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46298</v>
      </c>
      <c r="F411" t="inlineStr">
        <is>
          <t>DALARNAS LÄN</t>
        </is>
      </c>
      <c r="G411" t="inlineStr">
        <is>
          <t>LUDVIKA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45301</v>
      </c>
      <c r="E412" s="1" t="n">
        <v>46298</v>
      </c>
      <c r="F412" t="inlineStr">
        <is>
          <t>DALARNAS LÄN</t>
        </is>
      </c>
      <c r="G412" t="inlineStr">
        <is>
          <t>LUDVIKA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923-2024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45301</v>
      </c>
      <c r="E413" s="1" t="n">
        <v>46298</v>
      </c>
      <c r="F413" t="inlineStr">
        <is>
          <t>DALARNAS LÄN</t>
        </is>
      </c>
      <c r="G413" t="inlineStr">
        <is>
          <t>LUDVIKA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45297</v>
      </c>
      <c r="E414" s="1" t="n">
        <v>46298</v>
      </c>
      <c r="F414" t="inlineStr">
        <is>
          <t>DALARNAS LÄN</t>
        </is>
      </c>
      <c r="G414" t="inlineStr">
        <is>
          <t>LUDVIKA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46298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45525</v>
      </c>
      <c r="E416" s="1" t="n">
        <v>46298</v>
      </c>
      <c r="F416" t="inlineStr">
        <is>
          <t>DALARNAS LÄN</t>
        </is>
      </c>
      <c r="G416" t="inlineStr">
        <is>
          <t>LUDVIKA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46298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46298</v>
      </c>
      <c r="F418" t="inlineStr">
        <is>
          <t>DALARNAS LÄN</t>
        </is>
      </c>
      <c r="G418" t="inlineStr">
        <is>
          <t>LUDVIKA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45639</v>
      </c>
      <c r="E419" s="1" t="n">
        <v>46298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45902</v>
      </c>
      <c r="E420" s="1" t="n">
        <v>46298</v>
      </c>
      <c r="F420" t="inlineStr">
        <is>
          <t>DALARNAS LÄN</t>
        </is>
      </c>
      <c r="G420" t="inlineStr">
        <is>
          <t>LUDVIKA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45512</v>
      </c>
      <c r="E421" s="1" t="n">
        <v>46298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46298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45860</v>
      </c>
      <c r="E423" s="1" t="n">
        <v>46298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45825</v>
      </c>
      <c r="E424" s="1" t="n">
        <v>46298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46298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55323-2025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45971</v>
      </c>
      <c r="E426" s="1" t="n">
        <v>46298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45219</v>
      </c>
      <c r="E427" s="1" t="n">
        <v>46298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46298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46298</v>
      </c>
      <c r="F429" t="inlineStr">
        <is>
          <t>DALARNAS LÄN</t>
        </is>
      </c>
      <c r="G429" t="inlineStr">
        <is>
          <t>LUDVIKA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12497-2024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45379</v>
      </c>
      <c r="E430" s="1" t="n">
        <v>46298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46298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46298</v>
      </c>
      <c r="F432" t="inlineStr">
        <is>
          <t>DALARNAS LÄN</t>
        </is>
      </c>
      <c r="G432" t="inlineStr">
        <is>
          <t>LUDVIKA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52466-2023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45225</v>
      </c>
      <c r="E433" s="1" t="n">
        <v>46298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45512</v>
      </c>
      <c r="E434" s="1" t="n">
        <v>46298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45574</v>
      </c>
      <c r="E435" s="1" t="n">
        <v>46298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46298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46298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46298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45113</v>
      </c>
      <c r="E439" s="1" t="n">
        <v>46298</v>
      </c>
      <c r="F439" t="inlineStr">
        <is>
          <t>DALARNAS LÄN</t>
        </is>
      </c>
      <c r="G439" t="inlineStr">
        <is>
          <t>LUDVIKA</t>
        </is>
      </c>
      <c r="H439" t="inlineStr">
        <is>
          <t>Kommuner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45832</v>
      </c>
      <c r="E440" s="1" t="n">
        <v>46298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46298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46298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46298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20666-2026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46298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30039-2024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45488</v>
      </c>
      <c r="E445" s="1" t="n">
        <v>46298</v>
      </c>
      <c r="F445" t="inlineStr">
        <is>
          <t>DALARNAS LÄN</t>
        </is>
      </c>
      <c r="G445" t="inlineStr">
        <is>
          <t>LUDVIKA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44970</v>
      </c>
      <c r="E446" s="1" t="n">
        <v>46298</v>
      </c>
      <c r="F446" t="inlineStr">
        <is>
          <t>DALARNAS LÄN</t>
        </is>
      </c>
      <c r="G446" t="inlineStr">
        <is>
          <t>LUDVIKA</t>
        </is>
      </c>
      <c r="H446" t="inlineStr">
        <is>
          <t>Övriga Aktiebolag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46298</v>
      </c>
      <c r="F447" t="inlineStr">
        <is>
          <t>DALARNAS LÄN</t>
        </is>
      </c>
      <c r="G447" t="inlineStr">
        <is>
          <t>LUDVIKA</t>
        </is>
      </c>
      <c r="H447" t="inlineStr">
        <is>
          <t>Övriga Aktiebolag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17677-2022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44680</v>
      </c>
      <c r="E448" s="1" t="n">
        <v>46298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46185-2024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45581</v>
      </c>
      <c r="E449" s="1" t="n">
        <v>46298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45551</v>
      </c>
      <c r="E450" s="1" t="n">
        <v>46298</v>
      </c>
      <c r="F450" t="inlineStr">
        <is>
          <t>DALARNAS LÄN</t>
        </is>
      </c>
      <c r="G450" t="inlineStr">
        <is>
          <t>LUDVIKA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46298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45869</v>
      </c>
      <c r="E452" s="1" t="n">
        <v>46298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45567</v>
      </c>
      <c r="E453" s="1" t="n">
        <v>46298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47496-2022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44853</v>
      </c>
      <c r="E454" s="1" t="n">
        <v>46298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46298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46298</v>
      </c>
      <c r="F456" t="inlineStr">
        <is>
          <t>DALARNAS LÄN</t>
        </is>
      </c>
      <c r="G456" t="inlineStr">
        <is>
          <t>LUDVIKA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46298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46298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46298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45337</v>
      </c>
      <c r="E460" s="1" t="n">
        <v>46298</v>
      </c>
      <c r="F460" t="inlineStr">
        <is>
          <t>DALARNAS LÄN</t>
        </is>
      </c>
      <c r="G460" t="inlineStr">
        <is>
          <t>LUDVIKA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43240-2024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46298</v>
      </c>
      <c r="F461" t="inlineStr">
        <is>
          <t>DALARNAS LÄN</t>
        </is>
      </c>
      <c r="G461" t="inlineStr">
        <is>
          <t>LUDVIKA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46298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44825</v>
      </c>
      <c r="E463" s="1" t="n">
        <v>46298</v>
      </c>
      <c r="F463" t="inlineStr">
        <is>
          <t>DALARNAS LÄN</t>
        </is>
      </c>
      <c r="G463" t="inlineStr">
        <is>
          <t>LUDVIKA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21472-2026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46298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45883</v>
      </c>
      <c r="E465" s="1" t="n">
        <v>46298</v>
      </c>
      <c r="F465" t="inlineStr">
        <is>
          <t>DALARNAS LÄN</t>
        </is>
      </c>
      <c r="G465" t="inlineStr">
        <is>
          <t>LUDVIKA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46298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46298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46298</v>
      </c>
      <c r="F468" t="inlineStr">
        <is>
          <t>DALARNAS LÄN</t>
        </is>
      </c>
      <c r="G468" t="inlineStr">
        <is>
          <t>LUDVIKA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18708-2023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45043</v>
      </c>
      <c r="E469" s="1" t="n">
        <v>46298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46150</v>
      </c>
      <c r="E470" s="1" t="n">
        <v>46298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45399</v>
      </c>
      <c r="E471" s="1" t="n">
        <v>46298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45644</v>
      </c>
      <c r="E472" s="1" t="n">
        <v>46298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46298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46298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55972-2025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46298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46298</v>
      </c>
      <c r="F476" t="inlineStr">
        <is>
          <t>DALARNAS LÄN</t>
        </is>
      </c>
      <c r="G476" t="inlineStr">
        <is>
          <t>LUDVIKA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65104-2023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45288</v>
      </c>
      <c r="E477" s="1" t="n">
        <v>46298</v>
      </c>
      <c r="F477" t="inlineStr">
        <is>
          <t>DALARNAS LÄN</t>
        </is>
      </c>
      <c r="G477" t="inlineStr">
        <is>
          <t>LUDVIKA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46298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46298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45679</v>
      </c>
      <c r="E480" s="1" t="n">
        <v>46298</v>
      </c>
      <c r="F480" t="inlineStr">
        <is>
          <t>DALARNAS LÄN</t>
        </is>
      </c>
      <c r="G480" t="inlineStr">
        <is>
          <t>LUDVIKA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16843-2026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46113</v>
      </c>
      <c r="E481" s="1" t="n">
        <v>46298</v>
      </c>
      <c r="F481" t="inlineStr">
        <is>
          <t>DALARNAS LÄN</t>
        </is>
      </c>
      <c r="G481" t="inlineStr">
        <is>
          <t>LUDVIKA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46298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45743</v>
      </c>
      <c r="E483" s="1" t="n">
        <v>46298</v>
      </c>
      <c r="F483" t="inlineStr">
        <is>
          <t>DALARNAS LÄN</t>
        </is>
      </c>
      <c r="G483" t="inlineStr">
        <is>
          <t>LUDVIKA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46160</v>
      </c>
      <c r="E484" s="1" t="n">
        <v>46298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46298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59050-2022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44903</v>
      </c>
      <c r="E486" s="1" t="n">
        <v>46298</v>
      </c>
      <c r="F486" t="inlineStr">
        <is>
          <t>DALARNAS LÄN</t>
        </is>
      </c>
      <c r="G486" t="inlineStr">
        <is>
          <t>LUDVIKA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46298</v>
      </c>
      <c r="F487" t="inlineStr">
        <is>
          <t>DALARNAS LÄN</t>
        </is>
      </c>
      <c r="G487" t="inlineStr">
        <is>
          <t>LUDVIKA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46298</v>
      </c>
      <c r="F488" t="inlineStr">
        <is>
          <t>DALARNAS LÄN</t>
        </is>
      </c>
      <c r="G488" t="inlineStr">
        <is>
          <t>LUDVIKA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46298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46298</v>
      </c>
      <c r="F490" t="inlineStr">
        <is>
          <t>DALARNAS LÄN</t>
        </is>
      </c>
      <c r="G490" t="inlineStr">
        <is>
          <t>LUDVIKA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46298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46298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45705</v>
      </c>
      <c r="E493" s="1" t="n">
        <v>46298</v>
      </c>
      <c r="F493" t="inlineStr">
        <is>
          <t>DALARNAS LÄN</t>
        </is>
      </c>
      <c r="G493" t="inlineStr">
        <is>
          <t>LUDVIKA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32854-2023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45112</v>
      </c>
      <c r="E494" s="1" t="n">
        <v>46298</v>
      </c>
      <c r="F494" t="inlineStr">
        <is>
          <t>DALARNAS LÄN</t>
        </is>
      </c>
      <c r="G494" t="inlineStr">
        <is>
          <t>LUDVIKA</t>
        </is>
      </c>
      <c r="H494" t="inlineStr">
        <is>
          <t>Kommuner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46620-2023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45198</v>
      </c>
      <c r="E495" s="1" t="n">
        <v>46298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61507-2023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45265</v>
      </c>
      <c r="E496" s="1" t="n">
        <v>46298</v>
      </c>
      <c r="F496" t="inlineStr">
        <is>
          <t>DALARNAS LÄN</t>
        </is>
      </c>
      <c r="G496" t="inlineStr">
        <is>
          <t>LUDVIKA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44865</v>
      </c>
      <c r="E497" s="1" t="n">
        <v>46298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46038</v>
      </c>
      <c r="E498" s="1" t="n">
        <v>46298</v>
      </c>
      <c r="F498" t="inlineStr">
        <is>
          <t>DALARNAS LÄN</t>
        </is>
      </c>
      <c r="G498" t="inlineStr">
        <is>
          <t>LUDVIKA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45833</v>
      </c>
      <c r="E499" s="1" t="n">
        <v>46298</v>
      </c>
      <c r="F499" t="inlineStr">
        <is>
          <t>DALARNAS LÄN</t>
        </is>
      </c>
      <c r="G499" t="inlineStr">
        <is>
          <t>LUDVIKA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46298</v>
      </c>
      <c r="F500" t="inlineStr">
        <is>
          <t>DALARNAS LÄN</t>
        </is>
      </c>
      <c r="G500" t="inlineStr">
        <is>
          <t>LUDVIKA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46298</v>
      </c>
      <c r="F501" t="inlineStr">
        <is>
          <t>DALARNAS LÄN</t>
        </is>
      </c>
      <c r="G501" t="inlineStr">
        <is>
          <t>LUDVIKA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46298</v>
      </c>
      <c r="F502" t="inlineStr">
        <is>
          <t>DALARNAS LÄN</t>
        </is>
      </c>
      <c r="G502" t="inlineStr">
        <is>
          <t>LUDVIKA</t>
        </is>
      </c>
      <c r="H502" t="inlineStr">
        <is>
          <t>Naturvårdsverket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46298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24673-2026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46171</v>
      </c>
      <c r="E504" s="1" t="n">
        <v>46298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46298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46171</v>
      </c>
      <c r="E506" s="1" t="n">
        <v>46298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46298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8.1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46171</v>
      </c>
      <c r="E508" s="1" t="n">
        <v>46298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46298</v>
      </c>
      <c r="F509" t="inlineStr">
        <is>
          <t>DALARNAS LÄN</t>
        </is>
      </c>
      <c r="G509" t="inlineStr">
        <is>
          <t>LUDVIKA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46298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46298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46298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45537</v>
      </c>
      <c r="E513" s="1" t="n">
        <v>46298</v>
      </c>
      <c r="F513" t="inlineStr">
        <is>
          <t>DALARNAS LÄN</t>
        </is>
      </c>
      <c r="G513" t="inlineStr">
        <is>
          <t>LUDVIKA</t>
        </is>
      </c>
      <c r="H513" t="inlineStr">
        <is>
          <t>Övriga Aktiebolag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45481</v>
      </c>
      <c r="E514" s="1" t="n">
        <v>46298</v>
      </c>
      <c r="F514" t="inlineStr">
        <is>
          <t>DALARNAS LÄN</t>
        </is>
      </c>
      <c r="G514" t="inlineStr">
        <is>
          <t>LUDVIKA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16814-2024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46298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46298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45938</v>
      </c>
      <c r="E517" s="1" t="n">
        <v>46298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46298</v>
      </c>
      <c r="F518" t="inlineStr">
        <is>
          <t>DALARNAS LÄN</t>
        </is>
      </c>
      <c r="G518" t="inlineStr">
        <is>
          <t>LUDVIKA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46298</v>
      </c>
      <c r="F519" t="inlineStr">
        <is>
          <t>DALARNAS LÄN</t>
        </is>
      </c>
      <c r="G519" t="inlineStr">
        <is>
          <t>LUDVIKA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45624</v>
      </c>
      <c r="E520" s="1" t="n">
        <v>46298</v>
      </c>
      <c r="F520" t="inlineStr">
        <is>
          <t>DALARNAS LÄN</t>
        </is>
      </c>
      <c r="G520" t="inlineStr">
        <is>
          <t>LUDVIKA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46298</v>
      </c>
      <c r="F521" t="inlineStr">
        <is>
          <t>DALARNAS LÄN</t>
        </is>
      </c>
      <c r="G521" t="inlineStr">
        <is>
          <t>LUDVIKA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20427-2025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45775</v>
      </c>
      <c r="E522" s="1" t="n">
        <v>46298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46298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46298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46298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46298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45520</v>
      </c>
      <c r="E527" s="1" t="n">
        <v>46298</v>
      </c>
      <c r="F527" t="inlineStr">
        <is>
          <t>DALARNAS LÄN</t>
        </is>
      </c>
      <c r="G527" t="inlineStr">
        <is>
          <t>LUDVIKA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46298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46298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54730-2022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44883</v>
      </c>
      <c r="E530" s="1" t="n">
        <v>46298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46298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46298</v>
      </c>
      <c r="F532" t="inlineStr">
        <is>
          <t>DALARNAS LÄN</t>
        </is>
      </c>
      <c r="G532" t="inlineStr">
        <is>
          <t>LUDVIKA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46298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45168</v>
      </c>
      <c r="E534" s="1" t="n">
        <v>46298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46298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46298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46298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46298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53996-2024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45616</v>
      </c>
      <c r="E539" s="1" t="n">
        <v>46298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45765</v>
      </c>
      <c r="E540" s="1" t="n">
        <v>46298</v>
      </c>
      <c r="F540" t="inlineStr">
        <is>
          <t>DALARNAS LÄN</t>
        </is>
      </c>
      <c r="G540" t="inlineStr">
        <is>
          <t>LUDVIKA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49045-2024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45594</v>
      </c>
      <c r="E541" s="1" t="n">
        <v>46298</v>
      </c>
      <c r="F541" t="inlineStr">
        <is>
          <t>DALARNAS LÄN</t>
        </is>
      </c>
      <c r="G541" t="inlineStr">
        <is>
          <t>LUDVIKA</t>
        </is>
      </c>
      <c r="H541" t="inlineStr">
        <is>
          <t>Naturvårdsverket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45740</v>
      </c>
      <c r="E542" s="1" t="n">
        <v>46298</v>
      </c>
      <c r="F542" t="inlineStr">
        <is>
          <t>DALARNAS LÄN</t>
        </is>
      </c>
      <c r="G542" t="inlineStr">
        <is>
          <t>LUDVIKA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46298</v>
      </c>
      <c r="F543" t="inlineStr">
        <is>
          <t>DALARNAS LÄN</t>
        </is>
      </c>
      <c r="G543" t="inlineStr">
        <is>
          <t>LUDVIKA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46160</v>
      </c>
      <c r="E544" s="1" t="n">
        <v>46298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46298</v>
      </c>
      <c r="F545" t="inlineStr">
        <is>
          <t>DALARNAS LÄN</t>
        </is>
      </c>
      <c r="G545" t="inlineStr">
        <is>
          <t>LUDVIKA</t>
        </is>
      </c>
      <c r="H545" t="inlineStr">
        <is>
          <t>Naturvårdsverket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46298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46298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46298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9.9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46298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46298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55633-2021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44476</v>
      </c>
      <c r="E551" s="1" t="n">
        <v>46298</v>
      </c>
      <c r="F551" t="inlineStr">
        <is>
          <t>DALARNAS LÄN</t>
        </is>
      </c>
      <c r="G551" t="inlineStr">
        <is>
          <t>LUDVIKA</t>
        </is>
      </c>
      <c r="H551" t="inlineStr">
        <is>
          <t>Övriga Aktiebolag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70046-2021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44533</v>
      </c>
      <c r="E552" s="1" t="n">
        <v>46298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43704-2024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45569</v>
      </c>
      <c r="E553" s="1" t="n">
        <v>46298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17998-2025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46298</v>
      </c>
      <c r="F554" t="inlineStr">
        <is>
          <t>DALARNAS LÄN</t>
        </is>
      </c>
      <c r="G554" t="inlineStr">
        <is>
          <t>LUDVIKA</t>
        </is>
      </c>
      <c r="H554" t="inlineStr">
        <is>
          <t>Naturvårdsverket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30123-2023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45110</v>
      </c>
      <c r="E555" s="1" t="n">
        <v>46298</v>
      </c>
      <c r="F555" t="inlineStr">
        <is>
          <t>DALARNAS LÄN</t>
        </is>
      </c>
      <c r="G555" t="inlineStr">
        <is>
          <t>LUDVIKA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46298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46298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46298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46298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46298</v>
      </c>
      <c r="F560" t="inlineStr">
        <is>
          <t>DALARNAS LÄN</t>
        </is>
      </c>
      <c r="G560" t="inlineStr">
        <is>
          <t>LUDVIKA</t>
        </is>
      </c>
      <c r="H560" t="inlineStr">
        <is>
          <t>Naturvårdsverket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46298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46298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46298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32119-2023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46298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34845-2024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45526</v>
      </c>
      <c r="E565" s="1" t="n">
        <v>46298</v>
      </c>
      <c r="F565" t="inlineStr">
        <is>
          <t>DALARNAS LÄN</t>
        </is>
      </c>
      <c r="G565" t="inlineStr">
        <is>
          <t>LUDVIKA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44730</v>
      </c>
      <c r="E566" s="1" t="n">
        <v>46298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46298</v>
      </c>
      <c r="F567" t="inlineStr">
        <is>
          <t>DALARNAS LÄN</t>
        </is>
      </c>
      <c r="G567" t="inlineStr">
        <is>
          <t>LUDVIKA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28062-2026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46195</v>
      </c>
      <c r="E568" s="1" t="n">
        <v>46298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46298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45373</v>
      </c>
      <c r="E570" s="1" t="n">
        <v>46298</v>
      </c>
      <c r="F570" t="inlineStr">
        <is>
          <t>DALARNAS LÄN</t>
        </is>
      </c>
      <c r="G570" t="inlineStr">
        <is>
          <t>LUDVIKA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45243</v>
      </c>
      <c r="E571" s="1" t="n">
        <v>46298</v>
      </c>
      <c r="F571" t="inlineStr">
        <is>
          <t>DALARNAS LÄN</t>
        </is>
      </c>
      <c r="G571" t="inlineStr">
        <is>
          <t>LUDVIKA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46298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32305-2024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45512</v>
      </c>
      <c r="E573" s="1" t="n">
        <v>46298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46298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45685</v>
      </c>
      <c r="E575" s="1" t="n">
        <v>46298</v>
      </c>
      <c r="F575" t="inlineStr">
        <is>
          <t>DALARNAS LÄN</t>
        </is>
      </c>
      <c r="G575" t="inlineStr">
        <is>
          <t>LUDVIKA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46298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46298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46298</v>
      </c>
      <c r="F578" t="inlineStr">
        <is>
          <t>DALARNAS LÄN</t>
        </is>
      </c>
      <c r="G578" t="inlineStr">
        <is>
          <t>LUDVIKA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27989-2026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46298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46298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46298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46298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44915</v>
      </c>
      <c r="E585" s="1" t="n">
        <v>46298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45485</v>
      </c>
      <c r="E587" s="1" t="n">
        <v>46298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46298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46298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46298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46298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60788-2024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46298</v>
      </c>
      <c r="F592" t="inlineStr">
        <is>
          <t>DALARNAS LÄN</t>
        </is>
      </c>
      <c r="G592" t="inlineStr">
        <is>
          <t>LUDVIKA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46298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46298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31227-2026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46217</v>
      </c>
      <c r="E595" s="1" t="n">
        <v>46298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46298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46298</v>
      </c>
      <c r="F598" t="inlineStr">
        <is>
          <t>DALARNAS LÄN</t>
        </is>
      </c>
      <c r="G598" t="inlineStr">
        <is>
          <t>LUDVIKA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46298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46298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46298</v>
      </c>
      <c r="F601" t="inlineStr">
        <is>
          <t>DALARNAS LÄN</t>
        </is>
      </c>
      <c r="G601" t="inlineStr">
        <is>
          <t>LUDVIKA</t>
        </is>
      </c>
      <c r="H601" t="inlineStr">
        <is>
          <t>Kyrkan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55034-2024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45621</v>
      </c>
      <c r="E602" s="1" t="n">
        <v>46298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44942</v>
      </c>
      <c r="E603" s="1" t="n">
        <v>46298</v>
      </c>
      <c r="F603" t="inlineStr">
        <is>
          <t>DALARNAS LÄN</t>
        </is>
      </c>
      <c r="G603" t="inlineStr">
        <is>
          <t>LUDVIKA</t>
        </is>
      </c>
      <c r="I603" t="n">
        <v>13.1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46262</v>
      </c>
      <c r="E604" s="1" t="n">
        <v>46298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46298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46220</v>
      </c>
      <c r="E606" s="1" t="n">
        <v>46298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46298</v>
      </c>
      <c r="F607" t="inlineStr">
        <is>
          <t>DALARNAS LÄN</t>
        </is>
      </c>
      <c r="G607" t="inlineStr">
        <is>
          <t>LUDVIKA</t>
        </is>
      </c>
      <c r="I607" t="n">
        <v>8.5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46225</v>
      </c>
      <c r="E608" s="1" t="n">
        <v>46298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37015-2026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46273</v>
      </c>
      <c r="E609" s="1" t="n">
        <v>46298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46298</v>
      </c>
      <c r="F610" t="inlineStr">
        <is>
          <t>DALARNAS LÄN</t>
        </is>
      </c>
      <c r="G610" t="inlineStr">
        <is>
          <t>LUDVIKA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46298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46298</v>
      </c>
      <c r="F612" t="inlineStr">
        <is>
          <t>DALARNAS LÄN</t>
        </is>
      </c>
      <c r="G612" t="inlineStr">
        <is>
          <t>LUDVIKA</t>
        </is>
      </c>
      <c r="I612" t="n">
        <v>8.5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37000-2026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46298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46230</v>
      </c>
      <c r="E614" s="1" t="n">
        <v>46298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46298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46298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46275</v>
      </c>
      <c r="E617" s="1" t="n">
        <v>46298</v>
      </c>
      <c r="F617" t="inlineStr">
        <is>
          <t>DALARNAS LÄN</t>
        </is>
      </c>
      <c r="G617" t="inlineStr">
        <is>
          <t>LUDVIKA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46298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46298</v>
      </c>
      <c r="F619" t="inlineStr">
        <is>
          <t>DALARNAS LÄN</t>
        </is>
      </c>
      <c r="G619" t="inlineStr">
        <is>
          <t>LUDVIKA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46298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46298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46298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46276</v>
      </c>
      <c r="E623" s="1" t="n">
        <v>46298</v>
      </c>
      <c r="F623" t="inlineStr">
        <is>
          <t>DALARNAS LÄN</t>
        </is>
      </c>
      <c r="G623" t="inlineStr">
        <is>
          <t>LUDVIKA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46298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36073-2026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46298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44599</v>
      </c>
      <c r="E626" s="1" t="n">
        <v>46298</v>
      </c>
      <c r="F626" t="inlineStr">
        <is>
          <t>DALARNAS LÄN</t>
        </is>
      </c>
      <c r="G626" t="inlineStr">
        <is>
          <t>LUDVIKA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36126-2026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46267</v>
      </c>
      <c r="E627" s="1" t="n">
        <v>46298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46280</v>
      </c>
      <c r="E628" s="1" t="n">
        <v>46298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46298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46280</v>
      </c>
      <c r="E630" s="1" t="n">
        <v>46298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56818-2023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46298</v>
      </c>
      <c r="F631" t="inlineStr">
        <is>
          <t>DALARNAS LÄN</t>
        </is>
      </c>
      <c r="G631" t="inlineStr">
        <is>
          <t>LUDVIKA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44970</v>
      </c>
      <c r="E632" s="1" t="n">
        <v>46298</v>
      </c>
      <c r="F632" t="inlineStr">
        <is>
          <t>DALARNAS LÄN</t>
        </is>
      </c>
      <c r="G632" t="inlineStr">
        <is>
          <t>LUDVIKA</t>
        </is>
      </c>
      <c r="H632" t="inlineStr">
        <is>
          <t>Övriga Aktiebolag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46656-2023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46298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46298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46298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53620-2022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44879</v>
      </c>
      <c r="E636" s="1" t="n">
        <v>46298</v>
      </c>
      <c r="F636" t="inlineStr">
        <is>
          <t>DALARNAS LÄN</t>
        </is>
      </c>
      <c r="G636" t="inlineStr">
        <is>
          <t>LUDVIKA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46298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46298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38357-2026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46298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46298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46298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39093-2026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46287</v>
      </c>
      <c r="E642" s="1" t="n">
        <v>46298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39761-2022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44819</v>
      </c>
      <c r="E643" s="1" t="n">
        <v>46298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46298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46241</v>
      </c>
      <c r="E645" s="1" t="n">
        <v>46298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46241</v>
      </c>
      <c r="E646" s="1" t="n">
        <v>46298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46298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46298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46298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15851-2024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45404</v>
      </c>
      <c r="E650" s="1" t="n">
        <v>46298</v>
      </c>
      <c r="F650" t="inlineStr">
        <is>
          <t>DALARNAS LÄN</t>
        </is>
      </c>
      <c r="G650" t="inlineStr">
        <is>
          <t>LUDVIKA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46298</v>
      </c>
      <c r="F651" t="inlineStr">
        <is>
          <t>DALARNAS LÄN</t>
        </is>
      </c>
      <c r="G651" t="inlineStr">
        <is>
          <t>LUDVIKA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41400-2022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44826</v>
      </c>
      <c r="E652" s="1" t="n">
        <v>46298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46286</v>
      </c>
      <c r="E653" s="1" t="n">
        <v>46298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46290</v>
      </c>
      <c r="E654" s="1" t="n">
        <v>46298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48774-2024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45593</v>
      </c>
      <c r="E655" s="1" t="n">
        <v>46298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46298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46298</v>
      </c>
      <c r="F657" t="inlineStr">
        <is>
          <t>DALARNAS LÄN</t>
        </is>
      </c>
      <c r="G657" t="inlineStr">
        <is>
          <t>LUDVIKA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46298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46298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46298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46298</v>
      </c>
      <c r="F661" t="inlineStr">
        <is>
          <t>DALARNAS LÄN</t>
        </is>
      </c>
      <c r="G661" t="inlineStr">
        <is>
          <t>LUDVIKA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46298</v>
      </c>
      <c r="F662" t="inlineStr">
        <is>
          <t>DALARNAS LÄN</t>
        </is>
      </c>
      <c r="G662" t="inlineStr">
        <is>
          <t>LUDVIKA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46298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11436-2024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45372</v>
      </c>
      <c r="E665" s="1" t="n">
        <v>46298</v>
      </c>
      <c r="F665" t="inlineStr">
        <is>
          <t>DALARNAS LÄN</t>
        </is>
      </c>
      <c r="G665" t="inlineStr">
        <is>
          <t>LUDVIKA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46298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46298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40392-2026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46294</v>
      </c>
      <c r="E668" s="1" t="n">
        <v>46298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44820</v>
      </c>
      <c r="E669" s="1" t="n">
        <v>46298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40151-2022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44820</v>
      </c>
      <c r="E670" s="1" t="n">
        <v>46298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21741-2022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44708</v>
      </c>
      <c r="E671" s="1" t="n">
        <v>46298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46294</v>
      </c>
      <c r="E672" s="1" t="n">
        <v>46298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46294</v>
      </c>
      <c r="E673" s="1" t="n">
        <v>46298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51015-2023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45218</v>
      </c>
      <c r="E674" s="1" t="n">
        <v>46298</v>
      </c>
      <c r="F674" t="inlineStr">
        <is>
          <t>DALARNAS LÄN</t>
        </is>
      </c>
      <c r="G674" t="inlineStr">
        <is>
          <t>LUDVIKA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46298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46294</v>
      </c>
      <c r="E676" s="1" t="n">
        <v>46298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46298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46298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46298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45243</v>
      </c>
      <c r="E680" s="1" t="n">
        <v>46298</v>
      </c>
      <c r="F680" t="inlineStr">
        <is>
          <t>DALARNAS LÄN</t>
        </is>
      </c>
      <c r="G680" t="inlineStr">
        <is>
          <t>LUDVIKA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45560</v>
      </c>
      <c r="E681" s="1" t="n">
        <v>46298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45519</v>
      </c>
      <c r="E682" s="1" t="n">
        <v>46298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46298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22555-2023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45071</v>
      </c>
      <c r="E684" s="1" t="n">
        <v>46298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17913-2026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46298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46298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3280-2024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45317</v>
      </c>
      <c r="E687" s="1" t="n">
        <v>46298</v>
      </c>
      <c r="F687" t="inlineStr">
        <is>
          <t>DALARNAS LÄN</t>
        </is>
      </c>
      <c r="G687" t="inlineStr">
        <is>
          <t>LUDVIKA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3470-2025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45680</v>
      </c>
      <c r="E688" s="1" t="n">
        <v>46298</v>
      </c>
      <c r="F688" t="inlineStr">
        <is>
          <t>DALARNAS LÄN</t>
        </is>
      </c>
      <c r="G688" t="inlineStr">
        <is>
          <t>LUDVIKA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46298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45205</v>
      </c>
      <c r="E690" s="1" t="n">
        <v>46298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46298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34632-2026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46298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2838-2022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44581</v>
      </c>
      <c r="E693" s="1" t="n">
        <v>46298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46298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40125-2024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45554</v>
      </c>
      <c r="E695" s="1" t="n">
        <v>46298</v>
      </c>
      <c r="F695" t="inlineStr">
        <is>
          <t>DALARNAS LÄN</t>
        </is>
      </c>
      <c r="G695" t="inlineStr">
        <is>
          <t>LUDVIKA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59206-2023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45253</v>
      </c>
      <c r="E696" s="1" t="n">
        <v>46298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43839-2023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46298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45110</v>
      </c>
      <c r="E698" s="1" t="n">
        <v>46298</v>
      </c>
      <c r="F698" t="inlineStr">
        <is>
          <t>DALARNAS LÄN</t>
        </is>
      </c>
      <c r="G698" t="inlineStr">
        <is>
          <t>LUDVIKA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44729</v>
      </c>
      <c r="E699" s="1" t="n">
        <v>46298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44960</v>
      </c>
      <c r="E700" s="1" t="n">
        <v>46298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44967</v>
      </c>
      <c r="E701" s="1" t="n">
        <v>46298</v>
      </c>
      <c r="F701" t="inlineStr">
        <is>
          <t>DALARNAS LÄN</t>
        </is>
      </c>
      <c r="G701" t="inlineStr">
        <is>
          <t>LUDVIKA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45258</v>
      </c>
      <c r="E702" s="1" t="n">
        <v>46298</v>
      </c>
      <c r="F702" t="inlineStr">
        <is>
          <t>DALARNAS LÄN</t>
        </is>
      </c>
      <c r="G702" t="inlineStr">
        <is>
          <t>LUDVIKA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37586-2024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45541</v>
      </c>
      <c r="E703" s="1" t="n">
        <v>46298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55551-2024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46298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30844-2024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45497</v>
      </c>
      <c r="E705" s="1" t="n">
        <v>46298</v>
      </c>
      <c r="F705" t="inlineStr">
        <is>
          <t>DALARNAS LÄN</t>
        </is>
      </c>
      <c r="G705" t="inlineStr">
        <is>
          <t>LUDVIKA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20411-2023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46298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45638</v>
      </c>
      <c r="E707" s="1" t="n">
        <v>46298</v>
      </c>
      <c r="F707" t="inlineStr">
        <is>
          <t>DALARNAS LÄN</t>
        </is>
      </c>
      <c r="G707" t="inlineStr">
        <is>
          <t>LUDVIKA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50777-2024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45602</v>
      </c>
      <c r="E708" s="1" t="n">
        <v>46298</v>
      </c>
      <c r="F708" t="inlineStr">
        <is>
          <t>DALARNAS LÄN</t>
        </is>
      </c>
      <c r="G708" t="inlineStr">
        <is>
          <t>LUDVIKA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41668-2023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45176</v>
      </c>
      <c r="E709" s="1" t="n">
        <v>46298</v>
      </c>
      <c r="F709" t="inlineStr">
        <is>
          <t>DALARNAS LÄN</t>
        </is>
      </c>
      <c r="G709" t="inlineStr">
        <is>
          <t>LUDVIKA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55462-2024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45622</v>
      </c>
      <c r="E710" s="1" t="n">
        <v>46298</v>
      </c>
      <c r="F710" t="inlineStr">
        <is>
          <t>DALARNAS LÄN</t>
        </is>
      </c>
      <c r="G710" t="inlineStr">
        <is>
          <t>LUDVIKA</t>
        </is>
      </c>
      <c r="H710" t="inlineStr">
        <is>
          <t>Naturvårdsverket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55474-2024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45622</v>
      </c>
      <c r="E711" s="1" t="n">
        <v>46298</v>
      </c>
      <c r="F711" t="inlineStr">
        <is>
          <t>DALARNAS LÄN</t>
        </is>
      </c>
      <c r="G711" t="inlineStr">
        <is>
          <t>LUDVIKA</t>
        </is>
      </c>
      <c r="H711" t="inlineStr">
        <is>
          <t>Naturvårdsverket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55510-2024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46298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45687</v>
      </c>
      <c r="E713" s="1" t="n">
        <v>46298</v>
      </c>
      <c r="F713" t="inlineStr">
        <is>
          <t>DALARNAS LÄN</t>
        </is>
      </c>
      <c r="G713" t="inlineStr">
        <is>
          <t>LUDVIKA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45762</v>
      </c>
      <c r="E714" s="1" t="n">
        <v>46298</v>
      </c>
      <c r="F714" t="inlineStr">
        <is>
          <t>DALARNAS LÄN</t>
        </is>
      </c>
      <c r="G714" t="inlineStr">
        <is>
          <t>LUDVIKA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50714-2024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45602</v>
      </c>
      <c r="E715" s="1" t="n">
        <v>46298</v>
      </c>
      <c r="F715" t="inlineStr">
        <is>
          <t>DALARNAS LÄN</t>
        </is>
      </c>
      <c r="G715" t="inlineStr">
        <is>
          <t>LUDVIKA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38359-2024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45545</v>
      </c>
      <c r="E716" s="1" t="n">
        <v>46298</v>
      </c>
      <c r="F716" t="inlineStr">
        <is>
          <t>DALARNAS LÄN</t>
        </is>
      </c>
      <c r="G716" t="inlineStr">
        <is>
          <t>LUDVIKA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21893-2025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46298</v>
      </c>
      <c r="F717" t="inlineStr">
        <is>
          <t>DALARNAS LÄN</t>
        </is>
      </c>
      <c r="G717" t="inlineStr">
        <is>
          <t>LUDVIKA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45565</v>
      </c>
      <c r="E718" s="1" t="n">
        <v>46298</v>
      </c>
      <c r="F718" t="inlineStr">
        <is>
          <t>DALARNAS LÄN</t>
        </is>
      </c>
      <c r="G718" t="inlineStr">
        <is>
          <t>LUDVIKA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53602-2023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45230</v>
      </c>
      <c r="E719" s="1" t="n">
        <v>46298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52359-2024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45609</v>
      </c>
      <c r="E720" s="1" t="n">
        <v>46298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45784</v>
      </c>
      <c r="E721" s="1" t="n">
        <v>46298</v>
      </c>
      <c r="F721" t="inlineStr">
        <is>
          <t>DALARNAS LÄN</t>
        </is>
      </c>
      <c r="G721" t="inlineStr">
        <is>
          <t>LUDVIKA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33914-2023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45134</v>
      </c>
      <c r="E722" s="1" t="n">
        <v>46298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2837-2023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45167</v>
      </c>
      <c r="E723" s="1" t="n">
        <v>46298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1122-2023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46298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115.7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3660-2023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45216</v>
      </c>
      <c r="E725" s="1" t="n">
        <v>46298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1246-2024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45400</v>
      </c>
      <c r="E726" s="1" t="n">
        <v>46298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35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1096-2024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45391</v>
      </c>
      <c r="E727" s="1" t="n">
        <v>46298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26.7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4863-2022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44805</v>
      </c>
      <c r="E728" s="1" t="n">
        <v>46298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1113-2023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45015</v>
      </c>
      <c r="E729" s="1" t="n">
        <v>46298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>
      <c r="A730" t="inlineStr">
        <is>
          <t>S 1815-2026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46190</v>
      </c>
      <c r="E730" s="1" t="n">
        <v>46298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2026-10-03T02:02:17Z</dcterms:created>
  <dcterms:modified xmlns:dcterms="http://purl.org/dc/terms/" xmlns:xsi="http://www.w3.org/2001/XMLSchema-instance" xsi:type="dcterms:W3CDTF">2026-10-03T02:02:18Z</dcterms:modified>
</cp:coreProperties>
</file>
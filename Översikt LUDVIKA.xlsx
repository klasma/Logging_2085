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46271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46271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46271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46271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46271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46271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46271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46271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46271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46271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46271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46271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46271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46271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46271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46271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46271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46271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46271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46271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46271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46271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46271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46271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46271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46271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46271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46271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46271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46271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46271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46271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46271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46271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46271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46271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46271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46271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46271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46271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46271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46271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46271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46271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46271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46271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46271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46271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46271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46271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46271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46271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46271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46271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46271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46271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46271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46271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46271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46271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42558-2022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46271</v>
      </c>
      <c r="F85" t="inlineStr">
        <is>
          <t>DALARNAS LÄN</t>
        </is>
      </c>
      <c r="G85" t="inlineStr">
        <is>
          <t>LUDVIKA</t>
        </is>
      </c>
      <c r="H85" t="inlineStr">
        <is>
          <t>Naturvårdsverket</t>
        </is>
      </c>
      <c r="I85" t="n">
        <v>4.9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Gräddporing
Lopplummer (aggregat)</t>
        </is>
      </c>
      <c r="W85">
        <f>HYPERLINK("https://klasma.github.io/Logging_2085/artfynd/A 42558-2022 artfynd.xlsx", "A 42558-2022")</f>
        <v/>
      </c>
      <c r="X85">
        <f>HYPERLINK("https://klasma.github.io/Logging_2085/kartor/A 42558-2022 karta.png", "A 42558-2022")</f>
        <v/>
      </c>
      <c r="Y85">
        <f>HYPERLINK("https://klasma.github.io/Logging_2085/kartor_geotiff/A 42558-2022 georefererad karta.tif", "A 42558-2022")</f>
        <v/>
      </c>
      <c r="AA85">
        <f>HYPERLINK("https://klasma.github.io/Logging_2085/klagomål/A 42558-2022 FSC-klagomål.docx", "A 42558-2022")</f>
        <v/>
      </c>
      <c r="AB85">
        <f>HYPERLINK("https://klasma.github.io/Logging_2085/klagomålsmail/A 42558-2022 FSC-klagomål mail.docx", "A 42558-2022")</f>
        <v/>
      </c>
      <c r="AC85">
        <f>HYPERLINK("https://klasma.github.io/Logging_2085/tillsyn/A 42558-2022 tillsynsbegäran.docx", "A 42558-2022")</f>
        <v/>
      </c>
      <c r="AD85">
        <f>HYPERLINK("https://klasma.github.io/Logging_2085/tillsynsmail/A 42558-2022 tillsynsbegäran mail.docx", "A 42558-2022")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46271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46271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46271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46271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46271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46271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46271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46271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46271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46271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46271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46271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46271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1237-2026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46271</v>
      </c>
      <c r="F100" t="inlineStr">
        <is>
          <t>DALARNAS LÄN</t>
        </is>
      </c>
      <c r="G100" t="inlineStr">
        <is>
          <t>LUDVIKA</t>
        </is>
      </c>
      <c r="I100" t="n">
        <v>5.9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Fläcknycklar</t>
        </is>
      </c>
      <c r="W100">
        <f>HYPERLINK("https://klasma.github.io/Logging_2085/artfynd/A 1237-2026 artfynd.xlsx", "A 1237-2026")</f>
        <v/>
      </c>
      <c r="X100">
        <f>HYPERLINK("https://klasma.github.io/Logging_2085/kartor/A 1237-2026 karta.png", "A 1237-2026")</f>
        <v/>
      </c>
      <c r="Y100">
        <f>HYPERLINK("https://klasma.github.io/Logging_2085/kartor_geotiff/A 1237-2026 georefererad karta.tif", "A 1237-2026")</f>
        <v/>
      </c>
      <c r="AA100">
        <f>HYPERLINK("https://klasma.github.io/Logging_2085/klagomål/A 1237-2026 FSC-klagomål.docx", "A 1237-2026")</f>
        <v/>
      </c>
      <c r="AB100">
        <f>HYPERLINK("https://klasma.github.io/Logging_2085/klagomålsmail/A 1237-2026 FSC-klagomål mail.docx", "A 1237-2026")</f>
        <v/>
      </c>
      <c r="AC100">
        <f>HYPERLINK("https://klasma.github.io/Logging_2085/tillsyn/A 1237-2026 tillsynsbegäran.docx", "A 1237-2026")</f>
        <v/>
      </c>
      <c r="AD100">
        <f>HYPERLINK("https://klasma.github.io/Logging_2085/tillsynsmail/A 1237-2026 tillsynsbegäran mail.docx", "A 1237-2026")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46271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46271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46271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Stuplav</t>
        </is>
      </c>
      <c r="W103">
        <f>HYPERLINK("https://klasma.github.io/Logging_2085/artfynd/A 29733-2025 artfynd.xlsx", "A 29733-2025")</f>
        <v/>
      </c>
      <c r="X103">
        <f>HYPERLINK("https://klasma.github.io/Logging_2085/kartor/A 29733-2025 karta.png", "A 29733-2025")</f>
        <v/>
      </c>
      <c r="Y103">
        <f>HYPERLINK("https://klasma.github.io/Logging_2085/kartor_geotiff/A 29733-2025 georefererad karta.tif", "A 29733-2025")</f>
        <v/>
      </c>
      <c r="AA103">
        <f>HYPERLINK("https://klasma.github.io/Logging_2085/klagomål/A 29733-2025 FSC-klagomål.docx", "A 29733-2025")</f>
        <v/>
      </c>
      <c r="AB103">
        <f>HYPERLINK("https://klasma.github.io/Logging_2085/klagomålsmail/A 29733-2025 FSC-klagomål mail.docx", "A 29733-2025")</f>
        <v/>
      </c>
      <c r="AC103">
        <f>HYPERLINK("https://klasma.github.io/Logging_2085/tillsyn/A 29733-2025 tillsynsbegäran.docx", "A 29733-2025")</f>
        <v/>
      </c>
      <c r="AD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3687-2024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46271</v>
      </c>
      <c r="F104" t="inlineStr">
        <is>
          <t>DALARNAS LÄN</t>
        </is>
      </c>
      <c r="G104" t="inlineStr">
        <is>
          <t>LUDVIKA</t>
        </is>
      </c>
      <c r="I104" t="n">
        <v>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3687-2024 artfynd.xlsx", "A 3687-2024")</f>
        <v/>
      </c>
      <c r="X104">
        <f>HYPERLINK("https://klasma.github.io/Logging_2085/kartor/A 3687-2024 karta.png", "A 3687-2024")</f>
        <v/>
      </c>
      <c r="Y104">
        <f>HYPERLINK("https://klasma.github.io/Logging_2085/kartor_geotiff/A 3687-2024 georefererad karta.tif", "A 3687-2024")</f>
        <v/>
      </c>
      <c r="AA104">
        <f>HYPERLINK("https://klasma.github.io/Logging_2085/klagomål/A 3687-2024 FSC-klagomål.docx", "A 3687-2024")</f>
        <v/>
      </c>
      <c r="AB104">
        <f>HYPERLINK("https://klasma.github.io/Logging_2085/klagomålsmail/A 3687-2024 FSC-klagomål mail.docx", "A 3687-2024")</f>
        <v/>
      </c>
      <c r="AC104">
        <f>HYPERLINK("https://klasma.github.io/Logging_2085/tillsyn/A 3687-2024 tillsynsbegäran.docx", "A 3687-2024")</f>
        <v/>
      </c>
      <c r="AD104">
        <f>HYPERLINK("https://klasma.github.io/Logging_2085/tillsynsmail/A 3687-2024 tillsynsbegäran mail.docx", "A 3687-2024")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46271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59947-2025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46271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HYPERLINK("https://klasma.github.io/Logging_2085/artfynd/A 59947-2025 artfynd.xlsx", "A 59947-2025")</f>
        <v/>
      </c>
      <c r="X106">
        <f>HYPERLINK("https://klasma.github.io/Logging_2085/kartor/A 59947-2025 karta.png", "A 59947-2025")</f>
        <v/>
      </c>
      <c r="Y106">
        <f>HYPERLINK("https://klasma.github.io/Logging_2085/kartor_geotiff/A 59947-2025 georefererad karta.tif", "A 59947-2025")</f>
        <v/>
      </c>
      <c r="AA106">
        <f>HYPERLINK("https://klasma.github.io/Logging_2085/klagomål/A 59947-2025 FSC-klagomål.docx", "A 59947-2025")</f>
        <v/>
      </c>
      <c r="AB106">
        <f>HYPERLINK("https://klasma.github.io/Logging_2085/klagomålsmail/A 59947-2025 FSC-klagomål mail.docx", "A 59947-2025")</f>
        <v/>
      </c>
      <c r="AC106">
        <f>HYPERLINK("https://klasma.github.io/Logging_2085/tillsyn/A 59947-2025 tillsynsbegäran.docx", "A 59947-2025")</f>
        <v/>
      </c>
      <c r="AD106">
        <f>HYPERLINK("https://klasma.github.io/Logging_2085/tillsynsmail/A 59947-2025 tillsynsbegäran mail.docx", "A 59947-2025")</f>
        <v/>
      </c>
      <c r="AE106">
        <f>HYPERLINK("https://klasma.github.io/Logging_2085/fåglar/A 59947-2025 prioriterade fågelarter.docx", "A 59947-2025")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46271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46271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46271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46271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HYPERLINK("https://klasma.github.io/Logging_2085/artfynd/A 62275-2022 artfynd.xlsx", "A 62275-2022")</f>
        <v/>
      </c>
      <c r="X110">
        <f>HYPERLINK("https://klasma.github.io/Logging_2085/kartor/A 62275-2022 karta.png", "A 62275-2022")</f>
        <v/>
      </c>
      <c r="Y110">
        <f>HYPERLINK("https://klasma.github.io/Logging_2085/kartor_geotiff/A 62275-2022 georefererad karta.tif", "A 62275-2022")</f>
        <v/>
      </c>
      <c r="Z110">
        <f>HYPERLINK("https://klasma.github.io/Logging_2085/knärot/A 62275-2022 karta knärot.png", "A 62275-2022")</f>
        <v/>
      </c>
      <c r="AA110">
        <f>HYPERLINK("https://klasma.github.io/Logging_2085/klagomål/A 62275-2022 FSC-klagomål.docx", "A 62275-2022")</f>
        <v/>
      </c>
      <c r="AB110">
        <f>HYPERLINK("https://klasma.github.io/Logging_2085/klagomålsmail/A 62275-2022 FSC-klagomål mail.docx", "A 62275-2022")</f>
        <v/>
      </c>
      <c r="AC110">
        <f>HYPERLINK("https://klasma.github.io/Logging_2085/tillsyn/A 62275-2022 tillsynsbegäran.docx", "A 62275-2022")</f>
        <v/>
      </c>
      <c r="AD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46271</v>
      </c>
      <c r="F111" t="inlineStr">
        <is>
          <t>DALARNAS LÄN</t>
        </is>
      </c>
      <c r="G111" t="inlineStr">
        <is>
          <t>LUDVIKA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HYPERLINK("https://klasma.github.io/Logging_2085/artfynd/A 25588-2023 artfynd.xlsx", "A 25588-2023")</f>
        <v/>
      </c>
      <c r="X111">
        <f>HYPERLINK("https://klasma.github.io/Logging_2085/kartor/A 25588-2023 karta.png", "A 25588-2023")</f>
        <v/>
      </c>
      <c r="Y111">
        <f>HYPERLINK("https://klasma.github.io/Logging_2085/kartor_geotiff/A 25588-2023 georefererad karta.tif", "A 25588-2023")</f>
        <v/>
      </c>
      <c r="AA111">
        <f>HYPERLINK("https://klasma.github.io/Logging_2085/klagomål/A 25588-2023 FSC-klagomål.docx", "A 25588-2023")</f>
        <v/>
      </c>
      <c r="AB111">
        <f>HYPERLINK("https://klasma.github.io/Logging_2085/klagomålsmail/A 25588-2023 FSC-klagomål mail.docx", "A 25588-2023")</f>
        <v/>
      </c>
      <c r="AC111">
        <f>HYPERLINK("https://klasma.github.io/Logging_2085/tillsyn/A 25588-2023 tillsynsbegäran.docx", "A 25588-2023")</f>
        <v/>
      </c>
      <c r="AD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46271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62676-2025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46271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HYPERLINK("https://klasma.github.io/Logging_2085/artfynd/A 62676-2025 artfynd.xlsx", "A 62676-2025")</f>
        <v/>
      </c>
      <c r="X113">
        <f>HYPERLINK("https://klasma.github.io/Logging_2085/kartor/A 62676-2025 karta.png", "A 62676-2025")</f>
        <v/>
      </c>
      <c r="Y113">
        <f>HYPERLINK("https://klasma.github.io/Logging_2085/kartor_geotiff/A 62676-2025 georefererad karta.tif", "A 62676-2025")</f>
        <v/>
      </c>
      <c r="AA113">
        <f>HYPERLINK("https://klasma.github.io/Logging_2085/klagomål/A 62676-2025 FSC-klagomål.docx", "A 62676-2025")</f>
        <v/>
      </c>
      <c r="AB113">
        <f>HYPERLINK("https://klasma.github.io/Logging_2085/klagomålsmail/A 62676-2025 FSC-klagomål mail.docx", "A 62676-2025")</f>
        <v/>
      </c>
      <c r="AC113">
        <f>HYPERLINK("https://klasma.github.io/Logging_2085/tillsyn/A 62676-2025 tillsynsbegäran.docx", "A 62676-2025")</f>
        <v/>
      </c>
      <c r="AD113">
        <f>HYPERLINK("https://klasma.github.io/Logging_2085/tillsynsmail/A 62676-2025 tillsynsbegäran mail.docx", "A 62676-2025")</f>
        <v/>
      </c>
    </row>
    <row r="114" ht="15" customHeight="1">
      <c r="A114" t="inlineStr">
        <is>
          <t>A 17987-2025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46271</v>
      </c>
      <c r="F114" t="inlineStr">
        <is>
          <t>DALARNAS LÄN</t>
        </is>
      </c>
      <c r="G114" t="inlineStr">
        <is>
          <t>LUDVIKA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HYPERLINK("https://klasma.github.io/Logging_2085/artfynd/A 17987-2025 artfynd.xlsx", "A 17987-2025")</f>
        <v/>
      </c>
      <c r="X114">
        <f>HYPERLINK("https://klasma.github.io/Logging_2085/kartor/A 17987-2025 karta.png", "A 17987-2025")</f>
        <v/>
      </c>
      <c r="Y114">
        <f>HYPERLINK("https://klasma.github.io/Logging_2085/kartor_geotiff/A 17987-2025 georefererad karta.tif", "A 17987-2025")</f>
        <v/>
      </c>
      <c r="AA114">
        <f>HYPERLINK("https://klasma.github.io/Logging_2085/klagomål/A 17987-2025 FSC-klagomål.docx", "A 17987-2025")</f>
        <v/>
      </c>
      <c r="AB114">
        <f>HYPERLINK("https://klasma.github.io/Logging_2085/klagomålsmail/A 17987-2025 FSC-klagomål mail.docx", "A 17987-2025")</f>
        <v/>
      </c>
      <c r="AC114">
        <f>HYPERLINK("https://klasma.github.io/Logging_2085/tillsyn/A 17987-2025 tillsynsbegäran.docx", "A 17987-2025")</f>
        <v/>
      </c>
      <c r="AD114">
        <f>HYPERLINK("https://klasma.github.io/Logging_2085/tillsynsmail/A 17987-2025 tillsynsbegäran mail.docx", "A 17987-2025")</f>
        <v/>
      </c>
      <c r="AE114">
        <f>HYPERLINK("https://klasma.github.io/Logging_2085/fåglar/A 17987-2025 prioriterade fågelarter.docx", "A 17987-2025")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46271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46271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46271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46271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21880-2026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46271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3.2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21880-2026 artfynd.xlsx", "A 21880-2026")</f>
        <v/>
      </c>
      <c r="X119">
        <f>HYPERLINK("https://klasma.github.io/Logging_2085/kartor/A 21880-2026 karta.png", "A 21880-2026")</f>
        <v/>
      </c>
      <c r="Y119">
        <f>HYPERLINK("https://klasma.github.io/Logging_2085/kartor_geotiff/A 21880-2026 georefererad karta.tif", "A 21880-2026")</f>
        <v/>
      </c>
      <c r="AA119">
        <f>HYPERLINK("https://klasma.github.io/Logging_2085/klagomål/A 21880-2026 FSC-klagomål.docx", "A 21880-2026")</f>
        <v/>
      </c>
      <c r="AB119">
        <f>HYPERLINK("https://klasma.github.io/Logging_2085/klagomålsmail/A 21880-2026 FSC-klagomål mail.docx", "A 21880-2026")</f>
        <v/>
      </c>
      <c r="AC119">
        <f>HYPERLINK("https://klasma.github.io/Logging_2085/tillsyn/A 21880-2026 tillsynsbegäran.docx", "A 21880-2026")</f>
        <v/>
      </c>
      <c r="AD119">
        <f>HYPERLINK("https://klasma.github.io/Logging_2085/tillsynsmail/A 21880-2026 tillsynsbegäran mail.docx", "A 21880-2026")</f>
        <v/>
      </c>
      <c r="AE119">
        <f>HYPERLINK("https://klasma.github.io/Logging_2085/fåglar/A 21880-2026 prioriterade fågelarter.docx", "A 21880-2026")</f>
        <v/>
      </c>
    </row>
    <row r="120" ht="15" customHeight="1">
      <c r="A120" t="inlineStr">
        <is>
          <t>A 12093-2023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46271</v>
      </c>
      <c r="F120" t="inlineStr">
        <is>
          <t>DALARNAS LÄN</t>
        </is>
      </c>
      <c r="G120" t="inlineStr">
        <is>
          <t>LUDVIKA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Bitter taggsvamp</t>
        </is>
      </c>
      <c r="W120">
        <f>HYPERLINK("https://klasma.github.io/Logging_2085/artfynd/A 12093-2023 artfynd.xlsx", "A 12093-2023")</f>
        <v/>
      </c>
      <c r="X120">
        <f>HYPERLINK("https://klasma.github.io/Logging_2085/kartor/A 12093-2023 karta.png", "A 12093-2023")</f>
        <v/>
      </c>
      <c r="Y120">
        <f>HYPERLINK("https://klasma.github.io/Logging_2085/kartor_geotiff/A 12093-2023 georefererad karta.tif", "A 12093-2023")</f>
        <v/>
      </c>
      <c r="AA120">
        <f>HYPERLINK("https://klasma.github.io/Logging_2085/klagomål/A 12093-2023 FSC-klagomål.docx", "A 12093-2023")</f>
        <v/>
      </c>
      <c r="AB120">
        <f>HYPERLINK("https://klasma.github.io/Logging_2085/klagomålsmail/A 12093-2023 FSC-klagomål mail.docx", "A 12093-2023")</f>
        <v/>
      </c>
      <c r="AC120">
        <f>HYPERLINK("https://klasma.github.io/Logging_2085/tillsyn/A 12093-2023 tillsynsbegäran.docx", "A 12093-2023")</f>
        <v/>
      </c>
      <c r="AD120">
        <f>HYPERLINK("https://klasma.github.io/Logging_2085/tillsynsmail/A 12093-2023 tillsynsbegäran mail.docx", "A 12093-2023")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46271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46271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46271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25159-2026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46175</v>
      </c>
      <c r="E124" s="1" t="n">
        <v>46271</v>
      </c>
      <c r="F124" t="inlineStr">
        <is>
          <t>DALARNAS LÄN</t>
        </is>
      </c>
      <c r="G124" t="inlineStr">
        <is>
          <t>LUDVIKA</t>
        </is>
      </c>
      <c r="I124" t="n">
        <v>2.3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HYPERLINK("https://klasma.github.io/Logging_2085/artfynd/A 25159-2026 artfynd.xlsx", "A 25159-2026")</f>
        <v/>
      </c>
      <c r="X124">
        <f>HYPERLINK("https://klasma.github.io/Logging_2085/kartor/A 25159-2026 karta.png", "A 25159-2026")</f>
        <v/>
      </c>
      <c r="Y124">
        <f>HYPERLINK("https://klasma.github.io/Logging_2085/kartor_geotiff/A 25159-2026 georefererad karta.tif", "A 25159-2026")</f>
        <v/>
      </c>
      <c r="AA124">
        <f>HYPERLINK("https://klasma.github.io/Logging_2085/klagomål/A 25159-2026 FSC-klagomål.docx", "A 25159-2026")</f>
        <v/>
      </c>
      <c r="AB124">
        <f>HYPERLINK("https://klasma.github.io/Logging_2085/klagomålsmail/A 25159-2026 FSC-klagomål mail.docx", "A 25159-2026")</f>
        <v/>
      </c>
      <c r="AC124">
        <f>HYPERLINK("https://klasma.github.io/Logging_2085/tillsyn/A 25159-2026 tillsynsbegäran.docx", "A 25159-2026")</f>
        <v/>
      </c>
      <c r="AD124">
        <f>HYPERLINK("https://klasma.github.io/Logging_2085/tillsynsmail/A 25159-2026 tillsynsbegäran mail.docx", "A 25159-2026")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46271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46271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46271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46271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29882-2024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45486</v>
      </c>
      <c r="E129" s="1" t="n">
        <v>46271</v>
      </c>
      <c r="F129" t="inlineStr">
        <is>
          <t>DALARNAS LÄN</t>
        </is>
      </c>
      <c r="G129" t="inlineStr">
        <is>
          <t>LUDVIKA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29882-2024 artfynd.xlsx", "A 29882-2024")</f>
        <v/>
      </c>
      <c r="X129">
        <f>HYPERLINK("https://klasma.github.io/Logging_2085/kartor/A 29882-2024 karta.png", "A 29882-2024")</f>
        <v/>
      </c>
      <c r="Y129">
        <f>HYPERLINK("https://klasma.github.io/Logging_2085/kartor_geotiff/A 29882-2024 georefererad karta.tif", "A 29882-2024")</f>
        <v/>
      </c>
      <c r="AA129">
        <f>HYPERLINK("https://klasma.github.io/Logging_2085/klagomål/A 29882-2024 FSC-klagomål.docx", "A 29882-2024")</f>
        <v/>
      </c>
      <c r="AB129">
        <f>HYPERLINK("https://klasma.github.io/Logging_2085/klagomålsmail/A 29882-2024 FSC-klagomål mail.docx", "A 29882-2024")</f>
        <v/>
      </c>
      <c r="AC129">
        <f>HYPERLINK("https://klasma.github.io/Logging_2085/tillsyn/A 29882-2024 tillsynsbegäran.docx", "A 29882-2024")</f>
        <v/>
      </c>
      <c r="AD129">
        <f>HYPERLINK("https://klasma.github.io/Logging_2085/tillsynsmail/A 29882-2024 tillsynsbegäran mail.docx", "A 29882-2024")</f>
        <v/>
      </c>
      <c r="AE129">
        <f>HYPERLINK("https://klasma.github.io/Logging_2085/fåglar/A 29882-2024 prioriterade fågelarter.docx", "A 29882-2024")</f>
        <v/>
      </c>
    </row>
    <row r="130" ht="15" customHeight="1">
      <c r="A130" t="inlineStr">
        <is>
          <t>A 23102-2025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46271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groda</t>
        </is>
      </c>
      <c r="W130">
        <f>HYPERLINK("https://klasma.github.io/Logging_2085/artfynd/A 23102-2025 artfynd.xlsx", "A 23102-2025")</f>
        <v/>
      </c>
      <c r="X130">
        <f>HYPERLINK("https://klasma.github.io/Logging_2085/kartor/A 23102-2025 karta.png", "A 23102-2025")</f>
        <v/>
      </c>
      <c r="Y130">
        <f>HYPERLINK("https://klasma.github.io/Logging_2085/kartor_geotiff/A 23102-2025 georefererad karta.tif", "A 23102-2025")</f>
        <v/>
      </c>
      <c r="AA130">
        <f>HYPERLINK("https://klasma.github.io/Logging_2085/klagomål/A 23102-2025 FSC-klagomål.docx", "A 23102-2025")</f>
        <v/>
      </c>
      <c r="AB130">
        <f>HYPERLINK("https://klasma.github.io/Logging_2085/klagomålsmail/A 23102-2025 FSC-klagomål mail.docx", "A 23102-2025")</f>
        <v/>
      </c>
      <c r="AC130">
        <f>HYPERLINK("https://klasma.github.io/Logging_2085/tillsyn/A 23102-2025 tillsynsbegäran.docx", "A 23102-2025")</f>
        <v/>
      </c>
      <c r="AD130">
        <f>HYPERLINK("https://klasma.github.io/Logging_2085/tillsynsmail/A 23102-2025 tillsynsbegäran mail.docx", "A 23102-2025")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46271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46271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46271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46271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46271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46271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46271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46271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46271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46271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46271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46271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46271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46271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46271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46271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46271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46271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46271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46271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46271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46271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46271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46271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46271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46271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46271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46271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56996-2021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46271</v>
      </c>
      <c r="F159" t="inlineStr">
        <is>
          <t>DALARNAS LÄN</t>
        </is>
      </c>
      <c r="G159" t="inlineStr">
        <is>
          <t>LUDVIKA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46271</v>
      </c>
      <c r="F160" t="inlineStr">
        <is>
          <t>DALARNAS LÄN</t>
        </is>
      </c>
      <c r="G160" t="inlineStr">
        <is>
          <t>LUDVIKA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46271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46271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44841</v>
      </c>
      <c r="E163" s="1" t="n">
        <v>46271</v>
      </c>
      <c r="F163" t="inlineStr">
        <is>
          <t>DALARNAS LÄN</t>
        </is>
      </c>
      <c r="G163" t="inlineStr">
        <is>
          <t>LUDVIKA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46271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46271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46271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46271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46271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46271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46271</v>
      </c>
      <c r="F170" t="inlineStr">
        <is>
          <t>DALARNAS LÄN</t>
        </is>
      </c>
      <c r="G170" t="inlineStr">
        <is>
          <t>LUDVIKA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46271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46271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46271</v>
      </c>
      <c r="F173" t="inlineStr">
        <is>
          <t>DALARNAS LÄN</t>
        </is>
      </c>
      <c r="G173" t="inlineStr">
        <is>
          <t>LUDVIKA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46271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46271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46271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44960</v>
      </c>
      <c r="E177" s="1" t="n">
        <v>46271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46271</v>
      </c>
      <c r="F178" t="inlineStr">
        <is>
          <t>DALARNAS LÄN</t>
        </is>
      </c>
      <c r="G178" t="inlineStr">
        <is>
          <t>LUDVIKA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44730</v>
      </c>
      <c r="E179" s="1" t="n">
        <v>46271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46271</v>
      </c>
      <c r="F180" t="inlineStr">
        <is>
          <t>DALARNAS LÄN</t>
        </is>
      </c>
      <c r="G180" t="inlineStr">
        <is>
          <t>LUDVIKA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31702-2023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45105</v>
      </c>
      <c r="E181" s="1" t="n">
        <v>46271</v>
      </c>
      <c r="F181" t="inlineStr">
        <is>
          <t>DALARNAS LÄN</t>
        </is>
      </c>
      <c r="G181" t="inlineStr">
        <is>
          <t>LUDVIKA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46271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44859</v>
      </c>
      <c r="E183" s="1" t="n">
        <v>46271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46271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46271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46271</v>
      </c>
      <c r="F186" t="inlineStr">
        <is>
          <t>DALARNAS LÄN</t>
        </is>
      </c>
      <c r="G186" t="inlineStr">
        <is>
          <t>LUDVIKA</t>
        </is>
      </c>
      <c r="I186" t="n">
        <v>20.8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30977-2024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45499</v>
      </c>
      <c r="E187" s="1" t="n">
        <v>46271</v>
      </c>
      <c r="F187" t="inlineStr">
        <is>
          <t>DALARNAS LÄN</t>
        </is>
      </c>
      <c r="G187" t="inlineStr">
        <is>
          <t>LUDVIKA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25004-2025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46271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46271</v>
      </c>
      <c r="F189" t="inlineStr">
        <is>
          <t>DALARNAS LÄN</t>
        </is>
      </c>
      <c r="G189" t="inlineStr">
        <is>
          <t>LUDVIKA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46271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46271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46271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46271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45161</v>
      </c>
      <c r="E194" s="1" t="n">
        <v>46271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25235-2025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45800</v>
      </c>
      <c r="E195" s="1" t="n">
        <v>46271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46271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46271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46271</v>
      </c>
      <c r="F198" t="inlineStr">
        <is>
          <t>DALARNAS LÄN</t>
        </is>
      </c>
      <c r="G198" t="inlineStr">
        <is>
          <t>LUDVIKA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46271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26698-2025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46271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26794-2025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45810</v>
      </c>
      <c r="E201" s="1" t="n">
        <v>46271</v>
      </c>
      <c r="F201" t="inlineStr">
        <is>
          <t>DALARNAS LÄN</t>
        </is>
      </c>
      <c r="G201" t="inlineStr">
        <is>
          <t>LUDVIKA</t>
        </is>
      </c>
      <c r="H201" t="inlineStr">
        <is>
          <t>Kommuner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26628-2025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45810</v>
      </c>
      <c r="E202" s="1" t="n">
        <v>46271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46271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46271</v>
      </c>
      <c r="F204" t="inlineStr">
        <is>
          <t>DALARNAS LÄN</t>
        </is>
      </c>
      <c r="G204" t="inlineStr">
        <is>
          <t>LUDVIKA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46271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46271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46271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46271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46271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46271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46271</v>
      </c>
      <c r="F213" t="inlineStr">
        <is>
          <t>DALARNAS LÄN</t>
        </is>
      </c>
      <c r="G213" t="inlineStr">
        <is>
          <t>LUDVIKA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46271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46271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46271</v>
      </c>
      <c r="F216" t="inlineStr">
        <is>
          <t>DALARNAS LÄN</t>
        </is>
      </c>
      <c r="G216" t="inlineStr">
        <is>
          <t>LUDVIKA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46271</v>
      </c>
      <c r="F217" t="inlineStr">
        <is>
          <t>DALARNAS LÄN</t>
        </is>
      </c>
      <c r="G217" t="inlineStr">
        <is>
          <t>LUDVIKA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44978</v>
      </c>
      <c r="E218" s="1" t="n">
        <v>46271</v>
      </c>
      <c r="F218" t="inlineStr">
        <is>
          <t>DALARNAS LÄN</t>
        </is>
      </c>
      <c r="G218" t="inlineStr">
        <is>
          <t>LUDVIKA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46271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41269-2025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46271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46271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46271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46271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46271</v>
      </c>
      <c r="F225" t="inlineStr">
        <is>
          <t>DALARNAS LÄN</t>
        </is>
      </c>
      <c r="G225" t="inlineStr">
        <is>
          <t>LUDVIKA</t>
        </is>
      </c>
      <c r="H225" t="inlineStr">
        <is>
          <t>Naturvårdsverket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46271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46271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46271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46271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46271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46271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46271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46271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46271</v>
      </c>
      <c r="F234" t="inlineStr">
        <is>
          <t>DALARNAS LÄN</t>
        </is>
      </c>
      <c r="G234" t="inlineStr">
        <is>
          <t>LUDVIKA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46271</v>
      </c>
      <c r="F235" t="inlineStr">
        <is>
          <t>DALARNAS LÄN</t>
        </is>
      </c>
      <c r="G235" t="inlineStr">
        <is>
          <t>LUDVIKA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46271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46271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46271</v>
      </c>
      <c r="F238" t="inlineStr">
        <is>
          <t>DALARNAS LÄN</t>
        </is>
      </c>
      <c r="G238" t="inlineStr">
        <is>
          <t>LUDVIKA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46271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46271</v>
      </c>
      <c r="F240" t="inlineStr">
        <is>
          <t>DALARNAS LÄN</t>
        </is>
      </c>
      <c r="G240" t="inlineStr">
        <is>
          <t>LUDVIKA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46271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46271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46271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46271</v>
      </c>
      <c r="F244" t="inlineStr">
        <is>
          <t>DALARNAS LÄN</t>
        </is>
      </c>
      <c r="G244" t="inlineStr">
        <is>
          <t>LUDVIKA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46271</v>
      </c>
      <c r="F245" t="inlineStr">
        <is>
          <t>DALARNAS LÄN</t>
        </is>
      </c>
      <c r="G245" t="inlineStr">
        <is>
          <t>LUDVIKA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46271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46271</v>
      </c>
      <c r="F247" t="inlineStr">
        <is>
          <t>DALARNAS LÄN</t>
        </is>
      </c>
      <c r="G247" t="inlineStr">
        <is>
          <t>LUDVIKA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46271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65195-2021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46271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46271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34067-2025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45845</v>
      </c>
      <c r="E252" s="1" t="n">
        <v>46271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46271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46271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46271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46271</v>
      </c>
      <c r="F256" t="inlineStr">
        <is>
          <t>DALARNAS LÄN</t>
        </is>
      </c>
      <c r="G256" t="inlineStr">
        <is>
          <t>LUDVIKA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46271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46271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46271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46271</v>
      </c>
      <c r="F260" t="inlineStr">
        <is>
          <t>DALARNAS LÄN</t>
        </is>
      </c>
      <c r="G260" t="inlineStr">
        <is>
          <t>LUDVIKA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46271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46271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17.2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46271</v>
      </c>
      <c r="F263" t="inlineStr">
        <is>
          <t>DALARNAS LÄN</t>
        </is>
      </c>
      <c r="G263" t="inlineStr">
        <is>
          <t>LUDVIKA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46271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46271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46271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46271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45525</v>
      </c>
      <c r="E268" s="1" t="n">
        <v>46271</v>
      </c>
      <c r="F268" t="inlineStr">
        <is>
          <t>DALARNAS LÄN</t>
        </is>
      </c>
      <c r="G268" t="inlineStr">
        <is>
          <t>LUDVIKA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46271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46271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46271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46271</v>
      </c>
      <c r="F272" t="inlineStr">
        <is>
          <t>DALARNAS LÄN</t>
        </is>
      </c>
      <c r="G272" t="inlineStr">
        <is>
          <t>LUDVIKA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46271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46271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46271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46271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46271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44680</v>
      </c>
      <c r="E278" s="1" t="n">
        <v>46271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46271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46271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46271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46271</v>
      </c>
      <c r="F282" t="inlineStr">
        <is>
          <t>DALARNAS LÄN</t>
        </is>
      </c>
      <c r="G282" t="inlineStr">
        <is>
          <t>LUDVIKA</t>
        </is>
      </c>
      <c r="I282" t="n">
        <v>12.7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45869</v>
      </c>
      <c r="E283" s="1" t="n">
        <v>46271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46271</v>
      </c>
      <c r="F284" t="inlineStr">
        <is>
          <t>DALARNAS LÄN</t>
        </is>
      </c>
      <c r="G284" t="inlineStr">
        <is>
          <t>LUDVIKA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46271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46271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46271</v>
      </c>
      <c r="F287" t="inlineStr">
        <is>
          <t>DALARNAS LÄN</t>
        </is>
      </c>
      <c r="G287" t="inlineStr">
        <is>
          <t>LUDVIKA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46271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49035-2024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45594</v>
      </c>
      <c r="E289" s="1" t="n">
        <v>46271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46271</v>
      </c>
      <c r="F290" t="inlineStr">
        <is>
          <t>DALARNAS LÄN</t>
        </is>
      </c>
      <c r="G290" t="inlineStr">
        <is>
          <t>LUDVIKA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44916</v>
      </c>
      <c r="E291" s="1" t="n">
        <v>46271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46271</v>
      </c>
      <c r="F292" t="inlineStr">
        <is>
          <t>DALARNAS LÄN</t>
        </is>
      </c>
      <c r="G292" t="inlineStr">
        <is>
          <t>LUDVIKA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46271</v>
      </c>
      <c r="F293" t="inlineStr">
        <is>
          <t>DALARNAS LÄN</t>
        </is>
      </c>
      <c r="G293" t="inlineStr">
        <is>
          <t>LUDVIKA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46271</v>
      </c>
      <c r="F294" t="inlineStr">
        <is>
          <t>DALARNAS LÄN</t>
        </is>
      </c>
      <c r="G294" t="inlineStr">
        <is>
          <t>LUDVIKA</t>
        </is>
      </c>
      <c r="H294" t="inlineStr">
        <is>
          <t>Naturvårdsverket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46271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46271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46271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52724-2025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46271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46271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46271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46271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52556-2025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46271</v>
      </c>
      <c r="F303" t="inlineStr">
        <is>
          <t>DALARNAS LÄN</t>
        </is>
      </c>
      <c r="G303" t="inlineStr">
        <is>
          <t>LUDVIKA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52459-2025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46271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46271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46271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46271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46271</v>
      </c>
      <c r="F308" t="inlineStr">
        <is>
          <t>DALARNAS LÄN</t>
        </is>
      </c>
      <c r="G308" t="inlineStr">
        <is>
          <t>LUDVIKA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46271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45961</v>
      </c>
      <c r="E310" s="1" t="n">
        <v>46271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46271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45637</v>
      </c>
      <c r="E312" s="1" t="n">
        <v>46271</v>
      </c>
      <c r="F312" t="inlineStr">
        <is>
          <t>DALARNAS LÄN</t>
        </is>
      </c>
      <c r="G312" t="inlineStr">
        <is>
          <t>LUDVIKA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46271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44687</v>
      </c>
      <c r="E314" s="1" t="n">
        <v>46271</v>
      </c>
      <c r="F314" t="inlineStr">
        <is>
          <t>DALARNAS LÄN</t>
        </is>
      </c>
      <c r="G314" t="inlineStr">
        <is>
          <t>LUDVIKA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46271</v>
      </c>
      <c r="F315" t="inlineStr">
        <is>
          <t>DALARNAS LÄN</t>
        </is>
      </c>
      <c r="G315" t="inlineStr">
        <is>
          <t>LUDVIKA</t>
        </is>
      </c>
      <c r="H315" t="inlineStr">
        <is>
          <t>Övriga Aktiebolag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46271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45965</v>
      </c>
      <c r="E317" s="1" t="n">
        <v>46271</v>
      </c>
      <c r="F317" t="inlineStr">
        <is>
          <t>DALARNAS LÄN</t>
        </is>
      </c>
      <c r="G317" t="inlineStr">
        <is>
          <t>LUDVIKA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46271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45891</v>
      </c>
      <c r="E319" s="1" t="n">
        <v>46271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46271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46271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46271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46271</v>
      </c>
      <c r="F323" t="inlineStr">
        <is>
          <t>DALARNAS LÄN</t>
        </is>
      </c>
      <c r="G323" t="inlineStr">
        <is>
          <t>LUDVIKA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46271</v>
      </c>
      <c r="F324" t="inlineStr">
        <is>
          <t>DALARNAS LÄN</t>
        </is>
      </c>
      <c r="G324" t="inlineStr">
        <is>
          <t>LUDVIKA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33673-2022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44789</v>
      </c>
      <c r="E325" s="1" t="n">
        <v>46271</v>
      </c>
      <c r="F325" t="inlineStr">
        <is>
          <t>DALARNAS LÄN</t>
        </is>
      </c>
      <c r="G325" t="inlineStr">
        <is>
          <t>LUDVIKA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46271</v>
      </c>
      <c r="F326" t="inlineStr">
        <is>
          <t>DALARNAS LÄN</t>
        </is>
      </c>
      <c r="G326" t="inlineStr">
        <is>
          <t>LUDVIKA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46271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46271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73703-2021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44552</v>
      </c>
      <c r="E330" s="1" t="n">
        <v>46271</v>
      </c>
      <c r="F330" t="inlineStr">
        <is>
          <t>DALARNAS LÄN</t>
        </is>
      </c>
      <c r="G330" t="inlineStr">
        <is>
          <t>LUDVIKA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46271</v>
      </c>
      <c r="F332" t="inlineStr">
        <is>
          <t>DALARNAS LÄN</t>
        </is>
      </c>
      <c r="G332" t="inlineStr">
        <is>
          <t>LUDVIKA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46271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46271</v>
      </c>
      <c r="F334" t="inlineStr">
        <is>
          <t>DALARNAS LÄN</t>
        </is>
      </c>
      <c r="G334" t="inlineStr">
        <is>
          <t>LUDVIKA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46271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56615-2025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45975</v>
      </c>
      <c r="E336" s="1" t="n">
        <v>46271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46271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46271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46271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46271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46271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46271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46271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46271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46271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46271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45224</v>
      </c>
      <c r="E348" s="1" t="n">
        <v>46271</v>
      </c>
      <c r="F348" t="inlineStr">
        <is>
          <t>DALARNAS LÄN</t>
        </is>
      </c>
      <c r="G348" t="inlineStr">
        <is>
          <t>LUDVIKA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46271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44825</v>
      </c>
      <c r="E350" s="1" t="n">
        <v>46271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46271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44459</v>
      </c>
      <c r="E352" s="1" t="n">
        <v>46271</v>
      </c>
      <c r="F352" t="inlineStr">
        <is>
          <t>DALARNAS LÄN</t>
        </is>
      </c>
      <c r="G352" t="inlineStr">
        <is>
          <t>LUDVIKA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46271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45301</v>
      </c>
      <c r="E354" s="1" t="n">
        <v>46271</v>
      </c>
      <c r="F354" t="inlineStr">
        <is>
          <t>DALARNAS LÄN</t>
        </is>
      </c>
      <c r="G354" t="inlineStr">
        <is>
          <t>LUDVIKA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45301</v>
      </c>
      <c r="E355" s="1" t="n">
        <v>46271</v>
      </c>
      <c r="F355" t="inlineStr">
        <is>
          <t>DALARNAS LÄN</t>
        </is>
      </c>
      <c r="G355" t="inlineStr">
        <is>
          <t>LUDVIKA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45297</v>
      </c>
      <c r="E356" s="1" t="n">
        <v>46271</v>
      </c>
      <c r="F356" t="inlineStr">
        <is>
          <t>DALARNAS LÄN</t>
        </is>
      </c>
      <c r="G356" t="inlineStr">
        <is>
          <t>LUDVIKA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45335</v>
      </c>
      <c r="E357" s="1" t="n">
        <v>46271</v>
      </c>
      <c r="F357" t="inlineStr">
        <is>
          <t>DALARNAS LÄN</t>
        </is>
      </c>
      <c r="G357" t="inlineStr">
        <is>
          <t>LUDVIKA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45639</v>
      </c>
      <c r="E358" s="1" t="n">
        <v>46271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46271</v>
      </c>
      <c r="F359" t="inlineStr">
        <is>
          <t>DALARNAS LÄN</t>
        </is>
      </c>
      <c r="G359" t="inlineStr">
        <is>
          <t>LUDVIKA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46271</v>
      </c>
      <c r="F360" t="inlineStr">
        <is>
          <t>DALARNAS LÄN</t>
        </is>
      </c>
      <c r="G360" t="inlineStr">
        <is>
          <t>LUDVIKA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46271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46271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46271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46271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46271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45891</v>
      </c>
      <c r="E366" s="1" t="n">
        <v>46271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46271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46074-2023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45196</v>
      </c>
      <c r="E368" s="1" t="n">
        <v>46271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46271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46271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46271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45219</v>
      </c>
      <c r="E372" s="1" t="n">
        <v>46271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46271</v>
      </c>
      <c r="F373" t="inlineStr">
        <is>
          <t>DALARNAS LÄN</t>
        </is>
      </c>
      <c r="G373" t="inlineStr">
        <is>
          <t>LUDVIKA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46271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46271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45379</v>
      </c>
      <c r="E376" s="1" t="n">
        <v>46271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46271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45099</v>
      </c>
      <c r="E378" s="1" t="n">
        <v>46271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46271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46271</v>
      </c>
      <c r="F380" t="inlineStr">
        <is>
          <t>DALARNAS LÄN</t>
        </is>
      </c>
      <c r="G380" t="inlineStr">
        <is>
          <t>LUDVIKA</t>
        </is>
      </c>
      <c r="H380" t="inlineStr">
        <is>
          <t>Kommuner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62367-2025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46271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45488</v>
      </c>
      <c r="E382" s="1" t="n">
        <v>46271</v>
      </c>
      <c r="F382" t="inlineStr">
        <is>
          <t>DALARNAS LÄN</t>
        </is>
      </c>
      <c r="G382" t="inlineStr">
        <is>
          <t>LUDVIKA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46271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46271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46271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46271</v>
      </c>
      <c r="F386" t="inlineStr">
        <is>
          <t>DALARNAS LÄN</t>
        </is>
      </c>
      <c r="G386" t="inlineStr">
        <is>
          <t>LUDVIKA</t>
        </is>
      </c>
      <c r="H386" t="inlineStr">
        <is>
          <t>Övriga Aktiebolag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46271</v>
      </c>
      <c r="F387" t="inlineStr">
        <is>
          <t>DALARNAS LÄN</t>
        </is>
      </c>
      <c r="G387" t="inlineStr">
        <is>
          <t>LUDVIKA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46271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46009</v>
      </c>
      <c r="E389" s="1" t="n">
        <v>46271</v>
      </c>
      <c r="F389" t="inlineStr">
        <is>
          <t>DALARNAS LÄN</t>
        </is>
      </c>
      <c r="G389" t="inlineStr">
        <is>
          <t>LUDVIKA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46271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46271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46271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46271</v>
      </c>
      <c r="F393" t="inlineStr">
        <is>
          <t>DALARNAS LÄN</t>
        </is>
      </c>
      <c r="G393" t="inlineStr">
        <is>
          <t>LUDVIKA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46271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46271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47496-2022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44853</v>
      </c>
      <c r="E398" s="1" t="n">
        <v>46271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46271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64171-2023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45279</v>
      </c>
      <c r="E400" s="1" t="n">
        <v>46271</v>
      </c>
      <c r="F400" t="inlineStr">
        <is>
          <t>DALARNAS LÄN</t>
        </is>
      </c>
      <c r="G400" t="inlineStr">
        <is>
          <t>LUDVIKA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45099</v>
      </c>
      <c r="E401" s="1" t="n">
        <v>46271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43240-2024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46271</v>
      </c>
      <c r="F402" t="inlineStr">
        <is>
          <t>DALARNAS LÄN</t>
        </is>
      </c>
      <c r="G402" t="inlineStr">
        <is>
          <t>LUDVIKA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44825</v>
      </c>
      <c r="E403" s="1" t="n">
        <v>46271</v>
      </c>
      <c r="F403" t="inlineStr">
        <is>
          <t>DALARNAS LÄN</t>
        </is>
      </c>
      <c r="G403" t="inlineStr">
        <is>
          <t>LUDVIKA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46271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45399</v>
      </c>
      <c r="E405" s="1" t="n">
        <v>46271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46271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46271</v>
      </c>
      <c r="F407" t="inlineStr">
        <is>
          <t>DALARNAS LÄN</t>
        </is>
      </c>
      <c r="G407" t="inlineStr">
        <is>
          <t>LUDVIKA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46271</v>
      </c>
      <c r="F408" t="inlineStr">
        <is>
          <t>DALARNAS LÄN</t>
        </is>
      </c>
      <c r="G408" t="inlineStr">
        <is>
          <t>LUDVIKA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59050-2022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44903</v>
      </c>
      <c r="E409" s="1" t="n">
        <v>46271</v>
      </c>
      <c r="F409" t="inlineStr">
        <is>
          <t>DALARNAS LÄN</t>
        </is>
      </c>
      <c r="G409" t="inlineStr">
        <is>
          <t>LUDVIKA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45544-2024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45579</v>
      </c>
      <c r="E410" s="1" t="n">
        <v>46271</v>
      </c>
      <c r="F410" t="inlineStr">
        <is>
          <t>DALARNAS LÄN</t>
        </is>
      </c>
      <c r="G410" t="inlineStr">
        <is>
          <t>LUDVIKA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46271</v>
      </c>
      <c r="F411" t="inlineStr">
        <is>
          <t>DALARNAS LÄN</t>
        </is>
      </c>
      <c r="G411" t="inlineStr">
        <is>
          <t>LUDVIKA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46271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46271</v>
      </c>
      <c r="F413" t="inlineStr">
        <is>
          <t>DALARNAS LÄN</t>
        </is>
      </c>
      <c r="G413" t="inlineStr">
        <is>
          <t>LUDVIKA</t>
        </is>
      </c>
      <c r="H413" t="inlineStr">
        <is>
          <t>Naturvårdsverket</t>
        </is>
      </c>
      <c r="I413" t="n">
        <v>19.8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46271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46271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46271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46271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46271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46271</v>
      </c>
      <c r="F419" t="inlineStr">
        <is>
          <t>DALARNAS LÄN</t>
        </is>
      </c>
      <c r="G419" t="inlineStr">
        <is>
          <t>LUDVIKA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46271</v>
      </c>
      <c r="F420" t="inlineStr">
        <is>
          <t>DALARNAS LÄN</t>
        </is>
      </c>
      <c r="G420" t="inlineStr">
        <is>
          <t>LUDVIKA</t>
        </is>
      </c>
      <c r="H420" t="inlineStr">
        <is>
          <t>Kommuner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45198</v>
      </c>
      <c r="E421" s="1" t="n">
        <v>46271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46271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45265</v>
      </c>
      <c r="E423" s="1" t="n">
        <v>46271</v>
      </c>
      <c r="F423" t="inlineStr">
        <is>
          <t>DALARNAS LÄN</t>
        </is>
      </c>
      <c r="G423" t="inlineStr">
        <is>
          <t>LUDVIKA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46271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46271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49951-2022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44865</v>
      </c>
      <c r="E426" s="1" t="n">
        <v>46271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46128</v>
      </c>
      <c r="E427" s="1" t="n">
        <v>46271</v>
      </c>
      <c r="F427" t="inlineStr">
        <is>
          <t>DALARNAS LÄN</t>
        </is>
      </c>
      <c r="G427" t="inlineStr">
        <is>
          <t>LUDVIKA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29114-2024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45481</v>
      </c>
      <c r="E428" s="1" t="n">
        <v>46271</v>
      </c>
      <c r="F428" t="inlineStr">
        <is>
          <t>DALARNAS LÄN</t>
        </is>
      </c>
      <c r="G428" t="inlineStr">
        <is>
          <t>LUDVIKA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16814-2024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45411</v>
      </c>
      <c r="E429" s="1" t="n">
        <v>46271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46271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44771</v>
      </c>
      <c r="E431" s="1" t="n">
        <v>46271</v>
      </c>
      <c r="F431" t="inlineStr">
        <is>
          <t>DALARNAS LÄN</t>
        </is>
      </c>
      <c r="G431" t="inlineStr">
        <is>
          <t>LUDVIKA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46271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50273-2021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44459</v>
      </c>
      <c r="E433" s="1" t="n">
        <v>46271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46271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46271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46271</v>
      </c>
      <c r="F436" t="inlineStr">
        <is>
          <t>DALARNAS LÄN</t>
        </is>
      </c>
      <c r="G436" t="inlineStr">
        <is>
          <t>LUDVIKA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46271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46271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46271</v>
      </c>
      <c r="F439" t="inlineStr">
        <is>
          <t>DALARNAS LÄN</t>
        </is>
      </c>
      <c r="G439" t="inlineStr">
        <is>
          <t>LUDVIKA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46271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45166</v>
      </c>
      <c r="E441" s="1" t="n">
        <v>46271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46271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45520</v>
      </c>
      <c r="E443" s="1" t="n">
        <v>46271</v>
      </c>
      <c r="F443" t="inlineStr">
        <is>
          <t>DALARNAS LÄN</t>
        </is>
      </c>
      <c r="G443" t="inlineStr">
        <is>
          <t>LUDVIKA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46271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46271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34868-2025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45849</v>
      </c>
      <c r="E446" s="1" t="n">
        <v>46271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54730-2022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44883</v>
      </c>
      <c r="E447" s="1" t="n">
        <v>46271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46271</v>
      </c>
      <c r="F448" t="inlineStr">
        <is>
          <t>DALARNAS LÄN</t>
        </is>
      </c>
      <c r="G448" t="inlineStr">
        <is>
          <t>LUDVIKA</t>
        </is>
      </c>
      <c r="I448" t="n">
        <v>9.800000000000001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45825</v>
      </c>
      <c r="E449" s="1" t="n">
        <v>46271</v>
      </c>
      <c r="F449" t="inlineStr">
        <is>
          <t>DALARNAS LÄN</t>
        </is>
      </c>
      <c r="G449" t="inlineStr">
        <is>
          <t>LUDVIKA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21152-2023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46271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13.6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45168</v>
      </c>
      <c r="E451" s="1" t="n">
        <v>46271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46136</v>
      </c>
      <c r="E452" s="1" t="n">
        <v>46271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45827</v>
      </c>
      <c r="E453" s="1" t="n">
        <v>46271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46271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45765</v>
      </c>
      <c r="E455" s="1" t="n">
        <v>46271</v>
      </c>
      <c r="F455" t="inlineStr">
        <is>
          <t>DALARNAS LÄN</t>
        </is>
      </c>
      <c r="G455" t="inlineStr">
        <is>
          <t>LUDVIKA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46271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46271</v>
      </c>
      <c r="F457" t="inlineStr">
        <is>
          <t>DALARNAS LÄN</t>
        </is>
      </c>
      <c r="G457" t="inlineStr">
        <is>
          <t>LUDVIKA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41828-2025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46271</v>
      </c>
      <c r="F458" t="inlineStr">
        <is>
          <t>DALARNAS LÄN</t>
        </is>
      </c>
      <c r="G458" t="inlineStr">
        <is>
          <t>LUDVIKA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45860</v>
      </c>
      <c r="E459" s="1" t="n">
        <v>46271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45849</v>
      </c>
      <c r="E460" s="1" t="n">
        <v>46271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55633-2021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44476</v>
      </c>
      <c r="E461" s="1" t="n">
        <v>46271</v>
      </c>
      <c r="F461" t="inlineStr">
        <is>
          <t>DALARNAS LÄN</t>
        </is>
      </c>
      <c r="G461" t="inlineStr">
        <is>
          <t>LUDVIKA</t>
        </is>
      </c>
      <c r="H461" t="inlineStr">
        <is>
          <t>Övriga Aktiebolag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46271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70046-2021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44533</v>
      </c>
      <c r="E463" s="1" t="n">
        <v>46271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46271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43704-2024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46271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46271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48003-2024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45589</v>
      </c>
      <c r="E467" s="1" t="n">
        <v>46271</v>
      </c>
      <c r="F467" t="inlineStr">
        <is>
          <t>DALARNAS LÄN</t>
        </is>
      </c>
      <c r="G467" t="inlineStr">
        <is>
          <t>LUDVIKA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46271</v>
      </c>
      <c r="F468" t="inlineStr">
        <is>
          <t>DALARNAS LÄN</t>
        </is>
      </c>
      <c r="G468" t="inlineStr">
        <is>
          <t>LUDVIKA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46271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46271</v>
      </c>
      <c r="F470" t="inlineStr">
        <is>
          <t>DALARNAS LÄN</t>
        </is>
      </c>
      <c r="G470" t="inlineStr">
        <is>
          <t>LUDVIKA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46271</v>
      </c>
      <c r="F471" t="inlineStr">
        <is>
          <t>DALARNAS LÄN</t>
        </is>
      </c>
      <c r="G471" t="inlineStr">
        <is>
          <t>LUDVIKA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44537-2024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46271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46271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46271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45119</v>
      </c>
      <c r="E477" s="1" t="n">
        <v>46271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46141</v>
      </c>
      <c r="E478" s="1" t="n">
        <v>46271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34845-2024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45526</v>
      </c>
      <c r="E479" s="1" t="n">
        <v>46271</v>
      </c>
      <c r="F479" t="inlineStr">
        <is>
          <t>DALARNAS LÄN</t>
        </is>
      </c>
      <c r="G479" t="inlineStr">
        <is>
          <t>LUDVIKA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46185-2024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45581</v>
      </c>
      <c r="E480" s="1" t="n">
        <v>46271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44730</v>
      </c>
      <c r="E481" s="1" t="n">
        <v>46271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46271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45373</v>
      </c>
      <c r="E483" s="1" t="n">
        <v>46271</v>
      </c>
      <c r="F483" t="inlineStr">
        <is>
          <t>DALARNAS LÄN</t>
        </is>
      </c>
      <c r="G483" t="inlineStr">
        <is>
          <t>LUDVIKA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46271</v>
      </c>
      <c r="F484" t="inlineStr">
        <is>
          <t>DALARNAS LÄN</t>
        </is>
      </c>
      <c r="G484" t="inlineStr">
        <is>
          <t>LUDVIKA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46271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46271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46271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46271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46147</v>
      </c>
      <c r="E489" s="1" t="n">
        <v>46271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44915</v>
      </c>
      <c r="E490" s="1" t="n">
        <v>46271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45485</v>
      </c>
      <c r="E491" s="1" t="n">
        <v>46271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46271</v>
      </c>
      <c r="F492" t="inlineStr">
        <is>
          <t>DALARNAS LÄN</t>
        </is>
      </c>
      <c r="G492" t="inlineStr">
        <is>
          <t>LUDVIKA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45603</v>
      </c>
      <c r="E493" s="1" t="n">
        <v>46271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45621</v>
      </c>
      <c r="E494" s="1" t="n">
        <v>46271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46271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46271</v>
      </c>
      <c r="F496" t="inlineStr">
        <is>
          <t>DALARNAS LÄN</t>
        </is>
      </c>
      <c r="G496" t="inlineStr">
        <is>
          <t>LUDVIKA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38446-2025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46271</v>
      </c>
      <c r="F497" t="inlineStr">
        <is>
          <t>DALARNAS LÄN</t>
        </is>
      </c>
      <c r="G497" t="inlineStr">
        <is>
          <t>LUDVIKA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46271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46271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46271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46271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46271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46271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46271</v>
      </c>
      <c r="F504" t="inlineStr">
        <is>
          <t>DALARNAS LÄN</t>
        </is>
      </c>
      <c r="G504" t="inlineStr">
        <is>
          <t>LUDVIKA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46271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46271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46271</v>
      </c>
      <c r="F507" t="inlineStr">
        <is>
          <t>DALARNAS LÄN</t>
        </is>
      </c>
      <c r="G507" t="inlineStr">
        <is>
          <t>LUDVIKA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46271</v>
      </c>
      <c r="F508" t="inlineStr">
        <is>
          <t>DALARNAS LÄN</t>
        </is>
      </c>
      <c r="G508" t="inlineStr">
        <is>
          <t>LUDVIKA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46271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46271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23082-2026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46161</v>
      </c>
      <c r="E511" s="1" t="n">
        <v>46271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45754</v>
      </c>
      <c r="E512" s="1" t="n">
        <v>46271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46271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44599</v>
      </c>
      <c r="E514" s="1" t="n">
        <v>46271</v>
      </c>
      <c r="F514" t="inlineStr">
        <is>
          <t>DALARNAS LÄN</t>
        </is>
      </c>
      <c r="G514" t="inlineStr">
        <is>
          <t>LUDVIKA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46271</v>
      </c>
      <c r="F515" t="inlineStr">
        <is>
          <t>DALARNAS LÄN</t>
        </is>
      </c>
      <c r="G515" t="inlineStr">
        <is>
          <t>LUDVIKA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44970</v>
      </c>
      <c r="E516" s="1" t="n">
        <v>46271</v>
      </c>
      <c r="F516" t="inlineStr">
        <is>
          <t>DALARNAS LÄN</t>
        </is>
      </c>
      <c r="G516" t="inlineStr">
        <is>
          <t>LUDVIKA</t>
        </is>
      </c>
      <c r="H516" t="inlineStr">
        <is>
          <t>Övriga Aktiebolag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45198</v>
      </c>
      <c r="E517" s="1" t="n">
        <v>46271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46271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46271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53620-2022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44879</v>
      </c>
      <c r="E520" s="1" t="n">
        <v>46271</v>
      </c>
      <c r="F520" t="inlineStr">
        <is>
          <t>DALARNAS LÄN</t>
        </is>
      </c>
      <c r="G520" t="inlineStr">
        <is>
          <t>LUDVIKA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46271</v>
      </c>
      <c r="F521" t="inlineStr">
        <is>
          <t>DALARNAS LÄN</t>
        </is>
      </c>
      <c r="G521" t="inlineStr">
        <is>
          <t>LUDVIKA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46271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45833</v>
      </c>
      <c r="E523" s="1" t="n">
        <v>46271</v>
      </c>
      <c r="F523" t="inlineStr">
        <is>
          <t>DALARNAS LÄN</t>
        </is>
      </c>
      <c r="G523" t="inlineStr">
        <is>
          <t>LUDVIKA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45834</v>
      </c>
      <c r="E524" s="1" t="n">
        <v>46271</v>
      </c>
      <c r="F524" t="inlineStr">
        <is>
          <t>DALARNAS LÄN</t>
        </is>
      </c>
      <c r="G524" t="inlineStr">
        <is>
          <t>LUDVIKA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46271</v>
      </c>
      <c r="F525" t="inlineStr">
        <is>
          <t>DALARNAS LÄN</t>
        </is>
      </c>
      <c r="G525" t="inlineStr">
        <is>
          <t>LUDVIKA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44819</v>
      </c>
      <c r="E526" s="1" t="n">
        <v>46271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46271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46271</v>
      </c>
      <c r="F528" t="inlineStr">
        <is>
          <t>DALARNAS LÄN</t>
        </is>
      </c>
      <c r="G528" t="inlineStr">
        <is>
          <t>LUDVIKA</t>
        </is>
      </c>
      <c r="H528" t="inlineStr">
        <is>
          <t>Naturvårdsverket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45062</v>
      </c>
      <c r="E529" s="1" t="n">
        <v>46271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46271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46271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46271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46271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45404</v>
      </c>
      <c r="E534" s="1" t="n">
        <v>46271</v>
      </c>
      <c r="F534" t="inlineStr">
        <is>
          <t>DALARNAS LÄN</t>
        </is>
      </c>
      <c r="G534" t="inlineStr">
        <is>
          <t>LUDVIKA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41400-2022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44826</v>
      </c>
      <c r="E535" s="1" t="n">
        <v>46271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46271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46271</v>
      </c>
      <c r="F537" t="inlineStr">
        <is>
          <t>DALARNAS LÄN</t>
        </is>
      </c>
      <c r="G537" t="inlineStr">
        <is>
          <t>LUDVIKA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46271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46271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46271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46271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46271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49166-2025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46271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45593</v>
      </c>
      <c r="E544" s="1" t="n">
        <v>46271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46271</v>
      </c>
      <c r="F545" t="inlineStr">
        <is>
          <t>DALARNAS LÄN</t>
        </is>
      </c>
      <c r="G545" t="inlineStr">
        <is>
          <t>LUDVIKA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37392-2023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45156</v>
      </c>
      <c r="E546" s="1" t="n">
        <v>46271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11436-2024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45372</v>
      </c>
      <c r="E547" s="1" t="n">
        <v>46271</v>
      </c>
      <c r="F547" t="inlineStr">
        <is>
          <t>DALARNAS LÄN</t>
        </is>
      </c>
      <c r="G547" t="inlineStr">
        <is>
          <t>LUDVIKA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46271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40142-2022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46271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44820</v>
      </c>
      <c r="E550" s="1" t="n">
        <v>46271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21741-2022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44708</v>
      </c>
      <c r="E551" s="1" t="n">
        <v>46271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46271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46271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46271</v>
      </c>
      <c r="F554" t="inlineStr">
        <is>
          <t>DALARNAS LÄN</t>
        </is>
      </c>
      <c r="G554" t="inlineStr">
        <is>
          <t>LUDVIKA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46271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46271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49669-2024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46271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46233</v>
      </c>
      <c r="E558" s="1" t="n">
        <v>46271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46271</v>
      </c>
      <c r="F559" t="inlineStr">
        <is>
          <t>DALARNAS LÄN</t>
        </is>
      </c>
      <c r="G559" t="inlineStr">
        <is>
          <t>LUDVIKA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46271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41616-2024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46271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45519</v>
      </c>
      <c r="E562" s="1" t="n">
        <v>46271</v>
      </c>
      <c r="F562" t="inlineStr">
        <is>
          <t>DALARNAS LÄN</t>
        </is>
      </c>
      <c r="G562" t="inlineStr">
        <is>
          <t>LUDVIKA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46191</v>
      </c>
      <c r="E563" s="1" t="n">
        <v>46271</v>
      </c>
      <c r="F563" t="inlineStr">
        <is>
          <t>DALARNAS LÄN</t>
        </is>
      </c>
      <c r="G563" t="inlineStr">
        <is>
          <t>LUDVIKA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45071</v>
      </c>
      <c r="E564" s="1" t="n">
        <v>46271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26727-2026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46271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46271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45317</v>
      </c>
      <c r="E567" s="1" t="n">
        <v>46271</v>
      </c>
      <c r="F567" t="inlineStr">
        <is>
          <t>DALARNAS LÄN</t>
        </is>
      </c>
      <c r="G567" t="inlineStr">
        <is>
          <t>LUDVIKA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3470-2025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45680</v>
      </c>
      <c r="E568" s="1" t="n">
        <v>46271</v>
      </c>
      <c r="F568" t="inlineStr">
        <is>
          <t>DALARNAS LÄN</t>
        </is>
      </c>
      <c r="G568" t="inlineStr">
        <is>
          <t>LUDVIKA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46271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46271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45205</v>
      </c>
      <c r="E571" s="1" t="n">
        <v>46271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2838-2022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44581</v>
      </c>
      <c r="E572" s="1" t="n">
        <v>46271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46271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40125-2024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45554</v>
      </c>
      <c r="E574" s="1" t="n">
        <v>46271</v>
      </c>
      <c r="F574" t="inlineStr">
        <is>
          <t>DALARNAS LÄN</t>
        </is>
      </c>
      <c r="G574" t="inlineStr">
        <is>
          <t>LUDVIKA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46271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43839-2023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46271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46241</v>
      </c>
      <c r="E577" s="1" t="n">
        <v>46271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46271</v>
      </c>
      <c r="F578" t="inlineStr">
        <is>
          <t>DALARNAS LÄN</t>
        </is>
      </c>
      <c r="G578" t="inlineStr">
        <is>
          <t>LUDVIKA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46271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46271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46271</v>
      </c>
      <c r="F581" t="inlineStr">
        <is>
          <t>DALARNAS LÄN</t>
        </is>
      </c>
      <c r="G581" t="inlineStr">
        <is>
          <t>LUDVIKA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46271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46271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46271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25273-2022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44729</v>
      </c>
      <c r="E585" s="1" t="n">
        <v>46271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46160</v>
      </c>
      <c r="E586" s="1" t="n">
        <v>46271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46271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22824-2026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46271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46271</v>
      </c>
      <c r="F589" t="inlineStr">
        <is>
          <t>DALARNAS LÄN</t>
        </is>
      </c>
      <c r="G589" t="inlineStr">
        <is>
          <t>LUDVIKA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46271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44960</v>
      </c>
      <c r="E591" s="1" t="n">
        <v>46271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46271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44967</v>
      </c>
      <c r="E593" s="1" t="n">
        <v>46271</v>
      </c>
      <c r="F593" t="inlineStr">
        <is>
          <t>DALARNAS LÄN</t>
        </is>
      </c>
      <c r="G593" t="inlineStr">
        <is>
          <t>LUDVIKA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46271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46271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46271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29734-2026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46271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33419-2026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46247</v>
      </c>
      <c r="E598" s="1" t="n">
        <v>46271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46271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46271</v>
      </c>
      <c r="F600" t="inlineStr">
        <is>
          <t>DALARNAS LÄN</t>
        </is>
      </c>
      <c r="G600" t="inlineStr">
        <is>
          <t>LUDVIKA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37586-2024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46271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46271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46248</v>
      </c>
      <c r="E603" s="1" t="n">
        <v>46271</v>
      </c>
      <c r="F603" t="inlineStr">
        <is>
          <t>DALARNAS LÄN</t>
        </is>
      </c>
      <c r="G603" t="inlineStr">
        <is>
          <t>LUDVIKA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29791-2026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46271</v>
      </c>
      <c r="F604" t="inlineStr">
        <is>
          <t>DALARNAS LÄN</t>
        </is>
      </c>
      <c r="G604" t="inlineStr">
        <is>
          <t>LUDVIKA</t>
        </is>
      </c>
      <c r="H604" t="inlineStr">
        <is>
          <t>Naturvårdsverket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30844-2024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45497</v>
      </c>
      <c r="E605" s="1" t="n">
        <v>46271</v>
      </c>
      <c r="F605" t="inlineStr">
        <is>
          <t>DALARNAS LÄN</t>
        </is>
      </c>
      <c r="G605" t="inlineStr">
        <is>
          <t>LUDVIKA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46271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45056</v>
      </c>
      <c r="E607" s="1" t="n">
        <v>46271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45638</v>
      </c>
      <c r="E608" s="1" t="n">
        <v>46271</v>
      </c>
      <c r="F608" t="inlineStr">
        <is>
          <t>DALARNAS LÄN</t>
        </is>
      </c>
      <c r="G608" t="inlineStr">
        <is>
          <t>LUDVIKA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30106-2026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46271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46271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46271</v>
      </c>
      <c r="F611" t="inlineStr">
        <is>
          <t>DALARNAS LÄN</t>
        </is>
      </c>
      <c r="G611" t="inlineStr">
        <is>
          <t>LUDVIKA</t>
        </is>
      </c>
      <c r="H611" t="inlineStr">
        <is>
          <t>Naturvårdsverket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45602</v>
      </c>
      <c r="E612" s="1" t="n">
        <v>46271</v>
      </c>
      <c r="F612" t="inlineStr">
        <is>
          <t>DALARNAS LÄN</t>
        </is>
      </c>
      <c r="G612" t="inlineStr">
        <is>
          <t>LUDVIKA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45176</v>
      </c>
      <c r="E613" s="1" t="n">
        <v>46271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45622</v>
      </c>
      <c r="E614" s="1" t="n">
        <v>46271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55474-2024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45622</v>
      </c>
      <c r="E615" s="1" t="n">
        <v>46271</v>
      </c>
      <c r="F615" t="inlineStr">
        <is>
          <t>DALARNAS LÄN</t>
        </is>
      </c>
      <c r="G615" t="inlineStr">
        <is>
          <t>LUDVIKA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45622</v>
      </c>
      <c r="E616" s="1" t="n">
        <v>46271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46271</v>
      </c>
      <c r="F617" t="inlineStr">
        <is>
          <t>DALARNAS LÄN</t>
        </is>
      </c>
      <c r="G617" t="inlineStr">
        <is>
          <t>LUDVIKA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46271</v>
      </c>
      <c r="F618" t="inlineStr">
        <is>
          <t>DALARNAS LÄN</t>
        </is>
      </c>
      <c r="G618" t="inlineStr">
        <is>
          <t>LUDVIKA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50714-2024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45602</v>
      </c>
      <c r="E619" s="1" t="n">
        <v>46271</v>
      </c>
      <c r="F619" t="inlineStr">
        <is>
          <t>DALARNAS LÄN</t>
        </is>
      </c>
      <c r="G619" t="inlineStr">
        <is>
          <t>LUDVIKA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46167</v>
      </c>
      <c r="E620" s="1" t="n">
        <v>46271</v>
      </c>
      <c r="F620" t="inlineStr">
        <is>
          <t>DALARNAS LÄN</t>
        </is>
      </c>
      <c r="G620" t="inlineStr">
        <is>
          <t>LUDVIKA</t>
        </is>
      </c>
      <c r="H620" t="inlineStr">
        <is>
          <t>Kommuner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46195</v>
      </c>
      <c r="E621" s="1" t="n">
        <v>46271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46271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46271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34550-2026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46271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45545</v>
      </c>
      <c r="E626" s="1" t="n">
        <v>46271</v>
      </c>
      <c r="F626" t="inlineStr">
        <is>
          <t>DALARNAS LÄN</t>
        </is>
      </c>
      <c r="G626" t="inlineStr">
        <is>
          <t>LUDVIKA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46271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21893-2025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45784</v>
      </c>
      <c r="E628" s="1" t="n">
        <v>46271</v>
      </c>
      <c r="F628" t="inlineStr">
        <is>
          <t>DALARNAS LÄN</t>
        </is>
      </c>
      <c r="G628" t="inlineStr">
        <is>
          <t>LUDVIKA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46271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45565</v>
      </c>
      <c r="E630" s="1" t="n">
        <v>46271</v>
      </c>
      <c r="F630" t="inlineStr">
        <is>
          <t>DALARNAS LÄN</t>
        </is>
      </c>
      <c r="G630" t="inlineStr">
        <is>
          <t>LUDVIKA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53602-2023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46271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46271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45609</v>
      </c>
      <c r="E633" s="1" t="n">
        <v>46271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34584-2026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46255</v>
      </c>
      <c r="E634" s="1" t="n">
        <v>46271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46271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21891-2025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46271</v>
      </c>
      <c r="F636" t="inlineStr">
        <is>
          <t>DALARNAS LÄN</t>
        </is>
      </c>
      <c r="G636" t="inlineStr">
        <is>
          <t>LUDVIKA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33914-2023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45134</v>
      </c>
      <c r="E637" s="1" t="n">
        <v>46271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45581</v>
      </c>
      <c r="E638" s="1" t="n">
        <v>46271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46271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46271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22606-2025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46271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45789</v>
      </c>
      <c r="E642" s="1" t="n">
        <v>46271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45581</v>
      </c>
      <c r="E643" s="1" t="n">
        <v>46271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46107-2024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45581</v>
      </c>
      <c r="E644" s="1" t="n">
        <v>46271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46271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50240-2024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45600</v>
      </c>
      <c r="E646" s="1" t="n">
        <v>46271</v>
      </c>
      <c r="F646" t="inlineStr">
        <is>
          <t>DALARNAS LÄN</t>
        </is>
      </c>
      <c r="G646" t="inlineStr">
        <is>
          <t>LUDVIKA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22276-2026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46154</v>
      </c>
      <c r="E647" s="1" t="n">
        <v>46271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43702-2024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45569</v>
      </c>
      <c r="E648" s="1" t="n">
        <v>46271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45685</v>
      </c>
      <c r="E649" s="1" t="n">
        <v>46271</v>
      </c>
      <c r="F649" t="inlineStr">
        <is>
          <t>DALARNAS LÄN</t>
        </is>
      </c>
      <c r="G649" t="inlineStr">
        <is>
          <t>LUDVIKA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24712-2024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45460</v>
      </c>
      <c r="E650" s="1" t="n">
        <v>46271</v>
      </c>
      <c r="F650" t="inlineStr">
        <is>
          <t>DALARNAS LÄN</t>
        </is>
      </c>
      <c r="G650" t="inlineStr">
        <is>
          <t>LUDVIKA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34796-2026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46258</v>
      </c>
      <c r="E651" s="1" t="n">
        <v>46271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45789</v>
      </c>
      <c r="E652" s="1" t="n">
        <v>46271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45791</v>
      </c>
      <c r="E653" s="1" t="n">
        <v>46271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46271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46258</v>
      </c>
      <c r="E655" s="1" t="n">
        <v>46271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46260</v>
      </c>
      <c r="E656" s="1" t="n">
        <v>46271</v>
      </c>
      <c r="F656" t="inlineStr">
        <is>
          <t>DALARNAS LÄN</t>
        </is>
      </c>
      <c r="G656" t="inlineStr">
        <is>
          <t>LUDVIKA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46260</v>
      </c>
      <c r="E657" s="1" t="n">
        <v>46271</v>
      </c>
      <c r="F657" t="inlineStr">
        <is>
          <t>DALARNAS LÄN</t>
        </is>
      </c>
      <c r="G657" t="inlineStr">
        <is>
          <t>LUDVIKA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35099-2026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46271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46271</v>
      </c>
      <c r="F659" t="inlineStr">
        <is>
          <t>DALARNAS LÄN</t>
        </is>
      </c>
      <c r="G659" t="inlineStr">
        <is>
          <t>LUDVIKA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46271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46271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28162-2026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46271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46271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36066-2024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45533</v>
      </c>
      <c r="E664" s="1" t="n">
        <v>46271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46271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28158-2026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46195</v>
      </c>
      <c r="E666" s="1" t="n">
        <v>46271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28801-2026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46271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28045-2026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46195</v>
      </c>
      <c r="E668" s="1" t="n">
        <v>46271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46271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46271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46271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46271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47233-2024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45586</v>
      </c>
      <c r="E673" s="1" t="n">
        <v>46271</v>
      </c>
      <c r="F673" t="inlineStr">
        <is>
          <t>DALARNAS LÄN</t>
        </is>
      </c>
      <c r="G673" t="inlineStr">
        <is>
          <t>LUDVIKA</t>
        </is>
      </c>
      <c r="I673" t="n">
        <v>9.5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46271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46218</v>
      </c>
      <c r="E675" s="1" t="n">
        <v>46271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15.8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46271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22686-2025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45786</v>
      </c>
      <c r="E677" s="1" t="n">
        <v>46271</v>
      </c>
      <c r="F677" t="inlineStr">
        <is>
          <t>DALARNAS LÄN</t>
        </is>
      </c>
      <c r="G677" t="inlineStr">
        <is>
          <t>LUDVIKA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61278-2022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44915</v>
      </c>
      <c r="E678" s="1" t="n">
        <v>46271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46271</v>
      </c>
      <c r="F679" t="inlineStr">
        <is>
          <t>DALARNAS LÄN</t>
        </is>
      </c>
      <c r="G679" t="inlineStr">
        <is>
          <t>LUDVIKA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23137-2025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45791</v>
      </c>
      <c r="E680" s="1" t="n">
        <v>46271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46271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46271</v>
      </c>
      <c r="F682" t="inlineStr">
        <is>
          <t>DALARNAS LÄN</t>
        </is>
      </c>
      <c r="G682" t="inlineStr">
        <is>
          <t>LUDVIKA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46271</v>
      </c>
      <c r="F683" t="inlineStr">
        <is>
          <t>DALARNAS LÄN</t>
        </is>
      </c>
      <c r="G683" t="inlineStr">
        <is>
          <t>LUDVIKA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46260</v>
      </c>
      <c r="E684" s="1" t="n">
        <v>46271</v>
      </c>
      <c r="F684" t="inlineStr">
        <is>
          <t>DALARNAS LÄN</t>
        </is>
      </c>
      <c r="G684" t="inlineStr">
        <is>
          <t>LUDVIKA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31350-2026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46219</v>
      </c>
      <c r="E685" s="1" t="n">
        <v>46271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23443-2024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45453</v>
      </c>
      <c r="E686" s="1" t="n">
        <v>46271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37549-2024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45541</v>
      </c>
      <c r="E687" s="1" t="n">
        <v>46271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46230</v>
      </c>
      <c r="E688" s="1" t="n">
        <v>46271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35837-2026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46265</v>
      </c>
      <c r="E689" s="1" t="n">
        <v>46271</v>
      </c>
      <c r="F689" t="inlineStr">
        <is>
          <t>DALARNAS LÄN</t>
        </is>
      </c>
      <c r="G689" t="inlineStr">
        <is>
          <t>LUDVIKA</t>
        </is>
      </c>
      <c r="H689" t="inlineStr">
        <is>
          <t>Kyrkan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46271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35490-2026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46262</v>
      </c>
      <c r="E691" s="1" t="n">
        <v>46271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24027-2025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46271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35648-2026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46265</v>
      </c>
      <c r="E693" s="1" t="n">
        <v>46271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46271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31393-2026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46220</v>
      </c>
      <c r="E695" s="1" t="n">
        <v>46271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46267</v>
      </c>
      <c r="E696" s="1" t="n">
        <v>46271</v>
      </c>
      <c r="F696" t="inlineStr">
        <is>
          <t>DALARNAS LÄN</t>
        </is>
      </c>
      <c r="G696" t="inlineStr">
        <is>
          <t>LUDVIKA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46271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31646-2026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46225</v>
      </c>
      <c r="E698" s="1" t="n">
        <v>46271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46271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2837-2023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45167</v>
      </c>
      <c r="E700" s="1" t="n">
        <v>46271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1122-2023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46271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115.7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3660-2023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45216</v>
      </c>
      <c r="E702" s="1" t="n">
        <v>46271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1246-2024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45400</v>
      </c>
      <c r="E703" s="1" t="n">
        <v>46271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1096-2024</t>
        </is>
      </c>
      <c r="B704" t="inlineStr">
        <is>
          <t>samrådsanmälan</t>
        </is>
      </c>
      <c r="C704" t="inlineStr">
        <is>
          <t>Skogsgödsling</t>
        </is>
      </c>
      <c r="D704" s="1" t="n">
        <v>45391</v>
      </c>
      <c r="E704" s="1" t="n">
        <v>46271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4863-2022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44805</v>
      </c>
      <c r="E705" s="1" t="n">
        <v>46271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1113-2023</t>
        </is>
      </c>
      <c r="B706" t="inlineStr">
        <is>
          <t>samrådsanmälan</t>
        </is>
      </c>
      <c r="C706" t="inlineStr">
        <is>
          <t>Skogsgödsling</t>
        </is>
      </c>
      <c r="D706" s="1" t="n">
        <v>45015</v>
      </c>
      <c r="E706" s="1" t="n">
        <v>46271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1815-2026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46190</v>
      </c>
      <c r="E707" s="1" t="n">
        <v>46271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2026-09-06T02:07:26Z</dcterms:created>
  <dcterms:modified xmlns:dcterms="http://purl.org/dc/terms/" xmlns:xsi="http://www.w3.org/2001/XMLSchema-instance" xsi:type="dcterms:W3CDTF">2026-09-06T02:07:27Z</dcterms:modified>
</cp:coreProperties>
</file>
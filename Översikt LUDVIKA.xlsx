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46294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46294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46294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46294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46294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46294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46294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46294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46294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46294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46294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46294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46294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46294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46294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63299-2025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46010</v>
      </c>
      <c r="E27" s="1" t="n">
        <v>46294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1.4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8</v>
      </c>
      <c r="U27" t="n">
        <v>1</v>
      </c>
      <c r="V27" s="2" t="inlineStr">
        <is>
          <t>Garnlav
Skrovlig taggsvamp
Blå taggsvamp
Motaggsvamp
Talltaggsvamp
Tjäder</t>
        </is>
      </c>
      <c r="W27">
        <f>HYPERLINK("https://klasma.github.io/Logging_2085/artfynd/A 63299-2025 artfynd.xlsx", "A 63299-2025")</f>
        <v/>
      </c>
      <c r="X27">
        <f>HYPERLINK("https://klasma.github.io/Logging_2085/kartor/A 63299-2025 karta.png", "A 63299-2025")</f>
        <v/>
      </c>
      <c r="Y27">
        <f>HYPERLINK("https://klasma.github.io/Logging_2085/kartor_geotiff/A 63299-2025 georefererad karta.tif", "A 63299-2025")</f>
        <v/>
      </c>
      <c r="AA27">
        <f>HYPERLINK("https://klasma.github.io/Logging_2085/klagomål/A 63299-2025 FSC-klagomål.docx", "A 63299-2025")</f>
        <v/>
      </c>
      <c r="AB27">
        <f>HYPERLINK("https://klasma.github.io/Logging_2085/klagomålsmail/A 63299-2025 FSC-klagomål mail.docx", "A 63299-2025")</f>
        <v/>
      </c>
      <c r="AC27">
        <f>HYPERLINK("https://klasma.github.io/Logging_2085/tillsyn/A 63299-2025 tillsynsbegäran.docx", "A 63299-2025")</f>
        <v/>
      </c>
      <c r="AD27">
        <f>HYPERLINK("https://klasma.github.io/Logging_2085/tillsynsmail/A 63299-2025 tillsynsbegäran mail.docx", "A 63299-2025")</f>
        <v/>
      </c>
      <c r="AE27">
        <f>HYPERLINK("https://klasma.github.io/Logging_2085/fåglar/A 63299-2025 prioriterade fågelarter.docx", "A 63299-2025")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46294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46294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46294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46294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46294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46294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46294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63164-2025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46294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3.6</v>
      </c>
      <c r="J37" t="n">
        <v>1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1</v>
      </c>
      <c r="V37" s="2" t="inlineStr">
        <is>
          <t>Garnlav
Doftskinn
Gammelgransskål
Vedskivlav
Tjäder</t>
        </is>
      </c>
      <c r="W37">
        <f>HYPERLINK("https://klasma.github.io/Logging_2085/artfynd/A 63164-2025 artfynd.xlsx", "A 63164-2025")</f>
        <v/>
      </c>
      <c r="X37">
        <f>HYPERLINK("https://klasma.github.io/Logging_2085/kartor/A 63164-2025 karta.png", "A 63164-2025")</f>
        <v/>
      </c>
      <c r="Y37">
        <f>HYPERLINK("https://klasma.github.io/Logging_2085/kartor_geotiff/A 63164-2025 georefererad karta.tif", "A 63164-2025")</f>
        <v/>
      </c>
      <c r="AA37">
        <f>HYPERLINK("https://klasma.github.io/Logging_2085/klagomål/A 63164-2025 FSC-klagomål.docx", "A 63164-2025")</f>
        <v/>
      </c>
      <c r="AB37">
        <f>HYPERLINK("https://klasma.github.io/Logging_2085/klagomålsmail/A 63164-2025 FSC-klagomål mail.docx", "A 63164-2025")</f>
        <v/>
      </c>
      <c r="AC37">
        <f>HYPERLINK("https://klasma.github.io/Logging_2085/tillsyn/A 63164-2025 tillsynsbegäran.docx", "A 63164-2025")</f>
        <v/>
      </c>
      <c r="AD37">
        <f>HYPERLINK("https://klasma.github.io/Logging_2085/tillsynsmail/A 63164-2025 tillsynsbegäran mail.docx", "A 63164-2025")</f>
        <v/>
      </c>
      <c r="AE37">
        <f>HYPERLINK("https://klasma.github.io/Logging_2085/fåglar/A 63164-2025 prioriterade fågelarter.docx", "A 63164-2025")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46294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46294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46294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46294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46294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46294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46294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46294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46294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46294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46294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46294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46294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46294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28738-2026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46294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1.5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12</v>
      </c>
      <c r="U52" t="n">
        <v>12</v>
      </c>
      <c r="V52" s="2" t="inlineStr">
        <is>
          <t>Garnlav
Violettgrå tagellav
Mindre märgborre
Spillkråka</t>
        </is>
      </c>
      <c r="W52">
        <f>HYPERLINK("https://klasma.github.io/Logging_2085/artfynd/A 28738-2026 artfynd.xlsx", "A 28738-2026")</f>
        <v/>
      </c>
      <c r="X52">
        <f>HYPERLINK("https://klasma.github.io/Logging_2085/kartor/A 28738-2026 karta.png", "A 28738-2026")</f>
        <v/>
      </c>
      <c r="Y52">
        <f>HYPERLINK("https://klasma.github.io/Logging_2085/kartor_geotiff/A 28738-2026 georefererad karta.tif", "A 28738-2026")</f>
        <v/>
      </c>
      <c r="AA52">
        <f>HYPERLINK("https://klasma.github.io/Logging_2085/klagomål/A 28738-2026 FSC-klagomål.docx", "A 28738-2026")</f>
        <v/>
      </c>
      <c r="AB52">
        <f>HYPERLINK("https://klasma.github.io/Logging_2085/klagomålsmail/A 28738-2026 FSC-klagomål mail.docx", "A 28738-2026")</f>
        <v/>
      </c>
      <c r="AC52">
        <f>HYPERLINK("https://klasma.github.io/Logging_2085/tillsyn/A 28738-2026 tillsynsbegäran.docx", "A 28738-2026")</f>
        <v/>
      </c>
      <c r="AD52">
        <f>HYPERLINK("https://klasma.github.io/Logging_2085/tillsynsmail/A 28738-2026 tillsynsbegäran mail.docx", "A 28738-2026")</f>
        <v/>
      </c>
      <c r="AE52">
        <f>HYPERLINK("https://klasma.github.io/Logging_2085/fåglar/A 28738-2026 prioriterade fågelarter.docx", "A 28738-2026")</f>
        <v/>
      </c>
    </row>
    <row r="53" ht="15" customHeight="1">
      <c r="A53" t="inlineStr">
        <is>
          <t>A 38635-2026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46294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Lunglav
Mörk husmossa
Vedticka
Vågbandad barkbock</t>
        </is>
      </c>
      <c r="W53">
        <f>HYPERLINK("https://klasma.github.io/Logging_2085/artfynd/A 38635-2026 artfynd.xlsx", "A 38635-2026")</f>
        <v/>
      </c>
      <c r="X53">
        <f>HYPERLINK("https://klasma.github.io/Logging_2085/kartor/A 38635-2026 karta.png", "A 38635-2026")</f>
        <v/>
      </c>
      <c r="Y53">
        <f>HYPERLINK("https://klasma.github.io/Logging_2085/kartor_geotiff/A 38635-2026 georefererad karta.tif", "A 38635-2026")</f>
        <v/>
      </c>
      <c r="AA53">
        <f>HYPERLINK("https://klasma.github.io/Logging_2085/klagomål/A 38635-2026 FSC-klagomål.docx", "A 38635-2026")</f>
        <v/>
      </c>
      <c r="AB53">
        <f>HYPERLINK("https://klasma.github.io/Logging_2085/klagomålsmail/A 38635-2026 FSC-klagomål mail.docx", "A 38635-2026")</f>
        <v/>
      </c>
      <c r="AC53">
        <f>HYPERLINK("https://klasma.github.io/Logging_2085/tillsyn/A 38635-2026 tillsynsbegäran.docx", "A 38635-2026")</f>
        <v/>
      </c>
      <c r="AD53">
        <f>HYPERLINK("https://klasma.github.io/Logging_2085/tillsynsmail/A 38635-2026 tillsynsbegäran mail.docx", "A 38635-2026")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46294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46294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23682-2026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46163</v>
      </c>
      <c r="E56" s="1" t="n">
        <v>46294</v>
      </c>
      <c r="F56" t="inlineStr">
        <is>
          <t>DALARNAS LÄN</t>
        </is>
      </c>
      <c r="G56" t="inlineStr">
        <is>
          <t>LUDVIKA</t>
        </is>
      </c>
      <c r="I56" t="n">
        <v>3.9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Vårärt
Järpe
Spillkråka
Tjäder</t>
        </is>
      </c>
      <c r="W56">
        <f>HYPERLINK("https://klasma.github.io/Logging_2085/artfynd/A 23682-2026 artfynd.xlsx", "A 23682-2026")</f>
        <v/>
      </c>
      <c r="X56">
        <f>HYPERLINK("https://klasma.github.io/Logging_2085/kartor/A 23682-2026 karta.png", "A 23682-2026")</f>
        <v/>
      </c>
      <c r="Y56">
        <f>HYPERLINK("https://klasma.github.io/Logging_2085/kartor_geotiff/A 23682-2026 georefererad karta.tif", "A 23682-2026")</f>
        <v/>
      </c>
      <c r="AA56">
        <f>HYPERLINK("https://klasma.github.io/Logging_2085/klagomål/A 23682-2026 FSC-klagomål.docx", "A 23682-2026")</f>
        <v/>
      </c>
      <c r="AB56">
        <f>HYPERLINK("https://klasma.github.io/Logging_2085/klagomålsmail/A 23682-2026 FSC-klagomål mail.docx", "A 23682-2026")</f>
        <v/>
      </c>
      <c r="AC56">
        <f>HYPERLINK("https://klasma.github.io/Logging_2085/tillsyn/A 23682-2026 tillsynsbegäran.docx", "A 23682-2026")</f>
        <v/>
      </c>
      <c r="AD56">
        <f>HYPERLINK("https://klasma.github.io/Logging_2085/tillsynsmail/A 23682-2026 tillsynsbegäran mail.docx", "A 23682-2026")</f>
        <v/>
      </c>
      <c r="AE56">
        <f>HYPERLINK("https://klasma.github.io/Logging_2085/fåglar/A 23682-2026 prioriterade fågelarter.docx", "A 23682-2026")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46294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23087-2025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46294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Dropptaggsvamp
Motaggsvamp
Orange taggsvamp</t>
        </is>
      </c>
      <c r="W58">
        <f>HYPERLINK("https://klasma.github.io/Logging_2085/artfynd/A 23087-2025 artfynd.xlsx", "A 23087-2025")</f>
        <v/>
      </c>
      <c r="X58">
        <f>HYPERLINK("https://klasma.github.io/Logging_2085/kartor/A 23087-2025 karta.png", "A 23087-2025")</f>
        <v/>
      </c>
      <c r="Y58">
        <f>HYPERLINK("https://klasma.github.io/Logging_2085/kartor_geotiff/A 23087-2025 georefererad karta.tif", "A 23087-2025")</f>
        <v/>
      </c>
      <c r="AA58">
        <f>HYPERLINK("https://klasma.github.io/Logging_2085/klagomål/A 23087-2025 FSC-klagomål.docx", "A 23087-2025")</f>
        <v/>
      </c>
      <c r="AB58">
        <f>HYPERLINK("https://klasma.github.io/Logging_2085/klagomålsmail/A 23087-2025 FSC-klagomål mail.docx", "A 23087-2025")</f>
        <v/>
      </c>
      <c r="AC58">
        <f>HYPERLINK("https://klasma.github.io/Logging_2085/tillsyn/A 23087-2025 tillsynsbegäran.docx", "A 23087-2025")</f>
        <v/>
      </c>
      <c r="AD58">
        <f>HYPERLINK("https://klasma.github.io/Logging_2085/tillsynsmail/A 23087-2025 tillsynsbegäran mail.docx", "A 23087-2025")</f>
        <v/>
      </c>
    </row>
    <row r="59" ht="15" customHeight="1">
      <c r="A59" t="inlineStr">
        <is>
          <t>A 41456-2025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46294</v>
      </c>
      <c r="F59" t="inlineStr">
        <is>
          <t>DALARNAS LÄN</t>
        </is>
      </c>
      <c r="G59" t="inlineStr">
        <is>
          <t>LUDVIKA</t>
        </is>
      </c>
      <c r="I59" t="n">
        <v>1.9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Aspgelélav
Lunglav
Järpe</t>
        </is>
      </c>
      <c r="W59">
        <f>HYPERLINK("https://klasma.github.io/Logging_2085/artfynd/A 41456-2025 artfynd.xlsx", "A 41456-2025")</f>
        <v/>
      </c>
      <c r="X59">
        <f>HYPERLINK("https://klasma.github.io/Logging_2085/kartor/A 41456-2025 karta.png", "A 41456-2025")</f>
        <v/>
      </c>
      <c r="Y59">
        <f>HYPERLINK("https://klasma.github.io/Logging_2085/kartor_geotiff/A 41456-2025 georefererad karta.tif", "A 41456-2025")</f>
        <v/>
      </c>
      <c r="AA59">
        <f>HYPERLINK("https://klasma.github.io/Logging_2085/klagomål/A 41456-2025 FSC-klagomål.docx", "A 41456-2025")</f>
        <v/>
      </c>
      <c r="AB59">
        <f>HYPERLINK("https://klasma.github.io/Logging_2085/klagomålsmail/A 41456-2025 FSC-klagomål mail.docx", "A 41456-2025")</f>
        <v/>
      </c>
      <c r="AC59">
        <f>HYPERLINK("https://klasma.github.io/Logging_2085/tillsyn/A 41456-2025 tillsynsbegäran.docx", "A 41456-2025")</f>
        <v/>
      </c>
      <c r="AD59">
        <f>HYPERLINK("https://klasma.github.io/Logging_2085/tillsynsmail/A 41456-2025 tillsynsbegäran mail.docx", "A 41456-2025")</f>
        <v/>
      </c>
      <c r="AE59">
        <f>HYPERLINK("https://klasma.github.io/Logging_2085/fåglar/A 41456-2025 prioriterade fågelarter.docx", "A 41456-2025")</f>
        <v/>
      </c>
    </row>
    <row r="60" ht="15" customHeight="1">
      <c r="A60" t="inlineStr">
        <is>
          <t>A 74432-2021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44560</v>
      </c>
      <c r="E60" s="1" t="n">
        <v>46294</v>
      </c>
      <c r="F60" t="inlineStr">
        <is>
          <t>DALARNAS LÄN</t>
        </is>
      </c>
      <c r="G60" t="inlineStr">
        <is>
          <t>LUDVIKA</t>
        </is>
      </c>
      <c r="H60" t="inlineStr">
        <is>
          <t>Kommuner</t>
        </is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Spillkråka
Gröngöling
Kungsfågel</t>
        </is>
      </c>
      <c r="W60">
        <f>HYPERLINK("https://klasma.github.io/Logging_2085/artfynd/A 74432-2021 artfynd.xlsx", "A 74432-2021")</f>
        <v/>
      </c>
      <c r="X60">
        <f>HYPERLINK("https://klasma.github.io/Logging_2085/kartor/A 74432-2021 karta.png", "A 74432-2021")</f>
        <v/>
      </c>
      <c r="Y60">
        <f>HYPERLINK("https://klasma.github.io/Logging_2085/kartor_geotiff/A 74432-2021 georefererad karta.tif", "A 74432-2021")</f>
        <v/>
      </c>
      <c r="AA60">
        <f>HYPERLINK("https://klasma.github.io/Logging_2085/klagomål/A 74432-2021 FSC-klagomål.docx", "A 74432-2021")</f>
        <v/>
      </c>
      <c r="AB60">
        <f>HYPERLINK("https://klasma.github.io/Logging_2085/klagomålsmail/A 74432-2021 FSC-klagomål mail.docx", "A 74432-2021")</f>
        <v/>
      </c>
      <c r="AC60">
        <f>HYPERLINK("https://klasma.github.io/Logging_2085/tillsyn/A 74432-2021 tillsynsbegäran.docx", "A 74432-2021")</f>
        <v/>
      </c>
      <c r="AD60">
        <f>HYPERLINK("https://klasma.github.io/Logging_2085/tillsynsmail/A 74432-2021 tillsynsbegäran mail.docx", "A 74432-2021")</f>
        <v/>
      </c>
      <c r="AE60">
        <f>HYPERLINK("https://klasma.github.io/Logging_2085/fåglar/A 74432-2021 prioriterade fågelarter.docx", "A 74432-2021")</f>
        <v/>
      </c>
    </row>
    <row r="61" ht="15" customHeight="1">
      <c r="A61" t="inlineStr">
        <is>
          <t>A 29144-2023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45105</v>
      </c>
      <c r="E61" s="1" t="n">
        <v>46294</v>
      </c>
      <c r="F61" t="inlineStr">
        <is>
          <t>DALARNAS LÄN</t>
        </is>
      </c>
      <c r="G61" t="inlineStr">
        <is>
          <t>LUDVIKA</t>
        </is>
      </c>
      <c r="H61" t="inlineStr">
        <is>
          <t>Allmännings- och besparingsskogar</t>
        </is>
      </c>
      <c r="I61" t="n">
        <v>6.2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14</v>
      </c>
      <c r="U61" t="n">
        <v>0</v>
      </c>
      <c r="V61" s="2" t="inlineStr">
        <is>
          <t>Garnlav
Knärot
Brunklöver</t>
        </is>
      </c>
      <c r="W61">
        <f>HYPERLINK("https://klasma.github.io/Logging_2085/artfynd/A 29144-2023 artfynd.xlsx", "A 29144-2023")</f>
        <v/>
      </c>
      <c r="X61">
        <f>HYPERLINK("https://klasma.github.io/Logging_2085/kartor/A 29144-2023 karta.png", "A 29144-2023")</f>
        <v/>
      </c>
      <c r="Y61">
        <f>HYPERLINK("https://klasma.github.io/Logging_2085/kartor_geotiff/A 29144-2023 georefererad karta.tif", "A 29144-2023")</f>
        <v/>
      </c>
      <c r="Z61">
        <f>HYPERLINK("https://klasma.github.io/Logging_2085/knärot/A 29144-2023 karta knärot.png", "A 29144-2023")</f>
        <v/>
      </c>
      <c r="AA61">
        <f>HYPERLINK("https://klasma.github.io/Logging_2085/klagomål/A 29144-2023 FSC-klagomål.docx", "A 29144-2023")</f>
        <v/>
      </c>
      <c r="AB61">
        <f>HYPERLINK("https://klasma.github.io/Logging_2085/klagomålsmail/A 29144-2023 FSC-klagomål mail.docx", "A 29144-2023")</f>
        <v/>
      </c>
      <c r="AC61">
        <f>HYPERLINK("https://klasma.github.io/Logging_2085/tillsyn/A 29144-2023 tillsynsbegäran.docx", "A 29144-2023")</f>
        <v/>
      </c>
      <c r="AD61">
        <f>HYPERLINK("https://klasma.github.io/Logging_2085/tillsynsmail/A 29144-2023 tillsynsbegäran mail.docx", "A 29144-2023")</f>
        <v/>
      </c>
    </row>
    <row r="62" ht="15" customHeight="1">
      <c r="A62" t="inlineStr">
        <is>
          <t>A 18759-2026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46294</v>
      </c>
      <c r="F62" t="inlineStr">
        <is>
          <t>DALARNAS LÄN</t>
        </is>
      </c>
      <c r="G62" t="inlineStr">
        <is>
          <t>LUDVIKA</t>
        </is>
      </c>
      <c r="H62" t="inlineStr">
        <is>
          <t>Bergvik skog väst AB</t>
        </is>
      </c>
      <c r="I62" t="n">
        <v>3.5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11</v>
      </c>
      <c r="U62" t="n">
        <v>0</v>
      </c>
      <c r="V62" s="2" t="inlineStr">
        <is>
          <t>Knärot
Dropptaggsvamp
Nattviol</t>
        </is>
      </c>
      <c r="W62">
        <f>HYPERLINK("https://klasma.github.io/Logging_2085/artfynd/A 18759-2026 artfynd.xlsx", "A 18759-2026")</f>
        <v/>
      </c>
      <c r="X62">
        <f>HYPERLINK("https://klasma.github.io/Logging_2085/kartor/A 18759-2026 karta.png", "A 18759-2026")</f>
        <v/>
      </c>
      <c r="Y62">
        <f>HYPERLINK("https://klasma.github.io/Logging_2085/kartor_geotiff/A 18759-2026 georefererad karta.tif", "A 18759-2026")</f>
        <v/>
      </c>
      <c r="Z62">
        <f>HYPERLINK("https://klasma.github.io/Logging_2085/knärot/A 18759-2026 karta knärot.png", "A 18759-2026")</f>
        <v/>
      </c>
      <c r="AA62">
        <f>HYPERLINK("https://klasma.github.io/Logging_2085/klagomål/A 18759-2026 FSC-klagomål.docx", "A 18759-2026")</f>
        <v/>
      </c>
      <c r="AB62">
        <f>HYPERLINK("https://klasma.github.io/Logging_2085/klagomålsmail/A 18759-2026 FSC-klagomål mail.docx", "A 18759-2026")</f>
        <v/>
      </c>
      <c r="AC62">
        <f>HYPERLINK("https://klasma.github.io/Logging_2085/tillsyn/A 18759-2026 tillsynsbegäran.docx", "A 18759-2026")</f>
        <v/>
      </c>
      <c r="AD62">
        <f>HYPERLINK("https://klasma.github.io/Logging_2085/tillsynsmail/A 18759-2026 tillsynsbegäran mail.docx", "A 18759-2026")</f>
        <v/>
      </c>
    </row>
    <row r="63" ht="15" customHeight="1">
      <c r="A63" t="inlineStr">
        <is>
          <t>A 24425-2026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46168</v>
      </c>
      <c r="E63" s="1" t="n">
        <v>46294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5.6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6</v>
      </c>
      <c r="U63" t="n">
        <v>0</v>
      </c>
      <c r="V63" s="2" t="inlineStr">
        <is>
          <t>Tretåig hackspett
Spillkråka
Sälg</t>
        </is>
      </c>
      <c r="W63">
        <f>HYPERLINK("https://klasma.github.io/Logging_2085/artfynd/A 24425-2026 artfynd.xlsx", "A 24425-2026")</f>
        <v/>
      </c>
      <c r="X63">
        <f>HYPERLINK("https://klasma.github.io/Logging_2085/kartor/A 24425-2026 karta.png", "A 24425-2026")</f>
        <v/>
      </c>
      <c r="Y63">
        <f>HYPERLINK("https://klasma.github.io/Logging_2085/kartor_geotiff/A 24425-2026 georefererad karta.tif", "A 24425-2026")</f>
        <v/>
      </c>
      <c r="AA63">
        <f>HYPERLINK("https://klasma.github.io/Logging_2085/klagomål/A 24425-2026 FSC-klagomål.docx", "A 24425-2026")</f>
        <v/>
      </c>
      <c r="AB63">
        <f>HYPERLINK("https://klasma.github.io/Logging_2085/klagomålsmail/A 24425-2026 FSC-klagomål mail.docx", "A 24425-2026")</f>
        <v/>
      </c>
      <c r="AC63">
        <f>HYPERLINK("https://klasma.github.io/Logging_2085/tillsyn/A 24425-2026 tillsynsbegäran.docx", "A 24425-2026")</f>
        <v/>
      </c>
      <c r="AD63">
        <f>HYPERLINK("https://klasma.github.io/Logging_2085/tillsynsmail/A 24425-2026 tillsynsbegäran mail.docx", "A 24425-2026")</f>
        <v/>
      </c>
      <c r="AE63">
        <f>HYPERLINK("https://klasma.github.io/Logging_2085/fåglar/A 24425-2026 prioriterade fågelarter.docx", "A 24425-2026")</f>
        <v/>
      </c>
    </row>
    <row r="64" ht="15" customHeight="1">
      <c r="A64" t="inlineStr">
        <is>
          <t>A 43226-2025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46294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4</v>
      </c>
      <c r="V64" s="2" t="inlineStr">
        <is>
          <t>Tretåig hackspett
Rävticka
Rödgul trumpetsvamp</t>
        </is>
      </c>
      <c r="W64">
        <f>HYPERLINK("https://klasma.github.io/Logging_2085/artfynd/A 43226-2025 artfynd.xlsx", "A 43226-2025")</f>
        <v/>
      </c>
      <c r="X64">
        <f>HYPERLINK("https://klasma.github.io/Logging_2085/kartor/A 43226-2025 karta.png", "A 43226-2025")</f>
        <v/>
      </c>
      <c r="Y64">
        <f>HYPERLINK("https://klasma.github.io/Logging_2085/kartor_geotiff/A 43226-2025 georefererad karta.tif", "A 43226-2025")</f>
        <v/>
      </c>
      <c r="AA64">
        <f>HYPERLINK("https://klasma.github.io/Logging_2085/klagomål/A 43226-2025 FSC-klagomål.docx", "A 43226-2025")</f>
        <v/>
      </c>
      <c r="AB64">
        <f>HYPERLINK("https://klasma.github.io/Logging_2085/klagomålsmail/A 43226-2025 FSC-klagomål mail.docx", "A 43226-2025")</f>
        <v/>
      </c>
      <c r="AC64">
        <f>HYPERLINK("https://klasma.github.io/Logging_2085/tillsyn/A 43226-2025 tillsynsbegäran.docx", "A 43226-2025")</f>
        <v/>
      </c>
      <c r="AD64">
        <f>HYPERLINK("https://klasma.github.io/Logging_2085/tillsynsmail/A 43226-2025 tillsynsbegäran mail.docx", "A 43226-2025")</f>
        <v/>
      </c>
      <c r="AE64">
        <f>HYPERLINK("https://klasma.github.io/Logging_2085/fåglar/A 43226-2025 prioriterade fågelarter.docx", "A 43226-2025")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46294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49051-2024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46294</v>
      </c>
      <c r="F66" t="inlineStr">
        <is>
          <t>DALARNAS LÄN</t>
        </is>
      </c>
      <c r="G66" t="inlineStr">
        <is>
          <t>LUDVIKA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2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Ladparasitspik
Vedkastanjelav</t>
        </is>
      </c>
      <c r="W66">
        <f>HYPERLINK("https://klasma.github.io/Logging_2085/artfynd/A 49051-2024 artfynd.xlsx", "A 49051-2024")</f>
        <v/>
      </c>
      <c r="X66">
        <f>HYPERLINK("https://klasma.github.io/Logging_2085/kartor/A 49051-2024 karta.png", "A 49051-2024")</f>
        <v/>
      </c>
      <c r="Y66">
        <f>HYPERLINK("https://klasma.github.io/Logging_2085/kartor_geotiff/A 49051-2024 georefererad karta.tif", "A 49051-2024")</f>
        <v/>
      </c>
      <c r="AA66">
        <f>HYPERLINK("https://klasma.github.io/Logging_2085/klagomål/A 49051-2024 FSC-klagomål.docx", "A 49051-2024")</f>
        <v/>
      </c>
      <c r="AB66">
        <f>HYPERLINK("https://klasma.github.io/Logging_2085/klagomålsmail/A 49051-2024 FSC-klagomål mail.docx", "A 49051-2024")</f>
        <v/>
      </c>
      <c r="AC66">
        <f>HYPERLINK("https://klasma.github.io/Logging_2085/tillsyn/A 49051-2024 tillsynsbegäran.docx", "A 49051-2024")</f>
        <v/>
      </c>
      <c r="AD66">
        <f>HYPERLINK("https://klasma.github.io/Logging_2085/tillsynsmail/A 49051-2024 tillsynsbegäran mail.docx", "A 49051-2024")</f>
        <v/>
      </c>
    </row>
    <row r="67" ht="15" customHeight="1">
      <c r="A67" t="inlineStr">
        <is>
          <t>A 42558-2022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44831</v>
      </c>
      <c r="E67" s="1" t="n">
        <v>46294</v>
      </c>
      <c r="F67" t="inlineStr">
        <is>
          <t>DALARNAS LÄN</t>
        </is>
      </c>
      <c r="G67" t="inlineStr">
        <is>
          <t>LUDVIKA</t>
        </is>
      </c>
      <c r="H67" t="inlineStr">
        <is>
          <t>Naturvårdsverket</t>
        </is>
      </c>
      <c r="I67" t="n">
        <v>4.9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Gräddporing
Lopplummer (aggregat)</t>
        </is>
      </c>
      <c r="W67">
        <f>HYPERLINK("https://klasma.github.io/Logging_2085/artfynd/A 42558-2022 artfynd.xlsx", "A 42558-2022")</f>
        <v/>
      </c>
      <c r="X67">
        <f>HYPERLINK("https://klasma.github.io/Logging_2085/kartor/A 42558-2022 karta.png", "A 42558-2022")</f>
        <v/>
      </c>
      <c r="Y67">
        <f>HYPERLINK("https://klasma.github.io/Logging_2085/kartor_geotiff/A 42558-2022 georefererad karta.tif", "A 42558-2022")</f>
        <v/>
      </c>
      <c r="AA67">
        <f>HYPERLINK("https://klasma.github.io/Logging_2085/klagomål/A 42558-2022 FSC-klagomål.docx", "A 42558-2022")</f>
        <v/>
      </c>
      <c r="AB67">
        <f>HYPERLINK("https://klasma.github.io/Logging_2085/klagomålsmail/A 42558-2022 FSC-klagomål mail.docx", "A 42558-2022")</f>
        <v/>
      </c>
      <c r="AC67">
        <f>HYPERLINK("https://klasma.github.io/Logging_2085/tillsyn/A 42558-2022 tillsynsbegäran.docx", "A 42558-2022")</f>
        <v/>
      </c>
      <c r="AD67">
        <f>HYPERLINK("https://klasma.github.io/Logging_2085/tillsynsmail/A 42558-2022 tillsynsbegäran mail.docx", "A 42558-2022")</f>
        <v/>
      </c>
    </row>
    <row r="68" ht="15" customHeight="1">
      <c r="A68" t="inlineStr">
        <is>
          <t>A 44262-2025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46294</v>
      </c>
      <c r="F68" t="inlineStr">
        <is>
          <t>DALARNAS LÄN</t>
        </is>
      </c>
      <c r="G68" t="inlineStr">
        <is>
          <t>LUDVIKA</t>
        </is>
      </c>
      <c r="I68" t="n">
        <v>3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6</v>
      </c>
      <c r="U68" t="n">
        <v>0</v>
      </c>
      <c r="V68" s="2" t="inlineStr">
        <is>
          <t>Nordfladdermus
Fläcknycklar</t>
        </is>
      </c>
      <c r="W68">
        <f>HYPERLINK("https://klasma.github.io/Logging_2085/artfynd/A 44262-2025 artfynd.xlsx", "A 44262-2025")</f>
        <v/>
      </c>
      <c r="X68">
        <f>HYPERLINK("https://klasma.github.io/Logging_2085/kartor/A 44262-2025 karta.png", "A 44262-2025")</f>
        <v/>
      </c>
      <c r="Y68">
        <f>HYPERLINK("https://klasma.github.io/Logging_2085/kartor_geotiff/A 44262-2025 georefererad karta.tif", "A 44262-2025")</f>
        <v/>
      </c>
      <c r="AA68">
        <f>HYPERLINK("https://klasma.github.io/Logging_2085/klagomål/A 44262-2025 FSC-klagomål.docx", "A 44262-2025")</f>
        <v/>
      </c>
      <c r="AB68">
        <f>HYPERLINK("https://klasma.github.io/Logging_2085/klagomålsmail/A 44262-2025 FSC-klagomål mail.docx", "A 44262-2025")</f>
        <v/>
      </c>
      <c r="AC68">
        <f>HYPERLINK("https://klasma.github.io/Logging_2085/tillsyn/A 44262-2025 tillsynsbegäran.docx", "A 44262-2025")</f>
        <v/>
      </c>
      <c r="AD68">
        <f>HYPERLINK("https://klasma.github.io/Logging_2085/tillsynsmail/A 44262-2025 tillsynsbegäran mail.docx", "A 44262-2025")</f>
        <v/>
      </c>
    </row>
    <row r="69" ht="15" customHeight="1">
      <c r="A69" t="inlineStr">
        <is>
          <t>A 33155-2024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45518</v>
      </c>
      <c r="E69" s="1" t="n">
        <v>46294</v>
      </c>
      <c r="F69" t="inlineStr">
        <is>
          <t>DALARNAS LÄN</t>
        </is>
      </c>
      <c r="G69" t="inlineStr">
        <is>
          <t>LUDVIKA</t>
        </is>
      </c>
      <c r="I69" t="n">
        <v>2.9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Brunpudrad nållav
Tretåig hackspett</t>
        </is>
      </c>
      <c r="W69">
        <f>HYPERLINK("https://klasma.github.io/Logging_2085/artfynd/A 33155-2024 artfynd.xlsx", "A 33155-2024")</f>
        <v/>
      </c>
      <c r="X69">
        <f>HYPERLINK("https://klasma.github.io/Logging_2085/kartor/A 33155-2024 karta.png", "A 33155-2024")</f>
        <v/>
      </c>
      <c r="Y69">
        <f>HYPERLINK("https://klasma.github.io/Logging_2085/kartor_geotiff/A 33155-2024 georefererad karta.tif", "A 33155-2024")</f>
        <v/>
      </c>
      <c r="AA69">
        <f>HYPERLINK("https://klasma.github.io/Logging_2085/klagomål/A 33155-2024 FSC-klagomål.docx", "A 33155-2024")</f>
        <v/>
      </c>
      <c r="AB69">
        <f>HYPERLINK("https://klasma.github.io/Logging_2085/klagomålsmail/A 33155-2024 FSC-klagomål mail.docx", "A 33155-2024")</f>
        <v/>
      </c>
      <c r="AC69">
        <f>HYPERLINK("https://klasma.github.io/Logging_2085/tillsyn/A 33155-2024 tillsynsbegäran.docx", "A 33155-2024")</f>
        <v/>
      </c>
      <c r="AD69">
        <f>HYPERLINK("https://klasma.github.io/Logging_2085/tillsynsmail/A 33155-2024 tillsynsbegäran mail.docx", "A 33155-2024")</f>
        <v/>
      </c>
      <c r="AE69">
        <f>HYPERLINK("https://klasma.github.io/Logging_2085/fåglar/A 33155-2024 prioriterade fågelarter.docx", "A 33155-2024")</f>
        <v/>
      </c>
    </row>
    <row r="70" ht="15" customHeight="1">
      <c r="A70" t="inlineStr">
        <is>
          <t>A 49767-2025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46294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4</v>
      </c>
      <c r="U70" t="n">
        <v>4</v>
      </c>
      <c r="V70" s="2" t="inlineStr">
        <is>
          <t>Garnlav
Tretåig hackspett</t>
        </is>
      </c>
      <c r="W70">
        <f>HYPERLINK("https://klasma.github.io/Logging_2085/artfynd/A 49767-2025 artfynd.xlsx", "A 49767-2025")</f>
        <v/>
      </c>
      <c r="X70">
        <f>HYPERLINK("https://klasma.github.io/Logging_2085/kartor/A 49767-2025 karta.png", "A 49767-2025")</f>
        <v/>
      </c>
      <c r="Y70">
        <f>HYPERLINK("https://klasma.github.io/Logging_2085/kartor_geotiff/A 49767-2025 georefererad karta.tif", "A 49767-2025")</f>
        <v/>
      </c>
      <c r="AA70">
        <f>HYPERLINK("https://klasma.github.io/Logging_2085/klagomål/A 49767-2025 FSC-klagomål.docx", "A 49767-2025")</f>
        <v/>
      </c>
      <c r="AB70">
        <f>HYPERLINK("https://klasma.github.io/Logging_2085/klagomålsmail/A 49767-2025 FSC-klagomål mail.docx", "A 49767-2025")</f>
        <v/>
      </c>
      <c r="AC70">
        <f>HYPERLINK("https://klasma.github.io/Logging_2085/tillsyn/A 49767-2025 tillsynsbegäran.docx", "A 49767-2025")</f>
        <v/>
      </c>
      <c r="AD70">
        <f>HYPERLINK("https://klasma.github.io/Logging_2085/tillsynsmail/A 49767-2025 tillsynsbegäran mail.docx", "A 49767-2025")</f>
        <v/>
      </c>
      <c r="AE70">
        <f>HYPERLINK("https://klasma.github.io/Logging_2085/fåglar/A 49767-2025 prioriterade fågelarter.docx", "A 49767-2025")</f>
        <v/>
      </c>
    </row>
    <row r="71" ht="15" customHeight="1">
      <c r="A71" t="inlineStr">
        <is>
          <t>A 50170-2025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46294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Labyrintlav
Gulnål</t>
        </is>
      </c>
      <c r="W71">
        <f>HYPERLINK("https://klasma.github.io/Logging_2085/artfynd/A 50170-2025 artfynd.xlsx", "A 50170-2025")</f>
        <v/>
      </c>
      <c r="X71">
        <f>HYPERLINK("https://klasma.github.io/Logging_2085/kartor/A 50170-2025 karta.png", "A 50170-2025")</f>
        <v/>
      </c>
      <c r="Y71">
        <f>HYPERLINK("https://klasma.github.io/Logging_2085/kartor_geotiff/A 50170-2025 georefererad karta.tif", "A 50170-2025")</f>
        <v/>
      </c>
      <c r="AA71">
        <f>HYPERLINK("https://klasma.github.io/Logging_2085/klagomål/A 50170-2025 FSC-klagomål.docx", "A 50170-2025")</f>
        <v/>
      </c>
      <c r="AB71">
        <f>HYPERLINK("https://klasma.github.io/Logging_2085/klagomålsmail/A 50170-2025 FSC-klagomål mail.docx", "A 50170-2025")</f>
        <v/>
      </c>
      <c r="AC71">
        <f>HYPERLINK("https://klasma.github.io/Logging_2085/tillsyn/A 50170-2025 tillsynsbegäran.docx", "A 50170-2025")</f>
        <v/>
      </c>
      <c r="AD71">
        <f>HYPERLINK("https://klasma.github.io/Logging_2085/tillsynsmail/A 50170-2025 tillsynsbegäran mail.docx", "A 50170-2025")</f>
        <v/>
      </c>
    </row>
    <row r="72" ht="15" customHeight="1">
      <c r="A72" t="inlineStr">
        <is>
          <t>A 56179-2025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46294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Gultoppig fingersvamp
Kortskaftad ärgspik</t>
        </is>
      </c>
      <c r="W72">
        <f>HYPERLINK("https://klasma.github.io/Logging_2085/artfynd/A 56179-2025 artfynd.xlsx", "A 56179-2025")</f>
        <v/>
      </c>
      <c r="X72">
        <f>HYPERLINK("https://klasma.github.io/Logging_2085/kartor/A 56179-2025 karta.png", "A 56179-2025")</f>
        <v/>
      </c>
      <c r="Y72">
        <f>HYPERLINK("https://klasma.github.io/Logging_2085/kartor_geotiff/A 56179-2025 georefererad karta.tif", "A 56179-2025")</f>
        <v/>
      </c>
      <c r="Z72">
        <f>HYPERLINK("https://klasma.github.io/Logging_2085/knärot/A 56179-2025 karta knärot.png", "A 56179-2025")</f>
        <v/>
      </c>
      <c r="AA72">
        <f>HYPERLINK("https://klasma.github.io/Logging_2085/klagomål/A 56179-2025 FSC-klagomål.docx", "A 56179-2025")</f>
        <v/>
      </c>
      <c r="AB72">
        <f>HYPERLINK("https://klasma.github.io/Logging_2085/klagomålsmail/A 56179-2025 FSC-klagomål mail.docx", "A 56179-2025")</f>
        <v/>
      </c>
      <c r="AC72">
        <f>HYPERLINK("https://klasma.github.io/Logging_2085/tillsyn/A 56179-2025 tillsynsbegäran.docx", "A 56179-2025")</f>
        <v/>
      </c>
      <c r="AD72">
        <f>HYPERLINK("https://klasma.github.io/Logging_2085/tillsynsmail/A 56179-2025 tillsynsbegäran mail.docx", "A 56179-2025")</f>
        <v/>
      </c>
    </row>
    <row r="73" ht="15" customHeight="1">
      <c r="A73" t="inlineStr">
        <is>
          <t>A 21369-2023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45063</v>
      </c>
      <c r="E73" s="1" t="n">
        <v>46294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0.4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Skogsalm
Tibast</t>
        </is>
      </c>
      <c r="W73">
        <f>HYPERLINK("https://klasma.github.io/Logging_2085/artfynd/A 21369-2023 artfynd.xlsx", "A 21369-2023")</f>
        <v/>
      </c>
      <c r="X73">
        <f>HYPERLINK("https://klasma.github.io/Logging_2085/kartor/A 21369-2023 karta.png", "A 21369-2023")</f>
        <v/>
      </c>
      <c r="Y73">
        <f>HYPERLINK("https://klasma.github.io/Logging_2085/kartor_geotiff/A 21369-2023 georefererad karta.tif", "A 21369-2023")</f>
        <v/>
      </c>
      <c r="AA73">
        <f>HYPERLINK("https://klasma.github.io/Logging_2085/klagomål/A 21369-2023 FSC-klagomål.docx", "A 21369-2023")</f>
        <v/>
      </c>
      <c r="AB73">
        <f>HYPERLINK("https://klasma.github.io/Logging_2085/klagomålsmail/A 21369-2023 FSC-klagomål mail.docx", "A 21369-2023")</f>
        <v/>
      </c>
      <c r="AC73">
        <f>HYPERLINK("https://klasma.github.io/Logging_2085/tillsyn/A 21369-2023 tillsynsbegäran.docx", "A 21369-2023")</f>
        <v/>
      </c>
      <c r="AD73">
        <f>HYPERLINK("https://klasma.github.io/Logging_2085/tillsynsmail/A 21369-2023 tillsynsbegäran mail.docx", "A 21369-2023")</f>
        <v/>
      </c>
    </row>
    <row r="74" ht="15" customHeight="1">
      <c r="A74" t="inlineStr">
        <is>
          <t>A 45225-2024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45575</v>
      </c>
      <c r="E74" s="1" t="n">
        <v>46294</v>
      </c>
      <c r="F74" t="inlineStr">
        <is>
          <t>DALARNAS LÄN</t>
        </is>
      </c>
      <c r="G74" t="inlineStr">
        <is>
          <t>LUDVIKA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Kungsfågel
Ärtsångare</t>
        </is>
      </c>
      <c r="W74">
        <f>HYPERLINK("https://klasma.github.io/Logging_2085/artfynd/A 45225-2024 artfynd.xlsx", "A 45225-2024")</f>
        <v/>
      </c>
      <c r="X74">
        <f>HYPERLINK("https://klasma.github.io/Logging_2085/kartor/A 45225-2024 karta.png", "A 45225-2024")</f>
        <v/>
      </c>
      <c r="Y74">
        <f>HYPERLINK("https://klasma.github.io/Logging_2085/kartor_geotiff/A 45225-2024 georefererad karta.tif", "A 45225-2024")</f>
        <v/>
      </c>
      <c r="AA74">
        <f>HYPERLINK("https://klasma.github.io/Logging_2085/klagomål/A 45225-2024 FSC-klagomål.docx", "A 45225-2024")</f>
        <v/>
      </c>
      <c r="AB74">
        <f>HYPERLINK("https://klasma.github.io/Logging_2085/klagomålsmail/A 45225-2024 FSC-klagomål mail.docx", "A 45225-2024")</f>
        <v/>
      </c>
      <c r="AC74">
        <f>HYPERLINK("https://klasma.github.io/Logging_2085/tillsyn/A 45225-2024 tillsynsbegäran.docx", "A 45225-2024")</f>
        <v/>
      </c>
      <c r="AD74">
        <f>HYPERLINK("https://klasma.github.io/Logging_2085/tillsynsmail/A 45225-2024 tillsynsbegäran mail.docx", "A 45225-2024")</f>
        <v/>
      </c>
    </row>
    <row r="75" ht="15" customHeight="1">
      <c r="A75" t="inlineStr">
        <is>
          <t>A 56879-2025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46294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Tjäder</t>
        </is>
      </c>
      <c r="W75">
        <f>HYPERLINK("https://klasma.github.io/Logging_2085/artfynd/A 56879-2025 artfynd.xlsx", "A 56879-2025")</f>
        <v/>
      </c>
      <c r="X75">
        <f>HYPERLINK("https://klasma.github.io/Logging_2085/kartor/A 56879-2025 karta.png", "A 56879-2025")</f>
        <v/>
      </c>
      <c r="Y75">
        <f>HYPERLINK("https://klasma.github.io/Logging_2085/kartor_geotiff/A 56879-2025 georefererad karta.tif", "A 56879-2025")</f>
        <v/>
      </c>
      <c r="AA75">
        <f>HYPERLINK("https://klasma.github.io/Logging_2085/klagomål/A 56879-2025 FSC-klagomål.docx", "A 56879-2025")</f>
        <v/>
      </c>
      <c r="AB75">
        <f>HYPERLINK("https://klasma.github.io/Logging_2085/klagomålsmail/A 56879-2025 FSC-klagomål mail.docx", "A 56879-2025")</f>
        <v/>
      </c>
      <c r="AC75">
        <f>HYPERLINK("https://klasma.github.io/Logging_2085/tillsyn/A 56879-2025 tillsynsbegäran.docx", "A 56879-2025")</f>
        <v/>
      </c>
      <c r="AD75">
        <f>HYPERLINK("https://klasma.github.io/Logging_2085/tillsynsmail/A 56879-2025 tillsynsbegäran mail.docx", "A 56879-2025")</f>
        <v/>
      </c>
      <c r="AE75">
        <f>HYPERLINK("https://klasma.github.io/Logging_2085/fåglar/A 56879-2025 prioriterade fågelarter.docx", "A 56879-2025")</f>
        <v/>
      </c>
    </row>
    <row r="76" ht="15" customHeight="1">
      <c r="A76" t="inlineStr">
        <is>
          <t>A 11755-2023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46294</v>
      </c>
      <c r="F76" t="inlineStr">
        <is>
          <t>DALARNAS LÄN</t>
        </is>
      </c>
      <c r="G76" t="inlineStr">
        <is>
          <t>LUDVIKA</t>
        </is>
      </c>
      <c r="H76" t="inlineStr">
        <is>
          <t>Övriga Aktiebolag</t>
        </is>
      </c>
      <c r="I76" t="n">
        <v>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Spillkråka</t>
        </is>
      </c>
      <c r="W76">
        <f>HYPERLINK("https://klasma.github.io/Logging_2085/artfynd/A 11755-2023 artfynd.xlsx", "A 11755-2023")</f>
        <v/>
      </c>
      <c r="X76">
        <f>HYPERLINK("https://klasma.github.io/Logging_2085/kartor/A 11755-2023 karta.png", "A 11755-2023")</f>
        <v/>
      </c>
      <c r="Y76">
        <f>HYPERLINK("https://klasma.github.io/Logging_2085/kartor_geotiff/A 11755-2023 georefererad karta.tif", "A 11755-2023")</f>
        <v/>
      </c>
      <c r="AA76">
        <f>HYPERLINK("https://klasma.github.io/Logging_2085/klagomål/A 11755-2023 FSC-klagomål.docx", "A 11755-2023")</f>
        <v/>
      </c>
      <c r="AB76">
        <f>HYPERLINK("https://klasma.github.io/Logging_2085/klagomålsmail/A 11755-2023 FSC-klagomål mail.docx", "A 11755-2023")</f>
        <v/>
      </c>
      <c r="AC76">
        <f>HYPERLINK("https://klasma.github.io/Logging_2085/tillsyn/A 11755-2023 tillsynsbegäran.docx", "A 11755-2023")</f>
        <v/>
      </c>
      <c r="AD76">
        <f>HYPERLINK("https://klasma.github.io/Logging_2085/tillsynsmail/A 11755-2023 tillsynsbegäran mail.docx", "A 11755-2023")</f>
        <v/>
      </c>
      <c r="AE76">
        <f>HYPERLINK("https://klasma.github.io/Logging_2085/fåglar/A 11755-2023 prioriterade fågelarter.docx", "A 11755-2023")</f>
        <v/>
      </c>
    </row>
    <row r="77" ht="15" customHeight="1">
      <c r="A77" t="inlineStr">
        <is>
          <t>A 3809-2024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46294</v>
      </c>
      <c r="F77" t="inlineStr">
        <is>
          <t>DALARNAS LÄN</t>
        </is>
      </c>
      <c r="G77" t="inlineStr">
        <is>
          <t>LUDVIKA</t>
        </is>
      </c>
      <c r="I77" t="n">
        <v>0.5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8</v>
      </c>
      <c r="U77" t="n">
        <v>8</v>
      </c>
      <c r="V77" s="2" t="inlineStr">
        <is>
          <t>Nordfladdermus
Fläcknycklar</t>
        </is>
      </c>
      <c r="W77">
        <f>HYPERLINK("https://klasma.github.io/Logging_2085/artfynd/A 3809-2024 artfynd.xlsx", "A 3809-2024")</f>
        <v/>
      </c>
      <c r="X77">
        <f>HYPERLINK("https://klasma.github.io/Logging_2085/kartor/A 3809-2024 karta.png", "A 3809-2024")</f>
        <v/>
      </c>
      <c r="Y77">
        <f>HYPERLINK("https://klasma.github.io/Logging_2085/kartor_geotiff/A 3809-2024 georefererad karta.tif", "A 3809-2024")</f>
        <v/>
      </c>
      <c r="AA77">
        <f>HYPERLINK("https://klasma.github.io/Logging_2085/klagomål/A 3809-2024 FSC-klagomål.docx", "A 3809-2024")</f>
        <v/>
      </c>
      <c r="AB77">
        <f>HYPERLINK("https://klasma.github.io/Logging_2085/klagomålsmail/A 3809-2024 FSC-klagomål mail.docx", "A 3809-2024")</f>
        <v/>
      </c>
      <c r="AC77">
        <f>HYPERLINK("https://klasma.github.io/Logging_2085/tillsyn/A 3809-2024 tillsynsbegäran.docx", "A 3809-2024")</f>
        <v/>
      </c>
      <c r="AD77">
        <f>HYPERLINK("https://klasma.github.io/Logging_2085/tillsynsmail/A 3809-2024 tillsynsbegäran mail.docx", "A 3809-2024")</f>
        <v/>
      </c>
    </row>
    <row r="78" ht="15" customHeight="1">
      <c r="A78" t="inlineStr">
        <is>
          <t>A 21876-2026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46294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Tretåig hackspett</t>
        </is>
      </c>
      <c r="W78">
        <f>HYPERLINK("https://klasma.github.io/Logging_2085/artfynd/A 21876-2026 artfynd.xlsx", "A 21876-2026")</f>
        <v/>
      </c>
      <c r="X78">
        <f>HYPERLINK("https://klasma.github.io/Logging_2085/kartor/A 21876-2026 karta.png", "A 21876-2026")</f>
        <v/>
      </c>
      <c r="Y78">
        <f>HYPERLINK("https://klasma.github.io/Logging_2085/kartor_geotiff/A 21876-2026 georefererad karta.tif", "A 21876-2026")</f>
        <v/>
      </c>
      <c r="AA78">
        <f>HYPERLINK("https://klasma.github.io/Logging_2085/klagomål/A 21876-2026 FSC-klagomål.docx", "A 21876-2026")</f>
        <v/>
      </c>
      <c r="AB78">
        <f>HYPERLINK("https://klasma.github.io/Logging_2085/klagomålsmail/A 21876-2026 FSC-klagomål mail.docx", "A 21876-2026")</f>
        <v/>
      </c>
      <c r="AC78">
        <f>HYPERLINK("https://klasma.github.io/Logging_2085/tillsyn/A 21876-2026 tillsynsbegäran.docx", "A 21876-2026")</f>
        <v/>
      </c>
      <c r="AD78">
        <f>HYPERLINK("https://klasma.github.io/Logging_2085/tillsynsmail/A 21876-2026 tillsynsbegäran mail.docx", "A 21876-2026")</f>
        <v/>
      </c>
      <c r="AE78">
        <f>HYPERLINK("https://klasma.github.io/Logging_2085/fåglar/A 21876-2026 prioriterade fågelarter.docx", "A 21876-2026")</f>
        <v/>
      </c>
    </row>
    <row r="79" ht="15" customHeight="1">
      <c r="A79" t="inlineStr">
        <is>
          <t>A 19512-2022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44693</v>
      </c>
      <c r="E79" s="1" t="n">
        <v>46294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2.8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Tretåig hackspett
Nästlav</t>
        </is>
      </c>
      <c r="W79">
        <f>HYPERLINK("https://klasma.github.io/Logging_2085/artfynd/A 19512-2022 artfynd.xlsx", "A 19512-2022")</f>
        <v/>
      </c>
      <c r="X79">
        <f>HYPERLINK("https://klasma.github.io/Logging_2085/kartor/A 19512-2022 karta.png", "A 19512-2022")</f>
        <v/>
      </c>
      <c r="Y79">
        <f>HYPERLINK("https://klasma.github.io/Logging_2085/kartor_geotiff/A 19512-2022 georefererad karta.tif", "A 19512-2022")</f>
        <v/>
      </c>
      <c r="AA79">
        <f>HYPERLINK("https://klasma.github.io/Logging_2085/klagomål/A 19512-2022 FSC-klagomål.docx", "A 19512-2022")</f>
        <v/>
      </c>
      <c r="AB79">
        <f>HYPERLINK("https://klasma.github.io/Logging_2085/klagomålsmail/A 19512-2022 FSC-klagomål mail.docx", "A 19512-2022")</f>
        <v/>
      </c>
      <c r="AC79">
        <f>HYPERLINK("https://klasma.github.io/Logging_2085/tillsyn/A 19512-2022 tillsynsbegäran.docx", "A 19512-2022")</f>
        <v/>
      </c>
      <c r="AD79">
        <f>HYPERLINK("https://klasma.github.io/Logging_2085/tillsynsmail/A 19512-2022 tillsynsbegäran mail.docx", "A 19512-2022")</f>
        <v/>
      </c>
      <c r="AE79">
        <f>HYPERLINK("https://klasma.github.io/Logging_2085/fåglar/A 19512-2022 prioriterade fågelarter.docx", "A 19512-2022")</f>
        <v/>
      </c>
    </row>
    <row r="80" ht="15" customHeight="1">
      <c r="A80" t="inlineStr">
        <is>
          <t>A 18024-2026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46125</v>
      </c>
      <c r="E80" s="1" t="n">
        <v>46294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1.9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Skinnlav
Svavelriska</t>
        </is>
      </c>
      <c r="W80">
        <f>HYPERLINK("https://klasma.github.io/Logging_2085/artfynd/A 18024-2026 artfynd.xlsx", "A 18024-2026")</f>
        <v/>
      </c>
      <c r="X80">
        <f>HYPERLINK("https://klasma.github.io/Logging_2085/kartor/A 18024-2026 karta.png", "A 18024-2026")</f>
        <v/>
      </c>
      <c r="Y80">
        <f>HYPERLINK("https://klasma.github.io/Logging_2085/kartor_geotiff/A 18024-2026 georefererad karta.tif", "A 18024-2026")</f>
        <v/>
      </c>
      <c r="AA80">
        <f>HYPERLINK("https://klasma.github.io/Logging_2085/klagomål/A 18024-2026 FSC-klagomål.docx", "A 18024-2026")</f>
        <v/>
      </c>
      <c r="AB80">
        <f>HYPERLINK("https://klasma.github.io/Logging_2085/klagomålsmail/A 18024-2026 FSC-klagomål mail.docx", "A 18024-2026")</f>
        <v/>
      </c>
      <c r="AC80">
        <f>HYPERLINK("https://klasma.github.io/Logging_2085/tillsyn/A 18024-2026 tillsynsbegäran.docx", "A 18024-2026")</f>
        <v/>
      </c>
      <c r="AD80">
        <f>HYPERLINK("https://klasma.github.io/Logging_2085/tillsynsmail/A 18024-2026 tillsynsbegäran mail.docx", "A 18024-2026")</f>
        <v/>
      </c>
    </row>
    <row r="81" ht="15" customHeight="1">
      <c r="A81" t="inlineStr">
        <is>
          <t>A 23919-2026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46167</v>
      </c>
      <c r="E81" s="1" t="n">
        <v>46294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Korallblylav
Skinnlav</t>
        </is>
      </c>
      <c r="W81">
        <f>HYPERLINK("https://klasma.github.io/Logging_2085/artfynd/A 23919-2026 artfynd.xlsx", "A 23919-2026")</f>
        <v/>
      </c>
      <c r="X81">
        <f>HYPERLINK("https://klasma.github.io/Logging_2085/kartor/A 23919-2026 karta.png", "A 23919-2026")</f>
        <v/>
      </c>
      <c r="Y81">
        <f>HYPERLINK("https://klasma.github.io/Logging_2085/kartor_geotiff/A 23919-2026 georefererad karta.tif", "A 23919-2026")</f>
        <v/>
      </c>
      <c r="AA81">
        <f>HYPERLINK("https://klasma.github.io/Logging_2085/klagomål/A 23919-2026 FSC-klagomål.docx", "A 23919-2026")</f>
        <v/>
      </c>
      <c r="AB81">
        <f>HYPERLINK("https://klasma.github.io/Logging_2085/klagomålsmail/A 23919-2026 FSC-klagomål mail.docx", "A 23919-2026")</f>
        <v/>
      </c>
      <c r="AC81">
        <f>HYPERLINK("https://klasma.github.io/Logging_2085/tillsyn/A 23919-2026 tillsynsbegäran.docx", "A 23919-2026")</f>
        <v/>
      </c>
      <c r="AD81">
        <f>HYPERLINK("https://klasma.github.io/Logging_2085/tillsynsmail/A 23919-2026 tillsynsbegäran mail.docx", "A 23919-2026")</f>
        <v/>
      </c>
    </row>
    <row r="82" ht="15" customHeight="1">
      <c r="A82" t="inlineStr">
        <is>
          <t>A 28727-2026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46198</v>
      </c>
      <c r="E82" s="1" t="n">
        <v>46294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14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Garnlav
Mindre märgborre</t>
        </is>
      </c>
      <c r="W82">
        <f>HYPERLINK("https://klasma.github.io/Logging_2085/artfynd/A 28727-2026 artfynd.xlsx", "A 28727-2026")</f>
        <v/>
      </c>
      <c r="X82">
        <f>HYPERLINK("https://klasma.github.io/Logging_2085/kartor/A 28727-2026 karta.png", "A 28727-2026")</f>
        <v/>
      </c>
      <c r="Y82">
        <f>HYPERLINK("https://klasma.github.io/Logging_2085/kartor_geotiff/A 28727-2026 georefererad karta.tif", "A 28727-2026")</f>
        <v/>
      </c>
      <c r="AA82">
        <f>HYPERLINK("https://klasma.github.io/Logging_2085/klagomål/A 28727-2026 FSC-klagomål.docx", "A 28727-2026")</f>
        <v/>
      </c>
      <c r="AB82">
        <f>HYPERLINK("https://klasma.github.io/Logging_2085/klagomålsmail/A 28727-2026 FSC-klagomål mail.docx", "A 28727-2026")</f>
        <v/>
      </c>
      <c r="AC82">
        <f>HYPERLINK("https://klasma.github.io/Logging_2085/tillsyn/A 28727-2026 tillsynsbegäran.docx", "A 28727-2026")</f>
        <v/>
      </c>
      <c r="AD82">
        <f>HYPERLINK("https://klasma.github.io/Logging_2085/tillsynsmail/A 28727-2026 tillsynsbegäran mail.docx", "A 28727-2026")</f>
        <v/>
      </c>
    </row>
    <row r="83" ht="15" customHeight="1">
      <c r="A83" t="inlineStr">
        <is>
          <t>A 55399-2025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45971</v>
      </c>
      <c r="E83" s="1" t="n">
        <v>46294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11.5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HYPERLINK("https://klasma.github.io/Logging_2085/artfynd/A 55399-2025 artfynd.xlsx", "A 55399-2025")</f>
        <v/>
      </c>
      <c r="X83">
        <f>HYPERLINK("https://klasma.github.io/Logging_2085/kartor/A 55399-2025 karta.png", "A 55399-2025")</f>
        <v/>
      </c>
      <c r="Y83">
        <f>HYPERLINK("https://klasma.github.io/Logging_2085/kartor_geotiff/A 55399-2025 georefererad karta.tif", "A 55399-2025")</f>
        <v/>
      </c>
      <c r="AA83">
        <f>HYPERLINK("https://klasma.github.io/Logging_2085/klagomål/A 55399-2025 FSC-klagomål.docx", "A 55399-2025")</f>
        <v/>
      </c>
      <c r="AB83">
        <f>HYPERLINK("https://klasma.github.io/Logging_2085/klagomålsmail/A 55399-2025 FSC-klagomål mail.docx", "A 55399-2025")</f>
        <v/>
      </c>
      <c r="AC83">
        <f>HYPERLINK("https://klasma.github.io/Logging_2085/tillsyn/A 55399-2025 tillsynsbegäran.docx", "A 55399-2025")</f>
        <v/>
      </c>
      <c r="AD83">
        <f>HYPERLINK("https://klasma.github.io/Logging_2085/tillsynsmail/A 55399-2025 tillsynsbegäran mail.docx", "A 55399-2025")</f>
        <v/>
      </c>
      <c r="AE83">
        <f>HYPERLINK("https://klasma.github.io/Logging_2085/fåglar/A 55399-2025 prioriterade fågelarter.docx", "A 55399-2025")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46294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46294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46294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46294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56826-2025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46294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4.5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8</v>
      </c>
      <c r="U88" t="n">
        <v>8</v>
      </c>
      <c r="V88" s="2" t="inlineStr">
        <is>
          <t>Garnlav
Tretåig hackspett</t>
        </is>
      </c>
      <c r="W88">
        <f>HYPERLINK("https://klasma.github.io/Logging_2085/artfynd/A 56826-2025 artfynd.xlsx", "A 56826-2025")</f>
        <v/>
      </c>
      <c r="X88">
        <f>HYPERLINK("https://klasma.github.io/Logging_2085/kartor/A 56826-2025 karta.png", "A 56826-2025")</f>
        <v/>
      </c>
      <c r="Y88">
        <f>HYPERLINK("https://klasma.github.io/Logging_2085/kartor_geotiff/A 56826-2025 georefererad karta.tif", "A 56826-2025")</f>
        <v/>
      </c>
      <c r="AA88">
        <f>HYPERLINK("https://klasma.github.io/Logging_2085/klagomål/A 56826-2025 FSC-klagomål.docx", "A 56826-2025")</f>
        <v/>
      </c>
      <c r="AB88">
        <f>HYPERLINK("https://klasma.github.io/Logging_2085/klagomålsmail/A 56826-2025 FSC-klagomål mail.docx", "A 56826-2025")</f>
        <v/>
      </c>
      <c r="AC88">
        <f>HYPERLINK("https://klasma.github.io/Logging_2085/tillsyn/A 56826-2025 tillsynsbegäran.docx", "A 56826-2025")</f>
        <v/>
      </c>
      <c r="AD88">
        <f>HYPERLINK("https://klasma.github.io/Logging_2085/tillsynsmail/A 56826-2025 tillsynsbegäran mail.docx", "A 56826-2025")</f>
        <v/>
      </c>
      <c r="AE88">
        <f>HYPERLINK("https://klasma.github.io/Logging_2085/fåglar/A 56826-2025 prioriterade fågelarter.docx", "A 56826-2025")</f>
        <v/>
      </c>
    </row>
    <row r="89" ht="15" customHeight="1">
      <c r="A89" t="inlineStr">
        <is>
          <t>S 296-2025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45687</v>
      </c>
      <c r="E89" s="1" t="n">
        <v>46294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278.6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Brunpudrad nållav
Rödgul trumpetsvamp</t>
        </is>
      </c>
      <c r="W89">
        <f>HYPERLINK("https://klasma.github.io/Logging_2085/artfynd/S 296-2025 artfynd.xlsx", "S 296-2025")</f>
        <v/>
      </c>
      <c r="X89">
        <f>HYPERLINK("https://klasma.github.io/Logging_2085/kartor/S 296-2025 karta.png", "S 296-2025")</f>
        <v/>
      </c>
      <c r="Y89">
        <f>HYPERLINK("https://klasma.github.io/Logging_2085/kartor_geotiff/S 296-2025 georefererad karta.tif", "S 296-2025")</f>
        <v/>
      </c>
      <c r="AA89">
        <f>HYPERLINK("https://klasma.github.io/Logging_2085/klagomål/S 296-2025 FSC-klagomål.docx", "S 296-2025")</f>
        <v/>
      </c>
      <c r="AB89">
        <f>HYPERLINK("https://klasma.github.io/Logging_2085/klagomålsmail/S 296-2025 FSC-klagomål mail.docx", "S 296-2025")</f>
        <v/>
      </c>
      <c r="AC89">
        <f>HYPERLINK("https://klasma.github.io/Logging_2085/tillsyn/S 296-2025 tillsynsbegäran.docx", "S 296-2025")</f>
        <v/>
      </c>
      <c r="AD89">
        <f>HYPERLINK("https://klasma.github.io/Logging_2085/tillsynsmail/S 296-2025 tillsynsbegäran mail.docx", "S 296-2025")</f>
        <v/>
      </c>
    </row>
    <row r="90" ht="15" customHeight="1">
      <c r="A90" t="inlineStr">
        <is>
          <t>S 3586-2025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46010</v>
      </c>
      <c r="E90" s="1" t="n">
        <v>46294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275.6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1</v>
      </c>
      <c r="V90" s="2" t="inlineStr">
        <is>
          <t>Garnlav
Järpe</t>
        </is>
      </c>
      <c r="W90">
        <f>HYPERLINK("https://klasma.github.io/Logging_2085/artfynd/S 3586-2025 artfynd.xlsx", "S 3586-2025")</f>
        <v/>
      </c>
      <c r="X90">
        <f>HYPERLINK("https://klasma.github.io/Logging_2085/kartor/S 3586-2025 karta.png", "S 3586-2025")</f>
        <v/>
      </c>
      <c r="Y90">
        <f>HYPERLINK("https://klasma.github.io/Logging_2085/kartor_geotiff/S 3586-2025 georefererad karta.tif", "S 3586-2025")</f>
        <v/>
      </c>
      <c r="AA90">
        <f>HYPERLINK("https://klasma.github.io/Logging_2085/klagomål/S 3586-2025 FSC-klagomål.docx", "S 3586-2025")</f>
        <v/>
      </c>
      <c r="AB90">
        <f>HYPERLINK("https://klasma.github.io/Logging_2085/klagomålsmail/S 3586-2025 FSC-klagomål mail.docx", "S 3586-2025")</f>
        <v/>
      </c>
      <c r="AC90">
        <f>HYPERLINK("https://klasma.github.io/Logging_2085/tillsyn/S 3586-2025 tillsynsbegäran.docx", "S 3586-2025")</f>
        <v/>
      </c>
      <c r="AD90">
        <f>HYPERLINK("https://klasma.github.io/Logging_2085/tillsynsmail/S 3586-2025 tillsynsbegäran mail.docx", "S 3586-2025")</f>
        <v/>
      </c>
      <c r="AE90">
        <f>HYPERLINK("https://klasma.github.io/Logging_2085/fåglar/S 3586-2025 prioriterade fågelarter.docx", "S 3586-2025")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46294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46294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46294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46294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46294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HYPERLINK("https://klasma.github.io/Logging_2085/artfynd/A 56119-2021 artfynd.xlsx", "A 56119-2021")</f>
        <v/>
      </c>
      <c r="X95">
        <f>HYPERLINK("https://klasma.github.io/Logging_2085/kartor/A 56119-2021 karta.png", "A 56119-2021")</f>
        <v/>
      </c>
      <c r="Y95">
        <f>HYPERLINK("https://klasma.github.io/Logging_2085/kartor_geotiff/A 56119-2021 georefererad karta.tif", "A 56119-2021")</f>
        <v/>
      </c>
      <c r="AA95">
        <f>HYPERLINK("https://klasma.github.io/Logging_2085/klagomål/A 56119-2021 FSC-klagomål.docx", "A 56119-2021")</f>
        <v/>
      </c>
      <c r="AB95">
        <f>HYPERLINK("https://klasma.github.io/Logging_2085/klagomålsmail/A 56119-2021 FSC-klagomål mail.docx", "A 56119-2021")</f>
        <v/>
      </c>
      <c r="AC95">
        <f>HYPERLINK("https://klasma.github.io/Logging_2085/tillsyn/A 56119-2021 tillsynsbegäran.docx", "A 56119-2021")</f>
        <v/>
      </c>
      <c r="AD95">
        <f>HYPERLINK("https://klasma.github.io/Logging_2085/tillsynsmail/A 56119-2021 tillsynsbegäran mail.docx", "A 56119-2021")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46294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HYPERLINK("https://klasma.github.io/Logging_2085/artfynd/A 18189-2025 artfynd.xlsx", "A 18189-2025")</f>
        <v/>
      </c>
      <c r="X96">
        <f>HYPERLINK("https://klasma.github.io/Logging_2085/kartor/A 18189-2025 karta.png", "A 18189-2025")</f>
        <v/>
      </c>
      <c r="Y96">
        <f>HYPERLINK("https://klasma.github.io/Logging_2085/kartor_geotiff/A 18189-2025 georefererad karta.tif", "A 18189-2025")</f>
        <v/>
      </c>
      <c r="AA96">
        <f>HYPERLINK("https://klasma.github.io/Logging_2085/klagomål/A 18189-2025 FSC-klagomål.docx", "A 18189-2025")</f>
        <v/>
      </c>
      <c r="AB96">
        <f>HYPERLINK("https://klasma.github.io/Logging_2085/klagomålsmail/A 18189-2025 FSC-klagomål mail.docx", "A 18189-2025")</f>
        <v/>
      </c>
      <c r="AC96">
        <f>HYPERLINK("https://klasma.github.io/Logging_2085/tillsyn/A 18189-2025 tillsynsbegäran.docx", "A 18189-2025")</f>
        <v/>
      </c>
      <c r="AD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46294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29882-2024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45486</v>
      </c>
      <c r="E98" s="1" t="n">
        <v>46294</v>
      </c>
      <c r="F98" t="inlineStr">
        <is>
          <t>DALARNAS LÄN</t>
        </is>
      </c>
      <c r="G98" t="inlineStr">
        <is>
          <t>LUDVIKA</t>
        </is>
      </c>
      <c r="I98" t="n">
        <v>1.3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HYPERLINK("https://klasma.github.io/Logging_2085/artfynd/A 29882-2024 artfynd.xlsx", "A 29882-2024")</f>
        <v/>
      </c>
      <c r="X98">
        <f>HYPERLINK("https://klasma.github.io/Logging_2085/kartor/A 29882-2024 karta.png", "A 29882-2024")</f>
        <v/>
      </c>
      <c r="Y98">
        <f>HYPERLINK("https://klasma.github.io/Logging_2085/kartor_geotiff/A 29882-2024 georefererad karta.tif", "A 29882-2024")</f>
        <v/>
      </c>
      <c r="AA98">
        <f>HYPERLINK("https://klasma.github.io/Logging_2085/klagomål/A 29882-2024 FSC-klagomål.docx", "A 29882-2024")</f>
        <v/>
      </c>
      <c r="AB98">
        <f>HYPERLINK("https://klasma.github.io/Logging_2085/klagomålsmail/A 29882-2024 FSC-klagomål mail.docx", "A 29882-2024")</f>
        <v/>
      </c>
      <c r="AC98">
        <f>HYPERLINK("https://klasma.github.io/Logging_2085/tillsyn/A 29882-2024 tillsynsbegäran.docx", "A 29882-2024")</f>
        <v/>
      </c>
      <c r="AD98">
        <f>HYPERLINK("https://klasma.github.io/Logging_2085/tillsynsmail/A 29882-2024 tillsynsbegäran mail.docx", "A 29882-2024")</f>
        <v/>
      </c>
      <c r="AE98">
        <f>HYPERLINK("https://klasma.github.io/Logging_2085/fåglar/A 29882-2024 prioriterade fågelarter.docx", "A 29882-2024")</f>
        <v/>
      </c>
    </row>
    <row r="99" ht="15" customHeight="1">
      <c r="A99" t="inlineStr">
        <is>
          <t>A 23102-2025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46294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HYPERLINK("https://klasma.github.io/Logging_2085/artfynd/A 23102-2025 artfynd.xlsx", "A 23102-2025")</f>
        <v/>
      </c>
      <c r="X99">
        <f>HYPERLINK("https://klasma.github.io/Logging_2085/kartor/A 23102-2025 karta.png", "A 23102-2025")</f>
        <v/>
      </c>
      <c r="Y99">
        <f>HYPERLINK("https://klasma.github.io/Logging_2085/kartor_geotiff/A 23102-2025 georefererad karta.tif", "A 23102-2025")</f>
        <v/>
      </c>
      <c r="AA99">
        <f>HYPERLINK("https://klasma.github.io/Logging_2085/klagomål/A 23102-2025 FSC-klagomål.docx", "A 23102-2025")</f>
        <v/>
      </c>
      <c r="AB99">
        <f>HYPERLINK("https://klasma.github.io/Logging_2085/klagomålsmail/A 23102-2025 FSC-klagomål mail.docx", "A 23102-2025")</f>
        <v/>
      </c>
      <c r="AC99">
        <f>HYPERLINK("https://klasma.github.io/Logging_2085/tillsyn/A 23102-2025 tillsynsbegäran.docx", "A 23102-2025")</f>
        <v/>
      </c>
      <c r="AD99">
        <f>HYPERLINK("https://klasma.github.io/Logging_2085/tillsynsmail/A 23102-2025 tillsynsbegäran mail.docx", "A 23102-2025")</f>
        <v/>
      </c>
    </row>
    <row r="100" ht="15" customHeight="1">
      <c r="A100" t="inlineStr">
        <is>
          <t>A 62676-2025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46294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Kolflarnlav</t>
        </is>
      </c>
      <c r="W100">
        <f>HYPERLINK("https://klasma.github.io/Logging_2085/artfynd/A 62676-2025 artfynd.xlsx", "A 62676-2025")</f>
        <v/>
      </c>
      <c r="X100">
        <f>HYPERLINK("https://klasma.github.io/Logging_2085/kartor/A 62676-2025 karta.png", "A 62676-2025")</f>
        <v/>
      </c>
      <c r="Y100">
        <f>HYPERLINK("https://klasma.github.io/Logging_2085/kartor_geotiff/A 62676-2025 georefererad karta.tif", "A 62676-2025")</f>
        <v/>
      </c>
      <c r="AA100">
        <f>HYPERLINK("https://klasma.github.io/Logging_2085/klagomål/A 62676-2025 FSC-klagomål.docx", "A 62676-2025")</f>
        <v/>
      </c>
      <c r="AB100">
        <f>HYPERLINK("https://klasma.github.io/Logging_2085/klagomålsmail/A 62676-2025 FSC-klagomål mail.docx", "A 62676-2025")</f>
        <v/>
      </c>
      <c r="AC100">
        <f>HYPERLINK("https://klasma.github.io/Logging_2085/tillsyn/A 62676-2025 tillsynsbegäran.docx", "A 62676-2025")</f>
        <v/>
      </c>
      <c r="AD100">
        <f>HYPERLINK("https://klasma.github.io/Logging_2085/tillsynsmail/A 62676-2025 tillsynsbegäran mail.docx", "A 62676-2025")</f>
        <v/>
      </c>
    </row>
    <row r="101" ht="15" customHeight="1">
      <c r="A101" t="inlineStr">
        <is>
          <t>A 6579-2023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44960</v>
      </c>
      <c r="E101" s="1" t="n">
        <v>46294</v>
      </c>
      <c r="F101" t="inlineStr">
        <is>
          <t>DALARNAS LÄN</t>
        </is>
      </c>
      <c r="G101" t="inlineStr">
        <is>
          <t>LUDVIKA</t>
        </is>
      </c>
      <c r="I101" t="n">
        <v>3.4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Blomkålssvamp</t>
        </is>
      </c>
      <c r="W101">
        <f>HYPERLINK("https://klasma.github.io/Logging_2085/artfynd/A 6579-2023 artfynd.xlsx", "A 6579-2023")</f>
        <v/>
      </c>
      <c r="X101">
        <f>HYPERLINK("https://klasma.github.io/Logging_2085/kartor/A 6579-2023 karta.png", "A 6579-2023")</f>
        <v/>
      </c>
      <c r="Y101">
        <f>HYPERLINK("https://klasma.github.io/Logging_2085/kartor_geotiff/A 6579-2023 georefererad karta.tif", "A 6579-2023")</f>
        <v/>
      </c>
      <c r="AA101">
        <f>HYPERLINK("https://klasma.github.io/Logging_2085/klagomål/A 6579-2023 FSC-klagomål.docx", "A 6579-2023")</f>
        <v/>
      </c>
      <c r="AB101">
        <f>HYPERLINK("https://klasma.github.io/Logging_2085/klagomålsmail/A 6579-2023 FSC-klagomål mail.docx", "A 6579-2023")</f>
        <v/>
      </c>
      <c r="AC101">
        <f>HYPERLINK("https://klasma.github.io/Logging_2085/tillsyn/A 6579-2023 tillsynsbegäran.docx", "A 6579-2023")</f>
        <v/>
      </c>
      <c r="AD101">
        <f>HYPERLINK("https://klasma.github.io/Logging_2085/tillsynsmail/A 6579-2023 tillsynsbegäran mail.docx", "A 6579-2023")</f>
        <v/>
      </c>
    </row>
    <row r="102" ht="15" customHeight="1">
      <c r="A102" t="inlineStr">
        <is>
          <t>A 55550-2022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46294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Ögonpyrola</t>
        </is>
      </c>
      <c r="W102">
        <f>HYPERLINK("https://klasma.github.io/Logging_2085/artfynd/A 55550-2022 artfynd.xlsx", "A 55550-2022")</f>
        <v/>
      </c>
      <c r="X102">
        <f>HYPERLINK("https://klasma.github.io/Logging_2085/kartor/A 55550-2022 karta.png", "A 55550-2022")</f>
        <v/>
      </c>
      <c r="Y102">
        <f>HYPERLINK("https://klasma.github.io/Logging_2085/kartor_geotiff/A 55550-2022 georefererad karta.tif", "A 55550-2022")</f>
        <v/>
      </c>
      <c r="AA102">
        <f>HYPERLINK("https://klasma.github.io/Logging_2085/klagomål/A 55550-2022 FSC-klagomål.docx", "A 55550-2022")</f>
        <v/>
      </c>
      <c r="AB102">
        <f>HYPERLINK("https://klasma.github.io/Logging_2085/klagomålsmail/A 55550-2022 FSC-klagomål mail.docx", "A 55550-2022")</f>
        <v/>
      </c>
      <c r="AC102">
        <f>HYPERLINK("https://klasma.github.io/Logging_2085/tillsyn/A 55550-2022 tillsynsbegäran.docx", "A 55550-2022")</f>
        <v/>
      </c>
      <c r="AD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46294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45858-2025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46294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Granbarkgnagare</t>
        </is>
      </c>
      <c r="W104">
        <f>HYPERLINK("https://klasma.github.io/Logging_2085/artfynd/A 45858-2025 artfynd.xlsx", "A 45858-2025")</f>
        <v/>
      </c>
      <c r="X104">
        <f>HYPERLINK("https://klasma.github.io/Logging_2085/kartor/A 45858-2025 karta.png", "A 45858-2025")</f>
        <v/>
      </c>
      <c r="Y104">
        <f>HYPERLINK("https://klasma.github.io/Logging_2085/kartor_geotiff/A 45858-2025 georefererad karta.tif", "A 45858-2025")</f>
        <v/>
      </c>
      <c r="AA104">
        <f>HYPERLINK("https://klasma.github.io/Logging_2085/klagomål/A 45858-2025 FSC-klagomål.docx", "A 45858-2025")</f>
        <v/>
      </c>
      <c r="AB104">
        <f>HYPERLINK("https://klasma.github.io/Logging_2085/klagomålsmail/A 45858-2025 FSC-klagomål mail.docx", "A 45858-2025")</f>
        <v/>
      </c>
      <c r="AC104">
        <f>HYPERLINK("https://klasma.github.io/Logging_2085/tillsyn/A 45858-2025 tillsynsbegäran.docx", "A 45858-2025")</f>
        <v/>
      </c>
      <c r="AD104">
        <f>HYPERLINK("https://klasma.github.io/Logging_2085/tillsynsmail/A 45858-2025 tillsynsbegäran mail.docx", "A 45858-2025")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46294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29733-2025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46294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10.4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Stuplav</t>
        </is>
      </c>
      <c r="W106">
        <f>HYPERLINK("https://klasma.github.io/Logging_2085/artfynd/A 29733-2025 artfynd.xlsx", "A 29733-2025")</f>
        <v/>
      </c>
      <c r="X106">
        <f>HYPERLINK("https://klasma.github.io/Logging_2085/kartor/A 29733-2025 karta.png", "A 29733-2025")</f>
        <v/>
      </c>
      <c r="Y106">
        <f>HYPERLINK("https://klasma.github.io/Logging_2085/kartor_geotiff/A 29733-2025 georefererad karta.tif", "A 29733-2025")</f>
        <v/>
      </c>
      <c r="AA106">
        <f>HYPERLINK("https://klasma.github.io/Logging_2085/klagomål/A 29733-2025 FSC-klagomål.docx", "A 29733-2025")</f>
        <v/>
      </c>
      <c r="AB106">
        <f>HYPERLINK("https://klasma.github.io/Logging_2085/klagomålsmail/A 29733-2025 FSC-klagomål mail.docx", "A 29733-2025")</f>
        <v/>
      </c>
      <c r="AC106">
        <f>HYPERLINK("https://klasma.github.io/Logging_2085/tillsyn/A 29733-2025 tillsynsbegäran.docx", "A 29733-2025")</f>
        <v/>
      </c>
      <c r="AD106">
        <f>HYPERLINK("https://klasma.github.io/Logging_2085/tillsynsmail/A 29733-2025 tillsynsbegäran mail.docx", "A 29733-2025")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46294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74401-2021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46294</v>
      </c>
      <c r="F108" t="inlineStr">
        <is>
          <t>DALARNAS LÄN</t>
        </is>
      </c>
      <c r="G108" t="inlineStr">
        <is>
          <t>LUDVIKA</t>
        </is>
      </c>
      <c r="H108" t="inlineStr">
        <is>
          <t>Kommuner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Gullgröppa</t>
        </is>
      </c>
      <c r="W108">
        <f>HYPERLINK("https://klasma.github.io/Logging_2085/artfynd/A 74401-2021 artfynd.xlsx", "A 74401-2021")</f>
        <v/>
      </c>
      <c r="X108">
        <f>HYPERLINK("https://klasma.github.io/Logging_2085/kartor/A 74401-2021 karta.png", "A 74401-2021")</f>
        <v/>
      </c>
      <c r="Y108">
        <f>HYPERLINK("https://klasma.github.io/Logging_2085/kartor_geotiff/A 74401-2021 georefererad karta.tif", "A 74401-2021")</f>
        <v/>
      </c>
      <c r="AA108">
        <f>HYPERLINK("https://klasma.github.io/Logging_2085/klagomål/A 74401-2021 FSC-klagomål.docx", "A 74401-2021")</f>
        <v/>
      </c>
      <c r="AB108">
        <f>HYPERLINK("https://klasma.github.io/Logging_2085/klagomålsmail/A 74401-2021 FSC-klagomål mail.docx", "A 74401-2021")</f>
        <v/>
      </c>
      <c r="AC108">
        <f>HYPERLINK("https://klasma.github.io/Logging_2085/tillsyn/A 74401-2021 tillsynsbegäran.docx", "A 74401-2021")</f>
        <v/>
      </c>
      <c r="AD108">
        <f>HYPERLINK("https://klasma.github.io/Logging_2085/tillsynsmail/A 74401-2021 tillsynsbegäran mail.docx", "A 74401-2021")</f>
        <v/>
      </c>
    </row>
    <row r="109" ht="15" customHeight="1">
      <c r="A109" t="inlineStr">
        <is>
          <t>A 59947-2025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46294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0.5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Tjäder</t>
        </is>
      </c>
      <c r="W109">
        <f>HYPERLINK("https://klasma.github.io/Logging_2085/artfynd/A 59947-2025 artfynd.xlsx", "A 59947-2025")</f>
        <v/>
      </c>
      <c r="X109">
        <f>HYPERLINK("https://klasma.github.io/Logging_2085/kartor/A 59947-2025 karta.png", "A 59947-2025")</f>
        <v/>
      </c>
      <c r="Y109">
        <f>HYPERLINK("https://klasma.github.io/Logging_2085/kartor_geotiff/A 59947-2025 georefererad karta.tif", "A 59947-2025")</f>
        <v/>
      </c>
      <c r="AA109">
        <f>HYPERLINK("https://klasma.github.io/Logging_2085/klagomål/A 59947-2025 FSC-klagomål.docx", "A 59947-2025")</f>
        <v/>
      </c>
      <c r="AB109">
        <f>HYPERLINK("https://klasma.github.io/Logging_2085/klagomålsmail/A 59947-2025 FSC-klagomål mail.docx", "A 59947-2025")</f>
        <v/>
      </c>
      <c r="AC109">
        <f>HYPERLINK("https://klasma.github.io/Logging_2085/tillsyn/A 59947-2025 tillsynsbegäran.docx", "A 59947-2025")</f>
        <v/>
      </c>
      <c r="AD109">
        <f>HYPERLINK("https://klasma.github.io/Logging_2085/tillsynsmail/A 59947-2025 tillsynsbegäran mail.docx", "A 59947-2025")</f>
        <v/>
      </c>
      <c r="AE109">
        <f>HYPERLINK("https://klasma.github.io/Logging_2085/fåglar/A 59947-2025 prioriterade fågelarter.docx", "A 59947-2025")</f>
        <v/>
      </c>
    </row>
    <row r="110" ht="15" customHeight="1">
      <c r="A110" t="inlineStr">
        <is>
          <t>A 3687-2024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46294</v>
      </c>
      <c r="F110" t="inlineStr">
        <is>
          <t>DALARNAS LÄN</t>
        </is>
      </c>
      <c r="G110" t="inlineStr">
        <is>
          <t>LUDVIKA</t>
        </is>
      </c>
      <c r="I110" t="n">
        <v>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3687-2024 artfynd.xlsx", "A 3687-2024")</f>
        <v/>
      </c>
      <c r="X110">
        <f>HYPERLINK("https://klasma.github.io/Logging_2085/kartor/A 3687-2024 karta.png", "A 3687-2024")</f>
        <v/>
      </c>
      <c r="Y110">
        <f>HYPERLINK("https://klasma.github.io/Logging_2085/kartor_geotiff/A 3687-2024 georefererad karta.tif", "A 3687-2024")</f>
        <v/>
      </c>
      <c r="AA110">
        <f>HYPERLINK("https://klasma.github.io/Logging_2085/klagomål/A 3687-2024 FSC-klagomål.docx", "A 3687-2024")</f>
        <v/>
      </c>
      <c r="AB110">
        <f>HYPERLINK("https://klasma.github.io/Logging_2085/klagomålsmail/A 3687-2024 FSC-klagomål mail.docx", "A 3687-2024")</f>
        <v/>
      </c>
      <c r="AC110">
        <f>HYPERLINK("https://klasma.github.io/Logging_2085/tillsyn/A 3687-2024 tillsynsbegäran.docx", "A 3687-2024")</f>
        <v/>
      </c>
      <c r="AD110">
        <f>HYPERLINK("https://klasma.github.io/Logging_2085/tillsynsmail/A 3687-2024 tillsynsbegäran mail.docx", "A 3687-2024")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46294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59873-2025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46294</v>
      </c>
      <c r="F112" t="inlineStr">
        <is>
          <t>DALARNAS LÄN</t>
        </is>
      </c>
      <c r="G112" t="inlineStr">
        <is>
          <t>LUDVIKA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Lateritticka</t>
        </is>
      </c>
      <c r="W112">
        <f>HYPERLINK("https://klasma.github.io/Logging_2085/artfynd/A 59873-2025 artfynd.xlsx", "A 59873-2025")</f>
        <v/>
      </c>
      <c r="X112">
        <f>HYPERLINK("https://klasma.github.io/Logging_2085/kartor/A 59873-2025 karta.png", "A 59873-2025")</f>
        <v/>
      </c>
      <c r="Y112">
        <f>HYPERLINK("https://klasma.github.io/Logging_2085/kartor_geotiff/A 59873-2025 georefererad karta.tif", "A 59873-2025")</f>
        <v/>
      </c>
      <c r="AA112">
        <f>HYPERLINK("https://klasma.github.io/Logging_2085/klagomål/A 59873-2025 FSC-klagomål.docx", "A 59873-2025")</f>
        <v/>
      </c>
      <c r="AB112">
        <f>HYPERLINK("https://klasma.github.io/Logging_2085/klagomålsmail/A 59873-2025 FSC-klagomål mail.docx", "A 59873-2025")</f>
        <v/>
      </c>
      <c r="AC112">
        <f>HYPERLINK("https://klasma.github.io/Logging_2085/tillsyn/A 59873-2025 tillsynsbegäran.docx", "A 59873-2025")</f>
        <v/>
      </c>
      <c r="AD112">
        <f>HYPERLINK("https://klasma.github.io/Logging_2085/tillsynsmail/A 59873-2025 tillsynsbegäran mail.docx", "A 59873-2025")</f>
        <v/>
      </c>
    </row>
    <row r="113" ht="15" customHeight="1">
      <c r="A113" t="inlineStr">
        <is>
          <t>A 26850-2023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46294</v>
      </c>
      <c r="F113" t="inlineStr">
        <is>
          <t>DALARNAS LÄN</t>
        </is>
      </c>
      <c r="G113" t="inlineStr">
        <is>
          <t>LUDVIKA</t>
        </is>
      </c>
      <c r="H113" t="inlineStr">
        <is>
          <t>Naturvårdsverket</t>
        </is>
      </c>
      <c r="I113" t="n">
        <v>2.7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HYPERLINK("https://klasma.github.io/Logging_2085/artfynd/A 26850-2023 artfynd.xlsx", "A 26850-2023")</f>
        <v/>
      </c>
      <c r="X113">
        <f>HYPERLINK("https://klasma.github.io/Logging_2085/kartor/A 26850-2023 karta.png", "A 26850-2023")</f>
        <v/>
      </c>
      <c r="Y113">
        <f>HYPERLINK("https://klasma.github.io/Logging_2085/kartor_geotiff/A 26850-2023 georefererad karta.tif", "A 26850-2023")</f>
        <v/>
      </c>
      <c r="AA113">
        <f>HYPERLINK("https://klasma.github.io/Logging_2085/klagomål/A 26850-2023 FSC-klagomål.docx", "A 26850-2023")</f>
        <v/>
      </c>
      <c r="AB113">
        <f>HYPERLINK("https://klasma.github.io/Logging_2085/klagomålsmail/A 26850-2023 FSC-klagomål mail.docx", "A 26850-2023")</f>
        <v/>
      </c>
      <c r="AC113">
        <f>HYPERLINK("https://klasma.github.io/Logging_2085/tillsyn/A 26850-2023 tillsynsbegäran.docx", "A 26850-2023")</f>
        <v/>
      </c>
      <c r="AD113">
        <f>HYPERLINK("https://klasma.github.io/Logging_2085/tillsynsmail/A 26850-2023 tillsynsbegäran mail.docx", "A 26850-2023")</f>
        <v/>
      </c>
    </row>
    <row r="114" ht="15" customHeight="1">
      <c r="A114" t="inlineStr">
        <is>
          <t>A 62275-2022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44923</v>
      </c>
      <c r="E114" s="1" t="n">
        <v>46294</v>
      </c>
      <c r="F114" t="inlineStr">
        <is>
          <t>DALARNAS LÄN</t>
        </is>
      </c>
      <c r="G114" t="inlineStr">
        <is>
          <t>LUDVIKA</t>
        </is>
      </c>
      <c r="I114" t="n">
        <v>4.6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Knärot</t>
        </is>
      </c>
      <c r="W114">
        <f>HYPERLINK("https://klasma.github.io/Logging_2085/artfynd/A 62275-2022 artfynd.xlsx", "A 62275-2022")</f>
        <v/>
      </c>
      <c r="X114">
        <f>HYPERLINK("https://klasma.github.io/Logging_2085/kartor/A 62275-2022 karta.png", "A 62275-2022")</f>
        <v/>
      </c>
      <c r="Y114">
        <f>HYPERLINK("https://klasma.github.io/Logging_2085/kartor_geotiff/A 62275-2022 georefererad karta.tif", "A 62275-2022")</f>
        <v/>
      </c>
      <c r="Z114">
        <f>HYPERLINK("https://klasma.github.io/Logging_2085/knärot/A 62275-2022 karta knärot.png", "A 62275-2022")</f>
        <v/>
      </c>
      <c r="AA114">
        <f>HYPERLINK("https://klasma.github.io/Logging_2085/klagomål/A 62275-2022 FSC-klagomål.docx", "A 62275-2022")</f>
        <v/>
      </c>
      <c r="AB114">
        <f>HYPERLINK("https://klasma.github.io/Logging_2085/klagomålsmail/A 62275-2022 FSC-klagomål mail.docx", "A 62275-2022")</f>
        <v/>
      </c>
      <c r="AC114">
        <f>HYPERLINK("https://klasma.github.io/Logging_2085/tillsyn/A 62275-2022 tillsynsbegäran.docx", "A 62275-2022")</f>
        <v/>
      </c>
      <c r="AD114">
        <f>HYPERLINK("https://klasma.github.io/Logging_2085/tillsynsmail/A 62275-2022 tillsynsbegäran mail.docx", "A 62275-2022")</f>
        <v/>
      </c>
    </row>
    <row r="115" ht="15" customHeight="1">
      <c r="A115" t="inlineStr">
        <is>
          <t>A 25588-2023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45089</v>
      </c>
      <c r="E115" s="1" t="n">
        <v>46294</v>
      </c>
      <c r="F115" t="inlineStr">
        <is>
          <t>DALARNAS LÄN</t>
        </is>
      </c>
      <c r="G115" t="inlineStr">
        <is>
          <t>LUDVIKA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HYPERLINK("https://klasma.github.io/Logging_2085/artfynd/A 25588-2023 artfynd.xlsx", "A 25588-2023")</f>
        <v/>
      </c>
      <c r="X115">
        <f>HYPERLINK("https://klasma.github.io/Logging_2085/kartor/A 25588-2023 karta.png", "A 25588-2023")</f>
        <v/>
      </c>
      <c r="Y115">
        <f>HYPERLINK("https://klasma.github.io/Logging_2085/kartor_geotiff/A 25588-2023 georefererad karta.tif", "A 25588-2023")</f>
        <v/>
      </c>
      <c r="AA115">
        <f>HYPERLINK("https://klasma.github.io/Logging_2085/klagomål/A 25588-2023 FSC-klagomål.docx", "A 25588-2023")</f>
        <v/>
      </c>
      <c r="AB115">
        <f>HYPERLINK("https://klasma.github.io/Logging_2085/klagomålsmail/A 25588-2023 FSC-klagomål mail.docx", "A 25588-2023")</f>
        <v/>
      </c>
      <c r="AC115">
        <f>HYPERLINK("https://klasma.github.io/Logging_2085/tillsyn/A 25588-2023 tillsynsbegäran.docx", "A 25588-2023")</f>
        <v/>
      </c>
      <c r="AD115">
        <f>HYPERLINK("https://klasma.github.io/Logging_2085/tillsynsmail/A 25588-2023 tillsynsbegäran mail.docx", "A 25588-2023")</f>
        <v/>
      </c>
    </row>
    <row r="116" ht="15" customHeight="1">
      <c r="A116" t="inlineStr">
        <is>
          <t>A 17987-2025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45761</v>
      </c>
      <c r="E116" s="1" t="n">
        <v>46294</v>
      </c>
      <c r="F116" t="inlineStr">
        <is>
          <t>DALARNAS LÄN</t>
        </is>
      </c>
      <c r="G116" t="inlineStr">
        <is>
          <t>LUDVIKA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HYPERLINK("https://klasma.github.io/Logging_2085/artfynd/A 17987-2025 artfynd.xlsx", "A 17987-2025")</f>
        <v/>
      </c>
      <c r="X116">
        <f>HYPERLINK("https://klasma.github.io/Logging_2085/kartor/A 17987-2025 karta.png", "A 17987-2025")</f>
        <v/>
      </c>
      <c r="Y116">
        <f>HYPERLINK("https://klasma.github.io/Logging_2085/kartor_geotiff/A 17987-2025 georefererad karta.tif", "A 17987-2025")</f>
        <v/>
      </c>
      <c r="AA116">
        <f>HYPERLINK("https://klasma.github.io/Logging_2085/klagomål/A 17987-2025 FSC-klagomål.docx", "A 17987-2025")</f>
        <v/>
      </c>
      <c r="AB116">
        <f>HYPERLINK("https://klasma.github.io/Logging_2085/klagomålsmail/A 17987-2025 FSC-klagomål mail.docx", "A 17987-2025")</f>
        <v/>
      </c>
      <c r="AC116">
        <f>HYPERLINK("https://klasma.github.io/Logging_2085/tillsyn/A 17987-2025 tillsynsbegäran.docx", "A 17987-2025")</f>
        <v/>
      </c>
      <c r="AD116">
        <f>HYPERLINK("https://klasma.github.io/Logging_2085/tillsynsmail/A 17987-2025 tillsynsbegäran mail.docx", "A 17987-2025")</f>
        <v/>
      </c>
      <c r="AE116">
        <f>HYPERLINK("https://klasma.github.io/Logging_2085/fåglar/A 17987-2025 prioriterade fågelarter.docx", "A 17987-2025")</f>
        <v/>
      </c>
    </row>
    <row r="117" ht="15" customHeight="1">
      <c r="A117" t="inlineStr">
        <is>
          <t>A 21499-2022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46294</v>
      </c>
      <c r="F117" t="inlineStr">
        <is>
          <t>DALARNAS LÄN</t>
        </is>
      </c>
      <c r="G117" t="inlineStr">
        <is>
          <t>LUDVIKA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Strimspindling</t>
        </is>
      </c>
      <c r="W117">
        <f>HYPERLINK("https://klasma.github.io/Logging_2085/artfynd/A 21499-2022 artfynd.xlsx", "A 21499-2022")</f>
        <v/>
      </c>
      <c r="X117">
        <f>HYPERLINK("https://klasma.github.io/Logging_2085/kartor/A 21499-2022 karta.png", "A 21499-2022")</f>
        <v/>
      </c>
      <c r="Y117">
        <f>HYPERLINK("https://klasma.github.io/Logging_2085/kartor_geotiff/A 21499-2022 georefererad karta.tif", "A 21499-2022")</f>
        <v/>
      </c>
      <c r="AA117">
        <f>HYPERLINK("https://klasma.github.io/Logging_2085/klagomål/A 21499-2022 FSC-klagomål.docx", "A 21499-2022")</f>
        <v/>
      </c>
      <c r="AB117">
        <f>HYPERLINK("https://klasma.github.io/Logging_2085/klagomålsmail/A 21499-2022 FSC-klagomål mail.docx", "A 21499-2022")</f>
        <v/>
      </c>
      <c r="AC117">
        <f>HYPERLINK("https://klasma.github.io/Logging_2085/tillsyn/A 21499-2022 tillsynsbegäran.docx", "A 21499-2022")</f>
        <v/>
      </c>
      <c r="AD117">
        <f>HYPERLINK("https://klasma.github.io/Logging_2085/tillsynsmail/A 21499-2022 tillsynsbegäran mail.docx", "A 21499-2022")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46294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46294</v>
      </c>
      <c r="F119" t="inlineStr">
        <is>
          <t>DALARNAS LÄN</t>
        </is>
      </c>
      <c r="G119" t="inlineStr">
        <is>
          <t>LUDVIKA</t>
        </is>
      </c>
      <c r="I119" t="n">
        <v>3.6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HYPERLINK("https://klasma.github.io/Logging_2085/artfynd/A 400-2023 artfynd.xlsx", "A 400-2023")</f>
        <v/>
      </c>
      <c r="X119">
        <f>HYPERLINK("https://klasma.github.io/Logging_2085/kartor/A 400-2023 karta.png", "A 400-2023")</f>
        <v/>
      </c>
      <c r="Y119">
        <f>HYPERLINK("https://klasma.github.io/Logging_2085/kartor_geotiff/A 400-2023 georefererad karta.tif", "A 400-2023")</f>
        <v/>
      </c>
      <c r="AA119">
        <f>HYPERLINK("https://klasma.github.io/Logging_2085/klagomål/A 400-2023 FSC-klagomål.docx", "A 400-2023")</f>
        <v/>
      </c>
      <c r="AB119">
        <f>HYPERLINK("https://klasma.github.io/Logging_2085/klagomålsmail/A 400-2023 FSC-klagomål mail.docx", "A 400-2023")</f>
        <v/>
      </c>
      <c r="AC119">
        <f>HYPERLINK("https://klasma.github.io/Logging_2085/tillsyn/A 400-2023 tillsynsbegäran.docx", "A 400-2023")</f>
        <v/>
      </c>
      <c r="AD119">
        <f>HYPERLINK("https://klasma.github.io/Logging_2085/tillsynsmail/A 400-2023 tillsynsbegäran mail.docx", "A 400-2023")</f>
        <v/>
      </c>
    </row>
    <row r="120" ht="15" customHeight="1">
      <c r="A120" t="inlineStr">
        <is>
          <t>A 31478-2023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46294</v>
      </c>
      <c r="F120" t="inlineStr">
        <is>
          <t>DALARNAS LÄN</t>
        </is>
      </c>
      <c r="G120" t="inlineStr">
        <is>
          <t>LUDVIKA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HYPERLINK("https://klasma.github.io/Logging_2085/artfynd/A 31478-2023 artfynd.xlsx", "A 31478-2023")</f>
        <v/>
      </c>
      <c r="X120">
        <f>HYPERLINK("https://klasma.github.io/Logging_2085/kartor/A 31478-2023 karta.png", "A 31478-2023")</f>
        <v/>
      </c>
      <c r="Y120">
        <f>HYPERLINK("https://klasma.github.io/Logging_2085/kartor_geotiff/A 31478-2023 georefererad karta.tif", "A 31478-2023")</f>
        <v/>
      </c>
      <c r="AA120">
        <f>HYPERLINK("https://klasma.github.io/Logging_2085/klagomål/A 31478-2023 FSC-klagomål.docx", "A 31478-2023")</f>
        <v/>
      </c>
      <c r="AB120">
        <f>HYPERLINK("https://klasma.github.io/Logging_2085/klagomålsmail/A 31478-2023 FSC-klagomål mail.docx", "A 31478-2023")</f>
        <v/>
      </c>
      <c r="AC120">
        <f>HYPERLINK("https://klasma.github.io/Logging_2085/tillsyn/A 31478-2023 tillsynsbegäran.docx", "A 31478-2023")</f>
        <v/>
      </c>
      <c r="AD120">
        <f>HYPERLINK("https://klasma.github.io/Logging_2085/tillsynsmail/A 31478-2023 tillsynsbegäran mail.docx", "A 31478-2023")</f>
        <v/>
      </c>
    </row>
    <row r="121" ht="15" customHeight="1">
      <c r="A121" t="inlineStr">
        <is>
          <t>A 25448-2024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45463</v>
      </c>
      <c r="E121" s="1" t="n">
        <v>46294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24.7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Blåsippa</t>
        </is>
      </c>
      <c r="W121">
        <f>HYPERLINK("https://klasma.github.io/Logging_2085/artfynd/A 25448-2024 artfynd.xlsx", "A 25448-2024")</f>
        <v/>
      </c>
      <c r="X121">
        <f>HYPERLINK("https://klasma.github.io/Logging_2085/kartor/A 25448-2024 karta.png", "A 25448-2024")</f>
        <v/>
      </c>
      <c r="Y121">
        <f>HYPERLINK("https://klasma.github.io/Logging_2085/kartor_geotiff/A 25448-2024 georefererad karta.tif", "A 25448-2024")</f>
        <v/>
      </c>
      <c r="AA121">
        <f>HYPERLINK("https://klasma.github.io/Logging_2085/klagomål/A 25448-2024 FSC-klagomål.docx", "A 25448-2024")</f>
        <v/>
      </c>
      <c r="AB121">
        <f>HYPERLINK("https://klasma.github.io/Logging_2085/klagomålsmail/A 25448-2024 FSC-klagomål mail.docx", "A 25448-2024")</f>
        <v/>
      </c>
      <c r="AC121">
        <f>HYPERLINK("https://klasma.github.io/Logging_2085/tillsyn/A 25448-2024 tillsynsbegäran.docx", "A 25448-2024")</f>
        <v/>
      </c>
      <c r="AD121">
        <f>HYPERLINK("https://klasma.github.io/Logging_2085/tillsynsmail/A 25448-2024 tillsynsbegäran mail.docx", "A 25448-2024")</f>
        <v/>
      </c>
    </row>
    <row r="122" ht="15" customHeight="1">
      <c r="A122" t="inlineStr">
        <is>
          <t>A 23720-2026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46294</v>
      </c>
      <c r="F122" t="inlineStr">
        <is>
          <t>DALARNAS LÄN</t>
        </is>
      </c>
      <c r="G122" t="inlineStr">
        <is>
          <t>LUDVIKA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Tretåig hackspett</t>
        </is>
      </c>
      <c r="W122">
        <f>HYPERLINK("https://klasma.github.io/Logging_2085/artfynd/A 23720-2026 artfynd.xlsx", "A 23720-2026")</f>
        <v/>
      </c>
      <c r="X122">
        <f>HYPERLINK("https://klasma.github.io/Logging_2085/kartor/A 23720-2026 karta.png", "A 23720-2026")</f>
        <v/>
      </c>
      <c r="Y122">
        <f>HYPERLINK("https://klasma.github.io/Logging_2085/kartor_geotiff/A 23720-2026 georefererad karta.tif", "A 23720-2026")</f>
        <v/>
      </c>
      <c r="AA122">
        <f>HYPERLINK("https://klasma.github.io/Logging_2085/klagomål/A 23720-2026 FSC-klagomål.docx", "A 23720-2026")</f>
        <v/>
      </c>
      <c r="AB122">
        <f>HYPERLINK("https://klasma.github.io/Logging_2085/klagomålsmail/A 23720-2026 FSC-klagomål mail.docx", "A 23720-2026")</f>
        <v/>
      </c>
      <c r="AC122">
        <f>HYPERLINK("https://klasma.github.io/Logging_2085/tillsyn/A 23720-2026 tillsynsbegäran.docx", "A 23720-2026")</f>
        <v/>
      </c>
      <c r="AD122">
        <f>HYPERLINK("https://klasma.github.io/Logging_2085/tillsynsmail/A 23720-2026 tillsynsbegäran mail.docx", "A 23720-2026")</f>
        <v/>
      </c>
      <c r="AE122">
        <f>HYPERLINK("https://klasma.github.io/Logging_2085/fåglar/A 23720-2026 prioriterade fågelarter.docx", "A 23720-2026")</f>
        <v/>
      </c>
    </row>
    <row r="123" ht="15" customHeight="1">
      <c r="A123" t="inlineStr">
        <is>
          <t>A 23778-2026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46294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23778-2026 artfynd.xlsx", "A 23778-2026")</f>
        <v/>
      </c>
      <c r="X123">
        <f>HYPERLINK("https://klasma.github.io/Logging_2085/kartor/A 23778-2026 karta.png", "A 23778-2026")</f>
        <v/>
      </c>
      <c r="Y123">
        <f>HYPERLINK("https://klasma.github.io/Logging_2085/kartor_geotiff/A 23778-2026 georefererad karta.tif", "A 23778-2026")</f>
        <v/>
      </c>
      <c r="AA123">
        <f>HYPERLINK("https://klasma.github.io/Logging_2085/klagomål/A 23778-2026 FSC-klagomål.docx", "A 23778-2026")</f>
        <v/>
      </c>
      <c r="AB123">
        <f>HYPERLINK("https://klasma.github.io/Logging_2085/klagomålsmail/A 23778-2026 FSC-klagomål mail.docx", "A 23778-2026")</f>
        <v/>
      </c>
      <c r="AC123">
        <f>HYPERLINK("https://klasma.github.io/Logging_2085/tillsyn/A 23778-2026 tillsynsbegäran.docx", "A 23778-2026")</f>
        <v/>
      </c>
      <c r="AD123">
        <f>HYPERLINK("https://klasma.github.io/Logging_2085/tillsynsmail/A 23778-2026 tillsynsbegäran mail.docx", "A 23778-2026")</f>
        <v/>
      </c>
      <c r="AE123">
        <f>HYPERLINK("https://klasma.github.io/Logging_2085/fåglar/A 23778-2026 prioriterade fågelarter.docx", "A 23778-2026")</f>
        <v/>
      </c>
    </row>
    <row r="124" ht="15" customHeight="1">
      <c r="A124" t="inlineStr">
        <is>
          <t>A 63005-2025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46294</v>
      </c>
      <c r="F124" t="inlineStr">
        <is>
          <t>DALARNAS LÄN</t>
        </is>
      </c>
      <c r="G124" t="inlineStr">
        <is>
          <t>LUDVIKA</t>
        </is>
      </c>
      <c r="I124" t="n">
        <v>4.4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63005-2025 artfynd.xlsx", "A 63005-2025")</f>
        <v/>
      </c>
      <c r="X124">
        <f>HYPERLINK("https://klasma.github.io/Logging_2085/kartor/A 63005-2025 karta.png", "A 63005-2025")</f>
        <v/>
      </c>
      <c r="Y124">
        <f>HYPERLINK("https://klasma.github.io/Logging_2085/kartor_geotiff/A 63005-2025 georefererad karta.tif", "A 63005-2025")</f>
        <v/>
      </c>
      <c r="AA124">
        <f>HYPERLINK("https://klasma.github.io/Logging_2085/klagomål/A 63005-2025 FSC-klagomål.docx", "A 63005-2025")</f>
        <v/>
      </c>
      <c r="AB124">
        <f>HYPERLINK("https://klasma.github.io/Logging_2085/klagomålsmail/A 63005-2025 FSC-klagomål mail.docx", "A 63005-2025")</f>
        <v/>
      </c>
      <c r="AC124">
        <f>HYPERLINK("https://klasma.github.io/Logging_2085/tillsyn/A 63005-2025 tillsynsbegäran.docx", "A 63005-2025")</f>
        <v/>
      </c>
      <c r="AD124">
        <f>HYPERLINK("https://klasma.github.io/Logging_2085/tillsynsmail/A 63005-2025 tillsynsbegäran mail.docx", "A 63005-2025")</f>
        <v/>
      </c>
      <c r="AE124">
        <f>HYPERLINK("https://klasma.github.io/Logging_2085/fåglar/A 63005-2025 prioriterade fågelarter.docx", "A 63005-2025")</f>
        <v/>
      </c>
    </row>
    <row r="125" ht="15" customHeight="1">
      <c r="A125" t="inlineStr">
        <is>
          <t>A 25159-2026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46175</v>
      </c>
      <c r="E125" s="1" t="n">
        <v>46294</v>
      </c>
      <c r="F125" t="inlineStr">
        <is>
          <t>DALARNAS LÄN</t>
        </is>
      </c>
      <c r="G125" t="inlineStr">
        <is>
          <t>LUDVIKA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HYPERLINK("https://klasma.github.io/Logging_2085/artfynd/A 25159-2026 artfynd.xlsx", "A 25159-2026")</f>
        <v/>
      </c>
      <c r="X125">
        <f>HYPERLINK("https://klasma.github.io/Logging_2085/kartor/A 25159-2026 karta.png", "A 25159-2026")</f>
        <v/>
      </c>
      <c r="Y125">
        <f>HYPERLINK("https://klasma.github.io/Logging_2085/kartor_geotiff/A 25159-2026 georefererad karta.tif", "A 25159-2026")</f>
        <v/>
      </c>
      <c r="AA125">
        <f>HYPERLINK("https://klasma.github.io/Logging_2085/klagomål/A 25159-2026 FSC-klagomål.docx", "A 25159-2026")</f>
        <v/>
      </c>
      <c r="AB125">
        <f>HYPERLINK("https://klasma.github.io/Logging_2085/klagomålsmail/A 25159-2026 FSC-klagomål mail.docx", "A 25159-2026")</f>
        <v/>
      </c>
      <c r="AC125">
        <f>HYPERLINK("https://klasma.github.io/Logging_2085/tillsyn/A 25159-2026 tillsynsbegäran.docx", "A 25159-2026")</f>
        <v/>
      </c>
      <c r="AD125">
        <f>HYPERLINK("https://klasma.github.io/Logging_2085/tillsynsmail/A 25159-2026 tillsynsbegäran mail.docx", "A 25159-2026")</f>
        <v/>
      </c>
    </row>
    <row r="126" ht="15" customHeight="1">
      <c r="A126" t="inlineStr">
        <is>
          <t>A 56655-2025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46294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8.5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56655-2025 artfynd.xlsx", "A 56655-2025")</f>
        <v/>
      </c>
      <c r="X126">
        <f>HYPERLINK("https://klasma.github.io/Logging_2085/kartor/A 56655-2025 karta.png", "A 56655-2025")</f>
        <v/>
      </c>
      <c r="Y126">
        <f>HYPERLINK("https://klasma.github.io/Logging_2085/kartor_geotiff/A 56655-2025 georefererad karta.tif", "A 56655-2025")</f>
        <v/>
      </c>
      <c r="AA126">
        <f>HYPERLINK("https://klasma.github.io/Logging_2085/klagomål/A 56655-2025 FSC-klagomål.docx", "A 56655-2025")</f>
        <v/>
      </c>
      <c r="AB126">
        <f>HYPERLINK("https://klasma.github.io/Logging_2085/klagomålsmail/A 56655-2025 FSC-klagomål mail.docx", "A 56655-2025")</f>
        <v/>
      </c>
      <c r="AC126">
        <f>HYPERLINK("https://klasma.github.io/Logging_2085/tillsyn/A 56655-2025 tillsynsbegäran.docx", "A 56655-2025")</f>
        <v/>
      </c>
      <c r="AD126">
        <f>HYPERLINK("https://klasma.github.io/Logging_2085/tillsynsmail/A 56655-2025 tillsynsbegäran mail.docx", "A 56655-2025")</f>
        <v/>
      </c>
      <c r="AE126">
        <f>HYPERLINK("https://klasma.github.io/Logging_2085/fåglar/A 56655-2025 prioriterade fågelarter.docx", "A 56655-2025")</f>
        <v/>
      </c>
    </row>
    <row r="127" ht="15" customHeight="1">
      <c r="A127" t="inlineStr">
        <is>
          <t>A 12093-2023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44998</v>
      </c>
      <c r="E127" s="1" t="n">
        <v>46294</v>
      </c>
      <c r="F127" t="inlineStr">
        <is>
          <t>DALARNAS LÄN</t>
        </is>
      </c>
      <c r="G127" t="inlineStr">
        <is>
          <t>LUDVIKA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Bitter taggsvamp</t>
        </is>
      </c>
      <c r="W127">
        <f>HYPERLINK("https://klasma.github.io/Logging_2085/artfynd/A 12093-2023 artfynd.xlsx", "A 12093-2023")</f>
        <v/>
      </c>
      <c r="X127">
        <f>HYPERLINK("https://klasma.github.io/Logging_2085/kartor/A 12093-2023 karta.png", "A 12093-2023")</f>
        <v/>
      </c>
      <c r="Y127">
        <f>HYPERLINK("https://klasma.github.io/Logging_2085/kartor_geotiff/A 12093-2023 georefererad karta.tif", "A 12093-2023")</f>
        <v/>
      </c>
      <c r="AA127">
        <f>HYPERLINK("https://klasma.github.io/Logging_2085/klagomål/A 12093-2023 FSC-klagomål.docx", "A 12093-2023")</f>
        <v/>
      </c>
      <c r="AB127">
        <f>HYPERLINK("https://klasma.github.io/Logging_2085/klagomålsmail/A 12093-2023 FSC-klagomål mail.docx", "A 12093-2023")</f>
        <v/>
      </c>
      <c r="AC127">
        <f>HYPERLINK("https://klasma.github.io/Logging_2085/tillsyn/A 12093-2023 tillsynsbegäran.docx", "A 12093-2023")</f>
        <v/>
      </c>
      <c r="AD127">
        <f>HYPERLINK("https://klasma.github.io/Logging_2085/tillsynsmail/A 12093-2023 tillsynsbegäran mail.docx", "A 12093-2023")</f>
        <v/>
      </c>
    </row>
    <row r="128" ht="15" customHeight="1">
      <c r="A128" t="inlineStr">
        <is>
          <t>A 49660-2024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45596</v>
      </c>
      <c r="E128" s="1" t="n">
        <v>46294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husmossa</t>
        </is>
      </c>
      <c r="W128">
        <f>HYPERLINK("https://klasma.github.io/Logging_2085/artfynd/A 49660-2024 artfynd.xlsx", "A 49660-2024")</f>
        <v/>
      </c>
      <c r="X128">
        <f>HYPERLINK("https://klasma.github.io/Logging_2085/kartor/A 49660-2024 karta.png", "A 49660-2024")</f>
        <v/>
      </c>
      <c r="Y128">
        <f>HYPERLINK("https://klasma.github.io/Logging_2085/kartor_geotiff/A 49660-2024 georefererad karta.tif", "A 49660-2024")</f>
        <v/>
      </c>
      <c r="AA128">
        <f>HYPERLINK("https://klasma.github.io/Logging_2085/klagomål/A 49660-2024 FSC-klagomål.docx", "A 49660-2024")</f>
        <v/>
      </c>
      <c r="AB128">
        <f>HYPERLINK("https://klasma.github.io/Logging_2085/klagomålsmail/A 49660-2024 FSC-klagomål mail.docx", "A 49660-2024")</f>
        <v/>
      </c>
      <c r="AC128">
        <f>HYPERLINK("https://klasma.github.io/Logging_2085/tillsyn/A 49660-2024 tillsynsbegäran.docx", "A 49660-2024")</f>
        <v/>
      </c>
      <c r="AD128">
        <f>HYPERLINK("https://klasma.github.io/Logging_2085/tillsynsmail/A 49660-2024 tillsynsbegäran mail.docx", "A 49660-2024")</f>
        <v/>
      </c>
    </row>
    <row r="129" ht="15" customHeight="1">
      <c r="A129" t="inlineStr">
        <is>
          <t>A 60787-2024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45644</v>
      </c>
      <c r="E129" s="1" t="n">
        <v>46294</v>
      </c>
      <c r="F129" t="inlineStr">
        <is>
          <t>DALARNAS LÄN</t>
        </is>
      </c>
      <c r="G129" t="inlineStr">
        <is>
          <t>LUDVIKA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Järpe</t>
        </is>
      </c>
      <c r="W129">
        <f>HYPERLINK("https://klasma.github.io/Logging_2085/artfynd/A 60787-2024 artfynd.xlsx", "A 60787-2024")</f>
        <v/>
      </c>
      <c r="X129">
        <f>HYPERLINK("https://klasma.github.io/Logging_2085/kartor/A 60787-2024 karta.png", "A 60787-2024")</f>
        <v/>
      </c>
      <c r="Y129">
        <f>HYPERLINK("https://klasma.github.io/Logging_2085/kartor_geotiff/A 60787-2024 georefererad karta.tif", "A 60787-2024")</f>
        <v/>
      </c>
      <c r="AA129">
        <f>HYPERLINK("https://klasma.github.io/Logging_2085/klagomål/A 60787-2024 FSC-klagomål.docx", "A 60787-2024")</f>
        <v/>
      </c>
      <c r="AB129">
        <f>HYPERLINK("https://klasma.github.io/Logging_2085/klagomålsmail/A 60787-2024 FSC-klagomål mail.docx", "A 60787-2024")</f>
        <v/>
      </c>
      <c r="AC129">
        <f>HYPERLINK("https://klasma.github.io/Logging_2085/tillsyn/A 60787-2024 tillsynsbegäran.docx", "A 60787-2024")</f>
        <v/>
      </c>
      <c r="AD129">
        <f>HYPERLINK("https://klasma.github.io/Logging_2085/tillsynsmail/A 60787-2024 tillsynsbegäran mail.docx", "A 60787-2024")</f>
        <v/>
      </c>
      <c r="AE129">
        <f>HYPERLINK("https://klasma.github.io/Logging_2085/fåglar/A 60787-2024 prioriterade fågelarter.docx", "A 60787-2024")</f>
        <v/>
      </c>
    </row>
    <row r="130" ht="15" customHeight="1">
      <c r="A130" t="inlineStr">
        <is>
          <t>A 31352-2026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46219</v>
      </c>
      <c r="E130" s="1" t="n">
        <v>46294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HYPERLINK("https://klasma.github.io/Logging_2085/artfynd/A 31352-2026 artfynd.xlsx", "A 31352-2026")</f>
        <v/>
      </c>
      <c r="X130">
        <f>HYPERLINK("https://klasma.github.io/Logging_2085/kartor/A 31352-2026 karta.png", "A 31352-2026")</f>
        <v/>
      </c>
      <c r="Y130">
        <f>HYPERLINK("https://klasma.github.io/Logging_2085/kartor_geotiff/A 31352-2026 georefererad karta.tif", "A 31352-2026")</f>
        <v/>
      </c>
      <c r="AA130">
        <f>HYPERLINK("https://klasma.github.io/Logging_2085/klagomål/A 31352-2026 FSC-klagomål.docx", "A 31352-2026")</f>
        <v/>
      </c>
      <c r="AB130">
        <f>HYPERLINK("https://klasma.github.io/Logging_2085/klagomålsmail/A 31352-2026 FSC-klagomål mail.docx", "A 31352-2026")</f>
        <v/>
      </c>
      <c r="AC130">
        <f>HYPERLINK("https://klasma.github.io/Logging_2085/tillsyn/A 31352-2026 tillsynsbegäran.docx", "A 31352-2026")</f>
        <v/>
      </c>
      <c r="AD130">
        <f>HYPERLINK("https://klasma.github.io/Logging_2085/tillsynsmail/A 31352-2026 tillsynsbegäran mail.docx", "A 31352-2026")</f>
        <v/>
      </c>
    </row>
    <row r="131" ht="15" customHeight="1">
      <c r="A131" t="inlineStr">
        <is>
          <t>A 35652-2026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46294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HYPERLINK("https://klasma.github.io/Logging_2085/artfynd/A 35652-2026 artfynd.xlsx", "A 35652-2026")</f>
        <v/>
      </c>
      <c r="X131">
        <f>HYPERLINK("https://klasma.github.io/Logging_2085/kartor/A 35652-2026 karta.png", "A 35652-2026")</f>
        <v/>
      </c>
      <c r="Y131">
        <f>HYPERLINK("https://klasma.github.io/Logging_2085/kartor_geotiff/A 35652-2026 georefererad karta.tif", "A 35652-2026")</f>
        <v/>
      </c>
      <c r="AA131">
        <f>HYPERLINK("https://klasma.github.io/Logging_2085/klagomål/A 35652-2026 FSC-klagomål.docx", "A 35652-2026")</f>
        <v/>
      </c>
      <c r="AB131">
        <f>HYPERLINK("https://klasma.github.io/Logging_2085/klagomålsmail/A 35652-2026 FSC-klagomål mail.docx", "A 35652-2026")</f>
        <v/>
      </c>
      <c r="AC131">
        <f>HYPERLINK("https://klasma.github.io/Logging_2085/tillsyn/A 35652-2026 tillsynsbegäran.docx", "A 35652-2026")</f>
        <v/>
      </c>
      <c r="AD131">
        <f>HYPERLINK("https://klasma.github.io/Logging_2085/tillsynsmail/A 35652-2026 tillsynsbegäran mail.docx", "A 35652-2026")</f>
        <v/>
      </c>
    </row>
    <row r="132" ht="15" customHeight="1">
      <c r="A132" t="inlineStr">
        <is>
          <t>A 36478-2026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46294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Skogsalm</t>
        </is>
      </c>
      <c r="W132">
        <f>HYPERLINK("https://klasma.github.io/Logging_2085/artfynd/A 36478-2026 artfynd.xlsx", "A 36478-2026")</f>
        <v/>
      </c>
      <c r="X132">
        <f>HYPERLINK("https://klasma.github.io/Logging_2085/kartor/A 36478-2026 karta.png", "A 36478-2026")</f>
        <v/>
      </c>
      <c r="Y132">
        <f>HYPERLINK("https://klasma.github.io/Logging_2085/kartor_geotiff/A 36478-2026 georefererad karta.tif", "A 36478-2026")</f>
        <v/>
      </c>
      <c r="AA132">
        <f>HYPERLINK("https://klasma.github.io/Logging_2085/klagomål/A 36478-2026 FSC-klagomål.docx", "A 36478-2026")</f>
        <v/>
      </c>
      <c r="AB132">
        <f>HYPERLINK("https://klasma.github.io/Logging_2085/klagomålsmail/A 36478-2026 FSC-klagomål mail.docx", "A 36478-2026")</f>
        <v/>
      </c>
      <c r="AC132">
        <f>HYPERLINK("https://klasma.github.io/Logging_2085/tillsyn/A 36478-2026 tillsynsbegäran.docx", "A 36478-2026")</f>
        <v/>
      </c>
      <c r="AD132">
        <f>HYPERLINK("https://klasma.github.io/Logging_2085/tillsynsmail/A 36478-2026 tillsynsbegäran mail.docx", "A 36478-2026")</f>
        <v/>
      </c>
    </row>
    <row r="133" ht="15" customHeight="1">
      <c r="A133" t="inlineStr">
        <is>
          <t>A 37560-2026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46276</v>
      </c>
      <c r="E133" s="1" t="n">
        <v>46294</v>
      </c>
      <c r="F133" t="inlineStr">
        <is>
          <t>DALARNAS LÄN</t>
        </is>
      </c>
      <c r="G133" t="inlineStr">
        <is>
          <t>LUDVIKA</t>
        </is>
      </c>
      <c r="H133" t="inlineStr">
        <is>
          <t>Naturvårdsverket</t>
        </is>
      </c>
      <c r="I133" t="n">
        <v>0.9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HYPERLINK("https://klasma.github.io/Logging_2085/artfynd/A 37560-2026 artfynd.xlsx", "A 37560-2026")</f>
        <v/>
      </c>
      <c r="X133">
        <f>HYPERLINK("https://klasma.github.io/Logging_2085/kartor/A 37560-2026 karta.png", "A 37560-2026")</f>
        <v/>
      </c>
      <c r="Y133">
        <f>HYPERLINK("https://klasma.github.io/Logging_2085/kartor_geotiff/A 37560-2026 georefererad karta.tif", "A 37560-2026")</f>
        <v/>
      </c>
      <c r="AA133">
        <f>HYPERLINK("https://klasma.github.io/Logging_2085/klagomål/A 37560-2026 FSC-klagomål.docx", "A 37560-2026")</f>
        <v/>
      </c>
      <c r="AB133">
        <f>HYPERLINK("https://klasma.github.io/Logging_2085/klagomålsmail/A 37560-2026 FSC-klagomål mail.docx", "A 37560-2026")</f>
        <v/>
      </c>
      <c r="AC133">
        <f>HYPERLINK("https://klasma.github.io/Logging_2085/tillsyn/A 37560-2026 tillsynsbegäran.docx", "A 37560-2026")</f>
        <v/>
      </c>
      <c r="AD133">
        <f>HYPERLINK("https://klasma.github.io/Logging_2085/tillsynsmail/A 37560-2026 tillsynsbegäran mail.docx", "A 37560-2026")</f>
        <v/>
      </c>
    </row>
    <row r="134" ht="15" customHeight="1">
      <c r="A134" t="inlineStr">
        <is>
          <t>A 33399-2026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46247</v>
      </c>
      <c r="E134" s="1" t="n">
        <v>46294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0.8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HYPERLINK("https://klasma.github.io/Logging_2085/artfynd/A 33399-2026 artfynd.xlsx", "A 33399-2026")</f>
        <v/>
      </c>
      <c r="X134">
        <f>HYPERLINK("https://klasma.github.io/Logging_2085/kartor/A 33399-2026 karta.png", "A 33399-2026")</f>
        <v/>
      </c>
      <c r="Y134">
        <f>HYPERLINK("https://klasma.github.io/Logging_2085/kartor_geotiff/A 33399-2026 georefererad karta.tif", "A 33399-2026")</f>
        <v/>
      </c>
      <c r="AA134">
        <f>HYPERLINK("https://klasma.github.io/Logging_2085/klagomål/A 33399-2026 FSC-klagomål.docx", "A 33399-2026")</f>
        <v/>
      </c>
      <c r="AB134">
        <f>HYPERLINK("https://klasma.github.io/Logging_2085/klagomålsmail/A 33399-2026 FSC-klagomål mail.docx", "A 33399-2026")</f>
        <v/>
      </c>
      <c r="AC134">
        <f>HYPERLINK("https://klasma.github.io/Logging_2085/tillsyn/A 33399-2026 tillsynsbegäran.docx", "A 33399-2026")</f>
        <v/>
      </c>
      <c r="AD134">
        <f>HYPERLINK("https://klasma.github.io/Logging_2085/tillsynsmail/A 33399-2026 tillsynsbegäran mail.docx", "A 33399-2026")</f>
        <v/>
      </c>
      <c r="AE134">
        <f>HYPERLINK("https://klasma.github.io/Logging_2085/fåglar/A 33399-2026 prioriterade fågelarter.docx", "A 33399-2026")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46294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46294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46294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46294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46294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46294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46294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46294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46294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46294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46294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46294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46294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46294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46294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46294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46294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46294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46294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46294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46294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46294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46294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46294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56686-2022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46294</v>
      </c>
      <c r="F159" t="inlineStr">
        <is>
          <t>DALARNAS LÄN</t>
        </is>
      </c>
      <c r="G159" t="inlineStr">
        <is>
          <t>LUDVIKA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45060-2022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44841</v>
      </c>
      <c r="E160" s="1" t="n">
        <v>46294</v>
      </c>
      <c r="F160" t="inlineStr">
        <is>
          <t>DALARNAS LÄN</t>
        </is>
      </c>
      <c r="G160" t="inlineStr">
        <is>
          <t>LUDVIKA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46294</v>
      </c>
      <c r="F161" t="inlineStr">
        <is>
          <t>DALARNAS LÄN</t>
        </is>
      </c>
      <c r="G161" t="inlineStr">
        <is>
          <t>LUDVIKA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45569</v>
      </c>
      <c r="E162" s="1" t="n">
        <v>46294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46294</v>
      </c>
      <c r="F163" t="inlineStr">
        <is>
          <t>DALARNAS LÄN</t>
        </is>
      </c>
      <c r="G163" t="inlineStr">
        <is>
          <t>LUDVIKA</t>
        </is>
      </c>
      <c r="H163" t="inlineStr">
        <is>
          <t>Naturvårdsverket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46294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46294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3277-2024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45317</v>
      </c>
      <c r="E166" s="1" t="n">
        <v>46294</v>
      </c>
      <c r="F166" t="inlineStr">
        <is>
          <t>DALARNAS LÄN</t>
        </is>
      </c>
      <c r="G166" t="inlineStr">
        <is>
          <t>LUDVIKA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51160-2023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45219</v>
      </c>
      <c r="E167" s="1" t="n">
        <v>46294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46294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55485-2024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46294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46095-2024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46294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41539-2024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45560</v>
      </c>
      <c r="E171" s="1" t="n">
        <v>46294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46294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45789</v>
      </c>
      <c r="E173" s="1" t="n">
        <v>46294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46294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46294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46107-2024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45581</v>
      </c>
      <c r="E176" s="1" t="n">
        <v>46294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46294</v>
      </c>
      <c r="F177" t="inlineStr">
        <is>
          <t>DALARNAS LÄN</t>
        </is>
      </c>
      <c r="G177" t="inlineStr">
        <is>
          <t>LUDVIKA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45569</v>
      </c>
      <c r="E178" s="1" t="n">
        <v>46294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46294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45687</v>
      </c>
      <c r="E180" s="1" t="n">
        <v>46294</v>
      </c>
      <c r="F180" t="inlineStr">
        <is>
          <t>DALARNAS LÄN</t>
        </is>
      </c>
      <c r="G180" t="inlineStr">
        <is>
          <t>LUDVIKA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46294</v>
      </c>
      <c r="F181" t="inlineStr">
        <is>
          <t>DALARNAS LÄN</t>
        </is>
      </c>
      <c r="G181" t="inlineStr">
        <is>
          <t>LUDVIKA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46294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45789</v>
      </c>
      <c r="E183" s="1" t="n">
        <v>46294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23088-2025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46294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46294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46294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46294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45524</v>
      </c>
      <c r="E188" s="1" t="n">
        <v>46294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46294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45607</v>
      </c>
      <c r="E190" s="1" t="n">
        <v>46294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46294</v>
      </c>
      <c r="F191" t="inlineStr">
        <is>
          <t>DALARNAS LÄN</t>
        </is>
      </c>
      <c r="G191" t="inlineStr">
        <is>
          <t>LUDVIKA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62561-2025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46294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45786</v>
      </c>
      <c r="E193" s="1" t="n">
        <v>46294</v>
      </c>
      <c r="F193" t="inlineStr">
        <is>
          <t>DALARNAS LÄN</t>
        </is>
      </c>
      <c r="G193" t="inlineStr">
        <is>
          <t>LUDVIKA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62695-2025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46294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44844</v>
      </c>
      <c r="E195" s="1" t="n">
        <v>46294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46008</v>
      </c>
      <c r="E196" s="1" t="n">
        <v>46294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44915</v>
      </c>
      <c r="E197" s="1" t="n">
        <v>46294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46294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45770</v>
      </c>
      <c r="E199" s="1" t="n">
        <v>46294</v>
      </c>
      <c r="F199" t="inlineStr">
        <is>
          <t>DALARNAS LÄN</t>
        </is>
      </c>
      <c r="G199" t="inlineStr">
        <is>
          <t>LUDVIKA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23137-2025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45791</v>
      </c>
      <c r="E200" s="1" t="n">
        <v>46294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62945-2025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46009</v>
      </c>
      <c r="E201" s="1" t="n">
        <v>46294</v>
      </c>
      <c r="F201" t="inlineStr">
        <is>
          <t>DALARNAS LÄN</t>
        </is>
      </c>
      <c r="G201" t="inlineStr">
        <is>
          <t>LUDVIKA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46294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46294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62688-2025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46008</v>
      </c>
      <c r="E204" s="1" t="n">
        <v>46294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46294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45645</v>
      </c>
      <c r="E206" s="1" t="n">
        <v>46294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44852</v>
      </c>
      <c r="E207" s="1" t="n">
        <v>46294</v>
      </c>
      <c r="F207" t="inlineStr">
        <is>
          <t>DALARNAS LÄN</t>
        </is>
      </c>
      <c r="G207" t="inlineStr">
        <is>
          <t>LUDVIKA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45453</v>
      </c>
      <c r="E208" s="1" t="n">
        <v>46294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46294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62824-2025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46008</v>
      </c>
      <c r="E210" s="1" t="n">
        <v>46294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46008</v>
      </c>
      <c r="E211" s="1" t="n">
        <v>46294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20642-2025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45776</v>
      </c>
      <c r="E212" s="1" t="n">
        <v>46294</v>
      </c>
      <c r="F212" t="inlineStr">
        <is>
          <t>DALARNAS LÄN</t>
        </is>
      </c>
      <c r="G212" t="inlineStr">
        <is>
          <t>LUDVIKA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46008</v>
      </c>
      <c r="E213" s="1" t="n">
        <v>46294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45796</v>
      </c>
      <c r="E214" s="1" t="n">
        <v>46294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44960</v>
      </c>
      <c r="E215" s="1" t="n">
        <v>46294</v>
      </c>
      <c r="F215" t="inlineStr">
        <is>
          <t>DALARNAS LÄN</t>
        </is>
      </c>
      <c r="G215" t="inlineStr">
        <is>
          <t>LUDVIKA</t>
        </is>
      </c>
      <c r="H215" t="inlineStr">
        <is>
          <t>Naturvårdsverket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46294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45791</v>
      </c>
      <c r="E217" s="1" t="n">
        <v>46294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46294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30977-2024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45499</v>
      </c>
      <c r="E219" s="1" t="n">
        <v>46294</v>
      </c>
      <c r="F219" t="inlineStr">
        <is>
          <t>DALARNAS LÄN</t>
        </is>
      </c>
      <c r="G219" t="inlineStr">
        <is>
          <t>LUDVIKA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25004-2025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45799</v>
      </c>
      <c r="E220" s="1" t="n">
        <v>46294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46294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46294</v>
      </c>
      <c r="F222" t="inlineStr">
        <is>
          <t>DALARNAS LÄN</t>
        </is>
      </c>
      <c r="G222" t="inlineStr">
        <is>
          <t>LUDVIKA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46294</v>
      </c>
      <c r="F223" t="inlineStr">
        <is>
          <t>DALARNAS LÄN</t>
        </is>
      </c>
      <c r="G223" t="inlineStr">
        <is>
          <t>LUDVIKA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8703-2023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44978</v>
      </c>
      <c r="E224" s="1" t="n">
        <v>46294</v>
      </c>
      <c r="F224" t="inlineStr">
        <is>
          <t>DALARNAS LÄN</t>
        </is>
      </c>
      <c r="G224" t="inlineStr">
        <is>
          <t>LUDVIKA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46294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25235-2025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45800</v>
      </c>
      <c r="E226" s="1" t="n">
        <v>46294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46294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46294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46294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45805</v>
      </c>
      <c r="E230" s="1" t="n">
        <v>46294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46294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46294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46294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44730</v>
      </c>
      <c r="E234" s="1" t="n">
        <v>46294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45450</v>
      </c>
      <c r="E235" s="1" t="n">
        <v>46294</v>
      </c>
      <c r="F235" t="inlineStr">
        <is>
          <t>DALARNAS LÄN</t>
        </is>
      </c>
      <c r="G235" t="inlineStr">
        <is>
          <t>LUDVIKA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31702-2023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45105</v>
      </c>
      <c r="E236" s="1" t="n">
        <v>46294</v>
      </c>
      <c r="F236" t="inlineStr">
        <is>
          <t>DALARNAS LÄN</t>
        </is>
      </c>
      <c r="G236" t="inlineStr">
        <is>
          <t>LUDVIKA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36338-2025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45868</v>
      </c>
      <c r="E237" s="1" t="n">
        <v>46294</v>
      </c>
      <c r="F237" t="inlineStr">
        <is>
          <t>DALARNAS LÄN</t>
        </is>
      </c>
      <c r="G237" t="inlineStr">
        <is>
          <t>LUDVIKA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57193-2022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44895</v>
      </c>
      <c r="E238" s="1" t="n">
        <v>46294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26698-2025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45810</v>
      </c>
      <c r="E239" s="1" t="n">
        <v>46294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48740-2022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44859</v>
      </c>
      <c r="E240" s="1" t="n">
        <v>46294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26794-2025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45810</v>
      </c>
      <c r="E241" s="1" t="n">
        <v>46294</v>
      </c>
      <c r="F241" t="inlineStr">
        <is>
          <t>DALARNAS LÄN</t>
        </is>
      </c>
      <c r="G241" t="inlineStr">
        <is>
          <t>LUDVIKA</t>
        </is>
      </c>
      <c r="H241" t="inlineStr">
        <is>
          <t>Kommuner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26628-2025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45810</v>
      </c>
      <c r="E242" s="1" t="n">
        <v>46294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43700-2024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45569</v>
      </c>
      <c r="E243" s="1" t="n">
        <v>46294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45371</v>
      </c>
      <c r="E244" s="1" t="n">
        <v>46294</v>
      </c>
      <c r="F244" t="inlineStr">
        <is>
          <t>DALARNAS LÄN</t>
        </is>
      </c>
      <c r="G244" t="inlineStr">
        <is>
          <t>LUDVIKA</t>
        </is>
      </c>
      <c r="I244" t="n">
        <v>20.8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42996-2025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46294</v>
      </c>
      <c r="F245" t="inlineStr">
        <is>
          <t>DALARNAS LÄN</t>
        </is>
      </c>
      <c r="G245" t="inlineStr">
        <is>
          <t>LUDVIKA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46294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43479-2025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46294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46294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46294</v>
      </c>
      <c r="F249" t="inlineStr">
        <is>
          <t>DALARNAS LÄN</t>
        </is>
      </c>
      <c r="G249" t="inlineStr">
        <is>
          <t>LUDVIKA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45910</v>
      </c>
      <c r="E250" s="1" t="n">
        <v>46294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46294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43345-2025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46294</v>
      </c>
      <c r="F252" t="inlineStr">
        <is>
          <t>DALARNAS LÄN</t>
        </is>
      </c>
      <c r="G252" t="inlineStr">
        <is>
          <t>LUDVIKA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45813</v>
      </c>
      <c r="E253" s="1" t="n">
        <v>46294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45813</v>
      </c>
      <c r="E254" s="1" t="n">
        <v>46294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45106</v>
      </c>
      <c r="E255" s="1" t="n">
        <v>46294</v>
      </c>
      <c r="F255" t="inlineStr">
        <is>
          <t>DALARNAS LÄN</t>
        </is>
      </c>
      <c r="G255" t="inlineStr">
        <is>
          <t>LUDVIKA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46294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63215-2025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46294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46294</v>
      </c>
      <c r="F258" t="inlineStr">
        <is>
          <t>DALARNAS LÄN</t>
        </is>
      </c>
      <c r="G258" t="inlineStr">
        <is>
          <t>LUDVIKA</t>
        </is>
      </c>
      <c r="H258" t="inlineStr">
        <is>
          <t>Naturvårdsverket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38170-2023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45161</v>
      </c>
      <c r="E259" s="1" t="n">
        <v>46294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46294</v>
      </c>
      <c r="F260" t="inlineStr">
        <is>
          <t>DALARNAS LÄN</t>
        </is>
      </c>
      <c r="G260" t="inlineStr">
        <is>
          <t>LUDVIKA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46294</v>
      </c>
      <c r="F261" t="inlineStr">
        <is>
          <t>DALARNAS LÄN</t>
        </is>
      </c>
      <c r="G261" t="inlineStr">
        <is>
          <t>LUDVIKA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46294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45622</v>
      </c>
      <c r="E263" s="1" t="n">
        <v>46294</v>
      </c>
      <c r="F263" t="inlineStr">
        <is>
          <t>DALARNAS LÄN</t>
        </is>
      </c>
      <c r="G263" t="inlineStr">
        <is>
          <t>LUDVIKA</t>
        </is>
      </c>
      <c r="H263" t="inlineStr">
        <is>
          <t>Naturvårdsverket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41737-2025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46294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45824</v>
      </c>
      <c r="E265" s="1" t="n">
        <v>46294</v>
      </c>
      <c r="F265" t="inlineStr">
        <is>
          <t>DALARNAS LÄN</t>
        </is>
      </c>
      <c r="G265" t="inlineStr">
        <is>
          <t>LUDVIKA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46294</v>
      </c>
      <c r="F266" t="inlineStr">
        <is>
          <t>DALARNAS LÄN</t>
        </is>
      </c>
      <c r="G266" t="inlineStr">
        <is>
          <t>LUDVIKA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43762-2025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45912</v>
      </c>
      <c r="E267" s="1" t="n">
        <v>46294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30288-2025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45827</v>
      </c>
      <c r="E268" s="1" t="n">
        <v>46294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46294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46294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46294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46317-2025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45925</v>
      </c>
      <c r="E272" s="1" t="n">
        <v>46294</v>
      </c>
      <c r="F272" t="inlineStr">
        <is>
          <t>DALARNAS LÄN</t>
        </is>
      </c>
      <c r="G272" t="inlineStr">
        <is>
          <t>LUDVIKA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46040-2025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46294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46294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46294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46294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46294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17.2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30760-2025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46294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46294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46294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46294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46294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46294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45625</v>
      </c>
      <c r="E284" s="1" t="n">
        <v>46294</v>
      </c>
      <c r="F284" t="inlineStr">
        <is>
          <t>DALARNAS LÄN</t>
        </is>
      </c>
      <c r="G284" t="inlineStr">
        <is>
          <t>LUDVIKA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45208</v>
      </c>
      <c r="E285" s="1" t="n">
        <v>46294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46294</v>
      </c>
      <c r="F286" t="inlineStr">
        <is>
          <t>DALARNAS LÄN</t>
        </is>
      </c>
      <c r="G286" t="inlineStr">
        <is>
          <t>LUDVIKA</t>
        </is>
      </c>
      <c r="H286" t="inlineStr">
        <is>
          <t>Naturvårdsverket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44859</v>
      </c>
      <c r="E287" s="1" t="n">
        <v>46294</v>
      </c>
      <c r="F287" t="inlineStr">
        <is>
          <t>DALARNAS LÄN</t>
        </is>
      </c>
      <c r="G287" t="inlineStr">
        <is>
          <t>LUDVIKA</t>
        </is>
      </c>
      <c r="H287" t="inlineStr">
        <is>
          <t>Naturvårdsverket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32019-2025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46294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45559-2024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45579</v>
      </c>
      <c r="E289" s="1" t="n">
        <v>46294</v>
      </c>
      <c r="F289" t="inlineStr">
        <is>
          <t>DALARNAS LÄN</t>
        </is>
      </c>
      <c r="G289" t="inlineStr">
        <is>
          <t>LUDVIKA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45840</v>
      </c>
      <c r="E290" s="1" t="n">
        <v>46294</v>
      </c>
      <c r="F290" t="inlineStr">
        <is>
          <t>DALARNAS LÄN</t>
        </is>
      </c>
      <c r="G290" t="inlineStr">
        <is>
          <t>LUDVIKA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46294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46294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46294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45840</v>
      </c>
      <c r="E294" s="1" t="n">
        <v>46294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34067-2025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45845</v>
      </c>
      <c r="E295" s="1" t="n">
        <v>46294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46294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50444-2025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45944</v>
      </c>
      <c r="E297" s="1" t="n">
        <v>46294</v>
      </c>
      <c r="F297" t="inlineStr">
        <is>
          <t>DALARNAS LÄN</t>
        </is>
      </c>
      <c r="G297" t="inlineStr">
        <is>
          <t>LUDVIKA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34861-2025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45849</v>
      </c>
      <c r="E298" s="1" t="n">
        <v>46294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34455-2024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45525</v>
      </c>
      <c r="E299" s="1" t="n">
        <v>46294</v>
      </c>
      <c r="F299" t="inlineStr">
        <is>
          <t>DALARNAS LÄN</t>
        </is>
      </c>
      <c r="G299" t="inlineStr">
        <is>
          <t>LUDVIKA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51080-2024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46294</v>
      </c>
      <c r="F300" t="inlineStr">
        <is>
          <t>DALARNAS LÄN</t>
        </is>
      </c>
      <c r="G300" t="inlineStr">
        <is>
          <t>LUDVIKA</t>
        </is>
      </c>
      <c r="H300" t="inlineStr">
        <is>
          <t>Naturvårdsverket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29654-2025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46294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56346-2022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46294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51865-2025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46294</v>
      </c>
      <c r="F303" t="inlineStr">
        <is>
          <t>DALARNAS LÄN</t>
        </is>
      </c>
      <c r="G303" t="inlineStr">
        <is>
          <t>LUDVIKA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46294</v>
      </c>
      <c r="F304" t="inlineStr">
        <is>
          <t>DALARNAS LÄN</t>
        </is>
      </c>
      <c r="G304" t="inlineStr">
        <is>
          <t>LUDVIKA</t>
        </is>
      </c>
      <c r="H304" t="inlineStr">
        <is>
          <t>Övriga Aktiebolag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32329-2024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45512</v>
      </c>
      <c r="E305" s="1" t="n">
        <v>46294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46294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45045-2023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46294</v>
      </c>
      <c r="F307" t="inlineStr">
        <is>
          <t>DALARNAS LÄN</t>
        </is>
      </c>
      <c r="G307" t="inlineStr">
        <is>
          <t>LUDVIKA</t>
        </is>
      </c>
      <c r="H307" t="inlineStr">
        <is>
          <t>Sveaskog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46294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46294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46294</v>
      </c>
      <c r="F310" t="inlineStr">
        <is>
          <t>DALARNAS LÄN</t>
        </is>
      </c>
      <c r="G310" t="inlineStr">
        <is>
          <t>LUDVIKA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46294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45832</v>
      </c>
      <c r="E312" s="1" t="n">
        <v>46294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45954</v>
      </c>
      <c r="E313" s="1" t="n">
        <v>46294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52832-2025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46294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46294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45840</v>
      </c>
      <c r="E316" s="1" t="n">
        <v>46294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52556-2025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45954</v>
      </c>
      <c r="E317" s="1" t="n">
        <v>46294</v>
      </c>
      <c r="F317" t="inlineStr">
        <is>
          <t>DALARNAS LÄN</t>
        </is>
      </c>
      <c r="G317" t="inlineStr">
        <is>
          <t>LUDVIKA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52459-2025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45954</v>
      </c>
      <c r="E318" s="1" t="n">
        <v>46294</v>
      </c>
      <c r="F318" t="inlineStr">
        <is>
          <t>DALARNAS LÄN</t>
        </is>
      </c>
      <c r="G318" t="inlineStr">
        <is>
          <t>LUDVIKA</t>
        </is>
      </c>
      <c r="H318" t="inlineStr">
        <is>
          <t>Övriga Aktiebolag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52504-2025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45954</v>
      </c>
      <c r="E319" s="1" t="n">
        <v>46294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52427-2025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46294</v>
      </c>
      <c r="F320" t="inlineStr">
        <is>
          <t>DALARNAS LÄN</t>
        </is>
      </c>
      <c r="G320" t="inlineStr">
        <is>
          <t>LUDVIKA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45957</v>
      </c>
      <c r="E321" s="1" t="n">
        <v>46294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46294</v>
      </c>
      <c r="F322" t="inlineStr">
        <is>
          <t>DALARNAS LÄN</t>
        </is>
      </c>
      <c r="G322" t="inlineStr">
        <is>
          <t>LUDVIKA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17677-2022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44680</v>
      </c>
      <c r="E323" s="1" t="n">
        <v>46294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5.5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46294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45567</v>
      </c>
      <c r="E325" s="1" t="n">
        <v>46294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45623</v>
      </c>
      <c r="E326" s="1" t="n">
        <v>46294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45337</v>
      </c>
      <c r="E327" s="1" t="n">
        <v>46294</v>
      </c>
      <c r="F327" t="inlineStr">
        <is>
          <t>DALARNAS LÄN</t>
        </is>
      </c>
      <c r="G327" t="inlineStr">
        <is>
          <t>LUDVIKA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45761</v>
      </c>
      <c r="E328" s="1" t="n">
        <v>46294</v>
      </c>
      <c r="F328" t="inlineStr">
        <is>
          <t>DALARNAS LÄN</t>
        </is>
      </c>
      <c r="G328" t="inlineStr">
        <is>
          <t>LUDVIKA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45744</v>
      </c>
      <c r="E329" s="1" t="n">
        <v>46294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46294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54341-2025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45965</v>
      </c>
      <c r="E331" s="1" t="n">
        <v>46294</v>
      </c>
      <c r="F331" t="inlineStr">
        <is>
          <t>DALARNAS LÄN</t>
        </is>
      </c>
      <c r="G331" t="inlineStr">
        <is>
          <t>LUDVIKA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46294</v>
      </c>
      <c r="F332" t="inlineStr">
        <is>
          <t>DALARNAS LÄN</t>
        </is>
      </c>
      <c r="G332" t="inlineStr">
        <is>
          <t>LUDVIKA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46294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39772-2025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45891</v>
      </c>
      <c r="E334" s="1" t="n">
        <v>46294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54035-2025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45963</v>
      </c>
      <c r="E335" s="1" t="n">
        <v>46294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45891</v>
      </c>
      <c r="E336" s="1" t="n">
        <v>46294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54673-2025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45966</v>
      </c>
      <c r="E337" s="1" t="n">
        <v>46294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65195-2021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44515</v>
      </c>
      <c r="E338" s="1" t="n">
        <v>46294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45904</v>
      </c>
      <c r="E339" s="1" t="n">
        <v>46294</v>
      </c>
      <c r="F339" t="inlineStr">
        <is>
          <t>DALARNAS LÄN</t>
        </is>
      </c>
      <c r="G339" t="inlineStr">
        <is>
          <t>LUDVIKA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46294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46294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9.4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56685-2022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44893</v>
      </c>
      <c r="E342" s="1" t="n">
        <v>46294</v>
      </c>
      <c r="F342" t="inlineStr">
        <is>
          <t>DALARNAS LÄN</t>
        </is>
      </c>
      <c r="G342" t="inlineStr">
        <is>
          <t>LUDVIKA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55211-2025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46294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46294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11797-2023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46294</v>
      </c>
      <c r="F345" t="inlineStr">
        <is>
          <t>DALARNAS LÄN</t>
        </is>
      </c>
      <c r="G345" t="inlineStr">
        <is>
          <t>LUDVIKA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55426-2025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45971</v>
      </c>
      <c r="E346" s="1" t="n">
        <v>46294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45502</v>
      </c>
      <c r="E347" s="1" t="n">
        <v>46294</v>
      </c>
      <c r="F347" t="inlineStr">
        <is>
          <t>DALARNAS LÄN</t>
        </is>
      </c>
      <c r="G347" t="inlineStr">
        <is>
          <t>LUDVIKA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55944-2025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45973</v>
      </c>
      <c r="E348" s="1" t="n">
        <v>46294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46294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46294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56030-2025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46294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46294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56178-2025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46294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46294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46294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46294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46294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46294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6.9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46294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46294</v>
      </c>
      <c r="F360" t="inlineStr">
        <is>
          <t>DALARNAS LÄN</t>
        </is>
      </c>
      <c r="G360" t="inlineStr">
        <is>
          <t>LUDVIKA</t>
        </is>
      </c>
      <c r="H360" t="inlineStr">
        <is>
          <t>Övriga Aktiebolag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46294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59351-2023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45253</v>
      </c>
      <c r="E362" s="1" t="n">
        <v>46294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48683-2023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45208</v>
      </c>
      <c r="E363" s="1" t="n">
        <v>46294</v>
      </c>
      <c r="F363" t="inlineStr">
        <is>
          <t>DALARNAS LÄN</t>
        </is>
      </c>
      <c r="G363" t="inlineStr">
        <is>
          <t>LUDVIKA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32332-2024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46294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53981-2025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45961</v>
      </c>
      <c r="E365" s="1" t="n">
        <v>46294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42985-2025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45909</v>
      </c>
      <c r="E366" s="1" t="n">
        <v>46294</v>
      </c>
      <c r="F366" t="inlineStr">
        <is>
          <t>DALARNAS LÄN</t>
        </is>
      </c>
      <c r="G366" t="inlineStr">
        <is>
          <t>LUDVIKA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45989</v>
      </c>
      <c r="E367" s="1" t="n">
        <v>46294</v>
      </c>
      <c r="F367" t="inlineStr">
        <is>
          <t>DALARNAS LÄN</t>
        </is>
      </c>
      <c r="G367" t="inlineStr">
        <is>
          <t>LUDVIKA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46294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47086-2025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46294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47032-2025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45929</v>
      </c>
      <c r="E370" s="1" t="n">
        <v>46294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38921-2025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45887</v>
      </c>
      <c r="E371" s="1" t="n">
        <v>46294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39833-2025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45891</v>
      </c>
      <c r="E372" s="1" t="n">
        <v>46294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46294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45246</v>
      </c>
      <c r="E374" s="1" t="n">
        <v>46294</v>
      </c>
      <c r="F374" t="inlineStr">
        <is>
          <t>DALARNAS LÄN</t>
        </is>
      </c>
      <c r="G374" t="inlineStr">
        <is>
          <t>LUDVIKA</t>
        </is>
      </c>
      <c r="I374" t="n">
        <v>12.7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46294</v>
      </c>
      <c r="F375" t="inlineStr">
        <is>
          <t>DALARNAS LÄN</t>
        </is>
      </c>
      <c r="G375" t="inlineStr">
        <is>
          <t>LUDVIKA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46294</v>
      </c>
      <c r="F376" t="inlineStr">
        <is>
          <t>DALARNAS LÄN</t>
        </is>
      </c>
      <c r="G376" t="inlineStr">
        <is>
          <t>LUDVIKA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46294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45961</v>
      </c>
      <c r="E378" s="1" t="n">
        <v>46294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45562</v>
      </c>
      <c r="E379" s="1" t="n">
        <v>46294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49035-2024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45594</v>
      </c>
      <c r="E380" s="1" t="n">
        <v>46294</v>
      </c>
      <c r="F380" t="inlineStr">
        <is>
          <t>DALARNAS LÄN</t>
        </is>
      </c>
      <c r="G380" t="inlineStr">
        <is>
          <t>LUDVIKA</t>
        </is>
      </c>
      <c r="H380" t="inlineStr">
        <is>
          <t>Naturvårdsverket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61621-2022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44916</v>
      </c>
      <c r="E381" s="1" t="n">
        <v>46294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45995</v>
      </c>
      <c r="E382" s="1" t="n">
        <v>46294</v>
      </c>
      <c r="F382" t="inlineStr">
        <is>
          <t>DALARNAS LÄN</t>
        </is>
      </c>
      <c r="G382" t="inlineStr">
        <is>
          <t>LUDVIKA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45995</v>
      </c>
      <c r="E383" s="1" t="n">
        <v>46294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60452-2025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46294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46294</v>
      </c>
      <c r="F385" t="inlineStr">
        <is>
          <t>DALARNAS LÄN</t>
        </is>
      </c>
      <c r="G385" t="inlineStr">
        <is>
          <t>LUDVIKA</t>
        </is>
      </c>
      <c r="H385" t="inlineStr">
        <is>
          <t>Naturvårdsverket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46294</v>
      </c>
      <c r="F386" t="inlineStr">
        <is>
          <t>DALARNAS LÄN</t>
        </is>
      </c>
      <c r="G386" t="inlineStr">
        <is>
          <t>LUDVIKA</t>
        </is>
      </c>
      <c r="H386" t="inlineStr">
        <is>
          <t>Naturvårdsverket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47366-2023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46294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46294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60660-2024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45644</v>
      </c>
      <c r="E389" s="1" t="n">
        <v>46294</v>
      </c>
      <c r="F389" t="inlineStr">
        <is>
          <t>DALARNAS LÄN</t>
        </is>
      </c>
      <c r="G389" t="inlineStr">
        <is>
          <t>LUDVIKA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45637</v>
      </c>
      <c r="E390" s="1" t="n">
        <v>46294</v>
      </c>
      <c r="F390" t="inlineStr">
        <is>
          <t>DALARNAS LÄN</t>
        </is>
      </c>
      <c r="G390" t="inlineStr">
        <is>
          <t>LUDVIKA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48642-2022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44859</v>
      </c>
      <c r="E391" s="1" t="n">
        <v>46294</v>
      </c>
      <c r="F391" t="inlineStr">
        <is>
          <t>DALARNAS LÄN</t>
        </is>
      </c>
      <c r="G391" t="inlineStr">
        <is>
          <t>LUDVIKA</t>
        </is>
      </c>
      <c r="H391" t="inlineStr">
        <is>
          <t>Naturvårdsverket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56615-2025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45975</v>
      </c>
      <c r="E392" s="1" t="n">
        <v>46294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18724-2022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44687</v>
      </c>
      <c r="E393" s="1" t="n">
        <v>46294</v>
      </c>
      <c r="F393" t="inlineStr">
        <is>
          <t>DALARNAS LÄN</t>
        </is>
      </c>
      <c r="G393" t="inlineStr">
        <is>
          <t>LUDVIKA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52230-2023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45224</v>
      </c>
      <c r="E394" s="1" t="n">
        <v>46294</v>
      </c>
      <c r="F394" t="inlineStr">
        <is>
          <t>DALARNAS LÄN</t>
        </is>
      </c>
      <c r="G394" t="inlineStr">
        <is>
          <t>LUDVIKA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30813-2025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46294</v>
      </c>
      <c r="F395" t="inlineStr">
        <is>
          <t>DALARNAS LÄN</t>
        </is>
      </c>
      <c r="G395" t="inlineStr">
        <is>
          <t>LUDVIKA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62368-2025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46294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42128-2024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45562</v>
      </c>
      <c r="E397" s="1" t="n">
        <v>46294</v>
      </c>
      <c r="F397" t="inlineStr">
        <is>
          <t>DALARNAS LÄN</t>
        </is>
      </c>
      <c r="G397" t="inlineStr">
        <is>
          <t>LUDVIKA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33673-2022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44789</v>
      </c>
      <c r="E398" s="1" t="n">
        <v>46294</v>
      </c>
      <c r="F398" t="inlineStr">
        <is>
          <t>DALARNAS LÄN</t>
        </is>
      </c>
      <c r="G398" t="inlineStr">
        <is>
          <t>LUDVIKA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56680-2022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44893</v>
      </c>
      <c r="E399" s="1" t="n">
        <v>46294</v>
      </c>
      <c r="F399" t="inlineStr">
        <is>
          <t>DALARNAS LÄN</t>
        </is>
      </c>
      <c r="G399" t="inlineStr">
        <is>
          <t>LUDVIKA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73703-2021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44552</v>
      </c>
      <c r="E400" s="1" t="n">
        <v>46294</v>
      </c>
      <c r="F400" t="inlineStr">
        <is>
          <t>DALARNAS LÄN</t>
        </is>
      </c>
      <c r="G400" t="inlineStr">
        <is>
          <t>LUDVIKA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46294</v>
      </c>
      <c r="F401" t="inlineStr">
        <is>
          <t>DALARNAS LÄN</t>
        </is>
      </c>
      <c r="G401" t="inlineStr">
        <is>
          <t>LUDVIKA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44520-2023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46294</v>
      </c>
      <c r="F402" t="inlineStr">
        <is>
          <t>DALARNAS LÄN</t>
        </is>
      </c>
      <c r="G402" t="inlineStr">
        <is>
          <t>LUDVIKA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57217-2024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46294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41090-2022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44825</v>
      </c>
      <c r="E404" s="1" t="n">
        <v>46294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46294</v>
      </c>
      <c r="F405" t="inlineStr">
        <is>
          <t>DALARNAS LÄN</t>
        </is>
      </c>
      <c r="G405" t="inlineStr">
        <is>
          <t>LUDVIKA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45301</v>
      </c>
      <c r="E406" s="1" t="n">
        <v>46294</v>
      </c>
      <c r="F406" t="inlineStr">
        <is>
          <t>DALARNAS LÄN</t>
        </is>
      </c>
      <c r="G406" t="inlineStr">
        <is>
          <t>LUDVIKA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45297</v>
      </c>
      <c r="E407" s="1" t="n">
        <v>46294</v>
      </c>
      <c r="F407" t="inlineStr">
        <is>
          <t>DALARNAS LÄN</t>
        </is>
      </c>
      <c r="G407" t="inlineStr">
        <is>
          <t>LUDVIKA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45335</v>
      </c>
      <c r="E408" s="1" t="n">
        <v>46294</v>
      </c>
      <c r="F408" t="inlineStr">
        <is>
          <t>DALARNAS LÄN</t>
        </is>
      </c>
      <c r="G408" t="inlineStr">
        <is>
          <t>LUDVIKA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45639</v>
      </c>
      <c r="E409" s="1" t="n">
        <v>46294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32277-2024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45512</v>
      </c>
      <c r="E410" s="1" t="n">
        <v>46294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46074-2023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46294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45219</v>
      </c>
      <c r="E412" s="1" t="n">
        <v>46294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12497-2024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45379</v>
      </c>
      <c r="E413" s="1" t="n">
        <v>46294</v>
      </c>
      <c r="F413" t="inlineStr">
        <is>
          <t>DALARNAS LÄN</t>
        </is>
      </c>
      <c r="G413" t="inlineStr">
        <is>
          <t>LUDVIKA</t>
        </is>
      </c>
      <c r="H413" t="inlineStr">
        <is>
          <t>Naturvårdsverket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28157-2023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45099</v>
      </c>
      <c r="E414" s="1" t="n">
        <v>46294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46294</v>
      </c>
      <c r="F415" t="inlineStr">
        <is>
          <t>DALARNAS LÄN</t>
        </is>
      </c>
      <c r="G415" t="inlineStr">
        <is>
          <t>LUDVIKA</t>
        </is>
      </c>
      <c r="H415" t="inlineStr">
        <is>
          <t>Kommuner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17054-2026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46114</v>
      </c>
      <c r="E416" s="1" t="n">
        <v>46294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45488</v>
      </c>
      <c r="E417" s="1" t="n">
        <v>46294</v>
      </c>
      <c r="F417" t="inlineStr">
        <is>
          <t>DALARNAS LÄN</t>
        </is>
      </c>
      <c r="G417" t="inlineStr">
        <is>
          <t>LUDVIKA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46294</v>
      </c>
      <c r="F418" t="inlineStr">
        <is>
          <t>DALARNAS LÄN</t>
        </is>
      </c>
      <c r="G418" t="inlineStr">
        <is>
          <t>LUDVIKA</t>
        </is>
      </c>
      <c r="H418" t="inlineStr">
        <is>
          <t>Naturvårdsverket</t>
        </is>
      </c>
      <c r="I418" t="n">
        <v>19.8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46294</v>
      </c>
      <c r="F419" t="inlineStr">
        <is>
          <t>DALARNAS LÄN</t>
        </is>
      </c>
      <c r="G419" t="inlineStr">
        <is>
          <t>LUDVIKA</t>
        </is>
      </c>
      <c r="H419" t="inlineStr">
        <is>
          <t>Övriga Aktiebolag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7243-2023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44970</v>
      </c>
      <c r="E420" s="1" t="n">
        <v>46294</v>
      </c>
      <c r="F420" t="inlineStr">
        <is>
          <t>DALARNAS LÄN</t>
        </is>
      </c>
      <c r="G420" t="inlineStr">
        <is>
          <t>LUDVIKA</t>
        </is>
      </c>
      <c r="H420" t="inlineStr">
        <is>
          <t>Övriga Aktiebolag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17787-2026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46122</v>
      </c>
      <c r="E421" s="1" t="n">
        <v>46294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46294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17913-2026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46294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39519-2024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45551</v>
      </c>
      <c r="E424" s="1" t="n">
        <v>46294</v>
      </c>
      <c r="F424" t="inlineStr">
        <is>
          <t>DALARNAS LÄN</t>
        </is>
      </c>
      <c r="G424" t="inlineStr">
        <is>
          <t>LUDVIKA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46294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17915-2026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46122</v>
      </c>
      <c r="E426" s="1" t="n">
        <v>46294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47496-2022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44853</v>
      </c>
      <c r="E427" s="1" t="n">
        <v>46294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46294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46294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18362-2026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46294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64171-2023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45279</v>
      </c>
      <c r="E431" s="1" t="n">
        <v>46294</v>
      </c>
      <c r="F431" t="inlineStr">
        <is>
          <t>DALARNAS LÄN</t>
        </is>
      </c>
      <c r="G431" t="inlineStr">
        <is>
          <t>LUDVIKA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28134-2023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46294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43240-2024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45568</v>
      </c>
      <c r="E433" s="1" t="n">
        <v>46294</v>
      </c>
      <c r="F433" t="inlineStr">
        <is>
          <t>DALARNAS LÄN</t>
        </is>
      </c>
      <c r="G433" t="inlineStr">
        <is>
          <t>LUDVIKA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46128</v>
      </c>
      <c r="E434" s="1" t="n">
        <v>46294</v>
      </c>
      <c r="F434" t="inlineStr">
        <is>
          <t>DALARNAS LÄN</t>
        </is>
      </c>
      <c r="G434" t="inlineStr">
        <is>
          <t>LUDVIKA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41158-2022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44825</v>
      </c>
      <c r="E435" s="1" t="n">
        <v>46294</v>
      </c>
      <c r="F435" t="inlineStr">
        <is>
          <t>DALARNAS LÄN</t>
        </is>
      </c>
      <c r="G435" t="inlineStr">
        <is>
          <t>LUDVIKA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19610-2026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46294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46294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53554-2025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46294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59186-2025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46294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46294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46294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46294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46294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45399</v>
      </c>
      <c r="E444" s="1" t="n">
        <v>46294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60843-2024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46294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55151-2025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45968</v>
      </c>
      <c r="E446" s="1" t="n">
        <v>46294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65104-2023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45288</v>
      </c>
      <c r="E447" s="1" t="n">
        <v>46294</v>
      </c>
      <c r="F447" t="inlineStr">
        <is>
          <t>DALARNAS LÄN</t>
        </is>
      </c>
      <c r="G447" t="inlineStr">
        <is>
          <t>LUDVIKA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46294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45849</v>
      </c>
      <c r="E449" s="1" t="n">
        <v>46294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14881-2025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45743</v>
      </c>
      <c r="E450" s="1" t="n">
        <v>46294</v>
      </c>
      <c r="F450" t="inlineStr">
        <is>
          <t>DALARNAS LÄN</t>
        </is>
      </c>
      <c r="G450" t="inlineStr">
        <is>
          <t>LUDVIKA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52912-2025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45954</v>
      </c>
      <c r="E451" s="1" t="n">
        <v>46294</v>
      </c>
      <c r="F451" t="inlineStr">
        <is>
          <t>DALARNAS LÄN</t>
        </is>
      </c>
      <c r="G451" t="inlineStr">
        <is>
          <t>LUDVIKA</t>
        </is>
      </c>
      <c r="I451" t="n">
        <v>9.800000000000001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29578-2025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45825</v>
      </c>
      <c r="E452" s="1" t="n">
        <v>46294</v>
      </c>
      <c r="F452" t="inlineStr">
        <is>
          <t>DALARNAS LÄN</t>
        </is>
      </c>
      <c r="G452" t="inlineStr">
        <is>
          <t>LUDVIKA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59050-2022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44903</v>
      </c>
      <c r="E453" s="1" t="n">
        <v>46294</v>
      </c>
      <c r="F453" t="inlineStr">
        <is>
          <t>DALARNAS LÄN</t>
        </is>
      </c>
      <c r="G453" t="inlineStr">
        <is>
          <t>LUDVIKA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45544-2024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46294</v>
      </c>
      <c r="F454" t="inlineStr">
        <is>
          <t>DALARNAS LÄN</t>
        </is>
      </c>
      <c r="G454" t="inlineStr">
        <is>
          <t>LUDVIKA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45547-2024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45579</v>
      </c>
      <c r="E455" s="1" t="n">
        <v>46294</v>
      </c>
      <c r="F455" t="inlineStr">
        <is>
          <t>DALARNAS LÄN</t>
        </is>
      </c>
      <c r="G455" t="inlineStr">
        <is>
          <t>LUDVIKA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30399-2025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45827</v>
      </c>
      <c r="E456" s="1" t="n">
        <v>46294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41828-2025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45902</v>
      </c>
      <c r="E457" s="1" t="n">
        <v>46294</v>
      </c>
      <c r="F457" t="inlineStr">
        <is>
          <t>DALARNAS LÄN</t>
        </is>
      </c>
      <c r="G457" t="inlineStr">
        <is>
          <t>LUDVIKA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45860</v>
      </c>
      <c r="E458" s="1" t="n">
        <v>46294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34875-2025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45849</v>
      </c>
      <c r="E459" s="1" t="n">
        <v>46294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55323-2025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45971</v>
      </c>
      <c r="E460" s="1" t="n">
        <v>46294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25.7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42106-2024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45562</v>
      </c>
      <c r="E461" s="1" t="n">
        <v>46294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45705</v>
      </c>
      <c r="E462" s="1" t="n">
        <v>46294</v>
      </c>
      <c r="F462" t="inlineStr">
        <is>
          <t>DALARNAS LÄN</t>
        </is>
      </c>
      <c r="G462" t="inlineStr">
        <is>
          <t>LUDVIKA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32854-2023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45112</v>
      </c>
      <c r="E463" s="1" t="n">
        <v>46294</v>
      </c>
      <c r="F463" t="inlineStr">
        <is>
          <t>DALARNAS LÄN</t>
        </is>
      </c>
      <c r="G463" t="inlineStr">
        <is>
          <t>LUDVIKA</t>
        </is>
      </c>
      <c r="H463" t="inlineStr">
        <is>
          <t>Kommuner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45588</v>
      </c>
      <c r="E464" s="1" t="n">
        <v>46294</v>
      </c>
      <c r="F464" t="inlineStr">
        <is>
          <t>DALARNAS LÄN</t>
        </is>
      </c>
      <c r="G464" t="inlineStr">
        <is>
          <t>LUDVIKA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46620-2023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45198</v>
      </c>
      <c r="E465" s="1" t="n">
        <v>46294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46294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46037</v>
      </c>
      <c r="E467" s="1" t="n">
        <v>46294</v>
      </c>
      <c r="F467" t="inlineStr">
        <is>
          <t>DALARNAS LÄN</t>
        </is>
      </c>
      <c r="G467" t="inlineStr">
        <is>
          <t>LUDVIKA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52466-2023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46294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61507-2023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45265</v>
      </c>
      <c r="E469" s="1" t="n">
        <v>46294</v>
      </c>
      <c r="F469" t="inlineStr">
        <is>
          <t>DALARNAS LÄN</t>
        </is>
      </c>
      <c r="G469" t="inlineStr">
        <is>
          <t>LUDVIKA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44537-2024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45574</v>
      </c>
      <c r="E470" s="1" t="n">
        <v>46294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46294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49951-2022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44865</v>
      </c>
      <c r="E472" s="1" t="n">
        <v>46294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46294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20666-2026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46294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46185-2024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45581</v>
      </c>
      <c r="E475" s="1" t="n">
        <v>46294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46294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29114-2024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45481</v>
      </c>
      <c r="E477" s="1" t="n">
        <v>46294</v>
      </c>
      <c r="F477" t="inlineStr">
        <is>
          <t>DALARNAS LÄN</t>
        </is>
      </c>
      <c r="G477" t="inlineStr">
        <is>
          <t>LUDVIKA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46294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31270-2022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44771</v>
      </c>
      <c r="E479" s="1" t="n">
        <v>46294</v>
      </c>
      <c r="F479" t="inlineStr">
        <is>
          <t>DALARNAS LÄN</t>
        </is>
      </c>
      <c r="G479" t="inlineStr">
        <is>
          <t>LUDVIKA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46294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45624</v>
      </c>
      <c r="E481" s="1" t="n">
        <v>46294</v>
      </c>
      <c r="F481" t="inlineStr">
        <is>
          <t>DALARNAS LÄN</t>
        </is>
      </c>
      <c r="G481" t="inlineStr">
        <is>
          <t>LUDVIKA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28507-2023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45103</v>
      </c>
      <c r="E482" s="1" t="n">
        <v>46294</v>
      </c>
      <c r="F482" t="inlineStr">
        <is>
          <t>DALARNAS LÄN</t>
        </is>
      </c>
      <c r="G482" t="inlineStr">
        <is>
          <t>LUDVIKA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46294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20882-2026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46142</v>
      </c>
      <c r="E484" s="1" t="n">
        <v>46294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39437-2023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46294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20888-2026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46142</v>
      </c>
      <c r="E486" s="1" t="n">
        <v>46294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46147</v>
      </c>
      <c r="E487" s="1" t="n">
        <v>46294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33839-2024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45520</v>
      </c>
      <c r="E488" s="1" t="n">
        <v>46294</v>
      </c>
      <c r="F488" t="inlineStr">
        <is>
          <t>DALARNAS LÄN</t>
        </is>
      </c>
      <c r="G488" t="inlineStr">
        <is>
          <t>LUDVIKA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54730-2022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44883</v>
      </c>
      <c r="E489" s="1" t="n">
        <v>46294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46294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45883</v>
      </c>
      <c r="E491" s="1" t="n">
        <v>46294</v>
      </c>
      <c r="F491" t="inlineStr">
        <is>
          <t>DALARNAS LÄN</t>
        </is>
      </c>
      <c r="G491" t="inlineStr">
        <is>
          <t>LUDVIKA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21462-2026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46148</v>
      </c>
      <c r="E492" s="1" t="n">
        <v>46294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21872-2026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46150</v>
      </c>
      <c r="E493" s="1" t="n">
        <v>46294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45062</v>
      </c>
      <c r="E494" s="1" t="n">
        <v>46294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39849-2023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45168</v>
      </c>
      <c r="E495" s="1" t="n">
        <v>46294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21798-2026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46150</v>
      </c>
      <c r="E496" s="1" t="n">
        <v>46294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53996-2024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46294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19071-2025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45765</v>
      </c>
      <c r="E498" s="1" t="n">
        <v>46294</v>
      </c>
      <c r="F498" t="inlineStr">
        <is>
          <t>DALARNAS LÄN</t>
        </is>
      </c>
      <c r="G498" t="inlineStr">
        <is>
          <t>LUDVIKA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49045-2024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45594</v>
      </c>
      <c r="E499" s="1" t="n">
        <v>46294</v>
      </c>
      <c r="F499" t="inlineStr">
        <is>
          <t>DALARNAS LÄN</t>
        </is>
      </c>
      <c r="G499" t="inlineStr">
        <is>
          <t>LUDVIKA</t>
        </is>
      </c>
      <c r="H499" t="inlineStr">
        <is>
          <t>Naturvårdsverket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45740</v>
      </c>
      <c r="E500" s="1" t="n">
        <v>46294</v>
      </c>
      <c r="F500" t="inlineStr">
        <is>
          <t>DALARNAS LÄN</t>
        </is>
      </c>
      <c r="G500" t="inlineStr">
        <is>
          <t>LUDVIKA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46294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22558-2026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46155</v>
      </c>
      <c r="E502" s="1" t="n">
        <v>46294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55972-2025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46294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46294</v>
      </c>
      <c r="F504" t="inlineStr">
        <is>
          <t>DALARNAS LÄN</t>
        </is>
      </c>
      <c r="G504" t="inlineStr">
        <is>
          <t>LUDVIKA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46155</v>
      </c>
      <c r="E505" s="1" t="n">
        <v>46294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9.800000000000001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46142</v>
      </c>
      <c r="E506" s="1" t="n">
        <v>46294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45679</v>
      </c>
      <c r="E507" s="1" t="n">
        <v>46294</v>
      </c>
      <c r="F507" t="inlineStr">
        <is>
          <t>DALARNAS LÄN</t>
        </is>
      </c>
      <c r="G507" t="inlineStr">
        <is>
          <t>LUDVIKA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46294</v>
      </c>
      <c r="F508" t="inlineStr">
        <is>
          <t>DALARNAS LÄN</t>
        </is>
      </c>
      <c r="G508" t="inlineStr">
        <is>
          <t>LUDVIKA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46294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55633-2021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44476</v>
      </c>
      <c r="E510" s="1" t="n">
        <v>46294</v>
      </c>
      <c r="F510" t="inlineStr">
        <is>
          <t>DALARNAS LÄN</t>
        </is>
      </c>
      <c r="G510" t="inlineStr">
        <is>
          <t>LUDVIKA</t>
        </is>
      </c>
      <c r="H510" t="inlineStr">
        <is>
          <t>Övriga Aktiebolag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70046-2021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44533</v>
      </c>
      <c r="E511" s="1" t="n">
        <v>46294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46160</v>
      </c>
      <c r="E512" s="1" t="n">
        <v>46294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46161</v>
      </c>
      <c r="E513" s="1" t="n">
        <v>46294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45569</v>
      </c>
      <c r="E514" s="1" t="n">
        <v>46294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45761</v>
      </c>
      <c r="E515" s="1" t="n">
        <v>46294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22813-2026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46160</v>
      </c>
      <c r="E516" s="1" t="n">
        <v>46294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30123-2023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45110</v>
      </c>
      <c r="E517" s="1" t="n">
        <v>46294</v>
      </c>
      <c r="F517" t="inlineStr">
        <is>
          <t>DALARNAS LÄN</t>
        </is>
      </c>
      <c r="G517" t="inlineStr">
        <is>
          <t>LUDVIKA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39400-2023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45166</v>
      </c>
      <c r="E518" s="1" t="n">
        <v>46294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32119-2023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45119</v>
      </c>
      <c r="E519" s="1" t="n">
        <v>46294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46294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34845-2024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45526</v>
      </c>
      <c r="E521" s="1" t="n">
        <v>46294</v>
      </c>
      <c r="F521" t="inlineStr">
        <is>
          <t>DALARNAS LÄN</t>
        </is>
      </c>
      <c r="G521" t="inlineStr">
        <is>
          <t>LUDVIKA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25299-2022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44730</v>
      </c>
      <c r="E522" s="1" t="n">
        <v>46294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45791</v>
      </c>
      <c r="E523" s="1" t="n">
        <v>46294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46294</v>
      </c>
      <c r="F524" t="inlineStr">
        <is>
          <t>DALARNAS LÄN</t>
        </is>
      </c>
      <c r="G524" t="inlineStr">
        <is>
          <t>LUDVIKA</t>
        </is>
      </c>
      <c r="I524" t="n">
        <v>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56672-2023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45243</v>
      </c>
      <c r="E525" s="1" t="n">
        <v>46294</v>
      </c>
      <c r="F525" t="inlineStr">
        <is>
          <t>DALARNAS LÄN</t>
        </is>
      </c>
      <c r="G525" t="inlineStr">
        <is>
          <t>LUDVIKA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32305-2024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45512</v>
      </c>
      <c r="E526" s="1" t="n">
        <v>46294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46038</v>
      </c>
      <c r="E527" s="1" t="n">
        <v>46294</v>
      </c>
      <c r="F527" t="inlineStr">
        <is>
          <t>DALARNAS LÄN</t>
        </is>
      </c>
      <c r="G527" t="inlineStr">
        <is>
          <t>LUDVIKA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45833</v>
      </c>
      <c r="E528" s="1" t="n">
        <v>46294</v>
      </c>
      <c r="F528" t="inlineStr">
        <is>
          <t>DALARNAS LÄN</t>
        </is>
      </c>
      <c r="G528" t="inlineStr">
        <is>
          <t>LUDVIKA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31818-2025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45834</v>
      </c>
      <c r="E529" s="1" t="n">
        <v>46294</v>
      </c>
      <c r="F529" t="inlineStr">
        <is>
          <t>DALARNAS LÄN</t>
        </is>
      </c>
      <c r="G529" t="inlineStr">
        <is>
          <t>LUDVIKA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46294</v>
      </c>
      <c r="F530" t="inlineStr">
        <is>
          <t>DALARNAS LÄN</t>
        </is>
      </c>
      <c r="G530" t="inlineStr">
        <is>
          <t>LUDVIKA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61309-2022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44915</v>
      </c>
      <c r="E531" s="1" t="n">
        <v>46294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29780-2024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45485</v>
      </c>
      <c r="E532" s="1" t="n">
        <v>46294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60788-2024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45644</v>
      </c>
      <c r="E533" s="1" t="n">
        <v>46294</v>
      </c>
      <c r="F533" t="inlineStr">
        <is>
          <t>DALARNAS LÄN</t>
        </is>
      </c>
      <c r="G533" t="inlineStr">
        <is>
          <t>LUDVIKA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24768-2026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46294</v>
      </c>
      <c r="F534" t="inlineStr">
        <is>
          <t>DALARNAS LÄN</t>
        </is>
      </c>
      <c r="G534" t="inlineStr">
        <is>
          <t>LUDVIKA</t>
        </is>
      </c>
      <c r="H534" t="inlineStr">
        <is>
          <t>Naturvårdsverket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46294</v>
      </c>
      <c r="F535" t="inlineStr">
        <is>
          <t>DALARNAS LÄN</t>
        </is>
      </c>
      <c r="G535" t="inlineStr">
        <is>
          <t>LUDVIKA</t>
        </is>
      </c>
      <c r="H535" t="inlineStr">
        <is>
          <t>Naturvårdsverket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51043-2024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45603</v>
      </c>
      <c r="E536" s="1" t="n">
        <v>46294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17.9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55034-2024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45621</v>
      </c>
      <c r="E537" s="1" t="n">
        <v>46294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2614-2023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44942</v>
      </c>
      <c r="E538" s="1" t="n">
        <v>46294</v>
      </c>
      <c r="F538" t="inlineStr">
        <is>
          <t>DALARNAS LÄN</t>
        </is>
      </c>
      <c r="G538" t="inlineStr">
        <is>
          <t>LUDVIKA</t>
        </is>
      </c>
      <c r="I538" t="n">
        <v>13.1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46294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46294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46294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25320-2026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46176</v>
      </c>
      <c r="E542" s="1" t="n">
        <v>46294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8.1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46171</v>
      </c>
      <c r="E543" s="1" t="n">
        <v>46294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25193-2026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46294</v>
      </c>
      <c r="F544" t="inlineStr">
        <is>
          <t>DALARNAS LÄN</t>
        </is>
      </c>
      <c r="G544" t="inlineStr">
        <is>
          <t>LUDVIKA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24670-2026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46171</v>
      </c>
      <c r="E545" s="1" t="n">
        <v>46294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24687-2026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46294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23917-2026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46167</v>
      </c>
      <c r="E547" s="1" t="n">
        <v>46294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20969-2026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46142</v>
      </c>
      <c r="E548" s="1" t="n">
        <v>46294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16.9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49166-2025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45938</v>
      </c>
      <c r="E549" s="1" t="n">
        <v>46294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23617-2026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46163</v>
      </c>
      <c r="E550" s="1" t="n">
        <v>46294</v>
      </c>
      <c r="F550" t="inlineStr">
        <is>
          <t>DALARNAS LÄN</t>
        </is>
      </c>
      <c r="G550" t="inlineStr">
        <is>
          <t>LUDVIKA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26382-2026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46183</v>
      </c>
      <c r="E551" s="1" t="n">
        <v>46294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16768-2025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45754</v>
      </c>
      <c r="E552" s="1" t="n">
        <v>46294</v>
      </c>
      <c r="F552" t="inlineStr">
        <is>
          <t>DALARNAS LÄN</t>
        </is>
      </c>
      <c r="G552" t="inlineStr">
        <is>
          <t>LUDVIKA</t>
        </is>
      </c>
      <c r="H552" t="inlineStr">
        <is>
          <t>Naturvårdsverket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26888-2026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46185</v>
      </c>
      <c r="E553" s="1" t="n">
        <v>46294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44599</v>
      </c>
      <c r="E554" s="1" t="n">
        <v>46294</v>
      </c>
      <c r="F554" t="inlineStr">
        <is>
          <t>DALARNAS LÄN</t>
        </is>
      </c>
      <c r="G554" t="inlineStr">
        <is>
          <t>LUDVIKA</t>
        </is>
      </c>
      <c r="I554" t="n">
        <v>8.4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26902-2026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46185</v>
      </c>
      <c r="E555" s="1" t="n">
        <v>46294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27554-2026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46190</v>
      </c>
      <c r="E556" s="1" t="n">
        <v>46294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49669-2024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46294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56818-2023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45244</v>
      </c>
      <c r="E558" s="1" t="n">
        <v>46294</v>
      </c>
      <c r="F558" t="inlineStr">
        <is>
          <t>DALARNAS LÄN</t>
        </is>
      </c>
      <c r="G558" t="inlineStr">
        <is>
          <t>LUDVIKA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44970</v>
      </c>
      <c r="E559" s="1" t="n">
        <v>46294</v>
      </c>
      <c r="F559" t="inlineStr">
        <is>
          <t>DALARNAS LÄN</t>
        </is>
      </c>
      <c r="G559" t="inlineStr">
        <is>
          <t>LUDVIKA</t>
        </is>
      </c>
      <c r="H559" t="inlineStr">
        <is>
          <t>Övriga Aktiebolag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46656-2023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45198</v>
      </c>
      <c r="E560" s="1" t="n">
        <v>46294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46183</v>
      </c>
      <c r="E561" s="1" t="n">
        <v>46294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46191</v>
      </c>
      <c r="E562" s="1" t="n">
        <v>46294</v>
      </c>
      <c r="F562" t="inlineStr">
        <is>
          <t>DALARNAS LÄN</t>
        </is>
      </c>
      <c r="G562" t="inlineStr">
        <is>
          <t>LUDVIKA</t>
        </is>
      </c>
      <c r="I562" t="n">
        <v>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46294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27613-2026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46294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27609-2026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46294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46190</v>
      </c>
      <c r="E566" s="1" t="n">
        <v>46294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53620-2022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44879</v>
      </c>
      <c r="E567" s="1" t="n">
        <v>46294</v>
      </c>
      <c r="F567" t="inlineStr">
        <is>
          <t>DALARNAS LÄN</t>
        </is>
      </c>
      <c r="G567" t="inlineStr">
        <is>
          <t>LUDVIKA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46294</v>
      </c>
      <c r="F568" t="inlineStr">
        <is>
          <t>DALARNAS LÄN</t>
        </is>
      </c>
      <c r="G568" t="inlineStr">
        <is>
          <t>LUDVIKA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22806-2026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46160</v>
      </c>
      <c r="E569" s="1" t="n">
        <v>46294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46160</v>
      </c>
      <c r="E570" s="1" t="n">
        <v>46294</v>
      </c>
      <c r="F570" t="inlineStr">
        <is>
          <t>DALARNAS LÄN</t>
        </is>
      </c>
      <c r="G570" t="inlineStr">
        <is>
          <t>LUDVIKA</t>
        </is>
      </c>
      <c r="H570" t="inlineStr">
        <is>
          <t>Naturvårdsverket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28714-2026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46294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46160</v>
      </c>
      <c r="E572" s="1" t="n">
        <v>46294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22824-2026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46160</v>
      </c>
      <c r="E573" s="1" t="n">
        <v>46294</v>
      </c>
      <c r="F573" t="inlineStr">
        <is>
          <t>DALARNAS LÄN</t>
        </is>
      </c>
      <c r="G573" t="inlineStr">
        <is>
          <t>LUDVIKA</t>
        </is>
      </c>
      <c r="H573" t="inlineStr">
        <is>
          <t>Naturvårdsverket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21034-2026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46146</v>
      </c>
      <c r="E574" s="1" t="n">
        <v>46294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57969-2024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45631</v>
      </c>
      <c r="E575" s="1" t="n">
        <v>46294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21032-2026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46146</v>
      </c>
      <c r="E576" s="1" t="n">
        <v>46294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39761-2022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44819</v>
      </c>
      <c r="E577" s="1" t="n">
        <v>46294</v>
      </c>
      <c r="F577" t="inlineStr">
        <is>
          <t>DALARNAS LÄN</t>
        </is>
      </c>
      <c r="G577" t="inlineStr">
        <is>
          <t>LUDVIKA</t>
        </is>
      </c>
      <c r="H577" t="inlineStr">
        <is>
          <t>Naturvårdsverket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22611-2026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46294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46171</v>
      </c>
      <c r="E579" s="1" t="n">
        <v>46294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10.4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29734-2026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46204</v>
      </c>
      <c r="E580" s="1" t="n">
        <v>46294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45062</v>
      </c>
      <c r="E581" s="1" t="n">
        <v>46294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15851-2024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45404</v>
      </c>
      <c r="E582" s="1" t="n">
        <v>46294</v>
      </c>
      <c r="F582" t="inlineStr">
        <is>
          <t>DALARNAS LÄN</t>
        </is>
      </c>
      <c r="G582" t="inlineStr">
        <is>
          <t>LUDVIKA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41400-2022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44826</v>
      </c>
      <c r="E583" s="1" t="n">
        <v>46294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46294</v>
      </c>
      <c r="F584" t="inlineStr">
        <is>
          <t>DALARNAS LÄN</t>
        </is>
      </c>
      <c r="G584" t="inlineStr">
        <is>
          <t>LUDVIKA</t>
        </is>
      </c>
      <c r="H584" t="inlineStr">
        <is>
          <t>Naturvårdsverket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30113-2026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46294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46294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46294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48774-2024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45593</v>
      </c>
      <c r="E588" s="1" t="n">
        <v>46294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37392-2023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45156</v>
      </c>
      <c r="E589" s="1" t="n">
        <v>46294</v>
      </c>
      <c r="F589" t="inlineStr">
        <is>
          <t>DALARNAS LÄN</t>
        </is>
      </c>
      <c r="G589" t="inlineStr">
        <is>
          <t>LUDVIKA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11436-2024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45372</v>
      </c>
      <c r="E590" s="1" t="n">
        <v>46294</v>
      </c>
      <c r="F590" t="inlineStr">
        <is>
          <t>DALARNAS LÄN</t>
        </is>
      </c>
      <c r="G590" t="inlineStr">
        <is>
          <t>LUDVIKA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46294</v>
      </c>
      <c r="F591" t="inlineStr">
        <is>
          <t>DALARNAS LÄN</t>
        </is>
      </c>
      <c r="G591" t="inlineStr">
        <is>
          <t>LUDVIKA</t>
        </is>
      </c>
      <c r="H591" t="inlineStr">
        <is>
          <t>Kommuner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28062-2026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46195</v>
      </c>
      <c r="E592" s="1" t="n">
        <v>46294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46142</v>
      </c>
      <c r="E593" s="1" t="n">
        <v>46294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46294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40142-2022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44820</v>
      </c>
      <c r="E595" s="1" t="n">
        <v>46294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40151-2022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44820</v>
      </c>
      <c r="E596" s="1" t="n">
        <v>46294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21741-2022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44708</v>
      </c>
      <c r="E597" s="1" t="n">
        <v>46294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46255</v>
      </c>
      <c r="E598" s="1" t="n">
        <v>46294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46294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51015-2023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45218</v>
      </c>
      <c r="E600" s="1" t="n">
        <v>46294</v>
      </c>
      <c r="F600" t="inlineStr">
        <is>
          <t>DALARNAS LÄN</t>
        </is>
      </c>
      <c r="G600" t="inlineStr">
        <is>
          <t>LUDVIKA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46255</v>
      </c>
      <c r="E601" s="1" t="n">
        <v>46294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20973-2026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46142</v>
      </c>
      <c r="E602" s="1" t="n">
        <v>46294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34631-2026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46255</v>
      </c>
      <c r="E603" s="1" t="n">
        <v>46294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34584-2026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46294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34638-2026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46294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56621-2023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45243</v>
      </c>
      <c r="E606" s="1" t="n">
        <v>46294</v>
      </c>
      <c r="F606" t="inlineStr">
        <is>
          <t>DALARNAS LÄN</t>
        </is>
      </c>
      <c r="G606" t="inlineStr">
        <is>
          <t>LUDVIKA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34632-2026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46294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41616-2024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45560</v>
      </c>
      <c r="E608" s="1" t="n">
        <v>46294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46154</v>
      </c>
      <c r="E609" s="1" t="n">
        <v>46294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33345-2024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45519</v>
      </c>
      <c r="E610" s="1" t="n">
        <v>46294</v>
      </c>
      <c r="F610" t="inlineStr">
        <is>
          <t>DALARNAS LÄN</t>
        </is>
      </c>
      <c r="G610" t="inlineStr">
        <is>
          <t>LUDVIKA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45685</v>
      </c>
      <c r="E611" s="1" t="n">
        <v>46294</v>
      </c>
      <c r="F611" t="inlineStr">
        <is>
          <t>DALARNAS LÄN</t>
        </is>
      </c>
      <c r="G611" t="inlineStr">
        <is>
          <t>LUDVIKA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34796-2026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46258</v>
      </c>
      <c r="E612" s="1" t="n">
        <v>46294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34780-2026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46258</v>
      </c>
      <c r="E613" s="1" t="n">
        <v>46294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22555-2023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45071</v>
      </c>
      <c r="E614" s="1" t="n">
        <v>46294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35103-2026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46260</v>
      </c>
      <c r="E615" s="1" t="n">
        <v>46294</v>
      </c>
      <c r="F615" t="inlineStr">
        <is>
          <t>DALARNAS LÄN</t>
        </is>
      </c>
      <c r="G615" t="inlineStr">
        <is>
          <t>LUDVIKA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35104-2026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46260</v>
      </c>
      <c r="E616" s="1" t="n">
        <v>46294</v>
      </c>
      <c r="F616" t="inlineStr">
        <is>
          <t>DALARNAS LÄN</t>
        </is>
      </c>
      <c r="G616" t="inlineStr">
        <is>
          <t>LUDVIKA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46260</v>
      </c>
      <c r="E617" s="1" t="n">
        <v>46294</v>
      </c>
      <c r="F617" t="inlineStr">
        <is>
          <t>DALARNAS LÄN</t>
        </is>
      </c>
      <c r="G617" t="inlineStr">
        <is>
          <t>LUDVIKA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35100-2026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46260</v>
      </c>
      <c r="E618" s="1" t="n">
        <v>46294</v>
      </c>
      <c r="F618" t="inlineStr">
        <is>
          <t>DALARNAS LÄN</t>
        </is>
      </c>
      <c r="G618" t="inlineStr">
        <is>
          <t>LUDVIKA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27989-2026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46294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28132-2026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46294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28162-2026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46294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46294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28158-2026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46195</v>
      </c>
      <c r="E623" s="1" t="n">
        <v>46294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46294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3280-2024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45317</v>
      </c>
      <c r="E625" s="1" t="n">
        <v>46294</v>
      </c>
      <c r="F625" t="inlineStr">
        <is>
          <t>DALARNAS LÄN</t>
        </is>
      </c>
      <c r="G625" t="inlineStr">
        <is>
          <t>LUDVIKA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3470-2025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45680</v>
      </c>
      <c r="E626" s="1" t="n">
        <v>46294</v>
      </c>
      <c r="F626" t="inlineStr">
        <is>
          <t>DALARNAS LÄN</t>
        </is>
      </c>
      <c r="G626" t="inlineStr">
        <is>
          <t>LUDVIKA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28045-2026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46195</v>
      </c>
      <c r="E627" s="1" t="n">
        <v>46294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48288-2023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45205</v>
      </c>
      <c r="E628" s="1" t="n">
        <v>46294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28054-2026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46195</v>
      </c>
      <c r="E629" s="1" t="n">
        <v>46294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46294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46195</v>
      </c>
      <c r="E631" s="1" t="n">
        <v>46294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28792-2026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46294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46294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46218</v>
      </c>
      <c r="E634" s="1" t="n">
        <v>46294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2838-2022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44581</v>
      </c>
      <c r="E635" s="1" t="n">
        <v>46294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31227-2026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46217</v>
      </c>
      <c r="E636" s="1" t="n">
        <v>46294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51029-2024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45603</v>
      </c>
      <c r="E637" s="1" t="n">
        <v>46294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46294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35179-2026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46294</v>
      </c>
      <c r="F639" t="inlineStr">
        <is>
          <t>DALARNAS LÄN</t>
        </is>
      </c>
      <c r="G639" t="inlineStr">
        <is>
          <t>LUDVIKA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46294</v>
      </c>
      <c r="F640" t="inlineStr">
        <is>
          <t>DALARNAS LÄN</t>
        </is>
      </c>
      <c r="G640" t="inlineStr">
        <is>
          <t>LUDVIKA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35105-2026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46294</v>
      </c>
      <c r="F641" t="inlineStr">
        <is>
          <t>DALARNAS LÄN</t>
        </is>
      </c>
      <c r="G641" t="inlineStr">
        <is>
          <t>LUDVIKA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31350-2026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46294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40125-2024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45554</v>
      </c>
      <c r="E643" s="1" t="n">
        <v>46294</v>
      </c>
      <c r="F643" t="inlineStr">
        <is>
          <t>DALARNAS LÄN</t>
        </is>
      </c>
      <c r="G643" t="inlineStr">
        <is>
          <t>LUDVIKA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59206-2023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45253</v>
      </c>
      <c r="E644" s="1" t="n">
        <v>46294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35837-2026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46265</v>
      </c>
      <c r="E645" s="1" t="n">
        <v>46294</v>
      </c>
      <c r="F645" t="inlineStr">
        <is>
          <t>DALARNAS LÄN</t>
        </is>
      </c>
      <c r="G645" t="inlineStr">
        <is>
          <t>LUDVIKA</t>
        </is>
      </c>
      <c r="H645" t="inlineStr">
        <is>
          <t>Kyrkan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35490-2026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46262</v>
      </c>
      <c r="E646" s="1" t="n">
        <v>46294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19.9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43839-2023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45187</v>
      </c>
      <c r="E647" s="1" t="n">
        <v>46294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46265</v>
      </c>
      <c r="E648" s="1" t="n">
        <v>46294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30113-2023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45110</v>
      </c>
      <c r="E649" s="1" t="n">
        <v>46294</v>
      </c>
      <c r="F649" t="inlineStr">
        <is>
          <t>DALARNAS LÄN</t>
        </is>
      </c>
      <c r="G649" t="inlineStr">
        <is>
          <t>LUDVIKA</t>
        </is>
      </c>
      <c r="I649" t="n">
        <v>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25273-2022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44729</v>
      </c>
      <c r="E650" s="1" t="n">
        <v>46294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31393-2026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46220</v>
      </c>
      <c r="E651" s="1" t="n">
        <v>46294</v>
      </c>
      <c r="F651" t="inlineStr">
        <is>
          <t>DALARNAS LÄN</t>
        </is>
      </c>
      <c r="G651" t="inlineStr">
        <is>
          <t>LUDVIKA</t>
        </is>
      </c>
      <c r="H651" t="inlineStr">
        <is>
          <t>Naturvårdsverket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44960</v>
      </c>
      <c r="E652" s="1" t="n">
        <v>46294</v>
      </c>
      <c r="F652" t="inlineStr">
        <is>
          <t>DALARNAS LÄN</t>
        </is>
      </c>
      <c r="G652" t="inlineStr">
        <is>
          <t>LUDVIKA</t>
        </is>
      </c>
      <c r="H652" t="inlineStr">
        <is>
          <t>Naturvårdsverket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36065-2026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46267</v>
      </c>
      <c r="E653" s="1" t="n">
        <v>46294</v>
      </c>
      <c r="F653" t="inlineStr">
        <is>
          <t>DALARNAS LÄN</t>
        </is>
      </c>
      <c r="G653" t="inlineStr">
        <is>
          <t>LUDVIKA</t>
        </is>
      </c>
      <c r="I653" t="n">
        <v>8.5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6975-2023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44967</v>
      </c>
      <c r="E654" s="1" t="n">
        <v>46294</v>
      </c>
      <c r="F654" t="inlineStr">
        <is>
          <t>DALARNAS LÄN</t>
        </is>
      </c>
      <c r="G654" t="inlineStr">
        <is>
          <t>LUDVIKA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46294</v>
      </c>
      <c r="F655" t="inlineStr">
        <is>
          <t>DALARNAS LÄN</t>
        </is>
      </c>
      <c r="G655" t="inlineStr">
        <is>
          <t>LUDVIKA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31646-2026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46225</v>
      </c>
      <c r="E656" s="1" t="n">
        <v>46294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4.2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37015-2026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46273</v>
      </c>
      <c r="E657" s="1" t="n">
        <v>46294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36820-2026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46272</v>
      </c>
      <c r="E658" s="1" t="n">
        <v>46294</v>
      </c>
      <c r="F658" t="inlineStr">
        <is>
          <t>DALARNAS LÄN</t>
        </is>
      </c>
      <c r="G658" t="inlineStr">
        <is>
          <t>LUDVIKA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37586-2024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45541</v>
      </c>
      <c r="E659" s="1" t="n">
        <v>46294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55551-2024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45622</v>
      </c>
      <c r="E660" s="1" t="n">
        <v>46294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37033-2026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46273</v>
      </c>
      <c r="E661" s="1" t="n">
        <v>46294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37052-2026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46273</v>
      </c>
      <c r="E662" s="1" t="n">
        <v>46294</v>
      </c>
      <c r="F662" t="inlineStr">
        <is>
          <t>DALARNAS LÄN</t>
        </is>
      </c>
      <c r="G662" t="inlineStr">
        <is>
          <t>LUDVIKA</t>
        </is>
      </c>
      <c r="I662" t="n">
        <v>8.5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37000-2026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46273</v>
      </c>
      <c r="E663" s="1" t="n">
        <v>46294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31778-2026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46230</v>
      </c>
      <c r="E664" s="1" t="n">
        <v>46294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31776-2026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46230</v>
      </c>
      <c r="E665" s="1" t="n">
        <v>46294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30844-2024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45497</v>
      </c>
      <c r="E666" s="1" t="n">
        <v>46294</v>
      </c>
      <c r="F666" t="inlineStr">
        <is>
          <t>DALARNAS LÄN</t>
        </is>
      </c>
      <c r="G666" t="inlineStr">
        <is>
          <t>LUDVIKA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20411-2023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45056</v>
      </c>
      <c r="E667" s="1" t="n">
        <v>46294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46294</v>
      </c>
      <c r="F668" t="inlineStr">
        <is>
          <t>DALARNAS LÄN</t>
        </is>
      </c>
      <c r="G668" t="inlineStr">
        <is>
          <t>LUDVIKA</t>
        </is>
      </c>
      <c r="H668" t="inlineStr">
        <is>
          <t>Naturvårdsverket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45638</v>
      </c>
      <c r="E669" s="1" t="n">
        <v>46294</v>
      </c>
      <c r="F669" t="inlineStr">
        <is>
          <t>DALARNAS LÄN</t>
        </is>
      </c>
      <c r="G669" t="inlineStr">
        <is>
          <t>LUDVIKA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37350-2026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46275</v>
      </c>
      <c r="E670" s="1" t="n">
        <v>46294</v>
      </c>
      <c r="F670" t="inlineStr">
        <is>
          <t>DALARNAS LÄN</t>
        </is>
      </c>
      <c r="G670" t="inlineStr">
        <is>
          <t>LUDVIKA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37359-2026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46275</v>
      </c>
      <c r="E671" s="1" t="n">
        <v>46294</v>
      </c>
      <c r="F671" t="inlineStr">
        <is>
          <t>DALARNAS LÄN</t>
        </is>
      </c>
      <c r="G671" t="inlineStr">
        <is>
          <t>LUDVIKA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50777-2024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45602</v>
      </c>
      <c r="E672" s="1" t="n">
        <v>46294</v>
      </c>
      <c r="F672" t="inlineStr">
        <is>
          <t>DALARNAS LÄN</t>
        </is>
      </c>
      <c r="G672" t="inlineStr">
        <is>
          <t>LUDVIKA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41668-2023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46294</v>
      </c>
      <c r="F673" t="inlineStr">
        <is>
          <t>DALARNAS LÄN</t>
        </is>
      </c>
      <c r="G673" t="inlineStr">
        <is>
          <t>LUDVIKA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46294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45622</v>
      </c>
      <c r="E675" s="1" t="n">
        <v>46294</v>
      </c>
      <c r="F675" t="inlineStr">
        <is>
          <t>DALARNAS LÄN</t>
        </is>
      </c>
      <c r="G675" t="inlineStr">
        <is>
          <t>LUDVIKA</t>
        </is>
      </c>
      <c r="H675" t="inlineStr">
        <is>
          <t>Naturvårdsverket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55474-2024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45622</v>
      </c>
      <c r="E676" s="1" t="n">
        <v>46294</v>
      </c>
      <c r="F676" t="inlineStr">
        <is>
          <t>DALARNAS LÄN</t>
        </is>
      </c>
      <c r="G676" t="inlineStr">
        <is>
          <t>LUDVIKA</t>
        </is>
      </c>
      <c r="H676" t="inlineStr">
        <is>
          <t>Naturvårdsverket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55510-2024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45622</v>
      </c>
      <c r="E677" s="1" t="n">
        <v>46294</v>
      </c>
      <c r="F677" t="inlineStr">
        <is>
          <t>DALARNAS LÄN</t>
        </is>
      </c>
      <c r="G677" t="inlineStr">
        <is>
          <t>LUDVIKA</t>
        </is>
      </c>
      <c r="H677" t="inlineStr">
        <is>
          <t>Naturvårdsverket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4550-2025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45687</v>
      </c>
      <c r="E678" s="1" t="n">
        <v>46294</v>
      </c>
      <c r="F678" t="inlineStr">
        <is>
          <t>DALARNAS LÄN</t>
        </is>
      </c>
      <c r="G678" t="inlineStr">
        <is>
          <t>LUDVIKA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18421-2025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45762</v>
      </c>
      <c r="E679" s="1" t="n">
        <v>46294</v>
      </c>
      <c r="F679" t="inlineStr">
        <is>
          <t>DALARNAS LÄN</t>
        </is>
      </c>
      <c r="G679" t="inlineStr">
        <is>
          <t>LUDVIKA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50714-2024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45602</v>
      </c>
      <c r="E680" s="1" t="n">
        <v>46294</v>
      </c>
      <c r="F680" t="inlineStr">
        <is>
          <t>DALARNAS LÄN</t>
        </is>
      </c>
      <c r="G680" t="inlineStr">
        <is>
          <t>LUDVIKA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46233</v>
      </c>
      <c r="E681" s="1" t="n">
        <v>46294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46294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37626-2026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46276</v>
      </c>
      <c r="E683" s="1" t="n">
        <v>46294</v>
      </c>
      <c r="F683" t="inlineStr">
        <is>
          <t>DALARNAS LÄN</t>
        </is>
      </c>
      <c r="G683" t="inlineStr">
        <is>
          <t>LUDVIKA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37706-2026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46294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36073-2026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46267</v>
      </c>
      <c r="E685" s="1" t="n">
        <v>46294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36126-2026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46267</v>
      </c>
      <c r="E686" s="1" t="n">
        <v>46294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37957-2026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46280</v>
      </c>
      <c r="E687" s="1" t="n">
        <v>46294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38160-2026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46281</v>
      </c>
      <c r="E688" s="1" t="n">
        <v>46294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37955-2026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46280</v>
      </c>
      <c r="E689" s="1" t="n">
        <v>46294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7.7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38359-2024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45545</v>
      </c>
      <c r="E690" s="1" t="n">
        <v>46294</v>
      </c>
      <c r="F690" t="inlineStr">
        <is>
          <t>DALARNAS LÄN</t>
        </is>
      </c>
      <c r="G690" t="inlineStr">
        <is>
          <t>LUDVIKA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21893-2025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45784</v>
      </c>
      <c r="E691" s="1" t="n">
        <v>46294</v>
      </c>
      <c r="F691" t="inlineStr">
        <is>
          <t>DALARNAS LÄN</t>
        </is>
      </c>
      <c r="G691" t="inlineStr">
        <is>
          <t>LUDVIKA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42421-2024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45565</v>
      </c>
      <c r="E692" s="1" t="n">
        <v>46294</v>
      </c>
      <c r="F692" t="inlineStr">
        <is>
          <t>DALARNAS LÄN</t>
        </is>
      </c>
      <c r="G692" t="inlineStr">
        <is>
          <t>LUDVIKA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53602-2023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45230</v>
      </c>
      <c r="E693" s="1" t="n">
        <v>46294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38661-2026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46283</v>
      </c>
      <c r="E694" s="1" t="n">
        <v>46294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52359-2024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45609</v>
      </c>
      <c r="E695" s="1" t="n">
        <v>46294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46283</v>
      </c>
      <c r="E696" s="1" t="n">
        <v>46294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21891-2025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46294</v>
      </c>
      <c r="F697" t="inlineStr">
        <is>
          <t>DALARNAS LÄN</t>
        </is>
      </c>
      <c r="G697" t="inlineStr">
        <is>
          <t>LUDVIKA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45134</v>
      </c>
      <c r="E698" s="1" t="n">
        <v>46294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38620-2026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46283</v>
      </c>
      <c r="E699" s="1" t="n">
        <v>46294</v>
      </c>
      <c r="F699" t="inlineStr">
        <is>
          <t>DALARNAS LÄN</t>
        </is>
      </c>
      <c r="G699" t="inlineStr">
        <is>
          <t>LUDVIKA</t>
        </is>
      </c>
      <c r="H699" t="inlineStr">
        <is>
          <t>Naturvårdsverket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38656-2026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46283</v>
      </c>
      <c r="E700" s="1" t="n">
        <v>46294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38357-2026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46282</v>
      </c>
      <c r="E701" s="1" t="n">
        <v>46294</v>
      </c>
      <c r="F701" t="inlineStr">
        <is>
          <t>DALARNAS LÄN</t>
        </is>
      </c>
      <c r="G701" t="inlineStr">
        <is>
          <t>LUDVIKA</t>
        </is>
      </c>
      <c r="H701" t="inlineStr">
        <is>
          <t>Naturvårdsverket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32749-2026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46241</v>
      </c>
      <c r="E702" s="1" t="n">
        <v>46294</v>
      </c>
      <c r="F702" t="inlineStr">
        <is>
          <t>DALARNAS LÄN</t>
        </is>
      </c>
      <c r="G702" t="inlineStr">
        <is>
          <t>LUDVIKA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39093-2026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46287</v>
      </c>
      <c r="E703" s="1" t="n">
        <v>46294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39104-2026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46287</v>
      </c>
      <c r="E704" s="1" t="n">
        <v>46294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32755-2026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46241</v>
      </c>
      <c r="E705" s="1" t="n">
        <v>46294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32780-2026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46241</v>
      </c>
      <c r="E706" s="1" t="n">
        <v>46294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46241</v>
      </c>
      <c r="E707" s="1" t="n">
        <v>46294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32757-2026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46241</v>
      </c>
      <c r="E708" s="1" t="n">
        <v>46294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39435-2026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46288</v>
      </c>
      <c r="E709" s="1" t="n">
        <v>46294</v>
      </c>
      <c r="F709" t="inlineStr">
        <is>
          <t>DALARNAS LÄN</t>
        </is>
      </c>
      <c r="G709" t="inlineStr">
        <is>
          <t>LUDVIKA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46294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39854-2026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46294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39879-2026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46294</v>
      </c>
      <c r="F712" t="inlineStr">
        <is>
          <t>DALARNAS LÄN</t>
        </is>
      </c>
      <c r="G712" t="inlineStr">
        <is>
          <t>LUDVIKA</t>
        </is>
      </c>
      <c r="H712" t="inlineStr">
        <is>
          <t>Naturvårdsverket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39855-2026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46294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6.6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33419-2026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46247</v>
      </c>
      <c r="E714" s="1" t="n">
        <v>46294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38831-2026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46286</v>
      </c>
      <c r="E715" s="1" t="n">
        <v>46294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33689-2026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46248</v>
      </c>
      <c r="E716" s="1" t="n">
        <v>46294</v>
      </c>
      <c r="F716" t="inlineStr">
        <is>
          <t>DALARNAS LÄN</t>
        </is>
      </c>
      <c r="G716" t="inlineStr">
        <is>
          <t>LUDVIKA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33373-2026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46247</v>
      </c>
      <c r="E717" s="1" t="n">
        <v>46294</v>
      </c>
      <c r="F717" t="inlineStr">
        <is>
          <t>DALARNAS LÄN</t>
        </is>
      </c>
      <c r="G717" t="inlineStr">
        <is>
          <t>LUDVIKA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39878-2026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46290</v>
      </c>
      <c r="E718" s="1" t="n">
        <v>46294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39777-2026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46290</v>
      </c>
      <c r="E719" s="1" t="n">
        <v>46294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39789-2026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46290</v>
      </c>
      <c r="E720" s="1" t="n">
        <v>46294</v>
      </c>
      <c r="F720" t="inlineStr">
        <is>
          <t>DALARNAS LÄN</t>
        </is>
      </c>
      <c r="G720" t="inlineStr">
        <is>
          <t>LUDVIKA</t>
        </is>
      </c>
      <c r="H720" t="inlineStr">
        <is>
          <t>Naturvårdsverket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33397-2026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46247</v>
      </c>
      <c r="E721" s="1" t="n">
        <v>46294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2837-2023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45167</v>
      </c>
      <c r="E722" s="1" t="n">
        <v>46294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1122-2023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46294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115.7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3660-2023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45216</v>
      </c>
      <c r="E724" s="1" t="n">
        <v>46294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1246-2024</t>
        </is>
      </c>
      <c r="B725" t="inlineStr">
        <is>
          <t>samrådsanmälan</t>
        </is>
      </c>
      <c r="C725" t="inlineStr">
        <is>
          <t>Skogsgödsling</t>
        </is>
      </c>
      <c r="D725" s="1" t="n">
        <v>45400</v>
      </c>
      <c r="E725" s="1" t="n">
        <v>46294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35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1096-2024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45391</v>
      </c>
      <c r="E726" s="1" t="n">
        <v>46294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26.7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4863-2022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44805</v>
      </c>
      <c r="E727" s="1" t="n">
        <v>46294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1113-2023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46294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37.9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>
      <c r="A729" t="inlineStr">
        <is>
          <t>S 1815-2026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46190</v>
      </c>
      <c r="E729" s="1" t="n">
        <v>46294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2026-09-29T02:02:19Z</dcterms:created>
  <dcterms:modified xmlns:dcterms="http://purl.org/dc/terms/" xmlns:xsi="http://www.w3.org/2001/XMLSchema-instance" xsi:type="dcterms:W3CDTF">2026-09-29T02:02:19Z</dcterms:modified>
</cp:coreProperties>
</file>
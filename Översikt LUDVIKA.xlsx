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46320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46320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46320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46320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46320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46320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46320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46320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46320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46320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46320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46320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46320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46320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46320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34913-2025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45849</v>
      </c>
      <c r="E17" s="1" t="n">
        <v>46320</v>
      </c>
      <c r="F17" t="inlineStr">
        <is>
          <t>DALARNAS LÄN</t>
        </is>
      </c>
      <c r="G17" t="inlineStr">
        <is>
          <t>LUDVIKA</t>
        </is>
      </c>
      <c r="I17" t="n">
        <v>6</v>
      </c>
      <c r="J17" t="n">
        <v>2</v>
      </c>
      <c r="K17" t="n">
        <v>3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9</v>
      </c>
      <c r="T17" t="n">
        <v>20</v>
      </c>
      <c r="U17" t="n">
        <v>0</v>
      </c>
      <c r="V17" s="2" t="inlineStr">
        <is>
          <t>Aspgelélav
Ängsklint
Barrpraktbagge
Lunglav
Barkticka
Bårdlav
Korallblylav
Blåsippa
Huggorm</t>
        </is>
      </c>
      <c r="W17">
        <f>HYPERLINK("https://klasma.github.io/Logging_2085/artfynd/A 34913-2025 artfynd.xlsx", "A 34913-2025")</f>
        <v/>
      </c>
      <c r="X17">
        <f>HYPERLINK("https://klasma.github.io/Logging_2085/kartor/A 34913-2025 karta.png", "A 34913-2025")</f>
        <v/>
      </c>
      <c r="Y17">
        <f>HYPERLINK("https://klasma.github.io/Logging_2085/kartor_geotiff/A 34913-2025 georefererad karta.tif", "A 34913-2025")</f>
        <v/>
      </c>
      <c r="AA17">
        <f>HYPERLINK("https://klasma.github.io/Logging_2085/klagomål/A 34913-2025 FSC-klagomål.docx", "A 34913-2025")</f>
        <v/>
      </c>
      <c r="AB17">
        <f>HYPERLINK("https://klasma.github.io/Logging_2085/klagomålsmail/A 34913-2025 FSC-klagomål mail.docx", "A 34913-2025")</f>
        <v/>
      </c>
      <c r="AC17">
        <f>HYPERLINK("https://klasma.github.io/Logging_2085/tillsyn/A 34913-2025 tillsynsbegäran.docx", "A 34913-2025")</f>
        <v/>
      </c>
      <c r="AD17">
        <f>HYPERLINK("https://klasma.github.io/Logging_2085/tillsynsmail/A 34913-2025 tillsynsbegäran mail.docx", "A 34913-2025")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46320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7214-2026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46058</v>
      </c>
      <c r="E19" s="1" t="n">
        <v>46320</v>
      </c>
      <c r="F19" t="inlineStr">
        <is>
          <t>DALARNAS LÄN</t>
        </is>
      </c>
      <c r="G19" t="inlineStr">
        <is>
          <t>LUDVIKA</t>
        </is>
      </c>
      <c r="I19" t="n">
        <v>4.2</v>
      </c>
      <c r="J19" t="n">
        <v>4</v>
      </c>
      <c r="K19" t="n">
        <v>2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23</v>
      </c>
      <c r="U19" t="n">
        <v>23</v>
      </c>
      <c r="V19" s="2" t="inlineStr">
        <is>
          <t>Knärot
Dropptaggsvamp
Rynkskinn
Talltita
Tretåig hackspett
Vedtrappmossa
Jättesvampmal
Thomsons trägnagare
Spillkråka</t>
        </is>
      </c>
      <c r="W19">
        <f>HYPERLINK("https://klasma.github.io/Logging_2085/artfynd/A 7214-2026 artfynd.xlsx", "A 7214-2026")</f>
        <v/>
      </c>
      <c r="X19">
        <f>HYPERLINK("https://klasma.github.io/Logging_2085/kartor/A 7214-2026 karta.png", "A 7214-2026")</f>
        <v/>
      </c>
      <c r="Y19">
        <f>HYPERLINK("https://klasma.github.io/Logging_2085/kartor_geotiff/A 7214-2026 georefererad karta.tif", "A 7214-2026")</f>
        <v/>
      </c>
      <c r="Z19">
        <f>HYPERLINK("https://klasma.github.io/Logging_2085/knärot/A 7214-2026 karta knärot.png", "A 7214-2026")</f>
        <v/>
      </c>
      <c r="AA19">
        <f>HYPERLINK("https://klasma.github.io/Logging_2085/klagomål/A 7214-2026 FSC-klagomål.docx", "A 7214-2026")</f>
        <v/>
      </c>
      <c r="AB19">
        <f>HYPERLINK("https://klasma.github.io/Logging_2085/klagomålsmail/A 7214-2026 FSC-klagomål mail.docx", "A 7214-2026")</f>
        <v/>
      </c>
      <c r="AC19">
        <f>HYPERLINK("https://klasma.github.io/Logging_2085/tillsyn/A 7214-2026 tillsynsbegäran.docx", "A 7214-2026")</f>
        <v/>
      </c>
      <c r="AD19">
        <f>HYPERLINK("https://klasma.github.io/Logging_2085/tillsynsmail/A 7214-2026 tillsynsbegäran mail.docx", "A 7214-2026")</f>
        <v/>
      </c>
      <c r="AE19">
        <f>HYPERLINK("https://klasma.github.io/Logging_2085/fåglar/A 7214-2026 prioriterade fågelarter.docx", "A 7214-2026")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46320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46320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46320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46320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46320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46320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46320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46320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23862-2026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46320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4.5</v>
      </c>
      <c r="J28" t="n">
        <v>1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6</v>
      </c>
      <c r="T28" t="n">
        <v>7</v>
      </c>
      <c r="U28" t="n">
        <v>0</v>
      </c>
      <c r="V28" s="2" t="inlineStr">
        <is>
          <t>Bårdlav
Dvärgtufs
Korallblylav
Skinnlav
Stuplav
Utter</t>
        </is>
      </c>
      <c r="W28">
        <f>HYPERLINK("https://klasma.github.io/Logging_2085/artfynd/A 23862-2026 artfynd.xlsx", "A 23862-2026")</f>
        <v/>
      </c>
      <c r="X28">
        <f>HYPERLINK("https://klasma.github.io/Logging_2085/kartor/A 23862-2026 karta.png", "A 23862-2026")</f>
        <v/>
      </c>
      <c r="Y28">
        <f>HYPERLINK("https://klasma.github.io/Logging_2085/kartor_geotiff/A 23862-2026 georefererad karta.tif", "A 23862-2026")</f>
        <v/>
      </c>
      <c r="AA28">
        <f>HYPERLINK("https://klasma.github.io/Logging_2085/klagomål/A 23862-2026 FSC-klagomål.docx", "A 23862-2026")</f>
        <v/>
      </c>
      <c r="AB28">
        <f>HYPERLINK("https://klasma.github.io/Logging_2085/klagomålsmail/A 23862-2026 FSC-klagomål mail.docx", "A 23862-2026")</f>
        <v/>
      </c>
      <c r="AC28">
        <f>HYPERLINK("https://klasma.github.io/Logging_2085/tillsyn/A 23862-2026 tillsynsbegäran.docx", "A 23862-2026")</f>
        <v/>
      </c>
      <c r="AD28">
        <f>HYPERLINK("https://klasma.github.io/Logging_2085/tillsynsmail/A 23862-2026 tillsynsbegäran mail.docx", "A 23862-2026")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46320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46320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46320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46320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46320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t="n">
        <v>9</v>
      </c>
      <c r="V33" s="2" t="inlineStr">
        <is>
          <t>Garnlav
Entita
Talltita
Tretåig hackspett
Spillkråka
Tjäder</t>
        </is>
      </c>
      <c r="W33">
        <f>HYPERLINK("https://klasma.github.io/Logging_2085/artfynd/A 22195-2025 artfynd.xlsx", "A 22195-2025")</f>
        <v/>
      </c>
      <c r="X33">
        <f>HYPERLINK("https://klasma.github.io/Logging_2085/kartor/A 22195-2025 karta.png", "A 22195-2025")</f>
        <v/>
      </c>
      <c r="Y33">
        <f>HYPERLINK("https://klasma.github.io/Logging_2085/kartor_geotiff/A 22195-2025 georefererad karta.tif", "A 22195-2025")</f>
        <v/>
      </c>
      <c r="AA33">
        <f>HYPERLINK("https://klasma.github.io/Logging_2085/klagomål/A 22195-2025 FSC-klagomål.docx", "A 22195-2025")</f>
        <v/>
      </c>
      <c r="AB33">
        <f>HYPERLINK("https://klasma.github.io/Logging_2085/klagomålsmail/A 22195-2025 FSC-klagomål mail.docx", "A 22195-2025")</f>
        <v/>
      </c>
      <c r="AC33">
        <f>HYPERLINK("https://klasma.github.io/Logging_2085/tillsyn/A 22195-2025 tillsynsbegäran.docx", "A 22195-2025")</f>
        <v/>
      </c>
      <c r="AD33">
        <f>HYPERLINK("https://klasma.github.io/Logging_2085/tillsynsmail/A 22195-2025 tillsynsbegäran mail.docx", "A 22195-2025")</f>
        <v/>
      </c>
      <c r="AE33">
        <f>HYPERLINK("https://klasma.github.io/Logging_2085/fåglar/A 22195-2025 prioriterade fågelarter.docx", "A 22195-2025")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46320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46320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23681-2026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46320</v>
      </c>
      <c r="F36" t="inlineStr">
        <is>
          <t>DALARNAS LÄN</t>
        </is>
      </c>
      <c r="G36" t="inlineStr">
        <is>
          <t>LUDVIKA</t>
        </is>
      </c>
      <c r="I36" t="n">
        <v>6.2</v>
      </c>
      <c r="J36" t="n">
        <v>3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6</v>
      </c>
      <c r="T36" t="n">
        <v>26</v>
      </c>
      <c r="U36" t="n">
        <v>26</v>
      </c>
      <c r="V36" s="2" t="inlineStr">
        <is>
          <t>Dropptaggsvamp
Tretåig hackspett
Blodticka
Mindre märgborre
Järpe
Spillkråka</t>
        </is>
      </c>
      <c r="W36">
        <f>HYPERLINK("https://klasma.github.io/Logging_2085/artfynd/A 23681-2026 artfynd.xlsx", "A 23681-2026")</f>
        <v/>
      </c>
      <c r="X36">
        <f>HYPERLINK("https://klasma.github.io/Logging_2085/kartor/A 23681-2026 karta.png", "A 23681-2026")</f>
        <v/>
      </c>
      <c r="Y36">
        <f>HYPERLINK("https://klasma.github.io/Logging_2085/kartor_geotiff/A 23681-2026 georefererad karta.tif", "A 23681-2026")</f>
        <v/>
      </c>
      <c r="AA36">
        <f>HYPERLINK("https://klasma.github.io/Logging_2085/klagomål/A 23681-2026 FSC-klagomål.docx", "A 23681-2026")</f>
        <v/>
      </c>
      <c r="AB36">
        <f>HYPERLINK("https://klasma.github.io/Logging_2085/klagomålsmail/A 23681-2026 FSC-klagomål mail.docx", "A 23681-2026")</f>
        <v/>
      </c>
      <c r="AC36">
        <f>HYPERLINK("https://klasma.github.io/Logging_2085/tillsyn/A 23681-2026 tillsynsbegäran.docx", "A 23681-2026")</f>
        <v/>
      </c>
      <c r="AD36">
        <f>HYPERLINK("https://klasma.github.io/Logging_2085/tillsynsmail/A 23681-2026 tillsynsbegäran mail.docx", "A 23681-2026")</f>
        <v/>
      </c>
      <c r="AE36">
        <f>HYPERLINK("https://klasma.github.io/Logging_2085/fåglar/A 23681-2026 prioriterade fågelarter.docx", "A 23681-2026")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46320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46320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46320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46320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46320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34144-2026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46253</v>
      </c>
      <c r="E42" s="1" t="n">
        <v>46320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4.6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5</v>
      </c>
      <c r="T42" t="n">
        <v>5</v>
      </c>
      <c r="U42" t="n">
        <v>5</v>
      </c>
      <c r="V42" s="2" t="inlineStr">
        <is>
          <t>Garnlav
Dropptaggsvamp
Korallblylav
Järpe
Spillkråka</t>
        </is>
      </c>
      <c r="W42">
        <f>HYPERLINK("https://klasma.github.io/Logging_2085/artfynd/A 34144-2026 artfynd.xlsx", "A 34144-2026")</f>
        <v/>
      </c>
      <c r="X42">
        <f>HYPERLINK("https://klasma.github.io/Logging_2085/kartor/A 34144-2026 karta.png", "A 34144-2026")</f>
        <v/>
      </c>
      <c r="Y42">
        <f>HYPERLINK("https://klasma.github.io/Logging_2085/kartor_geotiff/A 34144-2026 georefererad karta.tif", "A 34144-2026")</f>
        <v/>
      </c>
      <c r="AA42">
        <f>HYPERLINK("https://klasma.github.io/Logging_2085/klagomål/A 34144-2026 FSC-klagomål.docx", "A 34144-2026")</f>
        <v/>
      </c>
      <c r="AB42">
        <f>HYPERLINK("https://klasma.github.io/Logging_2085/klagomålsmail/A 34144-2026 FSC-klagomål mail.docx", "A 34144-2026")</f>
        <v/>
      </c>
      <c r="AC42">
        <f>HYPERLINK("https://klasma.github.io/Logging_2085/tillsyn/A 34144-2026 tillsynsbegäran.docx", "A 34144-2026")</f>
        <v/>
      </c>
      <c r="AD42">
        <f>HYPERLINK("https://klasma.github.io/Logging_2085/tillsynsmail/A 34144-2026 tillsynsbegäran mail.docx", "A 34144-2026")</f>
        <v/>
      </c>
      <c r="AE42">
        <f>HYPERLINK("https://klasma.github.io/Logging_2085/fåglar/A 34144-2026 prioriterade fågelarter.docx", "A 34144-2026")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46320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23711-2026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46320</v>
      </c>
      <c r="F44" t="inlineStr">
        <is>
          <t>DALARNAS LÄN</t>
        </is>
      </c>
      <c r="G44" t="inlineStr">
        <is>
          <t>LUDVIKA</t>
        </is>
      </c>
      <c r="I44" t="n">
        <v>1.4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Mindre märgborre
Järpe
Spillkråka
Timmerticka</t>
        </is>
      </c>
      <c r="W44">
        <f>HYPERLINK("https://klasma.github.io/Logging_2085/artfynd/A 23711-2026 artfynd.xlsx", "A 23711-2026")</f>
        <v/>
      </c>
      <c r="X44">
        <f>HYPERLINK("https://klasma.github.io/Logging_2085/kartor/A 23711-2026 karta.png", "A 23711-2026")</f>
        <v/>
      </c>
      <c r="Y44">
        <f>HYPERLINK("https://klasma.github.io/Logging_2085/kartor_geotiff/A 23711-2026 georefererad karta.tif", "A 23711-2026")</f>
        <v/>
      </c>
      <c r="AA44">
        <f>HYPERLINK("https://klasma.github.io/Logging_2085/klagomål/A 23711-2026 FSC-klagomål.docx", "A 23711-2026")</f>
        <v/>
      </c>
      <c r="AB44">
        <f>HYPERLINK("https://klasma.github.io/Logging_2085/klagomålsmail/A 23711-2026 FSC-klagomål mail.docx", "A 23711-2026")</f>
        <v/>
      </c>
      <c r="AC44">
        <f>HYPERLINK("https://klasma.github.io/Logging_2085/tillsyn/A 23711-2026 tillsynsbegäran.docx", "A 23711-2026")</f>
        <v/>
      </c>
      <c r="AD44">
        <f>HYPERLINK("https://klasma.github.io/Logging_2085/tillsynsmail/A 23711-2026 tillsynsbegäran mail.docx", "A 23711-2026")</f>
        <v/>
      </c>
      <c r="AE44">
        <f>HYPERLINK("https://klasma.github.io/Logging_2085/fåglar/A 23711-2026 prioriterade fågelarter.docx", "A 23711-2026")</f>
        <v/>
      </c>
    </row>
    <row r="45" ht="15" customHeight="1">
      <c r="A45" t="inlineStr">
        <is>
          <t>A 23714-2026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46320</v>
      </c>
      <c r="F45" t="inlineStr">
        <is>
          <t>DALARNAS LÄN</t>
        </is>
      </c>
      <c r="G45" t="inlineStr">
        <is>
          <t>LUDVIKA</t>
        </is>
      </c>
      <c r="I45" t="n">
        <v>4.6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5</v>
      </c>
      <c r="T45" t="n">
        <v>7</v>
      </c>
      <c r="U45" t="n">
        <v>7</v>
      </c>
      <c r="V45" s="2" t="inlineStr">
        <is>
          <t>Garnlav
Rosenticka
Tretåig hackspett
Ullticka
Spillkråka</t>
        </is>
      </c>
      <c r="W45">
        <f>HYPERLINK("https://klasma.github.io/Logging_2085/artfynd/A 23714-2026 artfynd.xlsx", "A 23714-2026")</f>
        <v/>
      </c>
      <c r="X45">
        <f>HYPERLINK("https://klasma.github.io/Logging_2085/kartor/A 23714-2026 karta.png", "A 23714-2026")</f>
        <v/>
      </c>
      <c r="Y45">
        <f>HYPERLINK("https://klasma.github.io/Logging_2085/kartor_geotiff/A 23714-2026 georefererad karta.tif", "A 23714-2026")</f>
        <v/>
      </c>
      <c r="AA45">
        <f>HYPERLINK("https://klasma.github.io/Logging_2085/klagomål/A 23714-2026 FSC-klagomål.docx", "A 23714-2026")</f>
        <v/>
      </c>
      <c r="AB45">
        <f>HYPERLINK("https://klasma.github.io/Logging_2085/klagomålsmail/A 23714-2026 FSC-klagomål mail.docx", "A 23714-2026")</f>
        <v/>
      </c>
      <c r="AC45">
        <f>HYPERLINK("https://klasma.github.io/Logging_2085/tillsyn/A 23714-2026 tillsynsbegäran.docx", "A 23714-2026")</f>
        <v/>
      </c>
      <c r="AD45">
        <f>HYPERLINK("https://klasma.github.io/Logging_2085/tillsynsmail/A 23714-2026 tillsynsbegäran mail.docx", "A 23714-2026")</f>
        <v/>
      </c>
      <c r="AE45">
        <f>HYPERLINK("https://klasma.github.io/Logging_2085/fåglar/A 23714-2026 prioriterade fågelarter.docx", "A 23714-2026")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46320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46320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46320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46320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46320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46320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47044-2025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46320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2.7</v>
      </c>
      <c r="J52" t="n">
        <v>4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Duvhök
Tretåig hackspett
Järpe
Tjäder</t>
        </is>
      </c>
      <c r="W52">
        <f>HYPERLINK("https://klasma.github.io/Logging_2085/artfynd/A 47044-2025 artfynd.xlsx", "A 47044-2025")</f>
        <v/>
      </c>
      <c r="X52">
        <f>HYPERLINK("https://klasma.github.io/Logging_2085/kartor/A 47044-2025 karta.png", "A 47044-2025")</f>
        <v/>
      </c>
      <c r="Y52">
        <f>HYPERLINK("https://klasma.github.io/Logging_2085/kartor_geotiff/A 47044-2025 georefererad karta.tif", "A 47044-2025")</f>
        <v/>
      </c>
      <c r="AA52">
        <f>HYPERLINK("https://klasma.github.io/Logging_2085/klagomål/A 47044-2025 FSC-klagomål.docx", "A 47044-2025")</f>
        <v/>
      </c>
      <c r="AB52">
        <f>HYPERLINK("https://klasma.github.io/Logging_2085/klagomålsmail/A 47044-2025 FSC-klagomål mail.docx", "A 47044-2025")</f>
        <v/>
      </c>
      <c r="AC52">
        <f>HYPERLINK("https://klasma.github.io/Logging_2085/tillsyn/A 47044-2025 tillsynsbegäran.docx", "A 47044-2025")</f>
        <v/>
      </c>
      <c r="AD52">
        <f>HYPERLINK("https://klasma.github.io/Logging_2085/tillsynsmail/A 47044-2025 tillsynsbegäran mail.docx", "A 47044-2025")</f>
        <v/>
      </c>
      <c r="AE52">
        <f>HYPERLINK("https://klasma.github.io/Logging_2085/fåglar/A 47044-2025 prioriterade fågelarter.docx", "A 47044-2025")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46320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A 51928-2024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46320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27.9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Brunpudrad nållav
Gulnål
Kornig nållav
Vedticka</t>
        </is>
      </c>
      <c r="W54">
        <f>HYPERLINK("https://klasma.github.io/Logging_2085/artfynd/A 51928-2024 artfynd.xlsx", "A 51928-2024")</f>
        <v/>
      </c>
      <c r="X54">
        <f>HYPERLINK("https://klasma.github.io/Logging_2085/kartor/A 51928-2024 karta.png", "A 51928-2024")</f>
        <v/>
      </c>
      <c r="Y54">
        <f>HYPERLINK("https://klasma.github.io/Logging_2085/kartor_geotiff/A 51928-2024 georefererad karta.tif", "A 51928-2024")</f>
        <v/>
      </c>
      <c r="AA54">
        <f>HYPERLINK("https://klasma.github.io/Logging_2085/klagomål/A 51928-2024 FSC-klagomål.docx", "A 51928-2024")</f>
        <v/>
      </c>
      <c r="AB54">
        <f>HYPERLINK("https://klasma.github.io/Logging_2085/klagomålsmail/A 51928-2024 FSC-klagomål mail.docx", "A 51928-2024")</f>
        <v/>
      </c>
      <c r="AC54">
        <f>HYPERLINK("https://klasma.github.io/Logging_2085/tillsyn/A 51928-2024 tillsynsbegäran.docx", "A 51928-2024")</f>
        <v/>
      </c>
      <c r="AD54">
        <f>HYPERLINK("https://klasma.github.io/Logging_2085/tillsynsmail/A 51928-2024 tillsynsbegäran mail.docx", "A 51928-2024")</f>
        <v/>
      </c>
    </row>
    <row r="55" ht="15" customHeight="1">
      <c r="A55" t="inlineStr">
        <is>
          <t>A 35101-2026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46320</v>
      </c>
      <c r="F55" t="inlineStr">
        <is>
          <t>DALARNAS LÄN</t>
        </is>
      </c>
      <c r="G55" t="inlineStr">
        <is>
          <t>LUDVIKA</t>
        </is>
      </c>
      <c r="I55" t="n">
        <v>2.3</v>
      </c>
      <c r="J55" t="n">
        <v>3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7</v>
      </c>
      <c r="U55" t="n">
        <v>7</v>
      </c>
      <c r="V55" s="2" t="inlineStr">
        <is>
          <t>Tretåig hackspett
Rödgul trumpetsvamp
Järpe
Spillkråka</t>
        </is>
      </c>
      <c r="W55">
        <f>HYPERLINK("https://klasma.github.io/Logging_2085/artfynd/A 35101-2026 artfynd.xlsx", "A 35101-2026")</f>
        <v/>
      </c>
      <c r="X55">
        <f>HYPERLINK("https://klasma.github.io/Logging_2085/kartor/A 35101-2026 karta.png", "A 35101-2026")</f>
        <v/>
      </c>
      <c r="Y55">
        <f>HYPERLINK("https://klasma.github.io/Logging_2085/kartor_geotiff/A 35101-2026 georefererad karta.tif", "A 35101-2026")</f>
        <v/>
      </c>
      <c r="AA55">
        <f>HYPERLINK("https://klasma.github.io/Logging_2085/klagomål/A 35101-2026 FSC-klagomål.docx", "A 35101-2026")</f>
        <v/>
      </c>
      <c r="AB55">
        <f>HYPERLINK("https://klasma.github.io/Logging_2085/klagomålsmail/A 35101-2026 FSC-klagomål mail.docx", "A 35101-2026")</f>
        <v/>
      </c>
      <c r="AC55">
        <f>HYPERLINK("https://klasma.github.io/Logging_2085/tillsyn/A 35101-2026 tillsynsbegäran.docx", "A 35101-2026")</f>
        <v/>
      </c>
      <c r="AD55">
        <f>HYPERLINK("https://klasma.github.io/Logging_2085/tillsynsmail/A 35101-2026 tillsynsbegäran mail.docx", "A 35101-2026")</f>
        <v/>
      </c>
      <c r="AE55">
        <f>HYPERLINK("https://klasma.github.io/Logging_2085/fåglar/A 35101-2026 prioriterade fågelarter.docx", "A 35101-2026")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46320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A 22589-2026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46155</v>
      </c>
      <c r="E57" s="1" t="n">
        <v>46320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3.7</v>
      </c>
      <c r="J57" t="n">
        <v>3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5</v>
      </c>
      <c r="U57" t="n">
        <v>5</v>
      </c>
      <c r="V57" s="2" t="inlineStr">
        <is>
          <t>Garnlav
Järpe
Spillkråka
Tjäder</t>
        </is>
      </c>
      <c r="W57">
        <f>HYPERLINK("https://klasma.github.io/Logging_2085/artfynd/A 22589-2026 artfynd.xlsx", "A 22589-2026")</f>
        <v/>
      </c>
      <c r="X57">
        <f>HYPERLINK("https://klasma.github.io/Logging_2085/kartor/A 22589-2026 karta.png", "A 22589-2026")</f>
        <v/>
      </c>
      <c r="Y57">
        <f>HYPERLINK("https://klasma.github.io/Logging_2085/kartor_geotiff/A 22589-2026 georefererad karta.tif", "A 22589-2026")</f>
        <v/>
      </c>
      <c r="AA57">
        <f>HYPERLINK("https://klasma.github.io/Logging_2085/klagomål/A 22589-2026 FSC-klagomål.docx", "A 22589-2026")</f>
        <v/>
      </c>
      <c r="AB57">
        <f>HYPERLINK("https://klasma.github.io/Logging_2085/klagomålsmail/A 22589-2026 FSC-klagomål mail.docx", "A 22589-2026")</f>
        <v/>
      </c>
      <c r="AC57">
        <f>HYPERLINK("https://klasma.github.io/Logging_2085/tillsyn/A 22589-2026 tillsynsbegäran.docx", "A 22589-2026")</f>
        <v/>
      </c>
      <c r="AD57">
        <f>HYPERLINK("https://klasma.github.io/Logging_2085/tillsynsmail/A 22589-2026 tillsynsbegäran mail.docx", "A 22589-2026")</f>
        <v/>
      </c>
      <c r="AE57">
        <f>HYPERLINK("https://klasma.github.io/Logging_2085/fåglar/A 22589-2026 prioriterade fågelarter.docx", "A 22589-2026")</f>
        <v/>
      </c>
    </row>
    <row r="58" ht="15" customHeight="1">
      <c r="A58" t="inlineStr">
        <is>
          <t>A 35100-2026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46320</v>
      </c>
      <c r="F58" t="inlineStr">
        <is>
          <t>DALARNAS LÄN</t>
        </is>
      </c>
      <c r="G58" t="inlineStr">
        <is>
          <t>LUDVIKA</t>
        </is>
      </c>
      <c r="I58" t="n">
        <v>1.6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8</v>
      </c>
      <c r="U58" t="n">
        <v>8</v>
      </c>
      <c r="V58" s="2" t="inlineStr">
        <is>
          <t>Knärot
Trådticka
Spillkråka
Sälg</t>
        </is>
      </c>
      <c r="W58">
        <f>HYPERLINK("https://klasma.github.io/Logging_2085/artfynd/A 35100-2026 artfynd.xlsx", "A 35100-2026")</f>
        <v/>
      </c>
      <c r="X58">
        <f>HYPERLINK("https://klasma.github.io/Logging_2085/kartor/A 35100-2026 karta.png", "A 35100-2026")</f>
        <v/>
      </c>
      <c r="Y58">
        <f>HYPERLINK("https://klasma.github.io/Logging_2085/kartor_geotiff/A 35100-2026 georefererad karta.tif", "A 35100-2026")</f>
        <v/>
      </c>
      <c r="Z58">
        <f>HYPERLINK("https://klasma.github.io/Logging_2085/knärot/A 35100-2026 karta knärot.png", "A 35100-2026")</f>
        <v/>
      </c>
      <c r="AA58">
        <f>HYPERLINK("https://klasma.github.io/Logging_2085/klagomål/A 35100-2026 FSC-klagomål.docx", "A 35100-2026")</f>
        <v/>
      </c>
      <c r="AB58">
        <f>HYPERLINK("https://klasma.github.io/Logging_2085/klagomålsmail/A 35100-2026 FSC-klagomål mail.docx", "A 35100-2026")</f>
        <v/>
      </c>
      <c r="AC58">
        <f>HYPERLINK("https://klasma.github.io/Logging_2085/tillsyn/A 35100-2026 tillsynsbegäran.docx", "A 35100-2026")</f>
        <v/>
      </c>
      <c r="AD58">
        <f>HYPERLINK("https://klasma.github.io/Logging_2085/tillsynsmail/A 35100-2026 tillsynsbegäran mail.docx", "A 35100-2026")</f>
        <v/>
      </c>
      <c r="AE58">
        <f>HYPERLINK("https://klasma.github.io/Logging_2085/fåglar/A 35100-2026 prioriterade fågelarter.docx", "A 35100-2026")</f>
        <v/>
      </c>
    </row>
    <row r="59" ht="15" customHeight="1">
      <c r="A59" t="inlineStr">
        <is>
          <t>A 57803-2023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46320</v>
      </c>
      <c r="F59" t="inlineStr">
        <is>
          <t>DALARNAS LÄN</t>
        </is>
      </c>
      <c r="G59" t="inlineStr">
        <is>
          <t>LUDVIKA</t>
        </is>
      </c>
      <c r="I59" t="n">
        <v>3.3</v>
      </c>
      <c r="J59" t="n">
        <v>3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5</v>
      </c>
      <c r="U59" t="n">
        <v>5</v>
      </c>
      <c r="V59" s="2" t="inlineStr">
        <is>
          <t>Garnlav
Spillkråka
Tjäder
Gröngöling</t>
        </is>
      </c>
      <c r="W59">
        <f>HYPERLINK("https://klasma.github.io/Logging_2085/artfynd/A 57803-2023 artfynd.xlsx", "A 57803-2023")</f>
        <v/>
      </c>
      <c r="X59">
        <f>HYPERLINK("https://klasma.github.io/Logging_2085/kartor/A 57803-2023 karta.png", "A 57803-2023")</f>
        <v/>
      </c>
      <c r="Y59">
        <f>HYPERLINK("https://klasma.github.io/Logging_2085/kartor_geotiff/A 57803-2023 georefererad karta.tif", "A 57803-2023")</f>
        <v/>
      </c>
      <c r="AA59">
        <f>HYPERLINK("https://klasma.github.io/Logging_2085/klagomål/A 57803-2023 FSC-klagomål.docx", "A 57803-2023")</f>
        <v/>
      </c>
      <c r="AB59">
        <f>HYPERLINK("https://klasma.github.io/Logging_2085/klagomålsmail/A 57803-2023 FSC-klagomål mail.docx", "A 57803-2023")</f>
        <v/>
      </c>
      <c r="AC59">
        <f>HYPERLINK("https://klasma.github.io/Logging_2085/tillsyn/A 57803-2023 tillsynsbegäran.docx", "A 57803-2023")</f>
        <v/>
      </c>
      <c r="AD59">
        <f>HYPERLINK("https://klasma.github.io/Logging_2085/tillsynsmail/A 57803-2023 tillsynsbegäran mail.docx", "A 57803-2023")</f>
        <v/>
      </c>
      <c r="AE59">
        <f>HYPERLINK("https://klasma.github.io/Logging_2085/fåglar/A 57803-2023 prioriterade fågelarter.docx", "A 57803-2023")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46320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46320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29144-2023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45105</v>
      </c>
      <c r="E62" s="1" t="n">
        <v>46320</v>
      </c>
      <c r="F62" t="inlineStr">
        <is>
          <t>DALARNAS LÄN</t>
        </is>
      </c>
      <c r="G62" t="inlineStr">
        <is>
          <t>LUDVIKA</t>
        </is>
      </c>
      <c r="H62" t="inlineStr">
        <is>
          <t>Allmännings- och besparingsskogar</t>
        </is>
      </c>
      <c r="I62" t="n">
        <v>6.2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14</v>
      </c>
      <c r="U62" t="n">
        <v>0</v>
      </c>
      <c r="V62" s="2" t="inlineStr">
        <is>
          <t>Garnlav
Knärot
Brunklöver</t>
        </is>
      </c>
      <c r="W62">
        <f>HYPERLINK("https://klasma.github.io/Logging_2085/artfynd/A 29144-2023 artfynd.xlsx", "A 29144-2023")</f>
        <v/>
      </c>
      <c r="X62">
        <f>HYPERLINK("https://klasma.github.io/Logging_2085/kartor/A 29144-2023 karta.png", "A 29144-2023")</f>
        <v/>
      </c>
      <c r="Y62">
        <f>HYPERLINK("https://klasma.github.io/Logging_2085/kartor_geotiff/A 29144-2023 georefererad karta.tif", "A 29144-2023")</f>
        <v/>
      </c>
      <c r="Z62">
        <f>HYPERLINK("https://klasma.github.io/Logging_2085/knärot/A 29144-2023 karta knärot.png", "A 29144-2023")</f>
        <v/>
      </c>
      <c r="AA62">
        <f>HYPERLINK("https://klasma.github.io/Logging_2085/klagomål/A 29144-2023 FSC-klagomål.docx", "A 29144-2023")</f>
        <v/>
      </c>
      <c r="AB62">
        <f>HYPERLINK("https://klasma.github.io/Logging_2085/klagomålsmail/A 29144-2023 FSC-klagomål mail.docx", "A 29144-2023")</f>
        <v/>
      </c>
      <c r="AC62">
        <f>HYPERLINK("https://klasma.github.io/Logging_2085/tillsyn/A 29144-2023 tillsynsbegäran.docx", "A 29144-2023")</f>
        <v/>
      </c>
      <c r="AD62">
        <f>HYPERLINK("https://klasma.github.io/Logging_2085/tillsynsmail/A 29144-2023 tillsynsbegäran mail.docx", "A 29144-2023")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46320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23087-2025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46320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0.9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Dropptaggsvamp
Motaggsvamp
Orange taggsvamp</t>
        </is>
      </c>
      <c r="W64">
        <f>HYPERLINK("https://klasma.github.io/Logging_2085/artfynd/A 23087-2025 artfynd.xlsx", "A 23087-2025")</f>
        <v/>
      </c>
      <c r="X64">
        <f>HYPERLINK("https://klasma.github.io/Logging_2085/kartor/A 23087-2025 karta.png", "A 23087-2025")</f>
        <v/>
      </c>
      <c r="Y64">
        <f>HYPERLINK("https://klasma.github.io/Logging_2085/kartor_geotiff/A 23087-2025 georefererad karta.tif", "A 23087-2025")</f>
        <v/>
      </c>
      <c r="AA64">
        <f>HYPERLINK("https://klasma.github.io/Logging_2085/klagomål/A 23087-2025 FSC-klagomål.docx", "A 23087-2025")</f>
        <v/>
      </c>
      <c r="AB64">
        <f>HYPERLINK("https://klasma.github.io/Logging_2085/klagomålsmail/A 23087-2025 FSC-klagomål mail.docx", "A 23087-2025")</f>
        <v/>
      </c>
      <c r="AC64">
        <f>HYPERLINK("https://klasma.github.io/Logging_2085/tillsyn/A 23087-2025 tillsynsbegäran.docx", "A 23087-2025")</f>
        <v/>
      </c>
      <c r="AD64">
        <f>HYPERLINK("https://klasma.github.io/Logging_2085/tillsynsmail/A 23087-2025 tillsynsbegäran mail.docx", "A 23087-2025")</f>
        <v/>
      </c>
    </row>
    <row r="65" ht="15" customHeight="1">
      <c r="A65" t="inlineStr">
        <is>
          <t>A 74432-2021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44560</v>
      </c>
      <c r="E65" s="1" t="n">
        <v>46320</v>
      </c>
      <c r="F65" t="inlineStr">
        <is>
          <t>DALARNAS LÄN</t>
        </is>
      </c>
      <c r="G65" t="inlineStr">
        <is>
          <t>LUDVIKA</t>
        </is>
      </c>
      <c r="H65" t="inlineStr">
        <is>
          <t>Kommuner</t>
        </is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Spillkråka
Gröngöling
Kungsfågel</t>
        </is>
      </c>
      <c r="W65">
        <f>HYPERLINK("https://klasma.github.io/Logging_2085/artfynd/A 74432-2021 artfynd.xlsx", "A 74432-2021")</f>
        <v/>
      </c>
      <c r="X65">
        <f>HYPERLINK("https://klasma.github.io/Logging_2085/kartor/A 74432-2021 karta.png", "A 74432-2021")</f>
        <v/>
      </c>
      <c r="Y65">
        <f>HYPERLINK("https://klasma.github.io/Logging_2085/kartor_geotiff/A 74432-2021 georefererad karta.tif", "A 74432-2021")</f>
        <v/>
      </c>
      <c r="AA65">
        <f>HYPERLINK("https://klasma.github.io/Logging_2085/klagomål/A 74432-2021 FSC-klagomål.docx", "A 74432-2021")</f>
        <v/>
      </c>
      <c r="AB65">
        <f>HYPERLINK("https://klasma.github.io/Logging_2085/klagomålsmail/A 74432-2021 FSC-klagomål mail.docx", "A 74432-2021")</f>
        <v/>
      </c>
      <c r="AC65">
        <f>HYPERLINK("https://klasma.github.io/Logging_2085/tillsyn/A 74432-2021 tillsynsbegäran.docx", "A 74432-2021")</f>
        <v/>
      </c>
      <c r="AD65">
        <f>HYPERLINK("https://klasma.github.io/Logging_2085/tillsynsmail/A 74432-2021 tillsynsbegäran mail.docx", "A 74432-2021")</f>
        <v/>
      </c>
      <c r="AE65">
        <f>HYPERLINK("https://klasma.github.io/Logging_2085/fåglar/A 74432-2021 prioriterade fågelarter.docx", "A 74432-2021")</f>
        <v/>
      </c>
    </row>
    <row r="66" ht="15" customHeight="1">
      <c r="A66" t="inlineStr">
        <is>
          <t>A 43226-2025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46320</v>
      </c>
      <c r="F66" t="inlineStr">
        <is>
          <t>DALARNAS LÄN</t>
        </is>
      </c>
      <c r="G66" t="inlineStr">
        <is>
          <t>LUDVIKA</t>
        </is>
      </c>
      <c r="I66" t="n">
        <v>1.1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4</v>
      </c>
      <c r="V66" s="2" t="inlineStr">
        <is>
          <t>Tretåig hackspett
Rävticka
Rödgul trumpetsvamp</t>
        </is>
      </c>
      <c r="W66">
        <f>HYPERLINK("https://klasma.github.io/Logging_2085/artfynd/A 43226-2025 artfynd.xlsx", "A 43226-2025")</f>
        <v/>
      </c>
      <c r="X66">
        <f>HYPERLINK("https://klasma.github.io/Logging_2085/kartor/A 43226-2025 karta.png", "A 43226-2025")</f>
        <v/>
      </c>
      <c r="Y66">
        <f>HYPERLINK("https://klasma.github.io/Logging_2085/kartor_geotiff/A 43226-2025 georefererad karta.tif", "A 43226-2025")</f>
        <v/>
      </c>
      <c r="AA66">
        <f>HYPERLINK("https://klasma.github.io/Logging_2085/klagomål/A 43226-2025 FSC-klagomål.docx", "A 43226-2025")</f>
        <v/>
      </c>
      <c r="AB66">
        <f>HYPERLINK("https://klasma.github.io/Logging_2085/klagomålsmail/A 43226-2025 FSC-klagomål mail.docx", "A 43226-2025")</f>
        <v/>
      </c>
      <c r="AC66">
        <f>HYPERLINK("https://klasma.github.io/Logging_2085/tillsyn/A 43226-2025 tillsynsbegäran.docx", "A 43226-2025")</f>
        <v/>
      </c>
      <c r="AD66">
        <f>HYPERLINK("https://klasma.github.io/Logging_2085/tillsynsmail/A 43226-2025 tillsynsbegäran mail.docx", "A 43226-2025")</f>
        <v/>
      </c>
      <c r="AE66">
        <f>HYPERLINK("https://klasma.github.io/Logging_2085/fåglar/A 43226-2025 prioriterade fågelarter.docx", "A 43226-2025")</f>
        <v/>
      </c>
    </row>
    <row r="67" ht="15" customHeight="1">
      <c r="A67" t="inlineStr">
        <is>
          <t>A 24425-2026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46168</v>
      </c>
      <c r="E67" s="1" t="n">
        <v>46320</v>
      </c>
      <c r="F67" t="inlineStr">
        <is>
          <t>DALARNAS LÄN</t>
        </is>
      </c>
      <c r="G67" t="inlineStr">
        <is>
          <t>LUDVIKA</t>
        </is>
      </c>
      <c r="H67" t="inlineStr">
        <is>
          <t>Övriga Aktiebolag</t>
        </is>
      </c>
      <c r="I67" t="n">
        <v>5.6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Tretåig hackspett
Spillkråka
Sälg</t>
        </is>
      </c>
      <c r="W67">
        <f>HYPERLINK("https://klasma.github.io/Logging_2085/artfynd/A 24425-2026 artfynd.xlsx", "A 24425-2026")</f>
        <v/>
      </c>
      <c r="X67">
        <f>HYPERLINK("https://klasma.github.io/Logging_2085/kartor/A 24425-2026 karta.png", "A 24425-2026")</f>
        <v/>
      </c>
      <c r="Y67">
        <f>HYPERLINK("https://klasma.github.io/Logging_2085/kartor_geotiff/A 24425-2026 georefererad karta.tif", "A 24425-2026")</f>
        <v/>
      </c>
      <c r="AA67">
        <f>HYPERLINK("https://klasma.github.io/Logging_2085/klagomål/A 24425-2026 FSC-klagomål.docx", "A 24425-2026")</f>
        <v/>
      </c>
      <c r="AB67">
        <f>HYPERLINK("https://klasma.github.io/Logging_2085/klagomålsmail/A 24425-2026 FSC-klagomål mail.docx", "A 24425-2026")</f>
        <v/>
      </c>
      <c r="AC67">
        <f>HYPERLINK("https://klasma.github.io/Logging_2085/tillsyn/A 24425-2026 tillsynsbegäran.docx", "A 24425-2026")</f>
        <v/>
      </c>
      <c r="AD67">
        <f>HYPERLINK("https://klasma.github.io/Logging_2085/tillsynsmail/A 24425-2026 tillsynsbegäran mail.docx", "A 24425-2026")</f>
        <v/>
      </c>
      <c r="AE67">
        <f>HYPERLINK("https://klasma.github.io/Logging_2085/fåglar/A 24425-2026 prioriterade fågelarter.docx", "A 24425-2026")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46320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46320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45791-2025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46320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Vitfläckig guldvinge
Fläcknycklar</t>
        </is>
      </c>
      <c r="W70">
        <f>HYPERLINK("https://klasma.github.io/Logging_2085/artfynd/A 45791-2025 artfynd.xlsx", "A 45791-2025")</f>
        <v/>
      </c>
      <c r="X70">
        <f>HYPERLINK("https://klasma.github.io/Logging_2085/kartor/A 45791-2025 karta.png", "A 45791-2025")</f>
        <v/>
      </c>
      <c r="Y70">
        <f>HYPERLINK("https://klasma.github.io/Logging_2085/kartor_geotiff/A 45791-2025 georefererad karta.tif", "A 45791-2025")</f>
        <v/>
      </c>
      <c r="AA70">
        <f>HYPERLINK("https://klasma.github.io/Logging_2085/klagomål/A 45791-2025 FSC-klagomål.docx", "A 45791-2025")</f>
        <v/>
      </c>
      <c r="AB70">
        <f>HYPERLINK("https://klasma.github.io/Logging_2085/klagomålsmail/A 45791-2025 FSC-klagomål mail.docx", "A 45791-2025")</f>
        <v/>
      </c>
      <c r="AC70">
        <f>HYPERLINK("https://klasma.github.io/Logging_2085/tillsyn/A 45791-2025 tillsynsbegäran.docx", "A 45791-2025")</f>
        <v/>
      </c>
      <c r="AD70">
        <f>HYPERLINK("https://klasma.github.io/Logging_2085/tillsynsmail/A 45791-2025 tillsynsbegäran mail.docx", "A 45791-2025")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46320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51886-2022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46320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1.8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Brun gräsfjäril
Tvåblad</t>
        </is>
      </c>
      <c r="W72">
        <f>HYPERLINK("https://klasma.github.io/Logging_2085/artfynd/A 51886-2022 artfynd.xlsx", "A 51886-2022")</f>
        <v/>
      </c>
      <c r="X72">
        <f>HYPERLINK("https://klasma.github.io/Logging_2085/kartor/A 51886-2022 karta.png", "A 51886-2022")</f>
        <v/>
      </c>
      <c r="Y72">
        <f>HYPERLINK("https://klasma.github.io/Logging_2085/kartor_geotiff/A 51886-2022 georefererad karta.tif", "A 51886-2022")</f>
        <v/>
      </c>
      <c r="AA72">
        <f>HYPERLINK("https://klasma.github.io/Logging_2085/klagomål/A 51886-2022 FSC-klagomål.docx", "A 51886-2022")</f>
        <v/>
      </c>
      <c r="AB72">
        <f>HYPERLINK("https://klasma.github.io/Logging_2085/klagomålsmail/A 51886-2022 FSC-klagomål mail.docx", "A 51886-2022")</f>
        <v/>
      </c>
      <c r="AC72">
        <f>HYPERLINK("https://klasma.github.io/Logging_2085/tillsyn/A 51886-2022 tillsynsbegäran.docx", "A 51886-2022")</f>
        <v/>
      </c>
      <c r="AD72">
        <f>HYPERLINK("https://klasma.github.io/Logging_2085/tillsynsmail/A 51886-2022 tillsynsbegäran mail.docx", "A 51886-2022")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46320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46320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46320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55399-2025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46320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11.5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Spillkråka
Revlummer</t>
        </is>
      </c>
      <c r="W76">
        <f>HYPERLINK("https://klasma.github.io/Logging_2085/artfynd/A 55399-2025 artfynd.xlsx", "A 55399-2025")</f>
        <v/>
      </c>
      <c r="X76">
        <f>HYPERLINK("https://klasma.github.io/Logging_2085/kartor/A 55399-2025 karta.png", "A 55399-2025")</f>
        <v/>
      </c>
      <c r="Y76">
        <f>HYPERLINK("https://klasma.github.io/Logging_2085/kartor_geotiff/A 55399-2025 georefererad karta.tif", "A 55399-2025")</f>
        <v/>
      </c>
      <c r="AA76">
        <f>HYPERLINK("https://klasma.github.io/Logging_2085/klagomål/A 55399-2025 FSC-klagomål.docx", "A 55399-2025")</f>
        <v/>
      </c>
      <c r="AB76">
        <f>HYPERLINK("https://klasma.github.io/Logging_2085/klagomålsmail/A 55399-2025 FSC-klagomål mail.docx", "A 55399-2025")</f>
        <v/>
      </c>
      <c r="AC76">
        <f>HYPERLINK("https://klasma.github.io/Logging_2085/tillsyn/A 55399-2025 tillsynsbegäran.docx", "A 55399-2025")</f>
        <v/>
      </c>
      <c r="AD76">
        <f>HYPERLINK("https://klasma.github.io/Logging_2085/tillsynsmail/A 55399-2025 tillsynsbegäran mail.docx", "A 55399-2025")</f>
        <v/>
      </c>
      <c r="AE76">
        <f>HYPERLINK("https://klasma.github.io/Logging_2085/fåglar/A 55399-2025 prioriterade fågelarter.docx", "A 55399-2025")</f>
        <v/>
      </c>
    </row>
    <row r="77" ht="15" customHeight="1">
      <c r="A77" t="inlineStr">
        <is>
          <t>A 56179-2025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46320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Gultoppig fingersvamp
Kortskaftad ärgspik</t>
        </is>
      </c>
      <c r="W77">
        <f>HYPERLINK("https://klasma.github.io/Logging_2085/artfynd/A 56179-2025 artfynd.xlsx", "A 56179-2025")</f>
        <v/>
      </c>
      <c r="X77">
        <f>HYPERLINK("https://klasma.github.io/Logging_2085/kartor/A 56179-2025 karta.png", "A 56179-2025")</f>
        <v/>
      </c>
      <c r="Y77">
        <f>HYPERLINK("https://klasma.github.io/Logging_2085/kartor_geotiff/A 56179-2025 georefererad karta.tif", "A 56179-2025")</f>
        <v/>
      </c>
      <c r="Z77">
        <f>HYPERLINK("https://klasma.github.io/Logging_2085/knärot/A 56179-2025 karta knärot.png", "A 56179-2025")</f>
        <v/>
      </c>
      <c r="AA77">
        <f>HYPERLINK("https://klasma.github.io/Logging_2085/klagomål/A 56179-2025 FSC-klagomål.docx", "A 56179-2025")</f>
        <v/>
      </c>
      <c r="AB77">
        <f>HYPERLINK("https://klasma.github.io/Logging_2085/klagomålsmail/A 56179-2025 FSC-klagomål mail.docx", "A 56179-2025")</f>
        <v/>
      </c>
      <c r="AC77">
        <f>HYPERLINK("https://klasma.github.io/Logging_2085/tillsyn/A 56179-2025 tillsynsbegäran.docx", "A 56179-2025")</f>
        <v/>
      </c>
      <c r="AD77">
        <f>HYPERLINK("https://klasma.github.io/Logging_2085/tillsynsmail/A 56179-2025 tillsynsbegäran mail.docx", "A 56179-2025")</f>
        <v/>
      </c>
    </row>
    <row r="78" ht="15" customHeight="1">
      <c r="A78" t="inlineStr">
        <is>
          <t>A 28727-2026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46320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14</v>
      </c>
      <c r="J78" t="n">
        <v>0</v>
      </c>
      <c r="K78" t="n">
        <v>1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Mindre märgborre</t>
        </is>
      </c>
      <c r="W78">
        <f>HYPERLINK("https://klasma.github.io/Logging_2085/artfynd/A 28727-2026 artfynd.xlsx", "A 28727-2026")</f>
        <v/>
      </c>
      <c r="X78">
        <f>HYPERLINK("https://klasma.github.io/Logging_2085/kartor/A 28727-2026 karta.png", "A 28727-2026")</f>
        <v/>
      </c>
      <c r="Y78">
        <f>HYPERLINK("https://klasma.github.io/Logging_2085/kartor_geotiff/A 28727-2026 georefererad karta.tif", "A 28727-2026")</f>
        <v/>
      </c>
      <c r="AA78">
        <f>HYPERLINK("https://klasma.github.io/Logging_2085/klagomål/A 28727-2026 FSC-klagomål.docx", "A 28727-2026")</f>
        <v/>
      </c>
      <c r="AB78">
        <f>HYPERLINK("https://klasma.github.io/Logging_2085/klagomålsmail/A 28727-2026 FSC-klagomål mail.docx", "A 28727-2026")</f>
        <v/>
      </c>
      <c r="AC78">
        <f>HYPERLINK("https://klasma.github.io/Logging_2085/tillsyn/A 28727-2026 tillsynsbegäran.docx", "A 28727-2026")</f>
        <v/>
      </c>
      <c r="AD78">
        <f>HYPERLINK("https://klasma.github.io/Logging_2085/tillsynsmail/A 28727-2026 tillsynsbegäran mail.docx", "A 28727-2026")</f>
        <v/>
      </c>
    </row>
    <row r="79" ht="15" customHeight="1">
      <c r="A79" t="inlineStr">
        <is>
          <t>A 21369-2023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46320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Skogsalm
Tibast</t>
        </is>
      </c>
      <c r="W79">
        <f>HYPERLINK("https://klasma.github.io/Logging_2085/artfynd/A 21369-2023 artfynd.xlsx", "A 21369-2023")</f>
        <v/>
      </c>
      <c r="X79">
        <f>HYPERLINK("https://klasma.github.io/Logging_2085/kartor/A 21369-2023 karta.png", "A 21369-2023")</f>
        <v/>
      </c>
      <c r="Y79">
        <f>HYPERLINK("https://klasma.github.io/Logging_2085/kartor_geotiff/A 21369-2023 georefererad karta.tif", "A 21369-2023")</f>
        <v/>
      </c>
      <c r="AA79">
        <f>HYPERLINK("https://klasma.github.io/Logging_2085/klagomål/A 21369-2023 FSC-klagomål.docx", "A 21369-2023")</f>
        <v/>
      </c>
      <c r="AB79">
        <f>HYPERLINK("https://klasma.github.io/Logging_2085/klagomålsmail/A 21369-2023 FSC-klagomål mail.docx", "A 21369-2023")</f>
        <v/>
      </c>
      <c r="AC79">
        <f>HYPERLINK("https://klasma.github.io/Logging_2085/tillsyn/A 21369-2023 tillsynsbegäran.docx", "A 21369-2023")</f>
        <v/>
      </c>
      <c r="AD79">
        <f>HYPERLINK("https://klasma.github.io/Logging_2085/tillsynsmail/A 21369-2023 tillsynsbegäran mail.docx", "A 21369-2023")</f>
        <v/>
      </c>
    </row>
    <row r="80" ht="15" customHeight="1">
      <c r="A80" t="inlineStr">
        <is>
          <t>A 28639-2026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46320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Blå taggsvamp
Motaggsvamp</t>
        </is>
      </c>
      <c r="W80">
        <f>HYPERLINK("https://klasma.github.io/Logging_2085/artfynd/A 28639-2026 artfynd.xlsx", "A 28639-2026")</f>
        <v/>
      </c>
      <c r="X80">
        <f>HYPERLINK("https://klasma.github.io/Logging_2085/kartor/A 28639-2026 karta.png", "A 28639-2026")</f>
        <v/>
      </c>
      <c r="Y80">
        <f>HYPERLINK("https://klasma.github.io/Logging_2085/kartor_geotiff/A 28639-2026 georefererad karta.tif", "A 28639-2026")</f>
        <v/>
      </c>
      <c r="AA80">
        <f>HYPERLINK("https://klasma.github.io/Logging_2085/klagomål/A 28639-2026 FSC-klagomål.docx", "A 28639-2026")</f>
        <v/>
      </c>
      <c r="AB80">
        <f>HYPERLINK("https://klasma.github.io/Logging_2085/klagomålsmail/A 28639-2026 FSC-klagomål mail.docx", "A 28639-2026")</f>
        <v/>
      </c>
      <c r="AC80">
        <f>HYPERLINK("https://klasma.github.io/Logging_2085/tillsyn/A 28639-2026 tillsynsbegäran.docx", "A 28639-2026")</f>
        <v/>
      </c>
      <c r="AD80">
        <f>HYPERLINK("https://klasma.github.io/Logging_2085/tillsynsmail/A 28639-2026 tillsynsbegäran mail.docx", "A 28639-2026")</f>
        <v/>
      </c>
    </row>
    <row r="81" ht="15" customHeight="1">
      <c r="A81" t="inlineStr">
        <is>
          <t>A 42558-2022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46320</v>
      </c>
      <c r="F81" t="inlineStr">
        <is>
          <t>DALARNAS LÄN</t>
        </is>
      </c>
      <c r="G81" t="inlineStr">
        <is>
          <t>LUDVIKA</t>
        </is>
      </c>
      <c r="H81" t="inlineStr">
        <is>
          <t>Naturvårdsverket</t>
        </is>
      </c>
      <c r="I81" t="n">
        <v>4.9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Gräddporing
Lopplummer (aggregat)</t>
        </is>
      </c>
      <c r="W81">
        <f>HYPERLINK("https://klasma.github.io/Logging_2085/artfynd/A 42558-2022 artfynd.xlsx", "A 42558-2022")</f>
        <v/>
      </c>
      <c r="X81">
        <f>HYPERLINK("https://klasma.github.io/Logging_2085/kartor/A 42558-2022 karta.png", "A 42558-2022")</f>
        <v/>
      </c>
      <c r="Y81">
        <f>HYPERLINK("https://klasma.github.io/Logging_2085/kartor_geotiff/A 42558-2022 georefererad karta.tif", "A 42558-2022")</f>
        <v/>
      </c>
      <c r="AA81">
        <f>HYPERLINK("https://klasma.github.io/Logging_2085/klagomål/A 42558-2022 FSC-klagomål.docx", "A 42558-2022")</f>
        <v/>
      </c>
      <c r="AB81">
        <f>HYPERLINK("https://klasma.github.io/Logging_2085/klagomålsmail/A 42558-2022 FSC-klagomål mail.docx", "A 42558-2022")</f>
        <v/>
      </c>
      <c r="AC81">
        <f>HYPERLINK("https://klasma.github.io/Logging_2085/tillsyn/A 42558-2022 tillsynsbegäran.docx", "A 42558-2022")</f>
        <v/>
      </c>
      <c r="AD81">
        <f>HYPERLINK("https://klasma.github.io/Logging_2085/tillsynsmail/A 42558-2022 tillsynsbegäran mail.docx", "A 42558-2022")</f>
        <v/>
      </c>
    </row>
    <row r="82" ht="15" customHeight="1">
      <c r="A82" t="inlineStr">
        <is>
          <t>A 56879-2025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46320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Tjäder</t>
        </is>
      </c>
      <c r="W82">
        <f>HYPERLINK("https://klasma.github.io/Logging_2085/artfynd/A 56879-2025 artfynd.xlsx", "A 56879-2025")</f>
        <v/>
      </c>
      <c r="X82">
        <f>HYPERLINK("https://klasma.github.io/Logging_2085/kartor/A 56879-2025 karta.png", "A 56879-2025")</f>
        <v/>
      </c>
      <c r="Y82">
        <f>HYPERLINK("https://klasma.github.io/Logging_2085/kartor_geotiff/A 56879-2025 georefererad karta.tif", "A 56879-2025")</f>
        <v/>
      </c>
      <c r="AA82">
        <f>HYPERLINK("https://klasma.github.io/Logging_2085/klagomål/A 56879-2025 FSC-klagomål.docx", "A 56879-2025")</f>
        <v/>
      </c>
      <c r="AB82">
        <f>HYPERLINK("https://klasma.github.io/Logging_2085/klagomålsmail/A 56879-2025 FSC-klagomål mail.docx", "A 56879-2025")</f>
        <v/>
      </c>
      <c r="AC82">
        <f>HYPERLINK("https://klasma.github.io/Logging_2085/tillsyn/A 56879-2025 tillsynsbegäran.docx", "A 56879-2025")</f>
        <v/>
      </c>
      <c r="AD82">
        <f>HYPERLINK("https://klasma.github.io/Logging_2085/tillsynsmail/A 56879-2025 tillsynsbegäran mail.docx", "A 56879-2025")</f>
        <v/>
      </c>
      <c r="AE82">
        <f>HYPERLINK("https://klasma.github.io/Logging_2085/fåglar/A 56879-2025 prioriterade fågelarter.docx", "A 56879-2025")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46320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11755-2023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44994</v>
      </c>
      <c r="E84" s="1" t="n">
        <v>46320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Spillkråka</t>
        </is>
      </c>
      <c r="W84">
        <f>HYPERLINK("https://klasma.github.io/Logging_2085/artfynd/A 11755-2023 artfynd.xlsx", "A 11755-2023")</f>
        <v/>
      </c>
      <c r="X84">
        <f>HYPERLINK("https://klasma.github.io/Logging_2085/kartor/A 11755-2023 karta.png", "A 11755-2023")</f>
        <v/>
      </c>
      <c r="Y84">
        <f>HYPERLINK("https://klasma.github.io/Logging_2085/kartor_geotiff/A 11755-2023 georefererad karta.tif", "A 11755-2023")</f>
        <v/>
      </c>
      <c r="AA84">
        <f>HYPERLINK("https://klasma.github.io/Logging_2085/klagomål/A 11755-2023 FSC-klagomål.docx", "A 11755-2023")</f>
        <v/>
      </c>
      <c r="AB84">
        <f>HYPERLINK("https://klasma.github.io/Logging_2085/klagomålsmail/A 11755-2023 FSC-klagomål mail.docx", "A 11755-2023")</f>
        <v/>
      </c>
      <c r="AC84">
        <f>HYPERLINK("https://klasma.github.io/Logging_2085/tillsyn/A 11755-2023 tillsynsbegäran.docx", "A 11755-2023")</f>
        <v/>
      </c>
      <c r="AD84">
        <f>HYPERLINK("https://klasma.github.io/Logging_2085/tillsynsmail/A 11755-2023 tillsynsbegäran mail.docx", "A 11755-2023")</f>
        <v/>
      </c>
      <c r="AE84">
        <f>HYPERLINK("https://klasma.github.io/Logging_2085/fåglar/A 11755-2023 prioriterade fågelarter.docx", "A 11755-2023")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46320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35099-2026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46320</v>
      </c>
      <c r="F86" t="inlineStr">
        <is>
          <t>DALARNAS LÄN</t>
        </is>
      </c>
      <c r="G86" t="inlineStr">
        <is>
          <t>LUDVIKA</t>
        </is>
      </c>
      <c r="I86" t="n">
        <v>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5</v>
      </c>
      <c r="V86" s="2" t="inlineStr">
        <is>
          <t>Knärot
Sälg</t>
        </is>
      </c>
      <c r="W86">
        <f>HYPERLINK("https://klasma.github.io/Logging_2085/artfynd/A 35099-2026 artfynd.xlsx", "A 35099-2026")</f>
        <v/>
      </c>
      <c r="X86">
        <f>HYPERLINK("https://klasma.github.io/Logging_2085/kartor/A 35099-2026 karta.png", "A 35099-2026")</f>
        <v/>
      </c>
      <c r="Y86">
        <f>HYPERLINK("https://klasma.github.io/Logging_2085/kartor_geotiff/A 35099-2026 georefererad karta.tif", "A 35099-2026")</f>
        <v/>
      </c>
      <c r="Z86">
        <f>HYPERLINK("https://klasma.github.io/Logging_2085/knärot/A 35099-2026 karta knärot.png", "A 35099-2026")</f>
        <v/>
      </c>
      <c r="AA86">
        <f>HYPERLINK("https://klasma.github.io/Logging_2085/klagomål/A 35099-2026 FSC-klagomål.docx", "A 35099-2026")</f>
        <v/>
      </c>
      <c r="AB86">
        <f>HYPERLINK("https://klasma.github.io/Logging_2085/klagomålsmail/A 35099-2026 FSC-klagomål mail.docx", "A 35099-2026")</f>
        <v/>
      </c>
      <c r="AC86">
        <f>HYPERLINK("https://klasma.github.io/Logging_2085/tillsyn/A 35099-2026 tillsynsbegäran.docx", "A 35099-2026")</f>
        <v/>
      </c>
      <c r="AD86">
        <f>HYPERLINK("https://klasma.github.io/Logging_2085/tillsynsmail/A 35099-2026 tillsynsbegäran mail.docx", "A 35099-2026")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46320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35104-2026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46260</v>
      </c>
      <c r="E88" s="1" t="n">
        <v>46320</v>
      </c>
      <c r="F88" t="inlineStr">
        <is>
          <t>DALARNAS LÄN</t>
        </is>
      </c>
      <c r="G88" t="inlineStr">
        <is>
          <t>LUDVIKA</t>
        </is>
      </c>
      <c r="I88" t="n">
        <v>1.4</v>
      </c>
      <c r="J88" t="n">
        <v>1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Knärot
Rödgul trumpetsvamp</t>
        </is>
      </c>
      <c r="W88">
        <f>HYPERLINK("https://klasma.github.io/Logging_2085/artfynd/A 35104-2026 artfynd.xlsx", "A 35104-2026")</f>
        <v/>
      </c>
      <c r="X88">
        <f>HYPERLINK("https://klasma.github.io/Logging_2085/kartor/A 35104-2026 karta.png", "A 35104-2026")</f>
        <v/>
      </c>
      <c r="Y88">
        <f>HYPERLINK("https://klasma.github.io/Logging_2085/kartor_geotiff/A 35104-2026 georefererad karta.tif", "A 35104-2026")</f>
        <v/>
      </c>
      <c r="Z88">
        <f>HYPERLINK("https://klasma.github.io/Logging_2085/knärot/A 35104-2026 karta knärot.png", "A 35104-2026")</f>
        <v/>
      </c>
      <c r="AA88">
        <f>HYPERLINK("https://klasma.github.io/Logging_2085/klagomål/A 35104-2026 FSC-klagomål.docx", "A 35104-2026")</f>
        <v/>
      </c>
      <c r="AB88">
        <f>HYPERLINK("https://klasma.github.io/Logging_2085/klagomålsmail/A 35104-2026 FSC-klagomål mail.docx", "A 35104-2026")</f>
        <v/>
      </c>
      <c r="AC88">
        <f>HYPERLINK("https://klasma.github.io/Logging_2085/tillsyn/A 35104-2026 tillsynsbegäran.docx", "A 35104-2026")</f>
        <v/>
      </c>
      <c r="AD88">
        <f>HYPERLINK("https://klasma.github.io/Logging_2085/tillsynsmail/A 35104-2026 tillsynsbegäran mail.docx", "A 35104-2026")</f>
        <v/>
      </c>
    </row>
    <row r="89" ht="15" customHeight="1">
      <c r="A89" t="inlineStr">
        <is>
          <t>A 56826-2025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46320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4.5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8</v>
      </c>
      <c r="U89" t="n">
        <v>8</v>
      </c>
      <c r="V89" s="2" t="inlineStr">
        <is>
          <t>Garnlav
Tretåig hackspett</t>
        </is>
      </c>
      <c r="W89">
        <f>HYPERLINK("https://klasma.github.io/Logging_2085/artfynd/A 56826-2025 artfynd.xlsx", "A 56826-2025")</f>
        <v/>
      </c>
      <c r="X89">
        <f>HYPERLINK("https://klasma.github.io/Logging_2085/kartor/A 56826-2025 karta.png", "A 56826-2025")</f>
        <v/>
      </c>
      <c r="Y89">
        <f>HYPERLINK("https://klasma.github.io/Logging_2085/kartor_geotiff/A 56826-2025 georefererad karta.tif", "A 56826-2025")</f>
        <v/>
      </c>
      <c r="AA89">
        <f>HYPERLINK("https://klasma.github.io/Logging_2085/klagomål/A 56826-2025 FSC-klagomål.docx", "A 56826-2025")</f>
        <v/>
      </c>
      <c r="AB89">
        <f>HYPERLINK("https://klasma.github.io/Logging_2085/klagomålsmail/A 56826-2025 FSC-klagomål mail.docx", "A 56826-2025")</f>
        <v/>
      </c>
      <c r="AC89">
        <f>HYPERLINK("https://klasma.github.io/Logging_2085/tillsyn/A 56826-2025 tillsynsbegäran.docx", "A 56826-2025")</f>
        <v/>
      </c>
      <c r="AD89">
        <f>HYPERLINK("https://klasma.github.io/Logging_2085/tillsynsmail/A 56826-2025 tillsynsbegäran mail.docx", "A 56826-2025")</f>
        <v/>
      </c>
      <c r="AE89">
        <f>HYPERLINK("https://klasma.github.io/Logging_2085/fåglar/A 56826-2025 prioriterade fågelarter.docx", "A 56826-2025")</f>
        <v/>
      </c>
    </row>
    <row r="90" ht="15" customHeight="1">
      <c r="A90" t="inlineStr">
        <is>
          <t>A 24426-2026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46320</v>
      </c>
      <c r="F90" t="inlineStr">
        <is>
          <t>DALARNAS LÄN</t>
        </is>
      </c>
      <c r="G90" t="inlineStr">
        <is>
          <t>LUDVIKA</t>
        </is>
      </c>
      <c r="H90" t="inlineStr">
        <is>
          <t>Övriga Aktiebolag</t>
        </is>
      </c>
      <c r="I90" t="n">
        <v>12.4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Spillkråka
Sälg</t>
        </is>
      </c>
      <c r="W90">
        <f>HYPERLINK("https://klasma.github.io/Logging_2085/artfynd/A 24426-2026 artfynd.xlsx", "A 24426-2026")</f>
        <v/>
      </c>
      <c r="X90">
        <f>HYPERLINK("https://klasma.github.io/Logging_2085/kartor/A 24426-2026 karta.png", "A 24426-2026")</f>
        <v/>
      </c>
      <c r="Y90">
        <f>HYPERLINK("https://klasma.github.io/Logging_2085/kartor_geotiff/A 24426-2026 georefererad karta.tif", "A 24426-2026")</f>
        <v/>
      </c>
      <c r="AA90">
        <f>HYPERLINK("https://klasma.github.io/Logging_2085/klagomål/A 24426-2026 FSC-klagomål.docx", "A 24426-2026")</f>
        <v/>
      </c>
      <c r="AB90">
        <f>HYPERLINK("https://klasma.github.io/Logging_2085/klagomålsmail/A 24426-2026 FSC-klagomål mail.docx", "A 24426-2026")</f>
        <v/>
      </c>
      <c r="AC90">
        <f>HYPERLINK("https://klasma.github.io/Logging_2085/tillsyn/A 24426-2026 tillsynsbegäran.docx", "A 24426-2026")</f>
        <v/>
      </c>
      <c r="AD90">
        <f>HYPERLINK("https://klasma.github.io/Logging_2085/tillsynsmail/A 24426-2026 tillsynsbegäran mail.docx", "A 24426-2026")</f>
        <v/>
      </c>
      <c r="AE90">
        <f>HYPERLINK("https://klasma.github.io/Logging_2085/fåglar/A 24426-2026 prioriterade fågelarter.docx", "A 24426-2026")</f>
        <v/>
      </c>
    </row>
    <row r="91" ht="15" customHeight="1">
      <c r="A91" t="inlineStr">
        <is>
          <t>A 21876-2026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46320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Tretåig hackspett</t>
        </is>
      </c>
      <c r="W91">
        <f>HYPERLINK("https://klasma.github.io/Logging_2085/artfynd/A 21876-2026 artfynd.xlsx", "A 21876-2026")</f>
        <v/>
      </c>
      <c r="X91">
        <f>HYPERLINK("https://klasma.github.io/Logging_2085/kartor/A 21876-2026 karta.png", "A 21876-2026")</f>
        <v/>
      </c>
      <c r="Y91">
        <f>HYPERLINK("https://klasma.github.io/Logging_2085/kartor_geotiff/A 21876-2026 georefererad karta.tif", "A 21876-2026")</f>
        <v/>
      </c>
      <c r="AA91">
        <f>HYPERLINK("https://klasma.github.io/Logging_2085/klagomål/A 21876-2026 FSC-klagomål.docx", "A 21876-2026")</f>
        <v/>
      </c>
      <c r="AB91">
        <f>HYPERLINK("https://klasma.github.io/Logging_2085/klagomålsmail/A 21876-2026 FSC-klagomål mail.docx", "A 21876-2026")</f>
        <v/>
      </c>
      <c r="AC91">
        <f>HYPERLINK("https://klasma.github.io/Logging_2085/tillsyn/A 21876-2026 tillsynsbegäran.docx", "A 21876-2026")</f>
        <v/>
      </c>
      <c r="AD91">
        <f>HYPERLINK("https://klasma.github.io/Logging_2085/tillsynsmail/A 21876-2026 tillsynsbegäran mail.docx", "A 21876-2026")</f>
        <v/>
      </c>
      <c r="AE91">
        <f>HYPERLINK("https://klasma.github.io/Logging_2085/fåglar/A 21876-2026 prioriterade fågelarter.docx", "A 21876-2026")</f>
        <v/>
      </c>
    </row>
    <row r="92" ht="15" customHeight="1">
      <c r="A92" t="inlineStr">
        <is>
          <t>A 62275-2022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46320</v>
      </c>
      <c r="F92" t="inlineStr">
        <is>
          <t>DALARNAS LÄN</t>
        </is>
      </c>
      <c r="G92" t="inlineStr">
        <is>
          <t>LUDVIKA</t>
        </is>
      </c>
      <c r="I92" t="n">
        <v>4.6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5</v>
      </c>
      <c r="U92" t="n">
        <v>5</v>
      </c>
      <c r="V92" s="2" t="inlineStr">
        <is>
          <t>Knärot
Brunklöver</t>
        </is>
      </c>
      <c r="W92">
        <f>HYPERLINK("https://klasma.github.io/Logging_2085/artfynd/A 62275-2022 artfynd.xlsx", "A 62275-2022")</f>
        <v/>
      </c>
      <c r="X92">
        <f>HYPERLINK("https://klasma.github.io/Logging_2085/kartor/A 62275-2022 karta.png", "A 62275-2022")</f>
        <v/>
      </c>
      <c r="Y92">
        <f>HYPERLINK("https://klasma.github.io/Logging_2085/kartor_geotiff/A 62275-2022 georefererad karta.tif", "A 62275-2022")</f>
        <v/>
      </c>
      <c r="Z92">
        <f>HYPERLINK("https://klasma.github.io/Logging_2085/knärot/A 62275-2022 karta knärot.png", "A 62275-2022")</f>
        <v/>
      </c>
      <c r="AA92">
        <f>HYPERLINK("https://klasma.github.io/Logging_2085/klagomål/A 62275-2022 FSC-klagomål.docx", "A 62275-2022")</f>
        <v/>
      </c>
      <c r="AB92">
        <f>HYPERLINK("https://klasma.github.io/Logging_2085/klagomålsmail/A 62275-2022 FSC-klagomål mail.docx", "A 62275-2022")</f>
        <v/>
      </c>
      <c r="AC92">
        <f>HYPERLINK("https://klasma.github.io/Logging_2085/tillsyn/A 62275-2022 tillsynsbegäran.docx", "A 62275-2022")</f>
        <v/>
      </c>
      <c r="AD92">
        <f>HYPERLINK("https://klasma.github.io/Logging_2085/tillsynsmail/A 62275-2022 tillsynsbegäran mail.docx", "A 62275-2022")</f>
        <v/>
      </c>
    </row>
    <row r="93" ht="15" customHeight="1">
      <c r="A93" t="inlineStr">
        <is>
          <t>A 33155-2024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46320</v>
      </c>
      <c r="F93" t="inlineStr">
        <is>
          <t>DALARNAS LÄN</t>
        </is>
      </c>
      <c r="G93" t="inlineStr">
        <is>
          <t>LUDVIKA</t>
        </is>
      </c>
      <c r="I93" t="n">
        <v>2.9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Brunpudrad nållav
Tretåig hackspett</t>
        </is>
      </c>
      <c r="W93">
        <f>HYPERLINK("https://klasma.github.io/Logging_2085/artfynd/A 33155-2024 artfynd.xlsx", "A 33155-2024")</f>
        <v/>
      </c>
      <c r="X93">
        <f>HYPERLINK("https://klasma.github.io/Logging_2085/kartor/A 33155-2024 karta.png", "A 33155-2024")</f>
        <v/>
      </c>
      <c r="Y93">
        <f>HYPERLINK("https://klasma.github.io/Logging_2085/kartor_geotiff/A 33155-2024 georefererad karta.tif", "A 33155-2024")</f>
        <v/>
      </c>
      <c r="AA93">
        <f>HYPERLINK("https://klasma.github.io/Logging_2085/klagomål/A 33155-2024 FSC-klagomål.docx", "A 33155-2024")</f>
        <v/>
      </c>
      <c r="AB93">
        <f>HYPERLINK("https://klasma.github.io/Logging_2085/klagomålsmail/A 33155-2024 FSC-klagomål mail.docx", "A 33155-2024")</f>
        <v/>
      </c>
      <c r="AC93">
        <f>HYPERLINK("https://klasma.github.io/Logging_2085/tillsyn/A 33155-2024 tillsynsbegäran.docx", "A 33155-2024")</f>
        <v/>
      </c>
      <c r="AD93">
        <f>HYPERLINK("https://klasma.github.io/Logging_2085/tillsynsmail/A 33155-2024 tillsynsbegäran mail.docx", "A 33155-2024")</f>
        <v/>
      </c>
      <c r="AE93">
        <f>HYPERLINK("https://klasma.github.io/Logging_2085/fåglar/A 33155-2024 prioriterade fågelarter.docx", "A 33155-2024")</f>
        <v/>
      </c>
    </row>
    <row r="94" ht="15" customHeight="1">
      <c r="A94" t="inlineStr">
        <is>
          <t>A 49051-2024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46320</v>
      </c>
      <c r="F94" t="inlineStr">
        <is>
          <t>DALARNAS LÄN</t>
        </is>
      </c>
      <c r="G94" t="inlineStr">
        <is>
          <t>LUDVIKA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2</v>
      </c>
      <c r="O94" t="n">
        <v>0</v>
      </c>
      <c r="P94" t="n">
        <v>0</v>
      </c>
      <c r="Q94" t="n">
        <v>2</v>
      </c>
      <c r="R94" t="n">
        <v>2</v>
      </c>
      <c r="S94" t="n">
        <v>2</v>
      </c>
      <c r="T94" t="n">
        <v>2</v>
      </c>
      <c r="U94" t="n">
        <v>0</v>
      </c>
      <c r="V94" s="2" t="inlineStr">
        <is>
          <t>Ladparasitspik
Vedkastanjelav</t>
        </is>
      </c>
      <c r="W94">
        <f>HYPERLINK("https://klasma.github.io/Logging_2085/artfynd/A 49051-2024 artfynd.xlsx", "A 49051-2024")</f>
        <v/>
      </c>
      <c r="X94">
        <f>HYPERLINK("https://klasma.github.io/Logging_2085/kartor/A 49051-2024 karta.png", "A 49051-2024")</f>
        <v/>
      </c>
      <c r="Y94">
        <f>HYPERLINK("https://klasma.github.io/Logging_2085/kartor_geotiff/A 49051-2024 georefererad karta.tif", "A 49051-2024")</f>
        <v/>
      </c>
      <c r="AA94">
        <f>HYPERLINK("https://klasma.github.io/Logging_2085/klagomål/A 49051-2024 FSC-klagomål.docx", "A 49051-2024")</f>
        <v/>
      </c>
      <c r="AB94">
        <f>HYPERLINK("https://klasma.github.io/Logging_2085/klagomålsmail/A 49051-2024 FSC-klagomål mail.docx", "A 49051-2024")</f>
        <v/>
      </c>
      <c r="AC94">
        <f>HYPERLINK("https://klasma.github.io/Logging_2085/tillsyn/A 49051-2024 tillsynsbegäran.docx", "A 49051-2024")</f>
        <v/>
      </c>
      <c r="AD94">
        <f>HYPERLINK("https://klasma.github.io/Logging_2085/tillsynsmail/A 49051-2024 tillsynsbegäran mail.docx", "A 49051-2024")</f>
        <v/>
      </c>
    </row>
    <row r="95" ht="15" customHeight="1">
      <c r="A95" t="inlineStr">
        <is>
          <t>A 3809-2024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46320</v>
      </c>
      <c r="F95" t="inlineStr">
        <is>
          <t>DALARNAS LÄN</t>
        </is>
      </c>
      <c r="G95" t="inlineStr">
        <is>
          <t>LUDVIKA</t>
        </is>
      </c>
      <c r="I95" t="n">
        <v>0.5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8</v>
      </c>
      <c r="U95" t="n">
        <v>8</v>
      </c>
      <c r="V95" s="2" t="inlineStr">
        <is>
          <t>Nordfladdermus
Fläcknycklar</t>
        </is>
      </c>
      <c r="W95">
        <f>HYPERLINK("https://klasma.github.io/Logging_2085/artfynd/A 3809-2024 artfynd.xlsx", "A 3809-2024")</f>
        <v/>
      </c>
      <c r="X95">
        <f>HYPERLINK("https://klasma.github.io/Logging_2085/kartor/A 3809-2024 karta.png", "A 3809-2024")</f>
        <v/>
      </c>
      <c r="Y95">
        <f>HYPERLINK("https://klasma.github.io/Logging_2085/kartor_geotiff/A 3809-2024 georefererad karta.tif", "A 3809-2024")</f>
        <v/>
      </c>
      <c r="AA95">
        <f>HYPERLINK("https://klasma.github.io/Logging_2085/klagomål/A 3809-2024 FSC-klagomål.docx", "A 3809-2024")</f>
        <v/>
      </c>
      <c r="AB95">
        <f>HYPERLINK("https://klasma.github.io/Logging_2085/klagomålsmail/A 3809-2024 FSC-klagomål mail.docx", "A 3809-2024")</f>
        <v/>
      </c>
      <c r="AC95">
        <f>HYPERLINK("https://klasma.github.io/Logging_2085/tillsyn/A 3809-2024 tillsynsbegäran.docx", "A 3809-2024")</f>
        <v/>
      </c>
      <c r="AD95">
        <f>HYPERLINK("https://klasma.github.io/Logging_2085/tillsynsmail/A 3809-2024 tillsynsbegäran mail.docx", "A 3809-2024")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46320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46320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46320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46320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46320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23720-2026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46163</v>
      </c>
      <c r="E101" s="1" t="n">
        <v>46320</v>
      </c>
      <c r="F101" t="inlineStr">
        <is>
          <t>DALARNAS LÄN</t>
        </is>
      </c>
      <c r="G101" t="inlineStr">
        <is>
          <t>LUDVIKA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HYPERLINK("https://klasma.github.io/Logging_2085/artfynd/A 23720-2026 artfynd.xlsx", "A 23720-2026")</f>
        <v/>
      </c>
      <c r="X101">
        <f>HYPERLINK("https://klasma.github.io/Logging_2085/kartor/A 23720-2026 karta.png", "A 23720-2026")</f>
        <v/>
      </c>
      <c r="Y101">
        <f>HYPERLINK("https://klasma.github.io/Logging_2085/kartor_geotiff/A 23720-2026 georefererad karta.tif", "A 23720-2026")</f>
        <v/>
      </c>
      <c r="AA101">
        <f>HYPERLINK("https://klasma.github.io/Logging_2085/klagomål/A 23720-2026 FSC-klagomål.docx", "A 23720-2026")</f>
        <v/>
      </c>
      <c r="AB101">
        <f>HYPERLINK("https://klasma.github.io/Logging_2085/klagomålsmail/A 23720-2026 FSC-klagomål mail.docx", "A 23720-2026")</f>
        <v/>
      </c>
      <c r="AC101">
        <f>HYPERLINK("https://klasma.github.io/Logging_2085/tillsyn/A 23720-2026 tillsynsbegäran.docx", "A 23720-2026")</f>
        <v/>
      </c>
      <c r="AD101">
        <f>HYPERLINK("https://klasma.github.io/Logging_2085/tillsynsmail/A 23720-2026 tillsynsbegäran mail.docx", "A 23720-2026")</f>
        <v/>
      </c>
      <c r="AE101">
        <f>HYPERLINK("https://klasma.github.io/Logging_2085/fåglar/A 23720-2026 prioriterade fågelarter.docx", "A 23720-2026")</f>
        <v/>
      </c>
    </row>
    <row r="102" ht="15" customHeight="1">
      <c r="A102" t="inlineStr">
        <is>
          <t>A 23778-2026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46320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HYPERLINK("https://klasma.github.io/Logging_2085/artfynd/A 23778-2026 artfynd.xlsx", "A 23778-2026")</f>
        <v/>
      </c>
      <c r="X102">
        <f>HYPERLINK("https://klasma.github.io/Logging_2085/kartor/A 23778-2026 karta.png", "A 23778-2026")</f>
        <v/>
      </c>
      <c r="Y102">
        <f>HYPERLINK("https://klasma.github.io/Logging_2085/kartor_geotiff/A 23778-2026 georefererad karta.tif", "A 23778-2026")</f>
        <v/>
      </c>
      <c r="AA102">
        <f>HYPERLINK("https://klasma.github.io/Logging_2085/klagomål/A 23778-2026 FSC-klagomål.docx", "A 23778-2026")</f>
        <v/>
      </c>
      <c r="AB102">
        <f>HYPERLINK("https://klasma.github.io/Logging_2085/klagomålsmail/A 23778-2026 FSC-klagomål mail.docx", "A 23778-2026")</f>
        <v/>
      </c>
      <c r="AC102">
        <f>HYPERLINK("https://klasma.github.io/Logging_2085/tillsyn/A 23778-2026 tillsynsbegäran.docx", "A 23778-2026")</f>
        <v/>
      </c>
      <c r="AD102">
        <f>HYPERLINK("https://klasma.github.io/Logging_2085/tillsynsmail/A 23778-2026 tillsynsbegäran mail.docx", "A 23778-2026")</f>
        <v/>
      </c>
      <c r="AE102">
        <f>HYPERLINK("https://klasma.github.io/Logging_2085/fåglar/A 23778-2026 prioriterade fågelarter.docx", "A 23778-2026")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46320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63005-2025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46320</v>
      </c>
      <c r="F104" t="inlineStr">
        <is>
          <t>DALARNAS LÄN</t>
        </is>
      </c>
      <c r="G104" t="inlineStr">
        <is>
          <t>LUDVIKA</t>
        </is>
      </c>
      <c r="I104" t="n">
        <v>4.4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HYPERLINK("https://klasma.github.io/Logging_2085/artfynd/A 63005-2025 artfynd.xlsx", "A 63005-2025")</f>
        <v/>
      </c>
      <c r="X104">
        <f>HYPERLINK("https://klasma.github.io/Logging_2085/kartor/A 63005-2025 karta.png", "A 63005-2025")</f>
        <v/>
      </c>
      <c r="Y104">
        <f>HYPERLINK("https://klasma.github.io/Logging_2085/kartor_geotiff/A 63005-2025 georefererad karta.tif", "A 63005-2025")</f>
        <v/>
      </c>
      <c r="AA104">
        <f>HYPERLINK("https://klasma.github.io/Logging_2085/klagomål/A 63005-2025 FSC-klagomål.docx", "A 63005-2025")</f>
        <v/>
      </c>
      <c r="AB104">
        <f>HYPERLINK("https://klasma.github.io/Logging_2085/klagomålsmail/A 63005-2025 FSC-klagomål mail.docx", "A 63005-2025")</f>
        <v/>
      </c>
      <c r="AC104">
        <f>HYPERLINK("https://klasma.github.io/Logging_2085/tillsyn/A 63005-2025 tillsynsbegäran.docx", "A 63005-2025")</f>
        <v/>
      </c>
      <c r="AD104">
        <f>HYPERLINK("https://klasma.github.io/Logging_2085/tillsynsmail/A 63005-2025 tillsynsbegäran mail.docx", "A 63005-2025")</f>
        <v/>
      </c>
      <c r="AE104">
        <f>HYPERLINK("https://klasma.github.io/Logging_2085/fåglar/A 63005-2025 prioriterade fågelarter.docx", "A 63005-2025")</f>
        <v/>
      </c>
    </row>
    <row r="105" ht="15" customHeight="1">
      <c r="A105" t="inlineStr">
        <is>
          <t>A 25159-2026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46175</v>
      </c>
      <c r="E105" s="1" t="n">
        <v>46320</v>
      </c>
      <c r="F105" t="inlineStr">
        <is>
          <t>DALARNAS LÄN</t>
        </is>
      </c>
      <c r="G105" t="inlineStr">
        <is>
          <t>LUDVIKA</t>
        </is>
      </c>
      <c r="I105" t="n">
        <v>2.3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Tibast</t>
        </is>
      </c>
      <c r="W105">
        <f>HYPERLINK("https://klasma.github.io/Logging_2085/artfynd/A 25159-2026 artfynd.xlsx", "A 25159-2026")</f>
        <v/>
      </c>
      <c r="X105">
        <f>HYPERLINK("https://klasma.github.io/Logging_2085/kartor/A 25159-2026 karta.png", "A 25159-2026")</f>
        <v/>
      </c>
      <c r="Y105">
        <f>HYPERLINK("https://klasma.github.io/Logging_2085/kartor_geotiff/A 25159-2026 georefererad karta.tif", "A 25159-2026")</f>
        <v/>
      </c>
      <c r="AA105">
        <f>HYPERLINK("https://klasma.github.io/Logging_2085/klagomål/A 25159-2026 FSC-klagomål.docx", "A 25159-2026")</f>
        <v/>
      </c>
      <c r="AB105">
        <f>HYPERLINK("https://klasma.github.io/Logging_2085/klagomålsmail/A 25159-2026 FSC-klagomål mail.docx", "A 25159-2026")</f>
        <v/>
      </c>
      <c r="AC105">
        <f>HYPERLINK("https://klasma.github.io/Logging_2085/tillsyn/A 25159-2026 tillsynsbegäran.docx", "A 25159-2026")</f>
        <v/>
      </c>
      <c r="AD105">
        <f>HYPERLINK("https://klasma.github.io/Logging_2085/tillsynsmail/A 25159-2026 tillsynsbegäran mail.docx", "A 25159-2026")</f>
        <v/>
      </c>
    </row>
    <row r="106" ht="15" customHeight="1">
      <c r="A106" t="inlineStr">
        <is>
          <t>A 25448-2024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45463</v>
      </c>
      <c r="E106" s="1" t="n">
        <v>46320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24.7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Blåsippa</t>
        </is>
      </c>
      <c r="W106">
        <f>HYPERLINK("https://klasma.github.io/Logging_2085/artfynd/A 25448-2024 artfynd.xlsx", "A 25448-2024")</f>
        <v/>
      </c>
      <c r="X106">
        <f>HYPERLINK("https://klasma.github.io/Logging_2085/kartor/A 25448-2024 karta.png", "A 25448-2024")</f>
        <v/>
      </c>
      <c r="Y106">
        <f>HYPERLINK("https://klasma.github.io/Logging_2085/kartor_geotiff/A 25448-2024 georefererad karta.tif", "A 25448-2024")</f>
        <v/>
      </c>
      <c r="AA106">
        <f>HYPERLINK("https://klasma.github.io/Logging_2085/klagomål/A 25448-2024 FSC-klagomål.docx", "A 25448-2024")</f>
        <v/>
      </c>
      <c r="AB106">
        <f>HYPERLINK("https://klasma.github.io/Logging_2085/klagomålsmail/A 25448-2024 FSC-klagomål mail.docx", "A 25448-2024")</f>
        <v/>
      </c>
      <c r="AC106">
        <f>HYPERLINK("https://klasma.github.io/Logging_2085/tillsyn/A 25448-2024 tillsynsbegäran.docx", "A 25448-2024")</f>
        <v/>
      </c>
      <c r="AD106">
        <f>HYPERLINK("https://klasma.github.io/Logging_2085/tillsynsmail/A 25448-2024 tillsynsbegäran mail.docx", "A 25448-2024")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46320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46320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46320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31352-2026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46219</v>
      </c>
      <c r="E110" s="1" t="n">
        <v>46320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Tvåblad</t>
        </is>
      </c>
      <c r="W110">
        <f>HYPERLINK("https://klasma.github.io/Logging_2085/artfynd/A 31352-2026 artfynd.xlsx", "A 31352-2026")</f>
        <v/>
      </c>
      <c r="X110">
        <f>HYPERLINK("https://klasma.github.io/Logging_2085/kartor/A 31352-2026 karta.png", "A 31352-2026")</f>
        <v/>
      </c>
      <c r="Y110">
        <f>HYPERLINK("https://klasma.github.io/Logging_2085/kartor_geotiff/A 31352-2026 georefererad karta.tif", "A 31352-2026")</f>
        <v/>
      </c>
      <c r="AA110">
        <f>HYPERLINK("https://klasma.github.io/Logging_2085/klagomål/A 31352-2026 FSC-klagomål.docx", "A 31352-2026")</f>
        <v/>
      </c>
      <c r="AB110">
        <f>HYPERLINK("https://klasma.github.io/Logging_2085/klagomålsmail/A 31352-2026 FSC-klagomål mail.docx", "A 31352-2026")</f>
        <v/>
      </c>
      <c r="AC110">
        <f>HYPERLINK("https://klasma.github.io/Logging_2085/tillsyn/A 31352-2026 tillsynsbegäran.docx", "A 31352-2026")</f>
        <v/>
      </c>
      <c r="AD110">
        <f>HYPERLINK("https://klasma.github.io/Logging_2085/tillsynsmail/A 31352-2026 tillsynsbegäran mail.docx", "A 31352-2026")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46320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29882-2024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45486</v>
      </c>
      <c r="E112" s="1" t="n">
        <v>46320</v>
      </c>
      <c r="F112" t="inlineStr">
        <is>
          <t>DALARNAS LÄN</t>
        </is>
      </c>
      <c r="G112" t="inlineStr">
        <is>
          <t>LUDVIKA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HYPERLINK("https://klasma.github.io/Logging_2085/artfynd/A 29882-2024 artfynd.xlsx", "A 29882-2024")</f>
        <v/>
      </c>
      <c r="X112">
        <f>HYPERLINK("https://klasma.github.io/Logging_2085/kartor/A 29882-2024 karta.png", "A 29882-2024")</f>
        <v/>
      </c>
      <c r="Y112">
        <f>HYPERLINK("https://klasma.github.io/Logging_2085/kartor_geotiff/A 29882-2024 georefererad karta.tif", "A 29882-2024")</f>
        <v/>
      </c>
      <c r="AA112">
        <f>HYPERLINK("https://klasma.github.io/Logging_2085/klagomål/A 29882-2024 FSC-klagomål.docx", "A 29882-2024")</f>
        <v/>
      </c>
      <c r="AB112">
        <f>HYPERLINK("https://klasma.github.io/Logging_2085/klagomålsmail/A 29882-2024 FSC-klagomål mail.docx", "A 29882-2024")</f>
        <v/>
      </c>
      <c r="AC112">
        <f>HYPERLINK("https://klasma.github.io/Logging_2085/tillsyn/A 29882-2024 tillsynsbegäran.docx", "A 29882-2024")</f>
        <v/>
      </c>
      <c r="AD112">
        <f>HYPERLINK("https://klasma.github.io/Logging_2085/tillsynsmail/A 29882-2024 tillsynsbegäran mail.docx", "A 29882-2024")</f>
        <v/>
      </c>
      <c r="AE112">
        <f>HYPERLINK("https://klasma.github.io/Logging_2085/fåglar/A 29882-2024 prioriterade fågelarter.docx", "A 29882-2024")</f>
        <v/>
      </c>
    </row>
    <row r="113" ht="15" customHeight="1">
      <c r="A113" t="inlineStr">
        <is>
          <t>A 23102-2025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46320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0.8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groda</t>
        </is>
      </c>
      <c r="W113">
        <f>HYPERLINK("https://klasma.github.io/Logging_2085/artfynd/A 23102-2025 artfynd.xlsx", "A 23102-2025")</f>
        <v/>
      </c>
      <c r="X113">
        <f>HYPERLINK("https://klasma.github.io/Logging_2085/kartor/A 23102-2025 karta.png", "A 23102-2025")</f>
        <v/>
      </c>
      <c r="Y113">
        <f>HYPERLINK("https://klasma.github.io/Logging_2085/kartor_geotiff/A 23102-2025 georefererad karta.tif", "A 23102-2025")</f>
        <v/>
      </c>
      <c r="AA113">
        <f>HYPERLINK("https://klasma.github.io/Logging_2085/klagomål/A 23102-2025 FSC-klagomål.docx", "A 23102-2025")</f>
        <v/>
      </c>
      <c r="AB113">
        <f>HYPERLINK("https://klasma.github.io/Logging_2085/klagomålsmail/A 23102-2025 FSC-klagomål mail.docx", "A 23102-2025")</f>
        <v/>
      </c>
      <c r="AC113">
        <f>HYPERLINK("https://klasma.github.io/Logging_2085/tillsyn/A 23102-2025 tillsynsbegäran.docx", "A 23102-2025")</f>
        <v/>
      </c>
      <c r="AD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46320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33399-2026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46247</v>
      </c>
      <c r="E115" s="1" t="n">
        <v>46320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Järpe</t>
        </is>
      </c>
      <c r="W115">
        <f>HYPERLINK("https://klasma.github.io/Logging_2085/artfynd/A 33399-2026 artfynd.xlsx", "A 33399-2026")</f>
        <v/>
      </c>
      <c r="X115">
        <f>HYPERLINK("https://klasma.github.io/Logging_2085/kartor/A 33399-2026 karta.png", "A 33399-2026")</f>
        <v/>
      </c>
      <c r="Y115">
        <f>HYPERLINK("https://klasma.github.io/Logging_2085/kartor_geotiff/A 33399-2026 georefererad karta.tif", "A 33399-2026")</f>
        <v/>
      </c>
      <c r="AA115">
        <f>HYPERLINK("https://klasma.github.io/Logging_2085/klagomål/A 33399-2026 FSC-klagomål.docx", "A 33399-2026")</f>
        <v/>
      </c>
      <c r="AB115">
        <f>HYPERLINK("https://klasma.github.io/Logging_2085/klagomålsmail/A 33399-2026 FSC-klagomål mail.docx", "A 33399-2026")</f>
        <v/>
      </c>
      <c r="AC115">
        <f>HYPERLINK("https://klasma.github.io/Logging_2085/tillsyn/A 33399-2026 tillsynsbegäran.docx", "A 33399-2026")</f>
        <v/>
      </c>
      <c r="AD115">
        <f>HYPERLINK("https://klasma.github.io/Logging_2085/tillsynsmail/A 33399-2026 tillsynsbegäran mail.docx", "A 33399-2026")</f>
        <v/>
      </c>
      <c r="AE115">
        <f>HYPERLINK("https://klasma.github.io/Logging_2085/fåglar/A 33399-2026 prioriterade fågelarter.docx", "A 33399-2026")</f>
        <v/>
      </c>
    </row>
    <row r="116" ht="15" customHeight="1">
      <c r="A116" t="inlineStr">
        <is>
          <t>A 29733-2025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46320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10.4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Stuplav</t>
        </is>
      </c>
      <c r="W116">
        <f>HYPERLINK("https://klasma.github.io/Logging_2085/artfynd/A 29733-2025 artfynd.xlsx", "A 29733-2025")</f>
        <v/>
      </c>
      <c r="X116">
        <f>HYPERLINK("https://klasma.github.io/Logging_2085/kartor/A 29733-2025 karta.png", "A 29733-2025")</f>
        <v/>
      </c>
      <c r="Y116">
        <f>HYPERLINK("https://klasma.github.io/Logging_2085/kartor_geotiff/A 29733-2025 georefererad karta.tif", "A 29733-2025")</f>
        <v/>
      </c>
      <c r="AA116">
        <f>HYPERLINK("https://klasma.github.io/Logging_2085/klagomål/A 29733-2025 FSC-klagomål.docx", "A 29733-2025")</f>
        <v/>
      </c>
      <c r="AB116">
        <f>HYPERLINK("https://klasma.github.io/Logging_2085/klagomålsmail/A 29733-2025 FSC-klagomål mail.docx", "A 29733-2025")</f>
        <v/>
      </c>
      <c r="AC116">
        <f>HYPERLINK("https://klasma.github.io/Logging_2085/tillsyn/A 29733-2025 tillsynsbegäran.docx", "A 29733-2025")</f>
        <v/>
      </c>
      <c r="AD116">
        <f>HYPERLINK("https://klasma.github.io/Logging_2085/tillsynsmail/A 29733-2025 tillsynsbegäran mail.docx", "A 29733-2025")</f>
        <v/>
      </c>
    </row>
    <row r="117" ht="15" customHeight="1">
      <c r="A117" t="inlineStr">
        <is>
          <t>A 74401-2021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46320</v>
      </c>
      <c r="F117" t="inlineStr">
        <is>
          <t>DALARNAS LÄN</t>
        </is>
      </c>
      <c r="G117" t="inlineStr">
        <is>
          <t>LUDVIKA</t>
        </is>
      </c>
      <c r="H117" t="inlineStr">
        <is>
          <t>Kommuner</t>
        </is>
      </c>
      <c r="I117" t="n">
        <v>0.6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Gullgröppa</t>
        </is>
      </c>
      <c r="W117">
        <f>HYPERLINK("https://klasma.github.io/Logging_2085/artfynd/A 74401-2021 artfynd.xlsx", "A 74401-2021")</f>
        <v/>
      </c>
      <c r="X117">
        <f>HYPERLINK("https://klasma.github.io/Logging_2085/kartor/A 74401-2021 karta.png", "A 74401-2021")</f>
        <v/>
      </c>
      <c r="Y117">
        <f>HYPERLINK("https://klasma.github.io/Logging_2085/kartor_geotiff/A 74401-2021 georefererad karta.tif", "A 74401-2021")</f>
        <v/>
      </c>
      <c r="AA117">
        <f>HYPERLINK("https://klasma.github.io/Logging_2085/klagomål/A 74401-2021 FSC-klagomål.docx", "A 74401-2021")</f>
        <v/>
      </c>
      <c r="AB117">
        <f>HYPERLINK("https://klasma.github.io/Logging_2085/klagomålsmail/A 74401-2021 FSC-klagomål mail.docx", "A 74401-2021")</f>
        <v/>
      </c>
      <c r="AC117">
        <f>HYPERLINK("https://klasma.github.io/Logging_2085/tillsyn/A 74401-2021 tillsynsbegäran.docx", "A 74401-2021")</f>
        <v/>
      </c>
      <c r="AD117">
        <f>HYPERLINK("https://klasma.github.io/Logging_2085/tillsynsmail/A 74401-2021 tillsynsbegäran mail.docx", "A 74401-2021")</f>
        <v/>
      </c>
    </row>
    <row r="118" ht="15" customHeight="1">
      <c r="A118" t="inlineStr">
        <is>
          <t>A 35652-2026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46265</v>
      </c>
      <c r="E118" s="1" t="n">
        <v>46320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Garnlav</t>
        </is>
      </c>
      <c r="W118">
        <f>HYPERLINK("https://klasma.github.io/Logging_2085/artfynd/A 35652-2026 artfynd.xlsx", "A 35652-2026")</f>
        <v/>
      </c>
      <c r="X118">
        <f>HYPERLINK("https://klasma.github.io/Logging_2085/kartor/A 35652-2026 karta.png", "A 35652-2026")</f>
        <v/>
      </c>
      <c r="Y118">
        <f>HYPERLINK("https://klasma.github.io/Logging_2085/kartor_geotiff/A 35652-2026 georefererad karta.tif", "A 35652-2026")</f>
        <v/>
      </c>
      <c r="AA118">
        <f>HYPERLINK("https://klasma.github.io/Logging_2085/klagomål/A 35652-2026 FSC-klagomål.docx", "A 35652-2026")</f>
        <v/>
      </c>
      <c r="AB118">
        <f>HYPERLINK("https://klasma.github.io/Logging_2085/klagomålsmail/A 35652-2026 FSC-klagomål mail.docx", "A 35652-2026")</f>
        <v/>
      </c>
      <c r="AC118">
        <f>HYPERLINK("https://klasma.github.io/Logging_2085/tillsyn/A 35652-2026 tillsynsbegäran.docx", "A 35652-2026")</f>
        <v/>
      </c>
      <c r="AD118">
        <f>HYPERLINK("https://klasma.github.io/Logging_2085/tillsynsmail/A 35652-2026 tillsynsbegäran mail.docx", "A 35652-2026")</f>
        <v/>
      </c>
    </row>
    <row r="119" ht="15" customHeight="1">
      <c r="A119" t="inlineStr">
        <is>
          <t>A 49660-2024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45596</v>
      </c>
      <c r="E119" s="1" t="n">
        <v>46320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Mörk husmossa</t>
        </is>
      </c>
      <c r="W119">
        <f>HYPERLINK("https://klasma.github.io/Logging_2085/artfynd/A 49660-2024 artfynd.xlsx", "A 49660-2024")</f>
        <v/>
      </c>
      <c r="X119">
        <f>HYPERLINK("https://klasma.github.io/Logging_2085/kartor/A 49660-2024 karta.png", "A 49660-2024")</f>
        <v/>
      </c>
      <c r="Y119">
        <f>HYPERLINK("https://klasma.github.io/Logging_2085/kartor_geotiff/A 49660-2024 georefererad karta.tif", "A 49660-2024")</f>
        <v/>
      </c>
      <c r="AA119">
        <f>HYPERLINK("https://klasma.github.io/Logging_2085/klagomål/A 49660-2024 FSC-klagomål.docx", "A 49660-2024")</f>
        <v/>
      </c>
      <c r="AB119">
        <f>HYPERLINK("https://klasma.github.io/Logging_2085/klagomålsmail/A 49660-2024 FSC-klagomål mail.docx", "A 49660-2024")</f>
        <v/>
      </c>
      <c r="AC119">
        <f>HYPERLINK("https://klasma.github.io/Logging_2085/tillsyn/A 49660-2024 tillsynsbegäran.docx", "A 49660-2024")</f>
        <v/>
      </c>
      <c r="AD119">
        <f>HYPERLINK("https://klasma.github.io/Logging_2085/tillsynsmail/A 49660-2024 tillsynsbegäran mail.docx", "A 49660-2024")</f>
        <v/>
      </c>
    </row>
    <row r="120" ht="15" customHeight="1">
      <c r="A120" t="inlineStr">
        <is>
          <t>A 36478-2026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46269</v>
      </c>
      <c r="E120" s="1" t="n">
        <v>46320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Skogsalm</t>
        </is>
      </c>
      <c r="W120">
        <f>HYPERLINK("https://klasma.github.io/Logging_2085/artfynd/A 36478-2026 artfynd.xlsx", "A 36478-2026")</f>
        <v/>
      </c>
      <c r="X120">
        <f>HYPERLINK("https://klasma.github.io/Logging_2085/kartor/A 36478-2026 karta.png", "A 36478-2026")</f>
        <v/>
      </c>
      <c r="Y120">
        <f>HYPERLINK("https://klasma.github.io/Logging_2085/kartor_geotiff/A 36478-2026 georefererad karta.tif", "A 36478-2026")</f>
        <v/>
      </c>
      <c r="AA120">
        <f>HYPERLINK("https://klasma.github.io/Logging_2085/klagomål/A 36478-2026 FSC-klagomål.docx", "A 36478-2026")</f>
        <v/>
      </c>
      <c r="AB120">
        <f>HYPERLINK("https://klasma.github.io/Logging_2085/klagomålsmail/A 36478-2026 FSC-klagomål mail.docx", "A 36478-2026")</f>
        <v/>
      </c>
      <c r="AC120">
        <f>HYPERLINK("https://klasma.github.io/Logging_2085/tillsyn/A 36478-2026 tillsynsbegäran.docx", "A 36478-2026")</f>
        <v/>
      </c>
      <c r="AD120">
        <f>HYPERLINK("https://klasma.github.io/Logging_2085/tillsynsmail/A 36478-2026 tillsynsbegäran mail.docx", "A 36478-2026")</f>
        <v/>
      </c>
    </row>
    <row r="121" ht="15" customHeight="1">
      <c r="A121" t="inlineStr">
        <is>
          <t>A 43248-2026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46314</v>
      </c>
      <c r="E121" s="1" t="n">
        <v>46320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HYPERLINK("https://klasma.github.io/Logging_2085/artfynd/A 43248-2026 artfynd.xlsx", "A 43248-2026")</f>
        <v/>
      </c>
      <c r="X121">
        <f>HYPERLINK("https://klasma.github.io/Logging_2085/kartor/A 43248-2026 karta.png", "A 43248-2026")</f>
        <v/>
      </c>
      <c r="Y121">
        <f>HYPERLINK("https://klasma.github.io/Logging_2085/kartor_geotiff/A 43248-2026 georefererad karta.tif", "A 43248-2026")</f>
        <v/>
      </c>
      <c r="AA121">
        <f>HYPERLINK("https://klasma.github.io/Logging_2085/klagomål/A 43248-2026 FSC-klagomål.docx", "A 43248-2026")</f>
        <v/>
      </c>
      <c r="AB121">
        <f>HYPERLINK("https://klasma.github.io/Logging_2085/klagomålsmail/A 43248-2026 FSC-klagomål mail.docx", "A 43248-2026")</f>
        <v/>
      </c>
      <c r="AC121">
        <f>HYPERLINK("https://klasma.github.io/Logging_2085/tillsyn/A 43248-2026 tillsynsbegäran.docx", "A 43248-2026")</f>
        <v/>
      </c>
      <c r="AD121">
        <f>HYPERLINK("https://klasma.github.io/Logging_2085/tillsynsmail/A 43248-2026 tillsynsbegäran mail.docx", "A 43248-2026")</f>
        <v/>
      </c>
    </row>
    <row r="122" ht="15" customHeight="1">
      <c r="A122" t="inlineStr">
        <is>
          <t>A 55550-2022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44888</v>
      </c>
      <c r="E122" s="1" t="n">
        <v>46320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Ögonpyrola</t>
        </is>
      </c>
      <c r="W122">
        <f>HYPERLINK("https://klasma.github.io/Logging_2085/artfynd/A 55550-2022 artfynd.xlsx", "A 55550-2022")</f>
        <v/>
      </c>
      <c r="X122">
        <f>HYPERLINK("https://klasma.github.io/Logging_2085/kartor/A 55550-2022 karta.png", "A 55550-2022")</f>
        <v/>
      </c>
      <c r="Y122">
        <f>HYPERLINK("https://klasma.github.io/Logging_2085/kartor_geotiff/A 55550-2022 georefererad karta.tif", "A 55550-2022")</f>
        <v/>
      </c>
      <c r="AA122">
        <f>HYPERLINK("https://klasma.github.io/Logging_2085/klagomål/A 55550-2022 FSC-klagomål.docx", "A 55550-2022")</f>
        <v/>
      </c>
      <c r="AB122">
        <f>HYPERLINK("https://klasma.github.io/Logging_2085/klagomålsmail/A 55550-2022 FSC-klagomål mail.docx", "A 55550-2022")</f>
        <v/>
      </c>
      <c r="AC122">
        <f>HYPERLINK("https://klasma.github.io/Logging_2085/tillsyn/A 55550-2022 tillsynsbegäran.docx", "A 55550-2022")</f>
        <v/>
      </c>
      <c r="AD122">
        <f>HYPERLINK("https://klasma.github.io/Logging_2085/tillsynsmail/A 55550-2022 tillsynsbegäran mail.docx", "A 55550-2022")</f>
        <v/>
      </c>
    </row>
    <row r="123" ht="15" customHeight="1">
      <c r="A123" t="inlineStr">
        <is>
          <t>A 37560-2026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46276</v>
      </c>
      <c r="E123" s="1" t="n">
        <v>46320</v>
      </c>
      <c r="F123" t="inlineStr">
        <is>
          <t>DALARNAS LÄN</t>
        </is>
      </c>
      <c r="G123" t="inlineStr">
        <is>
          <t>LUDVIKA</t>
        </is>
      </c>
      <c r="H123" t="inlineStr">
        <is>
          <t>Naturvårdsverket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HYPERLINK("https://klasma.github.io/Logging_2085/artfynd/A 37560-2026 artfynd.xlsx", "A 37560-2026")</f>
        <v/>
      </c>
      <c r="X123">
        <f>HYPERLINK("https://klasma.github.io/Logging_2085/kartor/A 37560-2026 karta.png", "A 37560-2026")</f>
        <v/>
      </c>
      <c r="Y123">
        <f>HYPERLINK("https://klasma.github.io/Logging_2085/kartor_geotiff/A 37560-2026 georefererad karta.tif", "A 37560-2026")</f>
        <v/>
      </c>
      <c r="AA123">
        <f>HYPERLINK("https://klasma.github.io/Logging_2085/klagomål/A 37560-2026 FSC-klagomål.docx", "A 37560-2026")</f>
        <v/>
      </c>
      <c r="AB123">
        <f>HYPERLINK("https://klasma.github.io/Logging_2085/klagomålsmail/A 37560-2026 FSC-klagomål mail.docx", "A 37560-2026")</f>
        <v/>
      </c>
      <c r="AC123">
        <f>HYPERLINK("https://klasma.github.io/Logging_2085/tillsyn/A 37560-2026 tillsynsbegäran.docx", "A 37560-2026")</f>
        <v/>
      </c>
      <c r="AD123">
        <f>HYPERLINK("https://klasma.github.io/Logging_2085/tillsynsmail/A 37560-2026 tillsynsbegäran mail.docx", "A 37560-2026")</f>
        <v/>
      </c>
    </row>
    <row r="124" ht="15" customHeight="1">
      <c r="A124" t="inlineStr">
        <is>
          <t>A 60787-2024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45644</v>
      </c>
      <c r="E124" s="1" t="n">
        <v>46320</v>
      </c>
      <c r="F124" t="inlineStr">
        <is>
          <t>DALARNAS LÄN</t>
        </is>
      </c>
      <c r="G124" t="inlineStr">
        <is>
          <t>LUDVIKA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HYPERLINK("https://klasma.github.io/Logging_2085/artfynd/A 60787-2024 artfynd.xlsx", "A 60787-2024")</f>
        <v/>
      </c>
      <c r="X124">
        <f>HYPERLINK("https://klasma.github.io/Logging_2085/kartor/A 60787-2024 karta.png", "A 60787-2024")</f>
        <v/>
      </c>
      <c r="Y124">
        <f>HYPERLINK("https://klasma.github.io/Logging_2085/kartor_geotiff/A 60787-2024 georefererad karta.tif", "A 60787-2024")</f>
        <v/>
      </c>
      <c r="AA124">
        <f>HYPERLINK("https://klasma.github.io/Logging_2085/klagomål/A 60787-2024 FSC-klagomål.docx", "A 60787-2024")</f>
        <v/>
      </c>
      <c r="AB124">
        <f>HYPERLINK("https://klasma.github.io/Logging_2085/klagomålsmail/A 60787-2024 FSC-klagomål mail.docx", "A 60787-2024")</f>
        <v/>
      </c>
      <c r="AC124">
        <f>HYPERLINK("https://klasma.github.io/Logging_2085/tillsyn/A 60787-2024 tillsynsbegäran.docx", "A 60787-2024")</f>
        <v/>
      </c>
      <c r="AD124">
        <f>HYPERLINK("https://klasma.github.io/Logging_2085/tillsynsmail/A 60787-2024 tillsynsbegäran mail.docx", "A 60787-2024")</f>
        <v/>
      </c>
      <c r="AE124">
        <f>HYPERLINK("https://klasma.github.io/Logging_2085/fåglar/A 60787-2024 prioriterade fågelarter.docx", "A 60787-2024")</f>
        <v/>
      </c>
    </row>
    <row r="125" ht="15" customHeight="1">
      <c r="A125" t="inlineStr">
        <is>
          <t>A 26850-2023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46320</v>
      </c>
      <c r="F125" t="inlineStr">
        <is>
          <t>DALARNAS LÄN</t>
        </is>
      </c>
      <c r="G125" t="inlineStr">
        <is>
          <t>LUDVIKA</t>
        </is>
      </c>
      <c r="H125" t="inlineStr">
        <is>
          <t>Naturvårdsverket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HYPERLINK("https://klasma.github.io/Logging_2085/artfynd/A 26850-2023 artfynd.xlsx", "A 26850-2023")</f>
        <v/>
      </c>
      <c r="X125">
        <f>HYPERLINK("https://klasma.github.io/Logging_2085/kartor/A 26850-2023 karta.png", "A 26850-2023")</f>
        <v/>
      </c>
      <c r="Y125">
        <f>HYPERLINK("https://klasma.github.io/Logging_2085/kartor_geotiff/A 26850-2023 georefererad karta.tif", "A 26850-2023")</f>
        <v/>
      </c>
      <c r="AA125">
        <f>HYPERLINK("https://klasma.github.io/Logging_2085/klagomål/A 26850-2023 FSC-klagomål.docx", "A 26850-2023")</f>
        <v/>
      </c>
      <c r="AB125">
        <f>HYPERLINK("https://klasma.github.io/Logging_2085/klagomålsmail/A 26850-2023 FSC-klagomål mail.docx", "A 26850-2023")</f>
        <v/>
      </c>
      <c r="AC125">
        <f>HYPERLINK("https://klasma.github.io/Logging_2085/tillsyn/A 26850-2023 tillsynsbegäran.docx", "A 26850-2023")</f>
        <v/>
      </c>
      <c r="AD125">
        <f>HYPERLINK("https://klasma.github.io/Logging_2085/tillsynsmail/A 26850-2023 tillsynsbegäran mail.docx", "A 26850-2023")</f>
        <v/>
      </c>
    </row>
    <row r="126" ht="15" customHeight="1">
      <c r="A126" t="inlineStr">
        <is>
          <t>A 400-2023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46320</v>
      </c>
      <c r="F126" t="inlineStr">
        <is>
          <t>DALARNAS LÄN</t>
        </is>
      </c>
      <c r="G126" t="inlineStr">
        <is>
          <t>LUDVIKA</t>
        </is>
      </c>
      <c r="I126" t="n">
        <v>3.6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Nordfladdermus</t>
        </is>
      </c>
      <c r="W126">
        <f>HYPERLINK("https://klasma.github.io/Logging_2085/artfynd/A 400-2023 artfynd.xlsx", "A 400-2023")</f>
        <v/>
      </c>
      <c r="X126">
        <f>HYPERLINK("https://klasma.github.io/Logging_2085/kartor/A 400-2023 karta.png", "A 400-2023")</f>
        <v/>
      </c>
      <c r="Y126">
        <f>HYPERLINK("https://klasma.github.io/Logging_2085/kartor_geotiff/A 400-2023 georefererad karta.tif", "A 400-2023")</f>
        <v/>
      </c>
      <c r="AA126">
        <f>HYPERLINK("https://klasma.github.io/Logging_2085/klagomål/A 400-2023 FSC-klagomål.docx", "A 400-2023")</f>
        <v/>
      </c>
      <c r="AB126">
        <f>HYPERLINK("https://klasma.github.io/Logging_2085/klagomålsmail/A 400-2023 FSC-klagomål mail.docx", "A 400-2023")</f>
        <v/>
      </c>
      <c r="AC126">
        <f>HYPERLINK("https://klasma.github.io/Logging_2085/tillsyn/A 400-2023 tillsynsbegäran.docx", "A 400-2023")</f>
        <v/>
      </c>
      <c r="AD126">
        <f>HYPERLINK("https://klasma.github.io/Logging_2085/tillsynsmail/A 400-2023 tillsynsbegäran mail.docx", "A 400-2023")</f>
        <v/>
      </c>
    </row>
    <row r="127" ht="15" customHeight="1">
      <c r="A127" t="inlineStr">
        <is>
          <t>A 31478-2023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46320</v>
      </c>
      <c r="F127" t="inlineStr">
        <is>
          <t>DALARNAS LÄN</t>
        </is>
      </c>
      <c r="G127" t="inlineStr">
        <is>
          <t>LUDVIKA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HYPERLINK("https://klasma.github.io/Logging_2085/artfynd/A 31478-2023 artfynd.xlsx", "A 31478-2023")</f>
        <v/>
      </c>
      <c r="X127">
        <f>HYPERLINK("https://klasma.github.io/Logging_2085/kartor/A 31478-2023 karta.png", "A 31478-2023")</f>
        <v/>
      </c>
      <c r="Y127">
        <f>HYPERLINK("https://klasma.github.io/Logging_2085/kartor_geotiff/A 31478-2023 georefererad karta.tif", "A 31478-2023")</f>
        <v/>
      </c>
      <c r="AA127">
        <f>HYPERLINK("https://klasma.github.io/Logging_2085/klagomål/A 31478-2023 FSC-klagomål.docx", "A 31478-2023")</f>
        <v/>
      </c>
      <c r="AB127">
        <f>HYPERLINK("https://klasma.github.io/Logging_2085/klagomålsmail/A 31478-2023 FSC-klagomål mail.docx", "A 31478-2023")</f>
        <v/>
      </c>
      <c r="AC127">
        <f>HYPERLINK("https://klasma.github.io/Logging_2085/tillsyn/A 31478-2023 tillsynsbegäran.docx", "A 31478-2023")</f>
        <v/>
      </c>
      <c r="AD127">
        <f>HYPERLINK("https://klasma.github.io/Logging_2085/tillsynsmail/A 31478-2023 tillsynsbegäran mail.docx", "A 31478-2023")</f>
        <v/>
      </c>
    </row>
    <row r="128" ht="15" customHeight="1">
      <c r="A128" t="inlineStr">
        <is>
          <t>A 6579-2023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44960</v>
      </c>
      <c r="E128" s="1" t="n">
        <v>46320</v>
      </c>
      <c r="F128" t="inlineStr">
        <is>
          <t>DALARNAS LÄN</t>
        </is>
      </c>
      <c r="G128" t="inlineStr">
        <is>
          <t>LUDVIKA</t>
        </is>
      </c>
      <c r="I128" t="n">
        <v>3.4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Blomkålssvamp</t>
        </is>
      </c>
      <c r="W128">
        <f>HYPERLINK("https://klasma.github.io/Logging_2085/artfynd/A 6579-2023 artfynd.xlsx", "A 6579-2023")</f>
        <v/>
      </c>
      <c r="X128">
        <f>HYPERLINK("https://klasma.github.io/Logging_2085/kartor/A 6579-2023 karta.png", "A 6579-2023")</f>
        <v/>
      </c>
      <c r="Y128">
        <f>HYPERLINK("https://klasma.github.io/Logging_2085/kartor_geotiff/A 6579-2023 georefererad karta.tif", "A 6579-2023")</f>
        <v/>
      </c>
      <c r="AA128">
        <f>HYPERLINK("https://klasma.github.io/Logging_2085/klagomål/A 6579-2023 FSC-klagomål.docx", "A 6579-2023")</f>
        <v/>
      </c>
      <c r="AB128">
        <f>HYPERLINK("https://klasma.github.io/Logging_2085/klagomålsmail/A 6579-2023 FSC-klagomål mail.docx", "A 6579-2023")</f>
        <v/>
      </c>
      <c r="AC128">
        <f>HYPERLINK("https://klasma.github.io/Logging_2085/tillsyn/A 6579-2023 tillsynsbegäran.docx", "A 6579-2023")</f>
        <v/>
      </c>
      <c r="AD128">
        <f>HYPERLINK("https://klasma.github.io/Logging_2085/tillsynsmail/A 6579-2023 tillsynsbegäran mail.docx", "A 6579-2023")</f>
        <v/>
      </c>
    </row>
    <row r="129" ht="15" customHeight="1">
      <c r="A129" t="inlineStr">
        <is>
          <t>A 44578-2023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45189</v>
      </c>
      <c r="E129" s="1" t="n">
        <v>46320</v>
      </c>
      <c r="F129" t="inlineStr">
        <is>
          <t>DALARNAS LÄN</t>
        </is>
      </c>
      <c r="G129" t="inlineStr">
        <is>
          <t>LUDVIKA</t>
        </is>
      </c>
      <c r="H129" t="inlineStr">
        <is>
          <t>Övriga Aktiebolag</t>
        </is>
      </c>
      <c r="I129" t="n">
        <v>12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HYPERLINK("https://klasma.github.io/Logging_2085/artfynd/A 44578-2023 artfynd.xlsx", "A 44578-2023")</f>
        <v/>
      </c>
      <c r="X129">
        <f>HYPERLINK("https://klasma.github.io/Logging_2085/kartor/A 44578-2023 karta.png", "A 44578-2023")</f>
        <v/>
      </c>
      <c r="Y129">
        <f>HYPERLINK("https://klasma.github.io/Logging_2085/kartor_geotiff/A 44578-2023 georefererad karta.tif", "A 44578-2023")</f>
        <v/>
      </c>
      <c r="AA129">
        <f>HYPERLINK("https://klasma.github.io/Logging_2085/klagomål/A 44578-2023 FSC-klagomål.docx", "A 44578-2023")</f>
        <v/>
      </c>
      <c r="AB129">
        <f>HYPERLINK("https://klasma.github.io/Logging_2085/klagomålsmail/A 44578-2023 FSC-klagomål mail.docx", "A 44578-2023")</f>
        <v/>
      </c>
      <c r="AC129">
        <f>HYPERLINK("https://klasma.github.io/Logging_2085/tillsyn/A 44578-2023 tillsynsbegäran.docx", "A 44578-2023")</f>
        <v/>
      </c>
      <c r="AD129">
        <f>HYPERLINK("https://klasma.github.io/Logging_2085/tillsynsmail/A 44578-2023 tillsynsbegäran mail.docx", "A 44578-2023")</f>
        <v/>
      </c>
    </row>
    <row r="130" ht="15" customHeight="1">
      <c r="A130" t="inlineStr">
        <is>
          <t>A 17987-2025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46320</v>
      </c>
      <c r="F130" t="inlineStr">
        <is>
          <t>DALARNAS LÄN</t>
        </is>
      </c>
      <c r="G130" t="inlineStr">
        <is>
          <t>LUDVIKA</t>
        </is>
      </c>
      <c r="I130" t="n">
        <v>0.5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Talltita</t>
        </is>
      </c>
      <c r="W130">
        <f>HYPERLINK("https://klasma.github.io/Logging_2085/artfynd/A 17987-2025 artfynd.xlsx", "A 17987-2025")</f>
        <v/>
      </c>
      <c r="X130">
        <f>HYPERLINK("https://klasma.github.io/Logging_2085/kartor/A 17987-2025 karta.png", "A 17987-2025")</f>
        <v/>
      </c>
      <c r="Y130">
        <f>HYPERLINK("https://klasma.github.io/Logging_2085/kartor_geotiff/A 17987-2025 georefererad karta.tif", "A 17987-2025")</f>
        <v/>
      </c>
      <c r="AA130">
        <f>HYPERLINK("https://klasma.github.io/Logging_2085/klagomål/A 17987-2025 FSC-klagomål.docx", "A 17987-2025")</f>
        <v/>
      </c>
      <c r="AB130">
        <f>HYPERLINK("https://klasma.github.io/Logging_2085/klagomålsmail/A 17987-2025 FSC-klagomål mail.docx", "A 17987-2025")</f>
        <v/>
      </c>
      <c r="AC130">
        <f>HYPERLINK("https://klasma.github.io/Logging_2085/tillsyn/A 17987-2025 tillsynsbegäran.docx", "A 17987-2025")</f>
        <v/>
      </c>
      <c r="AD130">
        <f>HYPERLINK("https://klasma.github.io/Logging_2085/tillsynsmail/A 17987-2025 tillsynsbegäran mail.docx", "A 17987-2025")</f>
        <v/>
      </c>
      <c r="AE130">
        <f>HYPERLINK("https://klasma.github.io/Logging_2085/fåglar/A 17987-2025 prioriterade fågelarter.docx", "A 17987-2025")</f>
        <v/>
      </c>
    </row>
    <row r="131" ht="15" customHeight="1">
      <c r="A131" t="inlineStr">
        <is>
          <t>A 25588-2023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46320</v>
      </c>
      <c r="F131" t="inlineStr">
        <is>
          <t>DALARNAS LÄN</t>
        </is>
      </c>
      <c r="G131" t="inlineStr">
        <is>
          <t>LUDVIKA</t>
        </is>
      </c>
      <c r="I131" t="n">
        <v>9.4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Garnlav</t>
        </is>
      </c>
      <c r="W131">
        <f>HYPERLINK("https://klasma.github.io/Logging_2085/artfynd/A 25588-2023 artfynd.xlsx", "A 25588-2023")</f>
        <v/>
      </c>
      <c r="X131">
        <f>HYPERLINK("https://klasma.github.io/Logging_2085/kartor/A 25588-2023 karta.png", "A 25588-2023")</f>
        <v/>
      </c>
      <c r="Y131">
        <f>HYPERLINK("https://klasma.github.io/Logging_2085/kartor_geotiff/A 25588-2023 georefererad karta.tif", "A 25588-2023")</f>
        <v/>
      </c>
      <c r="AA131">
        <f>HYPERLINK("https://klasma.github.io/Logging_2085/klagomål/A 25588-2023 FSC-klagomål.docx", "A 25588-2023")</f>
        <v/>
      </c>
      <c r="AB131">
        <f>HYPERLINK("https://klasma.github.io/Logging_2085/klagomålsmail/A 25588-2023 FSC-klagomål mail.docx", "A 25588-2023")</f>
        <v/>
      </c>
      <c r="AC131">
        <f>HYPERLINK("https://klasma.github.io/Logging_2085/tillsyn/A 25588-2023 tillsynsbegäran.docx", "A 25588-2023")</f>
        <v/>
      </c>
      <c r="AD131">
        <f>HYPERLINK("https://klasma.github.io/Logging_2085/tillsynsmail/A 25588-2023 tillsynsbegäran mail.docx", "A 25588-2023")</f>
        <v/>
      </c>
    </row>
    <row r="132" ht="15" customHeight="1">
      <c r="A132" t="inlineStr">
        <is>
          <t>A 12093-2023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44998</v>
      </c>
      <c r="E132" s="1" t="n">
        <v>46320</v>
      </c>
      <c r="F132" t="inlineStr">
        <is>
          <t>DALARNAS LÄN</t>
        </is>
      </c>
      <c r="G132" t="inlineStr">
        <is>
          <t>LUDVIKA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Bitter taggsvamp</t>
        </is>
      </c>
      <c r="W132">
        <f>HYPERLINK("https://klasma.github.io/Logging_2085/artfynd/A 12093-2023 artfynd.xlsx", "A 12093-2023")</f>
        <v/>
      </c>
      <c r="X132">
        <f>HYPERLINK("https://klasma.github.io/Logging_2085/kartor/A 12093-2023 karta.png", "A 12093-2023")</f>
        <v/>
      </c>
      <c r="Y132">
        <f>HYPERLINK("https://klasma.github.io/Logging_2085/kartor_geotiff/A 12093-2023 georefererad karta.tif", "A 12093-2023")</f>
        <v/>
      </c>
      <c r="AA132">
        <f>HYPERLINK("https://klasma.github.io/Logging_2085/klagomål/A 12093-2023 FSC-klagomål.docx", "A 12093-2023")</f>
        <v/>
      </c>
      <c r="AB132">
        <f>HYPERLINK("https://klasma.github.io/Logging_2085/klagomålsmail/A 12093-2023 FSC-klagomål mail.docx", "A 12093-2023")</f>
        <v/>
      </c>
      <c r="AC132">
        <f>HYPERLINK("https://klasma.github.io/Logging_2085/tillsyn/A 12093-2023 tillsynsbegäran.docx", "A 12093-2023")</f>
        <v/>
      </c>
      <c r="AD132">
        <f>HYPERLINK("https://klasma.github.io/Logging_2085/tillsynsmail/A 12093-2023 tillsynsbegäran mail.docx", "A 12093-2023")</f>
        <v/>
      </c>
    </row>
    <row r="133" ht="15" customHeight="1">
      <c r="A133" t="inlineStr">
        <is>
          <t>A 33560-2023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45131</v>
      </c>
      <c r="E133" s="1" t="n">
        <v>46320</v>
      </c>
      <c r="F133" t="inlineStr">
        <is>
          <t>DALARNAS LÄN</t>
        </is>
      </c>
      <c r="G133" t="inlineStr">
        <is>
          <t>LUDVIKA</t>
        </is>
      </c>
      <c r="I133" t="n">
        <v>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Mindre vattensalamander</t>
        </is>
      </c>
      <c r="W133">
        <f>HYPERLINK("https://klasma.github.io/Logging_2085/artfynd/A 33560-2023 artfynd.xlsx", "A 33560-2023")</f>
        <v/>
      </c>
      <c r="X133">
        <f>HYPERLINK("https://klasma.github.io/Logging_2085/kartor/A 33560-2023 karta.png", "A 33560-2023")</f>
        <v/>
      </c>
      <c r="Y133">
        <f>HYPERLINK("https://klasma.github.io/Logging_2085/kartor_geotiff/A 33560-2023 georefererad karta.tif", "A 33560-2023")</f>
        <v/>
      </c>
      <c r="AA133">
        <f>HYPERLINK("https://klasma.github.io/Logging_2085/klagomål/A 33560-2023 FSC-klagomål.docx", "A 33560-2023")</f>
        <v/>
      </c>
      <c r="AB133">
        <f>HYPERLINK("https://klasma.github.io/Logging_2085/klagomålsmail/A 33560-2023 FSC-klagomål mail.docx", "A 33560-2023")</f>
        <v/>
      </c>
      <c r="AC133">
        <f>HYPERLINK("https://klasma.github.io/Logging_2085/tillsyn/A 33560-2023 tillsynsbegäran.docx", "A 33560-2023")</f>
        <v/>
      </c>
      <c r="AD133">
        <f>HYPERLINK("https://klasma.github.io/Logging_2085/tillsynsmail/A 33560-2023 tillsynsbegäran mail.docx", "A 33560-2023")</f>
        <v/>
      </c>
    </row>
    <row r="134" ht="15" customHeight="1">
      <c r="A134" t="inlineStr">
        <is>
          <t>A 3687-2024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45321</v>
      </c>
      <c r="E134" s="1" t="n">
        <v>46320</v>
      </c>
      <c r="F134" t="inlineStr">
        <is>
          <t>DALARNAS LÄN</t>
        </is>
      </c>
      <c r="G134" t="inlineStr">
        <is>
          <t>LUDVIKA</t>
        </is>
      </c>
      <c r="I134" t="n">
        <v>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Nordfladdermus</t>
        </is>
      </c>
      <c r="W134">
        <f>HYPERLINK("https://klasma.github.io/Logging_2085/artfynd/A 3687-2024 artfynd.xlsx", "A 3687-2024")</f>
        <v/>
      </c>
      <c r="X134">
        <f>HYPERLINK("https://klasma.github.io/Logging_2085/kartor/A 3687-2024 karta.png", "A 3687-2024")</f>
        <v/>
      </c>
      <c r="Y134">
        <f>HYPERLINK("https://klasma.github.io/Logging_2085/kartor_geotiff/A 3687-2024 georefererad karta.tif", "A 3687-2024")</f>
        <v/>
      </c>
      <c r="AA134">
        <f>HYPERLINK("https://klasma.github.io/Logging_2085/klagomål/A 3687-2024 FSC-klagomål.docx", "A 3687-2024")</f>
        <v/>
      </c>
      <c r="AB134">
        <f>HYPERLINK("https://klasma.github.io/Logging_2085/klagomålsmail/A 3687-2024 FSC-klagomål mail.docx", "A 3687-2024")</f>
        <v/>
      </c>
      <c r="AC134">
        <f>HYPERLINK("https://klasma.github.io/Logging_2085/tillsyn/A 3687-2024 tillsynsbegäran.docx", "A 3687-2024")</f>
        <v/>
      </c>
      <c r="AD134">
        <f>HYPERLINK("https://klasma.github.io/Logging_2085/tillsynsmail/A 3687-2024 tillsynsbegäran mail.docx", "A 3687-2024")</f>
        <v/>
      </c>
    </row>
    <row r="135" ht="15" customHeight="1">
      <c r="A135" t="inlineStr">
        <is>
          <t>A 21499-2022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46320</v>
      </c>
      <c r="F135" t="inlineStr">
        <is>
          <t>DALARNAS LÄN</t>
        </is>
      </c>
      <c r="G135" t="inlineStr">
        <is>
          <t>LUDVIKA</t>
        </is>
      </c>
      <c r="I135" t="n">
        <v>4.3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Strimspindling</t>
        </is>
      </c>
      <c r="W135">
        <f>HYPERLINK("https://klasma.github.io/Logging_2085/artfynd/A 21499-2022 artfynd.xlsx", "A 21499-2022")</f>
        <v/>
      </c>
      <c r="X135">
        <f>HYPERLINK("https://klasma.github.io/Logging_2085/kartor/A 21499-2022 karta.png", "A 21499-2022")</f>
        <v/>
      </c>
      <c r="Y135">
        <f>HYPERLINK("https://klasma.github.io/Logging_2085/kartor_geotiff/A 21499-2022 georefererad karta.tif", "A 21499-2022")</f>
        <v/>
      </c>
      <c r="AA135">
        <f>HYPERLINK("https://klasma.github.io/Logging_2085/klagomål/A 21499-2022 FSC-klagomål.docx", "A 21499-2022")</f>
        <v/>
      </c>
      <c r="AB135">
        <f>HYPERLINK("https://klasma.github.io/Logging_2085/klagomålsmail/A 21499-2022 FSC-klagomål mail.docx", "A 21499-2022")</f>
        <v/>
      </c>
      <c r="AC135">
        <f>HYPERLINK("https://klasma.github.io/Logging_2085/tillsyn/A 21499-2022 tillsynsbegäran.docx", "A 21499-2022")</f>
        <v/>
      </c>
      <c r="AD135">
        <f>HYPERLINK("https://klasma.github.io/Logging_2085/tillsynsmail/A 21499-2022 tillsynsbegäran mail.docx", "A 21499-2022")</f>
        <v/>
      </c>
    </row>
    <row r="136" ht="15" customHeight="1">
      <c r="A136" t="inlineStr">
        <is>
          <t>A 18189-2025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46320</v>
      </c>
      <c r="F136" t="inlineStr">
        <is>
          <t>DALARNAS LÄN</t>
        </is>
      </c>
      <c r="G136" t="inlineStr">
        <is>
          <t>LUDVIKA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Fläcknycklar</t>
        </is>
      </c>
      <c r="W136">
        <f>HYPERLINK("https://klasma.github.io/Logging_2085/artfynd/A 18189-2025 artfynd.xlsx", "A 18189-2025")</f>
        <v/>
      </c>
      <c r="X136">
        <f>HYPERLINK("https://klasma.github.io/Logging_2085/kartor/A 18189-2025 karta.png", "A 18189-2025")</f>
        <v/>
      </c>
      <c r="Y136">
        <f>HYPERLINK("https://klasma.github.io/Logging_2085/kartor_geotiff/A 18189-2025 georefererad karta.tif", "A 18189-2025")</f>
        <v/>
      </c>
      <c r="AA136">
        <f>HYPERLINK("https://klasma.github.io/Logging_2085/klagomål/A 18189-2025 FSC-klagomål.docx", "A 18189-2025")</f>
        <v/>
      </c>
      <c r="AB136">
        <f>HYPERLINK("https://klasma.github.io/Logging_2085/klagomålsmail/A 18189-2025 FSC-klagomål mail.docx", "A 18189-2025")</f>
        <v/>
      </c>
      <c r="AC136">
        <f>HYPERLINK("https://klasma.github.io/Logging_2085/tillsyn/A 18189-2025 tillsynsbegäran.docx", "A 18189-2025")</f>
        <v/>
      </c>
      <c r="AD136">
        <f>HYPERLINK("https://klasma.github.io/Logging_2085/tillsynsmail/A 18189-2025 tillsynsbegäran mail.docx", "A 18189-2025")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46320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46320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46320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46320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46320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46320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46320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46320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46320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46320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46320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46320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46320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46320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46320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46320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46320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46320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46320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46320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46320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45813</v>
      </c>
      <c r="E158" s="1" t="n">
        <v>46320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46320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46320</v>
      </c>
      <c r="F160" t="inlineStr">
        <is>
          <t>DALARNAS LÄN</t>
        </is>
      </c>
      <c r="G160" t="inlineStr">
        <is>
          <t>LUDVIKA</t>
        </is>
      </c>
      <c r="H160" t="inlineStr">
        <is>
          <t>Övriga Aktiebolag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46320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45705</v>
      </c>
      <c r="E162" s="1" t="n">
        <v>46320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46320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46320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46320</v>
      </c>
      <c r="F165" t="inlineStr">
        <is>
          <t>DALARNAS LÄN</t>
        </is>
      </c>
      <c r="G165" t="inlineStr">
        <is>
          <t>LUDVIKA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46320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46320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46320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46320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45205</v>
      </c>
      <c r="E170" s="1" t="n">
        <v>46320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46320</v>
      </c>
      <c r="F171" t="inlineStr">
        <is>
          <t>DALARNAS LÄN</t>
        </is>
      </c>
      <c r="G171" t="inlineStr">
        <is>
          <t>LUDVIKA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46320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46320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46320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34845-2024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45526</v>
      </c>
      <c r="E175" s="1" t="n">
        <v>46320</v>
      </c>
      <c r="F175" t="inlineStr">
        <is>
          <t>DALARNAS LÄN</t>
        </is>
      </c>
      <c r="G175" t="inlineStr">
        <is>
          <t>LUDVIKA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46320</v>
      </c>
      <c r="F176" t="inlineStr">
        <is>
          <t>DALARNAS LÄN</t>
        </is>
      </c>
      <c r="G176" t="inlineStr">
        <is>
          <t>LUDVIKA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44859</v>
      </c>
      <c r="E177" s="1" t="n">
        <v>46320</v>
      </c>
      <c r="F177" t="inlineStr">
        <is>
          <t>DALARNAS LÄN</t>
        </is>
      </c>
      <c r="G177" t="inlineStr">
        <is>
          <t>LUDVIKA</t>
        </is>
      </c>
      <c r="H177" t="inlineStr">
        <is>
          <t>Naturvårdsverket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46320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44978</v>
      </c>
      <c r="E179" s="1" t="n">
        <v>46320</v>
      </c>
      <c r="F179" t="inlineStr">
        <is>
          <t>DALARNAS LÄN</t>
        </is>
      </c>
      <c r="G179" t="inlineStr">
        <is>
          <t>LUDVIKA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46320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11436-2024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45372</v>
      </c>
      <c r="E181" s="1" t="n">
        <v>46320</v>
      </c>
      <c r="F181" t="inlineStr">
        <is>
          <t>DALARNAS LÄN</t>
        </is>
      </c>
      <c r="G181" t="inlineStr">
        <is>
          <t>LUDVIKA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46320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46320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45903</v>
      </c>
      <c r="E184" s="1" t="n">
        <v>46320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49035-2024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45594</v>
      </c>
      <c r="E185" s="1" t="n">
        <v>46320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49043-2024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45594</v>
      </c>
      <c r="E186" s="1" t="n">
        <v>46320</v>
      </c>
      <c r="F186" t="inlineStr">
        <is>
          <t>DALARNAS LÄN</t>
        </is>
      </c>
      <c r="G186" t="inlineStr">
        <is>
          <t>LUDVIKA</t>
        </is>
      </c>
      <c r="H186" t="inlineStr">
        <is>
          <t>Naturvårdsverket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45043</v>
      </c>
      <c r="E187" s="1" t="n">
        <v>46320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36338-2025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45868</v>
      </c>
      <c r="E188" s="1" t="n">
        <v>46320</v>
      </c>
      <c r="F188" t="inlineStr">
        <is>
          <t>DALARNAS LÄN</t>
        </is>
      </c>
      <c r="G188" t="inlineStr">
        <is>
          <t>LUDVIKA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46320</v>
      </c>
      <c r="F189" t="inlineStr">
        <is>
          <t>DALARNAS LÄN</t>
        </is>
      </c>
      <c r="G189" t="inlineStr">
        <is>
          <t>LUDVIKA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46320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46320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46320</v>
      </c>
      <c r="F192" t="inlineStr">
        <is>
          <t>DALARNAS LÄN</t>
        </is>
      </c>
      <c r="G192" t="inlineStr">
        <is>
          <t>LUDVIKA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46320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46320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44903</v>
      </c>
      <c r="E195" s="1" t="n">
        <v>46320</v>
      </c>
      <c r="F195" t="inlineStr">
        <is>
          <t>DALARNAS LÄN</t>
        </is>
      </c>
      <c r="G195" t="inlineStr">
        <is>
          <t>LUDVIKA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46320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46320</v>
      </c>
      <c r="F197" t="inlineStr">
        <is>
          <t>DALARNAS LÄN</t>
        </is>
      </c>
      <c r="G197" t="inlineStr">
        <is>
          <t>LUDVIKA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46320</v>
      </c>
      <c r="F198" t="inlineStr">
        <is>
          <t>DALARNAS LÄN</t>
        </is>
      </c>
      <c r="G198" t="inlineStr">
        <is>
          <t>LUDVIKA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46320</v>
      </c>
      <c r="F199" t="inlineStr">
        <is>
          <t>DALARNAS LÄN</t>
        </is>
      </c>
      <c r="G199" t="inlineStr">
        <is>
          <t>LUDVIKA</t>
        </is>
      </c>
      <c r="H199" t="inlineStr">
        <is>
          <t>Övriga Aktiebolag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46320</v>
      </c>
      <c r="F200" t="inlineStr">
        <is>
          <t>DALARNAS LÄN</t>
        </is>
      </c>
      <c r="G200" t="inlineStr">
        <is>
          <t>LUDVIKA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45912</v>
      </c>
      <c r="E201" s="1" t="n">
        <v>46320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46320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46320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46320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45902</v>
      </c>
      <c r="E205" s="1" t="n">
        <v>46320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46320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46320</v>
      </c>
      <c r="F207" t="inlineStr">
        <is>
          <t>DALARNAS LÄN</t>
        </is>
      </c>
      <c r="G207" t="inlineStr">
        <is>
          <t>LUDVIKA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45161</v>
      </c>
      <c r="E208" s="1" t="n">
        <v>46320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46320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46320</v>
      </c>
      <c r="F210" t="inlineStr">
        <is>
          <t>DALARNAS LÄN</t>
        </is>
      </c>
      <c r="G210" t="inlineStr">
        <is>
          <t>LUDVIKA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46320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46320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46320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46320</v>
      </c>
      <c r="F214" t="inlineStr">
        <is>
          <t>DALARNAS LÄN</t>
        </is>
      </c>
      <c r="G214" t="inlineStr">
        <is>
          <t>LUDVIKA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46320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46320</v>
      </c>
      <c r="F216" t="inlineStr">
        <is>
          <t>DALARNAS LÄN</t>
        </is>
      </c>
      <c r="G216" t="inlineStr">
        <is>
          <t>LUDVIKA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46320</v>
      </c>
      <c r="F217" t="inlineStr">
        <is>
          <t>DALARNAS LÄN</t>
        </is>
      </c>
      <c r="G217" t="inlineStr">
        <is>
          <t>LUDVIKA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46320</v>
      </c>
      <c r="F218" t="inlineStr">
        <is>
          <t>DALARNAS LÄN</t>
        </is>
      </c>
      <c r="G218" t="inlineStr">
        <is>
          <t>LUDVIKA</t>
        </is>
      </c>
      <c r="H218" t="inlineStr">
        <is>
          <t>Naturvårdsverket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46320</v>
      </c>
      <c r="F219" t="inlineStr">
        <is>
          <t>DALARNAS LÄN</t>
        </is>
      </c>
      <c r="G219" t="inlineStr">
        <is>
          <t>LUDVIKA</t>
        </is>
      </c>
      <c r="H219" t="inlineStr">
        <is>
          <t>Naturvårdsverket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46320</v>
      </c>
      <c r="F220" t="inlineStr">
        <is>
          <t>DALARNAS LÄN</t>
        </is>
      </c>
      <c r="G220" t="inlineStr">
        <is>
          <t>LUDVIKA</t>
        </is>
      </c>
      <c r="I220" t="n">
        <v>20.8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46320</v>
      </c>
      <c r="F221" t="inlineStr">
        <is>
          <t>DALARNAS LÄN</t>
        </is>
      </c>
      <c r="G221" t="inlineStr">
        <is>
          <t>LUDVIKA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46320</v>
      </c>
      <c r="F222" t="inlineStr">
        <is>
          <t>DALARNAS LÄN</t>
        </is>
      </c>
      <c r="G222" t="inlineStr">
        <is>
          <t>LUDVIKA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46320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46320</v>
      </c>
      <c r="F224" t="inlineStr">
        <is>
          <t>DALARNAS LÄN</t>
        </is>
      </c>
      <c r="G224" t="inlineStr">
        <is>
          <t>LUDVIKA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46175</v>
      </c>
      <c r="E225" s="1" t="n">
        <v>46320</v>
      </c>
      <c r="F225" t="inlineStr">
        <is>
          <t>DALARNAS LÄN</t>
        </is>
      </c>
      <c r="G225" t="inlineStr">
        <is>
          <t>LUDVIKA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46320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46320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46320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46320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46320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46320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46320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46320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46320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46320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46320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46320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46320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46320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45450</v>
      </c>
      <c r="E240" s="1" t="n">
        <v>46320</v>
      </c>
      <c r="F240" t="inlineStr">
        <is>
          <t>DALARNAS LÄN</t>
        </is>
      </c>
      <c r="G240" t="inlineStr">
        <is>
          <t>LUDVIKA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46320</v>
      </c>
      <c r="F241" t="inlineStr">
        <is>
          <t>DALARNAS LÄN</t>
        </is>
      </c>
      <c r="G241" t="inlineStr">
        <is>
          <t>LUDVIKA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45944</v>
      </c>
      <c r="E242" s="1" t="n">
        <v>46320</v>
      </c>
      <c r="F242" t="inlineStr">
        <is>
          <t>DALARNAS LÄN</t>
        </is>
      </c>
      <c r="G242" t="inlineStr">
        <is>
          <t>LUDVIKA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46320</v>
      </c>
      <c r="F243" t="inlineStr">
        <is>
          <t>DALARNAS LÄN</t>
        </is>
      </c>
      <c r="G243" t="inlineStr">
        <is>
          <t>LUDVIKA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47496-2022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44853</v>
      </c>
      <c r="E244" s="1" t="n">
        <v>46320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46320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31702-2023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45105</v>
      </c>
      <c r="E246" s="1" t="n">
        <v>46320</v>
      </c>
      <c r="F246" t="inlineStr">
        <is>
          <t>DALARNAS LÄN</t>
        </is>
      </c>
      <c r="G246" t="inlineStr">
        <is>
          <t>LUDVIKA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46320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46320</v>
      </c>
      <c r="F248" t="inlineStr">
        <is>
          <t>DALARNAS LÄN</t>
        </is>
      </c>
      <c r="G248" t="inlineStr">
        <is>
          <t>LUDVIKA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40125-2024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45554</v>
      </c>
      <c r="E249" s="1" t="n">
        <v>46320</v>
      </c>
      <c r="F249" t="inlineStr">
        <is>
          <t>DALARNAS LÄN</t>
        </is>
      </c>
      <c r="G249" t="inlineStr">
        <is>
          <t>LUDVIKA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46320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46320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46320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52552-2025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45954</v>
      </c>
      <c r="E253" s="1" t="n">
        <v>46320</v>
      </c>
      <c r="F253" t="inlineStr">
        <is>
          <t>DALARNAS LÄN</t>
        </is>
      </c>
      <c r="G253" t="inlineStr">
        <is>
          <t>LUDVIKA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52484-2025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46320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46320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46320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52459-2025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46320</v>
      </c>
      <c r="F257" t="inlineStr">
        <is>
          <t>DALARNAS LÄN</t>
        </is>
      </c>
      <c r="G257" t="inlineStr">
        <is>
          <t>LUDVIKA</t>
        </is>
      </c>
      <c r="H257" t="inlineStr">
        <is>
          <t>Övriga Aktiebolag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46320</v>
      </c>
      <c r="F258" t="inlineStr">
        <is>
          <t>DALARNAS LÄN</t>
        </is>
      </c>
      <c r="G258" t="inlineStr">
        <is>
          <t>LUDVIKA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52491-2025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46320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46320</v>
      </c>
      <c r="F260" t="inlineStr">
        <is>
          <t>DALARNAS LÄN</t>
        </is>
      </c>
      <c r="G260" t="inlineStr">
        <is>
          <t>LUDVIKA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46320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52427-2025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45954</v>
      </c>
      <c r="E262" s="1" t="n">
        <v>46320</v>
      </c>
      <c r="F262" t="inlineStr">
        <is>
          <t>DALARNAS LÄN</t>
        </is>
      </c>
      <c r="G262" t="inlineStr">
        <is>
          <t>LUDVIKA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45481</v>
      </c>
      <c r="E263" s="1" t="n">
        <v>46320</v>
      </c>
      <c r="F263" t="inlineStr">
        <is>
          <t>DALARNAS LÄN</t>
        </is>
      </c>
      <c r="G263" t="inlineStr">
        <is>
          <t>LUDVIKA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45512</v>
      </c>
      <c r="E264" s="1" t="n">
        <v>46320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45297</v>
      </c>
      <c r="E265" s="1" t="n">
        <v>46320</v>
      </c>
      <c r="F265" t="inlineStr">
        <is>
          <t>DALARNAS LÄN</t>
        </is>
      </c>
      <c r="G265" t="inlineStr">
        <is>
          <t>LUDVIKA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46320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46320</v>
      </c>
      <c r="F267" t="inlineStr">
        <is>
          <t>DALARNAS LÄN</t>
        </is>
      </c>
      <c r="G267" t="inlineStr">
        <is>
          <t>LUDVIKA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52556-2025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45954</v>
      </c>
      <c r="E268" s="1" t="n">
        <v>46320</v>
      </c>
      <c r="F268" t="inlineStr">
        <is>
          <t>DALARNAS LÄN</t>
        </is>
      </c>
      <c r="G268" t="inlineStr">
        <is>
          <t>LUDVIKA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46320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46320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46320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46320</v>
      </c>
      <c r="F272" t="inlineStr">
        <is>
          <t>DALARNAS LÄN</t>
        </is>
      </c>
      <c r="G272" t="inlineStr">
        <is>
          <t>LUDVIKA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46320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46320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54035-2025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45963</v>
      </c>
      <c r="E275" s="1" t="n">
        <v>46320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46320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46320</v>
      </c>
      <c r="F277" t="inlineStr">
        <is>
          <t>DALARNAS LÄN</t>
        </is>
      </c>
      <c r="G277" t="inlineStr">
        <is>
          <t>LUDVIKA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46320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46320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46320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54341-2025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45965</v>
      </c>
      <c r="E281" s="1" t="n">
        <v>46320</v>
      </c>
      <c r="F281" t="inlineStr">
        <is>
          <t>DALARNAS LÄN</t>
        </is>
      </c>
      <c r="G281" t="inlineStr">
        <is>
          <t>LUDVIKA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27609-2026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46320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46320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46320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46320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20.6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45602</v>
      </c>
      <c r="E286" s="1" t="n">
        <v>46320</v>
      </c>
      <c r="F286" t="inlineStr">
        <is>
          <t>DALARNAS LÄN</t>
        </is>
      </c>
      <c r="G286" t="inlineStr">
        <is>
          <t>LUDVIKA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45968</v>
      </c>
      <c r="E287" s="1" t="n">
        <v>46320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46320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46320</v>
      </c>
      <c r="F289" t="inlineStr">
        <is>
          <t>DALARNAS LÄN</t>
        </is>
      </c>
      <c r="G289" t="inlineStr">
        <is>
          <t>LUDVIKA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46320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46320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46320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28507-2023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46320</v>
      </c>
      <c r="F293" t="inlineStr">
        <is>
          <t>DALARNAS LÄN</t>
        </is>
      </c>
      <c r="G293" t="inlineStr">
        <is>
          <t>LUDVIKA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46320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46320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46320</v>
      </c>
      <c r="F296" t="inlineStr">
        <is>
          <t>DALARNAS LÄN</t>
        </is>
      </c>
      <c r="G296" t="inlineStr">
        <is>
          <t>LUDVIKA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46320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45974</v>
      </c>
      <c r="E298" s="1" t="n">
        <v>46320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56178-2025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46320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46320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46320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46320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46320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46320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46320</v>
      </c>
      <c r="F305" t="inlineStr">
        <is>
          <t>DALARNAS LÄN</t>
        </is>
      </c>
      <c r="G305" t="inlineStr">
        <is>
          <t>LUDVIKA</t>
        </is>
      </c>
      <c r="H305" t="inlineStr">
        <is>
          <t>Naturvårdsverket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46320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46320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46320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45680</v>
      </c>
      <c r="E309" s="1" t="n">
        <v>46320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46320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46320</v>
      </c>
      <c r="F311" t="inlineStr">
        <is>
          <t>DALARNAS LÄN</t>
        </is>
      </c>
      <c r="G311" t="inlineStr">
        <is>
          <t>LUDVIKA</t>
        </is>
      </c>
      <c r="H311" t="inlineStr">
        <is>
          <t>Naturvårdsverket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46320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46320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46320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46320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46320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45579</v>
      </c>
      <c r="E317" s="1" t="n">
        <v>46320</v>
      </c>
      <c r="F317" t="inlineStr">
        <is>
          <t>DALARNAS LÄN</t>
        </is>
      </c>
      <c r="G317" t="inlineStr">
        <is>
          <t>LUDVIKA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46320</v>
      </c>
      <c r="F318" t="inlineStr">
        <is>
          <t>DALARNAS LÄN</t>
        </is>
      </c>
      <c r="G318" t="inlineStr">
        <is>
          <t>LUDVIKA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46320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46205</v>
      </c>
      <c r="E320" s="1" t="n">
        <v>46320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46320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20974-2026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46320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45317</v>
      </c>
      <c r="E323" s="1" t="n">
        <v>46320</v>
      </c>
      <c r="F323" t="inlineStr">
        <is>
          <t>DALARNAS LÄN</t>
        </is>
      </c>
      <c r="G323" t="inlineStr">
        <is>
          <t>LUDVIKA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47086-2025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46320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47032-2025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46320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46320</v>
      </c>
      <c r="F326" t="inlineStr">
        <is>
          <t>DALARNAS LÄN</t>
        </is>
      </c>
      <c r="G326" t="inlineStr">
        <is>
          <t>LUDVIKA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46320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12497-2024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45379</v>
      </c>
      <c r="E328" s="1" t="n">
        <v>46320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46320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46320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45909</v>
      </c>
      <c r="E331" s="1" t="n">
        <v>46320</v>
      </c>
      <c r="F331" t="inlineStr">
        <is>
          <t>DALARNAS LÄN</t>
        </is>
      </c>
      <c r="G331" t="inlineStr">
        <is>
          <t>LUDVIKA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46320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46320</v>
      </c>
      <c r="F333" t="inlineStr">
        <is>
          <t>DALARNAS LÄN</t>
        </is>
      </c>
      <c r="G333" t="inlineStr">
        <is>
          <t>LUDVIKA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28062-2026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46195</v>
      </c>
      <c r="E334" s="1" t="n">
        <v>46320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46320</v>
      </c>
      <c r="F335" t="inlineStr">
        <is>
          <t>DALARNAS LÄN</t>
        </is>
      </c>
      <c r="G335" t="inlineStr">
        <is>
          <t>LUDVIKA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45989</v>
      </c>
      <c r="E336" s="1" t="n">
        <v>46320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46320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46320</v>
      </c>
      <c r="F338" t="inlineStr">
        <is>
          <t>DALARNAS LÄN</t>
        </is>
      </c>
      <c r="G338" t="inlineStr">
        <is>
          <t>LUDVIKA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46320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46320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28132-2026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46195</v>
      </c>
      <c r="E341" s="1" t="n">
        <v>46320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46320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46320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60454-2025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46320</v>
      </c>
      <c r="F344" t="inlineStr">
        <is>
          <t>DALARNAS LÄN</t>
        </is>
      </c>
      <c r="G344" t="inlineStr">
        <is>
          <t>LUDVIKA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45995</v>
      </c>
      <c r="E345" s="1" t="n">
        <v>46320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46320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46195</v>
      </c>
      <c r="E347" s="1" t="n">
        <v>46320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46320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46320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46320</v>
      </c>
      <c r="F350" t="inlineStr">
        <is>
          <t>DALARNAS LÄN</t>
        </is>
      </c>
      <c r="G350" t="inlineStr">
        <is>
          <t>LUDVIKA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3280-2024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45317</v>
      </c>
      <c r="E351" s="1" t="n">
        <v>46320</v>
      </c>
      <c r="F351" t="inlineStr">
        <is>
          <t>DALARNAS LÄN</t>
        </is>
      </c>
      <c r="G351" t="inlineStr">
        <is>
          <t>LUDVIKA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46320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46320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46320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46320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46320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46320</v>
      </c>
      <c r="F357" t="inlineStr">
        <is>
          <t>DALARNAS LÄN</t>
        </is>
      </c>
      <c r="G357" t="inlineStr">
        <is>
          <t>LUDVIKA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46320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46320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46217</v>
      </c>
      <c r="E360" s="1" t="n">
        <v>46320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46218</v>
      </c>
      <c r="E361" s="1" t="n">
        <v>46320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46219</v>
      </c>
      <c r="E362" s="1" t="n">
        <v>46320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54730-2022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46320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45485</v>
      </c>
      <c r="E364" s="1" t="n">
        <v>46320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45743</v>
      </c>
      <c r="E365" s="1" t="n">
        <v>46320</v>
      </c>
      <c r="F365" t="inlineStr">
        <is>
          <t>DALARNAS LÄN</t>
        </is>
      </c>
      <c r="G365" t="inlineStr">
        <is>
          <t>LUDVIKA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46320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46320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46225</v>
      </c>
      <c r="E368" s="1" t="n">
        <v>46320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46320</v>
      </c>
      <c r="F369" t="inlineStr">
        <is>
          <t>DALARNAS LÄN</t>
        </is>
      </c>
      <c r="G369" t="inlineStr">
        <is>
          <t>LUDVIKA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46230</v>
      </c>
      <c r="E370" s="1" t="n">
        <v>46320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21893-2025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46320</v>
      </c>
      <c r="F371" t="inlineStr">
        <is>
          <t>DALARNAS LÄN</t>
        </is>
      </c>
      <c r="G371" t="inlineStr">
        <is>
          <t>LUDVIKA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46320</v>
      </c>
      <c r="F372" t="inlineStr">
        <is>
          <t>DALARNAS LÄN</t>
        </is>
      </c>
      <c r="G372" t="inlineStr">
        <is>
          <t>LUDVIKA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46320</v>
      </c>
      <c r="F373" t="inlineStr">
        <is>
          <t>DALARNAS LÄN</t>
        </is>
      </c>
      <c r="G373" t="inlineStr">
        <is>
          <t>LUDVIKA</t>
        </is>
      </c>
      <c r="H373" t="inlineStr">
        <is>
          <t>Naturvårdsverket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46320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46320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62704-2025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46320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46320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46320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46320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46320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46320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46320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46320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46320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47071-2022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44852</v>
      </c>
      <c r="E385" s="1" t="n">
        <v>46320</v>
      </c>
      <c r="F385" t="inlineStr">
        <is>
          <t>DALARNAS LÄN</t>
        </is>
      </c>
      <c r="G385" t="inlineStr">
        <is>
          <t>LUDVIKA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46320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46320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46279</v>
      </c>
      <c r="E388" s="1" t="n">
        <v>46320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46320</v>
      </c>
      <c r="F389" t="inlineStr">
        <is>
          <t>DALARNAS LÄN</t>
        </is>
      </c>
      <c r="G389" t="inlineStr">
        <is>
          <t>LUDVIKA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46320</v>
      </c>
      <c r="F390" t="inlineStr">
        <is>
          <t>DALARNAS LÄN</t>
        </is>
      </c>
      <c r="G390" t="inlineStr">
        <is>
          <t>LUDVIKA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53602-2023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45230</v>
      </c>
      <c r="E391" s="1" t="n">
        <v>46320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46320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63215-2025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46320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46320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46233</v>
      </c>
      <c r="E395" s="1" t="n">
        <v>46320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46009</v>
      </c>
      <c r="E396" s="1" t="n">
        <v>46320</v>
      </c>
      <c r="F396" t="inlineStr">
        <is>
          <t>DALARNAS LÄN</t>
        </is>
      </c>
      <c r="G396" t="inlineStr">
        <is>
          <t>LUDVIKA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46320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45609</v>
      </c>
      <c r="E398" s="1" t="n">
        <v>46320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46280</v>
      </c>
      <c r="E399" s="1" t="n">
        <v>46320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45581</v>
      </c>
      <c r="E400" s="1" t="n">
        <v>46320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46279</v>
      </c>
      <c r="E401" s="1" t="n">
        <v>46320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46281</v>
      </c>
      <c r="E402" s="1" t="n">
        <v>46320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33914-2023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45134</v>
      </c>
      <c r="E403" s="1" t="n">
        <v>46320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22606-2025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46320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45789</v>
      </c>
      <c r="E405" s="1" t="n">
        <v>46320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50240-2024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45600</v>
      </c>
      <c r="E406" s="1" t="n">
        <v>46320</v>
      </c>
      <c r="F406" t="inlineStr">
        <is>
          <t>DALARNAS LÄN</t>
        </is>
      </c>
      <c r="G406" t="inlineStr">
        <is>
          <t>LUDVIKA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46320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43702-2024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46320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38357-2026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46282</v>
      </c>
      <c r="E409" s="1" t="n">
        <v>46320</v>
      </c>
      <c r="F409" t="inlineStr">
        <is>
          <t>DALARNAS LÄN</t>
        </is>
      </c>
      <c r="G409" t="inlineStr">
        <is>
          <t>LUDVIKA</t>
        </is>
      </c>
      <c r="H409" t="inlineStr">
        <is>
          <t>Naturvårdsverket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46320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22594-2025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46320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45586</v>
      </c>
      <c r="E412" s="1" t="n">
        <v>46320</v>
      </c>
      <c r="F412" t="inlineStr">
        <is>
          <t>DALARNAS LÄN</t>
        </is>
      </c>
      <c r="G412" t="inlineStr">
        <is>
          <t>LUDVIKA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46320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41539-2024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45560</v>
      </c>
      <c r="E414" s="1" t="n">
        <v>46320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45791</v>
      </c>
      <c r="E415" s="1" t="n">
        <v>46320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45786</v>
      </c>
      <c r="E416" s="1" t="n">
        <v>46320</v>
      </c>
      <c r="F416" t="inlineStr">
        <is>
          <t>DALARNAS LÄN</t>
        </is>
      </c>
      <c r="G416" t="inlineStr">
        <is>
          <t>LUDVIKA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46320</v>
      </c>
      <c r="F417" t="inlineStr">
        <is>
          <t>DALARNAS LÄN</t>
        </is>
      </c>
      <c r="G417" t="inlineStr">
        <is>
          <t>LUDVIKA</t>
        </is>
      </c>
      <c r="H417" t="inlineStr">
        <is>
          <t>Övriga Aktiebolag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46320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45524</v>
      </c>
      <c r="E419" s="1" t="n">
        <v>46320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46320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46320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46320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46241</v>
      </c>
      <c r="E423" s="1" t="n">
        <v>46320</v>
      </c>
      <c r="F423" t="inlineStr">
        <is>
          <t>DALARNAS LÄN</t>
        </is>
      </c>
      <c r="G423" t="inlineStr">
        <is>
          <t>LUDVIKA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46283</v>
      </c>
      <c r="E424" s="1" t="n">
        <v>46320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46283</v>
      </c>
      <c r="E425" s="1" t="n">
        <v>46320</v>
      </c>
      <c r="F425" t="inlineStr">
        <is>
          <t>DALARNAS LÄN</t>
        </is>
      </c>
      <c r="G425" t="inlineStr">
        <is>
          <t>LUDVIKA</t>
        </is>
      </c>
      <c r="H425" t="inlineStr">
        <is>
          <t>Naturvårdsverket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46241</v>
      </c>
      <c r="E426" s="1" t="n">
        <v>46320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46320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46283</v>
      </c>
      <c r="E428" s="1" t="n">
        <v>46320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46283</v>
      </c>
      <c r="E429" s="1" t="n">
        <v>46320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46320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46320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46320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45796</v>
      </c>
      <c r="E433" s="1" t="n">
        <v>46320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61278-2022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44915</v>
      </c>
      <c r="E434" s="1" t="n">
        <v>46320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30977-2024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45499</v>
      </c>
      <c r="E435" s="1" t="n">
        <v>46320</v>
      </c>
      <c r="F435" t="inlineStr">
        <is>
          <t>DALARNAS LÄN</t>
        </is>
      </c>
      <c r="G435" t="inlineStr">
        <is>
          <t>LUDVIKA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45791</v>
      </c>
      <c r="E436" s="1" t="n">
        <v>46320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45776</v>
      </c>
      <c r="E437" s="1" t="n">
        <v>46320</v>
      </c>
      <c r="F437" t="inlineStr">
        <is>
          <t>DALARNAS LÄN</t>
        </is>
      </c>
      <c r="G437" t="inlineStr">
        <is>
          <t>LUDVIKA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46320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46320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46320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53979-2025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46320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46320</v>
      </c>
      <c r="F442" t="inlineStr">
        <is>
          <t>DALARNAS LÄN</t>
        </is>
      </c>
      <c r="G442" t="inlineStr">
        <is>
          <t>LUDVIKA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25235-2025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45800</v>
      </c>
      <c r="E443" s="1" t="n">
        <v>46320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46288</v>
      </c>
      <c r="E444" s="1" t="n">
        <v>46320</v>
      </c>
      <c r="F444" t="inlineStr">
        <is>
          <t>DALARNAS LÄN</t>
        </is>
      </c>
      <c r="G444" t="inlineStr">
        <is>
          <t>LUDVIKA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46320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39855-2026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46290</v>
      </c>
      <c r="E446" s="1" t="n">
        <v>46320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45799</v>
      </c>
      <c r="E447" s="1" t="n">
        <v>46320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45800</v>
      </c>
      <c r="E448" s="1" t="n">
        <v>46320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46320</v>
      </c>
      <c r="F449" t="inlineStr">
        <is>
          <t>DALARNAS LÄN</t>
        </is>
      </c>
      <c r="G449" t="inlineStr">
        <is>
          <t>LUDVIKA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38869-2026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46320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39789-2026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46290</v>
      </c>
      <c r="E451" s="1" t="n">
        <v>46320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46320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26698-2025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45810</v>
      </c>
      <c r="E453" s="1" t="n">
        <v>46320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26628-2025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45810</v>
      </c>
      <c r="E454" s="1" t="n">
        <v>46320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38831-2026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46286</v>
      </c>
      <c r="E455" s="1" t="n">
        <v>46320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39879-2026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46290</v>
      </c>
      <c r="E456" s="1" t="n">
        <v>46320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26794-2025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45810</v>
      </c>
      <c r="E457" s="1" t="n">
        <v>46320</v>
      </c>
      <c r="F457" t="inlineStr">
        <is>
          <t>DALARNAS LÄN</t>
        </is>
      </c>
      <c r="G457" t="inlineStr">
        <is>
          <t>LUDVIKA</t>
        </is>
      </c>
      <c r="H457" t="inlineStr">
        <is>
          <t>Kommuner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46290</v>
      </c>
      <c r="E458" s="1" t="n">
        <v>46320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46320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46248</v>
      </c>
      <c r="E460" s="1" t="n">
        <v>46320</v>
      </c>
      <c r="F460" t="inlineStr">
        <is>
          <t>DALARNAS LÄN</t>
        </is>
      </c>
      <c r="G460" t="inlineStr">
        <is>
          <t>LUDVIKA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45569</v>
      </c>
      <c r="E461" s="1" t="n">
        <v>46320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45813</v>
      </c>
      <c r="E462" s="1" t="n">
        <v>46320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45813</v>
      </c>
      <c r="E463" s="1" t="n">
        <v>46320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46320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45813</v>
      </c>
      <c r="E465" s="1" t="n">
        <v>46320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40438-2026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46320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46294</v>
      </c>
      <c r="E467" s="1" t="n">
        <v>46320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46294</v>
      </c>
      <c r="E468" s="1" t="n">
        <v>46320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30813-2025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46320</v>
      </c>
      <c r="F469" t="inlineStr">
        <is>
          <t>DALARNAS LÄN</t>
        </is>
      </c>
      <c r="G469" t="inlineStr">
        <is>
          <t>LUDVIKA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46320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52230-2023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45224</v>
      </c>
      <c r="E471" s="1" t="n">
        <v>46320</v>
      </c>
      <c r="F471" t="inlineStr">
        <is>
          <t>DALARNAS LÄN</t>
        </is>
      </c>
      <c r="G471" t="inlineStr">
        <is>
          <t>LUDVIKA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46007</v>
      </c>
      <c r="E472" s="1" t="n">
        <v>46320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46320</v>
      </c>
      <c r="F473" t="inlineStr">
        <is>
          <t>DALARNAS LÄN</t>
        </is>
      </c>
      <c r="G473" t="inlineStr">
        <is>
          <t>LUDVIKA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45826</v>
      </c>
      <c r="E474" s="1" t="n">
        <v>46320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46320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46320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45832</v>
      </c>
      <c r="E477" s="1" t="n">
        <v>46320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45831</v>
      </c>
      <c r="E478" s="1" t="n">
        <v>46320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46320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46320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34638-2026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46320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46320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45835</v>
      </c>
      <c r="E483" s="1" t="n">
        <v>46320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46320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55034-2024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45621</v>
      </c>
      <c r="E485" s="1" t="n">
        <v>46320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17913-2026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46320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33244-2025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46320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33063-2025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46320</v>
      </c>
      <c r="F488" t="inlineStr">
        <is>
          <t>DALARNAS LÄN</t>
        </is>
      </c>
      <c r="G488" t="inlineStr">
        <is>
          <t>LUDVIKA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46320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45502</v>
      </c>
      <c r="E490" s="1" t="n">
        <v>46320</v>
      </c>
      <c r="F490" t="inlineStr">
        <is>
          <t>DALARNAS LÄN</t>
        </is>
      </c>
      <c r="G490" t="inlineStr">
        <is>
          <t>LUDVIKA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46320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34067-2025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45845</v>
      </c>
      <c r="E492" s="1" t="n">
        <v>46320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46320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45502</v>
      </c>
      <c r="E494" s="1" t="n">
        <v>46320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27389-2024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46320</v>
      </c>
      <c r="F495" t="inlineStr">
        <is>
          <t>DALARNAS LÄN</t>
        </is>
      </c>
      <c r="G495" t="inlineStr">
        <is>
          <t>LUDVIKA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45361-2022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44844</v>
      </c>
      <c r="E496" s="1" t="n">
        <v>46320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41443-2026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46301</v>
      </c>
      <c r="E497" s="1" t="n">
        <v>46320</v>
      </c>
      <c r="F497" t="inlineStr">
        <is>
          <t>DALARNAS LÄN</t>
        </is>
      </c>
      <c r="G497" t="inlineStr">
        <is>
          <t>LUDVIKA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34796-2026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46320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45849</v>
      </c>
      <c r="E499" s="1" t="n">
        <v>46320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45525</v>
      </c>
      <c r="E500" s="1" t="n">
        <v>46320</v>
      </c>
      <c r="F500" t="inlineStr">
        <is>
          <t>DALARNAS LÄN</t>
        </is>
      </c>
      <c r="G500" t="inlineStr">
        <is>
          <t>LUDVIKA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46320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45825</v>
      </c>
      <c r="E502" s="1" t="n">
        <v>46320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46320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46320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45512</v>
      </c>
      <c r="E505" s="1" t="n">
        <v>46320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46320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46320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46320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45512</v>
      </c>
      <c r="E509" s="1" t="n">
        <v>46320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45512</v>
      </c>
      <c r="E510" s="1" t="n">
        <v>46320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46320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46320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46320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7.5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43055-2024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45567</v>
      </c>
      <c r="E514" s="1" t="n">
        <v>46320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46320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17677-2022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44680</v>
      </c>
      <c r="E516" s="1" t="n">
        <v>46320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46320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46320</v>
      </c>
      <c r="F518" t="inlineStr">
        <is>
          <t>DALARNAS LÄN</t>
        </is>
      </c>
      <c r="G518" t="inlineStr">
        <is>
          <t>LUDVIKA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45869</v>
      </c>
      <c r="E519" s="1" t="n">
        <v>46320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45337</v>
      </c>
      <c r="E520" s="1" t="n">
        <v>46320</v>
      </c>
      <c r="F520" t="inlineStr">
        <is>
          <t>DALARNAS LÄN</t>
        </is>
      </c>
      <c r="G520" t="inlineStr">
        <is>
          <t>LUDVIKA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46260</v>
      </c>
      <c r="E521" s="1" t="n">
        <v>46320</v>
      </c>
      <c r="F521" t="inlineStr">
        <is>
          <t>DALARNAS LÄN</t>
        </is>
      </c>
      <c r="G521" t="inlineStr">
        <is>
          <t>LUDVIKA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46122</v>
      </c>
      <c r="E522" s="1" t="n">
        <v>46320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46320</v>
      </c>
      <c r="F523" t="inlineStr">
        <is>
          <t>DALARNAS LÄN</t>
        </is>
      </c>
      <c r="G523" t="inlineStr">
        <is>
          <t>LUDVIKA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46320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17787-2026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46320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45761</v>
      </c>
      <c r="E526" s="1" t="n">
        <v>46320</v>
      </c>
      <c r="F526" t="inlineStr">
        <is>
          <t>DALARNAS LÄN</t>
        </is>
      </c>
      <c r="G526" t="inlineStr">
        <is>
          <t>LUDVIKA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46320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46320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46320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46320</v>
      </c>
      <c r="F530" t="inlineStr">
        <is>
          <t>DALARNAS LÄN</t>
        </is>
      </c>
      <c r="G530" t="inlineStr">
        <is>
          <t>LUDVIKA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46320</v>
      </c>
      <c r="F531" t="inlineStr">
        <is>
          <t>DALARNAS LÄN</t>
        </is>
      </c>
      <c r="G531" t="inlineStr">
        <is>
          <t>LUDVIKA</t>
        </is>
      </c>
      <c r="H531" t="inlineStr">
        <is>
          <t>Naturvårdsverket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45887</v>
      </c>
      <c r="E532" s="1" t="n">
        <v>46320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65195-2021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44515</v>
      </c>
      <c r="E533" s="1" t="n">
        <v>46320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46320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46265</v>
      </c>
      <c r="E535" s="1" t="n">
        <v>46320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46320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46307</v>
      </c>
      <c r="E537" s="1" t="n">
        <v>46320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9.699999999999999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42254-2024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46320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38868-2026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46320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56615-2025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45975</v>
      </c>
      <c r="E540" s="1" t="n">
        <v>46320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45596</v>
      </c>
      <c r="E541" s="1" t="n">
        <v>46320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46320</v>
      </c>
      <c r="F542" t="inlineStr">
        <is>
          <t>DALARNAS LÄN</t>
        </is>
      </c>
      <c r="G542" t="inlineStr">
        <is>
          <t>LUDVIKA</t>
        </is>
      </c>
      <c r="H542" t="inlineStr">
        <is>
          <t>Kyrkan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33330-2024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45519</v>
      </c>
      <c r="E543" s="1" t="n">
        <v>46320</v>
      </c>
      <c r="F543" t="inlineStr">
        <is>
          <t>DALARNAS LÄN</t>
        </is>
      </c>
      <c r="G543" t="inlineStr">
        <is>
          <t>LUDVIKA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35490-2026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46262</v>
      </c>
      <c r="E544" s="1" t="n">
        <v>46320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19.9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46320</v>
      </c>
      <c r="F545" t="inlineStr">
        <is>
          <t>DALARNAS LÄN</t>
        </is>
      </c>
      <c r="G545" t="inlineStr">
        <is>
          <t>LUDVIKA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56685-2022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46320</v>
      </c>
      <c r="F546" t="inlineStr">
        <is>
          <t>DALARNAS LÄN</t>
        </is>
      </c>
      <c r="G546" t="inlineStr">
        <is>
          <t>LUDVIKA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46307</v>
      </c>
      <c r="E547" s="1" t="n">
        <v>46320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45849</v>
      </c>
      <c r="E548" s="1" t="n">
        <v>46320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46320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46320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36073-2026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46267</v>
      </c>
      <c r="E551" s="1" t="n">
        <v>46320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46320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45825</v>
      </c>
      <c r="E553" s="1" t="n">
        <v>46320</v>
      </c>
      <c r="F553" t="inlineStr">
        <is>
          <t>DALARNAS LÄN</t>
        </is>
      </c>
      <c r="G553" t="inlineStr">
        <is>
          <t>LUDVIKA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34875-2025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46320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46309</v>
      </c>
      <c r="E555" s="1" t="n">
        <v>46320</v>
      </c>
      <c r="F555" t="inlineStr">
        <is>
          <t>DALARNAS LÄN</t>
        </is>
      </c>
      <c r="G555" t="inlineStr">
        <is>
          <t>LUDVIKA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51029-2024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46320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45845</v>
      </c>
      <c r="E557" s="1" t="n">
        <v>46320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46320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30399-2025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46320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55151-2025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45968</v>
      </c>
      <c r="E560" s="1" t="n">
        <v>46320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39777-2026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46290</v>
      </c>
      <c r="E561" s="1" t="n">
        <v>46320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36820-2026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46320</v>
      </c>
      <c r="F562" t="inlineStr">
        <is>
          <t>DALARNAS LÄN</t>
        </is>
      </c>
      <c r="G562" t="inlineStr">
        <is>
          <t>LUDVIKA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52466-2023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45225</v>
      </c>
      <c r="E563" s="1" t="n">
        <v>46320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46311</v>
      </c>
      <c r="E564" s="1" t="n">
        <v>46320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46320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46320</v>
      </c>
      <c r="F566" t="inlineStr">
        <is>
          <t>DALARNAS LÄN</t>
        </is>
      </c>
      <c r="G566" t="inlineStr">
        <is>
          <t>LUDVIKA</t>
        </is>
      </c>
      <c r="I566" t="n">
        <v>9.800000000000001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43265-2026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46314</v>
      </c>
      <c r="E567" s="1" t="n">
        <v>46320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59186-2025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45988</v>
      </c>
      <c r="E568" s="1" t="n">
        <v>46320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55323-2025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46320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25.7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32224-2025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46320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46267</v>
      </c>
      <c r="E571" s="1" t="n">
        <v>46320</v>
      </c>
      <c r="F571" t="inlineStr">
        <is>
          <t>DALARNAS LÄN</t>
        </is>
      </c>
      <c r="G571" t="inlineStr">
        <is>
          <t>LUDVIKA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56686-2022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46320</v>
      </c>
      <c r="F572" t="inlineStr">
        <is>
          <t>DALARNAS LÄN</t>
        </is>
      </c>
      <c r="G572" t="inlineStr">
        <is>
          <t>LUDVIKA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43392-2026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46320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46320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35353-2024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46320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46320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43544-2026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46315</v>
      </c>
      <c r="E577" s="1" t="n">
        <v>46320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46320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35708-2025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46320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46273</v>
      </c>
      <c r="E580" s="1" t="n">
        <v>46320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41828-2025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45902</v>
      </c>
      <c r="E581" s="1" t="n">
        <v>46320</v>
      </c>
      <c r="F581" t="inlineStr">
        <is>
          <t>DALARNAS LÄN</t>
        </is>
      </c>
      <c r="G581" t="inlineStr">
        <is>
          <t>LUDVIKA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43519-2026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46315</v>
      </c>
      <c r="E582" s="1" t="n">
        <v>46320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46320</v>
      </c>
      <c r="F583" t="inlineStr">
        <is>
          <t>DALARNAS LÄN</t>
        </is>
      </c>
      <c r="G583" t="inlineStr">
        <is>
          <t>LUDVIKA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44537-2024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46320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37052-2026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46273</v>
      </c>
      <c r="E585" s="1" t="n">
        <v>46320</v>
      </c>
      <c r="F585" t="inlineStr">
        <is>
          <t>DALARNAS LÄN</t>
        </is>
      </c>
      <c r="G585" t="inlineStr">
        <is>
          <t>LUDVIKA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46320</v>
      </c>
      <c r="F586" t="inlineStr">
        <is>
          <t>DALARNAS LÄN</t>
        </is>
      </c>
      <c r="G586" t="inlineStr">
        <is>
          <t>LUDVIKA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21152-2023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46320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46273</v>
      </c>
      <c r="E588" s="1" t="n">
        <v>46320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46318</v>
      </c>
      <c r="E589" s="1" t="n">
        <v>46320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47671-2024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45588</v>
      </c>
      <c r="E590" s="1" t="n">
        <v>46320</v>
      </c>
      <c r="F590" t="inlineStr">
        <is>
          <t>DALARNAS LÄN</t>
        </is>
      </c>
      <c r="G590" t="inlineStr">
        <is>
          <t>LUDVIKA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46318</v>
      </c>
      <c r="E591" s="1" t="n">
        <v>46320</v>
      </c>
      <c r="F591" t="inlineStr">
        <is>
          <t>DALARNAS LÄN</t>
        </is>
      </c>
      <c r="G591" t="inlineStr">
        <is>
          <t>LUDVIKA</t>
        </is>
      </c>
      <c r="H591" t="inlineStr">
        <is>
          <t>Naturvårdsverket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44238-2026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46318</v>
      </c>
      <c r="E592" s="1" t="n">
        <v>46320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46320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20778-2026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46141</v>
      </c>
      <c r="E594" s="1" t="n">
        <v>46320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46185-2024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45581</v>
      </c>
      <c r="E595" s="1" t="n">
        <v>46320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35103-2026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46320</v>
      </c>
      <c r="F596" t="inlineStr">
        <is>
          <t>DALARNAS LÄN</t>
        </is>
      </c>
      <c r="G596" t="inlineStr">
        <is>
          <t>LUDVIKA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46320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55472-2024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46320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55485-2024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46320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46320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46318</v>
      </c>
      <c r="E601" s="1" t="n">
        <v>46320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44123-2026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46318</v>
      </c>
      <c r="E602" s="1" t="n">
        <v>46320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46276</v>
      </c>
      <c r="E603" s="1" t="n">
        <v>46320</v>
      </c>
      <c r="F603" t="inlineStr">
        <is>
          <t>DALARNAS LÄN</t>
        </is>
      </c>
      <c r="G603" t="inlineStr">
        <is>
          <t>LUDVIKA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46320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46062</v>
      </c>
      <c r="E605" s="1" t="n">
        <v>46320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44261-2026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46318</v>
      </c>
      <c r="E606" s="1" t="n">
        <v>46320</v>
      </c>
      <c r="F606" t="inlineStr">
        <is>
          <t>DALARNAS LÄN</t>
        </is>
      </c>
      <c r="G606" t="inlineStr">
        <is>
          <t>LUDVIKA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46275</v>
      </c>
      <c r="E607" s="1" t="n">
        <v>46320</v>
      </c>
      <c r="F607" t="inlineStr">
        <is>
          <t>DALARNAS LÄN</t>
        </is>
      </c>
      <c r="G607" t="inlineStr">
        <is>
          <t>LUDVIKA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21472-2026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46320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45559-2024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46320</v>
      </c>
      <c r="F609" t="inlineStr">
        <is>
          <t>DALARNAS LÄN</t>
        </is>
      </c>
      <c r="G609" t="inlineStr">
        <is>
          <t>LUDVIKA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46320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46320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46320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46320</v>
      </c>
      <c r="F613" t="inlineStr">
        <is>
          <t>DALARNAS LÄN</t>
        </is>
      </c>
      <c r="G613" t="inlineStr">
        <is>
          <t>LUDVIKA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43839-2023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46320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55972-2025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46320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38446-2025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45883</v>
      </c>
      <c r="E616" s="1" t="n">
        <v>46320</v>
      </c>
      <c r="F616" t="inlineStr">
        <is>
          <t>DALARNAS LÄN</t>
        </is>
      </c>
      <c r="G616" t="inlineStr">
        <is>
          <t>LUDVIKA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46142</v>
      </c>
      <c r="E617" s="1" t="n">
        <v>46320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46320</v>
      </c>
      <c r="F618" t="inlineStr">
        <is>
          <t>DALARNAS LÄN</t>
        </is>
      </c>
      <c r="G618" t="inlineStr">
        <is>
          <t>LUDVIKA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45623</v>
      </c>
      <c r="E619" s="1" t="n">
        <v>46320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45679</v>
      </c>
      <c r="E620" s="1" t="n">
        <v>46320</v>
      </c>
      <c r="F620" t="inlineStr">
        <is>
          <t>DALARNAS LÄN</t>
        </is>
      </c>
      <c r="G620" t="inlineStr">
        <is>
          <t>LUDVIKA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46320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46320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22538-2026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46155</v>
      </c>
      <c r="E623" s="1" t="n">
        <v>46320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46320</v>
      </c>
      <c r="F624" t="inlineStr">
        <is>
          <t>DALARNAS LÄN</t>
        </is>
      </c>
      <c r="G624" t="inlineStr">
        <is>
          <t>LUDVIKA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7173-2023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44970</v>
      </c>
      <c r="E625" s="1" t="n">
        <v>46320</v>
      </c>
      <c r="F625" t="inlineStr">
        <is>
          <t>DALARNAS LÄN</t>
        </is>
      </c>
      <c r="G625" t="inlineStr">
        <is>
          <t>LUDVIKA</t>
        </is>
      </c>
      <c r="H625" t="inlineStr">
        <is>
          <t>Övriga Aktiebolag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46320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22000-2022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44711</v>
      </c>
      <c r="E627" s="1" t="n">
        <v>46320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44960</v>
      </c>
      <c r="E628" s="1" t="n">
        <v>46320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22830-2026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46160</v>
      </c>
      <c r="E629" s="1" t="n">
        <v>46320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56203-2024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46320</v>
      </c>
      <c r="F630" t="inlineStr">
        <is>
          <t>DALARNAS LÄN</t>
        </is>
      </c>
      <c r="G630" t="inlineStr">
        <is>
          <t>LUDVIKA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46320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57217-2024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45629</v>
      </c>
      <c r="E632" s="1" t="n">
        <v>46320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56445-2024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45625</v>
      </c>
      <c r="E633" s="1" t="n">
        <v>46320</v>
      </c>
      <c r="F633" t="inlineStr">
        <is>
          <t>DALARNAS LÄN</t>
        </is>
      </c>
      <c r="G633" t="inlineStr">
        <is>
          <t>LUDVIKA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45301</v>
      </c>
      <c r="E634" s="1" t="n">
        <v>46320</v>
      </c>
      <c r="F634" t="inlineStr">
        <is>
          <t>DALARNAS LÄN</t>
        </is>
      </c>
      <c r="G634" t="inlineStr">
        <is>
          <t>LUDVIKA</t>
        </is>
      </c>
      <c r="I634" t="n">
        <v>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33345-2024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45519</v>
      </c>
      <c r="E635" s="1" t="n">
        <v>46320</v>
      </c>
      <c r="F635" t="inlineStr">
        <is>
          <t>DALARNAS LÄN</t>
        </is>
      </c>
      <c r="G635" t="inlineStr">
        <is>
          <t>LUDVIKA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45593</v>
      </c>
      <c r="E636" s="1" t="n">
        <v>46320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21145-2023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45062</v>
      </c>
      <c r="E637" s="1" t="n">
        <v>46320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46320</v>
      </c>
      <c r="F638" t="inlineStr">
        <is>
          <t>DALARNAS LÄN</t>
        </is>
      </c>
      <c r="G638" t="inlineStr">
        <is>
          <t>LUDVIKA</t>
        </is>
      </c>
      <c r="H638" t="inlineStr">
        <is>
          <t>Naturvårdsverket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46320</v>
      </c>
      <c r="F639" t="inlineStr">
        <is>
          <t>DALARNAS LÄN</t>
        </is>
      </c>
      <c r="G639" t="inlineStr">
        <is>
          <t>LUDVIKA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46320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43240-2024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45568</v>
      </c>
      <c r="E641" s="1" t="n">
        <v>46320</v>
      </c>
      <c r="F641" t="inlineStr">
        <is>
          <t>DALARNAS LÄN</t>
        </is>
      </c>
      <c r="G641" t="inlineStr">
        <is>
          <t>LUDVIKA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44729</v>
      </c>
      <c r="E642" s="1" t="n">
        <v>46320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2838-2022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44581</v>
      </c>
      <c r="E643" s="1" t="n">
        <v>46320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40142-2022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44820</v>
      </c>
      <c r="E644" s="1" t="n">
        <v>46320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44820</v>
      </c>
      <c r="E645" s="1" t="n">
        <v>46320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45687</v>
      </c>
      <c r="E646" s="1" t="n">
        <v>46320</v>
      </c>
      <c r="F646" t="inlineStr">
        <is>
          <t>DALARNAS LÄN</t>
        </is>
      </c>
      <c r="G646" t="inlineStr">
        <is>
          <t>LUDVIKA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45762</v>
      </c>
      <c r="E647" s="1" t="n">
        <v>46320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19071-2025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45765</v>
      </c>
      <c r="E648" s="1" t="n">
        <v>46320</v>
      </c>
      <c r="F648" t="inlineStr">
        <is>
          <t>DALARNAS LÄN</t>
        </is>
      </c>
      <c r="G648" t="inlineStr">
        <is>
          <t>LUDVIKA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61621-2022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44916</v>
      </c>
      <c r="E649" s="1" t="n">
        <v>46320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30844-2024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45497</v>
      </c>
      <c r="E650" s="1" t="n">
        <v>46320</v>
      </c>
      <c r="F650" t="inlineStr">
        <is>
          <t>DALARNAS LÄN</t>
        </is>
      </c>
      <c r="G650" t="inlineStr">
        <is>
          <t>LUDVIKA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45106</v>
      </c>
      <c r="E651" s="1" t="n">
        <v>46320</v>
      </c>
      <c r="F651" t="inlineStr">
        <is>
          <t>DALARNAS LÄN</t>
        </is>
      </c>
      <c r="G651" t="inlineStr">
        <is>
          <t>LUDVIKA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16814-2024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45411</v>
      </c>
      <c r="E652" s="1" t="n">
        <v>46320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44942</v>
      </c>
      <c r="E653" s="1" t="n">
        <v>46320</v>
      </c>
      <c r="F653" t="inlineStr">
        <is>
          <t>DALARNAS LÄN</t>
        </is>
      </c>
      <c r="G653" t="inlineStr">
        <is>
          <t>LUDVIKA</t>
        </is>
      </c>
      <c r="I653" t="n">
        <v>13.1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51080-2024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46320</v>
      </c>
      <c r="F654" t="inlineStr">
        <is>
          <t>DALARNAS LÄN</t>
        </is>
      </c>
      <c r="G654" t="inlineStr">
        <is>
          <t>LUDVIKA</t>
        </is>
      </c>
      <c r="H654" t="inlineStr">
        <is>
          <t>Naturvårdsverket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25296-2022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44730</v>
      </c>
      <c r="E655" s="1" t="n">
        <v>46320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45637</v>
      </c>
      <c r="E656" s="1" t="n">
        <v>46320</v>
      </c>
      <c r="F656" t="inlineStr">
        <is>
          <t>DALARNAS LÄN</t>
        </is>
      </c>
      <c r="G656" t="inlineStr">
        <is>
          <t>LUDVIKA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45099</v>
      </c>
      <c r="E657" s="1" t="n">
        <v>46320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61507-2023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45265</v>
      </c>
      <c r="E658" s="1" t="n">
        <v>46320</v>
      </c>
      <c r="F658" t="inlineStr">
        <is>
          <t>DALARNAS LÄN</t>
        </is>
      </c>
      <c r="G658" t="inlineStr">
        <is>
          <t>LUDVIKA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65104-2023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45288</v>
      </c>
      <c r="E659" s="1" t="n">
        <v>46320</v>
      </c>
      <c r="F659" t="inlineStr">
        <is>
          <t>DALARNAS LÄN</t>
        </is>
      </c>
      <c r="G659" t="inlineStr">
        <is>
          <t>LUDVIKA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49951-2022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44865</v>
      </c>
      <c r="E660" s="1" t="n">
        <v>46320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14986-2024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45399</v>
      </c>
      <c r="E661" s="1" t="n">
        <v>46320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43694-2024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45569</v>
      </c>
      <c r="E662" s="1" t="n">
        <v>46320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60138-2023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45258</v>
      </c>
      <c r="E663" s="1" t="n">
        <v>46320</v>
      </c>
      <c r="F663" t="inlineStr">
        <is>
          <t>DALARNAS LÄN</t>
        </is>
      </c>
      <c r="G663" t="inlineStr">
        <is>
          <t>LUDVIKA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15851-2024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45404</v>
      </c>
      <c r="E664" s="1" t="n">
        <v>46320</v>
      </c>
      <c r="F664" t="inlineStr">
        <is>
          <t>DALARNAS LÄN</t>
        </is>
      </c>
      <c r="G664" t="inlineStr">
        <is>
          <t>LUDVIKA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45110</v>
      </c>
      <c r="E665" s="1" t="n">
        <v>46320</v>
      </c>
      <c r="F665" t="inlineStr">
        <is>
          <t>DALARNAS LÄN</t>
        </is>
      </c>
      <c r="G665" t="inlineStr">
        <is>
          <t>LUDVIKA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70046-2021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44533</v>
      </c>
      <c r="E666" s="1" t="n">
        <v>46320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43981-2024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46320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8.199999999999999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45488</v>
      </c>
      <c r="E668" s="1" t="n">
        <v>46320</v>
      </c>
      <c r="F668" t="inlineStr">
        <is>
          <t>DALARNAS LÄN</t>
        </is>
      </c>
      <c r="G668" t="inlineStr">
        <is>
          <t>LUDVIKA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45113</v>
      </c>
      <c r="E669" s="1" t="n">
        <v>46320</v>
      </c>
      <c r="F669" t="inlineStr">
        <is>
          <t>DALARNAS LÄN</t>
        </is>
      </c>
      <c r="G669" t="inlineStr">
        <is>
          <t>LUDVIKA</t>
        </is>
      </c>
      <c r="H669" t="inlineStr">
        <is>
          <t>Kommuner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45602</v>
      </c>
      <c r="E670" s="1" t="n">
        <v>46320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45112</v>
      </c>
      <c r="E671" s="1" t="n">
        <v>46320</v>
      </c>
      <c r="F671" t="inlineStr">
        <is>
          <t>DALARNAS LÄN</t>
        </is>
      </c>
      <c r="G671" t="inlineStr">
        <is>
          <t>LUDVIKA</t>
        </is>
      </c>
      <c r="H671" t="inlineStr">
        <is>
          <t>Kommuner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45644</v>
      </c>
      <c r="E672" s="1" t="n">
        <v>46320</v>
      </c>
      <c r="F672" t="inlineStr">
        <is>
          <t>DALARNAS LÄN</t>
        </is>
      </c>
      <c r="G672" t="inlineStr">
        <is>
          <t>LUDVIKA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59667-2024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45639</v>
      </c>
      <c r="E673" s="1" t="n">
        <v>46320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46320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45541</v>
      </c>
      <c r="E675" s="1" t="n">
        <v>46320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55551-2024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45622</v>
      </c>
      <c r="E676" s="1" t="n">
        <v>46320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6.2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44520-2023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45189</v>
      </c>
      <c r="E677" s="1" t="n">
        <v>46320</v>
      </c>
      <c r="F677" t="inlineStr">
        <is>
          <t>DALARNAS LÄN</t>
        </is>
      </c>
      <c r="G677" t="inlineStr">
        <is>
          <t>LUDVIKA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45045-2023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45191</v>
      </c>
      <c r="E678" s="1" t="n">
        <v>46320</v>
      </c>
      <c r="F678" t="inlineStr">
        <is>
          <t>DALARNAS LÄN</t>
        </is>
      </c>
      <c r="G678" t="inlineStr">
        <is>
          <t>LUDVIKA</t>
        </is>
      </c>
      <c r="H678" t="inlineStr">
        <is>
          <t>Sveaskog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55510-2024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46320</v>
      </c>
      <c r="F679" t="inlineStr">
        <is>
          <t>DALARNAS LÄN</t>
        </is>
      </c>
      <c r="G679" t="inlineStr">
        <is>
          <t>LUDVIKA</t>
        </is>
      </c>
      <c r="H679" t="inlineStr">
        <is>
          <t>Naturvårdsverket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46320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46620-2023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45198</v>
      </c>
      <c r="E681" s="1" t="n">
        <v>46320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32301-2024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45512</v>
      </c>
      <c r="E682" s="1" t="n">
        <v>46320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55462-2024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45622</v>
      </c>
      <c r="E683" s="1" t="n">
        <v>46320</v>
      </c>
      <c r="F683" t="inlineStr">
        <is>
          <t>DALARNAS LÄN</t>
        </is>
      </c>
      <c r="G683" t="inlineStr">
        <is>
          <t>LUDVIKA</t>
        </is>
      </c>
      <c r="H683" t="inlineStr">
        <is>
          <t>Naturvårdsverket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55474-2024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46320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45099</v>
      </c>
      <c r="E685" s="1" t="n">
        <v>46320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45687</v>
      </c>
      <c r="E686" s="1" t="n">
        <v>46320</v>
      </c>
      <c r="F686" t="inlineStr">
        <is>
          <t>DALARNAS LÄN</t>
        </is>
      </c>
      <c r="G686" t="inlineStr">
        <is>
          <t>LUDVIKA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39849-2023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45168</v>
      </c>
      <c r="E687" s="1" t="n">
        <v>46320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48589-2023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45208</v>
      </c>
      <c r="E688" s="1" t="n">
        <v>46320</v>
      </c>
      <c r="F688" t="inlineStr">
        <is>
          <t>DALARNAS LÄN</t>
        </is>
      </c>
      <c r="G688" t="inlineStr">
        <is>
          <t>LUDVIKA</t>
        </is>
      </c>
      <c r="H688" t="inlineStr">
        <is>
          <t>Naturvårdsverket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44789</v>
      </c>
      <c r="E689" s="1" t="n">
        <v>46320</v>
      </c>
      <c r="F689" t="inlineStr">
        <is>
          <t>DALARNAS LÄN</t>
        </is>
      </c>
      <c r="G689" t="inlineStr">
        <is>
          <t>LUDVIKA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39437-2023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45166</v>
      </c>
      <c r="E690" s="1" t="n">
        <v>46320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44708</v>
      </c>
      <c r="E691" s="1" t="n">
        <v>46320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18724-2022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44687</v>
      </c>
      <c r="E692" s="1" t="n">
        <v>46320</v>
      </c>
      <c r="F692" t="inlineStr">
        <is>
          <t>DALARNAS LÄN</t>
        </is>
      </c>
      <c r="G692" t="inlineStr">
        <is>
          <t>LUDVIKA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49114-2023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45210</v>
      </c>
      <c r="E693" s="1" t="n">
        <v>46320</v>
      </c>
      <c r="F693" t="inlineStr">
        <is>
          <t>DALARNAS LÄN</t>
        </is>
      </c>
      <c r="G693" t="inlineStr">
        <is>
          <t>LUDVIKA</t>
        </is>
      </c>
      <c r="H693" t="inlineStr">
        <is>
          <t>Naturvårdsverket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45060-2022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44841</v>
      </c>
      <c r="E694" s="1" t="n">
        <v>46320</v>
      </c>
      <c r="F694" t="inlineStr">
        <is>
          <t>DALARNAS LÄN</t>
        </is>
      </c>
      <c r="G694" t="inlineStr">
        <is>
          <t>LUDVIKA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45754</v>
      </c>
      <c r="E695" s="1" t="n">
        <v>46320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61054-2024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45645</v>
      </c>
      <c r="E696" s="1" t="n">
        <v>46320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46320</v>
      </c>
      <c r="F697" t="inlineStr">
        <is>
          <t>DALARNAS LÄN</t>
        </is>
      </c>
      <c r="G697" t="inlineStr">
        <is>
          <t>LUDVIKA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37392-2023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45156</v>
      </c>
      <c r="E698" s="1" t="n">
        <v>46320</v>
      </c>
      <c r="F698" t="inlineStr">
        <is>
          <t>DALARNAS LÄN</t>
        </is>
      </c>
      <c r="G698" t="inlineStr">
        <is>
          <t>LUDVIKA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51208-2023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45219</v>
      </c>
      <c r="E699" s="1" t="n">
        <v>46320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46320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45253</v>
      </c>
      <c r="E701" s="1" t="n">
        <v>46320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46656-2023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45198</v>
      </c>
      <c r="E702" s="1" t="n">
        <v>46320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48683-2023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45208</v>
      </c>
      <c r="E703" s="1" t="n">
        <v>46320</v>
      </c>
      <c r="F703" t="inlineStr">
        <is>
          <t>DALARNAS LÄN</t>
        </is>
      </c>
      <c r="G703" t="inlineStr">
        <is>
          <t>LUDVIKA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57557-2023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46320</v>
      </c>
      <c r="F704" t="inlineStr">
        <is>
          <t>DALARNAS LÄN</t>
        </is>
      </c>
      <c r="G704" t="inlineStr">
        <is>
          <t>LUDVIKA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16807-2025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46320</v>
      </c>
      <c r="F705" t="inlineStr">
        <is>
          <t>DALARNAS LÄN</t>
        </is>
      </c>
      <c r="G705" t="inlineStr">
        <is>
          <t>LUDVIKA</t>
        </is>
      </c>
      <c r="H705" t="inlineStr">
        <is>
          <t>Naturvårdsverket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15128-2025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45744</v>
      </c>
      <c r="E706" s="1" t="n">
        <v>46320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31270-2022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44771</v>
      </c>
      <c r="E707" s="1" t="n">
        <v>46320</v>
      </c>
      <c r="F707" t="inlineStr">
        <is>
          <t>DALARNAS LÄN</t>
        </is>
      </c>
      <c r="G707" t="inlineStr">
        <is>
          <t>LUDVIKA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61309-2022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46320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48740-2022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44859</v>
      </c>
      <c r="E709" s="1" t="n">
        <v>46320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56621-2023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45243</v>
      </c>
      <c r="E710" s="1" t="n">
        <v>46320</v>
      </c>
      <c r="F710" t="inlineStr">
        <is>
          <t>DALARNAS LÄN</t>
        </is>
      </c>
      <c r="G710" t="inlineStr">
        <is>
          <t>LUDVIKA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53996-2024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45616</v>
      </c>
      <c r="E711" s="1" t="n">
        <v>46320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64171-2023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45279</v>
      </c>
      <c r="E712" s="1" t="n">
        <v>46320</v>
      </c>
      <c r="F712" t="inlineStr">
        <is>
          <t>DALARNAS LÄN</t>
        </is>
      </c>
      <c r="G712" t="inlineStr">
        <is>
          <t>LUDVIKA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923-2024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45301</v>
      </c>
      <c r="E713" s="1" t="n">
        <v>46320</v>
      </c>
      <c r="F713" t="inlineStr">
        <is>
          <t>DALARNAS LÄN</t>
        </is>
      </c>
      <c r="G713" t="inlineStr">
        <is>
          <t>LUDVIKA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20427-2025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45775</v>
      </c>
      <c r="E714" s="1" t="n">
        <v>46320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53620-2022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44879</v>
      </c>
      <c r="E715" s="1" t="n">
        <v>46320</v>
      </c>
      <c r="F715" t="inlineStr">
        <is>
          <t>DALARNAS LÄN</t>
        </is>
      </c>
      <c r="G715" t="inlineStr">
        <is>
          <t>LUDVIKA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7238-2023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44970</v>
      </c>
      <c r="E716" s="1" t="n">
        <v>46320</v>
      </c>
      <c r="F716" t="inlineStr">
        <is>
          <t>DALARNAS LÄN</t>
        </is>
      </c>
      <c r="G716" t="inlineStr">
        <is>
          <t>LUDVIKA</t>
        </is>
      </c>
      <c r="H716" t="inlineStr">
        <is>
          <t>Övriga Aktiebolag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73703-2021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44552</v>
      </c>
      <c r="E717" s="1" t="n">
        <v>46320</v>
      </c>
      <c r="F717" t="inlineStr">
        <is>
          <t>DALARNAS LÄN</t>
        </is>
      </c>
      <c r="G717" t="inlineStr">
        <is>
          <t>LUDVIKA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44730</v>
      </c>
      <c r="E718" s="1" t="n">
        <v>46320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44599</v>
      </c>
      <c r="E719" s="1" t="n">
        <v>46320</v>
      </c>
      <c r="F719" t="inlineStr">
        <is>
          <t>DALARNAS LÄN</t>
        </is>
      </c>
      <c r="G719" t="inlineStr">
        <is>
          <t>LUDVIKA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44859</v>
      </c>
      <c r="E720" s="1" t="n">
        <v>46320</v>
      </c>
      <c r="F720" t="inlineStr">
        <is>
          <t>DALARNAS LÄN</t>
        </is>
      </c>
      <c r="G720" t="inlineStr">
        <is>
          <t>LUDVIKA</t>
        </is>
      </c>
      <c r="H720" t="inlineStr">
        <is>
          <t>Naturvårdsverket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44960</v>
      </c>
      <c r="E721" s="1" t="n">
        <v>46320</v>
      </c>
      <c r="F721" t="inlineStr">
        <is>
          <t>DALARNAS LÄN</t>
        </is>
      </c>
      <c r="G721" t="inlineStr">
        <is>
          <t>LUDVIKA</t>
        </is>
      </c>
      <c r="H721" t="inlineStr">
        <is>
          <t>Naturvårdsverket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2837-2023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45167</v>
      </c>
      <c r="E722" s="1" t="n">
        <v>46320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1122-2023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46320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3660-2023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45216</v>
      </c>
      <c r="E724" s="1" t="n">
        <v>46320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1246-2024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45400</v>
      </c>
      <c r="E725" s="1" t="n">
        <v>46320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35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1096-2024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45391</v>
      </c>
      <c r="E726" s="1" t="n">
        <v>46320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4863-2022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44805</v>
      </c>
      <c r="E727" s="1" t="n">
        <v>46320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1113-2023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46320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>
      <c r="A729" t="inlineStr">
        <is>
          <t>S 1815-2026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46190</v>
      </c>
      <c r="E729" s="1" t="n">
        <v>46320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2026-10-25T02:07:28Z</dcterms:created>
  <dcterms:modified xmlns:dcterms="http://purl.org/dc/terms/" xmlns:xsi="http://www.w3.org/2001/XMLSchema-instance" xsi:type="dcterms:W3CDTF">2026-10-25T02:07:29Z</dcterms:modified>
</cp:coreProperties>
</file>
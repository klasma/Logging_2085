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45849</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45849</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45849</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45849</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45849</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45849</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34485-2025</t>
        </is>
      </c>
      <c r="B11" s="1" t="n">
        <v>45847</v>
      </c>
      <c r="C11" s="1" t="n">
        <v>45849</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HYPERLINK("https://klasma.github.io/Logging_202085/artfynd/A 34485-2025 artfynd.xlsx", "A 34485-2025")</f>
        <v/>
      </c>
      <c r="T11">
        <f>HYPERLINK("https://klasma.github.io/Logging_202085/kartor/A 34485-2025 karta.png", "A 34485-2025")</f>
        <v/>
      </c>
      <c r="V11">
        <f>HYPERLINK("https://klasma.github.io/Logging_202085/klagomål/A 34485-2025 FSC-klagomål.docx", "A 34485-2025")</f>
        <v/>
      </c>
      <c r="W11">
        <f>HYPERLINK("https://klasma.github.io/Logging_202085/klagomålsmail/A 34485-2025 FSC-klagomål mail.docx", "A 34485-2025")</f>
        <v/>
      </c>
      <c r="X11">
        <f>HYPERLINK("https://klasma.github.io/Logging_202085/tillsyn/A 34485-2025 tillsynsbegäran.docx", "A 34485-2025")</f>
        <v/>
      </c>
      <c r="Y11">
        <f>HYPERLINK("https://klasma.github.io/Logging_202085/tillsynsmail/A 34485-2025 tillsynsbegäran mail.docx", "A 34485-2025")</f>
        <v/>
      </c>
    </row>
    <row r="12" ht="15" customHeight="1">
      <c r="A12" t="inlineStr">
        <is>
          <t>A 3635-2021</t>
        </is>
      </c>
      <c r="B12" s="1" t="n">
        <v>44221</v>
      </c>
      <c r="C12" s="1" t="n">
        <v>45849</v>
      </c>
      <c r="D12" t="inlineStr">
        <is>
          <t>DALARNAS LÄN</t>
        </is>
      </c>
      <c r="E12" t="inlineStr">
        <is>
          <t>LUDVIKA</t>
        </is>
      </c>
      <c r="F12" t="inlineStr">
        <is>
          <t>Kommuner</t>
        </is>
      </c>
      <c r="G12" t="n">
        <v>16.4</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3635-2021 artfynd.xlsx", "A 3635-2021")</f>
        <v/>
      </c>
      <c r="T12">
        <f>HYPERLINK("https://klasma.github.io/Logging_2085/kartor/A 3635-2021 karta.png", "A 3635-2021")</f>
        <v/>
      </c>
      <c r="V12">
        <f>HYPERLINK("https://klasma.github.io/Logging_2085/klagomål/A 3635-2021 FSC-klagomål.docx", "A 3635-2021")</f>
        <v/>
      </c>
      <c r="W12">
        <f>HYPERLINK("https://klasma.github.io/Logging_2085/klagomålsmail/A 3635-2021 FSC-klagomål mail.docx", "A 3635-2021")</f>
        <v/>
      </c>
      <c r="X12">
        <f>HYPERLINK("https://klasma.github.io/Logging_2085/tillsyn/A 3635-2021 tillsynsbegäran.docx", "A 3635-2021")</f>
        <v/>
      </c>
      <c r="Y12">
        <f>HYPERLINK("https://klasma.github.io/Logging_2085/tillsynsmail/A 3635-2021 tillsynsbegäran mail.docx", "A 3635-2021")</f>
        <v/>
      </c>
    </row>
    <row r="13" ht="15" customHeight="1">
      <c r="A13" t="inlineStr">
        <is>
          <t>A 30447-2022</t>
        </is>
      </c>
      <c r="B13" s="1" t="n">
        <v>44761</v>
      </c>
      <c r="C13" s="1" t="n">
        <v>45849</v>
      </c>
      <c r="D13" t="inlineStr">
        <is>
          <t>DALARNAS LÄN</t>
        </is>
      </c>
      <c r="E13" t="inlineStr">
        <is>
          <t>LUDVIKA</t>
        </is>
      </c>
      <c r="F13" t="inlineStr">
        <is>
          <t>Bergvik skog väst AB</t>
        </is>
      </c>
      <c r="G13" t="n">
        <v>15.3</v>
      </c>
      <c r="H13" t="n">
        <v>3</v>
      </c>
      <c r="I13" t="n">
        <v>3</v>
      </c>
      <c r="J13" t="n">
        <v>0</v>
      </c>
      <c r="K13" t="n">
        <v>2</v>
      </c>
      <c r="L13" t="n">
        <v>0</v>
      </c>
      <c r="M13" t="n">
        <v>0</v>
      </c>
      <c r="N13" t="n">
        <v>0</v>
      </c>
      <c r="O13" t="n">
        <v>2</v>
      </c>
      <c r="P13" t="n">
        <v>2</v>
      </c>
      <c r="Q13" t="n">
        <v>8</v>
      </c>
      <c r="R13" s="2" t="inlineStr">
        <is>
          <t>Aspgelélav
Läderlappslav
Bårdlav
Gytterlav
Skinnlav
Fläcknycklar
Mattlummer
Revlummer</t>
        </is>
      </c>
      <c r="S13">
        <f>HYPERLINK("https://klasma.github.io/Logging_2085/artfynd/A 30447-2022 artfynd.xlsx", "A 30447-2022")</f>
        <v/>
      </c>
      <c r="T13">
        <f>HYPERLINK("https://klasma.github.io/Logging_2085/kartor/A 30447-2022 karta.png", "A 30447-2022")</f>
        <v/>
      </c>
      <c r="V13">
        <f>HYPERLINK("https://klasma.github.io/Logging_2085/klagomål/A 30447-2022 FSC-klagomål.docx", "A 30447-2022")</f>
        <v/>
      </c>
      <c r="W13">
        <f>HYPERLINK("https://klasma.github.io/Logging_2085/klagomålsmail/A 30447-2022 FSC-klagomål mail.docx", "A 30447-2022")</f>
        <v/>
      </c>
      <c r="X13">
        <f>HYPERLINK("https://klasma.github.io/Logging_2085/tillsyn/A 30447-2022 tillsynsbegäran.docx", "A 30447-2022")</f>
        <v/>
      </c>
      <c r="Y13">
        <f>HYPERLINK("https://klasma.github.io/Logging_2085/tillsynsmail/A 30447-2022 tillsynsbegäran mail.docx", "A 30447-2022")</f>
        <v/>
      </c>
    </row>
    <row r="14" ht="15" customHeight="1">
      <c r="A14" t="inlineStr">
        <is>
          <t>A 1912-2023</t>
        </is>
      </c>
      <c r="B14" s="1" t="n">
        <v>44937</v>
      </c>
      <c r="C14" s="1" t="n">
        <v>45849</v>
      </c>
      <c r="D14" t="inlineStr">
        <is>
          <t>DALARNAS LÄN</t>
        </is>
      </c>
      <c r="E14" t="inlineStr">
        <is>
          <t>LUDVIKA</t>
        </is>
      </c>
      <c r="F14" t="inlineStr">
        <is>
          <t>Kommuner</t>
        </is>
      </c>
      <c r="G14" t="n">
        <v>8.800000000000001</v>
      </c>
      <c r="H14" t="n">
        <v>0</v>
      </c>
      <c r="I14" t="n">
        <v>5</v>
      </c>
      <c r="J14" t="n">
        <v>2</v>
      </c>
      <c r="K14" t="n">
        <v>1</v>
      </c>
      <c r="L14" t="n">
        <v>0</v>
      </c>
      <c r="M14" t="n">
        <v>0</v>
      </c>
      <c r="N14" t="n">
        <v>0</v>
      </c>
      <c r="O14" t="n">
        <v>3</v>
      </c>
      <c r="P14" t="n">
        <v>1</v>
      </c>
      <c r="Q14" t="n">
        <v>8</v>
      </c>
      <c r="R14" s="2" t="inlineStr">
        <is>
          <t>Rynkskinn
Kådvaxskinn
Mjölig dropplav
Fjällig taggsvamp s.str.
Kamjordstjärna
Mörk husmossa
Svavelriska
Vedticka</t>
        </is>
      </c>
      <c r="S14">
        <f>HYPERLINK("https://klasma.github.io/Logging_2085/artfynd/A 1912-2023 artfynd.xlsx", "A 1912-2023")</f>
        <v/>
      </c>
      <c r="T14">
        <f>HYPERLINK("https://klasma.github.io/Logging_2085/kartor/A 1912-2023 karta.png", "A 1912-2023")</f>
        <v/>
      </c>
      <c r="V14">
        <f>HYPERLINK("https://klasma.github.io/Logging_2085/klagomål/A 1912-2023 FSC-klagomål.docx", "A 1912-2023")</f>
        <v/>
      </c>
      <c r="W14">
        <f>HYPERLINK("https://klasma.github.io/Logging_2085/klagomålsmail/A 1912-2023 FSC-klagomål mail.docx", "A 1912-2023")</f>
        <v/>
      </c>
      <c r="X14">
        <f>HYPERLINK("https://klasma.github.io/Logging_2085/tillsyn/A 1912-2023 tillsynsbegäran.docx", "A 1912-2023")</f>
        <v/>
      </c>
      <c r="Y14">
        <f>HYPERLINK("https://klasma.github.io/Logging_2085/tillsynsmail/A 1912-2023 tillsynsbegäran mail.docx", "A 1912-2023")</f>
        <v/>
      </c>
    </row>
    <row r="15" ht="15" customHeight="1">
      <c r="A15" t="inlineStr">
        <is>
          <t>A 31749-2024</t>
        </is>
      </c>
      <c r="B15" s="1" t="n">
        <v>45509</v>
      </c>
      <c r="C15" s="1" t="n">
        <v>45849</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54639-2020</t>
        </is>
      </c>
      <c r="B16" s="1" t="n">
        <v>44127</v>
      </c>
      <c r="C16" s="1" t="n">
        <v>45849</v>
      </c>
      <c r="D16" t="inlineStr">
        <is>
          <t>DALARNAS LÄN</t>
        </is>
      </c>
      <c r="E16" t="inlineStr">
        <is>
          <t>LUDVIKA</t>
        </is>
      </c>
      <c r="F16" t="inlineStr">
        <is>
          <t>Övriga Aktiebolag</t>
        </is>
      </c>
      <c r="G16" t="n">
        <v>25.9</v>
      </c>
      <c r="H16" t="n">
        <v>3</v>
      </c>
      <c r="I16" t="n">
        <v>2</v>
      </c>
      <c r="J16" t="n">
        <v>2</v>
      </c>
      <c r="K16" t="n">
        <v>1</v>
      </c>
      <c r="L16" t="n">
        <v>0</v>
      </c>
      <c r="M16" t="n">
        <v>0</v>
      </c>
      <c r="N16" t="n">
        <v>0</v>
      </c>
      <c r="O16" t="n">
        <v>3</v>
      </c>
      <c r="P16" t="n">
        <v>1</v>
      </c>
      <c r="Q16" t="n">
        <v>5</v>
      </c>
      <c r="R16" s="2" t="inlineStr">
        <is>
          <t>Knärot
Tretåig hackspett
Ullticka
Bronshjon
Korallrot</t>
        </is>
      </c>
      <c r="S16">
        <f>HYPERLINK("https://klasma.github.io/Logging_2085/artfynd/A 54639-2020 artfynd.xlsx", "A 54639-2020")</f>
        <v/>
      </c>
      <c r="T16">
        <f>HYPERLINK("https://klasma.github.io/Logging_2085/kartor/A 54639-2020 karta.png", "A 54639-2020")</f>
        <v/>
      </c>
      <c r="U16">
        <f>HYPERLINK("https://klasma.github.io/Logging_2085/knärot/A 54639-2020 karta knärot.png", "A 54639-2020")</f>
        <v/>
      </c>
      <c r="V16">
        <f>HYPERLINK("https://klasma.github.io/Logging_2085/klagomål/A 54639-2020 FSC-klagomål.docx", "A 54639-2020")</f>
        <v/>
      </c>
      <c r="W16">
        <f>HYPERLINK("https://klasma.github.io/Logging_2085/klagomålsmail/A 54639-2020 FSC-klagomål mail.docx", "A 54639-2020")</f>
        <v/>
      </c>
      <c r="X16">
        <f>HYPERLINK("https://klasma.github.io/Logging_2085/tillsyn/A 54639-2020 tillsynsbegäran.docx", "A 54639-2020")</f>
        <v/>
      </c>
      <c r="Y16">
        <f>HYPERLINK("https://klasma.github.io/Logging_2085/tillsynsmail/A 54639-2020 tillsynsbegäran mail.docx", "A 54639-2020")</f>
        <v/>
      </c>
      <c r="Z16">
        <f>HYPERLINK("https://klasma.github.io/Logging_2085/fåglar/A 54639-2020 prioriterade fågelarter.docx", "A 54639-2020")</f>
        <v/>
      </c>
    </row>
    <row r="17" ht="15" customHeight="1">
      <c r="A17" t="inlineStr">
        <is>
          <t>A 24739-2023</t>
        </is>
      </c>
      <c r="B17" s="1" t="n">
        <v>45084</v>
      </c>
      <c r="C17" s="1" t="n">
        <v>45849</v>
      </c>
      <c r="D17" t="inlineStr">
        <is>
          <t>DALARNAS LÄN</t>
        </is>
      </c>
      <c r="E17" t="inlineStr">
        <is>
          <t>LUDVIKA</t>
        </is>
      </c>
      <c r="F17" t="inlineStr">
        <is>
          <t>Bergvik skog väst AB</t>
        </is>
      </c>
      <c r="G17" t="n">
        <v>17.8</v>
      </c>
      <c r="H17" t="n">
        <v>0</v>
      </c>
      <c r="I17" t="n">
        <v>2</v>
      </c>
      <c r="J17" t="n">
        <v>3</v>
      </c>
      <c r="K17" t="n">
        <v>0</v>
      </c>
      <c r="L17" t="n">
        <v>0</v>
      </c>
      <c r="M17" t="n">
        <v>0</v>
      </c>
      <c r="N17" t="n">
        <v>0</v>
      </c>
      <c r="O17" t="n">
        <v>3</v>
      </c>
      <c r="P17" t="n">
        <v>0</v>
      </c>
      <c r="Q17" t="n">
        <v>5</v>
      </c>
      <c r="R17" s="2" t="inlineStr">
        <is>
          <t>Aspskinn
Barrviolspindling
Veckticka
Dvärgtufs
Luddlav</t>
        </is>
      </c>
      <c r="S17">
        <f>HYPERLINK("https://klasma.github.io/Logging_2085/artfynd/A 24739-2023 artfynd.xlsx", "A 24739-2023")</f>
        <v/>
      </c>
      <c r="T17">
        <f>HYPERLINK("https://klasma.github.io/Logging_2085/kartor/A 24739-2023 karta.png", "A 24739-2023")</f>
        <v/>
      </c>
      <c r="V17">
        <f>HYPERLINK("https://klasma.github.io/Logging_2085/klagomål/A 24739-2023 FSC-klagomål.docx", "A 24739-2023")</f>
        <v/>
      </c>
      <c r="W17">
        <f>HYPERLINK("https://klasma.github.io/Logging_2085/klagomålsmail/A 24739-2023 FSC-klagomål mail.docx", "A 24739-2023")</f>
        <v/>
      </c>
      <c r="X17">
        <f>HYPERLINK("https://klasma.github.io/Logging_2085/tillsyn/A 24739-2023 tillsynsbegäran.docx", "A 24739-2023")</f>
        <v/>
      </c>
      <c r="Y17">
        <f>HYPERLINK("https://klasma.github.io/Logging_2085/tillsynsmail/A 24739-2023 tillsynsbegäran mail.docx", "A 24739-2023")</f>
        <v/>
      </c>
    </row>
    <row r="18" ht="15" customHeight="1">
      <c r="A18" t="inlineStr">
        <is>
          <t>A 38618-2023</t>
        </is>
      </c>
      <c r="B18" s="1" t="n">
        <v>45162</v>
      </c>
      <c r="C18" s="1" t="n">
        <v>45849</v>
      </c>
      <c r="D18" t="inlineStr">
        <is>
          <t>DALARNAS LÄN</t>
        </is>
      </c>
      <c r="E18" t="inlineStr">
        <is>
          <t>LUDVIKA</t>
        </is>
      </c>
      <c r="F18" t="inlineStr">
        <is>
          <t>Bergvik skog väst AB</t>
        </is>
      </c>
      <c r="G18" t="n">
        <v>5.9</v>
      </c>
      <c r="H18" t="n">
        <v>0</v>
      </c>
      <c r="I18" t="n">
        <v>4</v>
      </c>
      <c r="J18" t="n">
        <v>1</v>
      </c>
      <c r="K18" t="n">
        <v>0</v>
      </c>
      <c r="L18" t="n">
        <v>0</v>
      </c>
      <c r="M18" t="n">
        <v>0</v>
      </c>
      <c r="N18" t="n">
        <v>0</v>
      </c>
      <c r="O18" t="n">
        <v>1</v>
      </c>
      <c r="P18" t="n">
        <v>0</v>
      </c>
      <c r="Q18" t="n">
        <v>5</v>
      </c>
      <c r="R18" s="2" t="inlineStr">
        <is>
          <t>Garnlav
Bårdlav
Korallblylav
Stuplav
Vedticka</t>
        </is>
      </c>
      <c r="S18">
        <f>HYPERLINK("https://klasma.github.io/Logging_2085/artfynd/A 38618-2023 artfynd.xlsx", "A 38618-2023")</f>
        <v/>
      </c>
      <c r="T18">
        <f>HYPERLINK("https://klasma.github.io/Logging_2085/kartor/A 38618-2023 karta.png", "A 38618-2023")</f>
        <v/>
      </c>
      <c r="V18">
        <f>HYPERLINK("https://klasma.github.io/Logging_2085/klagomål/A 38618-2023 FSC-klagomål.docx", "A 38618-2023")</f>
        <v/>
      </c>
      <c r="W18">
        <f>HYPERLINK("https://klasma.github.io/Logging_2085/klagomålsmail/A 38618-2023 FSC-klagomål mail.docx", "A 38618-2023")</f>
        <v/>
      </c>
      <c r="X18">
        <f>HYPERLINK("https://klasma.github.io/Logging_2085/tillsyn/A 38618-2023 tillsynsbegäran.docx", "A 38618-2023")</f>
        <v/>
      </c>
      <c r="Y18">
        <f>HYPERLINK("https://klasma.github.io/Logging_2085/tillsynsmail/A 38618-2023 tillsynsbegäran mail.docx", "A 38618-2023")</f>
        <v/>
      </c>
    </row>
    <row r="19" ht="15" customHeight="1">
      <c r="A19" t="inlineStr">
        <is>
          <t>A 55855-2023</t>
        </is>
      </c>
      <c r="B19" s="1" t="n">
        <v>45239</v>
      </c>
      <c r="C19" s="1" t="n">
        <v>45849</v>
      </c>
      <c r="D19" t="inlineStr">
        <is>
          <t>DALARNAS LÄN</t>
        </is>
      </c>
      <c r="E19" t="inlineStr">
        <is>
          <t>LUDVIKA</t>
        </is>
      </c>
      <c r="F19" t="inlineStr">
        <is>
          <t>Bergvik skog väst AB</t>
        </is>
      </c>
      <c r="G19" t="n">
        <v>11.8</v>
      </c>
      <c r="H19" t="n">
        <v>4</v>
      </c>
      <c r="I19" t="n">
        <v>0</v>
      </c>
      <c r="J19" t="n">
        <v>4</v>
      </c>
      <c r="K19" t="n">
        <v>0</v>
      </c>
      <c r="L19" t="n">
        <v>0</v>
      </c>
      <c r="M19" t="n">
        <v>0</v>
      </c>
      <c r="N19" t="n">
        <v>0</v>
      </c>
      <c r="O19" t="n">
        <v>4</v>
      </c>
      <c r="P19" t="n">
        <v>0</v>
      </c>
      <c r="Q19" t="n">
        <v>5</v>
      </c>
      <c r="R19" s="2" t="inlineStr">
        <is>
          <t>Brunklöver
Duvhök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53053-2024</t>
        </is>
      </c>
      <c r="B20" s="1" t="n">
        <v>45611</v>
      </c>
      <c r="C20" s="1" t="n">
        <v>45849</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29285-2020</t>
        </is>
      </c>
      <c r="B21" s="1" t="n">
        <v>44000</v>
      </c>
      <c r="C21" s="1" t="n">
        <v>45849</v>
      </c>
      <c r="D21" t="inlineStr">
        <is>
          <t>DALARNAS LÄN</t>
        </is>
      </c>
      <c r="E21" t="inlineStr">
        <is>
          <t>LUDVIKA</t>
        </is>
      </c>
      <c r="G21" t="n">
        <v>2.5</v>
      </c>
      <c r="H21" t="n">
        <v>1</v>
      </c>
      <c r="I21" t="n">
        <v>1</v>
      </c>
      <c r="J21" t="n">
        <v>2</v>
      </c>
      <c r="K21" t="n">
        <v>0</v>
      </c>
      <c r="L21" t="n">
        <v>0</v>
      </c>
      <c r="M21" t="n">
        <v>0</v>
      </c>
      <c r="N21" t="n">
        <v>0</v>
      </c>
      <c r="O21" t="n">
        <v>2</v>
      </c>
      <c r="P21" t="n">
        <v>0</v>
      </c>
      <c r="Q21" t="n">
        <v>4</v>
      </c>
      <c r="R21" s="2" t="inlineStr">
        <is>
          <t>Violettgrå tagellav
Vitgrynig nållav
Nästlav
Fläcknycklar</t>
        </is>
      </c>
      <c r="S21">
        <f>HYPERLINK("https://klasma.github.io/Logging_2085/artfynd/A 29285-2020 artfynd.xlsx", "A 29285-2020")</f>
        <v/>
      </c>
      <c r="T21">
        <f>HYPERLINK("https://klasma.github.io/Logging_2085/kartor/A 29285-2020 karta.png", "A 29285-2020")</f>
        <v/>
      </c>
      <c r="V21">
        <f>HYPERLINK("https://klasma.github.io/Logging_2085/klagomål/A 29285-2020 FSC-klagomål.docx", "A 29285-2020")</f>
        <v/>
      </c>
      <c r="W21">
        <f>HYPERLINK("https://klasma.github.io/Logging_2085/klagomålsmail/A 29285-2020 FSC-klagomål mail.docx", "A 29285-2020")</f>
        <v/>
      </c>
      <c r="X21">
        <f>HYPERLINK("https://klasma.github.io/Logging_2085/tillsyn/A 29285-2020 tillsynsbegäran.docx", "A 29285-2020")</f>
        <v/>
      </c>
      <c r="Y21">
        <f>HYPERLINK("https://klasma.github.io/Logging_2085/tillsynsmail/A 29285-2020 tillsynsbegäran mail.docx", "A 29285-2020")</f>
        <v/>
      </c>
    </row>
    <row r="22" ht="15" customHeight="1">
      <c r="A22" t="inlineStr">
        <is>
          <t>A 44535-2021</t>
        </is>
      </c>
      <c r="B22" s="1" t="n">
        <v>44435</v>
      </c>
      <c r="C22" s="1" t="n">
        <v>45849</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14637-2023</t>
        </is>
      </c>
      <c r="B23" s="1" t="n">
        <v>45013</v>
      </c>
      <c r="C23" s="1" t="n">
        <v>45849</v>
      </c>
      <c r="D23" t="inlineStr">
        <is>
          <t>DALARNAS LÄN</t>
        </is>
      </c>
      <c r="E23" t="inlineStr">
        <is>
          <t>LUDVIKA</t>
        </is>
      </c>
      <c r="F23" t="inlineStr">
        <is>
          <t>Övriga Aktiebolag</t>
        </is>
      </c>
      <c r="G23" t="n">
        <v>6.1</v>
      </c>
      <c r="H23" t="n">
        <v>1</v>
      </c>
      <c r="I23" t="n">
        <v>3</v>
      </c>
      <c r="J23" t="n">
        <v>0</v>
      </c>
      <c r="K23" t="n">
        <v>0</v>
      </c>
      <c r="L23" t="n">
        <v>0</v>
      </c>
      <c r="M23" t="n">
        <v>0</v>
      </c>
      <c r="N23" t="n">
        <v>0</v>
      </c>
      <c r="O23" t="n">
        <v>0</v>
      </c>
      <c r="P23" t="n">
        <v>0</v>
      </c>
      <c r="Q23" t="n">
        <v>4</v>
      </c>
      <c r="R23" s="2" t="inlineStr">
        <is>
          <t>Korallblylav
Skinnlav
Vårärt
Blåsippa</t>
        </is>
      </c>
      <c r="S23">
        <f>HYPERLINK("https://klasma.github.io/Logging_2085/artfynd/A 14637-2023 artfynd.xlsx", "A 14637-2023")</f>
        <v/>
      </c>
      <c r="T23">
        <f>HYPERLINK("https://klasma.github.io/Logging_2085/kartor/A 14637-2023 karta.png", "A 14637-2023")</f>
        <v/>
      </c>
      <c r="V23">
        <f>HYPERLINK("https://klasma.github.io/Logging_2085/klagomål/A 14637-2023 FSC-klagomål.docx", "A 14637-2023")</f>
        <v/>
      </c>
      <c r="W23">
        <f>HYPERLINK("https://klasma.github.io/Logging_2085/klagomålsmail/A 14637-2023 FSC-klagomål mail.docx", "A 14637-2023")</f>
        <v/>
      </c>
      <c r="X23">
        <f>HYPERLINK("https://klasma.github.io/Logging_2085/tillsyn/A 14637-2023 tillsynsbegäran.docx", "A 14637-2023")</f>
        <v/>
      </c>
      <c r="Y23">
        <f>HYPERLINK("https://klasma.github.io/Logging_2085/tillsynsmail/A 14637-2023 tillsynsbegäran mail.docx", "A 14637-2023")</f>
        <v/>
      </c>
    </row>
    <row r="24" ht="15" customHeight="1">
      <c r="A24" t="inlineStr">
        <is>
          <t>A 46101-2023</t>
        </is>
      </c>
      <c r="B24" s="1" t="n">
        <v>45196</v>
      </c>
      <c r="C24" s="1" t="n">
        <v>45849</v>
      </c>
      <c r="D24" t="inlineStr">
        <is>
          <t>DALARNAS LÄN</t>
        </is>
      </c>
      <c r="E24" t="inlineStr">
        <is>
          <t>LUDVIKA</t>
        </is>
      </c>
      <c r="F24" t="inlineStr">
        <is>
          <t>Övriga Aktiebolag</t>
        </is>
      </c>
      <c r="G24" t="n">
        <v>21.1</v>
      </c>
      <c r="H24" t="n">
        <v>1</v>
      </c>
      <c r="I24" t="n">
        <v>2</v>
      </c>
      <c r="J24" t="n">
        <v>2</v>
      </c>
      <c r="K24" t="n">
        <v>0</v>
      </c>
      <c r="L24" t="n">
        <v>0</v>
      </c>
      <c r="M24" t="n">
        <v>0</v>
      </c>
      <c r="N24" t="n">
        <v>0</v>
      </c>
      <c r="O24" t="n">
        <v>2</v>
      </c>
      <c r="P24" t="n">
        <v>0</v>
      </c>
      <c r="Q24" t="n">
        <v>4</v>
      </c>
      <c r="R24" s="2" t="inlineStr">
        <is>
          <t>Garnlav
Spillkråka
Skinnlav
Strimspindling</t>
        </is>
      </c>
      <c r="S24">
        <f>HYPERLINK("https://klasma.github.io/Logging_2085/artfynd/A 46101-2023 artfynd.xlsx", "A 46101-2023")</f>
        <v/>
      </c>
      <c r="T24">
        <f>HYPERLINK("https://klasma.github.io/Logging_2085/kartor/A 46101-2023 karta.png", "A 46101-2023")</f>
        <v/>
      </c>
      <c r="V24">
        <f>HYPERLINK("https://klasma.github.io/Logging_2085/klagomål/A 46101-2023 FSC-klagomål.docx", "A 46101-2023")</f>
        <v/>
      </c>
      <c r="W24">
        <f>HYPERLINK("https://klasma.github.io/Logging_2085/klagomålsmail/A 46101-2023 FSC-klagomål mail.docx", "A 46101-2023")</f>
        <v/>
      </c>
      <c r="X24">
        <f>HYPERLINK("https://klasma.github.io/Logging_2085/tillsyn/A 46101-2023 tillsynsbegäran.docx", "A 46101-2023")</f>
        <v/>
      </c>
      <c r="Y24">
        <f>HYPERLINK("https://klasma.github.io/Logging_2085/tillsynsmail/A 46101-2023 tillsynsbegäran mail.docx", "A 46101-2023")</f>
        <v/>
      </c>
      <c r="Z24">
        <f>HYPERLINK("https://klasma.github.io/Logging_2085/fåglar/A 46101-2023 prioriterade fågelarter.docx", "A 46101-2023")</f>
        <v/>
      </c>
    </row>
    <row r="25" ht="15" customHeight="1">
      <c r="A25" t="inlineStr">
        <is>
          <t>A 49783-2024</t>
        </is>
      </c>
      <c r="B25" s="1" t="n">
        <v>45597</v>
      </c>
      <c r="C25" s="1" t="n">
        <v>45849</v>
      </c>
      <c r="D25" t="inlineStr">
        <is>
          <t>DALARNAS LÄN</t>
        </is>
      </c>
      <c r="E25" t="inlineStr">
        <is>
          <t>LUDVIKA</t>
        </is>
      </c>
      <c r="F25" t="inlineStr">
        <is>
          <t>Bergvik skog väst AB</t>
        </is>
      </c>
      <c r="G25" t="n">
        <v>20.9</v>
      </c>
      <c r="H25" t="n">
        <v>0</v>
      </c>
      <c r="I25" t="n">
        <v>0</v>
      </c>
      <c r="J25" t="n">
        <v>3</v>
      </c>
      <c r="K25" t="n">
        <v>0</v>
      </c>
      <c r="L25" t="n">
        <v>0</v>
      </c>
      <c r="M25" t="n">
        <v>0</v>
      </c>
      <c r="N25" t="n">
        <v>0</v>
      </c>
      <c r="O25" t="n">
        <v>4</v>
      </c>
      <c r="P25" t="n">
        <v>0</v>
      </c>
      <c r="Q25" t="n">
        <v>4</v>
      </c>
      <c r="R25" s="2" t="inlineStr">
        <is>
          <t>Gammelgransskål
Garnlav
Stjärntagging
Mörk kådsvartspik</t>
        </is>
      </c>
      <c r="S25">
        <f>HYPERLINK("https://klasma.github.io/Logging_2085/artfynd/A 49783-2024 artfynd.xlsx", "A 49783-2024")</f>
        <v/>
      </c>
      <c r="T25">
        <f>HYPERLINK("https://klasma.github.io/Logging_2085/kartor/A 49783-2024 karta.png", "A 49783-2024")</f>
        <v/>
      </c>
      <c r="V25">
        <f>HYPERLINK("https://klasma.github.io/Logging_2085/klagomål/A 49783-2024 FSC-klagomål.docx", "A 49783-2024")</f>
        <v/>
      </c>
      <c r="W25">
        <f>HYPERLINK("https://klasma.github.io/Logging_2085/klagomålsmail/A 49783-2024 FSC-klagomål mail.docx", "A 49783-2024")</f>
        <v/>
      </c>
      <c r="X25">
        <f>HYPERLINK("https://klasma.github.io/Logging_2085/tillsyn/A 49783-2024 tillsynsbegäran.docx", "A 49783-2024")</f>
        <v/>
      </c>
      <c r="Y25">
        <f>HYPERLINK("https://klasma.github.io/Logging_2085/tillsynsmail/A 49783-2024 tillsynsbegäran mail.docx", "A 49783-2024")</f>
        <v/>
      </c>
    </row>
    <row r="26" ht="15" customHeight="1">
      <c r="A26" t="inlineStr">
        <is>
          <t>A 51045-2024</t>
        </is>
      </c>
      <c r="B26" s="1" t="n">
        <v>45603</v>
      </c>
      <c r="C26" s="1" t="n">
        <v>45849</v>
      </c>
      <c r="D26" t="inlineStr">
        <is>
          <t>DALARNAS LÄN</t>
        </is>
      </c>
      <c r="E26" t="inlineStr">
        <is>
          <t>LUDVIKA</t>
        </is>
      </c>
      <c r="F26" t="inlineStr">
        <is>
          <t>Bergvik skog väst AB</t>
        </is>
      </c>
      <c r="G26" t="n">
        <v>2.4</v>
      </c>
      <c r="H26" t="n">
        <v>0</v>
      </c>
      <c r="I26" t="n">
        <v>3</v>
      </c>
      <c r="J26" t="n">
        <v>1</v>
      </c>
      <c r="K26" t="n">
        <v>0</v>
      </c>
      <c r="L26" t="n">
        <v>0</v>
      </c>
      <c r="M26" t="n">
        <v>0</v>
      </c>
      <c r="N26" t="n">
        <v>0</v>
      </c>
      <c r="O26" t="n">
        <v>1</v>
      </c>
      <c r="P26" t="n">
        <v>0</v>
      </c>
      <c r="Q26" t="n">
        <v>4</v>
      </c>
      <c r="R26" s="2" t="inlineStr">
        <is>
          <t>Garnlav
Björksplintborre
Bronshjon
Dropptaggsvamp</t>
        </is>
      </c>
      <c r="S26">
        <f>HYPERLINK("https://klasma.github.io/Logging_2085/artfynd/A 51045-2024 artfynd.xlsx", "A 51045-2024")</f>
        <v/>
      </c>
      <c r="T26">
        <f>HYPERLINK("https://klasma.github.io/Logging_2085/kartor/A 51045-2024 karta.png", "A 51045-2024")</f>
        <v/>
      </c>
      <c r="V26">
        <f>HYPERLINK("https://klasma.github.io/Logging_2085/klagomål/A 51045-2024 FSC-klagomål.docx", "A 51045-2024")</f>
        <v/>
      </c>
      <c r="W26">
        <f>HYPERLINK("https://klasma.github.io/Logging_2085/klagomålsmail/A 51045-2024 FSC-klagomål mail.docx", "A 51045-2024")</f>
        <v/>
      </c>
      <c r="X26">
        <f>HYPERLINK("https://klasma.github.io/Logging_2085/tillsyn/A 51045-2024 tillsynsbegäran.docx", "A 51045-2024")</f>
        <v/>
      </c>
      <c r="Y26">
        <f>HYPERLINK("https://klasma.github.io/Logging_2085/tillsynsmail/A 51045-2024 tillsynsbegäran mail.docx", "A 51045-2024")</f>
        <v/>
      </c>
    </row>
    <row r="27" ht="15" customHeight="1">
      <c r="A27" t="inlineStr">
        <is>
          <t>A 51928-2024</t>
        </is>
      </c>
      <c r="B27" s="1" t="n">
        <v>45607</v>
      </c>
      <c r="C27" s="1" t="n">
        <v>45849</v>
      </c>
      <c r="D27" t="inlineStr">
        <is>
          <t>DALARNAS LÄN</t>
        </is>
      </c>
      <c r="E27" t="inlineStr">
        <is>
          <t>LUDVIKA</t>
        </is>
      </c>
      <c r="F27" t="inlineStr">
        <is>
          <t>Bergvik skog väst AB</t>
        </is>
      </c>
      <c r="G27" t="n">
        <v>27.9</v>
      </c>
      <c r="H27" t="n">
        <v>0</v>
      </c>
      <c r="I27" t="n">
        <v>3</v>
      </c>
      <c r="J27" t="n">
        <v>1</v>
      </c>
      <c r="K27" t="n">
        <v>0</v>
      </c>
      <c r="L27" t="n">
        <v>0</v>
      </c>
      <c r="M27" t="n">
        <v>0</v>
      </c>
      <c r="N27" t="n">
        <v>0</v>
      </c>
      <c r="O27" t="n">
        <v>1</v>
      </c>
      <c r="P27" t="n">
        <v>0</v>
      </c>
      <c r="Q27" t="n">
        <v>4</v>
      </c>
      <c r="R27" s="2" t="inlineStr">
        <is>
          <t>Brunpudrad nållav
Gulnål
Kornig nållav
Vedticka</t>
        </is>
      </c>
      <c r="S27">
        <f>HYPERLINK("https://klasma.github.io/Logging_2085/artfynd/A 51928-2024 artfynd.xlsx", "A 51928-2024")</f>
        <v/>
      </c>
      <c r="T27">
        <f>HYPERLINK("https://klasma.github.io/Logging_2085/kartor/A 51928-2024 karta.png", "A 51928-2024")</f>
        <v/>
      </c>
      <c r="V27">
        <f>HYPERLINK("https://klasma.github.io/Logging_2085/klagomål/A 51928-2024 FSC-klagomål.docx", "A 51928-2024")</f>
        <v/>
      </c>
      <c r="W27">
        <f>HYPERLINK("https://klasma.github.io/Logging_2085/klagomålsmail/A 51928-2024 FSC-klagomål mail.docx", "A 51928-2024")</f>
        <v/>
      </c>
      <c r="X27">
        <f>HYPERLINK("https://klasma.github.io/Logging_2085/tillsyn/A 51928-2024 tillsynsbegäran.docx", "A 51928-2024")</f>
        <v/>
      </c>
      <c r="Y27">
        <f>HYPERLINK("https://klasma.github.io/Logging_2085/tillsynsmail/A 51928-2024 tillsynsbegäran mail.docx", "A 51928-2024")</f>
        <v/>
      </c>
    </row>
    <row r="28" ht="15" customHeight="1">
      <c r="A28" t="inlineStr">
        <is>
          <t>A 23099-2025</t>
        </is>
      </c>
      <c r="B28" s="1" t="n">
        <v>45791</v>
      </c>
      <c r="C28" s="1" t="n">
        <v>45849</v>
      </c>
      <c r="D28" t="inlineStr">
        <is>
          <t>DALARNAS LÄN</t>
        </is>
      </c>
      <c r="E28" t="inlineStr">
        <is>
          <t>LUDVIKA</t>
        </is>
      </c>
      <c r="F28" t="inlineStr">
        <is>
          <t>Bergvik skog väst AB</t>
        </is>
      </c>
      <c r="G28" t="n">
        <v>1.5</v>
      </c>
      <c r="H28" t="n">
        <v>0</v>
      </c>
      <c r="I28" t="n">
        <v>3</v>
      </c>
      <c r="J28" t="n">
        <v>1</v>
      </c>
      <c r="K28" t="n">
        <v>0</v>
      </c>
      <c r="L28" t="n">
        <v>0</v>
      </c>
      <c r="M28" t="n">
        <v>0</v>
      </c>
      <c r="N28" t="n">
        <v>0</v>
      </c>
      <c r="O28" t="n">
        <v>1</v>
      </c>
      <c r="P28" t="n">
        <v>0</v>
      </c>
      <c r="Q28" t="n">
        <v>4</v>
      </c>
      <c r="R28" s="2" t="inlineStr">
        <is>
          <t>Vedtrappmossa
Blek stjärnmossa
Guldlockmossa
Platt fjädermossa</t>
        </is>
      </c>
      <c r="S28">
        <f>HYPERLINK("https://klasma.github.io/Logging_202085/artfynd/A 23099-2025 artfynd.xlsx", "A 23099-2025")</f>
        <v/>
      </c>
      <c r="T28">
        <f>HYPERLINK("https://klasma.github.io/Logging_202085/kartor/A 23099-2025 karta.png", "A 23099-2025")</f>
        <v/>
      </c>
      <c r="V28">
        <f>HYPERLINK("https://klasma.github.io/Logging_202085/klagomål/A 23099-2025 FSC-klagomål.docx", "A 23099-2025")</f>
        <v/>
      </c>
      <c r="W28">
        <f>HYPERLINK("https://klasma.github.io/Logging_202085/klagomålsmail/A 23099-2025 FSC-klagomål mail.docx", "A 23099-2025")</f>
        <v/>
      </c>
      <c r="X28">
        <f>HYPERLINK("https://klasma.github.io/Logging_202085/tillsyn/A 23099-2025 tillsynsbegäran.docx", "A 23099-2025")</f>
        <v/>
      </c>
      <c r="Y28">
        <f>HYPERLINK("https://klasma.github.io/Logging_202085/tillsynsmail/A 23099-2025 tillsynsbegäran mail.docx", "A 23099-2025")</f>
        <v/>
      </c>
    </row>
    <row r="29" ht="15" customHeight="1">
      <c r="A29" t="inlineStr">
        <is>
          <t>A 25287-2025</t>
        </is>
      </c>
      <c r="B29" s="1" t="n">
        <v>45800</v>
      </c>
      <c r="C29" s="1" t="n">
        <v>45849</v>
      </c>
      <c r="D29" t="inlineStr">
        <is>
          <t>DALARNAS LÄN</t>
        </is>
      </c>
      <c r="E29" t="inlineStr">
        <is>
          <t>LUDVIKA</t>
        </is>
      </c>
      <c r="F29" t="inlineStr">
        <is>
          <t>Bergvik skog väst AB</t>
        </is>
      </c>
      <c r="G29" t="n">
        <v>8.6</v>
      </c>
      <c r="H29" t="n">
        <v>0</v>
      </c>
      <c r="I29" t="n">
        <v>1</v>
      </c>
      <c r="J29" t="n">
        <v>3</v>
      </c>
      <c r="K29" t="n">
        <v>0</v>
      </c>
      <c r="L29" t="n">
        <v>0</v>
      </c>
      <c r="M29" t="n">
        <v>0</v>
      </c>
      <c r="N29" t="n">
        <v>0</v>
      </c>
      <c r="O29" t="n">
        <v>3</v>
      </c>
      <c r="P29" t="n">
        <v>0</v>
      </c>
      <c r="Q29" t="n">
        <v>4</v>
      </c>
      <c r="R29" s="2" t="inlineStr">
        <is>
          <t>Garnlav
Kolflarnlav
Vedskivlav
Nästlav</t>
        </is>
      </c>
      <c r="S29">
        <f>HYPERLINK("https://klasma.github.io/Logging_202085/artfynd/A 25287-2025 artfynd.xlsx", "A 25287-2025")</f>
        <v/>
      </c>
      <c r="T29">
        <f>HYPERLINK("https://klasma.github.io/Logging_202085/kartor/A 25287-2025 karta.png", "A 25287-2025")</f>
        <v/>
      </c>
      <c r="V29">
        <f>HYPERLINK("https://klasma.github.io/Logging_202085/klagomål/A 25287-2025 FSC-klagomål.docx", "A 25287-2025")</f>
        <v/>
      </c>
      <c r="W29">
        <f>HYPERLINK("https://klasma.github.io/Logging_202085/klagomålsmail/A 25287-2025 FSC-klagomål mail.docx", "A 25287-2025")</f>
        <v/>
      </c>
      <c r="X29">
        <f>HYPERLINK("https://klasma.github.io/Logging_202085/tillsyn/A 25287-2025 tillsynsbegäran.docx", "A 25287-2025")</f>
        <v/>
      </c>
      <c r="Y29">
        <f>HYPERLINK("https://klasma.github.io/Logging_202085/tillsynsmail/A 25287-2025 tillsynsbegäran mail.docx", "A 25287-2025")</f>
        <v/>
      </c>
    </row>
    <row r="30" ht="15" customHeight="1">
      <c r="A30" t="inlineStr">
        <is>
          <t>A 69138-2020</t>
        </is>
      </c>
      <c r="B30" s="1" t="n">
        <v>44188</v>
      </c>
      <c r="C30" s="1" t="n">
        <v>45849</v>
      </c>
      <c r="D30" t="inlineStr">
        <is>
          <t>DALARNAS LÄN</t>
        </is>
      </c>
      <c r="E30" t="inlineStr">
        <is>
          <t>LUDVIKA</t>
        </is>
      </c>
      <c r="G30" t="n">
        <v>6.7</v>
      </c>
      <c r="H30" t="n">
        <v>0</v>
      </c>
      <c r="I30" t="n">
        <v>3</v>
      </c>
      <c r="J30" t="n">
        <v>0</v>
      </c>
      <c r="K30" t="n">
        <v>0</v>
      </c>
      <c r="L30" t="n">
        <v>0</v>
      </c>
      <c r="M30" t="n">
        <v>0</v>
      </c>
      <c r="N30" t="n">
        <v>0</v>
      </c>
      <c r="O30" t="n">
        <v>0</v>
      </c>
      <c r="P30" t="n">
        <v>0</v>
      </c>
      <c r="Q30" t="n">
        <v>3</v>
      </c>
      <c r="R30" s="2" t="inlineStr">
        <is>
          <t>Rödgul trumpetsvamp
Svavelriska
Tibast</t>
        </is>
      </c>
      <c r="S30">
        <f>HYPERLINK("https://klasma.github.io/Logging_2085/artfynd/A 69138-2020 artfynd.xlsx", "A 69138-2020")</f>
        <v/>
      </c>
      <c r="T30">
        <f>HYPERLINK("https://klasma.github.io/Logging_2085/kartor/A 69138-2020 karta.png", "A 69138-2020")</f>
        <v/>
      </c>
      <c r="V30">
        <f>HYPERLINK("https://klasma.github.io/Logging_2085/klagomål/A 69138-2020 FSC-klagomål.docx", "A 69138-2020")</f>
        <v/>
      </c>
      <c r="W30">
        <f>HYPERLINK("https://klasma.github.io/Logging_2085/klagomålsmail/A 69138-2020 FSC-klagomål mail.docx", "A 69138-2020")</f>
        <v/>
      </c>
      <c r="X30">
        <f>HYPERLINK("https://klasma.github.io/Logging_2085/tillsyn/A 69138-2020 tillsynsbegäran.docx", "A 69138-2020")</f>
        <v/>
      </c>
      <c r="Y30">
        <f>HYPERLINK("https://klasma.github.io/Logging_2085/tillsynsmail/A 69138-2020 tillsynsbegäran mail.docx", "A 69138-2020")</f>
        <v/>
      </c>
    </row>
    <row r="31" ht="15" customHeight="1">
      <c r="A31" t="inlineStr">
        <is>
          <t>A 56632-2021</t>
        </is>
      </c>
      <c r="B31" s="1" t="n">
        <v>44480</v>
      </c>
      <c r="C31" s="1" t="n">
        <v>45849</v>
      </c>
      <c r="D31" t="inlineStr">
        <is>
          <t>DALARNAS LÄN</t>
        </is>
      </c>
      <c r="E31" t="inlineStr">
        <is>
          <t>LUDVIKA</t>
        </is>
      </c>
      <c r="G31" t="n">
        <v>17.1</v>
      </c>
      <c r="H31" t="n">
        <v>1</v>
      </c>
      <c r="I31" t="n">
        <v>2</v>
      </c>
      <c r="J31" t="n">
        <v>1</v>
      </c>
      <c r="K31" t="n">
        <v>0</v>
      </c>
      <c r="L31" t="n">
        <v>0</v>
      </c>
      <c r="M31" t="n">
        <v>0</v>
      </c>
      <c r="N31" t="n">
        <v>0</v>
      </c>
      <c r="O31" t="n">
        <v>1</v>
      </c>
      <c r="P31" t="n">
        <v>0</v>
      </c>
      <c r="Q31" t="n">
        <v>3</v>
      </c>
      <c r="R31" s="2" t="inlineStr">
        <is>
          <t>Nordfladdermus
Gräsull
Skinnlav</t>
        </is>
      </c>
      <c r="S31">
        <f>HYPERLINK("https://klasma.github.io/Logging_2085/artfynd/A 56632-2021 artfynd.xlsx", "A 56632-2021")</f>
        <v/>
      </c>
      <c r="T31">
        <f>HYPERLINK("https://klasma.github.io/Logging_2085/kartor/A 56632-2021 karta.png", "A 56632-2021")</f>
        <v/>
      </c>
      <c r="V31">
        <f>HYPERLINK("https://klasma.github.io/Logging_2085/klagomål/A 56632-2021 FSC-klagomål.docx", "A 56632-2021")</f>
        <v/>
      </c>
      <c r="W31">
        <f>HYPERLINK("https://klasma.github.io/Logging_2085/klagomålsmail/A 56632-2021 FSC-klagomål mail.docx", "A 56632-2021")</f>
        <v/>
      </c>
      <c r="X31">
        <f>HYPERLINK("https://klasma.github.io/Logging_2085/tillsyn/A 56632-2021 tillsynsbegäran.docx", "A 56632-2021")</f>
        <v/>
      </c>
      <c r="Y31">
        <f>HYPERLINK("https://klasma.github.io/Logging_2085/tillsynsmail/A 56632-2021 tillsynsbegäran mail.docx", "A 56632-2021")</f>
        <v/>
      </c>
    </row>
    <row r="32" ht="15" customHeight="1">
      <c r="A32" t="inlineStr">
        <is>
          <t>A 45268-2022</t>
        </is>
      </c>
      <c r="B32" s="1" t="n">
        <v>44844</v>
      </c>
      <c r="C32" s="1" t="n">
        <v>45849</v>
      </c>
      <c r="D32" t="inlineStr">
        <is>
          <t>DALARNAS LÄN</t>
        </is>
      </c>
      <c r="E32" t="inlineStr">
        <is>
          <t>LUDVIKA</t>
        </is>
      </c>
      <c r="F32" t="inlineStr">
        <is>
          <t>Naturvårdsverket</t>
        </is>
      </c>
      <c r="G32" t="n">
        <v>2.3</v>
      </c>
      <c r="H32" t="n">
        <v>0</v>
      </c>
      <c r="I32" t="n">
        <v>1</v>
      </c>
      <c r="J32" t="n">
        <v>2</v>
      </c>
      <c r="K32" t="n">
        <v>0</v>
      </c>
      <c r="L32" t="n">
        <v>0</v>
      </c>
      <c r="M32" t="n">
        <v>0</v>
      </c>
      <c r="N32" t="n">
        <v>0</v>
      </c>
      <c r="O32" t="n">
        <v>2</v>
      </c>
      <c r="P32" t="n">
        <v>0</v>
      </c>
      <c r="Q32" t="n">
        <v>3</v>
      </c>
      <c r="R32" s="2" t="inlineStr">
        <is>
          <t>Orange taggsvamp
Vedtrappmossa
Vedticka</t>
        </is>
      </c>
      <c r="S32">
        <f>HYPERLINK("https://klasma.github.io/Logging_2085/artfynd/A 45268-2022 artfynd.xlsx", "A 45268-2022")</f>
        <v/>
      </c>
      <c r="T32">
        <f>HYPERLINK("https://klasma.github.io/Logging_2085/kartor/A 45268-2022 karta.png", "A 45268-2022")</f>
        <v/>
      </c>
      <c r="U32">
        <f>HYPERLINK("https://klasma.github.io/Logging_2085/knärot/A 45268-2022 karta knärot.png", "A 45268-2022")</f>
        <v/>
      </c>
      <c r="V32">
        <f>HYPERLINK("https://klasma.github.io/Logging_2085/klagomål/A 45268-2022 FSC-klagomål.docx", "A 45268-2022")</f>
        <v/>
      </c>
      <c r="W32">
        <f>HYPERLINK("https://klasma.github.io/Logging_2085/klagomålsmail/A 45268-2022 FSC-klagomål mail.docx", "A 45268-2022")</f>
        <v/>
      </c>
      <c r="X32">
        <f>HYPERLINK("https://klasma.github.io/Logging_2085/tillsyn/A 45268-2022 tillsynsbegäran.docx", "A 45268-2022")</f>
        <v/>
      </c>
      <c r="Y32">
        <f>HYPERLINK("https://klasma.github.io/Logging_2085/tillsynsmail/A 45268-2022 tillsynsbegäran mail.docx", "A 45268-2022")</f>
        <v/>
      </c>
    </row>
    <row r="33" ht="15" customHeight="1">
      <c r="A33" t="inlineStr">
        <is>
          <t>A 28119-2023</t>
        </is>
      </c>
      <c r="B33" s="1" t="n">
        <v>45099</v>
      </c>
      <c r="C33" s="1" t="n">
        <v>45849</v>
      </c>
      <c r="D33" t="inlineStr">
        <is>
          <t>DALARNAS LÄN</t>
        </is>
      </c>
      <c r="E33" t="inlineStr">
        <is>
          <t>LUDVIKA</t>
        </is>
      </c>
      <c r="F33" t="inlineStr">
        <is>
          <t>Bergvik skog väst AB</t>
        </is>
      </c>
      <c r="G33" t="n">
        <v>7.8</v>
      </c>
      <c r="H33" t="n">
        <v>1</v>
      </c>
      <c r="I33" t="n">
        <v>1</v>
      </c>
      <c r="J33" t="n">
        <v>1</v>
      </c>
      <c r="K33" t="n">
        <v>0</v>
      </c>
      <c r="L33" t="n">
        <v>0</v>
      </c>
      <c r="M33" t="n">
        <v>0</v>
      </c>
      <c r="N33" t="n">
        <v>0</v>
      </c>
      <c r="O33" t="n">
        <v>1</v>
      </c>
      <c r="P33" t="n">
        <v>0</v>
      </c>
      <c r="Q33" t="n">
        <v>3</v>
      </c>
      <c r="R33" s="2" t="inlineStr">
        <is>
          <t>Skorpgelélav
Bårdlav
Nattviol</t>
        </is>
      </c>
      <c r="S33">
        <f>HYPERLINK("https://klasma.github.io/Logging_2085/artfynd/A 28119-2023 artfynd.xlsx", "A 28119-2023")</f>
        <v/>
      </c>
      <c r="T33">
        <f>HYPERLINK("https://klasma.github.io/Logging_2085/kartor/A 28119-2023 karta.png", "A 28119-2023")</f>
        <v/>
      </c>
      <c r="V33">
        <f>HYPERLINK("https://klasma.github.io/Logging_2085/klagomål/A 28119-2023 FSC-klagomål.docx", "A 28119-2023")</f>
        <v/>
      </c>
      <c r="W33">
        <f>HYPERLINK("https://klasma.github.io/Logging_2085/klagomålsmail/A 28119-2023 FSC-klagomål mail.docx", "A 28119-2023")</f>
        <v/>
      </c>
      <c r="X33">
        <f>HYPERLINK("https://klasma.github.io/Logging_2085/tillsyn/A 28119-2023 tillsynsbegäran.docx", "A 28119-2023")</f>
        <v/>
      </c>
      <c r="Y33">
        <f>HYPERLINK("https://klasma.github.io/Logging_2085/tillsynsmail/A 28119-2023 tillsynsbegäran mail.docx", "A 28119-2023")</f>
        <v/>
      </c>
    </row>
    <row r="34" ht="15" customHeight="1">
      <c r="A34" t="inlineStr">
        <is>
          <t>A 32643-2023</t>
        </is>
      </c>
      <c r="B34" s="1" t="n">
        <v>45121</v>
      </c>
      <c r="C34" s="1" t="n">
        <v>45849</v>
      </c>
      <c r="D34" t="inlineStr">
        <is>
          <t>DALARNAS LÄN</t>
        </is>
      </c>
      <c r="E34" t="inlineStr">
        <is>
          <t>LUDVIKA</t>
        </is>
      </c>
      <c r="F34" t="inlineStr">
        <is>
          <t>Bergvik skog väst AB</t>
        </is>
      </c>
      <c r="G34" t="n">
        <v>12.2</v>
      </c>
      <c r="H34" t="n">
        <v>1</v>
      </c>
      <c r="I34" t="n">
        <v>2</v>
      </c>
      <c r="J34" t="n">
        <v>1</v>
      </c>
      <c r="K34" t="n">
        <v>0</v>
      </c>
      <c r="L34" t="n">
        <v>0</v>
      </c>
      <c r="M34" t="n">
        <v>0</v>
      </c>
      <c r="N34" t="n">
        <v>0</v>
      </c>
      <c r="O34" t="n">
        <v>1</v>
      </c>
      <c r="P34" t="n">
        <v>0</v>
      </c>
      <c r="Q34" t="n">
        <v>3</v>
      </c>
      <c r="R34" s="2" t="inlineStr">
        <is>
          <t>Spillkråka
Aprikosfingersvamp
Honungsvaxing</t>
        </is>
      </c>
      <c r="S34">
        <f>HYPERLINK("https://klasma.github.io/Logging_2085/artfynd/A 32643-2023 artfynd.xlsx", "A 32643-2023")</f>
        <v/>
      </c>
      <c r="T34">
        <f>HYPERLINK("https://klasma.github.io/Logging_2085/kartor/A 32643-2023 karta.png", "A 32643-2023")</f>
        <v/>
      </c>
      <c r="V34">
        <f>HYPERLINK("https://klasma.github.io/Logging_2085/klagomål/A 32643-2023 FSC-klagomål.docx", "A 32643-2023")</f>
        <v/>
      </c>
      <c r="W34">
        <f>HYPERLINK("https://klasma.github.io/Logging_2085/klagomålsmail/A 32643-2023 FSC-klagomål mail.docx", "A 32643-2023")</f>
        <v/>
      </c>
      <c r="X34">
        <f>HYPERLINK("https://klasma.github.io/Logging_2085/tillsyn/A 32643-2023 tillsynsbegäran.docx", "A 32643-2023")</f>
        <v/>
      </c>
      <c r="Y34">
        <f>HYPERLINK("https://klasma.github.io/Logging_2085/tillsynsmail/A 32643-2023 tillsynsbegäran mail.docx", "A 32643-2023")</f>
        <v/>
      </c>
      <c r="Z34">
        <f>HYPERLINK("https://klasma.github.io/Logging_2085/fåglar/A 32643-2023 prioriterade fågelarter.docx", "A 32643-2023")</f>
        <v/>
      </c>
    </row>
    <row r="35" ht="15" customHeight="1">
      <c r="A35" t="inlineStr">
        <is>
          <t>A 47706-2024</t>
        </is>
      </c>
      <c r="B35" s="1" t="n">
        <v>45588</v>
      </c>
      <c r="C35" s="1" t="n">
        <v>45849</v>
      </c>
      <c r="D35" t="inlineStr">
        <is>
          <t>DALARNAS LÄN</t>
        </is>
      </c>
      <c r="E35" t="inlineStr">
        <is>
          <t>LUDVIKA</t>
        </is>
      </c>
      <c r="F35" t="inlineStr">
        <is>
          <t>Bergvik skog väst AB</t>
        </is>
      </c>
      <c r="G35" t="n">
        <v>2.6</v>
      </c>
      <c r="H35" t="n">
        <v>1</v>
      </c>
      <c r="I35" t="n">
        <v>2</v>
      </c>
      <c r="J35" t="n">
        <v>0</v>
      </c>
      <c r="K35" t="n">
        <v>0</v>
      </c>
      <c r="L35" t="n">
        <v>0</v>
      </c>
      <c r="M35" t="n">
        <v>0</v>
      </c>
      <c r="N35" t="n">
        <v>0</v>
      </c>
      <c r="O35" t="n">
        <v>0</v>
      </c>
      <c r="P35" t="n">
        <v>0</v>
      </c>
      <c r="Q35" t="n">
        <v>3</v>
      </c>
      <c r="R35" s="2" t="inlineStr">
        <is>
          <t>Bårdlav
Korallblylav
Blåsippa</t>
        </is>
      </c>
      <c r="S35">
        <f>HYPERLINK("https://klasma.github.io/Logging_2085/artfynd/A 47706-2024 artfynd.xlsx", "A 47706-2024")</f>
        <v/>
      </c>
      <c r="T35">
        <f>HYPERLINK("https://klasma.github.io/Logging_2085/kartor/A 47706-2024 karta.png", "A 47706-2024")</f>
        <v/>
      </c>
      <c r="V35">
        <f>HYPERLINK("https://klasma.github.io/Logging_2085/klagomål/A 47706-2024 FSC-klagomål.docx", "A 47706-2024")</f>
        <v/>
      </c>
      <c r="W35">
        <f>HYPERLINK("https://klasma.github.io/Logging_2085/klagomålsmail/A 47706-2024 FSC-klagomål mail.docx", "A 47706-2024")</f>
        <v/>
      </c>
      <c r="X35">
        <f>HYPERLINK("https://klasma.github.io/Logging_2085/tillsyn/A 47706-2024 tillsynsbegäran.docx", "A 47706-2024")</f>
        <v/>
      </c>
      <c r="Y35">
        <f>HYPERLINK("https://klasma.github.io/Logging_2085/tillsynsmail/A 47706-2024 tillsynsbegäran mail.docx", "A 47706-2024")</f>
        <v/>
      </c>
    </row>
    <row r="36" ht="15" customHeight="1">
      <c r="A36" t="inlineStr">
        <is>
          <t>A 23094-2025</t>
        </is>
      </c>
      <c r="B36" s="1" t="n">
        <v>45791</v>
      </c>
      <c r="C36" s="1" t="n">
        <v>45849</v>
      </c>
      <c r="D36" t="inlineStr">
        <is>
          <t>DALARNAS LÄN</t>
        </is>
      </c>
      <c r="E36" t="inlineStr">
        <is>
          <t>LUDVIKA</t>
        </is>
      </c>
      <c r="F36" t="inlineStr">
        <is>
          <t>Bergvik skog väst AB</t>
        </is>
      </c>
      <c r="G36" t="n">
        <v>2.9</v>
      </c>
      <c r="H36" t="n">
        <v>2</v>
      </c>
      <c r="I36" t="n">
        <v>1</v>
      </c>
      <c r="J36" t="n">
        <v>0</v>
      </c>
      <c r="K36" t="n">
        <v>0</v>
      </c>
      <c r="L36" t="n">
        <v>0</v>
      </c>
      <c r="M36" t="n">
        <v>0</v>
      </c>
      <c r="N36" t="n">
        <v>0</v>
      </c>
      <c r="O36" t="n">
        <v>0</v>
      </c>
      <c r="P36" t="n">
        <v>0</v>
      </c>
      <c r="Q36" t="n">
        <v>3</v>
      </c>
      <c r="R36" s="2" t="inlineStr">
        <is>
          <t>Trädporella
Vanlig padda
Blåsippa</t>
        </is>
      </c>
      <c r="S36">
        <f>HYPERLINK("https://klasma.github.io/Logging_202085/artfynd/A 23094-2025 artfynd.xlsx", "A 23094-2025")</f>
        <v/>
      </c>
      <c r="T36">
        <f>HYPERLINK("https://klasma.github.io/Logging_202085/kartor/A 23094-2025 karta.png", "A 23094-2025")</f>
        <v/>
      </c>
      <c r="V36">
        <f>HYPERLINK("https://klasma.github.io/Logging_202085/klagomål/A 23094-2025 FSC-klagomål.docx", "A 23094-2025")</f>
        <v/>
      </c>
      <c r="W36">
        <f>HYPERLINK("https://klasma.github.io/Logging_202085/klagomålsmail/A 23094-2025 FSC-klagomål mail.docx", "A 23094-2025")</f>
        <v/>
      </c>
      <c r="X36">
        <f>HYPERLINK("https://klasma.github.io/Logging_202085/tillsyn/A 23094-2025 tillsynsbegäran.docx", "A 23094-2025")</f>
        <v/>
      </c>
      <c r="Y36">
        <f>HYPERLINK("https://klasma.github.io/Logging_202085/tillsynsmail/A 23094-2025 tillsynsbegäran mail.docx", "A 23094-2025")</f>
        <v/>
      </c>
    </row>
    <row r="37" ht="15" customHeight="1">
      <c r="A37" t="inlineStr">
        <is>
          <t>A 7704-2020</t>
        </is>
      </c>
      <c r="B37" s="1" t="n">
        <v>43872</v>
      </c>
      <c r="C37" s="1" t="n">
        <v>45849</v>
      </c>
      <c r="D37" t="inlineStr">
        <is>
          <t>DALARNAS LÄN</t>
        </is>
      </c>
      <c r="E37" t="inlineStr">
        <is>
          <t>LUDVIKA</t>
        </is>
      </c>
      <c r="G37" t="n">
        <v>3.4</v>
      </c>
      <c r="H37" t="n">
        <v>1</v>
      </c>
      <c r="I37" t="n">
        <v>1</v>
      </c>
      <c r="J37" t="n">
        <v>0</v>
      </c>
      <c r="K37" t="n">
        <v>0</v>
      </c>
      <c r="L37" t="n">
        <v>0</v>
      </c>
      <c r="M37" t="n">
        <v>0</v>
      </c>
      <c r="N37" t="n">
        <v>0</v>
      </c>
      <c r="O37" t="n">
        <v>0</v>
      </c>
      <c r="P37" t="n">
        <v>0</v>
      </c>
      <c r="Q37" t="n">
        <v>2</v>
      </c>
      <c r="R37" s="2" t="inlineStr">
        <is>
          <t>Svavelriska
Blåsippa</t>
        </is>
      </c>
      <c r="S37">
        <f>HYPERLINK("https://klasma.github.io/Logging_2085/artfynd/A 7704-2020 artfynd.xlsx", "A 7704-2020")</f>
        <v/>
      </c>
      <c r="T37">
        <f>HYPERLINK("https://klasma.github.io/Logging_2085/kartor/A 7704-2020 karta.png", "A 7704-2020")</f>
        <v/>
      </c>
      <c r="V37">
        <f>HYPERLINK("https://klasma.github.io/Logging_2085/klagomål/A 7704-2020 FSC-klagomål.docx", "A 7704-2020")</f>
        <v/>
      </c>
      <c r="W37">
        <f>HYPERLINK("https://klasma.github.io/Logging_2085/klagomålsmail/A 7704-2020 FSC-klagomål mail.docx", "A 7704-2020")</f>
        <v/>
      </c>
      <c r="X37">
        <f>HYPERLINK("https://klasma.github.io/Logging_2085/tillsyn/A 7704-2020 tillsynsbegäran.docx", "A 7704-2020")</f>
        <v/>
      </c>
      <c r="Y37">
        <f>HYPERLINK("https://klasma.github.io/Logging_2085/tillsynsmail/A 7704-2020 tillsynsbegäran mail.docx", "A 7704-2020")</f>
        <v/>
      </c>
    </row>
    <row r="38" ht="15" customHeight="1">
      <c r="A38" t="inlineStr">
        <is>
          <t>A 7849-2020</t>
        </is>
      </c>
      <c r="B38" s="1" t="n">
        <v>43873</v>
      </c>
      <c r="C38" s="1" t="n">
        <v>45849</v>
      </c>
      <c r="D38" t="inlineStr">
        <is>
          <t>DALARNAS LÄN</t>
        </is>
      </c>
      <c r="E38" t="inlineStr">
        <is>
          <t>LUDVIKA</t>
        </is>
      </c>
      <c r="F38" t="inlineStr">
        <is>
          <t>Naturvårdsverket</t>
        </is>
      </c>
      <c r="G38" t="n">
        <v>1.3</v>
      </c>
      <c r="H38" t="n">
        <v>1</v>
      </c>
      <c r="I38" t="n">
        <v>1</v>
      </c>
      <c r="J38" t="n">
        <v>0</v>
      </c>
      <c r="K38" t="n">
        <v>1</v>
      </c>
      <c r="L38" t="n">
        <v>0</v>
      </c>
      <c r="M38" t="n">
        <v>0</v>
      </c>
      <c r="N38" t="n">
        <v>0</v>
      </c>
      <c r="O38" t="n">
        <v>1</v>
      </c>
      <c r="P38" t="n">
        <v>1</v>
      </c>
      <c r="Q38" t="n">
        <v>2</v>
      </c>
      <c r="R38" s="2" t="inlineStr">
        <is>
          <t>Knärot
Myskbock</t>
        </is>
      </c>
      <c r="S38">
        <f>HYPERLINK("https://klasma.github.io/Logging_2085/artfynd/A 7849-2020 artfynd.xlsx", "A 7849-2020")</f>
        <v/>
      </c>
      <c r="T38">
        <f>HYPERLINK("https://klasma.github.io/Logging_2085/kartor/A 7849-2020 karta.png", "A 7849-2020")</f>
        <v/>
      </c>
      <c r="U38">
        <f>HYPERLINK("https://klasma.github.io/Logging_2085/knärot/A 7849-2020 karta knärot.png", "A 7849-2020")</f>
        <v/>
      </c>
      <c r="V38">
        <f>HYPERLINK("https://klasma.github.io/Logging_2085/klagomål/A 7849-2020 FSC-klagomål.docx", "A 7849-2020")</f>
        <v/>
      </c>
      <c r="W38">
        <f>HYPERLINK("https://klasma.github.io/Logging_2085/klagomålsmail/A 7849-2020 FSC-klagomål mail.docx", "A 7849-2020")</f>
        <v/>
      </c>
      <c r="X38">
        <f>HYPERLINK("https://klasma.github.io/Logging_2085/tillsyn/A 7849-2020 tillsynsbegäran.docx", "A 7849-2020")</f>
        <v/>
      </c>
      <c r="Y38">
        <f>HYPERLINK("https://klasma.github.io/Logging_2085/tillsynsmail/A 7849-2020 tillsynsbegäran mail.docx", "A 7849-2020")</f>
        <v/>
      </c>
    </row>
    <row r="39" ht="15" customHeight="1">
      <c r="A39" t="inlineStr">
        <is>
          <t>A 21885-2021</t>
        </is>
      </c>
      <c r="B39" s="1" t="n">
        <v>44322</v>
      </c>
      <c r="C39" s="1" t="n">
        <v>45849</v>
      </c>
      <c r="D39" t="inlineStr">
        <is>
          <t>DALARNAS LÄN</t>
        </is>
      </c>
      <c r="E39" t="inlineStr">
        <is>
          <t>LUDVIKA</t>
        </is>
      </c>
      <c r="F39" t="inlineStr">
        <is>
          <t>Bergvik skog väst AB</t>
        </is>
      </c>
      <c r="G39" t="n">
        <v>4.8</v>
      </c>
      <c r="H39" t="n">
        <v>0</v>
      </c>
      <c r="I39" t="n">
        <v>0</v>
      </c>
      <c r="J39" t="n">
        <v>1</v>
      </c>
      <c r="K39" t="n">
        <v>1</v>
      </c>
      <c r="L39" t="n">
        <v>0</v>
      </c>
      <c r="M39" t="n">
        <v>0</v>
      </c>
      <c r="N39" t="n">
        <v>0</v>
      </c>
      <c r="O39" t="n">
        <v>2</v>
      </c>
      <c r="P39" t="n">
        <v>1</v>
      </c>
      <c r="Q39" t="n">
        <v>2</v>
      </c>
      <c r="R39" s="2" t="inlineStr">
        <is>
          <t>Allékantlav
Veckticka</t>
        </is>
      </c>
      <c r="S39">
        <f>HYPERLINK("https://klasma.github.io/Logging_2085/artfynd/A 21885-2021 artfynd.xlsx", "A 21885-2021")</f>
        <v/>
      </c>
      <c r="T39">
        <f>HYPERLINK("https://klasma.github.io/Logging_2085/kartor/A 21885-2021 karta.png", "A 21885-2021")</f>
        <v/>
      </c>
      <c r="V39">
        <f>HYPERLINK("https://klasma.github.io/Logging_2085/klagomål/A 21885-2021 FSC-klagomål.docx", "A 21885-2021")</f>
        <v/>
      </c>
      <c r="W39">
        <f>HYPERLINK("https://klasma.github.io/Logging_2085/klagomålsmail/A 21885-2021 FSC-klagomål mail.docx", "A 21885-2021")</f>
        <v/>
      </c>
      <c r="X39">
        <f>HYPERLINK("https://klasma.github.io/Logging_2085/tillsyn/A 21885-2021 tillsynsbegäran.docx", "A 21885-2021")</f>
        <v/>
      </c>
      <c r="Y39">
        <f>HYPERLINK("https://klasma.github.io/Logging_2085/tillsynsmail/A 21885-2021 tillsynsbegäran mail.docx", "A 21885-2021")</f>
        <v/>
      </c>
    </row>
    <row r="40" ht="15" customHeight="1">
      <c r="A40" t="inlineStr">
        <is>
          <t>A 12093-2023</t>
        </is>
      </c>
      <c r="B40" s="1" t="n">
        <v>44998</v>
      </c>
      <c r="C40" s="1" t="n">
        <v>45849</v>
      </c>
      <c r="D40" t="inlineStr">
        <is>
          <t>DALARNAS LÄN</t>
        </is>
      </c>
      <c r="E40" t="inlineStr">
        <is>
          <t>LUDVIKA</t>
        </is>
      </c>
      <c r="G40" t="n">
        <v>3.2</v>
      </c>
      <c r="H40" t="n">
        <v>0</v>
      </c>
      <c r="I40" t="n">
        <v>0</v>
      </c>
      <c r="J40" t="n">
        <v>1</v>
      </c>
      <c r="K40" t="n">
        <v>1</v>
      </c>
      <c r="L40" t="n">
        <v>0</v>
      </c>
      <c r="M40" t="n">
        <v>0</v>
      </c>
      <c r="N40" t="n">
        <v>0</v>
      </c>
      <c r="O40" t="n">
        <v>2</v>
      </c>
      <c r="P40" t="n">
        <v>1</v>
      </c>
      <c r="Q40" t="n">
        <v>2</v>
      </c>
      <c r="R40" s="2" t="inlineStr">
        <is>
          <t>Bitter taggsvamp
Solfjäderlav</t>
        </is>
      </c>
      <c r="S40">
        <f>HYPERLINK("https://klasma.github.io/Logging_2085/artfynd/A 12093-2023 artfynd.xlsx", "A 12093-2023")</f>
        <v/>
      </c>
      <c r="T40">
        <f>HYPERLINK("https://klasma.github.io/Logging_2085/kartor/A 12093-2023 karta.png", "A 12093-2023")</f>
        <v/>
      </c>
      <c r="V40">
        <f>HYPERLINK("https://klasma.github.io/Logging_2085/klagomål/A 12093-2023 FSC-klagomål.docx", "A 12093-2023")</f>
        <v/>
      </c>
      <c r="W40">
        <f>HYPERLINK("https://klasma.github.io/Logging_2085/klagomålsmail/A 12093-2023 FSC-klagomål mail.docx", "A 12093-2023")</f>
        <v/>
      </c>
      <c r="X40">
        <f>HYPERLINK("https://klasma.github.io/Logging_2085/tillsyn/A 12093-2023 tillsynsbegäran.docx", "A 12093-2023")</f>
        <v/>
      </c>
      <c r="Y40">
        <f>HYPERLINK("https://klasma.github.io/Logging_2085/tillsynsmail/A 12093-2023 tillsynsbegäran mail.docx", "A 12093-2023")</f>
        <v/>
      </c>
    </row>
    <row r="41" ht="15" customHeight="1">
      <c r="A41" t="inlineStr">
        <is>
          <t>A 19338-2023</t>
        </is>
      </c>
      <c r="B41" s="1" t="n">
        <v>45049</v>
      </c>
      <c r="C41" s="1" t="n">
        <v>45849</v>
      </c>
      <c r="D41" t="inlineStr">
        <is>
          <t>DALARNAS LÄN</t>
        </is>
      </c>
      <c r="E41" t="inlineStr">
        <is>
          <t>LUDVIKA</t>
        </is>
      </c>
      <c r="G41" t="n">
        <v>13.7</v>
      </c>
      <c r="H41" t="n">
        <v>0</v>
      </c>
      <c r="I41" t="n">
        <v>1</v>
      </c>
      <c r="J41" t="n">
        <v>1</v>
      </c>
      <c r="K41" t="n">
        <v>0</v>
      </c>
      <c r="L41" t="n">
        <v>0</v>
      </c>
      <c r="M41" t="n">
        <v>0</v>
      </c>
      <c r="N41" t="n">
        <v>0</v>
      </c>
      <c r="O41" t="n">
        <v>1</v>
      </c>
      <c r="P41" t="n">
        <v>0</v>
      </c>
      <c r="Q41" t="n">
        <v>2</v>
      </c>
      <c r="R41" s="2" t="inlineStr">
        <is>
          <t>Motaggsvamp
Dropptaggsvamp</t>
        </is>
      </c>
      <c r="S41">
        <f>HYPERLINK("https://klasma.github.io/Logging_2085/artfynd/A 19338-2023 artfynd.xlsx", "A 19338-2023")</f>
        <v/>
      </c>
      <c r="T41">
        <f>HYPERLINK("https://klasma.github.io/Logging_2085/kartor/A 19338-2023 karta.png", "A 19338-2023")</f>
        <v/>
      </c>
      <c r="V41">
        <f>HYPERLINK("https://klasma.github.io/Logging_2085/klagomål/A 19338-2023 FSC-klagomål.docx", "A 19338-2023")</f>
        <v/>
      </c>
      <c r="W41">
        <f>HYPERLINK("https://klasma.github.io/Logging_2085/klagomålsmail/A 19338-2023 FSC-klagomål mail.docx", "A 19338-2023")</f>
        <v/>
      </c>
      <c r="X41">
        <f>HYPERLINK("https://klasma.github.io/Logging_2085/tillsyn/A 19338-2023 tillsynsbegäran.docx", "A 19338-2023")</f>
        <v/>
      </c>
      <c r="Y41">
        <f>HYPERLINK("https://klasma.github.io/Logging_2085/tillsynsmail/A 19338-2023 tillsynsbegäran mail.docx", "A 19338-2023")</f>
        <v/>
      </c>
    </row>
    <row r="42" ht="15" customHeight="1">
      <c r="A42" t="inlineStr">
        <is>
          <t>A 21074-2023</t>
        </is>
      </c>
      <c r="B42" s="1" t="n">
        <v>45061</v>
      </c>
      <c r="C42" s="1" t="n">
        <v>45849</v>
      </c>
      <c r="D42" t="inlineStr">
        <is>
          <t>DALARNAS LÄN</t>
        </is>
      </c>
      <c r="E42" t="inlineStr">
        <is>
          <t>LUDVIKA</t>
        </is>
      </c>
      <c r="F42" t="inlineStr">
        <is>
          <t>Bergvik skog väst AB</t>
        </is>
      </c>
      <c r="G42" t="n">
        <v>12</v>
      </c>
      <c r="H42" t="n">
        <v>0</v>
      </c>
      <c r="I42" t="n">
        <v>2</v>
      </c>
      <c r="J42" t="n">
        <v>0</v>
      </c>
      <c r="K42" t="n">
        <v>0</v>
      </c>
      <c r="L42" t="n">
        <v>0</v>
      </c>
      <c r="M42" t="n">
        <v>0</v>
      </c>
      <c r="N42" t="n">
        <v>0</v>
      </c>
      <c r="O42" t="n">
        <v>0</v>
      </c>
      <c r="P42" t="n">
        <v>0</v>
      </c>
      <c r="Q42" t="n">
        <v>2</v>
      </c>
      <c r="R42" s="2" t="inlineStr">
        <is>
          <t>Bårdlav
Korallblylav</t>
        </is>
      </c>
      <c r="S42">
        <f>HYPERLINK("https://klasma.github.io/Logging_2085/artfynd/A 21074-2023 artfynd.xlsx", "A 21074-2023")</f>
        <v/>
      </c>
      <c r="T42">
        <f>HYPERLINK("https://klasma.github.io/Logging_2085/kartor/A 21074-2023 karta.png", "A 21074-2023")</f>
        <v/>
      </c>
      <c r="V42">
        <f>HYPERLINK("https://klasma.github.io/Logging_2085/klagomål/A 21074-2023 FSC-klagomål.docx", "A 21074-2023")</f>
        <v/>
      </c>
      <c r="W42">
        <f>HYPERLINK("https://klasma.github.io/Logging_2085/klagomålsmail/A 21074-2023 FSC-klagomål mail.docx", "A 21074-2023")</f>
        <v/>
      </c>
      <c r="X42">
        <f>HYPERLINK("https://klasma.github.io/Logging_2085/tillsyn/A 21074-2023 tillsynsbegäran.docx", "A 21074-2023")</f>
        <v/>
      </c>
      <c r="Y42">
        <f>HYPERLINK("https://klasma.github.io/Logging_2085/tillsynsmail/A 21074-2023 tillsynsbegäran mail.docx", "A 21074-2023")</f>
        <v/>
      </c>
    </row>
    <row r="43" ht="15" customHeight="1">
      <c r="A43" t="inlineStr">
        <is>
          <t>A 49390-2023</t>
        </is>
      </c>
      <c r="B43" s="1" t="n">
        <v>45211</v>
      </c>
      <c r="C43" s="1" t="n">
        <v>45849</v>
      </c>
      <c r="D43" t="inlineStr">
        <is>
          <t>DALARNAS LÄN</t>
        </is>
      </c>
      <c r="E43" t="inlineStr">
        <is>
          <t>LUDVIKA</t>
        </is>
      </c>
      <c r="F43" t="inlineStr">
        <is>
          <t>Bergvik skog väst AB</t>
        </is>
      </c>
      <c r="G43" t="n">
        <v>12.7</v>
      </c>
      <c r="H43" t="n">
        <v>0</v>
      </c>
      <c r="I43" t="n">
        <v>2</v>
      </c>
      <c r="J43" t="n">
        <v>0</v>
      </c>
      <c r="K43" t="n">
        <v>0</v>
      </c>
      <c r="L43" t="n">
        <v>0</v>
      </c>
      <c r="M43" t="n">
        <v>0</v>
      </c>
      <c r="N43" t="n">
        <v>0</v>
      </c>
      <c r="O43" t="n">
        <v>0</v>
      </c>
      <c r="P43" t="n">
        <v>0</v>
      </c>
      <c r="Q43" t="n">
        <v>2</v>
      </c>
      <c r="R43" s="2" t="inlineStr">
        <is>
          <t>Sotriska
Svart trolldruva</t>
        </is>
      </c>
      <c r="S43">
        <f>HYPERLINK("https://klasma.github.io/Logging_2085/artfynd/A 49390-2023 artfynd.xlsx", "A 49390-2023")</f>
        <v/>
      </c>
      <c r="T43">
        <f>HYPERLINK("https://klasma.github.io/Logging_2085/kartor/A 49390-2023 karta.png", "A 49390-2023")</f>
        <v/>
      </c>
      <c r="V43">
        <f>HYPERLINK("https://klasma.github.io/Logging_2085/klagomål/A 49390-2023 FSC-klagomål.docx", "A 49390-2023")</f>
        <v/>
      </c>
      <c r="W43">
        <f>HYPERLINK("https://klasma.github.io/Logging_2085/klagomålsmail/A 49390-2023 FSC-klagomål mail.docx", "A 49390-2023")</f>
        <v/>
      </c>
      <c r="X43">
        <f>HYPERLINK("https://klasma.github.io/Logging_2085/tillsyn/A 49390-2023 tillsynsbegäran.docx", "A 49390-2023")</f>
        <v/>
      </c>
      <c r="Y43">
        <f>HYPERLINK("https://klasma.github.io/Logging_2085/tillsynsmail/A 49390-2023 tillsynsbegäran mail.docx", "A 49390-2023")</f>
        <v/>
      </c>
    </row>
    <row r="44" ht="15" customHeight="1">
      <c r="A44" t="inlineStr">
        <is>
          <t>A 25448-2024</t>
        </is>
      </c>
      <c r="B44" s="1" t="n">
        <v>45463</v>
      </c>
      <c r="C44" s="1" t="n">
        <v>45849</v>
      </c>
      <c r="D44" t="inlineStr">
        <is>
          <t>DALARNAS LÄN</t>
        </is>
      </c>
      <c r="E44" t="inlineStr">
        <is>
          <t>LUDVIKA</t>
        </is>
      </c>
      <c r="F44" t="inlineStr">
        <is>
          <t>Bergvik skog väst AB</t>
        </is>
      </c>
      <c r="G44" t="n">
        <v>24.7</v>
      </c>
      <c r="H44" t="n">
        <v>2</v>
      </c>
      <c r="I44" t="n">
        <v>0</v>
      </c>
      <c r="J44" t="n">
        <v>1</v>
      </c>
      <c r="K44" t="n">
        <v>0</v>
      </c>
      <c r="L44" t="n">
        <v>0</v>
      </c>
      <c r="M44" t="n">
        <v>0</v>
      </c>
      <c r="N44" t="n">
        <v>0</v>
      </c>
      <c r="O44" t="n">
        <v>1</v>
      </c>
      <c r="P44" t="n">
        <v>0</v>
      </c>
      <c r="Q44" t="n">
        <v>2</v>
      </c>
      <c r="R44" s="2" t="inlineStr">
        <is>
          <t>Spillkråka
Blåsippa</t>
        </is>
      </c>
      <c r="S44">
        <f>HYPERLINK("https://klasma.github.io/Logging_2085/artfynd/A 25448-2024 artfynd.xlsx", "A 25448-2024")</f>
        <v/>
      </c>
      <c r="T44">
        <f>HYPERLINK("https://klasma.github.io/Logging_2085/kartor/A 25448-2024 karta.png", "A 25448-2024")</f>
        <v/>
      </c>
      <c r="V44">
        <f>HYPERLINK("https://klasma.github.io/Logging_2085/klagomål/A 25448-2024 FSC-klagomål.docx", "A 25448-2024")</f>
        <v/>
      </c>
      <c r="W44">
        <f>HYPERLINK("https://klasma.github.io/Logging_2085/klagomålsmail/A 25448-2024 FSC-klagomål mail.docx", "A 25448-2024")</f>
        <v/>
      </c>
      <c r="X44">
        <f>HYPERLINK("https://klasma.github.io/Logging_2085/tillsyn/A 25448-2024 tillsynsbegäran.docx", "A 25448-2024")</f>
        <v/>
      </c>
      <c r="Y44">
        <f>HYPERLINK("https://klasma.github.io/Logging_2085/tillsynsmail/A 25448-2024 tillsynsbegäran mail.docx", "A 25448-2024")</f>
        <v/>
      </c>
      <c r="Z44">
        <f>HYPERLINK("https://klasma.github.io/Logging_2085/fåglar/A 25448-2024 prioriterade fågelarter.docx", "A 25448-2024")</f>
        <v/>
      </c>
    </row>
    <row r="45" ht="15" customHeight="1">
      <c r="A45" t="inlineStr">
        <is>
          <t>A 29758-2024</t>
        </is>
      </c>
      <c r="B45" s="1" t="n">
        <v>45485</v>
      </c>
      <c r="C45" s="1" t="n">
        <v>45849</v>
      </c>
      <c r="D45" t="inlineStr">
        <is>
          <t>DALARNAS LÄN</t>
        </is>
      </c>
      <c r="E45" t="inlineStr">
        <is>
          <t>LUDVIKA</t>
        </is>
      </c>
      <c r="F45" t="inlineStr">
        <is>
          <t>Övriga Aktiebolag</t>
        </is>
      </c>
      <c r="G45" t="n">
        <v>8.699999999999999</v>
      </c>
      <c r="H45" t="n">
        <v>1</v>
      </c>
      <c r="I45" t="n">
        <v>1</v>
      </c>
      <c r="J45" t="n">
        <v>0</v>
      </c>
      <c r="K45" t="n">
        <v>1</v>
      </c>
      <c r="L45" t="n">
        <v>0</v>
      </c>
      <c r="M45" t="n">
        <v>0</v>
      </c>
      <c r="N45" t="n">
        <v>0</v>
      </c>
      <c r="O45" t="n">
        <v>1</v>
      </c>
      <c r="P45" t="n">
        <v>1</v>
      </c>
      <c r="Q45" t="n">
        <v>2</v>
      </c>
      <c r="R45" s="2" t="inlineStr">
        <is>
          <t>Knärot
Dropptaggsvamp</t>
        </is>
      </c>
      <c r="S45">
        <f>HYPERLINK("https://klasma.github.io/Logging_2085/artfynd/A 29758-2024 artfynd.xlsx", "A 29758-2024")</f>
        <v/>
      </c>
      <c r="T45">
        <f>HYPERLINK("https://klasma.github.io/Logging_2085/kartor/A 29758-2024 karta.png", "A 29758-2024")</f>
        <v/>
      </c>
      <c r="U45">
        <f>HYPERLINK("https://klasma.github.io/Logging_2085/knärot/A 29758-2024 karta knärot.png", "A 29758-2024")</f>
        <v/>
      </c>
      <c r="V45">
        <f>HYPERLINK("https://klasma.github.io/Logging_2085/klagomål/A 29758-2024 FSC-klagomål.docx", "A 29758-2024")</f>
        <v/>
      </c>
      <c r="W45">
        <f>HYPERLINK("https://klasma.github.io/Logging_2085/klagomålsmail/A 29758-2024 FSC-klagomål mail.docx", "A 29758-2024")</f>
        <v/>
      </c>
      <c r="X45">
        <f>HYPERLINK("https://klasma.github.io/Logging_2085/tillsyn/A 29758-2024 tillsynsbegäran.docx", "A 29758-2024")</f>
        <v/>
      </c>
      <c r="Y45">
        <f>HYPERLINK("https://klasma.github.io/Logging_2085/tillsynsmail/A 29758-2024 tillsynsbegäran mail.docx", "A 29758-2024")</f>
        <v/>
      </c>
    </row>
    <row r="46" ht="15" customHeight="1">
      <c r="A46" t="inlineStr">
        <is>
          <t>A 19542-2025</t>
        </is>
      </c>
      <c r="B46" s="1" t="n">
        <v>45770</v>
      </c>
      <c r="C46" s="1" t="n">
        <v>45849</v>
      </c>
      <c r="D46" t="inlineStr">
        <is>
          <t>DALARNAS LÄN</t>
        </is>
      </c>
      <c r="E46" t="inlineStr">
        <is>
          <t>LUDVIKA</t>
        </is>
      </c>
      <c r="F46" t="inlineStr">
        <is>
          <t>Bergvik skog väst AB</t>
        </is>
      </c>
      <c r="G46" t="n">
        <v>2</v>
      </c>
      <c r="H46" t="n">
        <v>0</v>
      </c>
      <c r="I46" t="n">
        <v>2</v>
      </c>
      <c r="J46" t="n">
        <v>0</v>
      </c>
      <c r="K46" t="n">
        <v>0</v>
      </c>
      <c r="L46" t="n">
        <v>0</v>
      </c>
      <c r="M46" t="n">
        <v>0</v>
      </c>
      <c r="N46" t="n">
        <v>0</v>
      </c>
      <c r="O46" t="n">
        <v>0</v>
      </c>
      <c r="P46" t="n">
        <v>0</v>
      </c>
      <c r="Q46" t="n">
        <v>2</v>
      </c>
      <c r="R46" s="2" t="inlineStr">
        <is>
          <t>Gulnål
Skinnlav</t>
        </is>
      </c>
      <c r="S46">
        <f>HYPERLINK("https://klasma.github.io/Logging_202085/artfynd/A 19542-2025 artfynd.xlsx", "A 19542-2025")</f>
        <v/>
      </c>
      <c r="T46">
        <f>HYPERLINK("https://klasma.github.io/Logging_202085/kartor/A 19542-2025 karta.png", "A 19542-2025")</f>
        <v/>
      </c>
      <c r="V46">
        <f>HYPERLINK("https://klasma.github.io/Logging_202085/klagomål/A 19542-2025 FSC-klagomål.docx", "A 19542-2025")</f>
        <v/>
      </c>
      <c r="W46">
        <f>HYPERLINK("https://klasma.github.io/Logging_202085/klagomålsmail/A 19542-2025 FSC-klagomål mail.docx", "A 19542-2025")</f>
        <v/>
      </c>
      <c r="X46">
        <f>HYPERLINK("https://klasma.github.io/Logging_202085/tillsyn/A 19542-2025 tillsynsbegäran.docx", "A 19542-2025")</f>
        <v/>
      </c>
      <c r="Y46">
        <f>HYPERLINK("https://klasma.github.io/Logging_202085/tillsynsmail/A 19542-2025 tillsynsbegäran mail.docx", "A 19542-2025")</f>
        <v/>
      </c>
    </row>
    <row r="47" ht="15" customHeight="1">
      <c r="A47" t="inlineStr">
        <is>
          <t>A 25293-2025</t>
        </is>
      </c>
      <c r="B47" s="1" t="n">
        <v>45800</v>
      </c>
      <c r="C47" s="1" t="n">
        <v>45849</v>
      </c>
      <c r="D47" t="inlineStr">
        <is>
          <t>DALARNAS LÄN</t>
        </is>
      </c>
      <c r="E47" t="inlineStr">
        <is>
          <t>LUDVIKA</t>
        </is>
      </c>
      <c r="F47" t="inlineStr">
        <is>
          <t>Bergvik skog väst AB</t>
        </is>
      </c>
      <c r="G47" t="n">
        <v>19.6</v>
      </c>
      <c r="H47" t="n">
        <v>0</v>
      </c>
      <c r="I47" t="n">
        <v>1</v>
      </c>
      <c r="J47" t="n">
        <v>1</v>
      </c>
      <c r="K47" t="n">
        <v>0</v>
      </c>
      <c r="L47" t="n">
        <v>0</v>
      </c>
      <c r="M47" t="n">
        <v>0</v>
      </c>
      <c r="N47" t="n">
        <v>0</v>
      </c>
      <c r="O47" t="n">
        <v>1</v>
      </c>
      <c r="P47" t="n">
        <v>0</v>
      </c>
      <c r="Q47" t="n">
        <v>2</v>
      </c>
      <c r="R47" s="2" t="inlineStr">
        <is>
          <t>Garnlav
Nästlav</t>
        </is>
      </c>
      <c r="S47">
        <f>HYPERLINK("https://klasma.github.io/Logging_202085/artfynd/A 25293-2025 artfynd.xlsx", "A 25293-2025")</f>
        <v/>
      </c>
      <c r="T47">
        <f>HYPERLINK("https://klasma.github.io/Logging_202085/kartor/A 25293-2025 karta.png", "A 25293-2025")</f>
        <v/>
      </c>
      <c r="V47">
        <f>HYPERLINK("https://klasma.github.io/Logging_202085/klagomål/A 25293-2025 FSC-klagomål.docx", "A 25293-2025")</f>
        <v/>
      </c>
      <c r="W47">
        <f>HYPERLINK("https://klasma.github.io/Logging_202085/klagomålsmail/A 25293-2025 FSC-klagomål mail.docx", "A 25293-2025")</f>
        <v/>
      </c>
      <c r="X47">
        <f>HYPERLINK("https://klasma.github.io/Logging_202085/tillsyn/A 25293-2025 tillsynsbegäran.docx", "A 25293-2025")</f>
        <v/>
      </c>
      <c r="Y47">
        <f>HYPERLINK("https://klasma.github.io/Logging_202085/tillsynsmail/A 25293-2025 tillsynsbegäran mail.docx", "A 25293-2025")</f>
        <v/>
      </c>
    </row>
    <row r="48" ht="15" customHeight="1">
      <c r="A48" t="inlineStr">
        <is>
          <t>A 21672-2019</t>
        </is>
      </c>
      <c r="B48" s="1" t="n">
        <v>43581</v>
      </c>
      <c r="C48" s="1" t="n">
        <v>45849</v>
      </c>
      <c r="D48" t="inlineStr">
        <is>
          <t>DALARNAS LÄN</t>
        </is>
      </c>
      <c r="E48" t="inlineStr">
        <is>
          <t>LUDVIKA</t>
        </is>
      </c>
      <c r="G48" t="n">
        <v>6.3</v>
      </c>
      <c r="H48" t="n">
        <v>1</v>
      </c>
      <c r="I48" t="n">
        <v>0</v>
      </c>
      <c r="J48" t="n">
        <v>0</v>
      </c>
      <c r="K48" t="n">
        <v>0</v>
      </c>
      <c r="L48" t="n">
        <v>1</v>
      </c>
      <c r="M48" t="n">
        <v>0</v>
      </c>
      <c r="N48" t="n">
        <v>0</v>
      </c>
      <c r="O48" t="n">
        <v>1</v>
      </c>
      <c r="P48" t="n">
        <v>1</v>
      </c>
      <c r="Q48" t="n">
        <v>1</v>
      </c>
      <c r="R48" s="2" t="inlineStr">
        <is>
          <t>Mosippa</t>
        </is>
      </c>
      <c r="S48">
        <f>HYPERLINK("https://klasma.github.io/Logging_2085/artfynd/A 21672-2019 artfynd.xlsx", "A 21672-2019")</f>
        <v/>
      </c>
      <c r="T48">
        <f>HYPERLINK("https://klasma.github.io/Logging_2085/kartor/A 21672-2019 karta.png", "A 21672-2019")</f>
        <v/>
      </c>
      <c r="V48">
        <f>HYPERLINK("https://klasma.github.io/Logging_2085/klagomål/A 21672-2019 FSC-klagomål.docx", "A 21672-2019")</f>
        <v/>
      </c>
      <c r="W48">
        <f>HYPERLINK("https://klasma.github.io/Logging_2085/klagomålsmail/A 21672-2019 FSC-klagomål mail.docx", "A 21672-2019")</f>
        <v/>
      </c>
      <c r="X48">
        <f>HYPERLINK("https://klasma.github.io/Logging_2085/tillsyn/A 21672-2019 tillsynsbegäran.docx", "A 21672-2019")</f>
        <v/>
      </c>
      <c r="Y48">
        <f>HYPERLINK("https://klasma.github.io/Logging_2085/tillsynsmail/A 21672-2019 tillsynsbegäran mail.docx", "A 21672-2019")</f>
        <v/>
      </c>
    </row>
    <row r="49" ht="15" customHeight="1">
      <c r="A49" t="inlineStr">
        <is>
          <t>A 27562-2020</t>
        </is>
      </c>
      <c r="B49" s="1" t="n">
        <v>43993</v>
      </c>
      <c r="C49" s="1" t="n">
        <v>45849</v>
      </c>
      <c r="D49" t="inlineStr">
        <is>
          <t>DALARNAS LÄN</t>
        </is>
      </c>
      <c r="E49" t="inlineStr">
        <is>
          <t>LUDVIKA</t>
        </is>
      </c>
      <c r="F49" t="inlineStr">
        <is>
          <t>Bergvik skog väst AB</t>
        </is>
      </c>
      <c r="G49" t="n">
        <v>2</v>
      </c>
      <c r="H49" t="n">
        <v>0</v>
      </c>
      <c r="I49" t="n">
        <v>1</v>
      </c>
      <c r="J49" t="n">
        <v>0</v>
      </c>
      <c r="K49" t="n">
        <v>0</v>
      </c>
      <c r="L49" t="n">
        <v>0</v>
      </c>
      <c r="M49" t="n">
        <v>0</v>
      </c>
      <c r="N49" t="n">
        <v>0</v>
      </c>
      <c r="O49" t="n">
        <v>0</v>
      </c>
      <c r="P49" t="n">
        <v>0</v>
      </c>
      <c r="Q49" t="n">
        <v>1</v>
      </c>
      <c r="R49" s="2" t="inlineStr">
        <is>
          <t>Skinnlav</t>
        </is>
      </c>
      <c r="S49">
        <f>HYPERLINK("https://klasma.github.io/Logging_2085/artfynd/A 27562-2020 artfynd.xlsx", "A 27562-2020")</f>
        <v/>
      </c>
      <c r="T49">
        <f>HYPERLINK("https://klasma.github.io/Logging_2085/kartor/A 27562-2020 karta.png", "A 27562-2020")</f>
        <v/>
      </c>
      <c r="V49">
        <f>HYPERLINK("https://klasma.github.io/Logging_2085/klagomål/A 27562-2020 FSC-klagomål.docx", "A 27562-2020")</f>
        <v/>
      </c>
      <c r="W49">
        <f>HYPERLINK("https://klasma.github.io/Logging_2085/klagomålsmail/A 27562-2020 FSC-klagomål mail.docx", "A 27562-2020")</f>
        <v/>
      </c>
      <c r="X49">
        <f>HYPERLINK("https://klasma.github.io/Logging_2085/tillsyn/A 27562-2020 tillsynsbegäran.docx", "A 27562-2020")</f>
        <v/>
      </c>
      <c r="Y49">
        <f>HYPERLINK("https://klasma.github.io/Logging_2085/tillsynsmail/A 27562-2020 tillsynsbegäran mail.docx", "A 27562-2020")</f>
        <v/>
      </c>
    </row>
    <row r="50" ht="15" customHeight="1">
      <c r="A50" t="inlineStr">
        <is>
          <t>A 54641-2020</t>
        </is>
      </c>
      <c r="B50" s="1" t="n">
        <v>44127</v>
      </c>
      <c r="C50" s="1" t="n">
        <v>45849</v>
      </c>
      <c r="D50" t="inlineStr">
        <is>
          <t>DALARNAS LÄN</t>
        </is>
      </c>
      <c r="E50" t="inlineStr">
        <is>
          <t>LUDVIKA</t>
        </is>
      </c>
      <c r="F50" t="inlineStr">
        <is>
          <t>Övriga Aktiebolag</t>
        </is>
      </c>
      <c r="G50" t="n">
        <v>38.7</v>
      </c>
      <c r="H50" t="n">
        <v>0</v>
      </c>
      <c r="I50" t="n">
        <v>1</v>
      </c>
      <c r="J50" t="n">
        <v>0</v>
      </c>
      <c r="K50" t="n">
        <v>0</v>
      </c>
      <c r="L50" t="n">
        <v>0</v>
      </c>
      <c r="M50" t="n">
        <v>0</v>
      </c>
      <c r="N50" t="n">
        <v>0</v>
      </c>
      <c r="O50" t="n">
        <v>0</v>
      </c>
      <c r="P50" t="n">
        <v>0</v>
      </c>
      <c r="Q50" t="n">
        <v>1</v>
      </c>
      <c r="R50" s="2" t="inlineStr">
        <is>
          <t>Bronshjon</t>
        </is>
      </c>
      <c r="S50">
        <f>HYPERLINK("https://klasma.github.io/Logging_2085/artfynd/A 54641-2020 artfynd.xlsx", "A 54641-2020")</f>
        <v/>
      </c>
      <c r="T50">
        <f>HYPERLINK("https://klasma.github.io/Logging_2085/kartor/A 54641-2020 karta.png", "A 54641-2020")</f>
        <v/>
      </c>
      <c r="V50">
        <f>HYPERLINK("https://klasma.github.io/Logging_2085/klagomål/A 54641-2020 FSC-klagomål.docx", "A 54641-2020")</f>
        <v/>
      </c>
      <c r="W50">
        <f>HYPERLINK("https://klasma.github.io/Logging_2085/klagomålsmail/A 54641-2020 FSC-klagomål mail.docx", "A 54641-2020")</f>
        <v/>
      </c>
      <c r="X50">
        <f>HYPERLINK("https://klasma.github.io/Logging_2085/tillsyn/A 54641-2020 tillsynsbegäran.docx", "A 54641-2020")</f>
        <v/>
      </c>
      <c r="Y50">
        <f>HYPERLINK("https://klasma.github.io/Logging_2085/tillsynsmail/A 54641-2020 tillsynsbegäran mail.docx", "A 54641-2020")</f>
        <v/>
      </c>
    </row>
    <row r="51" ht="15" customHeight="1">
      <c r="A51" t="inlineStr">
        <is>
          <t>A 64068-2020</t>
        </is>
      </c>
      <c r="B51" s="1" t="n">
        <v>44167</v>
      </c>
      <c r="C51" s="1" t="n">
        <v>45849</v>
      </c>
      <c r="D51" t="inlineStr">
        <is>
          <t>DALARNAS LÄN</t>
        </is>
      </c>
      <c r="E51" t="inlineStr">
        <is>
          <t>LUDVIKA</t>
        </is>
      </c>
      <c r="F51" t="inlineStr">
        <is>
          <t>Kommuner</t>
        </is>
      </c>
      <c r="G51" t="n">
        <v>4.5</v>
      </c>
      <c r="H51" t="n">
        <v>0</v>
      </c>
      <c r="I51" t="n">
        <v>0</v>
      </c>
      <c r="J51" t="n">
        <v>1</v>
      </c>
      <c r="K51" t="n">
        <v>0</v>
      </c>
      <c r="L51" t="n">
        <v>0</v>
      </c>
      <c r="M51" t="n">
        <v>0</v>
      </c>
      <c r="N51" t="n">
        <v>0</v>
      </c>
      <c r="O51" t="n">
        <v>1</v>
      </c>
      <c r="P51" t="n">
        <v>0</v>
      </c>
      <c r="Q51" t="n">
        <v>1</v>
      </c>
      <c r="R51" s="2" t="inlineStr">
        <is>
          <t>Garnlav</t>
        </is>
      </c>
      <c r="S51">
        <f>HYPERLINK("https://klasma.github.io/Logging_2085/artfynd/A 64068-2020 artfynd.xlsx", "A 64068-2020")</f>
        <v/>
      </c>
      <c r="T51">
        <f>HYPERLINK("https://klasma.github.io/Logging_2085/kartor/A 64068-2020 karta.png", "A 64068-2020")</f>
        <v/>
      </c>
      <c r="U51">
        <f>HYPERLINK("https://klasma.github.io/Logging_2085/knärot/A 64068-2020 karta knärot.png", "A 64068-2020")</f>
        <v/>
      </c>
      <c r="V51">
        <f>HYPERLINK("https://klasma.github.io/Logging_2085/klagomål/A 64068-2020 FSC-klagomål.docx", "A 64068-2020")</f>
        <v/>
      </c>
      <c r="W51">
        <f>HYPERLINK("https://klasma.github.io/Logging_2085/klagomålsmail/A 64068-2020 FSC-klagomål mail.docx", "A 64068-2020")</f>
        <v/>
      </c>
      <c r="X51">
        <f>HYPERLINK("https://klasma.github.io/Logging_2085/tillsyn/A 64068-2020 tillsynsbegäran.docx", "A 64068-2020")</f>
        <v/>
      </c>
      <c r="Y51">
        <f>HYPERLINK("https://klasma.github.io/Logging_2085/tillsynsmail/A 64068-2020 tillsynsbegäran mail.docx", "A 64068-2020")</f>
        <v/>
      </c>
    </row>
    <row r="52" ht="15" customHeight="1">
      <c r="A52" t="inlineStr">
        <is>
          <t>A 69166-2020</t>
        </is>
      </c>
      <c r="B52" s="1" t="n">
        <v>44188</v>
      </c>
      <c r="C52" s="1" t="n">
        <v>45849</v>
      </c>
      <c r="D52" t="inlineStr">
        <is>
          <t>DALARNAS LÄN</t>
        </is>
      </c>
      <c r="E52" t="inlineStr">
        <is>
          <t>LUDVIKA</t>
        </is>
      </c>
      <c r="F52" t="inlineStr">
        <is>
          <t>Kommuner</t>
        </is>
      </c>
      <c r="G52" t="n">
        <v>4.9</v>
      </c>
      <c r="H52" t="n">
        <v>1</v>
      </c>
      <c r="I52" t="n">
        <v>0</v>
      </c>
      <c r="J52" t="n">
        <v>0</v>
      </c>
      <c r="K52" t="n">
        <v>0</v>
      </c>
      <c r="L52" t="n">
        <v>0</v>
      </c>
      <c r="M52" t="n">
        <v>0</v>
      </c>
      <c r="N52" t="n">
        <v>0</v>
      </c>
      <c r="O52" t="n">
        <v>0</v>
      </c>
      <c r="P52" t="n">
        <v>0</v>
      </c>
      <c r="Q52" t="n">
        <v>1</v>
      </c>
      <c r="R52" s="2" t="inlineStr">
        <is>
          <t>Fläcknycklar</t>
        </is>
      </c>
      <c r="S52">
        <f>HYPERLINK("https://klasma.github.io/Logging_2085/artfynd/A 69166-2020 artfynd.xlsx", "A 69166-2020")</f>
        <v/>
      </c>
      <c r="T52">
        <f>HYPERLINK("https://klasma.github.io/Logging_2085/kartor/A 69166-2020 karta.png", "A 69166-2020")</f>
        <v/>
      </c>
      <c r="V52">
        <f>HYPERLINK("https://klasma.github.io/Logging_2085/klagomål/A 69166-2020 FSC-klagomål.docx", "A 69166-2020")</f>
        <v/>
      </c>
      <c r="W52">
        <f>HYPERLINK("https://klasma.github.io/Logging_2085/klagomålsmail/A 69166-2020 FSC-klagomål mail.docx", "A 69166-2020")</f>
        <v/>
      </c>
      <c r="X52">
        <f>HYPERLINK("https://klasma.github.io/Logging_2085/tillsyn/A 69166-2020 tillsynsbegäran.docx", "A 69166-2020")</f>
        <v/>
      </c>
      <c r="Y52">
        <f>HYPERLINK("https://klasma.github.io/Logging_2085/tillsynsmail/A 69166-2020 tillsynsbegäran mail.docx", "A 69166-2020")</f>
        <v/>
      </c>
    </row>
    <row r="53" ht="15" customHeight="1">
      <c r="A53" t="inlineStr">
        <is>
          <t>A 38674-2021</t>
        </is>
      </c>
      <c r="B53" s="1" t="n">
        <v>44410</v>
      </c>
      <c r="C53" s="1" t="n">
        <v>45849</v>
      </c>
      <c r="D53" t="inlineStr">
        <is>
          <t>DALARNAS LÄN</t>
        </is>
      </c>
      <c r="E53" t="inlineStr">
        <is>
          <t>LUDVIKA</t>
        </is>
      </c>
      <c r="G53" t="n">
        <v>6.3</v>
      </c>
      <c r="H53" t="n">
        <v>0</v>
      </c>
      <c r="I53" t="n">
        <v>0</v>
      </c>
      <c r="J53" t="n">
        <v>1</v>
      </c>
      <c r="K53" t="n">
        <v>0</v>
      </c>
      <c r="L53" t="n">
        <v>0</v>
      </c>
      <c r="M53" t="n">
        <v>0</v>
      </c>
      <c r="N53" t="n">
        <v>0</v>
      </c>
      <c r="O53" t="n">
        <v>1</v>
      </c>
      <c r="P53" t="n">
        <v>0</v>
      </c>
      <c r="Q53" t="n">
        <v>1</v>
      </c>
      <c r="R53" s="2" t="inlineStr">
        <is>
          <t>Dvärgbägarlav</t>
        </is>
      </c>
      <c r="S53">
        <f>HYPERLINK("https://klasma.github.io/Logging_2085/artfynd/A 38674-2021 artfynd.xlsx", "A 38674-2021")</f>
        <v/>
      </c>
      <c r="T53">
        <f>HYPERLINK("https://klasma.github.io/Logging_2085/kartor/A 38674-2021 karta.png", "A 38674-2021")</f>
        <v/>
      </c>
      <c r="V53">
        <f>HYPERLINK("https://klasma.github.io/Logging_2085/klagomål/A 38674-2021 FSC-klagomål.docx", "A 38674-2021")</f>
        <v/>
      </c>
      <c r="W53">
        <f>HYPERLINK("https://klasma.github.io/Logging_2085/klagomålsmail/A 38674-2021 FSC-klagomål mail.docx", "A 38674-2021")</f>
        <v/>
      </c>
      <c r="X53">
        <f>HYPERLINK("https://klasma.github.io/Logging_2085/tillsyn/A 38674-2021 tillsynsbegäran.docx", "A 38674-2021")</f>
        <v/>
      </c>
      <c r="Y53">
        <f>HYPERLINK("https://klasma.github.io/Logging_2085/tillsynsmail/A 38674-2021 tillsynsbegäran mail.docx", "A 38674-2021")</f>
        <v/>
      </c>
    </row>
    <row r="54" ht="15" customHeight="1">
      <c r="A54" t="inlineStr">
        <is>
          <t>A 45995-2021</t>
        </is>
      </c>
      <c r="B54" s="1" t="n">
        <v>44441</v>
      </c>
      <c r="C54" s="1" t="n">
        <v>45849</v>
      </c>
      <c r="D54" t="inlineStr">
        <is>
          <t>DALARNAS LÄN</t>
        </is>
      </c>
      <c r="E54" t="inlineStr">
        <is>
          <t>LUDVIKA</t>
        </is>
      </c>
      <c r="G54" t="n">
        <v>1.2</v>
      </c>
      <c r="H54" t="n">
        <v>1</v>
      </c>
      <c r="I54" t="n">
        <v>0</v>
      </c>
      <c r="J54" t="n">
        <v>1</v>
      </c>
      <c r="K54" t="n">
        <v>0</v>
      </c>
      <c r="L54" t="n">
        <v>0</v>
      </c>
      <c r="M54" t="n">
        <v>0</v>
      </c>
      <c r="N54" t="n">
        <v>0</v>
      </c>
      <c r="O54" t="n">
        <v>1</v>
      </c>
      <c r="P54" t="n">
        <v>0</v>
      </c>
      <c r="Q54" t="n">
        <v>1</v>
      </c>
      <c r="R54" s="2" t="inlineStr">
        <is>
          <t>Nordfladdermus</t>
        </is>
      </c>
      <c r="S54">
        <f>HYPERLINK("https://klasma.github.io/Logging_2085/artfynd/A 45995-2021 artfynd.xlsx", "A 45995-2021")</f>
        <v/>
      </c>
      <c r="T54">
        <f>HYPERLINK("https://klasma.github.io/Logging_2085/kartor/A 45995-2021 karta.png", "A 45995-2021")</f>
        <v/>
      </c>
      <c r="V54">
        <f>HYPERLINK("https://klasma.github.io/Logging_2085/klagomål/A 45995-2021 FSC-klagomål.docx", "A 45995-2021")</f>
        <v/>
      </c>
      <c r="W54">
        <f>HYPERLINK("https://klasma.github.io/Logging_2085/klagomålsmail/A 45995-2021 FSC-klagomål mail.docx", "A 45995-2021")</f>
        <v/>
      </c>
      <c r="X54">
        <f>HYPERLINK("https://klasma.github.io/Logging_2085/tillsyn/A 45995-2021 tillsynsbegäran.docx", "A 45995-2021")</f>
        <v/>
      </c>
      <c r="Y54">
        <f>HYPERLINK("https://klasma.github.io/Logging_2085/tillsynsmail/A 45995-2021 tillsynsbegäran mail.docx", "A 45995-2021")</f>
        <v/>
      </c>
    </row>
    <row r="55" ht="15" customHeight="1">
      <c r="A55" t="inlineStr">
        <is>
          <t>A 50052-2021</t>
        </is>
      </c>
      <c r="B55" s="1" t="n">
        <v>44456</v>
      </c>
      <c r="C55" s="1" t="n">
        <v>45849</v>
      </c>
      <c r="D55" t="inlineStr">
        <is>
          <t>DALARNAS LÄN</t>
        </is>
      </c>
      <c r="E55" t="inlineStr">
        <is>
          <t>LUDVIKA</t>
        </is>
      </c>
      <c r="F55" t="inlineStr">
        <is>
          <t>Bergvik skog väst AB</t>
        </is>
      </c>
      <c r="G55" t="n">
        <v>2</v>
      </c>
      <c r="H55" t="n">
        <v>1</v>
      </c>
      <c r="I55" t="n">
        <v>0</v>
      </c>
      <c r="J55" t="n">
        <v>0</v>
      </c>
      <c r="K55" t="n">
        <v>0</v>
      </c>
      <c r="L55" t="n">
        <v>0</v>
      </c>
      <c r="M55" t="n">
        <v>0</v>
      </c>
      <c r="N55" t="n">
        <v>0</v>
      </c>
      <c r="O55" t="n">
        <v>0</v>
      </c>
      <c r="P55" t="n">
        <v>0</v>
      </c>
      <c r="Q55" t="n">
        <v>1</v>
      </c>
      <c r="R55" s="2" t="inlineStr">
        <is>
          <t>Buskmus</t>
        </is>
      </c>
      <c r="S55">
        <f>HYPERLINK("https://klasma.github.io/Logging_2085/artfynd/A 50052-2021 artfynd.xlsx", "A 50052-2021")</f>
        <v/>
      </c>
      <c r="T55">
        <f>HYPERLINK("https://klasma.github.io/Logging_2085/kartor/A 50052-2021 karta.png", "A 50052-2021")</f>
        <v/>
      </c>
      <c r="V55">
        <f>HYPERLINK("https://klasma.github.io/Logging_2085/klagomål/A 50052-2021 FSC-klagomål.docx", "A 50052-2021")</f>
        <v/>
      </c>
      <c r="W55">
        <f>HYPERLINK("https://klasma.github.io/Logging_2085/klagomålsmail/A 50052-2021 FSC-klagomål mail.docx", "A 50052-2021")</f>
        <v/>
      </c>
      <c r="X55">
        <f>HYPERLINK("https://klasma.github.io/Logging_2085/tillsyn/A 50052-2021 tillsynsbegäran.docx", "A 50052-2021")</f>
        <v/>
      </c>
      <c r="Y55">
        <f>HYPERLINK("https://klasma.github.io/Logging_2085/tillsynsmail/A 50052-2021 tillsynsbegäran mail.docx", "A 50052-2021")</f>
        <v/>
      </c>
    </row>
    <row r="56" ht="15" customHeight="1">
      <c r="A56" t="inlineStr">
        <is>
          <t>A 72858-2021</t>
        </is>
      </c>
      <c r="B56" s="1" t="n">
        <v>44547</v>
      </c>
      <c r="C56" s="1" t="n">
        <v>45849</v>
      </c>
      <c r="D56" t="inlineStr">
        <is>
          <t>DALARNAS LÄN</t>
        </is>
      </c>
      <c r="E56" t="inlineStr">
        <is>
          <t>LUDVIKA</t>
        </is>
      </c>
      <c r="F56" t="inlineStr">
        <is>
          <t>Kommuner</t>
        </is>
      </c>
      <c r="G56" t="n">
        <v>7</v>
      </c>
      <c r="H56" t="n">
        <v>0</v>
      </c>
      <c r="I56" t="n">
        <v>0</v>
      </c>
      <c r="J56" t="n">
        <v>0</v>
      </c>
      <c r="K56" t="n">
        <v>1</v>
      </c>
      <c r="L56" t="n">
        <v>0</v>
      </c>
      <c r="M56" t="n">
        <v>0</v>
      </c>
      <c r="N56" t="n">
        <v>0</v>
      </c>
      <c r="O56" t="n">
        <v>1</v>
      </c>
      <c r="P56" t="n">
        <v>1</v>
      </c>
      <c r="Q56" t="n">
        <v>1</v>
      </c>
      <c r="R56" s="2" t="inlineStr">
        <is>
          <t>Rynkskinn</t>
        </is>
      </c>
      <c r="S56">
        <f>HYPERLINK("https://klasma.github.io/Logging_2085/artfynd/A 72858-2021 artfynd.xlsx", "A 72858-2021")</f>
        <v/>
      </c>
      <c r="T56">
        <f>HYPERLINK("https://klasma.github.io/Logging_2085/kartor/A 72858-2021 karta.png", "A 72858-2021")</f>
        <v/>
      </c>
      <c r="V56">
        <f>HYPERLINK("https://klasma.github.io/Logging_2085/klagomål/A 72858-2021 FSC-klagomål.docx", "A 72858-2021")</f>
        <v/>
      </c>
      <c r="W56">
        <f>HYPERLINK("https://klasma.github.io/Logging_2085/klagomålsmail/A 72858-2021 FSC-klagomål mail.docx", "A 72858-2021")</f>
        <v/>
      </c>
      <c r="X56">
        <f>HYPERLINK("https://klasma.github.io/Logging_2085/tillsyn/A 72858-2021 tillsynsbegäran.docx", "A 72858-2021")</f>
        <v/>
      </c>
      <c r="Y56">
        <f>HYPERLINK("https://klasma.github.io/Logging_2085/tillsynsmail/A 72858-2021 tillsynsbegäran mail.docx", "A 72858-2021")</f>
        <v/>
      </c>
    </row>
    <row r="57" ht="15" customHeight="1">
      <c r="A57" t="inlineStr">
        <is>
          <t>A 74401-2021</t>
        </is>
      </c>
      <c r="B57" s="1" t="n">
        <v>44560</v>
      </c>
      <c r="C57" s="1" t="n">
        <v>45849</v>
      </c>
      <c r="D57" t="inlineStr">
        <is>
          <t>DALARNAS LÄN</t>
        </is>
      </c>
      <c r="E57" t="inlineStr">
        <is>
          <t>LUDVIKA</t>
        </is>
      </c>
      <c r="F57" t="inlineStr">
        <is>
          <t>Kommuner</t>
        </is>
      </c>
      <c r="G57" t="n">
        <v>0.6</v>
      </c>
      <c r="H57" t="n">
        <v>0</v>
      </c>
      <c r="I57" t="n">
        <v>1</v>
      </c>
      <c r="J57" t="n">
        <v>0</v>
      </c>
      <c r="K57" t="n">
        <v>0</v>
      </c>
      <c r="L57" t="n">
        <v>0</v>
      </c>
      <c r="M57" t="n">
        <v>0</v>
      </c>
      <c r="N57" t="n">
        <v>0</v>
      </c>
      <c r="O57" t="n">
        <v>0</v>
      </c>
      <c r="P57" t="n">
        <v>0</v>
      </c>
      <c r="Q57" t="n">
        <v>1</v>
      </c>
      <c r="R57" s="2" t="inlineStr">
        <is>
          <t>Gullgröppa</t>
        </is>
      </c>
      <c r="S57">
        <f>HYPERLINK("https://klasma.github.io/Logging_2085/artfynd/A 74401-2021 artfynd.xlsx", "A 74401-2021")</f>
        <v/>
      </c>
      <c r="T57">
        <f>HYPERLINK("https://klasma.github.io/Logging_2085/kartor/A 74401-2021 karta.png", "A 74401-2021")</f>
        <v/>
      </c>
      <c r="V57">
        <f>HYPERLINK("https://klasma.github.io/Logging_2085/klagomål/A 74401-2021 FSC-klagomål.docx", "A 74401-2021")</f>
        <v/>
      </c>
      <c r="W57">
        <f>HYPERLINK("https://klasma.github.io/Logging_2085/klagomålsmail/A 74401-2021 FSC-klagomål mail.docx", "A 74401-2021")</f>
        <v/>
      </c>
      <c r="X57">
        <f>HYPERLINK("https://klasma.github.io/Logging_2085/tillsyn/A 74401-2021 tillsynsbegäran.docx", "A 74401-2021")</f>
        <v/>
      </c>
      <c r="Y57">
        <f>HYPERLINK("https://klasma.github.io/Logging_2085/tillsynsmail/A 74401-2021 tillsynsbegäran mail.docx", "A 74401-2021")</f>
        <v/>
      </c>
    </row>
    <row r="58" ht="15" customHeight="1">
      <c r="A58" t="inlineStr">
        <is>
          <t>A 927-2022</t>
        </is>
      </c>
      <c r="B58" s="1" t="n">
        <v>44571</v>
      </c>
      <c r="C58" s="1" t="n">
        <v>45849</v>
      </c>
      <c r="D58" t="inlineStr">
        <is>
          <t>DALARNAS LÄN</t>
        </is>
      </c>
      <c r="E58" t="inlineStr">
        <is>
          <t>LUDVIKA</t>
        </is>
      </c>
      <c r="F58" t="inlineStr">
        <is>
          <t>Allmännings- och besparingsskogar</t>
        </is>
      </c>
      <c r="G58" t="n">
        <v>2.4</v>
      </c>
      <c r="H58" t="n">
        <v>0</v>
      </c>
      <c r="I58" t="n">
        <v>0</v>
      </c>
      <c r="J58" t="n">
        <v>1</v>
      </c>
      <c r="K58" t="n">
        <v>0</v>
      </c>
      <c r="L58" t="n">
        <v>0</v>
      </c>
      <c r="M58" t="n">
        <v>0</v>
      </c>
      <c r="N58" t="n">
        <v>0</v>
      </c>
      <c r="O58" t="n">
        <v>1</v>
      </c>
      <c r="P58" t="n">
        <v>0</v>
      </c>
      <c r="Q58" t="n">
        <v>1</v>
      </c>
      <c r="R58" s="2" t="inlineStr">
        <is>
          <t>Brunklöver</t>
        </is>
      </c>
      <c r="S58">
        <f>HYPERLINK("https://klasma.github.io/Logging_2085/artfynd/A 927-2022 artfynd.xlsx", "A 927-2022")</f>
        <v/>
      </c>
      <c r="T58">
        <f>HYPERLINK("https://klasma.github.io/Logging_2085/kartor/A 927-2022 karta.png", "A 927-2022")</f>
        <v/>
      </c>
      <c r="V58">
        <f>HYPERLINK("https://klasma.github.io/Logging_2085/klagomål/A 927-2022 FSC-klagomål.docx", "A 927-2022")</f>
        <v/>
      </c>
      <c r="W58">
        <f>HYPERLINK("https://klasma.github.io/Logging_2085/klagomålsmail/A 927-2022 FSC-klagomål mail.docx", "A 927-2022")</f>
        <v/>
      </c>
      <c r="X58">
        <f>HYPERLINK("https://klasma.github.io/Logging_2085/tillsyn/A 927-2022 tillsynsbegäran.docx", "A 927-2022")</f>
        <v/>
      </c>
      <c r="Y58">
        <f>HYPERLINK("https://klasma.github.io/Logging_2085/tillsynsmail/A 927-2022 tillsynsbegäran mail.docx", "A 927-2022")</f>
        <v/>
      </c>
    </row>
    <row r="59" ht="15" customHeight="1">
      <c r="A59" t="inlineStr">
        <is>
          <t>A 19512-2022</t>
        </is>
      </c>
      <c r="B59" s="1" t="n">
        <v>44693</v>
      </c>
      <c r="C59" s="1" t="n">
        <v>45849</v>
      </c>
      <c r="D59" t="inlineStr">
        <is>
          <t>DALARNAS LÄN</t>
        </is>
      </c>
      <c r="E59" t="inlineStr">
        <is>
          <t>LUDVIKA</t>
        </is>
      </c>
      <c r="F59" t="inlineStr">
        <is>
          <t>Bergvik skog väst AB</t>
        </is>
      </c>
      <c r="G59" t="n">
        <v>2.8</v>
      </c>
      <c r="H59" t="n">
        <v>0</v>
      </c>
      <c r="I59" t="n">
        <v>1</v>
      </c>
      <c r="J59" t="n">
        <v>0</v>
      </c>
      <c r="K59" t="n">
        <v>0</v>
      </c>
      <c r="L59" t="n">
        <v>0</v>
      </c>
      <c r="M59" t="n">
        <v>0</v>
      </c>
      <c r="N59" t="n">
        <v>0</v>
      </c>
      <c r="O59" t="n">
        <v>0</v>
      </c>
      <c r="P59" t="n">
        <v>0</v>
      </c>
      <c r="Q59" t="n">
        <v>1</v>
      </c>
      <c r="R59" s="2" t="inlineStr">
        <is>
          <t>Nästlav</t>
        </is>
      </c>
      <c r="S59">
        <f>HYPERLINK("https://klasma.github.io/Logging_2085/artfynd/A 19512-2022 artfynd.xlsx", "A 19512-2022")</f>
        <v/>
      </c>
      <c r="T59">
        <f>HYPERLINK("https://klasma.github.io/Logging_2085/kartor/A 19512-2022 karta.png", "A 19512-2022")</f>
        <v/>
      </c>
      <c r="V59">
        <f>HYPERLINK("https://klasma.github.io/Logging_2085/klagomål/A 19512-2022 FSC-klagomål.docx", "A 19512-2022")</f>
        <v/>
      </c>
      <c r="W59">
        <f>HYPERLINK("https://klasma.github.io/Logging_2085/klagomålsmail/A 19512-2022 FSC-klagomål mail.docx", "A 19512-2022")</f>
        <v/>
      </c>
      <c r="X59">
        <f>HYPERLINK("https://klasma.github.io/Logging_2085/tillsyn/A 19512-2022 tillsynsbegäran.docx", "A 19512-2022")</f>
        <v/>
      </c>
      <c r="Y59">
        <f>HYPERLINK("https://klasma.github.io/Logging_2085/tillsynsmail/A 19512-2022 tillsynsbegäran mail.docx", "A 19512-2022")</f>
        <v/>
      </c>
    </row>
    <row r="60" ht="15" customHeight="1">
      <c r="A60" t="inlineStr">
        <is>
          <t>A 19717-2022</t>
        </is>
      </c>
      <c r="B60" s="1" t="n">
        <v>44694</v>
      </c>
      <c r="C60" s="1" t="n">
        <v>45849</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Vedticka</t>
        </is>
      </c>
      <c r="S60">
        <f>HYPERLINK("https://klasma.github.io/Logging_2085/artfynd/A 19717-2022 artfynd.xlsx", "A 19717-2022")</f>
        <v/>
      </c>
      <c r="T60">
        <f>HYPERLINK("https://klasma.github.io/Logging_2085/kartor/A 19717-2022 karta.png", "A 19717-2022")</f>
        <v/>
      </c>
      <c r="V60">
        <f>HYPERLINK("https://klasma.github.io/Logging_2085/klagomål/A 19717-2022 FSC-klagomål.docx", "A 19717-2022")</f>
        <v/>
      </c>
      <c r="W60">
        <f>HYPERLINK("https://klasma.github.io/Logging_2085/klagomålsmail/A 19717-2022 FSC-klagomål mail.docx", "A 19717-2022")</f>
        <v/>
      </c>
      <c r="X60">
        <f>HYPERLINK("https://klasma.github.io/Logging_2085/tillsyn/A 19717-2022 tillsynsbegäran.docx", "A 19717-2022")</f>
        <v/>
      </c>
      <c r="Y60">
        <f>HYPERLINK("https://klasma.github.io/Logging_2085/tillsynsmail/A 19717-2022 tillsynsbegäran mail.docx", "A 19717-2022")</f>
        <v/>
      </c>
    </row>
    <row r="61" ht="15" customHeight="1">
      <c r="A61" t="inlineStr">
        <is>
          <t>A 21499-2022</t>
        </is>
      </c>
      <c r="B61" s="1" t="n">
        <v>44706</v>
      </c>
      <c r="C61" s="1" t="n">
        <v>45849</v>
      </c>
      <c r="D61" t="inlineStr">
        <is>
          <t>DALARNAS LÄN</t>
        </is>
      </c>
      <c r="E61" t="inlineStr">
        <is>
          <t>LUDVIKA</t>
        </is>
      </c>
      <c r="G61" t="n">
        <v>4.3</v>
      </c>
      <c r="H61" t="n">
        <v>0</v>
      </c>
      <c r="I61" t="n">
        <v>1</v>
      </c>
      <c r="J61" t="n">
        <v>0</v>
      </c>
      <c r="K61" t="n">
        <v>0</v>
      </c>
      <c r="L61" t="n">
        <v>0</v>
      </c>
      <c r="M61" t="n">
        <v>0</v>
      </c>
      <c r="N61" t="n">
        <v>0</v>
      </c>
      <c r="O61" t="n">
        <v>0</v>
      </c>
      <c r="P61" t="n">
        <v>0</v>
      </c>
      <c r="Q61" t="n">
        <v>1</v>
      </c>
      <c r="R61" s="2" t="inlineStr">
        <is>
          <t>Strimspindling</t>
        </is>
      </c>
      <c r="S61">
        <f>HYPERLINK("https://klasma.github.io/Logging_2085/artfynd/A 21499-2022 artfynd.xlsx", "A 21499-2022")</f>
        <v/>
      </c>
      <c r="T61">
        <f>HYPERLINK("https://klasma.github.io/Logging_2085/kartor/A 21499-2022 karta.png", "A 21499-2022")</f>
        <v/>
      </c>
      <c r="V61">
        <f>HYPERLINK("https://klasma.github.io/Logging_2085/klagomål/A 21499-2022 FSC-klagomål.docx", "A 21499-2022")</f>
        <v/>
      </c>
      <c r="W61">
        <f>HYPERLINK("https://klasma.github.io/Logging_2085/klagomålsmail/A 21499-2022 FSC-klagomål mail.docx", "A 21499-2022")</f>
        <v/>
      </c>
      <c r="X61">
        <f>HYPERLINK("https://klasma.github.io/Logging_2085/tillsyn/A 21499-2022 tillsynsbegäran.docx", "A 21499-2022")</f>
        <v/>
      </c>
      <c r="Y61">
        <f>HYPERLINK("https://klasma.github.io/Logging_2085/tillsynsmail/A 21499-2022 tillsynsbegäran mail.docx", "A 21499-2022")</f>
        <v/>
      </c>
    </row>
    <row r="62" ht="15" customHeight="1">
      <c r="A62" t="inlineStr">
        <is>
          <t>A 41028-2022</t>
        </is>
      </c>
      <c r="B62" s="1" t="n">
        <v>44825</v>
      </c>
      <c r="C62" s="1" t="n">
        <v>45849</v>
      </c>
      <c r="D62" t="inlineStr">
        <is>
          <t>DALARNAS LÄN</t>
        </is>
      </c>
      <c r="E62" t="inlineStr">
        <is>
          <t>LUDVIKA</t>
        </is>
      </c>
      <c r="F62" t="inlineStr">
        <is>
          <t>Naturvårdsverket</t>
        </is>
      </c>
      <c r="G62" t="n">
        <v>8.300000000000001</v>
      </c>
      <c r="H62" t="n">
        <v>0</v>
      </c>
      <c r="I62" t="n">
        <v>0</v>
      </c>
      <c r="J62" t="n">
        <v>1</v>
      </c>
      <c r="K62" t="n">
        <v>0</v>
      </c>
      <c r="L62" t="n">
        <v>0</v>
      </c>
      <c r="M62" t="n">
        <v>0</v>
      </c>
      <c r="N62" t="n">
        <v>0</v>
      </c>
      <c r="O62" t="n">
        <v>1</v>
      </c>
      <c r="P62" t="n">
        <v>0</v>
      </c>
      <c r="Q62" t="n">
        <v>1</v>
      </c>
      <c r="R62" s="2" t="inlineStr">
        <is>
          <t>Vårtsporigt stålskinn</t>
        </is>
      </c>
      <c r="S62">
        <f>HYPERLINK("https://klasma.github.io/Logging_2085/artfynd/A 41028-2022 artfynd.xlsx", "A 41028-2022")</f>
        <v/>
      </c>
      <c r="T62">
        <f>HYPERLINK("https://klasma.github.io/Logging_2085/kartor/A 41028-2022 karta.png", "A 41028-2022")</f>
        <v/>
      </c>
      <c r="V62">
        <f>HYPERLINK("https://klasma.github.io/Logging_2085/klagomål/A 41028-2022 FSC-klagomål.docx", "A 41028-2022")</f>
        <v/>
      </c>
      <c r="W62">
        <f>HYPERLINK("https://klasma.github.io/Logging_2085/klagomålsmail/A 41028-2022 FSC-klagomål mail.docx", "A 41028-2022")</f>
        <v/>
      </c>
      <c r="X62">
        <f>HYPERLINK("https://klasma.github.io/Logging_2085/tillsyn/A 41028-2022 tillsynsbegäran.docx", "A 41028-2022")</f>
        <v/>
      </c>
      <c r="Y62">
        <f>HYPERLINK("https://klasma.github.io/Logging_2085/tillsynsmail/A 41028-2022 tillsynsbegäran mail.docx", "A 41028-2022")</f>
        <v/>
      </c>
    </row>
    <row r="63" ht="15" customHeight="1">
      <c r="A63" t="inlineStr">
        <is>
          <t>A 42558-2022</t>
        </is>
      </c>
      <c r="B63" s="1" t="n">
        <v>44831</v>
      </c>
      <c r="C63" s="1" t="n">
        <v>45849</v>
      </c>
      <c r="D63" t="inlineStr">
        <is>
          <t>DALARNAS LÄN</t>
        </is>
      </c>
      <c r="E63" t="inlineStr">
        <is>
          <t>LUDVIKA</t>
        </is>
      </c>
      <c r="F63" t="inlineStr">
        <is>
          <t>Naturvårdsverket</t>
        </is>
      </c>
      <c r="G63" t="n">
        <v>4.9</v>
      </c>
      <c r="H63" t="n">
        <v>0</v>
      </c>
      <c r="I63" t="n">
        <v>0</v>
      </c>
      <c r="J63" t="n">
        <v>0</v>
      </c>
      <c r="K63" t="n">
        <v>1</v>
      </c>
      <c r="L63" t="n">
        <v>0</v>
      </c>
      <c r="M63" t="n">
        <v>0</v>
      </c>
      <c r="N63" t="n">
        <v>0</v>
      </c>
      <c r="O63" t="n">
        <v>1</v>
      </c>
      <c r="P63" t="n">
        <v>1</v>
      </c>
      <c r="Q63" t="n">
        <v>1</v>
      </c>
      <c r="R63" s="2" t="inlineStr">
        <is>
          <t>Gräddporing</t>
        </is>
      </c>
      <c r="S63">
        <f>HYPERLINK("https://klasma.github.io/Logging_2085/artfynd/A 42558-2022 artfynd.xlsx", "A 42558-2022")</f>
        <v/>
      </c>
      <c r="T63">
        <f>HYPERLINK("https://klasma.github.io/Logging_2085/kartor/A 42558-2022 karta.png", "A 42558-2022")</f>
        <v/>
      </c>
      <c r="V63">
        <f>HYPERLINK("https://klasma.github.io/Logging_2085/klagomål/A 42558-2022 FSC-klagomål.docx", "A 42558-2022")</f>
        <v/>
      </c>
      <c r="W63">
        <f>HYPERLINK("https://klasma.github.io/Logging_2085/klagomålsmail/A 42558-2022 FSC-klagomål mail.docx", "A 42558-2022")</f>
        <v/>
      </c>
      <c r="X63">
        <f>HYPERLINK("https://klasma.github.io/Logging_2085/tillsyn/A 42558-2022 tillsynsbegäran.docx", "A 42558-2022")</f>
        <v/>
      </c>
      <c r="Y63">
        <f>HYPERLINK("https://klasma.github.io/Logging_2085/tillsynsmail/A 42558-2022 tillsynsbegäran mail.docx", "A 42558-2022")</f>
        <v/>
      </c>
    </row>
    <row r="64" ht="15" customHeight="1">
      <c r="A64" t="inlineStr">
        <is>
          <t>A 42758-2022</t>
        </is>
      </c>
      <c r="B64" s="1" t="n">
        <v>44832</v>
      </c>
      <c r="C64" s="1" t="n">
        <v>45849</v>
      </c>
      <c r="D64" t="inlineStr">
        <is>
          <t>DALARNAS LÄN</t>
        </is>
      </c>
      <c r="E64" t="inlineStr">
        <is>
          <t>LUDVIKA</t>
        </is>
      </c>
      <c r="F64" t="inlineStr">
        <is>
          <t>Bergvik skog väst AB</t>
        </is>
      </c>
      <c r="G64" t="n">
        <v>1.6</v>
      </c>
      <c r="H64" t="n">
        <v>0</v>
      </c>
      <c r="I64" t="n">
        <v>0</v>
      </c>
      <c r="J64" t="n">
        <v>0</v>
      </c>
      <c r="K64" t="n">
        <v>1</v>
      </c>
      <c r="L64" t="n">
        <v>0</v>
      </c>
      <c r="M64" t="n">
        <v>0</v>
      </c>
      <c r="N64" t="n">
        <v>0</v>
      </c>
      <c r="O64" t="n">
        <v>1</v>
      </c>
      <c r="P64" t="n">
        <v>1</v>
      </c>
      <c r="Q64" t="n">
        <v>1</v>
      </c>
      <c r="R64" s="2" t="inlineStr">
        <is>
          <t>Aspgelélav</t>
        </is>
      </c>
      <c r="S64">
        <f>HYPERLINK("https://klasma.github.io/Logging_2085/artfynd/A 42758-2022 artfynd.xlsx", "A 42758-2022")</f>
        <v/>
      </c>
      <c r="T64">
        <f>HYPERLINK("https://klasma.github.io/Logging_2085/kartor/A 42758-2022 karta.png", "A 42758-2022")</f>
        <v/>
      </c>
      <c r="V64">
        <f>HYPERLINK("https://klasma.github.io/Logging_2085/klagomål/A 42758-2022 FSC-klagomål.docx", "A 42758-2022")</f>
        <v/>
      </c>
      <c r="W64">
        <f>HYPERLINK("https://klasma.github.io/Logging_2085/klagomålsmail/A 42758-2022 FSC-klagomål mail.docx", "A 42758-2022")</f>
        <v/>
      </c>
      <c r="X64">
        <f>HYPERLINK("https://klasma.github.io/Logging_2085/tillsyn/A 42758-2022 tillsynsbegäran.docx", "A 42758-2022")</f>
        <v/>
      </c>
      <c r="Y64">
        <f>HYPERLINK("https://klasma.github.io/Logging_2085/tillsynsmail/A 42758-2022 tillsynsbegäran mail.docx", "A 42758-2022")</f>
        <v/>
      </c>
    </row>
    <row r="65" ht="15" customHeight="1">
      <c r="A65" t="inlineStr">
        <is>
          <t>A 52452-2022</t>
        </is>
      </c>
      <c r="B65" s="1" t="n">
        <v>44874</v>
      </c>
      <c r="C65" s="1" t="n">
        <v>45849</v>
      </c>
      <c r="D65" t="inlineStr">
        <is>
          <t>DALARNAS LÄN</t>
        </is>
      </c>
      <c r="E65" t="inlineStr">
        <is>
          <t>LUDVIKA</t>
        </is>
      </c>
      <c r="F65" t="inlineStr">
        <is>
          <t>Bergvik skog väst AB</t>
        </is>
      </c>
      <c r="G65" t="n">
        <v>1.9</v>
      </c>
      <c r="H65" t="n">
        <v>0</v>
      </c>
      <c r="I65" t="n">
        <v>0</v>
      </c>
      <c r="J65" t="n">
        <v>1</v>
      </c>
      <c r="K65" t="n">
        <v>0</v>
      </c>
      <c r="L65" t="n">
        <v>0</v>
      </c>
      <c r="M65" t="n">
        <v>0</v>
      </c>
      <c r="N65" t="n">
        <v>0</v>
      </c>
      <c r="O65" t="n">
        <v>1</v>
      </c>
      <c r="P65" t="n">
        <v>0</v>
      </c>
      <c r="Q65" t="n">
        <v>1</v>
      </c>
      <c r="R65" s="2" t="inlineStr">
        <is>
          <t>Garnlav</t>
        </is>
      </c>
      <c r="S65">
        <f>HYPERLINK("https://klasma.github.io/Logging_2085/artfynd/A 52452-2022 artfynd.xlsx", "A 52452-2022")</f>
        <v/>
      </c>
      <c r="T65">
        <f>HYPERLINK("https://klasma.github.io/Logging_2085/kartor/A 52452-2022 karta.png", "A 52452-2022")</f>
        <v/>
      </c>
      <c r="V65">
        <f>HYPERLINK("https://klasma.github.io/Logging_2085/klagomål/A 52452-2022 FSC-klagomål.docx", "A 52452-2022")</f>
        <v/>
      </c>
      <c r="W65">
        <f>HYPERLINK("https://klasma.github.io/Logging_2085/klagomålsmail/A 52452-2022 FSC-klagomål mail.docx", "A 52452-2022")</f>
        <v/>
      </c>
      <c r="X65">
        <f>HYPERLINK("https://klasma.github.io/Logging_2085/tillsyn/A 52452-2022 tillsynsbegäran.docx", "A 52452-2022")</f>
        <v/>
      </c>
      <c r="Y65">
        <f>HYPERLINK("https://klasma.github.io/Logging_2085/tillsynsmail/A 52452-2022 tillsynsbegäran mail.docx", "A 52452-2022")</f>
        <v/>
      </c>
    </row>
    <row r="66" ht="15" customHeight="1">
      <c r="A66" t="inlineStr">
        <is>
          <t>A 55550-2022</t>
        </is>
      </c>
      <c r="B66" s="1" t="n">
        <v>44888</v>
      </c>
      <c r="C66" s="1" t="n">
        <v>45849</v>
      </c>
      <c r="D66" t="inlineStr">
        <is>
          <t>DALARNAS LÄN</t>
        </is>
      </c>
      <c r="E66" t="inlineStr">
        <is>
          <t>LUDVIKA</t>
        </is>
      </c>
      <c r="F66" t="inlineStr">
        <is>
          <t>Bergvik skog väst AB</t>
        </is>
      </c>
      <c r="G66" t="n">
        <v>1.1</v>
      </c>
      <c r="H66" t="n">
        <v>0</v>
      </c>
      <c r="I66" t="n">
        <v>1</v>
      </c>
      <c r="J66" t="n">
        <v>0</v>
      </c>
      <c r="K66" t="n">
        <v>0</v>
      </c>
      <c r="L66" t="n">
        <v>0</v>
      </c>
      <c r="M66" t="n">
        <v>0</v>
      </c>
      <c r="N66" t="n">
        <v>0</v>
      </c>
      <c r="O66" t="n">
        <v>0</v>
      </c>
      <c r="P66" t="n">
        <v>0</v>
      </c>
      <c r="Q66" t="n">
        <v>1</v>
      </c>
      <c r="R66" s="2" t="inlineStr">
        <is>
          <t>Ögonpyrola</t>
        </is>
      </c>
      <c r="S66">
        <f>HYPERLINK("https://klasma.github.io/Logging_2085/artfynd/A 55550-2022 artfynd.xlsx", "A 55550-2022")</f>
        <v/>
      </c>
      <c r="T66">
        <f>HYPERLINK("https://klasma.github.io/Logging_2085/kartor/A 55550-2022 karta.png", "A 55550-2022")</f>
        <v/>
      </c>
      <c r="V66">
        <f>HYPERLINK("https://klasma.github.io/Logging_2085/klagomål/A 55550-2022 FSC-klagomål.docx", "A 55550-2022")</f>
        <v/>
      </c>
      <c r="W66">
        <f>HYPERLINK("https://klasma.github.io/Logging_2085/klagomålsmail/A 55550-2022 FSC-klagomål mail.docx", "A 55550-2022")</f>
        <v/>
      </c>
      <c r="X66">
        <f>HYPERLINK("https://klasma.github.io/Logging_2085/tillsyn/A 55550-2022 tillsynsbegäran.docx", "A 55550-2022")</f>
        <v/>
      </c>
      <c r="Y66">
        <f>HYPERLINK("https://klasma.github.io/Logging_2085/tillsynsmail/A 55550-2022 tillsynsbegäran mail.docx", "A 55550-2022")</f>
        <v/>
      </c>
    </row>
    <row r="67" ht="15" customHeight="1">
      <c r="A67" t="inlineStr">
        <is>
          <t>A 381-2023</t>
        </is>
      </c>
      <c r="B67" s="1" t="n">
        <v>44929</v>
      </c>
      <c r="C67" s="1" t="n">
        <v>45849</v>
      </c>
      <c r="D67" t="inlineStr">
        <is>
          <t>DALARNAS LÄN</t>
        </is>
      </c>
      <c r="E67" t="inlineStr">
        <is>
          <t>LUDVIKA</t>
        </is>
      </c>
      <c r="G67" t="n">
        <v>7.9</v>
      </c>
      <c r="H67" t="n">
        <v>1</v>
      </c>
      <c r="I67" t="n">
        <v>0</v>
      </c>
      <c r="J67" t="n">
        <v>0</v>
      </c>
      <c r="K67" t="n">
        <v>0</v>
      </c>
      <c r="L67" t="n">
        <v>0</v>
      </c>
      <c r="M67" t="n">
        <v>0</v>
      </c>
      <c r="N67" t="n">
        <v>0</v>
      </c>
      <c r="O67" t="n">
        <v>0</v>
      </c>
      <c r="P67" t="n">
        <v>0</v>
      </c>
      <c r="Q67" t="n">
        <v>1</v>
      </c>
      <c r="R67" s="2" t="inlineStr">
        <is>
          <t>Fläcknycklar</t>
        </is>
      </c>
      <c r="S67">
        <f>HYPERLINK("https://klasma.github.io/Logging_2085/artfynd/A 381-2023 artfynd.xlsx", "A 381-2023")</f>
        <v/>
      </c>
      <c r="T67">
        <f>HYPERLINK("https://klasma.github.io/Logging_2085/kartor/A 381-2023 karta.png", "A 381-2023")</f>
        <v/>
      </c>
      <c r="V67">
        <f>HYPERLINK("https://klasma.github.io/Logging_2085/klagomål/A 381-2023 FSC-klagomål.docx", "A 381-2023")</f>
        <v/>
      </c>
      <c r="W67">
        <f>HYPERLINK("https://klasma.github.io/Logging_2085/klagomålsmail/A 381-2023 FSC-klagomål mail.docx", "A 381-2023")</f>
        <v/>
      </c>
      <c r="X67">
        <f>HYPERLINK("https://klasma.github.io/Logging_2085/tillsyn/A 381-2023 tillsynsbegäran.docx", "A 381-2023")</f>
        <v/>
      </c>
      <c r="Y67">
        <f>HYPERLINK("https://klasma.github.io/Logging_2085/tillsynsmail/A 381-2023 tillsynsbegäran mail.docx", "A 381-2023")</f>
        <v/>
      </c>
    </row>
    <row r="68" ht="15" customHeight="1">
      <c r="A68" t="inlineStr">
        <is>
          <t>A 17310-2023</t>
        </is>
      </c>
      <c r="B68" s="1" t="n">
        <v>45035</v>
      </c>
      <c r="C68" s="1" t="n">
        <v>45849</v>
      </c>
      <c r="D68" t="inlineStr">
        <is>
          <t>DALARNAS LÄN</t>
        </is>
      </c>
      <c r="E68" t="inlineStr">
        <is>
          <t>LUDVIKA</t>
        </is>
      </c>
      <c r="G68" t="n">
        <v>10.2</v>
      </c>
      <c r="H68" t="n">
        <v>0</v>
      </c>
      <c r="I68" t="n">
        <v>0</v>
      </c>
      <c r="J68" t="n">
        <v>1</v>
      </c>
      <c r="K68" t="n">
        <v>0</v>
      </c>
      <c r="L68" t="n">
        <v>0</v>
      </c>
      <c r="M68" t="n">
        <v>0</v>
      </c>
      <c r="N68" t="n">
        <v>0</v>
      </c>
      <c r="O68" t="n">
        <v>1</v>
      </c>
      <c r="P68" t="n">
        <v>0</v>
      </c>
      <c r="Q68" t="n">
        <v>1</v>
      </c>
      <c r="R68" s="2" t="inlineStr">
        <is>
          <t>Barrpraktbagge</t>
        </is>
      </c>
      <c r="S68">
        <f>HYPERLINK("https://klasma.github.io/Logging_2085/artfynd/A 17310-2023 artfynd.xlsx", "A 17310-2023")</f>
        <v/>
      </c>
      <c r="T68">
        <f>HYPERLINK("https://klasma.github.io/Logging_2085/kartor/A 17310-2023 karta.png", "A 17310-2023")</f>
        <v/>
      </c>
      <c r="V68">
        <f>HYPERLINK("https://klasma.github.io/Logging_2085/klagomål/A 17310-2023 FSC-klagomål.docx", "A 17310-2023")</f>
        <v/>
      </c>
      <c r="W68">
        <f>HYPERLINK("https://klasma.github.io/Logging_2085/klagomålsmail/A 17310-2023 FSC-klagomål mail.docx", "A 17310-2023")</f>
        <v/>
      </c>
      <c r="X68">
        <f>HYPERLINK("https://klasma.github.io/Logging_2085/tillsyn/A 17310-2023 tillsynsbegäran.docx", "A 17310-2023")</f>
        <v/>
      </c>
      <c r="Y68">
        <f>HYPERLINK("https://klasma.github.io/Logging_2085/tillsynsmail/A 17310-2023 tillsynsbegäran mail.docx", "A 17310-2023")</f>
        <v/>
      </c>
    </row>
    <row r="69" ht="15" customHeight="1">
      <c r="A69" t="inlineStr">
        <is>
          <t>A 18298-2023</t>
        </is>
      </c>
      <c r="B69" s="1" t="n">
        <v>45041</v>
      </c>
      <c r="C69" s="1" t="n">
        <v>45849</v>
      </c>
      <c r="D69" t="inlineStr">
        <is>
          <t>DALARNAS LÄN</t>
        </is>
      </c>
      <c r="E69" t="inlineStr">
        <is>
          <t>LUDVIKA</t>
        </is>
      </c>
      <c r="G69" t="n">
        <v>3.4</v>
      </c>
      <c r="H69" t="n">
        <v>1</v>
      </c>
      <c r="I69" t="n">
        <v>0</v>
      </c>
      <c r="J69" t="n">
        <v>0</v>
      </c>
      <c r="K69" t="n">
        <v>0</v>
      </c>
      <c r="L69" t="n">
        <v>0</v>
      </c>
      <c r="M69" t="n">
        <v>0</v>
      </c>
      <c r="N69" t="n">
        <v>0</v>
      </c>
      <c r="O69" t="n">
        <v>0</v>
      </c>
      <c r="P69" t="n">
        <v>0</v>
      </c>
      <c r="Q69" t="n">
        <v>1</v>
      </c>
      <c r="R69" s="2" t="inlineStr">
        <is>
          <t>Fläcknycklar</t>
        </is>
      </c>
      <c r="S69">
        <f>HYPERLINK("https://klasma.github.io/Logging_2085/artfynd/A 18298-2023 artfynd.xlsx", "A 18298-2023")</f>
        <v/>
      </c>
      <c r="T69">
        <f>HYPERLINK("https://klasma.github.io/Logging_2085/kartor/A 18298-2023 karta.png", "A 18298-2023")</f>
        <v/>
      </c>
      <c r="V69">
        <f>HYPERLINK("https://klasma.github.io/Logging_2085/klagomål/A 18298-2023 FSC-klagomål.docx", "A 18298-2023")</f>
        <v/>
      </c>
      <c r="W69">
        <f>HYPERLINK("https://klasma.github.io/Logging_2085/klagomålsmail/A 18298-2023 FSC-klagomål mail.docx", "A 18298-2023")</f>
        <v/>
      </c>
      <c r="X69">
        <f>HYPERLINK("https://klasma.github.io/Logging_2085/tillsyn/A 18298-2023 tillsynsbegäran.docx", "A 18298-2023")</f>
        <v/>
      </c>
      <c r="Y69">
        <f>HYPERLINK("https://klasma.github.io/Logging_2085/tillsynsmail/A 18298-2023 tillsynsbegäran mail.docx", "A 18298-2023")</f>
        <v/>
      </c>
    </row>
    <row r="70" ht="15" customHeight="1">
      <c r="A70" t="inlineStr">
        <is>
          <t>A 25588-2023</t>
        </is>
      </c>
      <c r="B70" s="1" t="n">
        <v>45089</v>
      </c>
      <c r="C70" s="1" t="n">
        <v>45849</v>
      </c>
      <c r="D70" t="inlineStr">
        <is>
          <t>DALARNAS LÄN</t>
        </is>
      </c>
      <c r="E70" t="inlineStr">
        <is>
          <t>LUDVIKA</t>
        </is>
      </c>
      <c r="G70" t="n">
        <v>9.4</v>
      </c>
      <c r="H70" t="n">
        <v>0</v>
      </c>
      <c r="I70" t="n">
        <v>0</v>
      </c>
      <c r="J70" t="n">
        <v>1</v>
      </c>
      <c r="K70" t="n">
        <v>0</v>
      </c>
      <c r="L70" t="n">
        <v>0</v>
      </c>
      <c r="M70" t="n">
        <v>0</v>
      </c>
      <c r="N70" t="n">
        <v>0</v>
      </c>
      <c r="O70" t="n">
        <v>1</v>
      </c>
      <c r="P70" t="n">
        <v>0</v>
      </c>
      <c r="Q70" t="n">
        <v>1</v>
      </c>
      <c r="R70" s="2" t="inlineStr">
        <is>
          <t>Garnlav</t>
        </is>
      </c>
      <c r="S70">
        <f>HYPERLINK("https://klasma.github.io/Logging_2085/artfynd/A 25588-2023 artfynd.xlsx", "A 25588-2023")</f>
        <v/>
      </c>
      <c r="T70">
        <f>HYPERLINK("https://klasma.github.io/Logging_2085/kartor/A 25588-2023 karta.png", "A 25588-2023")</f>
        <v/>
      </c>
      <c r="V70">
        <f>HYPERLINK("https://klasma.github.io/Logging_2085/klagomål/A 25588-2023 FSC-klagomål.docx", "A 25588-2023")</f>
        <v/>
      </c>
      <c r="W70">
        <f>HYPERLINK("https://klasma.github.io/Logging_2085/klagomålsmail/A 25588-2023 FSC-klagomål mail.docx", "A 25588-2023")</f>
        <v/>
      </c>
      <c r="X70">
        <f>HYPERLINK("https://klasma.github.io/Logging_2085/tillsyn/A 25588-2023 tillsynsbegäran.docx", "A 25588-2023")</f>
        <v/>
      </c>
      <c r="Y70">
        <f>HYPERLINK("https://klasma.github.io/Logging_2085/tillsynsmail/A 25588-2023 tillsynsbegäran mail.docx", "A 25588-2023")</f>
        <v/>
      </c>
    </row>
    <row r="71" ht="15" customHeight="1">
      <c r="A71" t="inlineStr">
        <is>
          <t>A 26850-2023</t>
        </is>
      </c>
      <c r="B71" s="1" t="n">
        <v>45093</v>
      </c>
      <c r="C71" s="1" t="n">
        <v>45849</v>
      </c>
      <c r="D71" t="inlineStr">
        <is>
          <t>DALARNAS LÄN</t>
        </is>
      </c>
      <c r="E71" t="inlineStr">
        <is>
          <t>LUDVIKA</t>
        </is>
      </c>
      <c r="F71" t="inlineStr">
        <is>
          <t>Naturvårdsverket</t>
        </is>
      </c>
      <c r="G71" t="n">
        <v>2.7</v>
      </c>
      <c r="H71" t="n">
        <v>0</v>
      </c>
      <c r="I71" t="n">
        <v>0</v>
      </c>
      <c r="J71" t="n">
        <v>1</v>
      </c>
      <c r="K71" t="n">
        <v>0</v>
      </c>
      <c r="L71" t="n">
        <v>0</v>
      </c>
      <c r="M71" t="n">
        <v>0</v>
      </c>
      <c r="N71" t="n">
        <v>0</v>
      </c>
      <c r="O71" t="n">
        <v>1</v>
      </c>
      <c r="P71" t="n">
        <v>0</v>
      </c>
      <c r="Q71" t="n">
        <v>1</v>
      </c>
      <c r="R71" s="2" t="inlineStr">
        <is>
          <t>Motaggsvamp</t>
        </is>
      </c>
      <c r="S71">
        <f>HYPERLINK("https://klasma.github.io/Logging_2085/artfynd/A 26850-2023 artfynd.xlsx", "A 26850-2023")</f>
        <v/>
      </c>
      <c r="T71">
        <f>HYPERLINK("https://klasma.github.io/Logging_2085/kartor/A 26850-2023 karta.png", "A 26850-2023")</f>
        <v/>
      </c>
      <c r="V71">
        <f>HYPERLINK("https://klasma.github.io/Logging_2085/klagomål/A 26850-2023 FSC-klagomål.docx", "A 26850-2023")</f>
        <v/>
      </c>
      <c r="W71">
        <f>HYPERLINK("https://klasma.github.io/Logging_2085/klagomålsmail/A 26850-2023 FSC-klagomål mail.docx", "A 26850-2023")</f>
        <v/>
      </c>
      <c r="X71">
        <f>HYPERLINK("https://klasma.github.io/Logging_2085/tillsyn/A 26850-2023 tillsynsbegäran.docx", "A 26850-2023")</f>
        <v/>
      </c>
      <c r="Y71">
        <f>HYPERLINK("https://klasma.github.io/Logging_2085/tillsynsmail/A 26850-2023 tillsynsbegäran mail.docx", "A 26850-2023")</f>
        <v/>
      </c>
    </row>
    <row r="72" ht="15" customHeight="1">
      <c r="A72" t="inlineStr">
        <is>
          <t>A 29144-2023</t>
        </is>
      </c>
      <c r="B72" s="1" t="n">
        <v>45105</v>
      </c>
      <c r="C72" s="1" t="n">
        <v>45849</v>
      </c>
      <c r="D72" t="inlineStr">
        <is>
          <t>DALARNAS LÄN</t>
        </is>
      </c>
      <c r="E72" t="inlineStr">
        <is>
          <t>LUDVIKA</t>
        </is>
      </c>
      <c r="F72" t="inlineStr">
        <is>
          <t>Allmännings- och besparingsskogar</t>
        </is>
      </c>
      <c r="G72" t="n">
        <v>7.2</v>
      </c>
      <c r="H72" t="n">
        <v>1</v>
      </c>
      <c r="I72" t="n">
        <v>0</v>
      </c>
      <c r="J72" t="n">
        <v>0</v>
      </c>
      <c r="K72" t="n">
        <v>1</v>
      </c>
      <c r="L72" t="n">
        <v>0</v>
      </c>
      <c r="M72" t="n">
        <v>0</v>
      </c>
      <c r="N72" t="n">
        <v>0</v>
      </c>
      <c r="O72" t="n">
        <v>1</v>
      </c>
      <c r="P72" t="n">
        <v>1</v>
      </c>
      <c r="Q72" t="n">
        <v>1</v>
      </c>
      <c r="R72" s="2" t="inlineStr">
        <is>
          <t>Knärot</t>
        </is>
      </c>
      <c r="S72">
        <f>HYPERLINK("https://klasma.github.io/Logging_2085/artfynd/A 29144-2023 artfynd.xlsx", "A 29144-2023")</f>
        <v/>
      </c>
      <c r="T72">
        <f>HYPERLINK("https://klasma.github.io/Logging_2085/kartor/A 29144-2023 karta.png", "A 29144-2023")</f>
        <v/>
      </c>
      <c r="U72">
        <f>HYPERLINK("https://klasma.github.io/Logging_2085/knärot/A 29144-2023 karta knärot.png", "A 29144-2023")</f>
        <v/>
      </c>
      <c r="V72">
        <f>HYPERLINK("https://klasma.github.io/Logging_2085/klagomål/A 29144-2023 FSC-klagomål.docx", "A 29144-2023")</f>
        <v/>
      </c>
      <c r="W72">
        <f>HYPERLINK("https://klasma.github.io/Logging_2085/klagomålsmail/A 29144-2023 FSC-klagomål mail.docx", "A 29144-2023")</f>
        <v/>
      </c>
      <c r="X72">
        <f>HYPERLINK("https://klasma.github.io/Logging_2085/tillsyn/A 29144-2023 tillsynsbegäran.docx", "A 29144-2023")</f>
        <v/>
      </c>
      <c r="Y72">
        <f>HYPERLINK("https://klasma.github.io/Logging_2085/tillsynsmail/A 29144-2023 tillsynsbegäran mail.docx", "A 29144-2023")</f>
        <v/>
      </c>
    </row>
    <row r="73" ht="15" customHeight="1">
      <c r="A73" t="inlineStr">
        <is>
          <t>A 30053-2023</t>
        </is>
      </c>
      <c r="B73" s="1" t="n">
        <v>45110</v>
      </c>
      <c r="C73" s="1" t="n">
        <v>45849</v>
      </c>
      <c r="D73" t="inlineStr">
        <is>
          <t>DALARNAS LÄN</t>
        </is>
      </c>
      <c r="E73" t="inlineStr">
        <is>
          <t>LUDVIKA</t>
        </is>
      </c>
      <c r="F73" t="inlineStr">
        <is>
          <t>Bergvik skog väst AB</t>
        </is>
      </c>
      <c r="G73" t="n">
        <v>6.8</v>
      </c>
      <c r="H73" t="n">
        <v>0</v>
      </c>
      <c r="I73" t="n">
        <v>0</v>
      </c>
      <c r="J73" t="n">
        <v>1</v>
      </c>
      <c r="K73" t="n">
        <v>0</v>
      </c>
      <c r="L73" t="n">
        <v>0</v>
      </c>
      <c r="M73" t="n">
        <v>0</v>
      </c>
      <c r="N73" t="n">
        <v>0</v>
      </c>
      <c r="O73" t="n">
        <v>1</v>
      </c>
      <c r="P73" t="n">
        <v>0</v>
      </c>
      <c r="Q73" t="n">
        <v>1</v>
      </c>
      <c r="R73" s="2" t="inlineStr">
        <is>
          <t>Garnlav</t>
        </is>
      </c>
      <c r="S73">
        <f>HYPERLINK("https://klasma.github.io/Logging_2085/artfynd/A 30053-2023 artfynd.xlsx", "A 30053-2023")</f>
        <v/>
      </c>
      <c r="T73">
        <f>HYPERLINK("https://klasma.github.io/Logging_2085/kartor/A 30053-2023 karta.png", "A 30053-2023")</f>
        <v/>
      </c>
      <c r="V73">
        <f>HYPERLINK("https://klasma.github.io/Logging_2085/klagomål/A 30053-2023 FSC-klagomål.docx", "A 30053-2023")</f>
        <v/>
      </c>
      <c r="W73">
        <f>HYPERLINK("https://klasma.github.io/Logging_2085/klagomålsmail/A 30053-2023 FSC-klagomål mail.docx", "A 30053-2023")</f>
        <v/>
      </c>
      <c r="X73">
        <f>HYPERLINK("https://klasma.github.io/Logging_2085/tillsyn/A 30053-2023 tillsynsbegäran.docx", "A 30053-2023")</f>
        <v/>
      </c>
      <c r="Y73">
        <f>HYPERLINK("https://klasma.github.io/Logging_2085/tillsynsmail/A 30053-2023 tillsynsbegäran mail.docx", "A 30053-2023")</f>
        <v/>
      </c>
    </row>
    <row r="74" ht="15" customHeight="1">
      <c r="A74" t="inlineStr">
        <is>
          <t>A 33055-2023</t>
        </is>
      </c>
      <c r="B74" s="1" t="n">
        <v>45126</v>
      </c>
      <c r="C74" s="1" t="n">
        <v>45849</v>
      </c>
      <c r="D74" t="inlineStr">
        <is>
          <t>DALARNAS LÄN</t>
        </is>
      </c>
      <c r="E74" t="inlineStr">
        <is>
          <t>LUDVIKA</t>
        </is>
      </c>
      <c r="F74" t="inlineStr">
        <is>
          <t>Bergvik skog väst AB</t>
        </is>
      </c>
      <c r="G74" t="n">
        <v>6</v>
      </c>
      <c r="H74" t="n">
        <v>0</v>
      </c>
      <c r="I74" t="n">
        <v>1</v>
      </c>
      <c r="J74" t="n">
        <v>0</v>
      </c>
      <c r="K74" t="n">
        <v>0</v>
      </c>
      <c r="L74" t="n">
        <v>0</v>
      </c>
      <c r="M74" t="n">
        <v>0</v>
      </c>
      <c r="N74" t="n">
        <v>0</v>
      </c>
      <c r="O74" t="n">
        <v>0</v>
      </c>
      <c r="P74" t="n">
        <v>0</v>
      </c>
      <c r="Q74" t="n">
        <v>1</v>
      </c>
      <c r="R74" s="2" t="inlineStr">
        <is>
          <t>Vedticka</t>
        </is>
      </c>
      <c r="S74">
        <f>HYPERLINK("https://klasma.github.io/Logging_2085/artfynd/A 33055-2023 artfynd.xlsx", "A 33055-2023")</f>
        <v/>
      </c>
      <c r="T74">
        <f>HYPERLINK("https://klasma.github.io/Logging_2085/kartor/A 33055-2023 karta.png", "A 33055-2023")</f>
        <v/>
      </c>
      <c r="V74">
        <f>HYPERLINK("https://klasma.github.io/Logging_2085/klagomål/A 33055-2023 FSC-klagomål.docx", "A 33055-2023")</f>
        <v/>
      </c>
      <c r="W74">
        <f>HYPERLINK("https://klasma.github.io/Logging_2085/klagomålsmail/A 33055-2023 FSC-klagomål mail.docx", "A 33055-2023")</f>
        <v/>
      </c>
      <c r="X74">
        <f>HYPERLINK("https://klasma.github.io/Logging_2085/tillsyn/A 33055-2023 tillsynsbegäran.docx", "A 33055-2023")</f>
        <v/>
      </c>
      <c r="Y74">
        <f>HYPERLINK("https://klasma.github.io/Logging_2085/tillsynsmail/A 33055-2023 tillsynsbegäran mail.docx", "A 33055-2023")</f>
        <v/>
      </c>
    </row>
    <row r="75" ht="15" customHeight="1">
      <c r="A75" t="inlineStr">
        <is>
          <t>A 34539-2023</t>
        </is>
      </c>
      <c r="B75" s="1" t="n">
        <v>45140</v>
      </c>
      <c r="C75" s="1" t="n">
        <v>45849</v>
      </c>
      <c r="D75" t="inlineStr">
        <is>
          <t>DALARNAS LÄN</t>
        </is>
      </c>
      <c r="E75" t="inlineStr">
        <is>
          <t>LUDVIKA</t>
        </is>
      </c>
      <c r="F75" t="inlineStr">
        <is>
          <t>Bergvik skog väst AB</t>
        </is>
      </c>
      <c r="G75" t="n">
        <v>6.1</v>
      </c>
      <c r="H75" t="n">
        <v>1</v>
      </c>
      <c r="I75" t="n">
        <v>0</v>
      </c>
      <c r="J75" t="n">
        <v>0</v>
      </c>
      <c r="K75" t="n">
        <v>0</v>
      </c>
      <c r="L75" t="n">
        <v>0</v>
      </c>
      <c r="M75" t="n">
        <v>0</v>
      </c>
      <c r="N75" t="n">
        <v>0</v>
      </c>
      <c r="O75" t="n">
        <v>0</v>
      </c>
      <c r="P75" t="n">
        <v>0</v>
      </c>
      <c r="Q75" t="n">
        <v>1</v>
      </c>
      <c r="R75" s="2" t="inlineStr">
        <is>
          <t>Gullviva</t>
        </is>
      </c>
      <c r="S75">
        <f>HYPERLINK("https://klasma.github.io/Logging_2085/artfynd/A 34539-2023 artfynd.xlsx", "A 34539-2023")</f>
        <v/>
      </c>
      <c r="T75">
        <f>HYPERLINK("https://klasma.github.io/Logging_2085/kartor/A 34539-2023 karta.png", "A 34539-2023")</f>
        <v/>
      </c>
      <c r="V75">
        <f>HYPERLINK("https://klasma.github.io/Logging_2085/klagomål/A 34539-2023 FSC-klagomål.docx", "A 34539-2023")</f>
        <v/>
      </c>
      <c r="W75">
        <f>HYPERLINK("https://klasma.github.io/Logging_2085/klagomålsmail/A 34539-2023 FSC-klagomål mail.docx", "A 34539-2023")</f>
        <v/>
      </c>
      <c r="X75">
        <f>HYPERLINK("https://klasma.github.io/Logging_2085/tillsyn/A 34539-2023 tillsynsbegäran.docx", "A 34539-2023")</f>
        <v/>
      </c>
      <c r="Y75">
        <f>HYPERLINK("https://klasma.github.io/Logging_2085/tillsynsmail/A 34539-2023 tillsynsbegäran mail.docx", "A 34539-2023")</f>
        <v/>
      </c>
    </row>
    <row r="76" ht="15" customHeight="1">
      <c r="A76" t="inlineStr">
        <is>
          <t>A 36559-2023</t>
        </is>
      </c>
      <c r="B76" s="1" t="n">
        <v>45153</v>
      </c>
      <c r="C76" s="1" t="n">
        <v>45849</v>
      </c>
      <c r="D76" t="inlineStr">
        <is>
          <t>DALARNAS LÄN</t>
        </is>
      </c>
      <c r="E76" t="inlineStr">
        <is>
          <t>LUDVIKA</t>
        </is>
      </c>
      <c r="F76" t="inlineStr">
        <is>
          <t>Bergvik skog väst AB</t>
        </is>
      </c>
      <c r="G76" t="n">
        <v>34.7</v>
      </c>
      <c r="H76" t="n">
        <v>0</v>
      </c>
      <c r="I76" t="n">
        <v>0</v>
      </c>
      <c r="J76" t="n">
        <v>1</v>
      </c>
      <c r="K76" t="n">
        <v>0</v>
      </c>
      <c r="L76" t="n">
        <v>0</v>
      </c>
      <c r="M76" t="n">
        <v>0</v>
      </c>
      <c r="N76" t="n">
        <v>0</v>
      </c>
      <c r="O76" t="n">
        <v>1</v>
      </c>
      <c r="P76" t="n">
        <v>0</v>
      </c>
      <c r="Q76" t="n">
        <v>1</v>
      </c>
      <c r="R76" s="2" t="inlineStr">
        <is>
          <t>Garnlav</t>
        </is>
      </c>
      <c r="S76">
        <f>HYPERLINK("https://klasma.github.io/Logging_2085/artfynd/A 36559-2023 artfynd.xlsx", "A 36559-2023")</f>
        <v/>
      </c>
      <c r="T76">
        <f>HYPERLINK("https://klasma.github.io/Logging_2085/kartor/A 36559-2023 karta.png", "A 36559-2023")</f>
        <v/>
      </c>
      <c r="V76">
        <f>HYPERLINK("https://klasma.github.io/Logging_2085/klagomål/A 36559-2023 FSC-klagomål.docx", "A 36559-2023")</f>
        <v/>
      </c>
      <c r="W76">
        <f>HYPERLINK("https://klasma.github.io/Logging_2085/klagomålsmail/A 36559-2023 FSC-klagomål mail.docx", "A 36559-2023")</f>
        <v/>
      </c>
      <c r="X76">
        <f>HYPERLINK("https://klasma.github.io/Logging_2085/tillsyn/A 36559-2023 tillsynsbegäran.docx", "A 36559-2023")</f>
        <v/>
      </c>
      <c r="Y76">
        <f>HYPERLINK("https://klasma.github.io/Logging_2085/tillsynsmail/A 36559-2023 tillsynsbegäran mail.docx", "A 36559-2023")</f>
        <v/>
      </c>
    </row>
    <row r="77" ht="15" customHeight="1">
      <c r="A77" t="inlineStr">
        <is>
          <t>A 42089-2023</t>
        </is>
      </c>
      <c r="B77" s="1" t="n">
        <v>45177</v>
      </c>
      <c r="C77" s="1" t="n">
        <v>45849</v>
      </c>
      <c r="D77" t="inlineStr">
        <is>
          <t>DALARNAS LÄN</t>
        </is>
      </c>
      <c r="E77" t="inlineStr">
        <is>
          <t>LUDVIKA</t>
        </is>
      </c>
      <c r="F77" t="inlineStr">
        <is>
          <t>Bergvik skog väst AB</t>
        </is>
      </c>
      <c r="G77" t="n">
        <v>2.5</v>
      </c>
      <c r="H77" t="n">
        <v>0</v>
      </c>
      <c r="I77" t="n">
        <v>0</v>
      </c>
      <c r="J77" t="n">
        <v>1</v>
      </c>
      <c r="K77" t="n">
        <v>0</v>
      </c>
      <c r="L77" t="n">
        <v>0</v>
      </c>
      <c r="M77" t="n">
        <v>0</v>
      </c>
      <c r="N77" t="n">
        <v>0</v>
      </c>
      <c r="O77" t="n">
        <v>1</v>
      </c>
      <c r="P77" t="n">
        <v>0</v>
      </c>
      <c r="Q77" t="n">
        <v>1</v>
      </c>
      <c r="R77" s="2" t="inlineStr">
        <is>
          <t>Ullticka</t>
        </is>
      </c>
      <c r="S77">
        <f>HYPERLINK("https://klasma.github.io/Logging_2085/artfynd/A 42089-2023 artfynd.xlsx", "A 42089-2023")</f>
        <v/>
      </c>
      <c r="T77">
        <f>HYPERLINK("https://klasma.github.io/Logging_2085/kartor/A 42089-2023 karta.png", "A 42089-2023")</f>
        <v/>
      </c>
      <c r="V77">
        <f>HYPERLINK("https://klasma.github.io/Logging_2085/klagomål/A 42089-2023 FSC-klagomål.docx", "A 42089-2023")</f>
        <v/>
      </c>
      <c r="W77">
        <f>HYPERLINK("https://klasma.github.io/Logging_2085/klagomålsmail/A 42089-2023 FSC-klagomål mail.docx", "A 42089-2023")</f>
        <v/>
      </c>
      <c r="X77">
        <f>HYPERLINK("https://klasma.github.io/Logging_2085/tillsyn/A 42089-2023 tillsynsbegäran.docx", "A 42089-2023")</f>
        <v/>
      </c>
      <c r="Y77">
        <f>HYPERLINK("https://klasma.github.io/Logging_2085/tillsynsmail/A 42089-2023 tillsynsbegäran mail.docx", "A 42089-2023")</f>
        <v/>
      </c>
    </row>
    <row r="78" ht="15" customHeight="1">
      <c r="A78" t="inlineStr">
        <is>
          <t>A 44578-2023</t>
        </is>
      </c>
      <c r="B78" s="1" t="n">
        <v>45189</v>
      </c>
      <c r="C78" s="1" t="n">
        <v>45849</v>
      </c>
      <c r="D78" t="inlineStr">
        <is>
          <t>DALARNAS LÄN</t>
        </is>
      </c>
      <c r="E78" t="inlineStr">
        <is>
          <t>LUDVIKA</t>
        </is>
      </c>
      <c r="F78" t="inlineStr">
        <is>
          <t>Övriga Aktiebolag</t>
        </is>
      </c>
      <c r="G78" t="n">
        <v>12</v>
      </c>
      <c r="H78" t="n">
        <v>0</v>
      </c>
      <c r="I78" t="n">
        <v>0</v>
      </c>
      <c r="J78" t="n">
        <v>1</v>
      </c>
      <c r="K78" t="n">
        <v>0</v>
      </c>
      <c r="L78" t="n">
        <v>0</v>
      </c>
      <c r="M78" t="n">
        <v>0</v>
      </c>
      <c r="N78" t="n">
        <v>0</v>
      </c>
      <c r="O78" t="n">
        <v>1</v>
      </c>
      <c r="P78" t="n">
        <v>0</v>
      </c>
      <c r="Q78" t="n">
        <v>1</v>
      </c>
      <c r="R78" s="2" t="inlineStr">
        <is>
          <t>Dofttaggsvamp</t>
        </is>
      </c>
      <c r="S78">
        <f>HYPERLINK("https://klasma.github.io/Logging_2085/artfynd/A 44578-2023 artfynd.xlsx", "A 44578-2023")</f>
        <v/>
      </c>
      <c r="T78">
        <f>HYPERLINK("https://klasma.github.io/Logging_2085/kartor/A 44578-2023 karta.png", "A 44578-2023")</f>
        <v/>
      </c>
      <c r="V78">
        <f>HYPERLINK("https://klasma.github.io/Logging_2085/klagomål/A 44578-2023 FSC-klagomål.docx", "A 44578-2023")</f>
        <v/>
      </c>
      <c r="W78">
        <f>HYPERLINK("https://klasma.github.io/Logging_2085/klagomålsmail/A 44578-2023 FSC-klagomål mail.docx", "A 44578-2023")</f>
        <v/>
      </c>
      <c r="X78">
        <f>HYPERLINK("https://klasma.github.io/Logging_2085/tillsyn/A 44578-2023 tillsynsbegäran.docx", "A 44578-2023")</f>
        <v/>
      </c>
      <c r="Y78">
        <f>HYPERLINK("https://klasma.github.io/Logging_2085/tillsynsmail/A 44578-2023 tillsynsbegäran mail.docx", "A 44578-2023")</f>
        <v/>
      </c>
    </row>
    <row r="79" ht="15" customHeight="1">
      <c r="A79" t="inlineStr">
        <is>
          <t>A 46398-2023</t>
        </is>
      </c>
      <c r="B79" s="1" t="n">
        <v>45197</v>
      </c>
      <c r="C79" s="1" t="n">
        <v>45849</v>
      </c>
      <c r="D79" t="inlineStr">
        <is>
          <t>DALARNAS LÄN</t>
        </is>
      </c>
      <c r="E79" t="inlineStr">
        <is>
          <t>LUDVIKA</t>
        </is>
      </c>
      <c r="G79" t="n">
        <v>2.1</v>
      </c>
      <c r="H79" t="n">
        <v>1</v>
      </c>
      <c r="I79" t="n">
        <v>0</v>
      </c>
      <c r="J79" t="n">
        <v>0</v>
      </c>
      <c r="K79" t="n">
        <v>1</v>
      </c>
      <c r="L79" t="n">
        <v>0</v>
      </c>
      <c r="M79" t="n">
        <v>0</v>
      </c>
      <c r="N79" t="n">
        <v>0</v>
      </c>
      <c r="O79" t="n">
        <v>1</v>
      </c>
      <c r="P79" t="n">
        <v>1</v>
      </c>
      <c r="Q79" t="n">
        <v>1</v>
      </c>
      <c r="R79" s="2" t="inlineStr">
        <is>
          <t>Knärot</t>
        </is>
      </c>
      <c r="S79">
        <f>HYPERLINK("https://klasma.github.io/Logging_2085/artfynd/A 46398-2023 artfynd.xlsx", "A 46398-2023")</f>
        <v/>
      </c>
      <c r="T79">
        <f>HYPERLINK("https://klasma.github.io/Logging_2085/kartor/A 46398-2023 karta.png", "A 46398-2023")</f>
        <v/>
      </c>
      <c r="U79">
        <f>HYPERLINK("https://klasma.github.io/Logging_2085/knärot/A 46398-2023 karta knärot.png", "A 46398-2023")</f>
        <v/>
      </c>
      <c r="V79">
        <f>HYPERLINK("https://klasma.github.io/Logging_2085/klagomål/A 46398-2023 FSC-klagomål.docx", "A 46398-2023")</f>
        <v/>
      </c>
      <c r="W79">
        <f>HYPERLINK("https://klasma.github.io/Logging_2085/klagomålsmail/A 46398-2023 FSC-klagomål mail.docx", "A 46398-2023")</f>
        <v/>
      </c>
      <c r="X79">
        <f>HYPERLINK("https://klasma.github.io/Logging_2085/tillsyn/A 46398-2023 tillsynsbegäran.docx", "A 46398-2023")</f>
        <v/>
      </c>
      <c r="Y79">
        <f>HYPERLINK("https://klasma.github.io/Logging_2085/tillsynsmail/A 46398-2023 tillsynsbegäran mail.docx", "A 46398-2023")</f>
        <v/>
      </c>
    </row>
    <row r="80" ht="15" customHeight="1">
      <c r="A80" t="inlineStr">
        <is>
          <t>A 47429-2023</t>
        </is>
      </c>
      <c r="B80" s="1" t="n">
        <v>45202</v>
      </c>
      <c r="C80" s="1" t="n">
        <v>45849</v>
      </c>
      <c r="D80" t="inlineStr">
        <is>
          <t>DALARNAS LÄN</t>
        </is>
      </c>
      <c r="E80" t="inlineStr">
        <is>
          <t>LUDVIKA</t>
        </is>
      </c>
      <c r="F80" t="inlineStr">
        <is>
          <t>Övriga Aktiebolag</t>
        </is>
      </c>
      <c r="G80" t="n">
        <v>7.4</v>
      </c>
      <c r="H80" t="n">
        <v>1</v>
      </c>
      <c r="I80" t="n">
        <v>0</v>
      </c>
      <c r="J80" t="n">
        <v>0</v>
      </c>
      <c r="K80" t="n">
        <v>0</v>
      </c>
      <c r="L80" t="n">
        <v>0</v>
      </c>
      <c r="M80" t="n">
        <v>0</v>
      </c>
      <c r="N80" t="n">
        <v>0</v>
      </c>
      <c r="O80" t="n">
        <v>0</v>
      </c>
      <c r="P80" t="n">
        <v>0</v>
      </c>
      <c r="Q80" t="n">
        <v>1</v>
      </c>
      <c r="R80" s="2" t="inlineStr">
        <is>
          <t>Sångsvan</t>
        </is>
      </c>
      <c r="S80">
        <f>HYPERLINK("https://klasma.github.io/Logging_2085/artfynd/A 47429-2023 artfynd.xlsx", "A 47429-2023")</f>
        <v/>
      </c>
      <c r="T80">
        <f>HYPERLINK("https://klasma.github.io/Logging_2085/kartor/A 47429-2023 karta.png", "A 47429-2023")</f>
        <v/>
      </c>
      <c r="V80">
        <f>HYPERLINK("https://klasma.github.io/Logging_2085/klagomål/A 47429-2023 FSC-klagomål.docx", "A 47429-2023")</f>
        <v/>
      </c>
      <c r="W80">
        <f>HYPERLINK("https://klasma.github.io/Logging_2085/klagomålsmail/A 47429-2023 FSC-klagomål mail.docx", "A 47429-2023")</f>
        <v/>
      </c>
      <c r="X80">
        <f>HYPERLINK("https://klasma.github.io/Logging_2085/tillsyn/A 47429-2023 tillsynsbegäran.docx", "A 47429-2023")</f>
        <v/>
      </c>
      <c r="Y80">
        <f>HYPERLINK("https://klasma.github.io/Logging_2085/tillsynsmail/A 47429-2023 tillsynsbegäran mail.docx", "A 47429-2023")</f>
        <v/>
      </c>
      <c r="Z80">
        <f>HYPERLINK("https://klasma.github.io/Logging_2085/fåglar/A 47429-2023 prioriterade fågelarter.docx", "A 47429-2023")</f>
        <v/>
      </c>
    </row>
    <row r="81" ht="15" customHeight="1">
      <c r="A81" t="inlineStr">
        <is>
          <t>A 48544-2023</t>
        </is>
      </c>
      <c r="B81" s="1" t="n">
        <v>45208</v>
      </c>
      <c r="C81" s="1" t="n">
        <v>45849</v>
      </c>
      <c r="D81" t="inlineStr">
        <is>
          <t>DALARNAS LÄN</t>
        </is>
      </c>
      <c r="E81" t="inlineStr">
        <is>
          <t>LUDVIKA</t>
        </is>
      </c>
      <c r="F81" t="inlineStr">
        <is>
          <t>Bergvik skog väst AB</t>
        </is>
      </c>
      <c r="G81" t="n">
        <v>0.9</v>
      </c>
      <c r="H81" t="n">
        <v>0</v>
      </c>
      <c r="I81" t="n">
        <v>0</v>
      </c>
      <c r="J81" t="n">
        <v>1</v>
      </c>
      <c r="K81" t="n">
        <v>0</v>
      </c>
      <c r="L81" t="n">
        <v>0</v>
      </c>
      <c r="M81" t="n">
        <v>0</v>
      </c>
      <c r="N81" t="n">
        <v>0</v>
      </c>
      <c r="O81" t="n">
        <v>1</v>
      </c>
      <c r="P81" t="n">
        <v>0</v>
      </c>
      <c r="Q81" t="n">
        <v>1</v>
      </c>
      <c r="R81" s="2" t="inlineStr">
        <is>
          <t>Garnlav</t>
        </is>
      </c>
      <c r="S81">
        <f>HYPERLINK("https://klasma.github.io/Logging_2085/artfynd/A 48544-2023 artfynd.xlsx", "A 48544-2023")</f>
        <v/>
      </c>
      <c r="T81">
        <f>HYPERLINK("https://klasma.github.io/Logging_2085/kartor/A 48544-2023 karta.png", "A 48544-2023")</f>
        <v/>
      </c>
      <c r="V81">
        <f>HYPERLINK("https://klasma.github.io/Logging_2085/klagomål/A 48544-2023 FSC-klagomål.docx", "A 48544-2023")</f>
        <v/>
      </c>
      <c r="W81">
        <f>HYPERLINK("https://klasma.github.io/Logging_2085/klagomålsmail/A 48544-2023 FSC-klagomål mail.docx", "A 48544-2023")</f>
        <v/>
      </c>
      <c r="X81">
        <f>HYPERLINK("https://klasma.github.io/Logging_2085/tillsyn/A 48544-2023 tillsynsbegäran.docx", "A 48544-2023")</f>
        <v/>
      </c>
      <c r="Y81">
        <f>HYPERLINK("https://klasma.github.io/Logging_2085/tillsynsmail/A 48544-2023 tillsynsbegäran mail.docx", "A 48544-2023")</f>
        <v/>
      </c>
    </row>
    <row r="82" ht="15" customHeight="1">
      <c r="A82" t="inlineStr">
        <is>
          <t>A 3809-2024</t>
        </is>
      </c>
      <c r="B82" s="1" t="n">
        <v>45321</v>
      </c>
      <c r="C82" s="1" t="n">
        <v>45849</v>
      </c>
      <c r="D82" t="inlineStr">
        <is>
          <t>DALARNAS LÄN</t>
        </is>
      </c>
      <c r="E82" t="inlineStr">
        <is>
          <t>LUDVIKA</t>
        </is>
      </c>
      <c r="G82" t="n">
        <v>0.5</v>
      </c>
      <c r="H82" t="n">
        <v>1</v>
      </c>
      <c r="I82" t="n">
        <v>0</v>
      </c>
      <c r="J82" t="n">
        <v>0</v>
      </c>
      <c r="K82" t="n">
        <v>0</v>
      </c>
      <c r="L82" t="n">
        <v>0</v>
      </c>
      <c r="M82" t="n">
        <v>0</v>
      </c>
      <c r="N82" t="n">
        <v>0</v>
      </c>
      <c r="O82" t="n">
        <v>0</v>
      </c>
      <c r="P82" t="n">
        <v>0</v>
      </c>
      <c r="Q82" t="n">
        <v>1</v>
      </c>
      <c r="R82" s="2" t="inlineStr">
        <is>
          <t>Fläcknycklar</t>
        </is>
      </c>
      <c r="S82">
        <f>HYPERLINK("https://klasma.github.io/Logging_2085/artfynd/A 3809-2024 artfynd.xlsx", "A 3809-2024")</f>
        <v/>
      </c>
      <c r="T82">
        <f>HYPERLINK("https://klasma.github.io/Logging_2085/kartor/A 3809-2024 karta.png", "A 3809-2024")</f>
        <v/>
      </c>
      <c r="V82">
        <f>HYPERLINK("https://klasma.github.io/Logging_2085/klagomål/A 3809-2024 FSC-klagomål.docx", "A 3809-2024")</f>
        <v/>
      </c>
      <c r="W82">
        <f>HYPERLINK("https://klasma.github.io/Logging_2085/klagomålsmail/A 3809-2024 FSC-klagomål mail.docx", "A 3809-2024")</f>
        <v/>
      </c>
      <c r="X82">
        <f>HYPERLINK("https://klasma.github.io/Logging_2085/tillsyn/A 3809-2024 tillsynsbegäran.docx", "A 3809-2024")</f>
        <v/>
      </c>
      <c r="Y82">
        <f>HYPERLINK("https://klasma.github.io/Logging_2085/tillsynsmail/A 3809-2024 tillsynsbegäran mail.docx", "A 3809-2024")</f>
        <v/>
      </c>
    </row>
    <row r="83" ht="15" customHeight="1">
      <c r="A83" t="inlineStr">
        <is>
          <t>A 9998-2024</t>
        </is>
      </c>
      <c r="B83" s="1" t="n">
        <v>45363</v>
      </c>
      <c r="C83" s="1" t="n">
        <v>45849</v>
      </c>
      <c r="D83" t="inlineStr">
        <is>
          <t>DALARNAS LÄN</t>
        </is>
      </c>
      <c r="E83" t="inlineStr">
        <is>
          <t>LUDVIKA</t>
        </is>
      </c>
      <c r="G83" t="n">
        <v>8.199999999999999</v>
      </c>
      <c r="H83" t="n">
        <v>1</v>
      </c>
      <c r="I83" t="n">
        <v>0</v>
      </c>
      <c r="J83" t="n">
        <v>0</v>
      </c>
      <c r="K83" t="n">
        <v>0</v>
      </c>
      <c r="L83" t="n">
        <v>0</v>
      </c>
      <c r="M83" t="n">
        <v>0</v>
      </c>
      <c r="N83" t="n">
        <v>0</v>
      </c>
      <c r="O83" t="n">
        <v>0</v>
      </c>
      <c r="P83" t="n">
        <v>0</v>
      </c>
      <c r="Q83" t="n">
        <v>1</v>
      </c>
      <c r="R83" s="2" t="inlineStr">
        <is>
          <t>Tjäder</t>
        </is>
      </c>
      <c r="S83">
        <f>HYPERLINK("https://klasma.github.io/Logging_2085/artfynd/A 9998-2024 artfynd.xlsx", "A 9998-2024")</f>
        <v/>
      </c>
      <c r="T83">
        <f>HYPERLINK("https://klasma.github.io/Logging_2085/kartor/A 9998-2024 karta.png", "A 9998-2024")</f>
        <v/>
      </c>
      <c r="V83">
        <f>HYPERLINK("https://klasma.github.io/Logging_2085/klagomål/A 9998-2024 FSC-klagomål.docx", "A 9998-2024")</f>
        <v/>
      </c>
      <c r="W83">
        <f>HYPERLINK("https://klasma.github.io/Logging_2085/klagomålsmail/A 9998-2024 FSC-klagomål mail.docx", "A 9998-2024")</f>
        <v/>
      </c>
      <c r="X83">
        <f>HYPERLINK("https://klasma.github.io/Logging_2085/tillsyn/A 9998-2024 tillsynsbegäran.docx", "A 9998-2024")</f>
        <v/>
      </c>
      <c r="Y83">
        <f>HYPERLINK("https://klasma.github.io/Logging_2085/tillsynsmail/A 9998-2024 tillsynsbegäran mail.docx", "A 9998-2024")</f>
        <v/>
      </c>
      <c r="Z83">
        <f>HYPERLINK("https://klasma.github.io/Logging_2085/fåglar/A 9998-2024 prioriterade fågelarter.docx", "A 9998-2024")</f>
        <v/>
      </c>
    </row>
    <row r="84" ht="15" customHeight="1">
      <c r="A84" t="inlineStr">
        <is>
          <t>A 11705-2024</t>
        </is>
      </c>
      <c r="B84" s="1" t="n">
        <v>45373</v>
      </c>
      <c r="C84" s="1" t="n">
        <v>45849</v>
      </c>
      <c r="D84" t="inlineStr">
        <is>
          <t>DALARNAS LÄN</t>
        </is>
      </c>
      <c r="E84" t="inlineStr">
        <is>
          <t>LUDVIKA</t>
        </is>
      </c>
      <c r="G84" t="n">
        <v>35.4</v>
      </c>
      <c r="H84" t="n">
        <v>0</v>
      </c>
      <c r="I84" t="n">
        <v>0</v>
      </c>
      <c r="J84" t="n">
        <v>1</v>
      </c>
      <c r="K84" t="n">
        <v>0</v>
      </c>
      <c r="L84" t="n">
        <v>0</v>
      </c>
      <c r="M84" t="n">
        <v>0</v>
      </c>
      <c r="N84" t="n">
        <v>0</v>
      </c>
      <c r="O84" t="n">
        <v>1</v>
      </c>
      <c r="P84" t="n">
        <v>0</v>
      </c>
      <c r="Q84" t="n">
        <v>1</v>
      </c>
      <c r="R84" s="2" t="inlineStr">
        <is>
          <t>Brunpudrad nållav</t>
        </is>
      </c>
      <c r="S84">
        <f>HYPERLINK("https://klasma.github.io/Logging_2085/artfynd/A 11705-2024 artfynd.xlsx", "A 11705-2024")</f>
        <v/>
      </c>
      <c r="T84">
        <f>HYPERLINK("https://klasma.github.io/Logging_2085/kartor/A 11705-2024 karta.png", "A 11705-2024")</f>
        <v/>
      </c>
      <c r="V84">
        <f>HYPERLINK("https://klasma.github.io/Logging_2085/klagomål/A 11705-2024 FSC-klagomål.docx", "A 11705-2024")</f>
        <v/>
      </c>
      <c r="W84">
        <f>HYPERLINK("https://klasma.github.io/Logging_2085/klagomålsmail/A 11705-2024 FSC-klagomål mail.docx", "A 11705-2024")</f>
        <v/>
      </c>
      <c r="X84">
        <f>HYPERLINK("https://klasma.github.io/Logging_2085/tillsyn/A 11705-2024 tillsynsbegäran.docx", "A 11705-2024")</f>
        <v/>
      </c>
      <c r="Y84">
        <f>HYPERLINK("https://klasma.github.io/Logging_2085/tillsynsmail/A 11705-2024 tillsynsbegäran mail.docx", "A 11705-2024")</f>
        <v/>
      </c>
    </row>
    <row r="85" ht="15" customHeight="1">
      <c r="A85" t="inlineStr">
        <is>
          <t>A 29161-2024</t>
        </is>
      </c>
      <c r="B85" s="1" t="n">
        <v>45482</v>
      </c>
      <c r="C85" s="1" t="n">
        <v>45849</v>
      </c>
      <c r="D85" t="inlineStr">
        <is>
          <t>DALARNAS LÄN</t>
        </is>
      </c>
      <c r="E85" t="inlineStr">
        <is>
          <t>LUDVIKA</t>
        </is>
      </c>
      <c r="G85" t="n">
        <v>3.4</v>
      </c>
      <c r="H85" t="n">
        <v>0</v>
      </c>
      <c r="I85" t="n">
        <v>0</v>
      </c>
      <c r="J85" t="n">
        <v>1</v>
      </c>
      <c r="K85" t="n">
        <v>0</v>
      </c>
      <c r="L85" t="n">
        <v>0</v>
      </c>
      <c r="M85" t="n">
        <v>0</v>
      </c>
      <c r="N85" t="n">
        <v>0</v>
      </c>
      <c r="O85" t="n">
        <v>1</v>
      </c>
      <c r="P85" t="n">
        <v>0</v>
      </c>
      <c r="Q85" t="n">
        <v>1</v>
      </c>
      <c r="R85" s="2" t="inlineStr">
        <is>
          <t>Ullticka</t>
        </is>
      </c>
      <c r="S85">
        <f>HYPERLINK("https://klasma.github.io/Logging_2085/artfynd/A 29161-2024 artfynd.xlsx", "A 29161-2024")</f>
        <v/>
      </c>
      <c r="T85">
        <f>HYPERLINK("https://klasma.github.io/Logging_2085/kartor/A 29161-2024 karta.png", "A 29161-2024")</f>
        <v/>
      </c>
      <c r="V85">
        <f>HYPERLINK("https://klasma.github.io/Logging_2085/klagomål/A 29161-2024 FSC-klagomål.docx", "A 29161-2024")</f>
        <v/>
      </c>
      <c r="W85">
        <f>HYPERLINK("https://klasma.github.io/Logging_2085/klagomålsmail/A 29161-2024 FSC-klagomål mail.docx", "A 29161-2024")</f>
        <v/>
      </c>
      <c r="X85">
        <f>HYPERLINK("https://klasma.github.io/Logging_2085/tillsyn/A 29161-2024 tillsynsbegäran.docx", "A 29161-2024")</f>
        <v/>
      </c>
      <c r="Y85">
        <f>HYPERLINK("https://klasma.github.io/Logging_2085/tillsynsmail/A 29161-2024 tillsynsbegäran mail.docx", "A 29161-2024")</f>
        <v/>
      </c>
    </row>
    <row r="86" ht="15" customHeight="1">
      <c r="A86" t="inlineStr">
        <is>
          <t>A 31862-2024</t>
        </is>
      </c>
      <c r="B86" s="1" t="n">
        <v>45509</v>
      </c>
      <c r="C86" s="1" t="n">
        <v>45849</v>
      </c>
      <c r="D86" t="inlineStr">
        <is>
          <t>DALARNAS LÄN</t>
        </is>
      </c>
      <c r="E86" t="inlineStr">
        <is>
          <t>LUDVIKA</t>
        </is>
      </c>
      <c r="F86" t="inlineStr">
        <is>
          <t>Bergvik skog väst AB</t>
        </is>
      </c>
      <c r="G86" t="n">
        <v>7.4</v>
      </c>
      <c r="H86" t="n">
        <v>0</v>
      </c>
      <c r="I86" t="n">
        <v>0</v>
      </c>
      <c r="J86" t="n">
        <v>1</v>
      </c>
      <c r="K86" t="n">
        <v>0</v>
      </c>
      <c r="L86" t="n">
        <v>0</v>
      </c>
      <c r="M86" t="n">
        <v>0</v>
      </c>
      <c r="N86" t="n">
        <v>0</v>
      </c>
      <c r="O86" t="n">
        <v>1</v>
      </c>
      <c r="P86" t="n">
        <v>0</v>
      </c>
      <c r="Q86" t="n">
        <v>1</v>
      </c>
      <c r="R86" s="2" t="inlineStr">
        <is>
          <t>Gultoppig fingersvamp</t>
        </is>
      </c>
      <c r="S86">
        <f>HYPERLINK("https://klasma.github.io/Logging_2085/artfynd/A 31862-2024 artfynd.xlsx", "A 31862-2024")</f>
        <v/>
      </c>
      <c r="T86">
        <f>HYPERLINK("https://klasma.github.io/Logging_2085/kartor/A 31862-2024 karta.png", "A 31862-2024")</f>
        <v/>
      </c>
      <c r="V86">
        <f>HYPERLINK("https://klasma.github.io/Logging_2085/klagomål/A 31862-2024 FSC-klagomål.docx", "A 31862-2024")</f>
        <v/>
      </c>
      <c r="W86">
        <f>HYPERLINK("https://klasma.github.io/Logging_2085/klagomålsmail/A 31862-2024 FSC-klagomål mail.docx", "A 31862-2024")</f>
        <v/>
      </c>
      <c r="X86">
        <f>HYPERLINK("https://klasma.github.io/Logging_2085/tillsyn/A 31862-2024 tillsynsbegäran.docx", "A 31862-2024")</f>
        <v/>
      </c>
      <c r="Y86">
        <f>HYPERLINK("https://klasma.github.io/Logging_2085/tillsynsmail/A 31862-2024 tillsynsbegäran mail.docx", "A 31862-2024")</f>
        <v/>
      </c>
    </row>
    <row r="87" ht="15" customHeight="1">
      <c r="A87" t="inlineStr">
        <is>
          <t>A 33155-2024</t>
        </is>
      </c>
      <c r="B87" s="1" t="n">
        <v>45518</v>
      </c>
      <c r="C87" s="1" t="n">
        <v>45849</v>
      </c>
      <c r="D87" t="inlineStr">
        <is>
          <t>DALARNAS LÄN</t>
        </is>
      </c>
      <c r="E87" t="inlineStr">
        <is>
          <t>LUDVIKA</t>
        </is>
      </c>
      <c r="G87" t="n">
        <v>2.9</v>
      </c>
      <c r="H87" t="n">
        <v>0</v>
      </c>
      <c r="I87" t="n">
        <v>0</v>
      </c>
      <c r="J87" t="n">
        <v>1</v>
      </c>
      <c r="K87" t="n">
        <v>0</v>
      </c>
      <c r="L87" t="n">
        <v>0</v>
      </c>
      <c r="M87" t="n">
        <v>0</v>
      </c>
      <c r="N87" t="n">
        <v>0</v>
      </c>
      <c r="O87" t="n">
        <v>1</v>
      </c>
      <c r="P87" t="n">
        <v>0</v>
      </c>
      <c r="Q87" t="n">
        <v>1</v>
      </c>
      <c r="R87" s="2" t="inlineStr">
        <is>
          <t>Brunpudrad nållav</t>
        </is>
      </c>
      <c r="S87">
        <f>HYPERLINK("https://klasma.github.io/Logging_2085/artfynd/A 33155-2024 artfynd.xlsx", "A 33155-2024")</f>
        <v/>
      </c>
      <c r="T87">
        <f>HYPERLINK("https://klasma.github.io/Logging_2085/kartor/A 33155-2024 karta.png", "A 33155-2024")</f>
        <v/>
      </c>
      <c r="V87">
        <f>HYPERLINK("https://klasma.github.io/Logging_2085/klagomål/A 33155-2024 FSC-klagomål.docx", "A 33155-2024")</f>
        <v/>
      </c>
      <c r="W87">
        <f>HYPERLINK("https://klasma.github.io/Logging_2085/klagomålsmail/A 33155-2024 FSC-klagomål mail.docx", "A 33155-2024")</f>
        <v/>
      </c>
      <c r="X87">
        <f>HYPERLINK("https://klasma.github.io/Logging_2085/tillsyn/A 33155-2024 tillsynsbegäran.docx", "A 33155-2024")</f>
        <v/>
      </c>
      <c r="Y87">
        <f>HYPERLINK("https://klasma.github.io/Logging_2085/tillsynsmail/A 33155-2024 tillsynsbegäran mail.docx", "A 33155-2024")</f>
        <v/>
      </c>
    </row>
    <row r="88" ht="15" customHeight="1">
      <c r="A88" t="inlineStr">
        <is>
          <t>A 34844-2024</t>
        </is>
      </c>
      <c r="B88" s="1" t="n">
        <v>45527</v>
      </c>
      <c r="C88" s="1" t="n">
        <v>45849</v>
      </c>
      <c r="D88" t="inlineStr">
        <is>
          <t>DALARNAS LÄN</t>
        </is>
      </c>
      <c r="E88" t="inlineStr">
        <is>
          <t>LUDVIKA</t>
        </is>
      </c>
      <c r="G88" t="n">
        <v>3.2</v>
      </c>
      <c r="H88" t="n">
        <v>1</v>
      </c>
      <c r="I88" t="n">
        <v>0</v>
      </c>
      <c r="J88" t="n">
        <v>0</v>
      </c>
      <c r="K88" t="n">
        <v>1</v>
      </c>
      <c r="L88" t="n">
        <v>0</v>
      </c>
      <c r="M88" t="n">
        <v>0</v>
      </c>
      <c r="N88" t="n">
        <v>0</v>
      </c>
      <c r="O88" t="n">
        <v>1</v>
      </c>
      <c r="P88" t="n">
        <v>1</v>
      </c>
      <c r="Q88" t="n">
        <v>1</v>
      </c>
      <c r="R88" s="2" t="inlineStr">
        <is>
          <t>Knärot</t>
        </is>
      </c>
      <c r="S88">
        <f>HYPERLINK("https://klasma.github.io/Logging_2085/artfynd/A 34844-2024 artfynd.xlsx", "A 34844-2024")</f>
        <v/>
      </c>
      <c r="T88">
        <f>HYPERLINK("https://klasma.github.io/Logging_2085/kartor/A 34844-2024 karta.png", "A 34844-2024")</f>
        <v/>
      </c>
      <c r="U88">
        <f>HYPERLINK("https://klasma.github.io/Logging_2085/knärot/A 34844-2024 karta knärot.png", "A 34844-2024")</f>
        <v/>
      </c>
      <c r="V88">
        <f>HYPERLINK("https://klasma.github.io/Logging_2085/klagomål/A 34844-2024 FSC-klagomål.docx", "A 34844-2024")</f>
        <v/>
      </c>
      <c r="W88">
        <f>HYPERLINK("https://klasma.github.io/Logging_2085/klagomålsmail/A 34844-2024 FSC-klagomål mail.docx", "A 34844-2024")</f>
        <v/>
      </c>
      <c r="X88">
        <f>HYPERLINK("https://klasma.github.io/Logging_2085/tillsyn/A 34844-2024 tillsynsbegäran.docx", "A 34844-2024")</f>
        <v/>
      </c>
      <c r="Y88">
        <f>HYPERLINK("https://klasma.github.io/Logging_2085/tillsynsmail/A 34844-2024 tillsynsbegäran mail.docx", "A 34844-2024")</f>
        <v/>
      </c>
    </row>
    <row r="89" ht="15" customHeight="1">
      <c r="A89" t="inlineStr">
        <is>
          <t>A 37639-2024</t>
        </is>
      </c>
      <c r="B89" s="1" t="n">
        <v>45541</v>
      </c>
      <c r="C89" s="1" t="n">
        <v>45849</v>
      </c>
      <c r="D89" t="inlineStr">
        <is>
          <t>DALARNAS LÄN</t>
        </is>
      </c>
      <c r="E89" t="inlineStr">
        <is>
          <t>LUDVIKA</t>
        </is>
      </c>
      <c r="F89" t="inlineStr">
        <is>
          <t>Bergvik skog väst AB</t>
        </is>
      </c>
      <c r="G89" t="n">
        <v>1.6</v>
      </c>
      <c r="H89" t="n">
        <v>0</v>
      </c>
      <c r="I89" t="n">
        <v>1</v>
      </c>
      <c r="J89" t="n">
        <v>0</v>
      </c>
      <c r="K89" t="n">
        <v>0</v>
      </c>
      <c r="L89" t="n">
        <v>0</v>
      </c>
      <c r="M89" t="n">
        <v>0</v>
      </c>
      <c r="N89" t="n">
        <v>0</v>
      </c>
      <c r="O89" t="n">
        <v>0</v>
      </c>
      <c r="P89" t="n">
        <v>0</v>
      </c>
      <c r="Q89" t="n">
        <v>1</v>
      </c>
      <c r="R89" s="2" t="inlineStr">
        <is>
          <t>Gulnål</t>
        </is>
      </c>
      <c r="S89">
        <f>HYPERLINK("https://klasma.github.io/Logging_2085/artfynd/A 37639-2024 artfynd.xlsx", "A 37639-2024")</f>
        <v/>
      </c>
      <c r="T89">
        <f>HYPERLINK("https://klasma.github.io/Logging_2085/kartor/A 37639-2024 karta.png", "A 37639-2024")</f>
        <v/>
      </c>
      <c r="V89">
        <f>HYPERLINK("https://klasma.github.io/Logging_2085/klagomål/A 37639-2024 FSC-klagomål.docx", "A 37639-2024")</f>
        <v/>
      </c>
      <c r="W89">
        <f>HYPERLINK("https://klasma.github.io/Logging_2085/klagomålsmail/A 37639-2024 FSC-klagomål mail.docx", "A 37639-2024")</f>
        <v/>
      </c>
      <c r="X89">
        <f>HYPERLINK("https://klasma.github.io/Logging_2085/tillsyn/A 37639-2024 tillsynsbegäran.docx", "A 37639-2024")</f>
        <v/>
      </c>
      <c r="Y89">
        <f>HYPERLINK("https://klasma.github.io/Logging_2085/tillsynsmail/A 37639-2024 tillsynsbegäran mail.docx", "A 37639-2024")</f>
        <v/>
      </c>
    </row>
    <row r="90" ht="15" customHeight="1">
      <c r="A90" t="inlineStr">
        <is>
          <t>A 43239-2024</t>
        </is>
      </c>
      <c r="B90" s="1" t="n">
        <v>45568</v>
      </c>
      <c r="C90" s="1" t="n">
        <v>45849</v>
      </c>
      <c r="D90" t="inlineStr">
        <is>
          <t>DALARNAS LÄN</t>
        </is>
      </c>
      <c r="E90" t="inlineStr">
        <is>
          <t>LUDVIKA</t>
        </is>
      </c>
      <c r="G90" t="n">
        <v>4</v>
      </c>
      <c r="H90" t="n">
        <v>1</v>
      </c>
      <c r="I90" t="n">
        <v>0</v>
      </c>
      <c r="J90" t="n">
        <v>0</v>
      </c>
      <c r="K90" t="n">
        <v>0</v>
      </c>
      <c r="L90" t="n">
        <v>0</v>
      </c>
      <c r="M90" t="n">
        <v>0</v>
      </c>
      <c r="N90" t="n">
        <v>0</v>
      </c>
      <c r="O90" t="n">
        <v>0</v>
      </c>
      <c r="P90" t="n">
        <v>0</v>
      </c>
      <c r="Q90" t="n">
        <v>1</v>
      </c>
      <c r="R90" s="2" t="inlineStr">
        <is>
          <t>Fläcknycklar</t>
        </is>
      </c>
      <c r="S90">
        <f>HYPERLINK("https://klasma.github.io/Logging_2085/artfynd/A 43239-2024 artfynd.xlsx", "A 43239-2024")</f>
        <v/>
      </c>
      <c r="T90">
        <f>HYPERLINK("https://klasma.github.io/Logging_2085/kartor/A 43239-2024 karta.png", "A 43239-2024")</f>
        <v/>
      </c>
      <c r="V90">
        <f>HYPERLINK("https://klasma.github.io/Logging_2085/klagomål/A 43239-2024 FSC-klagomål.docx", "A 43239-2024")</f>
        <v/>
      </c>
      <c r="W90">
        <f>HYPERLINK("https://klasma.github.io/Logging_2085/klagomålsmail/A 43239-2024 FSC-klagomål mail.docx", "A 43239-2024")</f>
        <v/>
      </c>
      <c r="X90">
        <f>HYPERLINK("https://klasma.github.io/Logging_2085/tillsyn/A 43239-2024 tillsynsbegäran.docx", "A 43239-2024")</f>
        <v/>
      </c>
      <c r="Y90">
        <f>HYPERLINK("https://klasma.github.io/Logging_2085/tillsynsmail/A 43239-2024 tillsynsbegäran mail.docx", "A 43239-2024")</f>
        <v/>
      </c>
    </row>
    <row r="91" ht="15" customHeight="1">
      <c r="A91" t="inlineStr">
        <is>
          <t>A 45225-2024</t>
        </is>
      </c>
      <c r="B91" s="1" t="n">
        <v>45575</v>
      </c>
      <c r="C91" s="1" t="n">
        <v>45849</v>
      </c>
      <c r="D91" t="inlineStr">
        <is>
          <t>DALARNAS LÄN</t>
        </is>
      </c>
      <c r="E91" t="inlineStr">
        <is>
          <t>LUDVIKA</t>
        </is>
      </c>
      <c r="G91" t="n">
        <v>1.1</v>
      </c>
      <c r="H91" t="n">
        <v>1</v>
      </c>
      <c r="I91" t="n">
        <v>0</v>
      </c>
      <c r="J91" t="n">
        <v>1</v>
      </c>
      <c r="K91" t="n">
        <v>0</v>
      </c>
      <c r="L91" t="n">
        <v>0</v>
      </c>
      <c r="M91" t="n">
        <v>0</v>
      </c>
      <c r="N91" t="n">
        <v>0</v>
      </c>
      <c r="O91" t="n">
        <v>1</v>
      </c>
      <c r="P91" t="n">
        <v>0</v>
      </c>
      <c r="Q91" t="n">
        <v>1</v>
      </c>
      <c r="R91" s="2" t="inlineStr">
        <is>
          <t>Ärtsångare</t>
        </is>
      </c>
      <c r="S91">
        <f>HYPERLINK("https://klasma.github.io/Logging_2085/artfynd/A 45225-2024 artfynd.xlsx", "A 45225-2024")</f>
        <v/>
      </c>
      <c r="T91">
        <f>HYPERLINK("https://klasma.github.io/Logging_2085/kartor/A 45225-2024 karta.png", "A 45225-2024")</f>
        <v/>
      </c>
      <c r="V91">
        <f>HYPERLINK("https://klasma.github.io/Logging_2085/klagomål/A 45225-2024 FSC-klagomål.docx", "A 45225-2024")</f>
        <v/>
      </c>
      <c r="W91">
        <f>HYPERLINK("https://klasma.github.io/Logging_2085/klagomålsmail/A 45225-2024 FSC-klagomål mail.docx", "A 45225-2024")</f>
        <v/>
      </c>
      <c r="X91">
        <f>HYPERLINK("https://klasma.github.io/Logging_2085/tillsyn/A 45225-2024 tillsynsbegäran.docx", "A 45225-2024")</f>
        <v/>
      </c>
      <c r="Y91">
        <f>HYPERLINK("https://klasma.github.io/Logging_2085/tillsynsmail/A 45225-2024 tillsynsbegäran mail.docx", "A 45225-2024")</f>
        <v/>
      </c>
      <c r="Z91">
        <f>HYPERLINK("https://klasma.github.io/Logging_2085/fåglar/A 45225-2024 prioriterade fågelarter.docx", "A 45225-2024")</f>
        <v/>
      </c>
    </row>
    <row r="92" ht="15" customHeight="1">
      <c r="A92" t="inlineStr">
        <is>
          <t>A 49660-2024</t>
        </is>
      </c>
      <c r="B92" s="1" t="n">
        <v>45596</v>
      </c>
      <c r="C92" s="1" t="n">
        <v>45849</v>
      </c>
      <c r="D92" t="inlineStr">
        <is>
          <t>DALARNAS LÄN</t>
        </is>
      </c>
      <c r="E92" t="inlineStr">
        <is>
          <t>LUDVIKA</t>
        </is>
      </c>
      <c r="F92" t="inlineStr">
        <is>
          <t>Bergvik skog väst AB</t>
        </is>
      </c>
      <c r="G92" t="n">
        <v>0.9</v>
      </c>
      <c r="H92" t="n">
        <v>0</v>
      </c>
      <c r="I92" t="n">
        <v>1</v>
      </c>
      <c r="J92" t="n">
        <v>0</v>
      </c>
      <c r="K92" t="n">
        <v>0</v>
      </c>
      <c r="L92" t="n">
        <v>0</v>
      </c>
      <c r="M92" t="n">
        <v>0</v>
      </c>
      <c r="N92" t="n">
        <v>0</v>
      </c>
      <c r="O92" t="n">
        <v>0</v>
      </c>
      <c r="P92" t="n">
        <v>0</v>
      </c>
      <c r="Q92" t="n">
        <v>1</v>
      </c>
      <c r="R92" s="2" t="inlineStr">
        <is>
          <t>Mörk husmossa</t>
        </is>
      </c>
      <c r="S92">
        <f>HYPERLINK("https://klasma.github.io/Logging_2085/artfynd/A 49660-2024 artfynd.xlsx", "A 49660-2024")</f>
        <v/>
      </c>
      <c r="T92">
        <f>HYPERLINK("https://klasma.github.io/Logging_2085/kartor/A 49660-2024 karta.png", "A 49660-2024")</f>
        <v/>
      </c>
      <c r="V92">
        <f>HYPERLINK("https://klasma.github.io/Logging_2085/klagomål/A 49660-2024 FSC-klagomål.docx", "A 49660-2024")</f>
        <v/>
      </c>
      <c r="W92">
        <f>HYPERLINK("https://klasma.github.io/Logging_2085/klagomålsmail/A 49660-2024 FSC-klagomål mail.docx", "A 49660-2024")</f>
        <v/>
      </c>
      <c r="X92">
        <f>HYPERLINK("https://klasma.github.io/Logging_2085/tillsyn/A 49660-2024 tillsynsbegäran.docx", "A 49660-2024")</f>
        <v/>
      </c>
      <c r="Y92">
        <f>HYPERLINK("https://klasma.github.io/Logging_2085/tillsynsmail/A 49660-2024 tillsynsbegäran mail.docx", "A 49660-2024")</f>
        <v/>
      </c>
    </row>
    <row r="93" ht="15" customHeight="1">
      <c r="A93" t="inlineStr">
        <is>
          <t>A 50177-2024</t>
        </is>
      </c>
      <c r="B93" s="1" t="n">
        <v>45600</v>
      </c>
      <c r="C93" s="1" t="n">
        <v>45849</v>
      </c>
      <c r="D93" t="inlineStr">
        <is>
          <t>DALARNAS LÄN</t>
        </is>
      </c>
      <c r="E93" t="inlineStr">
        <is>
          <t>LUDVIKA</t>
        </is>
      </c>
      <c r="F93" t="inlineStr">
        <is>
          <t>Bergvik skog väst AB</t>
        </is>
      </c>
      <c r="G93" t="n">
        <v>2.8</v>
      </c>
      <c r="H93" t="n">
        <v>0</v>
      </c>
      <c r="I93" t="n">
        <v>0</v>
      </c>
      <c r="J93" t="n">
        <v>1</v>
      </c>
      <c r="K93" t="n">
        <v>0</v>
      </c>
      <c r="L93" t="n">
        <v>0</v>
      </c>
      <c r="M93" t="n">
        <v>0</v>
      </c>
      <c r="N93" t="n">
        <v>0</v>
      </c>
      <c r="O93" t="n">
        <v>1</v>
      </c>
      <c r="P93" t="n">
        <v>0</v>
      </c>
      <c r="Q93" t="n">
        <v>1</v>
      </c>
      <c r="R93" s="2" t="inlineStr">
        <is>
          <t>Grönhjon</t>
        </is>
      </c>
      <c r="S93">
        <f>HYPERLINK("https://klasma.github.io/Logging_2085/artfynd/A 50177-2024 artfynd.xlsx", "A 50177-2024")</f>
        <v/>
      </c>
      <c r="T93">
        <f>HYPERLINK("https://klasma.github.io/Logging_2085/kartor/A 50177-2024 karta.png", "A 50177-2024")</f>
        <v/>
      </c>
      <c r="V93">
        <f>HYPERLINK("https://klasma.github.io/Logging_2085/klagomål/A 50177-2024 FSC-klagomål.docx", "A 50177-2024")</f>
        <v/>
      </c>
      <c r="W93">
        <f>HYPERLINK("https://klasma.github.io/Logging_2085/klagomålsmail/A 50177-2024 FSC-klagomål mail.docx", "A 50177-2024")</f>
        <v/>
      </c>
      <c r="X93">
        <f>HYPERLINK("https://klasma.github.io/Logging_2085/tillsyn/A 50177-2024 tillsynsbegäran.docx", "A 50177-2024")</f>
        <v/>
      </c>
      <c r="Y93">
        <f>HYPERLINK("https://klasma.github.io/Logging_2085/tillsynsmail/A 50177-2024 tillsynsbegäran mail.docx", "A 50177-2024")</f>
        <v/>
      </c>
    </row>
    <row r="94" ht="15" customHeight="1">
      <c r="A94" t="inlineStr">
        <is>
          <t>A 53502-2024</t>
        </is>
      </c>
      <c r="B94" s="1" t="n">
        <v>45614</v>
      </c>
      <c r="C94" s="1" t="n">
        <v>45849</v>
      </c>
      <c r="D94" t="inlineStr">
        <is>
          <t>DALARNAS LÄN</t>
        </is>
      </c>
      <c r="E94" t="inlineStr">
        <is>
          <t>LUDVIKA</t>
        </is>
      </c>
      <c r="F94" t="inlineStr">
        <is>
          <t>Bergvik skog väst AB</t>
        </is>
      </c>
      <c r="G94" t="n">
        <v>4.7</v>
      </c>
      <c r="H94" t="n">
        <v>0</v>
      </c>
      <c r="I94" t="n">
        <v>0</v>
      </c>
      <c r="J94" t="n">
        <v>1</v>
      </c>
      <c r="K94" t="n">
        <v>0</v>
      </c>
      <c r="L94" t="n">
        <v>0</v>
      </c>
      <c r="M94" t="n">
        <v>0</v>
      </c>
      <c r="N94" t="n">
        <v>0</v>
      </c>
      <c r="O94" t="n">
        <v>1</v>
      </c>
      <c r="P94" t="n">
        <v>0</v>
      </c>
      <c r="Q94" t="n">
        <v>1</v>
      </c>
      <c r="R94" s="2" t="inlineStr">
        <is>
          <t>Ullticka</t>
        </is>
      </c>
      <c r="S94">
        <f>HYPERLINK("https://klasma.github.io/Logging_2085/artfynd/A 53502-2024 artfynd.xlsx", "A 53502-2024")</f>
        <v/>
      </c>
      <c r="T94">
        <f>HYPERLINK("https://klasma.github.io/Logging_2085/kartor/A 53502-2024 karta.png", "A 53502-2024")</f>
        <v/>
      </c>
      <c r="U94">
        <f>HYPERLINK("https://klasma.github.io/Logging_2085/knärot/A 53502-2024 karta knärot.png", "A 53502-2024")</f>
        <v/>
      </c>
      <c r="V94">
        <f>HYPERLINK("https://klasma.github.io/Logging_2085/klagomål/A 53502-2024 FSC-klagomål.docx", "A 53502-2024")</f>
        <v/>
      </c>
      <c r="W94">
        <f>HYPERLINK("https://klasma.github.io/Logging_2085/klagomålsmail/A 53502-2024 FSC-klagomål mail.docx", "A 53502-2024")</f>
        <v/>
      </c>
      <c r="X94">
        <f>HYPERLINK("https://klasma.github.io/Logging_2085/tillsyn/A 53502-2024 tillsynsbegäran.docx", "A 53502-2024")</f>
        <v/>
      </c>
      <c r="Y94">
        <f>HYPERLINK("https://klasma.github.io/Logging_2085/tillsynsmail/A 53502-2024 tillsynsbegäran mail.docx", "A 53502-2024")</f>
        <v/>
      </c>
    </row>
    <row r="95" ht="15" customHeight="1">
      <c r="A95" t="inlineStr">
        <is>
          <t>A 17987-2025</t>
        </is>
      </c>
      <c r="B95" s="1" t="n">
        <v>45761</v>
      </c>
      <c r="C95" s="1" t="n">
        <v>45849</v>
      </c>
      <c r="D95" t="inlineStr">
        <is>
          <t>DALARNAS LÄN</t>
        </is>
      </c>
      <c r="E95" t="inlineStr">
        <is>
          <t>LUDVIKA</t>
        </is>
      </c>
      <c r="G95" t="n">
        <v>0.5</v>
      </c>
      <c r="H95" t="n">
        <v>1</v>
      </c>
      <c r="I95" t="n">
        <v>0</v>
      </c>
      <c r="J95" t="n">
        <v>1</v>
      </c>
      <c r="K95" t="n">
        <v>0</v>
      </c>
      <c r="L95" t="n">
        <v>0</v>
      </c>
      <c r="M95" t="n">
        <v>0</v>
      </c>
      <c r="N95" t="n">
        <v>0</v>
      </c>
      <c r="O95" t="n">
        <v>1</v>
      </c>
      <c r="P95" t="n">
        <v>0</v>
      </c>
      <c r="Q95" t="n">
        <v>1</v>
      </c>
      <c r="R95" s="2" t="inlineStr">
        <is>
          <t>Talltita</t>
        </is>
      </c>
      <c r="S95">
        <f>HYPERLINK("https://klasma.github.io/Logging_202085/artfynd/A 17987-2025 artfynd.xlsx", "A 17987-2025")</f>
        <v/>
      </c>
      <c r="T95">
        <f>HYPERLINK("https://klasma.github.io/Logging_202085/kartor/A 17987-2025 karta.png", "A 17987-2025")</f>
        <v/>
      </c>
      <c r="V95">
        <f>HYPERLINK("https://klasma.github.io/Logging_202085/klagomål/A 17987-2025 FSC-klagomål.docx", "A 17987-2025")</f>
        <v/>
      </c>
      <c r="W95">
        <f>HYPERLINK("https://klasma.github.io/Logging_202085/klagomålsmail/A 17987-2025 FSC-klagomål mail.docx", "A 17987-2025")</f>
        <v/>
      </c>
      <c r="X95">
        <f>HYPERLINK("https://klasma.github.io/Logging_202085/tillsyn/A 17987-2025 tillsynsbegäran.docx", "A 17987-2025")</f>
        <v/>
      </c>
      <c r="Y95">
        <f>HYPERLINK("https://klasma.github.io/Logging_202085/tillsynsmail/A 17987-2025 tillsynsbegäran mail.docx", "A 17987-2025")</f>
        <v/>
      </c>
      <c r="Z95">
        <f>HYPERLINK("https://klasma.github.io/Logging_202085/fåglar/A 17987-2025 prioriterade fågelarter.docx", "A 17987-2025")</f>
        <v/>
      </c>
    </row>
    <row r="96" ht="15" customHeight="1">
      <c r="A96" t="inlineStr">
        <is>
          <t>A 17959-2025</t>
        </is>
      </c>
      <c r="B96" s="1" t="n">
        <v>45761</v>
      </c>
      <c r="C96" s="1" t="n">
        <v>45849</v>
      </c>
      <c r="D96" t="inlineStr">
        <is>
          <t>DALARNAS LÄN</t>
        </is>
      </c>
      <c r="E96" t="inlineStr">
        <is>
          <t>LUDVIKA</t>
        </is>
      </c>
      <c r="F96" t="inlineStr">
        <is>
          <t>Bergvik skog väst AB</t>
        </is>
      </c>
      <c r="G96" t="n">
        <v>2.9</v>
      </c>
      <c r="H96" t="n">
        <v>0</v>
      </c>
      <c r="I96" t="n">
        <v>1</v>
      </c>
      <c r="J96" t="n">
        <v>0</v>
      </c>
      <c r="K96" t="n">
        <v>0</v>
      </c>
      <c r="L96" t="n">
        <v>0</v>
      </c>
      <c r="M96" t="n">
        <v>0</v>
      </c>
      <c r="N96" t="n">
        <v>0</v>
      </c>
      <c r="O96" t="n">
        <v>0</v>
      </c>
      <c r="P96" t="n">
        <v>0</v>
      </c>
      <c r="Q96" t="n">
        <v>1</v>
      </c>
      <c r="R96" s="2" t="inlineStr">
        <is>
          <t>Rödgul trumpetsvamp</t>
        </is>
      </c>
      <c r="S96">
        <f>HYPERLINK("https://klasma.github.io/Logging_202085/artfynd/A 17959-2025 artfynd.xlsx", "A 17959-2025")</f>
        <v/>
      </c>
      <c r="T96">
        <f>HYPERLINK("https://klasma.github.io/Logging_202085/kartor/A 17959-2025 karta.png", "A 17959-2025")</f>
        <v/>
      </c>
      <c r="V96">
        <f>HYPERLINK("https://klasma.github.io/Logging_202085/klagomål/A 17959-2025 FSC-klagomål.docx", "A 17959-2025")</f>
        <v/>
      </c>
      <c r="W96">
        <f>HYPERLINK("https://klasma.github.io/Logging_202085/klagomålsmail/A 17959-2025 FSC-klagomål mail.docx", "A 17959-2025")</f>
        <v/>
      </c>
      <c r="X96">
        <f>HYPERLINK("https://klasma.github.io/Logging_202085/tillsyn/A 17959-2025 tillsynsbegäran.docx", "A 17959-2025")</f>
        <v/>
      </c>
      <c r="Y96">
        <f>HYPERLINK("https://klasma.github.io/Logging_202085/tillsynsmail/A 17959-2025 tillsynsbegäran mail.docx", "A 17959-2025")</f>
        <v/>
      </c>
    </row>
    <row r="97" ht="15" customHeight="1">
      <c r="A97" t="inlineStr">
        <is>
          <t>A 20985-2025</t>
        </is>
      </c>
      <c r="B97" s="1" t="n">
        <v>45777</v>
      </c>
      <c r="C97" s="1" t="n">
        <v>45849</v>
      </c>
      <c r="D97" t="inlineStr">
        <is>
          <t>DALARNAS LÄN</t>
        </is>
      </c>
      <c r="E97" t="inlineStr">
        <is>
          <t>LUDVIKA</t>
        </is>
      </c>
      <c r="F97" t="inlineStr">
        <is>
          <t>Bergvik skog väst AB</t>
        </is>
      </c>
      <c r="G97" t="n">
        <v>5.8</v>
      </c>
      <c r="H97" t="n">
        <v>0</v>
      </c>
      <c r="I97" t="n">
        <v>0</v>
      </c>
      <c r="J97" t="n">
        <v>1</v>
      </c>
      <c r="K97" t="n">
        <v>0</v>
      </c>
      <c r="L97" t="n">
        <v>0</v>
      </c>
      <c r="M97" t="n">
        <v>0</v>
      </c>
      <c r="N97" t="n">
        <v>0</v>
      </c>
      <c r="O97" t="n">
        <v>1</v>
      </c>
      <c r="P97" t="n">
        <v>0</v>
      </c>
      <c r="Q97" t="n">
        <v>1</v>
      </c>
      <c r="R97" s="2" t="inlineStr">
        <is>
          <t>Garnlav</t>
        </is>
      </c>
      <c r="S97">
        <f>HYPERLINK("https://klasma.github.io/Logging_202085/artfynd/A 20985-2025 artfynd.xlsx", "A 20985-2025")</f>
        <v/>
      </c>
      <c r="T97">
        <f>HYPERLINK("https://klasma.github.io/Logging_202085/kartor/A 20985-2025 karta.png", "A 20985-2025")</f>
        <v/>
      </c>
      <c r="V97">
        <f>HYPERLINK("https://klasma.github.io/Logging_202085/klagomål/A 20985-2025 FSC-klagomål.docx", "A 20985-2025")</f>
        <v/>
      </c>
      <c r="W97">
        <f>HYPERLINK("https://klasma.github.io/Logging_202085/klagomålsmail/A 20985-2025 FSC-klagomål mail.docx", "A 20985-2025")</f>
        <v/>
      </c>
      <c r="X97">
        <f>HYPERLINK("https://klasma.github.io/Logging_202085/tillsyn/A 20985-2025 tillsynsbegäran.docx", "A 20985-2025")</f>
        <v/>
      </c>
      <c r="Y97">
        <f>HYPERLINK("https://klasma.github.io/Logging_202085/tillsynsmail/A 20985-2025 tillsynsbegäran mail.docx", "A 20985-2025")</f>
        <v/>
      </c>
    </row>
    <row r="98" ht="15" customHeight="1">
      <c r="A98" t="inlineStr">
        <is>
          <t>A 23085-2025</t>
        </is>
      </c>
      <c r="B98" s="1" t="n">
        <v>45791</v>
      </c>
      <c r="C98" s="1" t="n">
        <v>45849</v>
      </c>
      <c r="D98" t="inlineStr">
        <is>
          <t>DALARNAS LÄN</t>
        </is>
      </c>
      <c r="E98" t="inlineStr">
        <is>
          <t>LUDVIKA</t>
        </is>
      </c>
      <c r="F98" t="inlineStr">
        <is>
          <t>Bergvik skog väst AB</t>
        </is>
      </c>
      <c r="G98" t="n">
        <v>3.9</v>
      </c>
      <c r="H98" t="n">
        <v>1</v>
      </c>
      <c r="I98" t="n">
        <v>0</v>
      </c>
      <c r="J98" t="n">
        <v>0</v>
      </c>
      <c r="K98" t="n">
        <v>1</v>
      </c>
      <c r="L98" t="n">
        <v>0</v>
      </c>
      <c r="M98" t="n">
        <v>0</v>
      </c>
      <c r="N98" t="n">
        <v>0</v>
      </c>
      <c r="O98" t="n">
        <v>1</v>
      </c>
      <c r="P98" t="n">
        <v>1</v>
      </c>
      <c r="Q98" t="n">
        <v>1</v>
      </c>
      <c r="R98" s="2" t="inlineStr">
        <is>
          <t>Berguv</t>
        </is>
      </c>
      <c r="S98">
        <f>HYPERLINK("https://klasma.github.io/Logging_202085/artfynd/A 23085-2025 artfynd.xlsx", "A 23085-2025")</f>
        <v/>
      </c>
      <c r="T98">
        <f>HYPERLINK("https://klasma.github.io/Logging_202085/kartor/A 23085-2025 karta.png", "A 23085-2025")</f>
        <v/>
      </c>
      <c r="V98">
        <f>HYPERLINK("https://klasma.github.io/Logging_202085/klagomål/A 23085-2025 FSC-klagomål.docx", "A 23085-2025")</f>
        <v/>
      </c>
      <c r="W98">
        <f>HYPERLINK("https://klasma.github.io/Logging_202085/klagomålsmail/A 23085-2025 FSC-klagomål mail.docx", "A 23085-2025")</f>
        <v/>
      </c>
      <c r="X98">
        <f>HYPERLINK("https://klasma.github.io/Logging_202085/tillsyn/A 23085-2025 tillsynsbegäran.docx", "A 23085-2025")</f>
        <v/>
      </c>
      <c r="Y98">
        <f>HYPERLINK("https://klasma.github.io/Logging_202085/tillsynsmail/A 23085-2025 tillsynsbegäran mail.docx", "A 23085-2025")</f>
        <v/>
      </c>
      <c r="Z98">
        <f>HYPERLINK("https://klasma.github.io/Logging_202085/fåglar/A 23085-2025 prioriterade fågelarter.docx", "A 23085-2025")</f>
        <v/>
      </c>
    </row>
    <row r="99" ht="15" customHeight="1">
      <c r="A99" t="inlineStr">
        <is>
          <t>A 23102-2025</t>
        </is>
      </c>
      <c r="B99" s="1" t="n">
        <v>45791</v>
      </c>
      <c r="C99" s="1" t="n">
        <v>45849</v>
      </c>
      <c r="D99" t="inlineStr">
        <is>
          <t>DALARNAS LÄN</t>
        </is>
      </c>
      <c r="E99" t="inlineStr">
        <is>
          <t>LUDVIKA</t>
        </is>
      </c>
      <c r="F99" t="inlineStr">
        <is>
          <t>Bergvik skog väst AB</t>
        </is>
      </c>
      <c r="G99" t="n">
        <v>0.8</v>
      </c>
      <c r="H99" t="n">
        <v>1</v>
      </c>
      <c r="I99" t="n">
        <v>0</v>
      </c>
      <c r="J99" t="n">
        <v>0</v>
      </c>
      <c r="K99" t="n">
        <v>0</v>
      </c>
      <c r="L99" t="n">
        <v>0</v>
      </c>
      <c r="M99" t="n">
        <v>0</v>
      </c>
      <c r="N99" t="n">
        <v>0</v>
      </c>
      <c r="O99" t="n">
        <v>0</v>
      </c>
      <c r="P99" t="n">
        <v>0</v>
      </c>
      <c r="Q99" t="n">
        <v>1</v>
      </c>
      <c r="R99" s="2" t="inlineStr">
        <is>
          <t>Vanlig groda</t>
        </is>
      </c>
      <c r="S99">
        <f>HYPERLINK("https://klasma.github.io/Logging_202085/artfynd/A 23102-2025 artfynd.xlsx", "A 23102-2025")</f>
        <v/>
      </c>
      <c r="T99">
        <f>HYPERLINK("https://klasma.github.io/Logging_202085/kartor/A 23102-2025 karta.png", "A 23102-2025")</f>
        <v/>
      </c>
      <c r="V99">
        <f>HYPERLINK("https://klasma.github.io/Logging_202085/klagomål/A 23102-2025 FSC-klagomål.docx", "A 23102-2025")</f>
        <v/>
      </c>
      <c r="W99">
        <f>HYPERLINK("https://klasma.github.io/Logging_202085/klagomålsmail/A 23102-2025 FSC-klagomål mail.docx", "A 23102-2025")</f>
        <v/>
      </c>
      <c r="X99">
        <f>HYPERLINK("https://klasma.github.io/Logging_202085/tillsyn/A 23102-2025 tillsynsbegäran.docx", "A 23102-2025")</f>
        <v/>
      </c>
      <c r="Y99">
        <f>HYPERLINK("https://klasma.github.io/Logging_202085/tillsynsmail/A 23102-2025 tillsynsbegäran mail.docx", "A 23102-2025")</f>
        <v/>
      </c>
    </row>
    <row r="100" ht="15" customHeight="1">
      <c r="A100" t="inlineStr">
        <is>
          <t>A 23107-2025</t>
        </is>
      </c>
      <c r="B100" s="1" t="n">
        <v>45791</v>
      </c>
      <c r="C100" s="1" t="n">
        <v>45849</v>
      </c>
      <c r="D100" t="inlineStr">
        <is>
          <t>DALARNAS LÄN</t>
        </is>
      </c>
      <c r="E100" t="inlineStr">
        <is>
          <t>LUDVIKA</t>
        </is>
      </c>
      <c r="F100" t="inlineStr">
        <is>
          <t>Bergvik skog väst AB</t>
        </is>
      </c>
      <c r="G100" t="n">
        <v>3.4</v>
      </c>
      <c r="H100" t="n">
        <v>1</v>
      </c>
      <c r="I100" t="n">
        <v>0</v>
      </c>
      <c r="J100" t="n">
        <v>0</v>
      </c>
      <c r="K100" t="n">
        <v>0</v>
      </c>
      <c r="L100" t="n">
        <v>0</v>
      </c>
      <c r="M100" t="n">
        <v>0</v>
      </c>
      <c r="N100" t="n">
        <v>0</v>
      </c>
      <c r="O100" t="n">
        <v>0</v>
      </c>
      <c r="P100" t="n">
        <v>0</v>
      </c>
      <c r="Q100" t="n">
        <v>1</v>
      </c>
      <c r="R100" s="2" t="inlineStr">
        <is>
          <t>Större vattensalamander</t>
        </is>
      </c>
      <c r="S100">
        <f>HYPERLINK("https://klasma.github.io/Logging_202085/artfynd/A 23107-2025 artfynd.xlsx", "A 23107-2025")</f>
        <v/>
      </c>
      <c r="T100">
        <f>HYPERLINK("https://klasma.github.io/Logging_202085/kartor/A 23107-2025 karta.png", "A 23107-2025")</f>
        <v/>
      </c>
      <c r="V100">
        <f>HYPERLINK("https://klasma.github.io/Logging_202085/klagomål/A 23107-2025 FSC-klagomål.docx", "A 23107-2025")</f>
        <v/>
      </c>
      <c r="W100">
        <f>HYPERLINK("https://klasma.github.io/Logging_202085/klagomålsmail/A 23107-2025 FSC-klagomål mail.docx", "A 23107-2025")</f>
        <v/>
      </c>
      <c r="X100">
        <f>HYPERLINK("https://klasma.github.io/Logging_202085/tillsyn/A 23107-2025 tillsynsbegäran.docx", "A 23107-2025")</f>
        <v/>
      </c>
      <c r="Y100">
        <f>HYPERLINK("https://klasma.github.io/Logging_202085/tillsynsmail/A 23107-2025 tillsynsbegäran mail.docx", "A 23107-2025")</f>
        <v/>
      </c>
    </row>
    <row r="101" ht="15" customHeight="1">
      <c r="A101" t="inlineStr">
        <is>
          <t>A 25282-2025</t>
        </is>
      </c>
      <c r="B101" s="1" t="n">
        <v>45800</v>
      </c>
      <c r="C101" s="1" t="n">
        <v>45849</v>
      </c>
      <c r="D101" t="inlineStr">
        <is>
          <t>DALARNAS LÄN</t>
        </is>
      </c>
      <c r="E101" t="inlineStr">
        <is>
          <t>LUDVIKA</t>
        </is>
      </c>
      <c r="F101" t="inlineStr">
        <is>
          <t>Bergvik skog väst AB</t>
        </is>
      </c>
      <c r="G101" t="n">
        <v>4.8</v>
      </c>
      <c r="H101" t="n">
        <v>0</v>
      </c>
      <c r="I101" t="n">
        <v>0</v>
      </c>
      <c r="J101" t="n">
        <v>1</v>
      </c>
      <c r="K101" t="n">
        <v>0</v>
      </c>
      <c r="L101" t="n">
        <v>0</v>
      </c>
      <c r="M101" t="n">
        <v>0</v>
      </c>
      <c r="N101" t="n">
        <v>0</v>
      </c>
      <c r="O101" t="n">
        <v>1</v>
      </c>
      <c r="P101" t="n">
        <v>0</v>
      </c>
      <c r="Q101" t="n">
        <v>1</v>
      </c>
      <c r="R101" s="2" t="inlineStr">
        <is>
          <t>Garnlav</t>
        </is>
      </c>
      <c r="S101">
        <f>HYPERLINK("https://klasma.github.io/Logging_202085/artfynd/A 25282-2025 artfynd.xlsx", "A 25282-2025")</f>
        <v/>
      </c>
      <c r="T101">
        <f>HYPERLINK("https://klasma.github.io/Logging_202085/kartor/A 25282-2025 karta.png", "A 25282-2025")</f>
        <v/>
      </c>
      <c r="V101">
        <f>HYPERLINK("https://klasma.github.io/Logging_202085/klagomål/A 25282-2025 FSC-klagomål.docx", "A 25282-2025")</f>
        <v/>
      </c>
      <c r="W101">
        <f>HYPERLINK("https://klasma.github.io/Logging_202085/klagomålsmail/A 25282-2025 FSC-klagomål mail.docx", "A 25282-2025")</f>
        <v/>
      </c>
      <c r="X101">
        <f>HYPERLINK("https://klasma.github.io/Logging_202085/tillsyn/A 25282-2025 tillsynsbegäran.docx", "A 25282-2025")</f>
        <v/>
      </c>
      <c r="Y101">
        <f>HYPERLINK("https://klasma.github.io/Logging_202085/tillsynsmail/A 25282-2025 tillsynsbegäran mail.docx", "A 25282-2025")</f>
        <v/>
      </c>
    </row>
    <row r="102" ht="15" customHeight="1">
      <c r="A102" t="inlineStr">
        <is>
          <t>A 29733-2025</t>
        </is>
      </c>
      <c r="B102" s="1" t="n">
        <v>45825</v>
      </c>
      <c r="C102" s="1" t="n">
        <v>45849</v>
      </c>
      <c r="D102" t="inlineStr">
        <is>
          <t>DALARNAS LÄN</t>
        </is>
      </c>
      <c r="E102" t="inlineStr">
        <is>
          <t>LUDVIKA</t>
        </is>
      </c>
      <c r="F102" t="inlineStr">
        <is>
          <t>Bergvik skog väst AB</t>
        </is>
      </c>
      <c r="G102" t="n">
        <v>10.4</v>
      </c>
      <c r="H102" t="n">
        <v>0</v>
      </c>
      <c r="I102" t="n">
        <v>1</v>
      </c>
      <c r="J102" t="n">
        <v>0</v>
      </c>
      <c r="K102" t="n">
        <v>0</v>
      </c>
      <c r="L102" t="n">
        <v>0</v>
      </c>
      <c r="M102" t="n">
        <v>0</v>
      </c>
      <c r="N102" t="n">
        <v>0</v>
      </c>
      <c r="O102" t="n">
        <v>0</v>
      </c>
      <c r="P102" t="n">
        <v>0</v>
      </c>
      <c r="Q102" t="n">
        <v>1</v>
      </c>
      <c r="R102" s="2" t="inlineStr">
        <is>
          <t>Stuplav</t>
        </is>
      </c>
      <c r="S102">
        <f>HYPERLINK("https://klasma.github.io/Logging_202085/artfynd/A 29733-2025 artfynd.xlsx", "A 29733-2025")</f>
        <v/>
      </c>
      <c r="T102">
        <f>HYPERLINK("https://klasma.github.io/Logging_202085/kartor/A 29733-2025 karta.png", "A 29733-2025")</f>
        <v/>
      </c>
      <c r="V102">
        <f>HYPERLINK("https://klasma.github.io/Logging_202085/klagomål/A 29733-2025 FSC-klagomål.docx", "A 29733-2025")</f>
        <v/>
      </c>
      <c r="W102">
        <f>HYPERLINK("https://klasma.github.io/Logging_202085/klagomålsmail/A 29733-2025 FSC-klagomål mail.docx", "A 29733-2025")</f>
        <v/>
      </c>
      <c r="X102">
        <f>HYPERLINK("https://klasma.github.io/Logging_202085/tillsyn/A 29733-2025 tillsynsbegäran.docx", "A 29733-2025")</f>
        <v/>
      </c>
      <c r="Y102">
        <f>HYPERLINK("https://klasma.github.io/Logging_202085/tillsynsmail/A 29733-2025 tillsynsbegäran mail.docx", "A 29733-2025")</f>
        <v/>
      </c>
    </row>
    <row r="103" ht="15" customHeight="1">
      <c r="A103" t="inlineStr">
        <is>
          <t>A 33162-2025</t>
        </is>
      </c>
      <c r="B103" s="1" t="n">
        <v>45840</v>
      </c>
      <c r="C103" s="1" t="n">
        <v>45849</v>
      </c>
      <c r="D103" t="inlineStr">
        <is>
          <t>DALARNAS LÄN</t>
        </is>
      </c>
      <c r="E103" t="inlineStr">
        <is>
          <t>LUDVIKA</t>
        </is>
      </c>
      <c r="F103" t="inlineStr">
        <is>
          <t>Bergvik skog väst AB</t>
        </is>
      </c>
      <c r="G103" t="n">
        <v>2.3</v>
      </c>
      <c r="H103" t="n">
        <v>0</v>
      </c>
      <c r="I103" t="n">
        <v>0</v>
      </c>
      <c r="J103" t="n">
        <v>1</v>
      </c>
      <c r="K103" t="n">
        <v>0</v>
      </c>
      <c r="L103" t="n">
        <v>0</v>
      </c>
      <c r="M103" t="n">
        <v>0</v>
      </c>
      <c r="N103" t="n">
        <v>0</v>
      </c>
      <c r="O103" t="n">
        <v>1</v>
      </c>
      <c r="P103" t="n">
        <v>0</v>
      </c>
      <c r="Q103" t="n">
        <v>1</v>
      </c>
      <c r="R103" s="2" t="inlineStr">
        <is>
          <t>Kandelabersvamp</t>
        </is>
      </c>
      <c r="S103">
        <f>HYPERLINK("https://klasma.github.io/Logging_202085/artfynd/A 33162-2025 artfynd.xlsx", "A 33162-2025")</f>
        <v/>
      </c>
      <c r="T103">
        <f>HYPERLINK("https://klasma.github.io/Logging_202085/kartor/A 33162-2025 karta.png", "A 33162-2025")</f>
        <v/>
      </c>
      <c r="V103">
        <f>HYPERLINK("https://klasma.github.io/Logging_202085/klagomål/A 33162-2025 FSC-klagomål.docx", "A 33162-2025")</f>
        <v/>
      </c>
      <c r="W103">
        <f>HYPERLINK("https://klasma.github.io/Logging_202085/klagomålsmail/A 33162-2025 FSC-klagomål mail.docx", "A 33162-2025")</f>
        <v/>
      </c>
      <c r="X103">
        <f>HYPERLINK("https://klasma.github.io/Logging_202085/tillsyn/A 33162-2025 tillsynsbegäran.docx", "A 33162-2025")</f>
        <v/>
      </c>
      <c r="Y103">
        <f>HYPERLINK("https://klasma.github.io/Logging_202085/tillsynsmail/A 33162-2025 tillsynsbegäran mail.docx", "A 33162-2025")</f>
        <v/>
      </c>
    </row>
    <row r="104" ht="15" customHeight="1">
      <c r="A104" t="inlineStr">
        <is>
          <t>A 17947-2019</t>
        </is>
      </c>
      <c r="B104" s="1" t="n">
        <v>43557</v>
      </c>
      <c r="C104" s="1" t="n">
        <v>45849</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19571-2019</t>
        </is>
      </c>
      <c r="B105" s="1" t="n">
        <v>43566</v>
      </c>
      <c r="C105" s="1" t="n">
        <v>45849</v>
      </c>
      <c r="D105" t="inlineStr">
        <is>
          <t>DALARNAS LÄN</t>
        </is>
      </c>
      <c r="E105" t="inlineStr">
        <is>
          <t>LUDVIKA</t>
        </is>
      </c>
      <c r="G105" t="n">
        <v>3.7</v>
      </c>
      <c r="H105" t="n">
        <v>0</v>
      </c>
      <c r="I105" t="n">
        <v>0</v>
      </c>
      <c r="J105" t="n">
        <v>0</v>
      </c>
      <c r="K105" t="n">
        <v>0</v>
      </c>
      <c r="L105" t="n">
        <v>0</v>
      </c>
      <c r="M105" t="n">
        <v>0</v>
      </c>
      <c r="N105" t="n">
        <v>0</v>
      </c>
      <c r="O105" t="n">
        <v>0</v>
      </c>
      <c r="P105" t="n">
        <v>0</v>
      </c>
      <c r="Q105" t="n">
        <v>0</v>
      </c>
      <c r="R105" s="2" t="inlineStr"/>
    </row>
    <row r="106" ht="15" customHeight="1">
      <c r="A106" t="inlineStr">
        <is>
          <t>A 23351-2019</t>
        </is>
      </c>
      <c r="B106" s="1" t="n">
        <v>43593</v>
      </c>
      <c r="C106" s="1" t="n">
        <v>45849</v>
      </c>
      <c r="D106" t="inlineStr">
        <is>
          <t>DALARNAS LÄN</t>
        </is>
      </c>
      <c r="E106" t="inlineStr">
        <is>
          <t>LUDVIKA</t>
        </is>
      </c>
      <c r="G106" t="n">
        <v>3.3</v>
      </c>
      <c r="H106" t="n">
        <v>0</v>
      </c>
      <c r="I106" t="n">
        <v>0</v>
      </c>
      <c r="J106" t="n">
        <v>0</v>
      </c>
      <c r="K106" t="n">
        <v>0</v>
      </c>
      <c r="L106" t="n">
        <v>0</v>
      </c>
      <c r="M106" t="n">
        <v>0</v>
      </c>
      <c r="N106" t="n">
        <v>0</v>
      </c>
      <c r="O106" t="n">
        <v>0</v>
      </c>
      <c r="P106" t="n">
        <v>0</v>
      </c>
      <c r="Q106" t="n">
        <v>0</v>
      </c>
      <c r="R106" s="2" t="inlineStr"/>
    </row>
    <row r="107" ht="15" customHeight="1">
      <c r="A107" t="inlineStr">
        <is>
          <t>A 23487-2019</t>
        </is>
      </c>
      <c r="B107" s="1" t="n">
        <v>43594</v>
      </c>
      <c r="C107" s="1" t="n">
        <v>45849</v>
      </c>
      <c r="D107" t="inlineStr">
        <is>
          <t>DALARNAS LÄN</t>
        </is>
      </c>
      <c r="E107" t="inlineStr">
        <is>
          <t>LUDVIKA</t>
        </is>
      </c>
      <c r="G107" t="n">
        <v>2.5</v>
      </c>
      <c r="H107" t="n">
        <v>0</v>
      </c>
      <c r="I107" t="n">
        <v>0</v>
      </c>
      <c r="J107" t="n">
        <v>0</v>
      </c>
      <c r="K107" t="n">
        <v>0</v>
      </c>
      <c r="L107" t="n">
        <v>0</v>
      </c>
      <c r="M107" t="n">
        <v>0</v>
      </c>
      <c r="N107" t="n">
        <v>0</v>
      </c>
      <c r="O107" t="n">
        <v>0</v>
      </c>
      <c r="P107" t="n">
        <v>0</v>
      </c>
      <c r="Q107" t="n">
        <v>0</v>
      </c>
      <c r="R107" s="2" t="inlineStr"/>
    </row>
    <row r="108" ht="15" customHeight="1">
      <c r="A108" t="inlineStr">
        <is>
          <t>A 24629-2019</t>
        </is>
      </c>
      <c r="B108" s="1" t="n">
        <v>43601</v>
      </c>
      <c r="C108" s="1" t="n">
        <v>45849</v>
      </c>
      <c r="D108" t="inlineStr">
        <is>
          <t>DALARNAS LÄN</t>
        </is>
      </c>
      <c r="E108" t="inlineStr">
        <is>
          <t>LUDVIKA</t>
        </is>
      </c>
      <c r="G108" t="n">
        <v>3</v>
      </c>
      <c r="H108" t="n">
        <v>0</v>
      </c>
      <c r="I108" t="n">
        <v>0</v>
      </c>
      <c r="J108" t="n">
        <v>0</v>
      </c>
      <c r="K108" t="n">
        <v>0</v>
      </c>
      <c r="L108" t="n">
        <v>0</v>
      </c>
      <c r="M108" t="n">
        <v>0</v>
      </c>
      <c r="N108" t="n">
        <v>0</v>
      </c>
      <c r="O108" t="n">
        <v>0</v>
      </c>
      <c r="P108" t="n">
        <v>0</v>
      </c>
      <c r="Q108" t="n">
        <v>0</v>
      </c>
      <c r="R108" s="2" t="inlineStr"/>
    </row>
    <row r="109" ht="15" customHeight="1">
      <c r="A109" t="inlineStr">
        <is>
          <t>A 25116-2019</t>
        </is>
      </c>
      <c r="B109" s="1" t="n">
        <v>43605</v>
      </c>
      <c r="C109" s="1" t="n">
        <v>45849</v>
      </c>
      <c r="D109" t="inlineStr">
        <is>
          <t>DALARNAS LÄN</t>
        </is>
      </c>
      <c r="E109" t="inlineStr">
        <is>
          <t>LUDVIKA</t>
        </is>
      </c>
      <c r="G109" t="n">
        <v>3</v>
      </c>
      <c r="H109" t="n">
        <v>0</v>
      </c>
      <c r="I109" t="n">
        <v>0</v>
      </c>
      <c r="J109" t="n">
        <v>0</v>
      </c>
      <c r="K109" t="n">
        <v>0</v>
      </c>
      <c r="L109" t="n">
        <v>0</v>
      </c>
      <c r="M109" t="n">
        <v>0</v>
      </c>
      <c r="N109" t="n">
        <v>0</v>
      </c>
      <c r="O109" t="n">
        <v>0</v>
      </c>
      <c r="P109" t="n">
        <v>0</v>
      </c>
      <c r="Q109" t="n">
        <v>0</v>
      </c>
      <c r="R109" s="2" t="inlineStr"/>
    </row>
    <row r="110" ht="15" customHeight="1">
      <c r="A110" t="inlineStr">
        <is>
          <t>A 27005-2019</t>
        </is>
      </c>
      <c r="B110" s="1" t="n">
        <v>43614</v>
      </c>
      <c r="C110" s="1" t="n">
        <v>45849</v>
      </c>
      <c r="D110" t="inlineStr">
        <is>
          <t>DALARNAS LÄN</t>
        </is>
      </c>
      <c r="E110" t="inlineStr">
        <is>
          <t>LUDVIKA</t>
        </is>
      </c>
      <c r="F110" t="inlineStr">
        <is>
          <t>Bergvik skog väst AB</t>
        </is>
      </c>
      <c r="G110" t="n">
        <v>22.4</v>
      </c>
      <c r="H110" t="n">
        <v>0</v>
      </c>
      <c r="I110" t="n">
        <v>0</v>
      </c>
      <c r="J110" t="n">
        <v>0</v>
      </c>
      <c r="K110" t="n">
        <v>0</v>
      </c>
      <c r="L110" t="n">
        <v>0</v>
      </c>
      <c r="M110" t="n">
        <v>0</v>
      </c>
      <c r="N110" t="n">
        <v>0</v>
      </c>
      <c r="O110" t="n">
        <v>0</v>
      </c>
      <c r="P110" t="n">
        <v>0</v>
      </c>
      <c r="Q110" t="n">
        <v>0</v>
      </c>
      <c r="R110" s="2" t="inlineStr"/>
    </row>
    <row r="111" ht="15" customHeight="1">
      <c r="A111" t="inlineStr">
        <is>
          <t>A 29027-2019</t>
        </is>
      </c>
      <c r="B111" s="1" t="n">
        <v>43628</v>
      </c>
      <c r="C111" s="1" t="n">
        <v>45849</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30233-2019</t>
        </is>
      </c>
      <c r="B112" s="1" t="n">
        <v>43630</v>
      </c>
      <c r="C112" s="1" t="n">
        <v>45849</v>
      </c>
      <c r="D112" t="inlineStr">
        <is>
          <t>DALARNAS LÄN</t>
        </is>
      </c>
      <c r="E112" t="inlineStr">
        <is>
          <t>LUDVIKA</t>
        </is>
      </c>
      <c r="G112" t="n">
        <v>0.3</v>
      </c>
      <c r="H112" t="n">
        <v>0</v>
      </c>
      <c r="I112" t="n">
        <v>0</v>
      </c>
      <c r="J112" t="n">
        <v>0</v>
      </c>
      <c r="K112" t="n">
        <v>0</v>
      </c>
      <c r="L112" t="n">
        <v>0</v>
      </c>
      <c r="M112" t="n">
        <v>0</v>
      </c>
      <c r="N112" t="n">
        <v>0</v>
      </c>
      <c r="O112" t="n">
        <v>0</v>
      </c>
      <c r="P112" t="n">
        <v>0</v>
      </c>
      <c r="Q112" t="n">
        <v>0</v>
      </c>
      <c r="R112" s="2" t="inlineStr"/>
    </row>
    <row r="113" ht="15" customHeight="1">
      <c r="A113" t="inlineStr">
        <is>
          <t>A 30102-2019</t>
        </is>
      </c>
      <c r="B113" s="1" t="n">
        <v>43630</v>
      </c>
      <c r="C113" s="1" t="n">
        <v>45849</v>
      </c>
      <c r="D113" t="inlineStr">
        <is>
          <t>DALARNAS LÄN</t>
        </is>
      </c>
      <c r="E113" t="inlineStr">
        <is>
          <t>LUDVIKA</t>
        </is>
      </c>
      <c r="G113" t="n">
        <v>2.3</v>
      </c>
      <c r="H113" t="n">
        <v>0</v>
      </c>
      <c r="I113" t="n">
        <v>0</v>
      </c>
      <c r="J113" t="n">
        <v>0</v>
      </c>
      <c r="K113" t="n">
        <v>0</v>
      </c>
      <c r="L113" t="n">
        <v>0</v>
      </c>
      <c r="M113" t="n">
        <v>0</v>
      </c>
      <c r="N113" t="n">
        <v>0</v>
      </c>
      <c r="O113" t="n">
        <v>0</v>
      </c>
      <c r="P113" t="n">
        <v>0</v>
      </c>
      <c r="Q113" t="n">
        <v>0</v>
      </c>
      <c r="R113" s="2" t="inlineStr"/>
    </row>
    <row r="114" ht="15" customHeight="1">
      <c r="A114" t="inlineStr">
        <is>
          <t>A 30121-2019</t>
        </is>
      </c>
      <c r="B114" s="1" t="n">
        <v>43630</v>
      </c>
      <c r="C114" s="1" t="n">
        <v>45849</v>
      </c>
      <c r="D114" t="inlineStr">
        <is>
          <t>DALARNAS LÄN</t>
        </is>
      </c>
      <c r="E114" t="inlineStr">
        <is>
          <t>LUDVIKA</t>
        </is>
      </c>
      <c r="G114" t="n">
        <v>0.5</v>
      </c>
      <c r="H114" t="n">
        <v>0</v>
      </c>
      <c r="I114" t="n">
        <v>0</v>
      </c>
      <c r="J114" t="n">
        <v>0</v>
      </c>
      <c r="K114" t="n">
        <v>0</v>
      </c>
      <c r="L114" t="n">
        <v>0</v>
      </c>
      <c r="M114" t="n">
        <v>0</v>
      </c>
      <c r="N114" t="n">
        <v>0</v>
      </c>
      <c r="O114" t="n">
        <v>0</v>
      </c>
      <c r="P114" t="n">
        <v>0</v>
      </c>
      <c r="Q114" t="n">
        <v>0</v>
      </c>
      <c r="R114" s="2" t="inlineStr"/>
    </row>
    <row r="115" ht="15" customHeight="1">
      <c r="A115" t="inlineStr">
        <is>
          <t>A 30040-2019</t>
        </is>
      </c>
      <c r="B115" s="1" t="n">
        <v>43633</v>
      </c>
      <c r="C115" s="1" t="n">
        <v>45849</v>
      </c>
      <c r="D115" t="inlineStr">
        <is>
          <t>DALARNAS LÄN</t>
        </is>
      </c>
      <c r="E115" t="inlineStr">
        <is>
          <t>LUDVIKA</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30887-2019</t>
        </is>
      </c>
      <c r="B116" s="1" t="n">
        <v>43636</v>
      </c>
      <c r="C116" s="1" t="n">
        <v>45849</v>
      </c>
      <c r="D116" t="inlineStr">
        <is>
          <t>DALARNAS LÄN</t>
        </is>
      </c>
      <c r="E116" t="inlineStr">
        <is>
          <t>LUDVIKA</t>
        </is>
      </c>
      <c r="F116" t="inlineStr">
        <is>
          <t>Bergvik skog väst AB</t>
        </is>
      </c>
      <c r="G116" t="n">
        <v>5.5</v>
      </c>
      <c r="H116" t="n">
        <v>0</v>
      </c>
      <c r="I116" t="n">
        <v>0</v>
      </c>
      <c r="J116" t="n">
        <v>0</v>
      </c>
      <c r="K116" t="n">
        <v>0</v>
      </c>
      <c r="L116" t="n">
        <v>0</v>
      </c>
      <c r="M116" t="n">
        <v>0</v>
      </c>
      <c r="N116" t="n">
        <v>0</v>
      </c>
      <c r="O116" t="n">
        <v>0</v>
      </c>
      <c r="P116" t="n">
        <v>0</v>
      </c>
      <c r="Q116" t="n">
        <v>0</v>
      </c>
      <c r="R116" s="2" t="inlineStr"/>
    </row>
    <row r="117" ht="15" customHeight="1">
      <c r="A117" t="inlineStr">
        <is>
          <t>A 33194-2019</t>
        </is>
      </c>
      <c r="B117" s="1" t="n">
        <v>43649</v>
      </c>
      <c r="C117" s="1" t="n">
        <v>45849</v>
      </c>
      <c r="D117" t="inlineStr">
        <is>
          <t>DALARNAS LÄN</t>
        </is>
      </c>
      <c r="E117" t="inlineStr">
        <is>
          <t>LUDVIKA</t>
        </is>
      </c>
      <c r="G117" t="n">
        <v>0.4</v>
      </c>
      <c r="H117" t="n">
        <v>0</v>
      </c>
      <c r="I117" t="n">
        <v>0</v>
      </c>
      <c r="J117" t="n">
        <v>0</v>
      </c>
      <c r="K117" t="n">
        <v>0</v>
      </c>
      <c r="L117" t="n">
        <v>0</v>
      </c>
      <c r="M117" t="n">
        <v>0</v>
      </c>
      <c r="N117" t="n">
        <v>0</v>
      </c>
      <c r="O117" t="n">
        <v>0</v>
      </c>
      <c r="P117" t="n">
        <v>0</v>
      </c>
      <c r="Q117" t="n">
        <v>0</v>
      </c>
      <c r="R117" s="2" t="inlineStr"/>
    </row>
    <row r="118" ht="15" customHeight="1">
      <c r="A118" t="inlineStr">
        <is>
          <t>A 34472-2019</t>
        </is>
      </c>
      <c r="B118" s="1" t="n">
        <v>43656</v>
      </c>
      <c r="C118" s="1" t="n">
        <v>45849</v>
      </c>
      <c r="D118" t="inlineStr">
        <is>
          <t>DALARNAS LÄN</t>
        </is>
      </c>
      <c r="E118" t="inlineStr">
        <is>
          <t>LUDVIKA</t>
        </is>
      </c>
      <c r="G118" t="n">
        <v>1.2</v>
      </c>
      <c r="H118" t="n">
        <v>0</v>
      </c>
      <c r="I118" t="n">
        <v>0</v>
      </c>
      <c r="J118" t="n">
        <v>0</v>
      </c>
      <c r="K118" t="n">
        <v>0</v>
      </c>
      <c r="L118" t="n">
        <v>0</v>
      </c>
      <c r="M118" t="n">
        <v>0</v>
      </c>
      <c r="N118" t="n">
        <v>0</v>
      </c>
      <c r="O118" t="n">
        <v>0</v>
      </c>
      <c r="P118" t="n">
        <v>0</v>
      </c>
      <c r="Q118" t="n">
        <v>0</v>
      </c>
      <c r="R118" s="2" t="inlineStr"/>
    </row>
    <row r="119" ht="15" customHeight="1">
      <c r="A119" t="inlineStr">
        <is>
          <t>A 35230-2019</t>
        </is>
      </c>
      <c r="B119" s="1" t="n">
        <v>43662</v>
      </c>
      <c r="C119" s="1" t="n">
        <v>45849</v>
      </c>
      <c r="D119" t="inlineStr">
        <is>
          <t>DALARNAS LÄN</t>
        </is>
      </c>
      <c r="E119" t="inlineStr">
        <is>
          <t>LUDVIKA</t>
        </is>
      </c>
      <c r="G119" t="n">
        <v>0.4</v>
      </c>
      <c r="H119" t="n">
        <v>0</v>
      </c>
      <c r="I119" t="n">
        <v>0</v>
      </c>
      <c r="J119" t="n">
        <v>0</v>
      </c>
      <c r="K119" t="n">
        <v>0</v>
      </c>
      <c r="L119" t="n">
        <v>0</v>
      </c>
      <c r="M119" t="n">
        <v>0</v>
      </c>
      <c r="N119" t="n">
        <v>0</v>
      </c>
      <c r="O119" t="n">
        <v>0</v>
      </c>
      <c r="P119" t="n">
        <v>0</v>
      </c>
      <c r="Q119" t="n">
        <v>0</v>
      </c>
      <c r="R119" s="2" t="inlineStr"/>
    </row>
    <row r="120" ht="15" customHeight="1">
      <c r="A120" t="inlineStr">
        <is>
          <t>A 35634-2019</t>
        </is>
      </c>
      <c r="B120" s="1" t="n">
        <v>43664</v>
      </c>
      <c r="C120" s="1" t="n">
        <v>45849</v>
      </c>
      <c r="D120" t="inlineStr">
        <is>
          <t>DALARNAS LÄN</t>
        </is>
      </c>
      <c r="E120" t="inlineStr">
        <is>
          <t>LUDVIKA</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37612-2019</t>
        </is>
      </c>
      <c r="B121" s="1" t="n">
        <v>43681</v>
      </c>
      <c r="C121" s="1" t="n">
        <v>45849</v>
      </c>
      <c r="D121" t="inlineStr">
        <is>
          <t>DALARNAS LÄN</t>
        </is>
      </c>
      <c r="E121" t="inlineStr">
        <is>
          <t>LUDVIKA</t>
        </is>
      </c>
      <c r="G121" t="n">
        <v>2.7</v>
      </c>
      <c r="H121" t="n">
        <v>0</v>
      </c>
      <c r="I121" t="n">
        <v>0</v>
      </c>
      <c r="J121" t="n">
        <v>0</v>
      </c>
      <c r="K121" t="n">
        <v>0</v>
      </c>
      <c r="L121" t="n">
        <v>0</v>
      </c>
      <c r="M121" t="n">
        <v>0</v>
      </c>
      <c r="N121" t="n">
        <v>0</v>
      </c>
      <c r="O121" t="n">
        <v>0</v>
      </c>
      <c r="P121" t="n">
        <v>0</v>
      </c>
      <c r="Q121" t="n">
        <v>0</v>
      </c>
      <c r="R121" s="2" t="inlineStr"/>
    </row>
    <row r="122" ht="15" customHeight="1">
      <c r="A122" t="inlineStr">
        <is>
          <t>A 40358-2019</t>
        </is>
      </c>
      <c r="B122" s="1" t="n">
        <v>43696</v>
      </c>
      <c r="C122" s="1" t="n">
        <v>45849</v>
      </c>
      <c r="D122" t="inlineStr">
        <is>
          <t>DALARNAS LÄN</t>
        </is>
      </c>
      <c r="E122" t="inlineStr">
        <is>
          <t>LUDVIKA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41395-2019</t>
        </is>
      </c>
      <c r="B123" s="1" t="n">
        <v>43698</v>
      </c>
      <c r="C123" s="1" t="n">
        <v>45849</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42849-2019</t>
        </is>
      </c>
      <c r="B124" s="1" t="n">
        <v>43700</v>
      </c>
      <c r="C124" s="1" t="n">
        <v>45849</v>
      </c>
      <c r="D124" t="inlineStr">
        <is>
          <t>DALARNAS LÄN</t>
        </is>
      </c>
      <c r="E124" t="inlineStr">
        <is>
          <t>LUDVIKA</t>
        </is>
      </c>
      <c r="G124" t="n">
        <v>1.4</v>
      </c>
      <c r="H124" t="n">
        <v>0</v>
      </c>
      <c r="I124" t="n">
        <v>0</v>
      </c>
      <c r="J124" t="n">
        <v>0</v>
      </c>
      <c r="K124" t="n">
        <v>0</v>
      </c>
      <c r="L124" t="n">
        <v>0</v>
      </c>
      <c r="M124" t="n">
        <v>0</v>
      </c>
      <c r="N124" t="n">
        <v>0</v>
      </c>
      <c r="O124" t="n">
        <v>0</v>
      </c>
      <c r="P124" t="n">
        <v>0</v>
      </c>
      <c r="Q124" t="n">
        <v>0</v>
      </c>
      <c r="R124" s="2" t="inlineStr"/>
    </row>
    <row r="125" ht="15" customHeight="1">
      <c r="A125" t="inlineStr">
        <is>
          <t>A 43074-2019</t>
        </is>
      </c>
      <c r="B125" s="1" t="n">
        <v>43705</v>
      </c>
      <c r="C125" s="1" t="n">
        <v>45849</v>
      </c>
      <c r="D125" t="inlineStr">
        <is>
          <t>DALARNAS LÄN</t>
        </is>
      </c>
      <c r="E125" t="inlineStr">
        <is>
          <t>LUDVIKA</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45480-2019</t>
        </is>
      </c>
      <c r="B126" s="1" t="n">
        <v>43714</v>
      </c>
      <c r="C126" s="1" t="n">
        <v>45849</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47012-2019</t>
        </is>
      </c>
      <c r="B127" s="1" t="n">
        <v>43720</v>
      </c>
      <c r="C127" s="1" t="n">
        <v>45849</v>
      </c>
      <c r="D127" t="inlineStr">
        <is>
          <t>DALARNAS LÄN</t>
        </is>
      </c>
      <c r="E127" t="inlineStr">
        <is>
          <t>LUDVIKA</t>
        </is>
      </c>
      <c r="F127" t="inlineStr">
        <is>
          <t>Kyrkan</t>
        </is>
      </c>
      <c r="G127" t="n">
        <v>2</v>
      </c>
      <c r="H127" t="n">
        <v>0</v>
      </c>
      <c r="I127" t="n">
        <v>0</v>
      </c>
      <c r="J127" t="n">
        <v>0</v>
      </c>
      <c r="K127" t="n">
        <v>0</v>
      </c>
      <c r="L127" t="n">
        <v>0</v>
      </c>
      <c r="M127" t="n">
        <v>0</v>
      </c>
      <c r="N127" t="n">
        <v>0</v>
      </c>
      <c r="O127" t="n">
        <v>0</v>
      </c>
      <c r="P127" t="n">
        <v>0</v>
      </c>
      <c r="Q127" t="n">
        <v>0</v>
      </c>
      <c r="R127" s="2" t="inlineStr"/>
    </row>
    <row r="128" ht="15" customHeight="1">
      <c r="A128" t="inlineStr">
        <is>
          <t>A 49329-2019</t>
        </is>
      </c>
      <c r="B128" s="1" t="n">
        <v>43731</v>
      </c>
      <c r="C128" s="1" t="n">
        <v>45849</v>
      </c>
      <c r="D128" t="inlineStr">
        <is>
          <t>DALARNAS LÄN</t>
        </is>
      </c>
      <c r="E128" t="inlineStr">
        <is>
          <t>LUDVIKA</t>
        </is>
      </c>
      <c r="G128" t="n">
        <v>1.2</v>
      </c>
      <c r="H128" t="n">
        <v>0</v>
      </c>
      <c r="I128" t="n">
        <v>0</v>
      </c>
      <c r="J128" t="n">
        <v>0</v>
      </c>
      <c r="K128" t="n">
        <v>0</v>
      </c>
      <c r="L128" t="n">
        <v>0</v>
      </c>
      <c r="M128" t="n">
        <v>0</v>
      </c>
      <c r="N128" t="n">
        <v>0</v>
      </c>
      <c r="O128" t="n">
        <v>0</v>
      </c>
      <c r="P128" t="n">
        <v>0</v>
      </c>
      <c r="Q128" t="n">
        <v>0</v>
      </c>
      <c r="R128" s="2" t="inlineStr"/>
    </row>
    <row r="129" ht="15" customHeight="1">
      <c r="A129" t="inlineStr">
        <is>
          <t>A 49699-2019</t>
        </is>
      </c>
      <c r="B129" s="1" t="n">
        <v>43733</v>
      </c>
      <c r="C129" s="1" t="n">
        <v>45849</v>
      </c>
      <c r="D129" t="inlineStr">
        <is>
          <t>DALARNAS LÄN</t>
        </is>
      </c>
      <c r="E129" t="inlineStr">
        <is>
          <t>LUDVIKA</t>
        </is>
      </c>
      <c r="G129" t="n">
        <v>2.1</v>
      </c>
      <c r="H129" t="n">
        <v>0</v>
      </c>
      <c r="I129" t="n">
        <v>0</v>
      </c>
      <c r="J129" t="n">
        <v>0</v>
      </c>
      <c r="K129" t="n">
        <v>0</v>
      </c>
      <c r="L129" t="n">
        <v>0</v>
      </c>
      <c r="M129" t="n">
        <v>0</v>
      </c>
      <c r="N129" t="n">
        <v>0</v>
      </c>
      <c r="O129" t="n">
        <v>0</v>
      </c>
      <c r="P129" t="n">
        <v>0</v>
      </c>
      <c r="Q129" t="n">
        <v>0</v>
      </c>
      <c r="R129" s="2" t="inlineStr"/>
    </row>
    <row r="130" ht="15" customHeight="1">
      <c r="A130" t="inlineStr">
        <is>
          <t>A 50024-2019</t>
        </is>
      </c>
      <c r="B130" s="1" t="n">
        <v>43734</v>
      </c>
      <c r="C130" s="1" t="n">
        <v>45849</v>
      </c>
      <c r="D130" t="inlineStr">
        <is>
          <t>DALARNAS LÄN</t>
        </is>
      </c>
      <c r="E130" t="inlineStr">
        <is>
          <t>LUDVIKA</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53038-2019</t>
        </is>
      </c>
      <c r="B131" s="1" t="n">
        <v>43747</v>
      </c>
      <c r="C131" s="1" t="n">
        <v>45849</v>
      </c>
      <c r="D131" t="inlineStr">
        <is>
          <t>DALARNAS LÄN</t>
        </is>
      </c>
      <c r="E131" t="inlineStr">
        <is>
          <t>LUDVIKA</t>
        </is>
      </c>
      <c r="G131" t="n">
        <v>10.6</v>
      </c>
      <c r="H131" t="n">
        <v>0</v>
      </c>
      <c r="I131" t="n">
        <v>0</v>
      </c>
      <c r="J131" t="n">
        <v>0</v>
      </c>
      <c r="K131" t="n">
        <v>0</v>
      </c>
      <c r="L131" t="n">
        <v>0</v>
      </c>
      <c r="M131" t="n">
        <v>0</v>
      </c>
      <c r="N131" t="n">
        <v>0</v>
      </c>
      <c r="O131" t="n">
        <v>0</v>
      </c>
      <c r="P131" t="n">
        <v>0</v>
      </c>
      <c r="Q131" t="n">
        <v>0</v>
      </c>
      <c r="R131" s="2" t="inlineStr"/>
    </row>
    <row r="132" ht="15" customHeight="1">
      <c r="A132" t="inlineStr">
        <is>
          <t>A 59304-2019</t>
        </is>
      </c>
      <c r="B132" s="1" t="n">
        <v>43770</v>
      </c>
      <c r="C132" s="1" t="n">
        <v>45849</v>
      </c>
      <c r="D132" t="inlineStr">
        <is>
          <t>DALARNAS LÄN</t>
        </is>
      </c>
      <c r="E132" t="inlineStr">
        <is>
          <t>LUDVIKA</t>
        </is>
      </c>
      <c r="G132" t="n">
        <v>3.2</v>
      </c>
      <c r="H132" t="n">
        <v>0</v>
      </c>
      <c r="I132" t="n">
        <v>0</v>
      </c>
      <c r="J132" t="n">
        <v>0</v>
      </c>
      <c r="K132" t="n">
        <v>0</v>
      </c>
      <c r="L132" t="n">
        <v>0</v>
      </c>
      <c r="M132" t="n">
        <v>0</v>
      </c>
      <c r="N132" t="n">
        <v>0</v>
      </c>
      <c r="O132" t="n">
        <v>0</v>
      </c>
      <c r="P132" t="n">
        <v>0</v>
      </c>
      <c r="Q132" t="n">
        <v>0</v>
      </c>
      <c r="R132" s="2" t="inlineStr"/>
    </row>
    <row r="133" ht="15" customHeight="1">
      <c r="A133" t="inlineStr">
        <is>
          <t>A 60221-2019</t>
        </is>
      </c>
      <c r="B133" s="1" t="n">
        <v>43780</v>
      </c>
      <c r="C133" s="1" t="n">
        <v>45849</v>
      </c>
      <c r="D133" t="inlineStr">
        <is>
          <t>DALARNAS LÄN</t>
        </is>
      </c>
      <c r="E133" t="inlineStr">
        <is>
          <t>LUDVIKA</t>
        </is>
      </c>
      <c r="G133" t="n">
        <v>3.4</v>
      </c>
      <c r="H133" t="n">
        <v>0</v>
      </c>
      <c r="I133" t="n">
        <v>0</v>
      </c>
      <c r="J133" t="n">
        <v>0</v>
      </c>
      <c r="K133" t="n">
        <v>0</v>
      </c>
      <c r="L133" t="n">
        <v>0</v>
      </c>
      <c r="M133" t="n">
        <v>0</v>
      </c>
      <c r="N133" t="n">
        <v>0</v>
      </c>
      <c r="O133" t="n">
        <v>0</v>
      </c>
      <c r="P133" t="n">
        <v>0</v>
      </c>
      <c r="Q133" t="n">
        <v>0</v>
      </c>
      <c r="R133" s="2" t="inlineStr"/>
    </row>
    <row r="134" ht="15" customHeight="1">
      <c r="A134" t="inlineStr">
        <is>
          <t>A 61027-2019</t>
        </is>
      </c>
      <c r="B134" s="1" t="n">
        <v>43782</v>
      </c>
      <c r="C134" s="1" t="n">
        <v>45849</v>
      </c>
      <c r="D134" t="inlineStr">
        <is>
          <t>DALARNAS LÄN</t>
        </is>
      </c>
      <c r="E134" t="inlineStr">
        <is>
          <t>LUDVIKA</t>
        </is>
      </c>
      <c r="F134" t="inlineStr">
        <is>
          <t>Bergvik skog väst AB</t>
        </is>
      </c>
      <c r="G134" t="n">
        <v>1.5</v>
      </c>
      <c r="H134" t="n">
        <v>0</v>
      </c>
      <c r="I134" t="n">
        <v>0</v>
      </c>
      <c r="J134" t="n">
        <v>0</v>
      </c>
      <c r="K134" t="n">
        <v>0</v>
      </c>
      <c r="L134" t="n">
        <v>0</v>
      </c>
      <c r="M134" t="n">
        <v>0</v>
      </c>
      <c r="N134" t="n">
        <v>0</v>
      </c>
      <c r="O134" t="n">
        <v>0</v>
      </c>
      <c r="P134" t="n">
        <v>0</v>
      </c>
      <c r="Q134" t="n">
        <v>0</v>
      </c>
      <c r="R134" s="2" t="inlineStr"/>
    </row>
    <row r="135" ht="15" customHeight="1">
      <c r="A135" t="inlineStr">
        <is>
          <t>A 62356-2019</t>
        </is>
      </c>
      <c r="B135" s="1" t="n">
        <v>43788</v>
      </c>
      <c r="C135" s="1" t="n">
        <v>45849</v>
      </c>
      <c r="D135" t="inlineStr">
        <is>
          <t>DALARNAS LÄN</t>
        </is>
      </c>
      <c r="E135" t="inlineStr">
        <is>
          <t>LUDVIKA</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63149-2019</t>
        </is>
      </c>
      <c r="B136" s="1" t="n">
        <v>43791</v>
      </c>
      <c r="C136" s="1" t="n">
        <v>45849</v>
      </c>
      <c r="D136" t="inlineStr">
        <is>
          <t>DALARNAS LÄN</t>
        </is>
      </c>
      <c r="E136" t="inlineStr">
        <is>
          <t>LUDVIKA</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64300-2019</t>
        </is>
      </c>
      <c r="B137" s="1" t="n">
        <v>43797</v>
      </c>
      <c r="C137" s="1" t="n">
        <v>45849</v>
      </c>
      <c r="D137" t="inlineStr">
        <is>
          <t>DALARNAS LÄN</t>
        </is>
      </c>
      <c r="E137" t="inlineStr">
        <is>
          <t>LUDVIKA</t>
        </is>
      </c>
      <c r="G137" t="n">
        <v>7.2</v>
      </c>
      <c r="H137" t="n">
        <v>0</v>
      </c>
      <c r="I137" t="n">
        <v>0</v>
      </c>
      <c r="J137" t="n">
        <v>0</v>
      </c>
      <c r="K137" t="n">
        <v>0</v>
      </c>
      <c r="L137" t="n">
        <v>0</v>
      </c>
      <c r="M137" t="n">
        <v>0</v>
      </c>
      <c r="N137" t="n">
        <v>0</v>
      </c>
      <c r="O137" t="n">
        <v>0</v>
      </c>
      <c r="P137" t="n">
        <v>0</v>
      </c>
      <c r="Q137" t="n">
        <v>0</v>
      </c>
      <c r="R137" s="2" t="inlineStr"/>
    </row>
    <row r="138" ht="15" customHeight="1">
      <c r="A138" t="inlineStr">
        <is>
          <t>A 64583-2019</t>
        </is>
      </c>
      <c r="B138" s="1" t="n">
        <v>43798</v>
      </c>
      <c r="C138" s="1" t="n">
        <v>45849</v>
      </c>
      <c r="D138" t="inlineStr">
        <is>
          <t>DALARNAS LÄN</t>
        </is>
      </c>
      <c r="E138" t="inlineStr">
        <is>
          <t>LUDVIKA</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64684-2019</t>
        </is>
      </c>
      <c r="B139" s="1" t="n">
        <v>43798</v>
      </c>
      <c r="C139" s="1" t="n">
        <v>45849</v>
      </c>
      <c r="D139" t="inlineStr">
        <is>
          <t>DALARNAS LÄN</t>
        </is>
      </c>
      <c r="E139" t="inlineStr">
        <is>
          <t>LUDVIKA</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64693-2019</t>
        </is>
      </c>
      <c r="B140" s="1" t="n">
        <v>43798</v>
      </c>
      <c r="C140" s="1" t="n">
        <v>45849</v>
      </c>
      <c r="D140" t="inlineStr">
        <is>
          <t>DALARNAS LÄN</t>
        </is>
      </c>
      <c r="E140" t="inlineStr">
        <is>
          <t>LUDVIKA</t>
        </is>
      </c>
      <c r="F140" t="inlineStr">
        <is>
          <t>Bergvik skog väst AB</t>
        </is>
      </c>
      <c r="G140" t="n">
        <v>3.6</v>
      </c>
      <c r="H140" t="n">
        <v>0</v>
      </c>
      <c r="I140" t="n">
        <v>0</v>
      </c>
      <c r="J140" t="n">
        <v>0</v>
      </c>
      <c r="K140" t="n">
        <v>0</v>
      </c>
      <c r="L140" t="n">
        <v>0</v>
      </c>
      <c r="M140" t="n">
        <v>0</v>
      </c>
      <c r="N140" t="n">
        <v>0</v>
      </c>
      <c r="O140" t="n">
        <v>0</v>
      </c>
      <c r="P140" t="n">
        <v>0</v>
      </c>
      <c r="Q140" t="n">
        <v>0</v>
      </c>
      <c r="R140" s="2" t="inlineStr"/>
    </row>
    <row r="141" ht="15" customHeight="1">
      <c r="A141" t="inlineStr">
        <is>
          <t>A 64628-2019</t>
        </is>
      </c>
      <c r="B141" s="1" t="n">
        <v>43798</v>
      </c>
      <c r="C141" s="1" t="n">
        <v>45849</v>
      </c>
      <c r="D141" t="inlineStr">
        <is>
          <t>DALARNAS LÄN</t>
        </is>
      </c>
      <c r="E141" t="inlineStr">
        <is>
          <t>LUDVIKA</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64961-2019</t>
        </is>
      </c>
      <c r="B142" s="1" t="n">
        <v>43801</v>
      </c>
      <c r="C142" s="1" t="n">
        <v>45849</v>
      </c>
      <c r="D142" t="inlineStr">
        <is>
          <t>DALARNAS LÄN</t>
        </is>
      </c>
      <c r="E142" t="inlineStr">
        <is>
          <t>LUDVIKA</t>
        </is>
      </c>
      <c r="G142" t="n">
        <v>1.3</v>
      </c>
      <c r="H142" t="n">
        <v>0</v>
      </c>
      <c r="I142" t="n">
        <v>0</v>
      </c>
      <c r="J142" t="n">
        <v>0</v>
      </c>
      <c r="K142" t="n">
        <v>0</v>
      </c>
      <c r="L142" t="n">
        <v>0</v>
      </c>
      <c r="M142" t="n">
        <v>0</v>
      </c>
      <c r="N142" t="n">
        <v>0</v>
      </c>
      <c r="O142" t="n">
        <v>0</v>
      </c>
      <c r="P142" t="n">
        <v>0</v>
      </c>
      <c r="Q142" t="n">
        <v>0</v>
      </c>
      <c r="R142" s="2" t="inlineStr"/>
    </row>
    <row r="143" ht="15" customHeight="1">
      <c r="A143" t="inlineStr">
        <is>
          <t>A 68226-2019</t>
        </is>
      </c>
      <c r="B143" s="1" t="n">
        <v>43817</v>
      </c>
      <c r="C143" s="1" t="n">
        <v>45849</v>
      </c>
      <c r="D143" t="inlineStr">
        <is>
          <t>DALARNAS LÄN</t>
        </is>
      </c>
      <c r="E143" t="inlineStr">
        <is>
          <t>LUDVIKA</t>
        </is>
      </c>
      <c r="G143" t="n">
        <v>4.4</v>
      </c>
      <c r="H143" t="n">
        <v>0</v>
      </c>
      <c r="I143" t="n">
        <v>0</v>
      </c>
      <c r="J143" t="n">
        <v>0</v>
      </c>
      <c r="K143" t="n">
        <v>0</v>
      </c>
      <c r="L143" t="n">
        <v>0</v>
      </c>
      <c r="M143" t="n">
        <v>0</v>
      </c>
      <c r="N143" t="n">
        <v>0</v>
      </c>
      <c r="O143" t="n">
        <v>0</v>
      </c>
      <c r="P143" t="n">
        <v>0</v>
      </c>
      <c r="Q143" t="n">
        <v>0</v>
      </c>
      <c r="R143" s="2" t="inlineStr"/>
    </row>
    <row r="144" ht="15" customHeight="1">
      <c r="A144" t="inlineStr">
        <is>
          <t>A 68721-2019</t>
        </is>
      </c>
      <c r="B144" s="1" t="n">
        <v>43819</v>
      </c>
      <c r="C144" s="1" t="n">
        <v>45849</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2572-2020</t>
        </is>
      </c>
      <c r="B145" s="1" t="n">
        <v>43847</v>
      </c>
      <c r="C145" s="1" t="n">
        <v>45849</v>
      </c>
      <c r="D145" t="inlineStr">
        <is>
          <t>DALARNAS LÄN</t>
        </is>
      </c>
      <c r="E145" t="inlineStr">
        <is>
          <t>LUDVIKA</t>
        </is>
      </c>
      <c r="G145" t="n">
        <v>5.4</v>
      </c>
      <c r="H145" t="n">
        <v>0</v>
      </c>
      <c r="I145" t="n">
        <v>0</v>
      </c>
      <c r="J145" t="n">
        <v>0</v>
      </c>
      <c r="K145" t="n">
        <v>0</v>
      </c>
      <c r="L145" t="n">
        <v>0</v>
      </c>
      <c r="M145" t="n">
        <v>0</v>
      </c>
      <c r="N145" t="n">
        <v>0</v>
      </c>
      <c r="O145" t="n">
        <v>0</v>
      </c>
      <c r="P145" t="n">
        <v>0</v>
      </c>
      <c r="Q145" t="n">
        <v>0</v>
      </c>
      <c r="R145" s="2" t="inlineStr"/>
    </row>
    <row r="146" ht="15" customHeight="1">
      <c r="A146" t="inlineStr">
        <is>
          <t>A 4071-2020</t>
        </is>
      </c>
      <c r="B146" s="1" t="n">
        <v>43847</v>
      </c>
      <c r="C146" s="1" t="n">
        <v>45849</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4611-2020</t>
        </is>
      </c>
      <c r="B147" s="1" t="n">
        <v>43858</v>
      </c>
      <c r="C147" s="1" t="n">
        <v>45849</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5243-2020</t>
        </is>
      </c>
      <c r="B148" s="1" t="n">
        <v>43860</v>
      </c>
      <c r="C148" s="1" t="n">
        <v>45849</v>
      </c>
      <c r="D148" t="inlineStr">
        <is>
          <t>DALARNAS LÄN</t>
        </is>
      </c>
      <c r="E148" t="inlineStr">
        <is>
          <t>LUDVIKA</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5481-2020</t>
        </is>
      </c>
      <c r="B149" s="1" t="n">
        <v>43861</v>
      </c>
      <c r="C149" s="1" t="n">
        <v>45849</v>
      </c>
      <c r="D149" t="inlineStr">
        <is>
          <t>DALARNAS LÄN</t>
        </is>
      </c>
      <c r="E149" t="inlineStr">
        <is>
          <t>LUDVIKA</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5829-2020</t>
        </is>
      </c>
      <c r="B150" s="1" t="n">
        <v>43861</v>
      </c>
      <c r="C150" s="1" t="n">
        <v>45849</v>
      </c>
      <c r="D150" t="inlineStr">
        <is>
          <t>DALARNAS LÄN</t>
        </is>
      </c>
      <c r="E150" t="inlineStr">
        <is>
          <t>LUDVIKA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6948-2020</t>
        </is>
      </c>
      <c r="B151" s="1" t="n">
        <v>43868</v>
      </c>
      <c r="C151" s="1" t="n">
        <v>45849</v>
      </c>
      <c r="D151" t="inlineStr">
        <is>
          <t>DALARNAS LÄN</t>
        </is>
      </c>
      <c r="E151" t="inlineStr">
        <is>
          <t>LUDVIKA</t>
        </is>
      </c>
      <c r="G151" t="n">
        <v>2.4</v>
      </c>
      <c r="H151" t="n">
        <v>0</v>
      </c>
      <c r="I151" t="n">
        <v>0</v>
      </c>
      <c r="J151" t="n">
        <v>0</v>
      </c>
      <c r="K151" t="n">
        <v>0</v>
      </c>
      <c r="L151" t="n">
        <v>0</v>
      </c>
      <c r="M151" t="n">
        <v>0</v>
      </c>
      <c r="N151" t="n">
        <v>0</v>
      </c>
      <c r="O151" t="n">
        <v>0</v>
      </c>
      <c r="P151" t="n">
        <v>0</v>
      </c>
      <c r="Q151" t="n">
        <v>0</v>
      </c>
      <c r="R151" s="2" t="inlineStr"/>
    </row>
    <row r="152" ht="15" customHeight="1">
      <c r="A152" t="inlineStr">
        <is>
          <t>A 7010-2020</t>
        </is>
      </c>
      <c r="B152" s="1" t="n">
        <v>43868</v>
      </c>
      <c r="C152" s="1" t="n">
        <v>45849</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7709-2020</t>
        </is>
      </c>
      <c r="B153" s="1" t="n">
        <v>43872</v>
      </c>
      <c r="C153" s="1" t="n">
        <v>45849</v>
      </c>
      <c r="D153" t="inlineStr">
        <is>
          <t>DALARNAS LÄN</t>
        </is>
      </c>
      <c r="E153" t="inlineStr">
        <is>
          <t>LUDVIKA</t>
        </is>
      </c>
      <c r="G153" t="n">
        <v>2.6</v>
      </c>
      <c r="H153" t="n">
        <v>0</v>
      </c>
      <c r="I153" t="n">
        <v>0</v>
      </c>
      <c r="J153" t="n">
        <v>0</v>
      </c>
      <c r="K153" t="n">
        <v>0</v>
      </c>
      <c r="L153" t="n">
        <v>0</v>
      </c>
      <c r="M153" t="n">
        <v>0</v>
      </c>
      <c r="N153" t="n">
        <v>0</v>
      </c>
      <c r="O153" t="n">
        <v>0</v>
      </c>
      <c r="P153" t="n">
        <v>0</v>
      </c>
      <c r="Q153" t="n">
        <v>0</v>
      </c>
      <c r="R153" s="2" t="inlineStr"/>
    </row>
    <row r="154" ht="15" customHeight="1">
      <c r="A154" t="inlineStr">
        <is>
          <t>A 7851-2020</t>
        </is>
      </c>
      <c r="B154" s="1" t="n">
        <v>43873</v>
      </c>
      <c r="C154" s="1" t="n">
        <v>45849</v>
      </c>
      <c r="D154" t="inlineStr">
        <is>
          <t>DALARNAS LÄN</t>
        </is>
      </c>
      <c r="E154" t="inlineStr">
        <is>
          <t>LUDVIKA</t>
        </is>
      </c>
      <c r="F154" t="inlineStr">
        <is>
          <t>Naturvårdsverket</t>
        </is>
      </c>
      <c r="G154" t="n">
        <v>1.9</v>
      </c>
      <c r="H154" t="n">
        <v>0</v>
      </c>
      <c r="I154" t="n">
        <v>0</v>
      </c>
      <c r="J154" t="n">
        <v>0</v>
      </c>
      <c r="K154" t="n">
        <v>0</v>
      </c>
      <c r="L154" t="n">
        <v>0</v>
      </c>
      <c r="M154" t="n">
        <v>0</v>
      </c>
      <c r="N154" t="n">
        <v>0</v>
      </c>
      <c r="O154" t="n">
        <v>0</v>
      </c>
      <c r="P154" t="n">
        <v>0</v>
      </c>
      <c r="Q154" t="n">
        <v>0</v>
      </c>
      <c r="R154" s="2" t="inlineStr"/>
    </row>
    <row r="155" ht="15" customHeight="1">
      <c r="A155" t="inlineStr">
        <is>
          <t>A 9552-2020</t>
        </is>
      </c>
      <c r="B155" s="1" t="n">
        <v>43881</v>
      </c>
      <c r="C155" s="1" t="n">
        <v>45849</v>
      </c>
      <c r="D155" t="inlineStr">
        <is>
          <t>DALARNAS LÄN</t>
        </is>
      </c>
      <c r="E155" t="inlineStr">
        <is>
          <t>LUDVIKA</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9805-2020</t>
        </is>
      </c>
      <c r="B156" s="1" t="n">
        <v>43881</v>
      </c>
      <c r="C156" s="1" t="n">
        <v>45849</v>
      </c>
      <c r="D156" t="inlineStr">
        <is>
          <t>DALARNAS LÄN</t>
        </is>
      </c>
      <c r="E156" t="inlineStr">
        <is>
          <t>LUDVIKA</t>
        </is>
      </c>
      <c r="G156" t="n">
        <v>0.5</v>
      </c>
      <c r="H156" t="n">
        <v>0</v>
      </c>
      <c r="I156" t="n">
        <v>0</v>
      </c>
      <c r="J156" t="n">
        <v>0</v>
      </c>
      <c r="K156" t="n">
        <v>0</v>
      </c>
      <c r="L156" t="n">
        <v>0</v>
      </c>
      <c r="M156" t="n">
        <v>0</v>
      </c>
      <c r="N156" t="n">
        <v>0</v>
      </c>
      <c r="O156" t="n">
        <v>0</v>
      </c>
      <c r="P156" t="n">
        <v>0</v>
      </c>
      <c r="Q156" t="n">
        <v>0</v>
      </c>
      <c r="R156" s="2" t="inlineStr"/>
    </row>
    <row r="157" ht="15" customHeight="1">
      <c r="A157" t="inlineStr">
        <is>
          <t>A 9932-2020</t>
        </is>
      </c>
      <c r="B157" s="1" t="n">
        <v>43882</v>
      </c>
      <c r="C157" s="1" t="n">
        <v>45849</v>
      </c>
      <c r="D157" t="inlineStr">
        <is>
          <t>DALARNAS LÄN</t>
        </is>
      </c>
      <c r="E157" t="inlineStr">
        <is>
          <t>LUDVIKA</t>
        </is>
      </c>
      <c r="G157" t="n">
        <v>0.6</v>
      </c>
      <c r="H157" t="n">
        <v>0</v>
      </c>
      <c r="I157" t="n">
        <v>0</v>
      </c>
      <c r="J157" t="n">
        <v>0</v>
      </c>
      <c r="K157" t="n">
        <v>0</v>
      </c>
      <c r="L157" t="n">
        <v>0</v>
      </c>
      <c r="M157" t="n">
        <v>0</v>
      </c>
      <c r="N157" t="n">
        <v>0</v>
      </c>
      <c r="O157" t="n">
        <v>0</v>
      </c>
      <c r="P157" t="n">
        <v>0</v>
      </c>
      <c r="Q157" t="n">
        <v>0</v>
      </c>
      <c r="R157" s="2" t="inlineStr"/>
    </row>
    <row r="158" ht="15" customHeight="1">
      <c r="A158" t="inlineStr">
        <is>
          <t>A 10578-2020</t>
        </is>
      </c>
      <c r="B158" s="1" t="n">
        <v>43887</v>
      </c>
      <c r="C158" s="1" t="n">
        <v>45849</v>
      </c>
      <c r="D158" t="inlineStr">
        <is>
          <t>DALARNAS LÄN</t>
        </is>
      </c>
      <c r="E158" t="inlineStr">
        <is>
          <t>LUDVIKA</t>
        </is>
      </c>
      <c r="F158" t="inlineStr">
        <is>
          <t>Bergvik skog väst AB</t>
        </is>
      </c>
      <c r="G158" t="n">
        <v>3.3</v>
      </c>
      <c r="H158" t="n">
        <v>0</v>
      </c>
      <c r="I158" t="n">
        <v>0</v>
      </c>
      <c r="J158" t="n">
        <v>0</v>
      </c>
      <c r="K158" t="n">
        <v>0</v>
      </c>
      <c r="L158" t="n">
        <v>0</v>
      </c>
      <c r="M158" t="n">
        <v>0</v>
      </c>
      <c r="N158" t="n">
        <v>0</v>
      </c>
      <c r="O158" t="n">
        <v>0</v>
      </c>
      <c r="P158" t="n">
        <v>0</v>
      </c>
      <c r="Q158" t="n">
        <v>0</v>
      </c>
      <c r="R158" s="2" t="inlineStr"/>
    </row>
    <row r="159" ht="15" customHeight="1">
      <c r="A159" t="inlineStr">
        <is>
          <t>A 10600-2020</t>
        </is>
      </c>
      <c r="B159" s="1" t="n">
        <v>43887</v>
      </c>
      <c r="C159" s="1" t="n">
        <v>45849</v>
      </c>
      <c r="D159" t="inlineStr">
        <is>
          <t>DALARNAS LÄN</t>
        </is>
      </c>
      <c r="E159" t="inlineStr">
        <is>
          <t>LUDVIKA</t>
        </is>
      </c>
      <c r="G159" t="n">
        <v>1.4</v>
      </c>
      <c r="H159" t="n">
        <v>0</v>
      </c>
      <c r="I159" t="n">
        <v>0</v>
      </c>
      <c r="J159" t="n">
        <v>0</v>
      </c>
      <c r="K159" t="n">
        <v>0</v>
      </c>
      <c r="L159" t="n">
        <v>0</v>
      </c>
      <c r="M159" t="n">
        <v>0</v>
      </c>
      <c r="N159" t="n">
        <v>0</v>
      </c>
      <c r="O159" t="n">
        <v>0</v>
      </c>
      <c r="P159" t="n">
        <v>0</v>
      </c>
      <c r="Q159" t="n">
        <v>0</v>
      </c>
      <c r="R159" s="2" t="inlineStr"/>
    </row>
    <row r="160" ht="15" customHeight="1">
      <c r="A160" t="inlineStr">
        <is>
          <t>A 12439-2020</t>
        </is>
      </c>
      <c r="B160" s="1" t="n">
        <v>43892</v>
      </c>
      <c r="C160" s="1" t="n">
        <v>45849</v>
      </c>
      <c r="D160" t="inlineStr">
        <is>
          <t>DALARNAS LÄN</t>
        </is>
      </c>
      <c r="E160" t="inlineStr">
        <is>
          <t>LUDVIKA</t>
        </is>
      </c>
      <c r="G160" t="n">
        <v>1.1</v>
      </c>
      <c r="H160" t="n">
        <v>0</v>
      </c>
      <c r="I160" t="n">
        <v>0</v>
      </c>
      <c r="J160" t="n">
        <v>0</v>
      </c>
      <c r="K160" t="n">
        <v>0</v>
      </c>
      <c r="L160" t="n">
        <v>0</v>
      </c>
      <c r="M160" t="n">
        <v>0</v>
      </c>
      <c r="N160" t="n">
        <v>0</v>
      </c>
      <c r="O160" t="n">
        <v>0</v>
      </c>
      <c r="P160" t="n">
        <v>0</v>
      </c>
      <c r="Q160" t="n">
        <v>0</v>
      </c>
      <c r="R160" s="2" t="inlineStr"/>
    </row>
    <row r="161" ht="15" customHeight="1">
      <c r="A161" t="inlineStr">
        <is>
          <t>A 11207-2020</t>
        </is>
      </c>
      <c r="B161" s="1" t="n">
        <v>43892</v>
      </c>
      <c r="C161" s="1" t="n">
        <v>45849</v>
      </c>
      <c r="D161" t="inlineStr">
        <is>
          <t>DALARNAS LÄN</t>
        </is>
      </c>
      <c r="E161" t="inlineStr">
        <is>
          <t>LUDVIKA</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11559-2020</t>
        </is>
      </c>
      <c r="B162" s="1" t="n">
        <v>43893</v>
      </c>
      <c r="C162" s="1" t="n">
        <v>45849</v>
      </c>
      <c r="D162" t="inlineStr">
        <is>
          <t>DALARNAS LÄN</t>
        </is>
      </c>
      <c r="E162" t="inlineStr">
        <is>
          <t>LUDVIKA</t>
        </is>
      </c>
      <c r="G162" t="n">
        <v>32.7</v>
      </c>
      <c r="H162" t="n">
        <v>0</v>
      </c>
      <c r="I162" t="n">
        <v>0</v>
      </c>
      <c r="J162" t="n">
        <v>0</v>
      </c>
      <c r="K162" t="n">
        <v>0</v>
      </c>
      <c r="L162" t="n">
        <v>0</v>
      </c>
      <c r="M162" t="n">
        <v>0</v>
      </c>
      <c r="N162" t="n">
        <v>0</v>
      </c>
      <c r="O162" t="n">
        <v>0</v>
      </c>
      <c r="P162" t="n">
        <v>0</v>
      </c>
      <c r="Q162" t="n">
        <v>0</v>
      </c>
      <c r="R162" s="2" t="inlineStr"/>
    </row>
    <row r="163" ht="15" customHeight="1">
      <c r="A163" t="inlineStr">
        <is>
          <t>A 11626-2020</t>
        </is>
      </c>
      <c r="B163" s="1" t="n">
        <v>43893</v>
      </c>
      <c r="C163" s="1" t="n">
        <v>45849</v>
      </c>
      <c r="D163" t="inlineStr">
        <is>
          <t>DALARNAS LÄN</t>
        </is>
      </c>
      <c r="E163" t="inlineStr">
        <is>
          <t>LUDVIKA</t>
        </is>
      </c>
      <c r="G163" t="n">
        <v>1</v>
      </c>
      <c r="H163" t="n">
        <v>0</v>
      </c>
      <c r="I163" t="n">
        <v>0</v>
      </c>
      <c r="J163" t="n">
        <v>0</v>
      </c>
      <c r="K163" t="n">
        <v>0</v>
      </c>
      <c r="L163" t="n">
        <v>0</v>
      </c>
      <c r="M163" t="n">
        <v>0</v>
      </c>
      <c r="N163" t="n">
        <v>0</v>
      </c>
      <c r="O163" t="n">
        <v>0</v>
      </c>
      <c r="P163" t="n">
        <v>0</v>
      </c>
      <c r="Q163" t="n">
        <v>0</v>
      </c>
      <c r="R163" s="2" t="inlineStr"/>
    </row>
    <row r="164" ht="15" customHeight="1">
      <c r="A164" t="inlineStr">
        <is>
          <t>A 13483-2020</t>
        </is>
      </c>
      <c r="B164" s="1" t="n">
        <v>43894</v>
      </c>
      <c r="C164" s="1" t="n">
        <v>45849</v>
      </c>
      <c r="D164" t="inlineStr">
        <is>
          <t>DALARNAS LÄN</t>
        </is>
      </c>
      <c r="E164" t="inlineStr">
        <is>
          <t>LUDVIKA</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12049-2020</t>
        </is>
      </c>
      <c r="B165" s="1" t="n">
        <v>43894</v>
      </c>
      <c r="C165" s="1" t="n">
        <v>45849</v>
      </c>
      <c r="D165" t="inlineStr">
        <is>
          <t>DALARNAS LÄN</t>
        </is>
      </c>
      <c r="E165" t="inlineStr">
        <is>
          <t>LUDVIKA</t>
        </is>
      </c>
      <c r="G165" t="n">
        <v>3</v>
      </c>
      <c r="H165" t="n">
        <v>0</v>
      </c>
      <c r="I165" t="n">
        <v>0</v>
      </c>
      <c r="J165" t="n">
        <v>0</v>
      </c>
      <c r="K165" t="n">
        <v>0</v>
      </c>
      <c r="L165" t="n">
        <v>0</v>
      </c>
      <c r="M165" t="n">
        <v>0</v>
      </c>
      <c r="N165" t="n">
        <v>0</v>
      </c>
      <c r="O165" t="n">
        <v>0</v>
      </c>
      <c r="P165" t="n">
        <v>0</v>
      </c>
      <c r="Q165" t="n">
        <v>0</v>
      </c>
      <c r="R165" s="2" t="inlineStr"/>
    </row>
    <row r="166" ht="15" customHeight="1">
      <c r="A166" t="inlineStr">
        <is>
          <t>A 12223-2020</t>
        </is>
      </c>
      <c r="B166" s="1" t="n">
        <v>43895</v>
      </c>
      <c r="C166" s="1" t="n">
        <v>45849</v>
      </c>
      <c r="D166" t="inlineStr">
        <is>
          <t>DALARNAS LÄN</t>
        </is>
      </c>
      <c r="E166" t="inlineStr">
        <is>
          <t>LUDVIKA</t>
        </is>
      </c>
      <c r="G166" t="n">
        <v>0.9</v>
      </c>
      <c r="H166" t="n">
        <v>0</v>
      </c>
      <c r="I166" t="n">
        <v>0</v>
      </c>
      <c r="J166" t="n">
        <v>0</v>
      </c>
      <c r="K166" t="n">
        <v>0</v>
      </c>
      <c r="L166" t="n">
        <v>0</v>
      </c>
      <c r="M166" t="n">
        <v>0</v>
      </c>
      <c r="N166" t="n">
        <v>0</v>
      </c>
      <c r="O166" t="n">
        <v>0</v>
      </c>
      <c r="P166" t="n">
        <v>0</v>
      </c>
      <c r="Q166" t="n">
        <v>0</v>
      </c>
      <c r="R166" s="2" t="inlineStr"/>
    </row>
    <row r="167" ht="15" customHeight="1">
      <c r="A167" t="inlineStr">
        <is>
          <t>A 12560-2020</t>
        </is>
      </c>
      <c r="B167" s="1" t="n">
        <v>43898</v>
      </c>
      <c r="C167" s="1" t="n">
        <v>45849</v>
      </c>
      <c r="D167" t="inlineStr">
        <is>
          <t>DALARNAS LÄN</t>
        </is>
      </c>
      <c r="E167" t="inlineStr">
        <is>
          <t>LUDVIKA</t>
        </is>
      </c>
      <c r="G167" t="n">
        <v>2.7</v>
      </c>
      <c r="H167" t="n">
        <v>0</v>
      </c>
      <c r="I167" t="n">
        <v>0</v>
      </c>
      <c r="J167" t="n">
        <v>0</v>
      </c>
      <c r="K167" t="n">
        <v>0</v>
      </c>
      <c r="L167" t="n">
        <v>0</v>
      </c>
      <c r="M167" t="n">
        <v>0</v>
      </c>
      <c r="N167" t="n">
        <v>0</v>
      </c>
      <c r="O167" t="n">
        <v>0</v>
      </c>
      <c r="P167" t="n">
        <v>0</v>
      </c>
      <c r="Q167" t="n">
        <v>0</v>
      </c>
      <c r="R167" s="2" t="inlineStr"/>
    </row>
    <row r="168" ht="15" customHeight="1">
      <c r="A168" t="inlineStr">
        <is>
          <t>A 12935-2020</t>
        </is>
      </c>
      <c r="B168" s="1" t="n">
        <v>43900</v>
      </c>
      <c r="C168" s="1" t="n">
        <v>45849</v>
      </c>
      <c r="D168" t="inlineStr">
        <is>
          <t>DALARNAS LÄN</t>
        </is>
      </c>
      <c r="E168" t="inlineStr">
        <is>
          <t>LUDVIKA</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13757-2020</t>
        </is>
      </c>
      <c r="B169" s="1" t="n">
        <v>43903</v>
      </c>
      <c r="C169" s="1" t="n">
        <v>45849</v>
      </c>
      <c r="D169" t="inlineStr">
        <is>
          <t>DALARNAS LÄN</t>
        </is>
      </c>
      <c r="E169" t="inlineStr">
        <is>
          <t>LUDVIKA</t>
        </is>
      </c>
      <c r="F169" t="inlineStr">
        <is>
          <t>Bergvik skog väst AB</t>
        </is>
      </c>
      <c r="G169" t="n">
        <v>3.1</v>
      </c>
      <c r="H169" t="n">
        <v>0</v>
      </c>
      <c r="I169" t="n">
        <v>0</v>
      </c>
      <c r="J169" t="n">
        <v>0</v>
      </c>
      <c r="K169" t="n">
        <v>0</v>
      </c>
      <c r="L169" t="n">
        <v>0</v>
      </c>
      <c r="M169" t="n">
        <v>0</v>
      </c>
      <c r="N169" t="n">
        <v>0</v>
      </c>
      <c r="O169" t="n">
        <v>0</v>
      </c>
      <c r="P169" t="n">
        <v>0</v>
      </c>
      <c r="Q169" t="n">
        <v>0</v>
      </c>
      <c r="R169" s="2" t="inlineStr"/>
    </row>
    <row r="170" ht="15" customHeight="1">
      <c r="A170" t="inlineStr">
        <is>
          <t>A 13767-2020</t>
        </is>
      </c>
      <c r="B170" s="1" t="n">
        <v>43903</v>
      </c>
      <c r="C170" s="1" t="n">
        <v>45849</v>
      </c>
      <c r="D170" t="inlineStr">
        <is>
          <t>DALARNAS LÄN</t>
        </is>
      </c>
      <c r="E170" t="inlineStr">
        <is>
          <t>LUDVIKA</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14373-2020</t>
        </is>
      </c>
      <c r="B171" s="1" t="n">
        <v>43908</v>
      </c>
      <c r="C171" s="1" t="n">
        <v>45849</v>
      </c>
      <c r="D171" t="inlineStr">
        <is>
          <t>DALARNAS LÄN</t>
        </is>
      </c>
      <c r="E171" t="inlineStr">
        <is>
          <t>LUDVIKA</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15053-2020</t>
        </is>
      </c>
      <c r="B172" s="1" t="n">
        <v>43910</v>
      </c>
      <c r="C172" s="1" t="n">
        <v>45849</v>
      </c>
      <c r="D172" t="inlineStr">
        <is>
          <t>DALARNAS LÄN</t>
        </is>
      </c>
      <c r="E172" t="inlineStr">
        <is>
          <t>LUDVIKA</t>
        </is>
      </c>
      <c r="G172" t="n">
        <v>1.2</v>
      </c>
      <c r="H172" t="n">
        <v>0</v>
      </c>
      <c r="I172" t="n">
        <v>0</v>
      </c>
      <c r="J172" t="n">
        <v>0</v>
      </c>
      <c r="K172" t="n">
        <v>0</v>
      </c>
      <c r="L172" t="n">
        <v>0</v>
      </c>
      <c r="M172" t="n">
        <v>0</v>
      </c>
      <c r="N172" t="n">
        <v>0</v>
      </c>
      <c r="O172" t="n">
        <v>0</v>
      </c>
      <c r="P172" t="n">
        <v>0</v>
      </c>
      <c r="Q172" t="n">
        <v>0</v>
      </c>
      <c r="R172" s="2" t="inlineStr"/>
    </row>
    <row r="173" ht="15" customHeight="1">
      <c r="A173" t="inlineStr">
        <is>
          <t>A 15861-2020</t>
        </is>
      </c>
      <c r="B173" s="1" t="n">
        <v>43915</v>
      </c>
      <c r="C173" s="1" t="n">
        <v>45849</v>
      </c>
      <c r="D173" t="inlineStr">
        <is>
          <t>DALARNAS LÄN</t>
        </is>
      </c>
      <c r="E173" t="inlineStr">
        <is>
          <t>LUDVIKA</t>
        </is>
      </c>
      <c r="G173" t="n">
        <v>0.9</v>
      </c>
      <c r="H173" t="n">
        <v>0</v>
      </c>
      <c r="I173" t="n">
        <v>0</v>
      </c>
      <c r="J173" t="n">
        <v>0</v>
      </c>
      <c r="K173" t="n">
        <v>0</v>
      </c>
      <c r="L173" t="n">
        <v>0</v>
      </c>
      <c r="M173" t="n">
        <v>0</v>
      </c>
      <c r="N173" t="n">
        <v>0</v>
      </c>
      <c r="O173" t="n">
        <v>0</v>
      </c>
      <c r="P173" t="n">
        <v>0</v>
      </c>
      <c r="Q173" t="n">
        <v>0</v>
      </c>
      <c r="R173" s="2" t="inlineStr"/>
    </row>
    <row r="174" ht="15" customHeight="1">
      <c r="A174" t="inlineStr">
        <is>
          <t>A 16407-2020</t>
        </is>
      </c>
      <c r="B174" s="1" t="n">
        <v>43918</v>
      </c>
      <c r="C174" s="1" t="n">
        <v>45849</v>
      </c>
      <c r="D174" t="inlineStr">
        <is>
          <t>DALARNAS LÄN</t>
        </is>
      </c>
      <c r="E174" t="inlineStr">
        <is>
          <t>LUDVIKA</t>
        </is>
      </c>
      <c r="F174" t="inlineStr">
        <is>
          <t>Bergvik skog väst AB</t>
        </is>
      </c>
      <c r="G174" t="n">
        <v>32.8</v>
      </c>
      <c r="H174" t="n">
        <v>0</v>
      </c>
      <c r="I174" t="n">
        <v>0</v>
      </c>
      <c r="J174" t="n">
        <v>0</v>
      </c>
      <c r="K174" t="n">
        <v>0</v>
      </c>
      <c r="L174" t="n">
        <v>0</v>
      </c>
      <c r="M174" t="n">
        <v>0</v>
      </c>
      <c r="N174" t="n">
        <v>0</v>
      </c>
      <c r="O174" t="n">
        <v>0</v>
      </c>
      <c r="P174" t="n">
        <v>0</v>
      </c>
      <c r="Q174" t="n">
        <v>0</v>
      </c>
      <c r="R174" s="2" t="inlineStr"/>
    </row>
    <row r="175" ht="15" customHeight="1">
      <c r="A175" t="inlineStr">
        <is>
          <t>A 16782-2020</t>
        </is>
      </c>
      <c r="B175" s="1" t="n">
        <v>43921</v>
      </c>
      <c r="C175" s="1" t="n">
        <v>45849</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16781-2020</t>
        </is>
      </c>
      <c r="B176" s="1" t="n">
        <v>43921</v>
      </c>
      <c r="C176" s="1" t="n">
        <v>45849</v>
      </c>
      <c r="D176" t="inlineStr">
        <is>
          <t>DALARNAS LÄN</t>
        </is>
      </c>
      <c r="E176" t="inlineStr">
        <is>
          <t>LUDVIKA</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17166-2020</t>
        </is>
      </c>
      <c r="B177" s="1" t="n">
        <v>43922</v>
      </c>
      <c r="C177" s="1" t="n">
        <v>45849</v>
      </c>
      <c r="D177" t="inlineStr">
        <is>
          <t>DALARNAS LÄN</t>
        </is>
      </c>
      <c r="E177" t="inlineStr">
        <is>
          <t>LUDVIKA</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17597-2020</t>
        </is>
      </c>
      <c r="B178" s="1" t="n">
        <v>43923</v>
      </c>
      <c r="C178" s="1" t="n">
        <v>45849</v>
      </c>
      <c r="D178" t="inlineStr">
        <is>
          <t>DALARNAS LÄN</t>
        </is>
      </c>
      <c r="E178" t="inlineStr">
        <is>
          <t>LUDVIKA</t>
        </is>
      </c>
      <c r="F178" t="inlineStr">
        <is>
          <t>Bergvik skog väst AB</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17605-2020</t>
        </is>
      </c>
      <c r="B179" s="1" t="n">
        <v>43923</v>
      </c>
      <c r="C179" s="1" t="n">
        <v>45849</v>
      </c>
      <c r="D179" t="inlineStr">
        <is>
          <t>DALARNAS LÄN</t>
        </is>
      </c>
      <c r="E179" t="inlineStr">
        <is>
          <t>LUDVIKA</t>
        </is>
      </c>
      <c r="F179" t="inlineStr">
        <is>
          <t>Bergvik skog väst AB</t>
        </is>
      </c>
      <c r="G179" t="n">
        <v>4.2</v>
      </c>
      <c r="H179" t="n">
        <v>0</v>
      </c>
      <c r="I179" t="n">
        <v>0</v>
      </c>
      <c r="J179" t="n">
        <v>0</v>
      </c>
      <c r="K179" t="n">
        <v>0</v>
      </c>
      <c r="L179" t="n">
        <v>0</v>
      </c>
      <c r="M179" t="n">
        <v>0</v>
      </c>
      <c r="N179" t="n">
        <v>0</v>
      </c>
      <c r="O179" t="n">
        <v>0</v>
      </c>
      <c r="P179" t="n">
        <v>0</v>
      </c>
      <c r="Q179" t="n">
        <v>0</v>
      </c>
      <c r="R179" s="2" t="inlineStr"/>
    </row>
    <row r="180" ht="15" customHeight="1">
      <c r="A180" t="inlineStr">
        <is>
          <t>A 17602-2020</t>
        </is>
      </c>
      <c r="B180" s="1" t="n">
        <v>43923</v>
      </c>
      <c r="C180" s="1" t="n">
        <v>45849</v>
      </c>
      <c r="D180" t="inlineStr">
        <is>
          <t>DALARNAS LÄN</t>
        </is>
      </c>
      <c r="E180" t="inlineStr">
        <is>
          <t>LUDVIKA</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17603-2020</t>
        </is>
      </c>
      <c r="B181" s="1" t="n">
        <v>43923</v>
      </c>
      <c r="C181" s="1" t="n">
        <v>45849</v>
      </c>
      <c r="D181" t="inlineStr">
        <is>
          <t>DALARNAS LÄN</t>
        </is>
      </c>
      <c r="E181" t="inlineStr">
        <is>
          <t>LUDVIKA</t>
        </is>
      </c>
      <c r="F181" t="inlineStr">
        <is>
          <t>Bergvik skog väst AB</t>
        </is>
      </c>
      <c r="G181" t="n">
        <v>19.9</v>
      </c>
      <c r="H181" t="n">
        <v>0</v>
      </c>
      <c r="I181" t="n">
        <v>0</v>
      </c>
      <c r="J181" t="n">
        <v>0</v>
      </c>
      <c r="K181" t="n">
        <v>0</v>
      </c>
      <c r="L181" t="n">
        <v>0</v>
      </c>
      <c r="M181" t="n">
        <v>0</v>
      </c>
      <c r="N181" t="n">
        <v>0</v>
      </c>
      <c r="O181" t="n">
        <v>0</v>
      </c>
      <c r="P181" t="n">
        <v>0</v>
      </c>
      <c r="Q181" t="n">
        <v>0</v>
      </c>
      <c r="R181" s="2" t="inlineStr"/>
    </row>
    <row r="182" ht="15" customHeight="1">
      <c r="A182" t="inlineStr">
        <is>
          <t>A 17598-2020</t>
        </is>
      </c>
      <c r="B182" s="1" t="n">
        <v>43923</v>
      </c>
      <c r="C182" s="1" t="n">
        <v>45849</v>
      </c>
      <c r="D182" t="inlineStr">
        <is>
          <t>DALARNAS LÄN</t>
        </is>
      </c>
      <c r="E182" t="inlineStr">
        <is>
          <t>LUDVIKA</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17344-2020</t>
        </is>
      </c>
      <c r="B183" s="1" t="n">
        <v>43923</v>
      </c>
      <c r="C183" s="1" t="n">
        <v>45849</v>
      </c>
      <c r="D183" t="inlineStr">
        <is>
          <t>DALARNAS LÄN</t>
        </is>
      </c>
      <c r="E183" t="inlineStr">
        <is>
          <t>LUDVIKA</t>
        </is>
      </c>
      <c r="G183" t="n">
        <v>1.6</v>
      </c>
      <c r="H183" t="n">
        <v>0</v>
      </c>
      <c r="I183" t="n">
        <v>0</v>
      </c>
      <c r="J183" t="n">
        <v>0</v>
      </c>
      <c r="K183" t="n">
        <v>0</v>
      </c>
      <c r="L183" t="n">
        <v>0</v>
      </c>
      <c r="M183" t="n">
        <v>0</v>
      </c>
      <c r="N183" t="n">
        <v>0</v>
      </c>
      <c r="O183" t="n">
        <v>0</v>
      </c>
      <c r="P183" t="n">
        <v>0</v>
      </c>
      <c r="Q183" t="n">
        <v>0</v>
      </c>
      <c r="R183" s="2" t="inlineStr"/>
    </row>
    <row r="184" ht="15" customHeight="1">
      <c r="A184" t="inlineStr">
        <is>
          <t>A 17809-2020</t>
        </is>
      </c>
      <c r="B184" s="1" t="n">
        <v>43924</v>
      </c>
      <c r="C184" s="1" t="n">
        <v>45849</v>
      </c>
      <c r="D184" t="inlineStr">
        <is>
          <t>DALARNAS LÄN</t>
        </is>
      </c>
      <c r="E184" t="inlineStr">
        <is>
          <t>LUDVIKA</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20725-2020</t>
        </is>
      </c>
      <c r="B185" s="1" t="n">
        <v>43949</v>
      </c>
      <c r="C185" s="1" t="n">
        <v>45849</v>
      </c>
      <c r="D185" t="inlineStr">
        <is>
          <t>DALARNAS LÄN</t>
        </is>
      </c>
      <c r="E185" t="inlineStr">
        <is>
          <t>LUDVIKA</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23086-2020</t>
        </is>
      </c>
      <c r="B186" s="1" t="n">
        <v>43965</v>
      </c>
      <c r="C186" s="1" t="n">
        <v>45849</v>
      </c>
      <c r="D186" t="inlineStr">
        <is>
          <t>DALARNAS LÄN</t>
        </is>
      </c>
      <c r="E186" t="inlineStr">
        <is>
          <t>LUDVIKA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23079-2020</t>
        </is>
      </c>
      <c r="B187" s="1" t="n">
        <v>43965</v>
      </c>
      <c r="C187" s="1" t="n">
        <v>45849</v>
      </c>
      <c r="D187" t="inlineStr">
        <is>
          <t>DALARNAS LÄN</t>
        </is>
      </c>
      <c r="E187" t="inlineStr">
        <is>
          <t>LUDVIKA</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23452-2020</t>
        </is>
      </c>
      <c r="B188" s="1" t="n">
        <v>43969</v>
      </c>
      <c r="C188" s="1" t="n">
        <v>45849</v>
      </c>
      <c r="D188" t="inlineStr">
        <is>
          <t>DALARNAS LÄN</t>
        </is>
      </c>
      <c r="E188" t="inlineStr">
        <is>
          <t>LUDVIKA</t>
        </is>
      </c>
      <c r="G188" t="n">
        <v>1.1</v>
      </c>
      <c r="H188" t="n">
        <v>0</v>
      </c>
      <c r="I188" t="n">
        <v>0</v>
      </c>
      <c r="J188" t="n">
        <v>0</v>
      </c>
      <c r="K188" t="n">
        <v>0</v>
      </c>
      <c r="L188" t="n">
        <v>0</v>
      </c>
      <c r="M188" t="n">
        <v>0</v>
      </c>
      <c r="N188" t="n">
        <v>0</v>
      </c>
      <c r="O188" t="n">
        <v>0</v>
      </c>
      <c r="P188" t="n">
        <v>0</v>
      </c>
      <c r="Q188" t="n">
        <v>0</v>
      </c>
      <c r="R188" s="2" t="inlineStr"/>
    </row>
    <row r="189" ht="15" customHeight="1">
      <c r="A189" t="inlineStr">
        <is>
          <t>A 24742-2020</t>
        </is>
      </c>
      <c r="B189" s="1" t="n">
        <v>43978</v>
      </c>
      <c r="C189" s="1" t="n">
        <v>45849</v>
      </c>
      <c r="D189" t="inlineStr">
        <is>
          <t>DALARNAS LÄN</t>
        </is>
      </c>
      <c r="E189" t="inlineStr">
        <is>
          <t>LUDVIKA</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25450-2020</t>
        </is>
      </c>
      <c r="B190" s="1" t="n">
        <v>43983</v>
      </c>
      <c r="C190" s="1" t="n">
        <v>45849</v>
      </c>
      <c r="D190" t="inlineStr">
        <is>
          <t>DALARNAS LÄN</t>
        </is>
      </c>
      <c r="E190" t="inlineStr">
        <is>
          <t>LUDVIKA</t>
        </is>
      </c>
      <c r="F190" t="inlineStr">
        <is>
          <t>Bergvik skog väst AB</t>
        </is>
      </c>
      <c r="G190" t="n">
        <v>5.8</v>
      </c>
      <c r="H190" t="n">
        <v>0</v>
      </c>
      <c r="I190" t="n">
        <v>0</v>
      </c>
      <c r="J190" t="n">
        <v>0</v>
      </c>
      <c r="K190" t="n">
        <v>0</v>
      </c>
      <c r="L190" t="n">
        <v>0</v>
      </c>
      <c r="M190" t="n">
        <v>0</v>
      </c>
      <c r="N190" t="n">
        <v>0</v>
      </c>
      <c r="O190" t="n">
        <v>0</v>
      </c>
      <c r="P190" t="n">
        <v>0</v>
      </c>
      <c r="Q190" t="n">
        <v>0</v>
      </c>
      <c r="R190" s="2" t="inlineStr"/>
    </row>
    <row r="191" ht="15" customHeight="1">
      <c r="A191" t="inlineStr">
        <is>
          <t>A 25441-2020</t>
        </is>
      </c>
      <c r="B191" s="1" t="n">
        <v>43983</v>
      </c>
      <c r="C191" s="1" t="n">
        <v>45849</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25471-2020</t>
        </is>
      </c>
      <c r="B192" s="1" t="n">
        <v>43983</v>
      </c>
      <c r="C192" s="1" t="n">
        <v>45849</v>
      </c>
      <c r="D192" t="inlineStr">
        <is>
          <t>DALARNAS LÄN</t>
        </is>
      </c>
      <c r="E192" t="inlineStr">
        <is>
          <t>LUDVIKA</t>
        </is>
      </c>
      <c r="F192" t="inlineStr">
        <is>
          <t>Bergvik skog väst AB</t>
        </is>
      </c>
      <c r="G192" t="n">
        <v>2.6</v>
      </c>
      <c r="H192" t="n">
        <v>0</v>
      </c>
      <c r="I192" t="n">
        <v>0</v>
      </c>
      <c r="J192" t="n">
        <v>0</v>
      </c>
      <c r="K192" t="n">
        <v>0</v>
      </c>
      <c r="L192" t="n">
        <v>0</v>
      </c>
      <c r="M192" t="n">
        <v>0</v>
      </c>
      <c r="N192" t="n">
        <v>0</v>
      </c>
      <c r="O192" t="n">
        <v>0</v>
      </c>
      <c r="P192" t="n">
        <v>0</v>
      </c>
      <c r="Q192" t="n">
        <v>0</v>
      </c>
      <c r="R192" s="2" t="inlineStr"/>
    </row>
    <row r="193" ht="15" customHeight="1">
      <c r="A193" t="inlineStr">
        <is>
          <t>A 25554-2020</t>
        </is>
      </c>
      <c r="B193" s="1" t="n">
        <v>43983</v>
      </c>
      <c r="C193" s="1" t="n">
        <v>45849</v>
      </c>
      <c r="D193" t="inlineStr">
        <is>
          <t>DALARNAS LÄN</t>
        </is>
      </c>
      <c r="E193" t="inlineStr">
        <is>
          <t>LUDVIKA</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25581-2020</t>
        </is>
      </c>
      <c r="B194" s="1" t="n">
        <v>43983</v>
      </c>
      <c r="C194" s="1" t="n">
        <v>45849</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25458-2020</t>
        </is>
      </c>
      <c r="B195" s="1" t="n">
        <v>43983</v>
      </c>
      <c r="C195" s="1" t="n">
        <v>45849</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28524-2020</t>
        </is>
      </c>
      <c r="B196" s="1" t="n">
        <v>43999</v>
      </c>
      <c r="C196" s="1" t="n">
        <v>45849</v>
      </c>
      <c r="D196" t="inlineStr">
        <is>
          <t>DALARNAS LÄN</t>
        </is>
      </c>
      <c r="E196" t="inlineStr">
        <is>
          <t>LUDVIKA</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28802-2020</t>
        </is>
      </c>
      <c r="B197" s="1" t="n">
        <v>44000</v>
      </c>
      <c r="C197" s="1" t="n">
        <v>45849</v>
      </c>
      <c r="D197" t="inlineStr">
        <is>
          <t>DALARNAS LÄN</t>
        </is>
      </c>
      <c r="E197" t="inlineStr">
        <is>
          <t>LUDVIKA</t>
        </is>
      </c>
      <c r="F197" t="inlineStr">
        <is>
          <t>Bergvik skog väst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28798-2020</t>
        </is>
      </c>
      <c r="B198" s="1" t="n">
        <v>44000</v>
      </c>
      <c r="C198" s="1" t="n">
        <v>45849</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29869-2020</t>
        </is>
      </c>
      <c r="B199" s="1" t="n">
        <v>44006</v>
      </c>
      <c r="C199" s="1" t="n">
        <v>45849</v>
      </c>
      <c r="D199" t="inlineStr">
        <is>
          <t>DALARNAS LÄN</t>
        </is>
      </c>
      <c r="E199" t="inlineStr">
        <is>
          <t>LUDVIKA</t>
        </is>
      </c>
      <c r="G199" t="n">
        <v>2.1</v>
      </c>
      <c r="H199" t="n">
        <v>0</v>
      </c>
      <c r="I199" t="n">
        <v>0</v>
      </c>
      <c r="J199" t="n">
        <v>0</v>
      </c>
      <c r="K199" t="n">
        <v>0</v>
      </c>
      <c r="L199" t="n">
        <v>0</v>
      </c>
      <c r="M199" t="n">
        <v>0</v>
      </c>
      <c r="N199" t="n">
        <v>0</v>
      </c>
      <c r="O199" t="n">
        <v>0</v>
      </c>
      <c r="P199" t="n">
        <v>0</v>
      </c>
      <c r="Q199" t="n">
        <v>0</v>
      </c>
      <c r="R199" s="2" t="inlineStr"/>
    </row>
    <row r="200" ht="15" customHeight="1">
      <c r="A200" t="inlineStr">
        <is>
          <t>A 31257-2020</t>
        </is>
      </c>
      <c r="B200" s="1" t="n">
        <v>44012</v>
      </c>
      <c r="C200" s="1" t="n">
        <v>45849</v>
      </c>
      <c r="D200" t="inlineStr">
        <is>
          <t>DALARNAS LÄN</t>
        </is>
      </c>
      <c r="E200" t="inlineStr">
        <is>
          <t>LUDVIKA</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32994-2020</t>
        </is>
      </c>
      <c r="B201" s="1" t="n">
        <v>44020</v>
      </c>
      <c r="C201" s="1" t="n">
        <v>45849</v>
      </c>
      <c r="D201" t="inlineStr">
        <is>
          <t>DALARNAS LÄN</t>
        </is>
      </c>
      <c r="E201" t="inlineStr">
        <is>
          <t>LUDVIKA</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33357-2020</t>
        </is>
      </c>
      <c r="B202" s="1" t="n">
        <v>44022</v>
      </c>
      <c r="C202" s="1" t="n">
        <v>45849</v>
      </c>
      <c r="D202" t="inlineStr">
        <is>
          <t>DALARNAS LÄN</t>
        </is>
      </c>
      <c r="E202" t="inlineStr">
        <is>
          <t>LUDVIKA</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34915-2020</t>
        </is>
      </c>
      <c r="B203" s="1" t="n">
        <v>44036</v>
      </c>
      <c r="C203" s="1" t="n">
        <v>45849</v>
      </c>
      <c r="D203" t="inlineStr">
        <is>
          <t>DALARNAS LÄN</t>
        </is>
      </c>
      <c r="E203" t="inlineStr">
        <is>
          <t>LUDVIKA</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39915-2020</t>
        </is>
      </c>
      <c r="B204" s="1" t="n">
        <v>44067</v>
      </c>
      <c r="C204" s="1" t="n">
        <v>45849</v>
      </c>
      <c r="D204" t="inlineStr">
        <is>
          <t>DALARNAS LÄN</t>
        </is>
      </c>
      <c r="E204" t="inlineStr">
        <is>
          <t>LUDVIKA</t>
        </is>
      </c>
      <c r="F204" t="inlineStr">
        <is>
          <t>Naturvårdsverket</t>
        </is>
      </c>
      <c r="G204" t="n">
        <v>17.7</v>
      </c>
      <c r="H204" t="n">
        <v>0</v>
      </c>
      <c r="I204" t="n">
        <v>0</v>
      </c>
      <c r="J204" t="n">
        <v>0</v>
      </c>
      <c r="K204" t="n">
        <v>0</v>
      </c>
      <c r="L204" t="n">
        <v>0</v>
      </c>
      <c r="M204" t="n">
        <v>0</v>
      </c>
      <c r="N204" t="n">
        <v>0</v>
      </c>
      <c r="O204" t="n">
        <v>0</v>
      </c>
      <c r="P204" t="n">
        <v>0</v>
      </c>
      <c r="Q204" t="n">
        <v>0</v>
      </c>
      <c r="R204" s="2" t="inlineStr"/>
    </row>
    <row r="205" ht="15" customHeight="1">
      <c r="A205" t="inlineStr">
        <is>
          <t>A 40472-2020</t>
        </is>
      </c>
      <c r="B205" s="1" t="n">
        <v>44069</v>
      </c>
      <c r="C205" s="1" t="n">
        <v>45849</v>
      </c>
      <c r="D205" t="inlineStr">
        <is>
          <t>DALARNAS LÄN</t>
        </is>
      </c>
      <c r="E205" t="inlineStr">
        <is>
          <t>LUDVIKA</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40504-2020</t>
        </is>
      </c>
      <c r="B206" s="1" t="n">
        <v>44069</v>
      </c>
      <c r="C206" s="1" t="n">
        <v>45849</v>
      </c>
      <c r="D206" t="inlineStr">
        <is>
          <t>DALARNAS LÄN</t>
        </is>
      </c>
      <c r="E206" t="inlineStr">
        <is>
          <t>LUDVIKA</t>
        </is>
      </c>
      <c r="F206" t="inlineStr">
        <is>
          <t>Bergvik skog väst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40978-2020</t>
        </is>
      </c>
      <c r="B207" s="1" t="n">
        <v>44070</v>
      </c>
      <c r="C207" s="1" t="n">
        <v>45849</v>
      </c>
      <c r="D207" t="inlineStr">
        <is>
          <t>DALARNAS LÄN</t>
        </is>
      </c>
      <c r="E207" t="inlineStr">
        <is>
          <t>LUDVIKA</t>
        </is>
      </c>
      <c r="F207" t="inlineStr">
        <is>
          <t>Bergvik skog väst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43162-2020</t>
        </is>
      </c>
      <c r="B208" s="1" t="n">
        <v>44081</v>
      </c>
      <c r="C208" s="1" t="n">
        <v>45849</v>
      </c>
      <c r="D208" t="inlineStr">
        <is>
          <t>DALARNAS LÄN</t>
        </is>
      </c>
      <c r="E208" t="inlineStr">
        <is>
          <t>LUDVIKA</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44747-2020</t>
        </is>
      </c>
      <c r="B209" s="1" t="n">
        <v>44085</v>
      </c>
      <c r="C209" s="1" t="n">
        <v>45849</v>
      </c>
      <c r="D209" t="inlineStr">
        <is>
          <t>DALARNAS LÄN</t>
        </is>
      </c>
      <c r="E209" t="inlineStr">
        <is>
          <t>LUDVIKA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44746-2020</t>
        </is>
      </c>
      <c r="B210" s="1" t="n">
        <v>44085</v>
      </c>
      <c r="C210" s="1" t="n">
        <v>45849</v>
      </c>
      <c r="D210" t="inlineStr">
        <is>
          <t>DALARNAS LÄN</t>
        </is>
      </c>
      <c r="E210" t="inlineStr">
        <is>
          <t>LUDVIKA</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45390-2020</t>
        </is>
      </c>
      <c r="B211" s="1" t="n">
        <v>44085</v>
      </c>
      <c r="C211" s="1" t="n">
        <v>45849</v>
      </c>
      <c r="D211" t="inlineStr">
        <is>
          <t>DALARNAS LÄN</t>
        </is>
      </c>
      <c r="E211" t="inlineStr">
        <is>
          <t>LUDVIKA</t>
        </is>
      </c>
      <c r="G211" t="n">
        <v>4.4</v>
      </c>
      <c r="H211" t="n">
        <v>0</v>
      </c>
      <c r="I211" t="n">
        <v>0</v>
      </c>
      <c r="J211" t="n">
        <v>0</v>
      </c>
      <c r="K211" t="n">
        <v>0</v>
      </c>
      <c r="L211" t="n">
        <v>0</v>
      </c>
      <c r="M211" t="n">
        <v>0</v>
      </c>
      <c r="N211" t="n">
        <v>0</v>
      </c>
      <c r="O211" t="n">
        <v>0</v>
      </c>
      <c r="P211" t="n">
        <v>0</v>
      </c>
      <c r="Q211" t="n">
        <v>0</v>
      </c>
      <c r="R211" s="2" t="inlineStr"/>
    </row>
    <row r="212" ht="15" customHeight="1">
      <c r="A212" t="inlineStr">
        <is>
          <t>A 44745-2020</t>
        </is>
      </c>
      <c r="B212" s="1" t="n">
        <v>44085</v>
      </c>
      <c r="C212" s="1" t="n">
        <v>45849</v>
      </c>
      <c r="D212" t="inlineStr">
        <is>
          <t>DALARNAS LÄN</t>
        </is>
      </c>
      <c r="E212" t="inlineStr">
        <is>
          <t>LUDVIKA</t>
        </is>
      </c>
      <c r="F212" t="inlineStr">
        <is>
          <t>Bergvik skog väst AB</t>
        </is>
      </c>
      <c r="G212" t="n">
        <v>2.9</v>
      </c>
      <c r="H212" t="n">
        <v>0</v>
      </c>
      <c r="I212" t="n">
        <v>0</v>
      </c>
      <c r="J212" t="n">
        <v>0</v>
      </c>
      <c r="K212" t="n">
        <v>0</v>
      </c>
      <c r="L212" t="n">
        <v>0</v>
      </c>
      <c r="M212" t="n">
        <v>0</v>
      </c>
      <c r="N212" t="n">
        <v>0</v>
      </c>
      <c r="O212" t="n">
        <v>0</v>
      </c>
      <c r="P212" t="n">
        <v>0</v>
      </c>
      <c r="Q212" t="n">
        <v>0</v>
      </c>
      <c r="R212" s="2" t="inlineStr"/>
    </row>
    <row r="213" ht="15" customHeight="1">
      <c r="A213" t="inlineStr">
        <is>
          <t>A 45309-2020</t>
        </is>
      </c>
      <c r="B213" s="1" t="n">
        <v>44089</v>
      </c>
      <c r="C213" s="1" t="n">
        <v>45849</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45613-2020</t>
        </is>
      </c>
      <c r="B214" s="1" t="n">
        <v>44090</v>
      </c>
      <c r="C214" s="1" t="n">
        <v>45849</v>
      </c>
      <c r="D214" t="inlineStr">
        <is>
          <t>DALARNAS LÄN</t>
        </is>
      </c>
      <c r="E214" t="inlineStr">
        <is>
          <t>LUDVIKA</t>
        </is>
      </c>
      <c r="F214" t="inlineStr">
        <is>
          <t>Övriga Aktiebolag</t>
        </is>
      </c>
      <c r="G214" t="n">
        <v>0.7</v>
      </c>
      <c r="H214" t="n">
        <v>0</v>
      </c>
      <c r="I214" t="n">
        <v>0</v>
      </c>
      <c r="J214" t="n">
        <v>0</v>
      </c>
      <c r="K214" t="n">
        <v>0</v>
      </c>
      <c r="L214" t="n">
        <v>0</v>
      </c>
      <c r="M214" t="n">
        <v>0</v>
      </c>
      <c r="N214" t="n">
        <v>0</v>
      </c>
      <c r="O214" t="n">
        <v>0</v>
      </c>
      <c r="P214" t="n">
        <v>0</v>
      </c>
      <c r="Q214" t="n">
        <v>0</v>
      </c>
      <c r="R214" s="2" t="inlineStr"/>
    </row>
    <row r="215" ht="15" customHeight="1">
      <c r="A215" t="inlineStr">
        <is>
          <t>A 46252-2020</t>
        </is>
      </c>
      <c r="B215" s="1" t="n">
        <v>44092</v>
      </c>
      <c r="C215" s="1" t="n">
        <v>45849</v>
      </c>
      <c r="D215" t="inlineStr">
        <is>
          <t>DALARNAS LÄN</t>
        </is>
      </c>
      <c r="E215" t="inlineStr">
        <is>
          <t>LUDVIKA</t>
        </is>
      </c>
      <c r="F215" t="inlineStr">
        <is>
          <t>Sveaskog</t>
        </is>
      </c>
      <c r="G215" t="n">
        <v>4</v>
      </c>
      <c r="H215" t="n">
        <v>0</v>
      </c>
      <c r="I215" t="n">
        <v>0</v>
      </c>
      <c r="J215" t="n">
        <v>0</v>
      </c>
      <c r="K215" t="n">
        <v>0</v>
      </c>
      <c r="L215" t="n">
        <v>0</v>
      </c>
      <c r="M215" t="n">
        <v>0</v>
      </c>
      <c r="N215" t="n">
        <v>0</v>
      </c>
      <c r="O215" t="n">
        <v>0</v>
      </c>
      <c r="P215" t="n">
        <v>0</v>
      </c>
      <c r="Q215" t="n">
        <v>0</v>
      </c>
      <c r="R215" s="2" t="inlineStr"/>
    </row>
    <row r="216" ht="15" customHeight="1">
      <c r="A216" t="inlineStr">
        <is>
          <t>A 46268-2020</t>
        </is>
      </c>
      <c r="B216" s="1" t="n">
        <v>44092</v>
      </c>
      <c r="C216" s="1" t="n">
        <v>45849</v>
      </c>
      <c r="D216" t="inlineStr">
        <is>
          <t>DALARNAS LÄN</t>
        </is>
      </c>
      <c r="E216" t="inlineStr">
        <is>
          <t>LUDVIKA</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46329-2020</t>
        </is>
      </c>
      <c r="B217" s="1" t="n">
        <v>44092</v>
      </c>
      <c r="C217" s="1" t="n">
        <v>45849</v>
      </c>
      <c r="D217" t="inlineStr">
        <is>
          <t>DALARNAS LÄN</t>
        </is>
      </c>
      <c r="E217" t="inlineStr">
        <is>
          <t>LUDVIKA</t>
        </is>
      </c>
      <c r="F217" t="inlineStr">
        <is>
          <t>Sveaskog</t>
        </is>
      </c>
      <c r="G217" t="n">
        <v>4.6</v>
      </c>
      <c r="H217" t="n">
        <v>0</v>
      </c>
      <c r="I217" t="n">
        <v>0</v>
      </c>
      <c r="J217" t="n">
        <v>0</v>
      </c>
      <c r="K217" t="n">
        <v>0</v>
      </c>
      <c r="L217" t="n">
        <v>0</v>
      </c>
      <c r="M217" t="n">
        <v>0</v>
      </c>
      <c r="N217" t="n">
        <v>0</v>
      </c>
      <c r="O217" t="n">
        <v>0</v>
      </c>
      <c r="P217" t="n">
        <v>0</v>
      </c>
      <c r="Q217" t="n">
        <v>0</v>
      </c>
      <c r="R217" s="2" t="inlineStr"/>
    </row>
    <row r="218" ht="15" customHeight="1">
      <c r="A218" t="inlineStr">
        <is>
          <t>A 46147-2020</t>
        </is>
      </c>
      <c r="B218" s="1" t="n">
        <v>44092</v>
      </c>
      <c r="C218" s="1" t="n">
        <v>45849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46146-2020</t>
        </is>
      </c>
      <c r="B219" s="1" t="n">
        <v>44092</v>
      </c>
      <c r="C219" s="1" t="n">
        <v>45849</v>
      </c>
      <c r="D219" t="inlineStr">
        <is>
          <t>DALARNAS LÄN</t>
        </is>
      </c>
      <c r="E219" t="inlineStr">
        <is>
          <t>LUDVIKA</t>
        </is>
      </c>
      <c r="G219" t="n">
        <v>1.5</v>
      </c>
      <c r="H219" t="n">
        <v>0</v>
      </c>
      <c r="I219" t="n">
        <v>0</v>
      </c>
      <c r="J219" t="n">
        <v>0</v>
      </c>
      <c r="K219" t="n">
        <v>0</v>
      </c>
      <c r="L219" t="n">
        <v>0</v>
      </c>
      <c r="M219" t="n">
        <v>0</v>
      </c>
      <c r="N219" t="n">
        <v>0</v>
      </c>
      <c r="O219" t="n">
        <v>0</v>
      </c>
      <c r="P219" t="n">
        <v>0</v>
      </c>
      <c r="Q219" t="n">
        <v>0</v>
      </c>
      <c r="R219" s="2" t="inlineStr"/>
    </row>
    <row r="220" ht="15" customHeight="1">
      <c r="A220" t="inlineStr">
        <is>
          <t>A 46275-2020</t>
        </is>
      </c>
      <c r="B220" s="1" t="n">
        <v>44092</v>
      </c>
      <c r="C220" s="1" t="n">
        <v>45849</v>
      </c>
      <c r="D220" t="inlineStr">
        <is>
          <t>DALARNAS LÄN</t>
        </is>
      </c>
      <c r="E220" t="inlineStr">
        <is>
          <t>LUDVIKA</t>
        </is>
      </c>
      <c r="F220" t="inlineStr">
        <is>
          <t>Sveaskog</t>
        </is>
      </c>
      <c r="G220" t="n">
        <v>6.1</v>
      </c>
      <c r="H220" t="n">
        <v>0</v>
      </c>
      <c r="I220" t="n">
        <v>0</v>
      </c>
      <c r="J220" t="n">
        <v>0</v>
      </c>
      <c r="K220" t="n">
        <v>0</v>
      </c>
      <c r="L220" t="n">
        <v>0</v>
      </c>
      <c r="M220" t="n">
        <v>0</v>
      </c>
      <c r="N220" t="n">
        <v>0</v>
      </c>
      <c r="O220" t="n">
        <v>0</v>
      </c>
      <c r="P220" t="n">
        <v>0</v>
      </c>
      <c r="Q220" t="n">
        <v>0</v>
      </c>
      <c r="R220" s="2" t="inlineStr"/>
    </row>
    <row r="221" ht="15" customHeight="1">
      <c r="A221" t="inlineStr">
        <is>
          <t>A 46284-2020</t>
        </is>
      </c>
      <c r="B221" s="1" t="n">
        <v>44092</v>
      </c>
      <c r="C221" s="1" t="n">
        <v>45849</v>
      </c>
      <c r="D221" t="inlineStr">
        <is>
          <t>DALARNAS LÄN</t>
        </is>
      </c>
      <c r="E221" t="inlineStr">
        <is>
          <t>LUDVIKA</t>
        </is>
      </c>
      <c r="F221" t="inlineStr">
        <is>
          <t>Sveaskog</t>
        </is>
      </c>
      <c r="G221" t="n">
        <v>4.4</v>
      </c>
      <c r="H221" t="n">
        <v>0</v>
      </c>
      <c r="I221" t="n">
        <v>0</v>
      </c>
      <c r="J221" t="n">
        <v>0</v>
      </c>
      <c r="K221" t="n">
        <v>0</v>
      </c>
      <c r="L221" t="n">
        <v>0</v>
      </c>
      <c r="M221" t="n">
        <v>0</v>
      </c>
      <c r="N221" t="n">
        <v>0</v>
      </c>
      <c r="O221" t="n">
        <v>0</v>
      </c>
      <c r="P221" t="n">
        <v>0</v>
      </c>
      <c r="Q221" t="n">
        <v>0</v>
      </c>
      <c r="R221" s="2" t="inlineStr"/>
    </row>
    <row r="222" ht="15" customHeight="1">
      <c r="A222" t="inlineStr">
        <is>
          <t>A 46369-2020</t>
        </is>
      </c>
      <c r="B222" s="1" t="n">
        <v>44093</v>
      </c>
      <c r="C222" s="1" t="n">
        <v>45849</v>
      </c>
      <c r="D222" t="inlineStr">
        <is>
          <t>DALARNAS LÄN</t>
        </is>
      </c>
      <c r="E222" t="inlineStr">
        <is>
          <t>LUDVIKA</t>
        </is>
      </c>
      <c r="G222" t="n">
        <v>3.8</v>
      </c>
      <c r="H222" t="n">
        <v>0</v>
      </c>
      <c r="I222" t="n">
        <v>0</v>
      </c>
      <c r="J222" t="n">
        <v>0</v>
      </c>
      <c r="K222" t="n">
        <v>0</v>
      </c>
      <c r="L222" t="n">
        <v>0</v>
      </c>
      <c r="M222" t="n">
        <v>0</v>
      </c>
      <c r="N222" t="n">
        <v>0</v>
      </c>
      <c r="O222" t="n">
        <v>0</v>
      </c>
      <c r="P222" t="n">
        <v>0</v>
      </c>
      <c r="Q222" t="n">
        <v>0</v>
      </c>
      <c r="R222" s="2" t="inlineStr"/>
    </row>
    <row r="223" ht="15" customHeight="1">
      <c r="A223" t="inlineStr">
        <is>
          <t>A 47194-2020</t>
        </is>
      </c>
      <c r="B223" s="1" t="n">
        <v>44097</v>
      </c>
      <c r="C223" s="1" t="n">
        <v>45849</v>
      </c>
      <c r="D223" t="inlineStr">
        <is>
          <t>DALARNAS LÄN</t>
        </is>
      </c>
      <c r="E223" t="inlineStr">
        <is>
          <t>LUDVIKA</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47471-2020</t>
        </is>
      </c>
      <c r="B224" s="1" t="n">
        <v>44097</v>
      </c>
      <c r="C224" s="1" t="n">
        <v>45849</v>
      </c>
      <c r="D224" t="inlineStr">
        <is>
          <t>DALARNAS LÄN</t>
        </is>
      </c>
      <c r="E224" t="inlineStr">
        <is>
          <t>LUDVIKA</t>
        </is>
      </c>
      <c r="G224" t="n">
        <v>0.7</v>
      </c>
      <c r="H224" t="n">
        <v>0</v>
      </c>
      <c r="I224" t="n">
        <v>0</v>
      </c>
      <c r="J224" t="n">
        <v>0</v>
      </c>
      <c r="K224" t="n">
        <v>0</v>
      </c>
      <c r="L224" t="n">
        <v>0</v>
      </c>
      <c r="M224" t="n">
        <v>0</v>
      </c>
      <c r="N224" t="n">
        <v>0</v>
      </c>
      <c r="O224" t="n">
        <v>0</v>
      </c>
      <c r="P224" t="n">
        <v>0</v>
      </c>
      <c r="Q224" t="n">
        <v>0</v>
      </c>
      <c r="R224" s="2" t="inlineStr"/>
    </row>
    <row r="225" ht="15" customHeight="1">
      <c r="A225" t="inlineStr">
        <is>
          <t>A 48557-2020</t>
        </is>
      </c>
      <c r="B225" s="1" t="n">
        <v>44103</v>
      </c>
      <c r="C225" s="1" t="n">
        <v>45849</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48482-2020</t>
        </is>
      </c>
      <c r="B226" s="1" t="n">
        <v>44103</v>
      </c>
      <c r="C226" s="1" t="n">
        <v>45849</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50146-2020</t>
        </is>
      </c>
      <c r="B227" s="1" t="n">
        <v>44104</v>
      </c>
      <c r="C227" s="1" t="n">
        <v>45849</v>
      </c>
      <c r="D227" t="inlineStr">
        <is>
          <t>DALARNAS LÄN</t>
        </is>
      </c>
      <c r="E227" t="inlineStr">
        <is>
          <t>LUDVIKA</t>
        </is>
      </c>
      <c r="G227" t="n">
        <v>4.7</v>
      </c>
      <c r="H227" t="n">
        <v>0</v>
      </c>
      <c r="I227" t="n">
        <v>0</v>
      </c>
      <c r="J227" t="n">
        <v>0</v>
      </c>
      <c r="K227" t="n">
        <v>0</v>
      </c>
      <c r="L227" t="n">
        <v>0</v>
      </c>
      <c r="M227" t="n">
        <v>0</v>
      </c>
      <c r="N227" t="n">
        <v>0</v>
      </c>
      <c r="O227" t="n">
        <v>0</v>
      </c>
      <c r="P227" t="n">
        <v>0</v>
      </c>
      <c r="Q227" t="n">
        <v>0</v>
      </c>
      <c r="R227" s="2" t="inlineStr"/>
    </row>
    <row r="228" ht="15" customHeight="1">
      <c r="A228" t="inlineStr">
        <is>
          <t>A 51439-2020</t>
        </is>
      </c>
      <c r="B228" s="1" t="n">
        <v>44113</v>
      </c>
      <c r="C228" s="1" t="n">
        <v>45849</v>
      </c>
      <c r="D228" t="inlineStr">
        <is>
          <t>DALARNAS LÄN</t>
        </is>
      </c>
      <c r="E228" t="inlineStr">
        <is>
          <t>LUDVIKA</t>
        </is>
      </c>
      <c r="F228" t="inlineStr">
        <is>
          <t>Sveaskog</t>
        </is>
      </c>
      <c r="G228" t="n">
        <v>10</v>
      </c>
      <c r="H228" t="n">
        <v>0</v>
      </c>
      <c r="I228" t="n">
        <v>0</v>
      </c>
      <c r="J228" t="n">
        <v>0</v>
      </c>
      <c r="K228" t="n">
        <v>0</v>
      </c>
      <c r="L228" t="n">
        <v>0</v>
      </c>
      <c r="M228" t="n">
        <v>0</v>
      </c>
      <c r="N228" t="n">
        <v>0</v>
      </c>
      <c r="O228" t="n">
        <v>0</v>
      </c>
      <c r="P228" t="n">
        <v>0</v>
      </c>
      <c r="Q228" t="n">
        <v>0</v>
      </c>
      <c r="R228" s="2" t="inlineStr"/>
    </row>
    <row r="229" ht="15" customHeight="1">
      <c r="A229" t="inlineStr">
        <is>
          <t>A 51777-2020</t>
        </is>
      </c>
      <c r="B229" s="1" t="n">
        <v>44116</v>
      </c>
      <c r="C229" s="1" t="n">
        <v>45849</v>
      </c>
      <c r="D229" t="inlineStr">
        <is>
          <t>DALARNAS LÄN</t>
        </is>
      </c>
      <c r="E229" t="inlineStr">
        <is>
          <t>LUDVIKA</t>
        </is>
      </c>
      <c r="G229" t="n">
        <v>11.2</v>
      </c>
      <c r="H229" t="n">
        <v>0</v>
      </c>
      <c r="I229" t="n">
        <v>0</v>
      </c>
      <c r="J229" t="n">
        <v>0</v>
      </c>
      <c r="K229" t="n">
        <v>0</v>
      </c>
      <c r="L229" t="n">
        <v>0</v>
      </c>
      <c r="M229" t="n">
        <v>0</v>
      </c>
      <c r="N229" t="n">
        <v>0</v>
      </c>
      <c r="O229" t="n">
        <v>0</v>
      </c>
      <c r="P229" t="n">
        <v>0</v>
      </c>
      <c r="Q229" t="n">
        <v>0</v>
      </c>
      <c r="R229" s="2" t="inlineStr"/>
    </row>
    <row r="230" ht="15" customHeight="1">
      <c r="A230" t="inlineStr">
        <is>
          <t>A 51895-2020</t>
        </is>
      </c>
      <c r="B230" s="1" t="n">
        <v>44116</v>
      </c>
      <c r="C230" s="1" t="n">
        <v>45849</v>
      </c>
      <c r="D230" t="inlineStr">
        <is>
          <t>DALARNAS LÄN</t>
        </is>
      </c>
      <c r="E230" t="inlineStr">
        <is>
          <t>LUDVIKA</t>
        </is>
      </c>
      <c r="F230" t="inlineStr">
        <is>
          <t>Bergvik skog väst AB</t>
        </is>
      </c>
      <c r="G230" t="n">
        <v>2.5</v>
      </c>
      <c r="H230" t="n">
        <v>0</v>
      </c>
      <c r="I230" t="n">
        <v>0</v>
      </c>
      <c r="J230" t="n">
        <v>0</v>
      </c>
      <c r="K230" t="n">
        <v>0</v>
      </c>
      <c r="L230" t="n">
        <v>0</v>
      </c>
      <c r="M230" t="n">
        <v>0</v>
      </c>
      <c r="N230" t="n">
        <v>0</v>
      </c>
      <c r="O230" t="n">
        <v>0</v>
      </c>
      <c r="P230" t="n">
        <v>0</v>
      </c>
      <c r="Q230" t="n">
        <v>0</v>
      </c>
      <c r="R230" s="2" t="inlineStr"/>
    </row>
    <row r="231" ht="15" customHeight="1">
      <c r="A231" t="inlineStr">
        <is>
          <t>A 52425-2020</t>
        </is>
      </c>
      <c r="B231" s="1" t="n">
        <v>44118</v>
      </c>
      <c r="C231" s="1" t="n">
        <v>45849</v>
      </c>
      <c r="D231" t="inlineStr">
        <is>
          <t>DALARNAS LÄN</t>
        </is>
      </c>
      <c r="E231" t="inlineStr">
        <is>
          <t>LUDVIKA</t>
        </is>
      </c>
      <c r="F231" t="inlineStr">
        <is>
          <t>Bergvik skog väst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52748-2020</t>
        </is>
      </c>
      <c r="B232" s="1" t="n">
        <v>44119</v>
      </c>
      <c r="C232" s="1" t="n">
        <v>45849</v>
      </c>
      <c r="D232" t="inlineStr">
        <is>
          <t>DALARNAS LÄN</t>
        </is>
      </c>
      <c r="E232" t="inlineStr">
        <is>
          <t>LUDVIKA</t>
        </is>
      </c>
      <c r="G232" t="n">
        <v>1</v>
      </c>
      <c r="H232" t="n">
        <v>0</v>
      </c>
      <c r="I232" t="n">
        <v>0</v>
      </c>
      <c r="J232" t="n">
        <v>0</v>
      </c>
      <c r="K232" t="n">
        <v>0</v>
      </c>
      <c r="L232" t="n">
        <v>0</v>
      </c>
      <c r="M232" t="n">
        <v>0</v>
      </c>
      <c r="N232" t="n">
        <v>0</v>
      </c>
      <c r="O232" t="n">
        <v>0</v>
      </c>
      <c r="P232" t="n">
        <v>0</v>
      </c>
      <c r="Q232" t="n">
        <v>0</v>
      </c>
      <c r="R232" s="2" t="inlineStr"/>
    </row>
    <row r="233" ht="15" customHeight="1">
      <c r="A233" t="inlineStr">
        <is>
          <t>A 52853-2020</t>
        </is>
      </c>
      <c r="B233" s="1" t="n">
        <v>44119</v>
      </c>
      <c r="C233" s="1" t="n">
        <v>45849</v>
      </c>
      <c r="D233" t="inlineStr">
        <is>
          <t>DALARNAS LÄN</t>
        </is>
      </c>
      <c r="E233" t="inlineStr">
        <is>
          <t>LUDVIKA</t>
        </is>
      </c>
      <c r="G233" t="n">
        <v>28</v>
      </c>
      <c r="H233" t="n">
        <v>0</v>
      </c>
      <c r="I233" t="n">
        <v>0</v>
      </c>
      <c r="J233" t="n">
        <v>0</v>
      </c>
      <c r="K233" t="n">
        <v>0</v>
      </c>
      <c r="L233" t="n">
        <v>0</v>
      </c>
      <c r="M233" t="n">
        <v>0</v>
      </c>
      <c r="N233" t="n">
        <v>0</v>
      </c>
      <c r="O233" t="n">
        <v>0</v>
      </c>
      <c r="P233" t="n">
        <v>0</v>
      </c>
      <c r="Q233" t="n">
        <v>0</v>
      </c>
      <c r="R233" s="2" t="inlineStr"/>
    </row>
    <row r="234" ht="15" customHeight="1">
      <c r="A234" t="inlineStr">
        <is>
          <t>A 52929-2020</t>
        </is>
      </c>
      <c r="B234" s="1" t="n">
        <v>44120</v>
      </c>
      <c r="C234" s="1" t="n">
        <v>45849</v>
      </c>
      <c r="D234" t="inlineStr">
        <is>
          <t>DALARNAS LÄN</t>
        </is>
      </c>
      <c r="E234" t="inlineStr">
        <is>
          <t>LUDVIKA</t>
        </is>
      </c>
      <c r="F234" t="inlineStr">
        <is>
          <t>Bergvik skog väst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53960-2020</t>
        </is>
      </c>
      <c r="B235" s="1" t="n">
        <v>44123</v>
      </c>
      <c r="C235" s="1" t="n">
        <v>45849</v>
      </c>
      <c r="D235" t="inlineStr">
        <is>
          <t>DALARNAS LÄN</t>
        </is>
      </c>
      <c r="E235" t="inlineStr">
        <is>
          <t>LUDVIKA</t>
        </is>
      </c>
      <c r="G235" t="n">
        <v>3.5</v>
      </c>
      <c r="H235" t="n">
        <v>0</v>
      </c>
      <c r="I235" t="n">
        <v>0</v>
      </c>
      <c r="J235" t="n">
        <v>0</v>
      </c>
      <c r="K235" t="n">
        <v>0</v>
      </c>
      <c r="L235" t="n">
        <v>0</v>
      </c>
      <c r="M235" t="n">
        <v>0</v>
      </c>
      <c r="N235" t="n">
        <v>0</v>
      </c>
      <c r="O235" t="n">
        <v>0</v>
      </c>
      <c r="P235" t="n">
        <v>0</v>
      </c>
      <c r="Q235" t="n">
        <v>0</v>
      </c>
      <c r="R235" s="2" t="inlineStr"/>
    </row>
    <row r="236" ht="15" customHeight="1">
      <c r="A236" t="inlineStr">
        <is>
          <t>A 53756-2020</t>
        </is>
      </c>
      <c r="B236" s="1" t="n">
        <v>44124</v>
      </c>
      <c r="C236" s="1" t="n">
        <v>45849</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55646-2020</t>
        </is>
      </c>
      <c r="B237" s="1" t="n">
        <v>44131</v>
      </c>
      <c r="C237" s="1" t="n">
        <v>45849</v>
      </c>
      <c r="D237" t="inlineStr">
        <is>
          <t>DALARNAS LÄN</t>
        </is>
      </c>
      <c r="E237" t="inlineStr">
        <is>
          <t>LUDVIKA</t>
        </is>
      </c>
      <c r="G237" t="n">
        <v>0.5</v>
      </c>
      <c r="H237" t="n">
        <v>0</v>
      </c>
      <c r="I237" t="n">
        <v>0</v>
      </c>
      <c r="J237" t="n">
        <v>0</v>
      </c>
      <c r="K237" t="n">
        <v>0</v>
      </c>
      <c r="L237" t="n">
        <v>0</v>
      </c>
      <c r="M237" t="n">
        <v>0</v>
      </c>
      <c r="N237" t="n">
        <v>0</v>
      </c>
      <c r="O237" t="n">
        <v>0</v>
      </c>
      <c r="P237" t="n">
        <v>0</v>
      </c>
      <c r="Q237" t="n">
        <v>0</v>
      </c>
      <c r="R237" s="2" t="inlineStr"/>
    </row>
    <row r="238" ht="15" customHeight="1">
      <c r="A238" t="inlineStr">
        <is>
          <t>A 61004-2020</t>
        </is>
      </c>
      <c r="B238" s="1" t="n">
        <v>44154</v>
      </c>
      <c r="C238" s="1" t="n">
        <v>45849</v>
      </c>
      <c r="D238" t="inlineStr">
        <is>
          <t>DALARNAS LÄN</t>
        </is>
      </c>
      <c r="E238" t="inlineStr">
        <is>
          <t>LUDVIKA</t>
        </is>
      </c>
      <c r="F238" t="inlineStr">
        <is>
          <t>Bergvik skog väst AB</t>
        </is>
      </c>
      <c r="G238" t="n">
        <v>2.8</v>
      </c>
      <c r="H238" t="n">
        <v>0</v>
      </c>
      <c r="I238" t="n">
        <v>0</v>
      </c>
      <c r="J238" t="n">
        <v>0</v>
      </c>
      <c r="K238" t="n">
        <v>0</v>
      </c>
      <c r="L238" t="n">
        <v>0</v>
      </c>
      <c r="M238" t="n">
        <v>0</v>
      </c>
      <c r="N238" t="n">
        <v>0</v>
      </c>
      <c r="O238" t="n">
        <v>0</v>
      </c>
      <c r="P238" t="n">
        <v>0</v>
      </c>
      <c r="Q238" t="n">
        <v>0</v>
      </c>
      <c r="R238" s="2" t="inlineStr"/>
    </row>
    <row r="239" ht="15" customHeight="1">
      <c r="A239" t="inlineStr">
        <is>
          <t>A 60913-2020</t>
        </is>
      </c>
      <c r="B239" s="1" t="n">
        <v>44154</v>
      </c>
      <c r="C239" s="1" t="n">
        <v>45849</v>
      </c>
      <c r="D239" t="inlineStr">
        <is>
          <t>DALARNAS LÄN</t>
        </is>
      </c>
      <c r="E239" t="inlineStr">
        <is>
          <t>LUDVIKA</t>
        </is>
      </c>
      <c r="G239" t="n">
        <v>2.2</v>
      </c>
      <c r="H239" t="n">
        <v>0</v>
      </c>
      <c r="I239" t="n">
        <v>0</v>
      </c>
      <c r="J239" t="n">
        <v>0</v>
      </c>
      <c r="K239" t="n">
        <v>0</v>
      </c>
      <c r="L239" t="n">
        <v>0</v>
      </c>
      <c r="M239" t="n">
        <v>0</v>
      </c>
      <c r="N239" t="n">
        <v>0</v>
      </c>
      <c r="O239" t="n">
        <v>0</v>
      </c>
      <c r="P239" t="n">
        <v>0</v>
      </c>
      <c r="Q239" t="n">
        <v>0</v>
      </c>
      <c r="R239" s="2" t="inlineStr"/>
    </row>
    <row r="240" ht="15" customHeight="1">
      <c r="A240" t="inlineStr">
        <is>
          <t>A 60822-2020</t>
        </is>
      </c>
      <c r="B240" s="1" t="n">
        <v>44154</v>
      </c>
      <c r="C240" s="1" t="n">
        <v>45849</v>
      </c>
      <c r="D240" t="inlineStr">
        <is>
          <t>DALARNAS LÄN</t>
        </is>
      </c>
      <c r="E240" t="inlineStr">
        <is>
          <t>LUDVIKA</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61491-2020</t>
        </is>
      </c>
      <c r="B241" s="1" t="n">
        <v>44154</v>
      </c>
      <c r="C241" s="1" t="n">
        <v>45849</v>
      </c>
      <c r="D241" t="inlineStr">
        <is>
          <t>DALARNAS LÄN</t>
        </is>
      </c>
      <c r="E241" t="inlineStr">
        <is>
          <t>LUDVIKA</t>
        </is>
      </c>
      <c r="G241" t="n">
        <v>1.5</v>
      </c>
      <c r="H241" t="n">
        <v>0</v>
      </c>
      <c r="I241" t="n">
        <v>0</v>
      </c>
      <c r="J241" t="n">
        <v>0</v>
      </c>
      <c r="K241" t="n">
        <v>0</v>
      </c>
      <c r="L241" t="n">
        <v>0</v>
      </c>
      <c r="M241" t="n">
        <v>0</v>
      </c>
      <c r="N241" t="n">
        <v>0</v>
      </c>
      <c r="O241" t="n">
        <v>0</v>
      </c>
      <c r="P241" t="n">
        <v>0</v>
      </c>
      <c r="Q241" t="n">
        <v>0</v>
      </c>
      <c r="R241" s="2" t="inlineStr"/>
    </row>
    <row r="242" ht="15" customHeight="1">
      <c r="A242" t="inlineStr">
        <is>
          <t>A 61501-2020</t>
        </is>
      </c>
      <c r="B242" s="1" t="n">
        <v>44154</v>
      </c>
      <c r="C242" s="1" t="n">
        <v>45849</v>
      </c>
      <c r="D242" t="inlineStr">
        <is>
          <t>DALARNAS LÄN</t>
        </is>
      </c>
      <c r="E242" t="inlineStr">
        <is>
          <t>LUDVIKA</t>
        </is>
      </c>
      <c r="G242" t="n">
        <v>10</v>
      </c>
      <c r="H242" t="n">
        <v>0</v>
      </c>
      <c r="I242" t="n">
        <v>0</v>
      </c>
      <c r="J242" t="n">
        <v>0</v>
      </c>
      <c r="K242" t="n">
        <v>0</v>
      </c>
      <c r="L242" t="n">
        <v>0</v>
      </c>
      <c r="M242" t="n">
        <v>0</v>
      </c>
      <c r="N242" t="n">
        <v>0</v>
      </c>
      <c r="O242" t="n">
        <v>0</v>
      </c>
      <c r="P242" t="n">
        <v>0</v>
      </c>
      <c r="Q242" t="n">
        <v>0</v>
      </c>
      <c r="R242" s="2" t="inlineStr"/>
    </row>
    <row r="243" ht="15" customHeight="1">
      <c r="A243" t="inlineStr">
        <is>
          <t>A 61838-2020</t>
        </is>
      </c>
      <c r="B243" s="1" t="n">
        <v>44159</v>
      </c>
      <c r="C243" s="1" t="n">
        <v>45849</v>
      </c>
      <c r="D243" t="inlineStr">
        <is>
          <t>DALARNAS LÄN</t>
        </is>
      </c>
      <c r="E243" t="inlineStr">
        <is>
          <t>LUDVIKA</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63799-2020</t>
        </is>
      </c>
      <c r="B244" s="1" t="n">
        <v>44165</v>
      </c>
      <c r="C244" s="1" t="n">
        <v>45849</v>
      </c>
      <c r="D244" t="inlineStr">
        <is>
          <t>DALARNAS LÄN</t>
        </is>
      </c>
      <c r="E244" t="inlineStr">
        <is>
          <t>LUDVIKA</t>
        </is>
      </c>
      <c r="G244" t="n">
        <v>0.9</v>
      </c>
      <c r="H244" t="n">
        <v>0</v>
      </c>
      <c r="I244" t="n">
        <v>0</v>
      </c>
      <c r="J244" t="n">
        <v>0</v>
      </c>
      <c r="K244" t="n">
        <v>0</v>
      </c>
      <c r="L244" t="n">
        <v>0</v>
      </c>
      <c r="M244" t="n">
        <v>0</v>
      </c>
      <c r="N244" t="n">
        <v>0</v>
      </c>
      <c r="O244" t="n">
        <v>0</v>
      </c>
      <c r="P244" t="n">
        <v>0</v>
      </c>
      <c r="Q244" t="n">
        <v>0</v>
      </c>
      <c r="R244" s="2" t="inlineStr"/>
    </row>
    <row r="245" ht="15" customHeight="1">
      <c r="A245" t="inlineStr">
        <is>
          <t>A 63767-2020</t>
        </is>
      </c>
      <c r="B245" s="1" t="n">
        <v>44166</v>
      </c>
      <c r="C245" s="1" t="n">
        <v>45849</v>
      </c>
      <c r="D245" t="inlineStr">
        <is>
          <t>DALARNAS LÄN</t>
        </is>
      </c>
      <c r="E245" t="inlineStr">
        <is>
          <t>LUDVIKA</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65150-2020</t>
        </is>
      </c>
      <c r="B246" s="1" t="n">
        <v>44168</v>
      </c>
      <c r="C246" s="1" t="n">
        <v>45849</v>
      </c>
      <c r="D246" t="inlineStr">
        <is>
          <t>DALARNAS LÄN</t>
        </is>
      </c>
      <c r="E246" t="inlineStr">
        <is>
          <t>LUDVIKA</t>
        </is>
      </c>
      <c r="G246" t="n">
        <v>0.9</v>
      </c>
      <c r="H246" t="n">
        <v>0</v>
      </c>
      <c r="I246" t="n">
        <v>0</v>
      </c>
      <c r="J246" t="n">
        <v>0</v>
      </c>
      <c r="K246" t="n">
        <v>0</v>
      </c>
      <c r="L246" t="n">
        <v>0</v>
      </c>
      <c r="M246" t="n">
        <v>0</v>
      </c>
      <c r="N246" t="n">
        <v>0</v>
      </c>
      <c r="O246" t="n">
        <v>0</v>
      </c>
      <c r="P246" t="n">
        <v>0</v>
      </c>
      <c r="Q246" t="n">
        <v>0</v>
      </c>
      <c r="R246" s="2" t="inlineStr"/>
    </row>
    <row r="247" ht="15" customHeight="1">
      <c r="A247" t="inlineStr">
        <is>
          <t>A 66188-2020</t>
        </is>
      </c>
      <c r="B247" s="1" t="n">
        <v>44174</v>
      </c>
      <c r="C247" s="1" t="n">
        <v>45849</v>
      </c>
      <c r="D247" t="inlineStr">
        <is>
          <t>DALARNAS LÄN</t>
        </is>
      </c>
      <c r="E247" t="inlineStr">
        <is>
          <t>LUDVIKA</t>
        </is>
      </c>
      <c r="G247" t="n">
        <v>3.5</v>
      </c>
      <c r="H247" t="n">
        <v>0</v>
      </c>
      <c r="I247" t="n">
        <v>0</v>
      </c>
      <c r="J247" t="n">
        <v>0</v>
      </c>
      <c r="K247" t="n">
        <v>0</v>
      </c>
      <c r="L247" t="n">
        <v>0</v>
      </c>
      <c r="M247" t="n">
        <v>0</v>
      </c>
      <c r="N247" t="n">
        <v>0</v>
      </c>
      <c r="O247" t="n">
        <v>0</v>
      </c>
      <c r="P247" t="n">
        <v>0</v>
      </c>
      <c r="Q247" t="n">
        <v>0</v>
      </c>
      <c r="R247" s="2" t="inlineStr"/>
    </row>
    <row r="248" ht="15" customHeight="1">
      <c r="A248" t="inlineStr">
        <is>
          <t>A 69094-2020</t>
        </is>
      </c>
      <c r="B248" s="1" t="n">
        <v>44188</v>
      </c>
      <c r="C248" s="1" t="n">
        <v>45849</v>
      </c>
      <c r="D248" t="inlineStr">
        <is>
          <t>DALARNAS LÄN</t>
        </is>
      </c>
      <c r="E248" t="inlineStr">
        <is>
          <t>LUDVIKA</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69157-2020</t>
        </is>
      </c>
      <c r="B249" s="1" t="n">
        <v>44188</v>
      </c>
      <c r="C249" s="1" t="n">
        <v>45849</v>
      </c>
      <c r="D249" t="inlineStr">
        <is>
          <t>DALARNAS LÄN</t>
        </is>
      </c>
      <c r="E249" t="inlineStr">
        <is>
          <t>LUDVIKA</t>
        </is>
      </c>
      <c r="F249" t="inlineStr">
        <is>
          <t>Kommuner</t>
        </is>
      </c>
      <c r="G249" t="n">
        <v>5.2</v>
      </c>
      <c r="H249" t="n">
        <v>0</v>
      </c>
      <c r="I249" t="n">
        <v>0</v>
      </c>
      <c r="J249" t="n">
        <v>0</v>
      </c>
      <c r="K249" t="n">
        <v>0</v>
      </c>
      <c r="L249" t="n">
        <v>0</v>
      </c>
      <c r="M249" t="n">
        <v>0</v>
      </c>
      <c r="N249" t="n">
        <v>0</v>
      </c>
      <c r="O249" t="n">
        <v>0</v>
      </c>
      <c r="P249" t="n">
        <v>0</v>
      </c>
      <c r="Q249" t="n">
        <v>0</v>
      </c>
      <c r="R249" s="2" t="inlineStr"/>
    </row>
    <row r="250" ht="15" customHeight="1">
      <c r="A250" t="inlineStr">
        <is>
          <t>A 69154-2020</t>
        </is>
      </c>
      <c r="B250" s="1" t="n">
        <v>44188</v>
      </c>
      <c r="C250" s="1" t="n">
        <v>45849</v>
      </c>
      <c r="D250" t="inlineStr">
        <is>
          <t>DALARNAS LÄN</t>
        </is>
      </c>
      <c r="E250" t="inlineStr">
        <is>
          <t>LUDVIKA</t>
        </is>
      </c>
      <c r="F250" t="inlineStr">
        <is>
          <t>Kommuner</t>
        </is>
      </c>
      <c r="G250" t="n">
        <v>13.3</v>
      </c>
      <c r="H250" t="n">
        <v>0</v>
      </c>
      <c r="I250" t="n">
        <v>0</v>
      </c>
      <c r="J250" t="n">
        <v>0</v>
      </c>
      <c r="K250" t="n">
        <v>0</v>
      </c>
      <c r="L250" t="n">
        <v>0</v>
      </c>
      <c r="M250" t="n">
        <v>0</v>
      </c>
      <c r="N250" t="n">
        <v>0</v>
      </c>
      <c r="O250" t="n">
        <v>0</v>
      </c>
      <c r="P250" t="n">
        <v>0</v>
      </c>
      <c r="Q250" t="n">
        <v>0</v>
      </c>
      <c r="R250" s="2" t="inlineStr"/>
    </row>
    <row r="251" ht="15" customHeight="1">
      <c r="A251" t="inlineStr">
        <is>
          <t>A 69090-2020</t>
        </is>
      </c>
      <c r="B251" s="1" t="n">
        <v>44188</v>
      </c>
      <c r="C251" s="1" t="n">
        <v>45849</v>
      </c>
      <c r="D251" t="inlineStr">
        <is>
          <t>DALARNAS LÄN</t>
        </is>
      </c>
      <c r="E251" t="inlineStr">
        <is>
          <t>LUDVIKA</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69165-2020</t>
        </is>
      </c>
      <c r="B252" s="1" t="n">
        <v>44188</v>
      </c>
      <c r="C252" s="1" t="n">
        <v>45849</v>
      </c>
      <c r="D252" t="inlineStr">
        <is>
          <t>DALARNAS LÄN</t>
        </is>
      </c>
      <c r="E252" t="inlineStr">
        <is>
          <t>LUDVIKA</t>
        </is>
      </c>
      <c r="F252" t="inlineStr">
        <is>
          <t>Kommuner</t>
        </is>
      </c>
      <c r="G252" t="n">
        <v>1.4</v>
      </c>
      <c r="H252" t="n">
        <v>0</v>
      </c>
      <c r="I252" t="n">
        <v>0</v>
      </c>
      <c r="J252" t="n">
        <v>0</v>
      </c>
      <c r="K252" t="n">
        <v>0</v>
      </c>
      <c r="L252" t="n">
        <v>0</v>
      </c>
      <c r="M252" t="n">
        <v>0</v>
      </c>
      <c r="N252" t="n">
        <v>0</v>
      </c>
      <c r="O252" t="n">
        <v>0</v>
      </c>
      <c r="P252" t="n">
        <v>0</v>
      </c>
      <c r="Q252" t="n">
        <v>0</v>
      </c>
      <c r="R252" s="2" t="inlineStr"/>
    </row>
    <row r="253" ht="15" customHeight="1">
      <c r="A253" t="inlineStr">
        <is>
          <t>A 1633-2021</t>
        </is>
      </c>
      <c r="B253" s="1" t="n">
        <v>44209</v>
      </c>
      <c r="C253" s="1" t="n">
        <v>45849</v>
      </c>
      <c r="D253" t="inlineStr">
        <is>
          <t>DALARNAS LÄN</t>
        </is>
      </c>
      <c r="E253" t="inlineStr">
        <is>
          <t>LUDVIKA</t>
        </is>
      </c>
      <c r="G253" t="n">
        <v>0.6</v>
      </c>
      <c r="H253" t="n">
        <v>0</v>
      </c>
      <c r="I253" t="n">
        <v>0</v>
      </c>
      <c r="J253" t="n">
        <v>0</v>
      </c>
      <c r="K253" t="n">
        <v>0</v>
      </c>
      <c r="L253" t="n">
        <v>0</v>
      </c>
      <c r="M253" t="n">
        <v>0</v>
      </c>
      <c r="N253" t="n">
        <v>0</v>
      </c>
      <c r="O253" t="n">
        <v>0</v>
      </c>
      <c r="P253" t="n">
        <v>0</v>
      </c>
      <c r="Q253" t="n">
        <v>0</v>
      </c>
      <c r="R253" s="2" t="inlineStr"/>
    </row>
    <row r="254" ht="15" customHeight="1">
      <c r="A254" t="inlineStr">
        <is>
          <t>A 3104-2021</t>
        </is>
      </c>
      <c r="B254" s="1" t="n">
        <v>44217</v>
      </c>
      <c r="C254" s="1" t="n">
        <v>45849</v>
      </c>
      <c r="D254" t="inlineStr">
        <is>
          <t>DALARNAS LÄN</t>
        </is>
      </c>
      <c r="E254" t="inlineStr">
        <is>
          <t>LUDVIKA</t>
        </is>
      </c>
      <c r="G254" t="n">
        <v>2.1</v>
      </c>
      <c r="H254" t="n">
        <v>0</v>
      </c>
      <c r="I254" t="n">
        <v>0</v>
      </c>
      <c r="J254" t="n">
        <v>0</v>
      </c>
      <c r="K254" t="n">
        <v>0</v>
      </c>
      <c r="L254" t="n">
        <v>0</v>
      </c>
      <c r="M254" t="n">
        <v>0</v>
      </c>
      <c r="N254" t="n">
        <v>0</v>
      </c>
      <c r="O254" t="n">
        <v>0</v>
      </c>
      <c r="P254" t="n">
        <v>0</v>
      </c>
      <c r="Q254" t="n">
        <v>0</v>
      </c>
      <c r="R254" s="2" t="inlineStr"/>
    </row>
    <row r="255" ht="15" customHeight="1">
      <c r="A255" t="inlineStr">
        <is>
          <t>A 3403-2021</t>
        </is>
      </c>
      <c r="B255" s="1" t="n">
        <v>44218</v>
      </c>
      <c r="C255" s="1" t="n">
        <v>45849</v>
      </c>
      <c r="D255" t="inlineStr">
        <is>
          <t>DALARNAS LÄN</t>
        </is>
      </c>
      <c r="E255" t="inlineStr">
        <is>
          <t>LUDVIKA</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4569-2021</t>
        </is>
      </c>
      <c r="B256" s="1" t="n">
        <v>44224</v>
      </c>
      <c r="C256" s="1" t="n">
        <v>45849</v>
      </c>
      <c r="D256" t="inlineStr">
        <is>
          <t>DALARNAS LÄN</t>
        </is>
      </c>
      <c r="E256" t="inlineStr">
        <is>
          <t>LUDVIKA</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7073-2021</t>
        </is>
      </c>
      <c r="B257" s="1" t="n">
        <v>44237</v>
      </c>
      <c r="C257" s="1" t="n">
        <v>45849</v>
      </c>
      <c r="D257" t="inlineStr">
        <is>
          <t>DALARNAS LÄN</t>
        </is>
      </c>
      <c r="E257" t="inlineStr">
        <is>
          <t>LUDVIKA</t>
        </is>
      </c>
      <c r="G257" t="n">
        <v>0.9</v>
      </c>
      <c r="H257" t="n">
        <v>0</v>
      </c>
      <c r="I257" t="n">
        <v>0</v>
      </c>
      <c r="J257" t="n">
        <v>0</v>
      </c>
      <c r="K257" t="n">
        <v>0</v>
      </c>
      <c r="L257" t="n">
        <v>0</v>
      </c>
      <c r="M257" t="n">
        <v>0</v>
      </c>
      <c r="N257" t="n">
        <v>0</v>
      </c>
      <c r="O257" t="n">
        <v>0</v>
      </c>
      <c r="P257" t="n">
        <v>0</v>
      </c>
      <c r="Q257" t="n">
        <v>0</v>
      </c>
      <c r="R257" s="2" t="inlineStr"/>
    </row>
    <row r="258" ht="15" customHeight="1">
      <c r="A258" t="inlineStr">
        <is>
          <t>A 8321-2021</t>
        </is>
      </c>
      <c r="B258" s="1" t="n">
        <v>44244</v>
      </c>
      <c r="C258" s="1" t="n">
        <v>45849</v>
      </c>
      <c r="D258" t="inlineStr">
        <is>
          <t>DALARNAS LÄN</t>
        </is>
      </c>
      <c r="E258" t="inlineStr">
        <is>
          <t>LUDVIKA</t>
        </is>
      </c>
      <c r="G258" t="n">
        <v>1.9</v>
      </c>
      <c r="H258" t="n">
        <v>0</v>
      </c>
      <c r="I258" t="n">
        <v>0</v>
      </c>
      <c r="J258" t="n">
        <v>0</v>
      </c>
      <c r="K258" t="n">
        <v>0</v>
      </c>
      <c r="L258" t="n">
        <v>0</v>
      </c>
      <c r="M258" t="n">
        <v>0</v>
      </c>
      <c r="N258" t="n">
        <v>0</v>
      </c>
      <c r="O258" t="n">
        <v>0</v>
      </c>
      <c r="P258" t="n">
        <v>0</v>
      </c>
      <c r="Q258" t="n">
        <v>0</v>
      </c>
      <c r="R258" s="2" t="inlineStr"/>
    </row>
    <row r="259" ht="15" customHeight="1">
      <c r="A259" t="inlineStr">
        <is>
          <t>A 8319-2021</t>
        </is>
      </c>
      <c r="B259" s="1" t="n">
        <v>44244</v>
      </c>
      <c r="C259" s="1" t="n">
        <v>45849</v>
      </c>
      <c r="D259" t="inlineStr">
        <is>
          <t>DALARNAS LÄN</t>
        </is>
      </c>
      <c r="E259" t="inlineStr">
        <is>
          <t>LUDVIKA</t>
        </is>
      </c>
      <c r="G259" t="n">
        <v>0.5</v>
      </c>
      <c r="H259" t="n">
        <v>0</v>
      </c>
      <c r="I259" t="n">
        <v>0</v>
      </c>
      <c r="J259" t="n">
        <v>0</v>
      </c>
      <c r="K259" t="n">
        <v>0</v>
      </c>
      <c r="L259" t="n">
        <v>0</v>
      </c>
      <c r="M259" t="n">
        <v>0</v>
      </c>
      <c r="N259" t="n">
        <v>0</v>
      </c>
      <c r="O259" t="n">
        <v>0</v>
      </c>
      <c r="P259" t="n">
        <v>0</v>
      </c>
      <c r="Q259" t="n">
        <v>0</v>
      </c>
      <c r="R259" s="2" t="inlineStr"/>
    </row>
    <row r="260" ht="15" customHeight="1">
      <c r="A260" t="inlineStr">
        <is>
          <t>A 9292-2021</t>
        </is>
      </c>
      <c r="B260" s="1" t="n">
        <v>44249</v>
      </c>
      <c r="C260" s="1" t="n">
        <v>45849</v>
      </c>
      <c r="D260" t="inlineStr">
        <is>
          <t>DALARNAS LÄN</t>
        </is>
      </c>
      <c r="E260" t="inlineStr">
        <is>
          <t>LUDVIKA</t>
        </is>
      </c>
      <c r="G260" t="n">
        <v>5.1</v>
      </c>
      <c r="H260" t="n">
        <v>0</v>
      </c>
      <c r="I260" t="n">
        <v>0</v>
      </c>
      <c r="J260" t="n">
        <v>0</v>
      </c>
      <c r="K260" t="n">
        <v>0</v>
      </c>
      <c r="L260" t="n">
        <v>0</v>
      </c>
      <c r="M260" t="n">
        <v>0</v>
      </c>
      <c r="N260" t="n">
        <v>0</v>
      </c>
      <c r="O260" t="n">
        <v>0</v>
      </c>
      <c r="P260" t="n">
        <v>0</v>
      </c>
      <c r="Q260" t="n">
        <v>0</v>
      </c>
      <c r="R260" s="2" t="inlineStr"/>
    </row>
    <row r="261" ht="15" customHeight="1">
      <c r="A261" t="inlineStr">
        <is>
          <t>A 11611-2021</t>
        </is>
      </c>
      <c r="B261" s="1" t="n">
        <v>44264</v>
      </c>
      <c r="C261" s="1" t="n">
        <v>45849</v>
      </c>
      <c r="D261" t="inlineStr">
        <is>
          <t>DALARNAS LÄN</t>
        </is>
      </c>
      <c r="E261" t="inlineStr">
        <is>
          <t>LUDVIKA</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13778-2021</t>
        </is>
      </c>
      <c r="B262" s="1" t="n">
        <v>44274</v>
      </c>
      <c r="C262" s="1" t="n">
        <v>45849</v>
      </c>
      <c r="D262" t="inlineStr">
        <is>
          <t>DALARNAS LÄN</t>
        </is>
      </c>
      <c r="E262" t="inlineStr">
        <is>
          <t>LUDVIKA</t>
        </is>
      </c>
      <c r="G262" t="n">
        <v>5.8</v>
      </c>
      <c r="H262" t="n">
        <v>0</v>
      </c>
      <c r="I262" t="n">
        <v>0</v>
      </c>
      <c r="J262" t="n">
        <v>0</v>
      </c>
      <c r="K262" t="n">
        <v>0</v>
      </c>
      <c r="L262" t="n">
        <v>0</v>
      </c>
      <c r="M262" t="n">
        <v>0</v>
      </c>
      <c r="N262" t="n">
        <v>0</v>
      </c>
      <c r="O262" t="n">
        <v>0</v>
      </c>
      <c r="P262" t="n">
        <v>0</v>
      </c>
      <c r="Q262" t="n">
        <v>0</v>
      </c>
      <c r="R262" s="2" t="inlineStr"/>
    </row>
    <row r="263" ht="15" customHeight="1">
      <c r="A263" t="inlineStr">
        <is>
          <t>A 15020-2021</t>
        </is>
      </c>
      <c r="B263" s="1" t="n">
        <v>44281</v>
      </c>
      <c r="C263" s="1" t="n">
        <v>45849</v>
      </c>
      <c r="D263" t="inlineStr">
        <is>
          <t>DALARNAS LÄN</t>
        </is>
      </c>
      <c r="E263" t="inlineStr">
        <is>
          <t>LUDVIKA</t>
        </is>
      </c>
      <c r="F263" t="inlineStr">
        <is>
          <t>Bergvik skog väst AB</t>
        </is>
      </c>
      <c r="G263" t="n">
        <v>0.4</v>
      </c>
      <c r="H263" t="n">
        <v>0</v>
      </c>
      <c r="I263" t="n">
        <v>0</v>
      </c>
      <c r="J263" t="n">
        <v>0</v>
      </c>
      <c r="K263" t="n">
        <v>0</v>
      </c>
      <c r="L263" t="n">
        <v>0</v>
      </c>
      <c r="M263" t="n">
        <v>0</v>
      </c>
      <c r="N263" t="n">
        <v>0</v>
      </c>
      <c r="O263" t="n">
        <v>0</v>
      </c>
      <c r="P263" t="n">
        <v>0</v>
      </c>
      <c r="Q263" t="n">
        <v>0</v>
      </c>
      <c r="R263" s="2" t="inlineStr"/>
    </row>
    <row r="264" ht="15" customHeight="1">
      <c r="A264" t="inlineStr">
        <is>
          <t>A 15700-2021</t>
        </is>
      </c>
      <c r="B264" s="1" t="n">
        <v>44286</v>
      </c>
      <c r="C264" s="1" t="n">
        <v>45849</v>
      </c>
      <c r="D264" t="inlineStr">
        <is>
          <t>DALARNAS LÄN</t>
        </is>
      </c>
      <c r="E264" t="inlineStr">
        <is>
          <t>LUDVIKA</t>
        </is>
      </c>
      <c r="G264" t="n">
        <v>2.2</v>
      </c>
      <c r="H264" t="n">
        <v>0</v>
      </c>
      <c r="I264" t="n">
        <v>0</v>
      </c>
      <c r="J264" t="n">
        <v>0</v>
      </c>
      <c r="K264" t="n">
        <v>0</v>
      </c>
      <c r="L264" t="n">
        <v>0</v>
      </c>
      <c r="M264" t="n">
        <v>0</v>
      </c>
      <c r="N264" t="n">
        <v>0</v>
      </c>
      <c r="O264" t="n">
        <v>0</v>
      </c>
      <c r="P264" t="n">
        <v>0</v>
      </c>
      <c r="Q264" t="n">
        <v>0</v>
      </c>
      <c r="R264" s="2" t="inlineStr"/>
    </row>
    <row r="265" ht="15" customHeight="1">
      <c r="A265" t="inlineStr">
        <is>
          <t>A 16108-2021</t>
        </is>
      </c>
      <c r="B265" s="1" t="n">
        <v>44291</v>
      </c>
      <c r="C265" s="1" t="n">
        <v>45849</v>
      </c>
      <c r="D265" t="inlineStr">
        <is>
          <t>DALARNAS LÄN</t>
        </is>
      </c>
      <c r="E265" t="inlineStr">
        <is>
          <t>LUDVIKA</t>
        </is>
      </c>
      <c r="G265" t="n">
        <v>2.9</v>
      </c>
      <c r="H265" t="n">
        <v>0</v>
      </c>
      <c r="I265" t="n">
        <v>0</v>
      </c>
      <c r="J265" t="n">
        <v>0</v>
      </c>
      <c r="K265" t="n">
        <v>0</v>
      </c>
      <c r="L265" t="n">
        <v>0</v>
      </c>
      <c r="M265" t="n">
        <v>0</v>
      </c>
      <c r="N265" t="n">
        <v>0</v>
      </c>
      <c r="O265" t="n">
        <v>0</v>
      </c>
      <c r="P265" t="n">
        <v>0</v>
      </c>
      <c r="Q265" t="n">
        <v>0</v>
      </c>
      <c r="R265" s="2" t="inlineStr"/>
    </row>
    <row r="266" ht="15" customHeight="1">
      <c r="A266" t="inlineStr">
        <is>
          <t>A 16187-2021</t>
        </is>
      </c>
      <c r="B266" s="1" t="n">
        <v>44292</v>
      </c>
      <c r="C266" s="1" t="n">
        <v>45849</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16203-2021</t>
        </is>
      </c>
      <c r="B267" s="1" t="n">
        <v>44292</v>
      </c>
      <c r="C267" s="1" t="n">
        <v>45849</v>
      </c>
      <c r="D267" t="inlineStr">
        <is>
          <t>DALARNAS LÄN</t>
        </is>
      </c>
      <c r="E267" t="inlineStr">
        <is>
          <t>LUDVIKA</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17420-2021</t>
        </is>
      </c>
      <c r="B268" s="1" t="n">
        <v>44299</v>
      </c>
      <c r="C268" s="1" t="n">
        <v>45849</v>
      </c>
      <c r="D268" t="inlineStr">
        <is>
          <t>DALARNAS LÄN</t>
        </is>
      </c>
      <c r="E268" t="inlineStr">
        <is>
          <t>LUDVIKA</t>
        </is>
      </c>
      <c r="G268" t="n">
        <v>5.8</v>
      </c>
      <c r="H268" t="n">
        <v>0</v>
      </c>
      <c r="I268" t="n">
        <v>0</v>
      </c>
      <c r="J268" t="n">
        <v>0</v>
      </c>
      <c r="K268" t="n">
        <v>0</v>
      </c>
      <c r="L268" t="n">
        <v>0</v>
      </c>
      <c r="M268" t="n">
        <v>0</v>
      </c>
      <c r="N268" t="n">
        <v>0</v>
      </c>
      <c r="O268" t="n">
        <v>0</v>
      </c>
      <c r="P268" t="n">
        <v>0</v>
      </c>
      <c r="Q268" t="n">
        <v>0</v>
      </c>
      <c r="R268" s="2" t="inlineStr"/>
    </row>
    <row r="269" ht="15" customHeight="1">
      <c r="A269" t="inlineStr">
        <is>
          <t>A 18025-2021</t>
        </is>
      </c>
      <c r="B269" s="1" t="n">
        <v>44302</v>
      </c>
      <c r="C269" s="1" t="n">
        <v>45849</v>
      </c>
      <c r="D269" t="inlineStr">
        <is>
          <t>DALARNAS LÄN</t>
        </is>
      </c>
      <c r="E269" t="inlineStr">
        <is>
          <t>LUDVIKA</t>
        </is>
      </c>
      <c r="G269" t="n">
        <v>0.8</v>
      </c>
      <c r="H269" t="n">
        <v>0</v>
      </c>
      <c r="I269" t="n">
        <v>0</v>
      </c>
      <c r="J269" t="n">
        <v>0</v>
      </c>
      <c r="K269" t="n">
        <v>0</v>
      </c>
      <c r="L269" t="n">
        <v>0</v>
      </c>
      <c r="M269" t="n">
        <v>0</v>
      </c>
      <c r="N269" t="n">
        <v>0</v>
      </c>
      <c r="O269" t="n">
        <v>0</v>
      </c>
      <c r="P269" t="n">
        <v>0</v>
      </c>
      <c r="Q269" t="n">
        <v>0</v>
      </c>
      <c r="R269" s="2" t="inlineStr"/>
    </row>
    <row r="270" ht="15" customHeight="1">
      <c r="A270" t="inlineStr">
        <is>
          <t>A 20598-2021</t>
        </is>
      </c>
      <c r="B270" s="1" t="n">
        <v>44316</v>
      </c>
      <c r="C270" s="1" t="n">
        <v>45849</v>
      </c>
      <c r="D270" t="inlineStr">
        <is>
          <t>DALARNAS LÄN</t>
        </is>
      </c>
      <c r="E270" t="inlineStr">
        <is>
          <t>LUDVIKA</t>
        </is>
      </c>
      <c r="F270" t="inlineStr">
        <is>
          <t>Naturvårdsverket</t>
        </is>
      </c>
      <c r="G270" t="n">
        <v>2.4</v>
      </c>
      <c r="H270" t="n">
        <v>0</v>
      </c>
      <c r="I270" t="n">
        <v>0</v>
      </c>
      <c r="J270" t="n">
        <v>0</v>
      </c>
      <c r="K270" t="n">
        <v>0</v>
      </c>
      <c r="L270" t="n">
        <v>0</v>
      </c>
      <c r="M270" t="n">
        <v>0</v>
      </c>
      <c r="N270" t="n">
        <v>0</v>
      </c>
      <c r="O270" t="n">
        <v>0</v>
      </c>
      <c r="P270" t="n">
        <v>0</v>
      </c>
      <c r="Q270" t="n">
        <v>0</v>
      </c>
      <c r="R270" s="2" t="inlineStr"/>
    </row>
    <row r="271" ht="15" customHeight="1">
      <c r="A271" t="inlineStr">
        <is>
          <t>A 20599-2021</t>
        </is>
      </c>
      <c r="B271" s="1" t="n">
        <v>44316</v>
      </c>
      <c r="C271" s="1" t="n">
        <v>45849</v>
      </c>
      <c r="D271" t="inlineStr">
        <is>
          <t>DALARNAS LÄN</t>
        </is>
      </c>
      <c r="E271" t="inlineStr">
        <is>
          <t>LUDVIKA</t>
        </is>
      </c>
      <c r="F271" t="inlineStr">
        <is>
          <t>Naturvårdsverket</t>
        </is>
      </c>
      <c r="G271" t="n">
        <v>1.2</v>
      </c>
      <c r="H271" t="n">
        <v>0</v>
      </c>
      <c r="I271" t="n">
        <v>0</v>
      </c>
      <c r="J271" t="n">
        <v>0</v>
      </c>
      <c r="K271" t="n">
        <v>0</v>
      </c>
      <c r="L271" t="n">
        <v>0</v>
      </c>
      <c r="M271" t="n">
        <v>0</v>
      </c>
      <c r="N271" t="n">
        <v>0</v>
      </c>
      <c r="O271" t="n">
        <v>0</v>
      </c>
      <c r="P271" t="n">
        <v>0</v>
      </c>
      <c r="Q271" t="n">
        <v>0</v>
      </c>
      <c r="R271" s="2" t="inlineStr"/>
    </row>
    <row r="272" ht="15" customHeight="1">
      <c r="A272" t="inlineStr">
        <is>
          <t>A 20690-2021</t>
        </is>
      </c>
      <c r="B272" s="1" t="n">
        <v>44316</v>
      </c>
      <c r="C272" s="1" t="n">
        <v>45849</v>
      </c>
      <c r="D272" t="inlineStr">
        <is>
          <t>DALARNAS LÄN</t>
        </is>
      </c>
      <c r="E272" t="inlineStr">
        <is>
          <t>LUDVIKA</t>
        </is>
      </c>
      <c r="F272" t="inlineStr">
        <is>
          <t>Naturvårdsverket</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20700-2021</t>
        </is>
      </c>
      <c r="B273" s="1" t="n">
        <v>44316</v>
      </c>
      <c r="C273" s="1" t="n">
        <v>45849</v>
      </c>
      <c r="D273" t="inlineStr">
        <is>
          <t>DALARNAS LÄN</t>
        </is>
      </c>
      <c r="E273" t="inlineStr">
        <is>
          <t>LUDVIKA</t>
        </is>
      </c>
      <c r="F273" t="inlineStr">
        <is>
          <t>Naturvårdsverket</t>
        </is>
      </c>
      <c r="G273" t="n">
        <v>2.5</v>
      </c>
      <c r="H273" t="n">
        <v>0</v>
      </c>
      <c r="I273" t="n">
        <v>0</v>
      </c>
      <c r="J273" t="n">
        <v>0</v>
      </c>
      <c r="K273" t="n">
        <v>0</v>
      </c>
      <c r="L273" t="n">
        <v>0</v>
      </c>
      <c r="M273" t="n">
        <v>0</v>
      </c>
      <c r="N273" t="n">
        <v>0</v>
      </c>
      <c r="O273" t="n">
        <v>0</v>
      </c>
      <c r="P273" t="n">
        <v>0</v>
      </c>
      <c r="Q273" t="n">
        <v>0</v>
      </c>
      <c r="R273" s="2" t="inlineStr"/>
    </row>
    <row r="274" ht="15" customHeight="1">
      <c r="A274" t="inlineStr">
        <is>
          <t>A 20596-2021</t>
        </is>
      </c>
      <c r="B274" s="1" t="n">
        <v>44316</v>
      </c>
      <c r="C274" s="1" t="n">
        <v>45849</v>
      </c>
      <c r="D274" t="inlineStr">
        <is>
          <t>DALARNAS LÄN</t>
        </is>
      </c>
      <c r="E274" t="inlineStr">
        <is>
          <t>LUDVIKA</t>
        </is>
      </c>
      <c r="F274" t="inlineStr">
        <is>
          <t>Naturvårdsverket</t>
        </is>
      </c>
      <c r="G274" t="n">
        <v>2.3</v>
      </c>
      <c r="H274" t="n">
        <v>0</v>
      </c>
      <c r="I274" t="n">
        <v>0</v>
      </c>
      <c r="J274" t="n">
        <v>0</v>
      </c>
      <c r="K274" t="n">
        <v>0</v>
      </c>
      <c r="L274" t="n">
        <v>0</v>
      </c>
      <c r="M274" t="n">
        <v>0</v>
      </c>
      <c r="N274" t="n">
        <v>0</v>
      </c>
      <c r="O274" t="n">
        <v>0</v>
      </c>
      <c r="P274" t="n">
        <v>0</v>
      </c>
      <c r="Q274" t="n">
        <v>0</v>
      </c>
      <c r="R274" s="2" t="inlineStr"/>
    </row>
    <row r="275" ht="15" customHeight="1">
      <c r="A275" t="inlineStr">
        <is>
          <t>A 21712-2021</t>
        </is>
      </c>
      <c r="B275" s="1" t="n">
        <v>44322</v>
      </c>
      <c r="C275" s="1" t="n">
        <v>45849</v>
      </c>
      <c r="D275" t="inlineStr">
        <is>
          <t>DALARNAS LÄN</t>
        </is>
      </c>
      <c r="E275" t="inlineStr">
        <is>
          <t>LUDVIKA</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21716-2021</t>
        </is>
      </c>
      <c r="B276" s="1" t="n">
        <v>44322</v>
      </c>
      <c r="C276" s="1" t="n">
        <v>45849</v>
      </c>
      <c r="D276" t="inlineStr">
        <is>
          <t>DALARNAS LÄN</t>
        </is>
      </c>
      <c r="E276" t="inlineStr">
        <is>
          <t>LUDVIKA</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21887-2021</t>
        </is>
      </c>
      <c r="B277" s="1" t="n">
        <v>44322</v>
      </c>
      <c r="C277" s="1" t="n">
        <v>45849</v>
      </c>
      <c r="D277" t="inlineStr">
        <is>
          <t>DALARNAS LÄN</t>
        </is>
      </c>
      <c r="E277" t="inlineStr">
        <is>
          <t>LUDVIKA</t>
        </is>
      </c>
      <c r="F277" t="inlineStr">
        <is>
          <t>Bergvik skog väst AB</t>
        </is>
      </c>
      <c r="G277" t="n">
        <v>3.8</v>
      </c>
      <c r="H277" t="n">
        <v>0</v>
      </c>
      <c r="I277" t="n">
        <v>0</v>
      </c>
      <c r="J277" t="n">
        <v>0</v>
      </c>
      <c r="K277" t="n">
        <v>0</v>
      </c>
      <c r="L277" t="n">
        <v>0</v>
      </c>
      <c r="M277" t="n">
        <v>0</v>
      </c>
      <c r="N277" t="n">
        <v>0</v>
      </c>
      <c r="O277" t="n">
        <v>0</v>
      </c>
      <c r="P277" t="n">
        <v>0</v>
      </c>
      <c r="Q277" t="n">
        <v>0</v>
      </c>
      <c r="R277" s="2" t="inlineStr"/>
    </row>
    <row r="278" ht="15" customHeight="1">
      <c r="A278" t="inlineStr">
        <is>
          <t>A 23101-2021</t>
        </is>
      </c>
      <c r="B278" s="1" t="n">
        <v>44330</v>
      </c>
      <c r="C278" s="1" t="n">
        <v>45849</v>
      </c>
      <c r="D278" t="inlineStr">
        <is>
          <t>DALARNAS LÄN</t>
        </is>
      </c>
      <c r="E278" t="inlineStr">
        <is>
          <t>LUDVIKA</t>
        </is>
      </c>
      <c r="F278" t="inlineStr">
        <is>
          <t>Bergvik skog väst AB</t>
        </is>
      </c>
      <c r="G278" t="n">
        <v>4.6</v>
      </c>
      <c r="H278" t="n">
        <v>0</v>
      </c>
      <c r="I278" t="n">
        <v>0</v>
      </c>
      <c r="J278" t="n">
        <v>0</v>
      </c>
      <c r="K278" t="n">
        <v>0</v>
      </c>
      <c r="L278" t="n">
        <v>0</v>
      </c>
      <c r="M278" t="n">
        <v>0</v>
      </c>
      <c r="N278" t="n">
        <v>0</v>
      </c>
      <c r="O278" t="n">
        <v>0</v>
      </c>
      <c r="P278" t="n">
        <v>0</v>
      </c>
      <c r="Q278" t="n">
        <v>0</v>
      </c>
      <c r="R278" s="2" t="inlineStr"/>
    </row>
    <row r="279" ht="15" customHeight="1">
      <c r="A279" t="inlineStr">
        <is>
          <t>A 23245-2021</t>
        </is>
      </c>
      <c r="B279" s="1" t="n">
        <v>44333</v>
      </c>
      <c r="C279" s="1" t="n">
        <v>45849</v>
      </c>
      <c r="D279" t="inlineStr">
        <is>
          <t>DALARNAS LÄN</t>
        </is>
      </c>
      <c r="E279" t="inlineStr">
        <is>
          <t>LUDVIKA</t>
        </is>
      </c>
      <c r="F279" t="inlineStr">
        <is>
          <t>Kyrkan</t>
        </is>
      </c>
      <c r="G279" t="n">
        <v>3.2</v>
      </c>
      <c r="H279" t="n">
        <v>0</v>
      </c>
      <c r="I279" t="n">
        <v>0</v>
      </c>
      <c r="J279" t="n">
        <v>0</v>
      </c>
      <c r="K279" t="n">
        <v>0</v>
      </c>
      <c r="L279" t="n">
        <v>0</v>
      </c>
      <c r="M279" t="n">
        <v>0</v>
      </c>
      <c r="N279" t="n">
        <v>0</v>
      </c>
      <c r="O279" t="n">
        <v>0</v>
      </c>
      <c r="P279" t="n">
        <v>0</v>
      </c>
      <c r="Q279" t="n">
        <v>0</v>
      </c>
      <c r="R279" s="2" t="inlineStr"/>
    </row>
    <row r="280" ht="15" customHeight="1">
      <c r="A280" t="inlineStr">
        <is>
          <t>A 23271-2021</t>
        </is>
      </c>
      <c r="B280" s="1" t="n">
        <v>44333</v>
      </c>
      <c r="C280" s="1" t="n">
        <v>45849</v>
      </c>
      <c r="D280" t="inlineStr">
        <is>
          <t>DALARNAS LÄN</t>
        </is>
      </c>
      <c r="E280" t="inlineStr">
        <is>
          <t>LUDVIKA</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24033-2021</t>
        </is>
      </c>
      <c r="B281" s="1" t="n">
        <v>44336</v>
      </c>
      <c r="C281" s="1" t="n">
        <v>45849</v>
      </c>
      <c r="D281" t="inlineStr">
        <is>
          <t>DALARNAS LÄN</t>
        </is>
      </c>
      <c r="E281" t="inlineStr">
        <is>
          <t>LUDVIKA</t>
        </is>
      </c>
      <c r="F281" t="inlineStr">
        <is>
          <t>Allmännings- och besparingsskogar</t>
        </is>
      </c>
      <c r="G281" t="n">
        <v>0.9</v>
      </c>
      <c r="H281" t="n">
        <v>0</v>
      </c>
      <c r="I281" t="n">
        <v>0</v>
      </c>
      <c r="J281" t="n">
        <v>0</v>
      </c>
      <c r="K281" t="n">
        <v>0</v>
      </c>
      <c r="L281" t="n">
        <v>0</v>
      </c>
      <c r="M281" t="n">
        <v>0</v>
      </c>
      <c r="N281" t="n">
        <v>0</v>
      </c>
      <c r="O281" t="n">
        <v>0</v>
      </c>
      <c r="P281" t="n">
        <v>0</v>
      </c>
      <c r="Q281" t="n">
        <v>0</v>
      </c>
      <c r="R281" s="2" t="inlineStr"/>
    </row>
    <row r="282" ht="15" customHeight="1">
      <c r="A282" t="inlineStr">
        <is>
          <t>A 24080-2021</t>
        </is>
      </c>
      <c r="B282" s="1" t="n">
        <v>44336</v>
      </c>
      <c r="C282" s="1" t="n">
        <v>45849</v>
      </c>
      <c r="D282" t="inlineStr">
        <is>
          <t>DALARNAS LÄN</t>
        </is>
      </c>
      <c r="E282" t="inlineStr">
        <is>
          <t>LUDVIKA</t>
        </is>
      </c>
      <c r="G282" t="n">
        <v>0.7</v>
      </c>
      <c r="H282" t="n">
        <v>0</v>
      </c>
      <c r="I282" t="n">
        <v>0</v>
      </c>
      <c r="J282" t="n">
        <v>0</v>
      </c>
      <c r="K282" t="n">
        <v>0</v>
      </c>
      <c r="L282" t="n">
        <v>0</v>
      </c>
      <c r="M282" t="n">
        <v>0</v>
      </c>
      <c r="N282" t="n">
        <v>0</v>
      </c>
      <c r="O282" t="n">
        <v>0</v>
      </c>
      <c r="P282" t="n">
        <v>0</v>
      </c>
      <c r="Q282" t="n">
        <v>0</v>
      </c>
      <c r="R282" s="2" t="inlineStr"/>
    </row>
    <row r="283" ht="15" customHeight="1">
      <c r="A283" t="inlineStr">
        <is>
          <t>A 24469-2021</t>
        </is>
      </c>
      <c r="B283" s="1" t="n">
        <v>44337</v>
      </c>
      <c r="C283" s="1" t="n">
        <v>45849</v>
      </c>
      <c r="D283" t="inlineStr">
        <is>
          <t>DALARNAS LÄN</t>
        </is>
      </c>
      <c r="E283" t="inlineStr">
        <is>
          <t>LUDVIKA</t>
        </is>
      </c>
      <c r="F283" t="inlineStr">
        <is>
          <t>Bergvik skog väst AB</t>
        </is>
      </c>
      <c r="G283" t="n">
        <v>6.9</v>
      </c>
      <c r="H283" t="n">
        <v>0</v>
      </c>
      <c r="I283" t="n">
        <v>0</v>
      </c>
      <c r="J283" t="n">
        <v>0</v>
      </c>
      <c r="K283" t="n">
        <v>0</v>
      </c>
      <c r="L283" t="n">
        <v>0</v>
      </c>
      <c r="M283" t="n">
        <v>0</v>
      </c>
      <c r="N283" t="n">
        <v>0</v>
      </c>
      <c r="O283" t="n">
        <v>0</v>
      </c>
      <c r="P283" t="n">
        <v>0</v>
      </c>
      <c r="Q283" t="n">
        <v>0</v>
      </c>
      <c r="R283" s="2" t="inlineStr"/>
    </row>
    <row r="284" ht="15" customHeight="1">
      <c r="A284" t="inlineStr">
        <is>
          <t>A 24906-2021</t>
        </is>
      </c>
      <c r="B284" s="1" t="n">
        <v>44341</v>
      </c>
      <c r="C284" s="1" t="n">
        <v>45849</v>
      </c>
      <c r="D284" t="inlineStr">
        <is>
          <t>DALARNAS LÄN</t>
        </is>
      </c>
      <c r="E284" t="inlineStr">
        <is>
          <t>LUDVIKA</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26066-2021</t>
        </is>
      </c>
      <c r="B285" s="1" t="n">
        <v>44344</v>
      </c>
      <c r="C285" s="1" t="n">
        <v>45849</v>
      </c>
      <c r="D285" t="inlineStr">
        <is>
          <t>DALARNAS LÄN</t>
        </is>
      </c>
      <c r="E285" t="inlineStr">
        <is>
          <t>LUDVIKA</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26054-2021</t>
        </is>
      </c>
      <c r="B286" s="1" t="n">
        <v>44344</v>
      </c>
      <c r="C286" s="1" t="n">
        <v>45849</v>
      </c>
      <c r="D286" t="inlineStr">
        <is>
          <t>DALARNAS LÄN</t>
        </is>
      </c>
      <c r="E286" t="inlineStr">
        <is>
          <t>LUDVIKA</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29000-2021</t>
        </is>
      </c>
      <c r="B287" s="1" t="n">
        <v>44358</v>
      </c>
      <c r="C287" s="1" t="n">
        <v>45849</v>
      </c>
      <c r="D287" t="inlineStr">
        <is>
          <t>DALARNAS LÄN</t>
        </is>
      </c>
      <c r="E287" t="inlineStr">
        <is>
          <t>LUDVIKA</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29789-2021</t>
        </is>
      </c>
      <c r="B288" s="1" t="n">
        <v>44362</v>
      </c>
      <c r="C288" s="1" t="n">
        <v>45849</v>
      </c>
      <c r="D288" t="inlineStr">
        <is>
          <t>DALARNAS LÄN</t>
        </is>
      </c>
      <c r="E288" t="inlineStr">
        <is>
          <t>LUDVIKA</t>
        </is>
      </c>
      <c r="F288" t="inlineStr">
        <is>
          <t>Övriga Aktiebolag</t>
        </is>
      </c>
      <c r="G288" t="n">
        <v>0.9</v>
      </c>
      <c r="H288" t="n">
        <v>0</v>
      </c>
      <c r="I288" t="n">
        <v>0</v>
      </c>
      <c r="J288" t="n">
        <v>0</v>
      </c>
      <c r="K288" t="n">
        <v>0</v>
      </c>
      <c r="L288" t="n">
        <v>0</v>
      </c>
      <c r="M288" t="n">
        <v>0</v>
      </c>
      <c r="N288" t="n">
        <v>0</v>
      </c>
      <c r="O288" t="n">
        <v>0</v>
      </c>
      <c r="P288" t="n">
        <v>0</v>
      </c>
      <c r="Q288" t="n">
        <v>0</v>
      </c>
      <c r="R288" s="2" t="inlineStr"/>
    </row>
    <row r="289" ht="15" customHeight="1">
      <c r="A289" t="inlineStr">
        <is>
          <t>A 30502-2021</t>
        </is>
      </c>
      <c r="B289" s="1" t="n">
        <v>44364</v>
      </c>
      <c r="C289" s="1" t="n">
        <v>45849</v>
      </c>
      <c r="D289" t="inlineStr">
        <is>
          <t>DALARNAS LÄN</t>
        </is>
      </c>
      <c r="E289" t="inlineStr">
        <is>
          <t>LUDVIKA</t>
        </is>
      </c>
      <c r="F289" t="inlineStr">
        <is>
          <t>Bergvik skog väst AB</t>
        </is>
      </c>
      <c r="G289" t="n">
        <v>0.9</v>
      </c>
      <c r="H289" t="n">
        <v>0</v>
      </c>
      <c r="I289" t="n">
        <v>0</v>
      </c>
      <c r="J289" t="n">
        <v>0</v>
      </c>
      <c r="K289" t="n">
        <v>0</v>
      </c>
      <c r="L289" t="n">
        <v>0</v>
      </c>
      <c r="M289" t="n">
        <v>0</v>
      </c>
      <c r="N289" t="n">
        <v>0</v>
      </c>
      <c r="O289" t="n">
        <v>0</v>
      </c>
      <c r="P289" t="n">
        <v>0</v>
      </c>
      <c r="Q289" t="n">
        <v>0</v>
      </c>
      <c r="R289" s="2" t="inlineStr"/>
    </row>
    <row r="290" ht="15" customHeight="1">
      <c r="A290" t="inlineStr">
        <is>
          <t>A 31086-2021</t>
        </is>
      </c>
      <c r="B290" s="1" t="n">
        <v>44368</v>
      </c>
      <c r="C290" s="1" t="n">
        <v>45849</v>
      </c>
      <c r="D290" t="inlineStr">
        <is>
          <t>DALARNAS LÄN</t>
        </is>
      </c>
      <c r="E290" t="inlineStr">
        <is>
          <t>LUDVIKA</t>
        </is>
      </c>
      <c r="G290" t="n">
        <v>0.8</v>
      </c>
      <c r="H290" t="n">
        <v>0</v>
      </c>
      <c r="I290" t="n">
        <v>0</v>
      </c>
      <c r="J290" t="n">
        <v>0</v>
      </c>
      <c r="K290" t="n">
        <v>0</v>
      </c>
      <c r="L290" t="n">
        <v>0</v>
      </c>
      <c r="M290" t="n">
        <v>0</v>
      </c>
      <c r="N290" t="n">
        <v>0</v>
      </c>
      <c r="O290" t="n">
        <v>0</v>
      </c>
      <c r="P290" t="n">
        <v>0</v>
      </c>
      <c r="Q290" t="n">
        <v>0</v>
      </c>
      <c r="R290" s="2" t="inlineStr"/>
    </row>
    <row r="291" ht="15" customHeight="1">
      <c r="A291" t="inlineStr">
        <is>
          <t>A 31465-2021</t>
        </is>
      </c>
      <c r="B291" s="1" t="n">
        <v>44369</v>
      </c>
      <c r="C291" s="1" t="n">
        <v>45849</v>
      </c>
      <c r="D291" t="inlineStr">
        <is>
          <t>DALARNAS LÄN</t>
        </is>
      </c>
      <c r="E291" t="inlineStr">
        <is>
          <t>LUDVIKA</t>
        </is>
      </c>
      <c r="F291" t="inlineStr">
        <is>
          <t>Naturvårdsverket</t>
        </is>
      </c>
      <c r="G291" t="n">
        <v>2.4</v>
      </c>
      <c r="H291" t="n">
        <v>0</v>
      </c>
      <c r="I291" t="n">
        <v>0</v>
      </c>
      <c r="J291" t="n">
        <v>0</v>
      </c>
      <c r="K291" t="n">
        <v>0</v>
      </c>
      <c r="L291" t="n">
        <v>0</v>
      </c>
      <c r="M291" t="n">
        <v>0</v>
      </c>
      <c r="N291" t="n">
        <v>0</v>
      </c>
      <c r="O291" t="n">
        <v>0</v>
      </c>
      <c r="P291" t="n">
        <v>0</v>
      </c>
      <c r="Q291" t="n">
        <v>0</v>
      </c>
      <c r="R291" s="2" t="inlineStr"/>
    </row>
    <row r="292" ht="15" customHeight="1">
      <c r="A292" t="inlineStr">
        <is>
          <t>A 31550-2021</t>
        </is>
      </c>
      <c r="B292" s="1" t="n">
        <v>44369</v>
      </c>
      <c r="C292" s="1" t="n">
        <v>45849</v>
      </c>
      <c r="D292" t="inlineStr">
        <is>
          <t>DALARNAS LÄN</t>
        </is>
      </c>
      <c r="E292" t="inlineStr">
        <is>
          <t>LUDVIKA</t>
        </is>
      </c>
      <c r="G292" t="n">
        <v>2.8</v>
      </c>
      <c r="H292" t="n">
        <v>0</v>
      </c>
      <c r="I292" t="n">
        <v>0</v>
      </c>
      <c r="J292" t="n">
        <v>0</v>
      </c>
      <c r="K292" t="n">
        <v>0</v>
      </c>
      <c r="L292" t="n">
        <v>0</v>
      </c>
      <c r="M292" t="n">
        <v>0</v>
      </c>
      <c r="N292" t="n">
        <v>0</v>
      </c>
      <c r="O292" t="n">
        <v>0</v>
      </c>
      <c r="P292" t="n">
        <v>0</v>
      </c>
      <c r="Q292" t="n">
        <v>0</v>
      </c>
      <c r="R292" s="2" t="inlineStr"/>
    </row>
    <row r="293" ht="15" customHeight="1">
      <c r="A293" t="inlineStr">
        <is>
          <t>A 31921-2021</t>
        </is>
      </c>
      <c r="B293" s="1" t="n">
        <v>44370</v>
      </c>
      <c r="C293" s="1" t="n">
        <v>45849</v>
      </c>
      <c r="D293" t="inlineStr">
        <is>
          <t>DALARNAS LÄN</t>
        </is>
      </c>
      <c r="E293" t="inlineStr">
        <is>
          <t>LUDVIKA</t>
        </is>
      </c>
      <c r="F293" t="inlineStr">
        <is>
          <t>Övriga Aktiebolag</t>
        </is>
      </c>
      <c r="G293" t="n">
        <v>0.5</v>
      </c>
      <c r="H293" t="n">
        <v>0</v>
      </c>
      <c r="I293" t="n">
        <v>0</v>
      </c>
      <c r="J293" t="n">
        <v>0</v>
      </c>
      <c r="K293" t="n">
        <v>0</v>
      </c>
      <c r="L293" t="n">
        <v>0</v>
      </c>
      <c r="M293" t="n">
        <v>0</v>
      </c>
      <c r="N293" t="n">
        <v>0</v>
      </c>
      <c r="O293" t="n">
        <v>0</v>
      </c>
      <c r="P293" t="n">
        <v>0</v>
      </c>
      <c r="Q293" t="n">
        <v>0</v>
      </c>
      <c r="R293" s="2" t="inlineStr"/>
    </row>
    <row r="294" ht="15" customHeight="1">
      <c r="A294" t="inlineStr">
        <is>
          <t>A 31925-2021</t>
        </is>
      </c>
      <c r="B294" s="1" t="n">
        <v>44370</v>
      </c>
      <c r="C294" s="1" t="n">
        <v>45849</v>
      </c>
      <c r="D294" t="inlineStr">
        <is>
          <t>DALARNAS LÄN</t>
        </is>
      </c>
      <c r="E294" t="inlineStr">
        <is>
          <t>LUDVIKA</t>
        </is>
      </c>
      <c r="F294" t="inlineStr">
        <is>
          <t>Övriga Aktiebolag</t>
        </is>
      </c>
      <c r="G294" t="n">
        <v>3.2</v>
      </c>
      <c r="H294" t="n">
        <v>0</v>
      </c>
      <c r="I294" t="n">
        <v>0</v>
      </c>
      <c r="J294" t="n">
        <v>0</v>
      </c>
      <c r="K294" t="n">
        <v>0</v>
      </c>
      <c r="L294" t="n">
        <v>0</v>
      </c>
      <c r="M294" t="n">
        <v>0</v>
      </c>
      <c r="N294" t="n">
        <v>0</v>
      </c>
      <c r="O294" t="n">
        <v>0</v>
      </c>
      <c r="P294" t="n">
        <v>0</v>
      </c>
      <c r="Q294" t="n">
        <v>0</v>
      </c>
      <c r="R294" s="2" t="inlineStr"/>
    </row>
    <row r="295" ht="15" customHeight="1">
      <c r="A295" t="inlineStr">
        <is>
          <t>A 32015-2021</t>
        </is>
      </c>
      <c r="B295" s="1" t="n">
        <v>44370</v>
      </c>
      <c r="C295" s="1" t="n">
        <v>45849</v>
      </c>
      <c r="D295" t="inlineStr">
        <is>
          <t>DALARNAS LÄN</t>
        </is>
      </c>
      <c r="E295" t="inlineStr">
        <is>
          <t>LUDVIKA</t>
        </is>
      </c>
      <c r="G295" t="n">
        <v>1.6</v>
      </c>
      <c r="H295" t="n">
        <v>0</v>
      </c>
      <c r="I295" t="n">
        <v>0</v>
      </c>
      <c r="J295" t="n">
        <v>0</v>
      </c>
      <c r="K295" t="n">
        <v>0</v>
      </c>
      <c r="L295" t="n">
        <v>0</v>
      </c>
      <c r="M295" t="n">
        <v>0</v>
      </c>
      <c r="N295" t="n">
        <v>0</v>
      </c>
      <c r="O295" t="n">
        <v>0</v>
      </c>
      <c r="P295" t="n">
        <v>0</v>
      </c>
      <c r="Q295" t="n">
        <v>0</v>
      </c>
      <c r="R295" s="2" t="inlineStr"/>
    </row>
    <row r="296" ht="15" customHeight="1">
      <c r="A296" t="inlineStr">
        <is>
          <t>A 32054-2021</t>
        </is>
      </c>
      <c r="B296" s="1" t="n">
        <v>44370</v>
      </c>
      <c r="C296" s="1" t="n">
        <v>45849</v>
      </c>
      <c r="D296" t="inlineStr">
        <is>
          <t>DALARNAS LÄN</t>
        </is>
      </c>
      <c r="E296" t="inlineStr">
        <is>
          <t>LUDVIKA</t>
        </is>
      </c>
      <c r="G296" t="n">
        <v>28.7</v>
      </c>
      <c r="H296" t="n">
        <v>0</v>
      </c>
      <c r="I296" t="n">
        <v>0</v>
      </c>
      <c r="J296" t="n">
        <v>0</v>
      </c>
      <c r="K296" t="n">
        <v>0</v>
      </c>
      <c r="L296" t="n">
        <v>0</v>
      </c>
      <c r="M296" t="n">
        <v>0</v>
      </c>
      <c r="N296" t="n">
        <v>0</v>
      </c>
      <c r="O296" t="n">
        <v>0</v>
      </c>
      <c r="P296" t="n">
        <v>0</v>
      </c>
      <c r="Q296" t="n">
        <v>0</v>
      </c>
      <c r="R296" s="2" t="inlineStr"/>
    </row>
    <row r="297" ht="15" customHeight="1">
      <c r="A297" t="inlineStr">
        <is>
          <t>A 33032-2021</t>
        </is>
      </c>
      <c r="B297" s="1" t="n">
        <v>44376</v>
      </c>
      <c r="C297" s="1" t="n">
        <v>45849</v>
      </c>
      <c r="D297" t="inlineStr">
        <is>
          <t>DALARNAS LÄN</t>
        </is>
      </c>
      <c r="E297" t="inlineStr">
        <is>
          <t>LUDVIKA</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33416-2021</t>
        </is>
      </c>
      <c r="B298" s="1" t="n">
        <v>44377</v>
      </c>
      <c r="C298" s="1" t="n">
        <v>45849</v>
      </c>
      <c r="D298" t="inlineStr">
        <is>
          <t>DALARNAS LÄN</t>
        </is>
      </c>
      <c r="E298" t="inlineStr">
        <is>
          <t>LUDVIKA</t>
        </is>
      </c>
      <c r="F298" t="inlineStr">
        <is>
          <t>Bergvik skog väst AB</t>
        </is>
      </c>
      <c r="G298" t="n">
        <v>8</v>
      </c>
      <c r="H298" t="n">
        <v>0</v>
      </c>
      <c r="I298" t="n">
        <v>0</v>
      </c>
      <c r="J298" t="n">
        <v>0</v>
      </c>
      <c r="K298" t="n">
        <v>0</v>
      </c>
      <c r="L298" t="n">
        <v>0</v>
      </c>
      <c r="M298" t="n">
        <v>0</v>
      </c>
      <c r="N298" t="n">
        <v>0</v>
      </c>
      <c r="O298" t="n">
        <v>0</v>
      </c>
      <c r="P298" t="n">
        <v>0</v>
      </c>
      <c r="Q298" t="n">
        <v>0</v>
      </c>
      <c r="R298" s="2" t="inlineStr"/>
    </row>
    <row r="299" ht="15" customHeight="1">
      <c r="A299" t="inlineStr">
        <is>
          <t>A 33505-2021</t>
        </is>
      </c>
      <c r="B299" s="1" t="n">
        <v>44377</v>
      </c>
      <c r="C299" s="1" t="n">
        <v>45849</v>
      </c>
      <c r="D299" t="inlineStr">
        <is>
          <t>DALARNAS LÄN</t>
        </is>
      </c>
      <c r="E299" t="inlineStr">
        <is>
          <t>LUDVIKA</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35731-2021</t>
        </is>
      </c>
      <c r="B300" s="1" t="n">
        <v>44386</v>
      </c>
      <c r="C300" s="1" t="n">
        <v>45849</v>
      </c>
      <c r="D300" t="inlineStr">
        <is>
          <t>DALARNAS LÄN</t>
        </is>
      </c>
      <c r="E300" t="inlineStr">
        <is>
          <t>LUDVIKA</t>
        </is>
      </c>
      <c r="F300" t="inlineStr">
        <is>
          <t>Kyrkan</t>
        </is>
      </c>
      <c r="G300" t="n">
        <v>2.7</v>
      </c>
      <c r="H300" t="n">
        <v>0</v>
      </c>
      <c r="I300" t="n">
        <v>0</v>
      </c>
      <c r="J300" t="n">
        <v>0</v>
      </c>
      <c r="K300" t="n">
        <v>0</v>
      </c>
      <c r="L300" t="n">
        <v>0</v>
      </c>
      <c r="M300" t="n">
        <v>0</v>
      </c>
      <c r="N300" t="n">
        <v>0</v>
      </c>
      <c r="O300" t="n">
        <v>0</v>
      </c>
      <c r="P300" t="n">
        <v>0</v>
      </c>
      <c r="Q300" t="n">
        <v>0</v>
      </c>
      <c r="R300" s="2" t="inlineStr"/>
    </row>
    <row r="301" ht="15" customHeight="1">
      <c r="A301" t="inlineStr">
        <is>
          <t>A 35720-2021</t>
        </is>
      </c>
      <c r="B301" s="1" t="n">
        <v>44386</v>
      </c>
      <c r="C301" s="1" t="n">
        <v>45849</v>
      </c>
      <c r="D301" t="inlineStr">
        <is>
          <t>DALARNAS LÄN</t>
        </is>
      </c>
      <c r="E301" t="inlineStr">
        <is>
          <t>LUDVIKA</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35892-2021</t>
        </is>
      </c>
      <c r="B302" s="1" t="n">
        <v>44387</v>
      </c>
      <c r="C302" s="1" t="n">
        <v>45849</v>
      </c>
      <c r="D302" t="inlineStr">
        <is>
          <t>DALARNAS LÄN</t>
        </is>
      </c>
      <c r="E302" t="inlineStr">
        <is>
          <t>LUDVIKA</t>
        </is>
      </c>
      <c r="F302" t="inlineStr">
        <is>
          <t>Kyrkan</t>
        </is>
      </c>
      <c r="G302" t="n">
        <v>1</v>
      </c>
      <c r="H302" t="n">
        <v>0</v>
      </c>
      <c r="I302" t="n">
        <v>0</v>
      </c>
      <c r="J302" t="n">
        <v>0</v>
      </c>
      <c r="K302" t="n">
        <v>0</v>
      </c>
      <c r="L302" t="n">
        <v>0</v>
      </c>
      <c r="M302" t="n">
        <v>0</v>
      </c>
      <c r="N302" t="n">
        <v>0</v>
      </c>
      <c r="O302" t="n">
        <v>0</v>
      </c>
      <c r="P302" t="n">
        <v>0</v>
      </c>
      <c r="Q302" t="n">
        <v>0</v>
      </c>
      <c r="R302" s="2" t="inlineStr"/>
    </row>
    <row r="303" ht="15" customHeight="1">
      <c r="A303" t="inlineStr">
        <is>
          <t>A 36862-2021</t>
        </is>
      </c>
      <c r="B303" s="1" t="n">
        <v>44393</v>
      </c>
      <c r="C303" s="1" t="n">
        <v>45849</v>
      </c>
      <c r="D303" t="inlineStr">
        <is>
          <t>DALARNAS LÄN</t>
        </is>
      </c>
      <c r="E303" t="inlineStr">
        <is>
          <t>LUDVIKA</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37384-2021</t>
        </is>
      </c>
      <c r="B304" s="1" t="n">
        <v>44397</v>
      </c>
      <c r="C304" s="1" t="n">
        <v>45849</v>
      </c>
      <c r="D304" t="inlineStr">
        <is>
          <t>DALARNAS LÄN</t>
        </is>
      </c>
      <c r="E304" t="inlineStr">
        <is>
          <t>LUDVIKA</t>
        </is>
      </c>
      <c r="F304" t="inlineStr">
        <is>
          <t>Kommuner</t>
        </is>
      </c>
      <c r="G304" t="n">
        <v>5.5</v>
      </c>
      <c r="H304" t="n">
        <v>0</v>
      </c>
      <c r="I304" t="n">
        <v>0</v>
      </c>
      <c r="J304" t="n">
        <v>0</v>
      </c>
      <c r="K304" t="n">
        <v>0</v>
      </c>
      <c r="L304" t="n">
        <v>0</v>
      </c>
      <c r="M304" t="n">
        <v>0</v>
      </c>
      <c r="N304" t="n">
        <v>0</v>
      </c>
      <c r="O304" t="n">
        <v>0</v>
      </c>
      <c r="P304" t="n">
        <v>0</v>
      </c>
      <c r="Q304" t="n">
        <v>0</v>
      </c>
      <c r="R304" s="2" t="inlineStr"/>
    </row>
    <row r="305" ht="15" customHeight="1">
      <c r="A305" t="inlineStr">
        <is>
          <t>A 38084-2021</t>
        </is>
      </c>
      <c r="B305" s="1" t="n">
        <v>44404</v>
      </c>
      <c r="C305" s="1" t="n">
        <v>45849</v>
      </c>
      <c r="D305" t="inlineStr">
        <is>
          <t>DALARNAS LÄN</t>
        </is>
      </c>
      <c r="E305" t="inlineStr">
        <is>
          <t>LUDVIKA</t>
        </is>
      </c>
      <c r="G305" t="n">
        <v>0.3</v>
      </c>
      <c r="H305" t="n">
        <v>0</v>
      </c>
      <c r="I305" t="n">
        <v>0</v>
      </c>
      <c r="J305" t="n">
        <v>0</v>
      </c>
      <c r="K305" t="n">
        <v>0</v>
      </c>
      <c r="L305" t="n">
        <v>0</v>
      </c>
      <c r="M305" t="n">
        <v>0</v>
      </c>
      <c r="N305" t="n">
        <v>0</v>
      </c>
      <c r="O305" t="n">
        <v>0</v>
      </c>
      <c r="P305" t="n">
        <v>0</v>
      </c>
      <c r="Q305" t="n">
        <v>0</v>
      </c>
      <c r="R305" s="2" t="inlineStr"/>
    </row>
    <row r="306" ht="15" customHeight="1">
      <c r="A306" t="inlineStr">
        <is>
          <t>A 38223-2021</t>
        </is>
      </c>
      <c r="B306" s="1" t="n">
        <v>44405</v>
      </c>
      <c r="C306" s="1" t="n">
        <v>45849</v>
      </c>
      <c r="D306" t="inlineStr">
        <is>
          <t>DALARNAS LÄN</t>
        </is>
      </c>
      <c r="E306" t="inlineStr">
        <is>
          <t>LUDVIKA</t>
        </is>
      </c>
      <c r="G306" t="n">
        <v>2.3</v>
      </c>
      <c r="H306" t="n">
        <v>0</v>
      </c>
      <c r="I306" t="n">
        <v>0</v>
      </c>
      <c r="J306" t="n">
        <v>0</v>
      </c>
      <c r="K306" t="n">
        <v>0</v>
      </c>
      <c r="L306" t="n">
        <v>0</v>
      </c>
      <c r="M306" t="n">
        <v>0</v>
      </c>
      <c r="N306" t="n">
        <v>0</v>
      </c>
      <c r="O306" t="n">
        <v>0</v>
      </c>
      <c r="P306" t="n">
        <v>0</v>
      </c>
      <c r="Q306" t="n">
        <v>0</v>
      </c>
      <c r="R306" s="2" t="inlineStr"/>
    </row>
    <row r="307" ht="15" customHeight="1">
      <c r="A307" t="inlineStr">
        <is>
          <t>A 38371-2021</t>
        </is>
      </c>
      <c r="B307" s="1" t="n">
        <v>44406</v>
      </c>
      <c r="C307" s="1" t="n">
        <v>45849</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39247-2021</t>
        </is>
      </c>
      <c r="B308" s="1" t="n">
        <v>44413</v>
      </c>
      <c r="C308" s="1" t="n">
        <v>45849</v>
      </c>
      <c r="D308" t="inlineStr">
        <is>
          <t>DALARNAS LÄN</t>
        </is>
      </c>
      <c r="E308" t="inlineStr">
        <is>
          <t>LUDVIKA</t>
        </is>
      </c>
      <c r="G308" t="n">
        <v>6</v>
      </c>
      <c r="H308" t="n">
        <v>0</v>
      </c>
      <c r="I308" t="n">
        <v>0</v>
      </c>
      <c r="J308" t="n">
        <v>0</v>
      </c>
      <c r="K308" t="n">
        <v>0</v>
      </c>
      <c r="L308" t="n">
        <v>0</v>
      </c>
      <c r="M308" t="n">
        <v>0</v>
      </c>
      <c r="N308" t="n">
        <v>0</v>
      </c>
      <c r="O308" t="n">
        <v>0</v>
      </c>
      <c r="P308" t="n">
        <v>0</v>
      </c>
      <c r="Q308" t="n">
        <v>0</v>
      </c>
      <c r="R308" s="2" t="inlineStr"/>
    </row>
    <row r="309" ht="15" customHeight="1">
      <c r="A309" t="inlineStr">
        <is>
          <t>A 40582-2021</t>
        </is>
      </c>
      <c r="B309" s="1" t="n">
        <v>44420</v>
      </c>
      <c r="C309" s="1" t="n">
        <v>45849</v>
      </c>
      <c r="D309" t="inlineStr">
        <is>
          <t>DALARNAS LÄN</t>
        </is>
      </c>
      <c r="E309" t="inlineStr">
        <is>
          <t>LUDVIKA</t>
        </is>
      </c>
      <c r="G309" t="n">
        <v>2.2</v>
      </c>
      <c r="H309" t="n">
        <v>0</v>
      </c>
      <c r="I309" t="n">
        <v>0</v>
      </c>
      <c r="J309" t="n">
        <v>0</v>
      </c>
      <c r="K309" t="n">
        <v>0</v>
      </c>
      <c r="L309" t="n">
        <v>0</v>
      </c>
      <c r="M309" t="n">
        <v>0</v>
      </c>
      <c r="N309" t="n">
        <v>0</v>
      </c>
      <c r="O309" t="n">
        <v>0</v>
      </c>
      <c r="P309" t="n">
        <v>0</v>
      </c>
      <c r="Q309" t="n">
        <v>0</v>
      </c>
      <c r="R309" s="2" t="inlineStr"/>
    </row>
    <row r="310" ht="15" customHeight="1">
      <c r="A310" t="inlineStr">
        <is>
          <t>A 43115-2021</t>
        </is>
      </c>
      <c r="B310" s="1" t="n">
        <v>44431</v>
      </c>
      <c r="C310" s="1" t="n">
        <v>45849</v>
      </c>
      <c r="D310" t="inlineStr">
        <is>
          <t>DALARNAS LÄN</t>
        </is>
      </c>
      <c r="E310" t="inlineStr">
        <is>
          <t>LUDVIKA</t>
        </is>
      </c>
      <c r="G310" t="n">
        <v>3.5</v>
      </c>
      <c r="H310" t="n">
        <v>0</v>
      </c>
      <c r="I310" t="n">
        <v>0</v>
      </c>
      <c r="J310" t="n">
        <v>0</v>
      </c>
      <c r="K310" t="n">
        <v>0</v>
      </c>
      <c r="L310" t="n">
        <v>0</v>
      </c>
      <c r="M310" t="n">
        <v>0</v>
      </c>
      <c r="N310" t="n">
        <v>0</v>
      </c>
      <c r="O310" t="n">
        <v>0</v>
      </c>
      <c r="P310" t="n">
        <v>0</v>
      </c>
      <c r="Q310" t="n">
        <v>0</v>
      </c>
      <c r="R310" s="2" t="inlineStr"/>
    </row>
    <row r="311" ht="15" customHeight="1">
      <c r="A311" t="inlineStr">
        <is>
          <t>A 43907-2021</t>
        </is>
      </c>
      <c r="B311" s="1" t="n">
        <v>44434</v>
      </c>
      <c r="C311" s="1" t="n">
        <v>45849</v>
      </c>
      <c r="D311" t="inlineStr">
        <is>
          <t>DALARNAS LÄN</t>
        </is>
      </c>
      <c r="E311" t="inlineStr">
        <is>
          <t>LUDVIKA</t>
        </is>
      </c>
      <c r="F311" t="inlineStr">
        <is>
          <t>Bergvik skog väst AB</t>
        </is>
      </c>
      <c r="G311" t="n">
        <v>2.5</v>
      </c>
      <c r="H311" t="n">
        <v>0</v>
      </c>
      <c r="I311" t="n">
        <v>0</v>
      </c>
      <c r="J311" t="n">
        <v>0</v>
      </c>
      <c r="K311" t="n">
        <v>0</v>
      </c>
      <c r="L311" t="n">
        <v>0</v>
      </c>
      <c r="M311" t="n">
        <v>0</v>
      </c>
      <c r="N311" t="n">
        <v>0</v>
      </c>
      <c r="O311" t="n">
        <v>0</v>
      </c>
      <c r="P311" t="n">
        <v>0</v>
      </c>
      <c r="Q311" t="n">
        <v>0</v>
      </c>
      <c r="R311" s="2" t="inlineStr"/>
    </row>
    <row r="312" ht="15" customHeight="1">
      <c r="A312" t="inlineStr">
        <is>
          <t>A 44270-2021</t>
        </is>
      </c>
      <c r="B312" s="1" t="n">
        <v>44435</v>
      </c>
      <c r="C312" s="1" t="n">
        <v>45849</v>
      </c>
      <c r="D312" t="inlineStr">
        <is>
          <t>DALARNAS LÄN</t>
        </is>
      </c>
      <c r="E312" t="inlineStr">
        <is>
          <t>LUDVIKA</t>
        </is>
      </c>
      <c r="F312" t="inlineStr">
        <is>
          <t>Bergvik skog väst AB</t>
        </is>
      </c>
      <c r="G312" t="n">
        <v>1.6</v>
      </c>
      <c r="H312" t="n">
        <v>0</v>
      </c>
      <c r="I312" t="n">
        <v>0</v>
      </c>
      <c r="J312" t="n">
        <v>0</v>
      </c>
      <c r="K312" t="n">
        <v>0</v>
      </c>
      <c r="L312" t="n">
        <v>0</v>
      </c>
      <c r="M312" t="n">
        <v>0</v>
      </c>
      <c r="N312" t="n">
        <v>0</v>
      </c>
      <c r="O312" t="n">
        <v>0</v>
      </c>
      <c r="P312" t="n">
        <v>0</v>
      </c>
      <c r="Q312" t="n">
        <v>0</v>
      </c>
      <c r="R312" s="2" t="inlineStr"/>
    </row>
    <row r="313" ht="15" customHeight="1">
      <c r="A313" t="inlineStr">
        <is>
          <t>A 44264-2021</t>
        </is>
      </c>
      <c r="B313" s="1" t="n">
        <v>44435</v>
      </c>
      <c r="C313" s="1" t="n">
        <v>45849</v>
      </c>
      <c r="D313" t="inlineStr">
        <is>
          <t>DALARNAS LÄN</t>
        </is>
      </c>
      <c r="E313" t="inlineStr">
        <is>
          <t>LUDVIKA</t>
        </is>
      </c>
      <c r="F313" t="inlineStr">
        <is>
          <t>Bergvik skog väst AB</t>
        </is>
      </c>
      <c r="G313" t="n">
        <v>1.8</v>
      </c>
      <c r="H313" t="n">
        <v>0</v>
      </c>
      <c r="I313" t="n">
        <v>0</v>
      </c>
      <c r="J313" t="n">
        <v>0</v>
      </c>
      <c r="K313" t="n">
        <v>0</v>
      </c>
      <c r="L313" t="n">
        <v>0</v>
      </c>
      <c r="M313" t="n">
        <v>0</v>
      </c>
      <c r="N313" t="n">
        <v>0</v>
      </c>
      <c r="O313" t="n">
        <v>0</v>
      </c>
      <c r="P313" t="n">
        <v>0</v>
      </c>
      <c r="Q313" t="n">
        <v>0</v>
      </c>
      <c r="R313" s="2" t="inlineStr"/>
    </row>
    <row r="314" ht="15" customHeight="1">
      <c r="A314" t="inlineStr">
        <is>
          <t>A 45313-2021</t>
        </is>
      </c>
      <c r="B314" s="1" t="n">
        <v>44439</v>
      </c>
      <c r="C314" s="1" t="n">
        <v>45849</v>
      </c>
      <c r="D314" t="inlineStr">
        <is>
          <t>DALARNAS LÄN</t>
        </is>
      </c>
      <c r="E314" t="inlineStr">
        <is>
          <t>LUDVIKA</t>
        </is>
      </c>
      <c r="G314" t="n">
        <v>2.6</v>
      </c>
      <c r="H314" t="n">
        <v>0</v>
      </c>
      <c r="I314" t="n">
        <v>0</v>
      </c>
      <c r="J314" t="n">
        <v>0</v>
      </c>
      <c r="K314" t="n">
        <v>0</v>
      </c>
      <c r="L314" t="n">
        <v>0</v>
      </c>
      <c r="M314" t="n">
        <v>0</v>
      </c>
      <c r="N314" t="n">
        <v>0</v>
      </c>
      <c r="O314" t="n">
        <v>0</v>
      </c>
      <c r="P314" t="n">
        <v>0</v>
      </c>
      <c r="Q314" t="n">
        <v>0</v>
      </c>
      <c r="R314" s="2" t="inlineStr"/>
    </row>
    <row r="315" ht="15" customHeight="1">
      <c r="A315" t="inlineStr">
        <is>
          <t>A 45309-2021</t>
        </is>
      </c>
      <c r="B315" s="1" t="n">
        <v>44439</v>
      </c>
      <c r="C315" s="1" t="n">
        <v>45849</v>
      </c>
      <c r="D315" t="inlineStr">
        <is>
          <t>DALARNAS LÄN</t>
        </is>
      </c>
      <c r="E315" t="inlineStr">
        <is>
          <t>LUDVIKA</t>
        </is>
      </c>
      <c r="G315" t="n">
        <v>1.9</v>
      </c>
      <c r="H315" t="n">
        <v>0</v>
      </c>
      <c r="I315" t="n">
        <v>0</v>
      </c>
      <c r="J315" t="n">
        <v>0</v>
      </c>
      <c r="K315" t="n">
        <v>0</v>
      </c>
      <c r="L315" t="n">
        <v>0</v>
      </c>
      <c r="M315" t="n">
        <v>0</v>
      </c>
      <c r="N315" t="n">
        <v>0</v>
      </c>
      <c r="O315" t="n">
        <v>0</v>
      </c>
      <c r="P315" t="n">
        <v>0</v>
      </c>
      <c r="Q315" t="n">
        <v>0</v>
      </c>
      <c r="R315" s="2" t="inlineStr"/>
    </row>
    <row r="316" ht="15" customHeight="1">
      <c r="A316" t="inlineStr">
        <is>
          <t>A 47216-2021</t>
        </is>
      </c>
      <c r="B316" s="1" t="n">
        <v>44447</v>
      </c>
      <c r="C316" s="1" t="n">
        <v>45849</v>
      </c>
      <c r="D316" t="inlineStr">
        <is>
          <t>DALARNAS LÄN</t>
        </is>
      </c>
      <c r="E316" t="inlineStr">
        <is>
          <t>LUDVIKA</t>
        </is>
      </c>
      <c r="G316" t="n">
        <v>0.5</v>
      </c>
      <c r="H316" t="n">
        <v>0</v>
      </c>
      <c r="I316" t="n">
        <v>0</v>
      </c>
      <c r="J316" t="n">
        <v>0</v>
      </c>
      <c r="K316" t="n">
        <v>0</v>
      </c>
      <c r="L316" t="n">
        <v>0</v>
      </c>
      <c r="M316" t="n">
        <v>0</v>
      </c>
      <c r="N316" t="n">
        <v>0</v>
      </c>
      <c r="O316" t="n">
        <v>0</v>
      </c>
      <c r="P316" t="n">
        <v>0</v>
      </c>
      <c r="Q316" t="n">
        <v>0</v>
      </c>
      <c r="R316" s="2" t="inlineStr"/>
    </row>
    <row r="317" ht="15" customHeight="1">
      <c r="A317" t="inlineStr">
        <is>
          <t>A 48003-2021</t>
        </is>
      </c>
      <c r="B317" s="1" t="n">
        <v>44449</v>
      </c>
      <c r="C317" s="1" t="n">
        <v>45849</v>
      </c>
      <c r="D317" t="inlineStr">
        <is>
          <t>DALARNAS LÄN</t>
        </is>
      </c>
      <c r="E317" t="inlineStr">
        <is>
          <t>LUDVIKA</t>
        </is>
      </c>
      <c r="F317" t="inlineStr">
        <is>
          <t>Naturvårdsverket</t>
        </is>
      </c>
      <c r="G317" t="n">
        <v>0.8</v>
      </c>
      <c r="H317" t="n">
        <v>0</v>
      </c>
      <c r="I317" t="n">
        <v>0</v>
      </c>
      <c r="J317" t="n">
        <v>0</v>
      </c>
      <c r="K317" t="n">
        <v>0</v>
      </c>
      <c r="L317" t="n">
        <v>0</v>
      </c>
      <c r="M317" t="n">
        <v>0</v>
      </c>
      <c r="N317" t="n">
        <v>0</v>
      </c>
      <c r="O317" t="n">
        <v>0</v>
      </c>
      <c r="P317" t="n">
        <v>0</v>
      </c>
      <c r="Q317" t="n">
        <v>0</v>
      </c>
      <c r="R317" s="2" t="inlineStr"/>
    </row>
    <row r="318" ht="15" customHeight="1">
      <c r="A318" t="inlineStr">
        <is>
          <t>A 48580-2021</t>
        </is>
      </c>
      <c r="B318" s="1" t="n">
        <v>44452</v>
      </c>
      <c r="C318" s="1" t="n">
        <v>45849</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48942-2021</t>
        </is>
      </c>
      <c r="B319" s="1" t="n">
        <v>44453</v>
      </c>
      <c r="C319" s="1" t="n">
        <v>45849</v>
      </c>
      <c r="D319" t="inlineStr">
        <is>
          <t>DALARNAS LÄN</t>
        </is>
      </c>
      <c r="E319" t="inlineStr">
        <is>
          <t>LUDVIKA</t>
        </is>
      </c>
      <c r="F319" t="inlineStr">
        <is>
          <t>Naturvårdsverket</t>
        </is>
      </c>
      <c r="G319" t="n">
        <v>1.4</v>
      </c>
      <c r="H319" t="n">
        <v>0</v>
      </c>
      <c r="I319" t="n">
        <v>0</v>
      </c>
      <c r="J319" t="n">
        <v>0</v>
      </c>
      <c r="K319" t="n">
        <v>0</v>
      </c>
      <c r="L319" t="n">
        <v>0</v>
      </c>
      <c r="M319" t="n">
        <v>0</v>
      </c>
      <c r="N319" t="n">
        <v>0</v>
      </c>
      <c r="O319" t="n">
        <v>0</v>
      </c>
      <c r="P319" t="n">
        <v>0</v>
      </c>
      <c r="Q319" t="n">
        <v>0</v>
      </c>
      <c r="R319" s="2" t="inlineStr"/>
    </row>
    <row r="320" ht="15" customHeight="1">
      <c r="A320" t="inlineStr">
        <is>
          <t>A 50004-2021</t>
        </is>
      </c>
      <c r="B320" s="1" t="n">
        <v>44456</v>
      </c>
      <c r="C320" s="1" t="n">
        <v>45849</v>
      </c>
      <c r="D320" t="inlineStr">
        <is>
          <t>DALARNAS LÄN</t>
        </is>
      </c>
      <c r="E320" t="inlineStr">
        <is>
          <t>LUDVIKA</t>
        </is>
      </c>
      <c r="F320" t="inlineStr">
        <is>
          <t>Bergvik skog väst AB</t>
        </is>
      </c>
      <c r="G320" t="n">
        <v>1.5</v>
      </c>
      <c r="H320" t="n">
        <v>0</v>
      </c>
      <c r="I320" t="n">
        <v>0</v>
      </c>
      <c r="J320" t="n">
        <v>0</v>
      </c>
      <c r="K320" t="n">
        <v>0</v>
      </c>
      <c r="L320" t="n">
        <v>0</v>
      </c>
      <c r="M320" t="n">
        <v>0</v>
      </c>
      <c r="N320" t="n">
        <v>0</v>
      </c>
      <c r="O320" t="n">
        <v>0</v>
      </c>
      <c r="P320" t="n">
        <v>0</v>
      </c>
      <c r="Q320" t="n">
        <v>0</v>
      </c>
      <c r="R320" s="2" t="inlineStr"/>
    </row>
    <row r="321" ht="15" customHeight="1">
      <c r="A321" t="inlineStr">
        <is>
          <t>A 49977-2021</t>
        </is>
      </c>
      <c r="B321" s="1" t="n">
        <v>44456</v>
      </c>
      <c r="C321" s="1" t="n">
        <v>45849</v>
      </c>
      <c r="D321" t="inlineStr">
        <is>
          <t>DALARNAS LÄN</t>
        </is>
      </c>
      <c r="E321" t="inlineStr">
        <is>
          <t>LUDVIKA</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50273-2021</t>
        </is>
      </c>
      <c r="B322" s="1" t="n">
        <v>44459</v>
      </c>
      <c r="C322" s="1" t="n">
        <v>45849</v>
      </c>
      <c r="D322" t="inlineStr">
        <is>
          <t>DALARNAS LÄN</t>
        </is>
      </c>
      <c r="E322" t="inlineStr">
        <is>
          <t>LUDVIKA</t>
        </is>
      </c>
      <c r="F322" t="inlineStr">
        <is>
          <t>Bergvik skog väst AB</t>
        </is>
      </c>
      <c r="G322" t="n">
        <v>0.8</v>
      </c>
      <c r="H322" t="n">
        <v>0</v>
      </c>
      <c r="I322" t="n">
        <v>0</v>
      </c>
      <c r="J322" t="n">
        <v>0</v>
      </c>
      <c r="K322" t="n">
        <v>0</v>
      </c>
      <c r="L322" t="n">
        <v>0</v>
      </c>
      <c r="M322" t="n">
        <v>0</v>
      </c>
      <c r="N322" t="n">
        <v>0</v>
      </c>
      <c r="O322" t="n">
        <v>0</v>
      </c>
      <c r="P322" t="n">
        <v>0</v>
      </c>
      <c r="Q322" t="n">
        <v>0</v>
      </c>
      <c r="R322" s="2" t="inlineStr"/>
    </row>
    <row r="323" ht="15" customHeight="1">
      <c r="A323" t="inlineStr">
        <is>
          <t>A 50347-2021</t>
        </is>
      </c>
      <c r="B323" s="1" t="n">
        <v>44459</v>
      </c>
      <c r="C323" s="1" t="n">
        <v>45849</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50995-2021</t>
        </is>
      </c>
      <c r="B324" s="1" t="n">
        <v>44460</v>
      </c>
      <c r="C324" s="1" t="n">
        <v>45849</v>
      </c>
      <c r="D324" t="inlineStr">
        <is>
          <t>DALARNAS LÄN</t>
        </is>
      </c>
      <c r="E324" t="inlineStr">
        <is>
          <t>LUDVIKA</t>
        </is>
      </c>
      <c r="G324" t="n">
        <v>0.9</v>
      </c>
      <c r="H324" t="n">
        <v>0</v>
      </c>
      <c r="I324" t="n">
        <v>0</v>
      </c>
      <c r="J324" t="n">
        <v>0</v>
      </c>
      <c r="K324" t="n">
        <v>0</v>
      </c>
      <c r="L324" t="n">
        <v>0</v>
      </c>
      <c r="M324" t="n">
        <v>0</v>
      </c>
      <c r="N324" t="n">
        <v>0</v>
      </c>
      <c r="O324" t="n">
        <v>0</v>
      </c>
      <c r="P324" t="n">
        <v>0</v>
      </c>
      <c r="Q324" t="n">
        <v>0</v>
      </c>
      <c r="R324" s="2" t="inlineStr"/>
    </row>
    <row r="325" ht="15" customHeight="1">
      <c r="A325" t="inlineStr">
        <is>
          <t>A 51485-2021</t>
        </is>
      </c>
      <c r="B325" s="1" t="n">
        <v>44462</v>
      </c>
      <c r="C325" s="1" t="n">
        <v>45849</v>
      </c>
      <c r="D325" t="inlineStr">
        <is>
          <t>DALARNAS LÄN</t>
        </is>
      </c>
      <c r="E325" t="inlineStr">
        <is>
          <t>LUDVIKA</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54279-2021</t>
        </is>
      </c>
      <c r="B326" s="1" t="n">
        <v>44470</v>
      </c>
      <c r="C326" s="1" t="n">
        <v>45849</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55633-2021</t>
        </is>
      </c>
      <c r="B327" s="1" t="n">
        <v>44476</v>
      </c>
      <c r="C327" s="1" t="n">
        <v>45849</v>
      </c>
      <c r="D327" t="inlineStr">
        <is>
          <t>DALARNAS LÄN</t>
        </is>
      </c>
      <c r="E327" t="inlineStr">
        <is>
          <t>LUDVIKA</t>
        </is>
      </c>
      <c r="F327" t="inlineStr">
        <is>
          <t>Övriga Aktiebolag</t>
        </is>
      </c>
      <c r="G327" t="n">
        <v>1.4</v>
      </c>
      <c r="H327" t="n">
        <v>0</v>
      </c>
      <c r="I327" t="n">
        <v>0</v>
      </c>
      <c r="J327" t="n">
        <v>0</v>
      </c>
      <c r="K327" t="n">
        <v>0</v>
      </c>
      <c r="L327" t="n">
        <v>0</v>
      </c>
      <c r="M327" t="n">
        <v>0</v>
      </c>
      <c r="N327" t="n">
        <v>0</v>
      </c>
      <c r="O327" t="n">
        <v>0</v>
      </c>
      <c r="P327" t="n">
        <v>0</v>
      </c>
      <c r="Q327" t="n">
        <v>0</v>
      </c>
      <c r="R327" s="2" t="inlineStr"/>
    </row>
    <row r="328" ht="15" customHeight="1">
      <c r="A328" t="inlineStr">
        <is>
          <t>A 56113-2021</t>
        </is>
      </c>
      <c r="B328" s="1" t="n">
        <v>44477</v>
      </c>
      <c r="C328" s="1" t="n">
        <v>45849</v>
      </c>
      <c r="D328" t="inlineStr">
        <is>
          <t>DALARNAS LÄN</t>
        </is>
      </c>
      <c r="E328" t="inlineStr">
        <is>
          <t>LUDVIKA</t>
        </is>
      </c>
      <c r="F328" t="inlineStr">
        <is>
          <t>Bergvik skog väst AB</t>
        </is>
      </c>
      <c r="G328" t="n">
        <v>6.5</v>
      </c>
      <c r="H328" t="n">
        <v>0</v>
      </c>
      <c r="I328" t="n">
        <v>0</v>
      </c>
      <c r="J328" t="n">
        <v>0</v>
      </c>
      <c r="K328" t="n">
        <v>0</v>
      </c>
      <c r="L328" t="n">
        <v>0</v>
      </c>
      <c r="M328" t="n">
        <v>0</v>
      </c>
      <c r="N328" t="n">
        <v>0</v>
      </c>
      <c r="O328" t="n">
        <v>0</v>
      </c>
      <c r="P328" t="n">
        <v>0</v>
      </c>
      <c r="Q328" t="n">
        <v>0</v>
      </c>
      <c r="R328" s="2" t="inlineStr"/>
    </row>
    <row r="329" ht="15" customHeight="1">
      <c r="A329" t="inlineStr">
        <is>
          <t>A 56119-2021</t>
        </is>
      </c>
      <c r="B329" s="1" t="n">
        <v>44477</v>
      </c>
      <c r="C329" s="1" t="n">
        <v>45849</v>
      </c>
      <c r="D329" t="inlineStr">
        <is>
          <t>DALARNAS LÄN</t>
        </is>
      </c>
      <c r="E329" t="inlineStr">
        <is>
          <t>LUDVIKA</t>
        </is>
      </c>
      <c r="G329" t="n">
        <v>1.3</v>
      </c>
      <c r="H329" t="n">
        <v>0</v>
      </c>
      <c r="I329" t="n">
        <v>0</v>
      </c>
      <c r="J329" t="n">
        <v>0</v>
      </c>
      <c r="K329" t="n">
        <v>0</v>
      </c>
      <c r="L329" t="n">
        <v>0</v>
      </c>
      <c r="M329" t="n">
        <v>0</v>
      </c>
      <c r="N329" t="n">
        <v>0</v>
      </c>
      <c r="O329" t="n">
        <v>0</v>
      </c>
      <c r="P329" t="n">
        <v>0</v>
      </c>
      <c r="Q329" t="n">
        <v>0</v>
      </c>
      <c r="R329" s="2" t="inlineStr"/>
    </row>
    <row r="330" ht="15" customHeight="1">
      <c r="A330" t="inlineStr">
        <is>
          <t>A 56996-2021</t>
        </is>
      </c>
      <c r="B330" s="1" t="n">
        <v>44482</v>
      </c>
      <c r="C330" s="1" t="n">
        <v>45849</v>
      </c>
      <c r="D330" t="inlineStr">
        <is>
          <t>DALARNAS LÄN</t>
        </is>
      </c>
      <c r="E330" t="inlineStr">
        <is>
          <t>LUDVIKA</t>
        </is>
      </c>
      <c r="G330" t="n">
        <v>0.9</v>
      </c>
      <c r="H330" t="n">
        <v>0</v>
      </c>
      <c r="I330" t="n">
        <v>0</v>
      </c>
      <c r="J330" t="n">
        <v>0</v>
      </c>
      <c r="K330" t="n">
        <v>0</v>
      </c>
      <c r="L330" t="n">
        <v>0</v>
      </c>
      <c r="M330" t="n">
        <v>0</v>
      </c>
      <c r="N330" t="n">
        <v>0</v>
      </c>
      <c r="O330" t="n">
        <v>0</v>
      </c>
      <c r="P330" t="n">
        <v>0</v>
      </c>
      <c r="Q330" t="n">
        <v>0</v>
      </c>
      <c r="R330" s="2" t="inlineStr"/>
    </row>
    <row r="331" ht="15" customHeight="1">
      <c r="A331" t="inlineStr">
        <is>
          <t>A 57076-2021</t>
        </is>
      </c>
      <c r="B331" s="1" t="n">
        <v>44482</v>
      </c>
      <c r="C331" s="1" t="n">
        <v>45849</v>
      </c>
      <c r="D331" t="inlineStr">
        <is>
          <t>DALARNAS LÄN</t>
        </is>
      </c>
      <c r="E331" t="inlineStr">
        <is>
          <t>LUDVIKA</t>
        </is>
      </c>
      <c r="G331" t="n">
        <v>4.7</v>
      </c>
      <c r="H331" t="n">
        <v>0</v>
      </c>
      <c r="I331" t="n">
        <v>0</v>
      </c>
      <c r="J331" t="n">
        <v>0</v>
      </c>
      <c r="K331" t="n">
        <v>0</v>
      </c>
      <c r="L331" t="n">
        <v>0</v>
      </c>
      <c r="M331" t="n">
        <v>0</v>
      </c>
      <c r="N331" t="n">
        <v>0</v>
      </c>
      <c r="O331" t="n">
        <v>0</v>
      </c>
      <c r="P331" t="n">
        <v>0</v>
      </c>
      <c r="Q331" t="n">
        <v>0</v>
      </c>
      <c r="R331" s="2" t="inlineStr"/>
    </row>
    <row r="332" ht="15" customHeight="1">
      <c r="A332" t="inlineStr">
        <is>
          <t>A 57002-2021</t>
        </is>
      </c>
      <c r="B332" s="1" t="n">
        <v>44482</v>
      </c>
      <c r="C332" s="1" t="n">
        <v>45849</v>
      </c>
      <c r="D332" t="inlineStr">
        <is>
          <t>DALARNAS LÄN</t>
        </is>
      </c>
      <c r="E332" t="inlineStr">
        <is>
          <t>LUDVIKA</t>
        </is>
      </c>
      <c r="G332" t="n">
        <v>3.5</v>
      </c>
      <c r="H332" t="n">
        <v>0</v>
      </c>
      <c r="I332" t="n">
        <v>0</v>
      </c>
      <c r="J332" t="n">
        <v>0</v>
      </c>
      <c r="K332" t="n">
        <v>0</v>
      </c>
      <c r="L332" t="n">
        <v>0</v>
      </c>
      <c r="M332" t="n">
        <v>0</v>
      </c>
      <c r="N332" t="n">
        <v>0</v>
      </c>
      <c r="O332" t="n">
        <v>0</v>
      </c>
      <c r="P332" t="n">
        <v>0</v>
      </c>
      <c r="Q332" t="n">
        <v>0</v>
      </c>
      <c r="R332" s="2" t="inlineStr"/>
    </row>
    <row r="333" ht="15" customHeight="1">
      <c r="A333" t="inlineStr">
        <is>
          <t>A 62152-2021</t>
        </is>
      </c>
      <c r="B333" s="1" t="n">
        <v>44502</v>
      </c>
      <c r="C333" s="1" t="n">
        <v>45849</v>
      </c>
      <c r="D333" t="inlineStr">
        <is>
          <t>DALARNAS LÄN</t>
        </is>
      </c>
      <c r="E333" t="inlineStr">
        <is>
          <t>LUDVIKA</t>
        </is>
      </c>
      <c r="G333" t="n">
        <v>6.1</v>
      </c>
      <c r="H333" t="n">
        <v>0</v>
      </c>
      <c r="I333" t="n">
        <v>0</v>
      </c>
      <c r="J333" t="n">
        <v>0</v>
      </c>
      <c r="K333" t="n">
        <v>0</v>
      </c>
      <c r="L333" t="n">
        <v>0</v>
      </c>
      <c r="M333" t="n">
        <v>0</v>
      </c>
      <c r="N333" t="n">
        <v>0</v>
      </c>
      <c r="O333" t="n">
        <v>0</v>
      </c>
      <c r="P333" t="n">
        <v>0</v>
      </c>
      <c r="Q333" t="n">
        <v>0</v>
      </c>
      <c r="R333" s="2" t="inlineStr"/>
    </row>
    <row r="334" ht="15" customHeight="1">
      <c r="A334" t="inlineStr">
        <is>
          <t>A 62467-2021</t>
        </is>
      </c>
      <c r="B334" s="1" t="n">
        <v>44503</v>
      </c>
      <c r="C334" s="1" t="n">
        <v>45849</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63267-2021</t>
        </is>
      </c>
      <c r="B335" s="1" t="n">
        <v>44508</v>
      </c>
      <c r="C335" s="1" t="n">
        <v>45849</v>
      </c>
      <c r="D335" t="inlineStr">
        <is>
          <t>DALARNAS LÄN</t>
        </is>
      </c>
      <c r="E335" t="inlineStr">
        <is>
          <t>LUDVIKA</t>
        </is>
      </c>
      <c r="F335" t="inlineStr">
        <is>
          <t>Bergvik skog väst AB</t>
        </is>
      </c>
      <c r="G335" t="n">
        <v>0.2</v>
      </c>
      <c r="H335" t="n">
        <v>0</v>
      </c>
      <c r="I335" t="n">
        <v>0</v>
      </c>
      <c r="J335" t="n">
        <v>0</v>
      </c>
      <c r="K335" t="n">
        <v>0</v>
      </c>
      <c r="L335" t="n">
        <v>0</v>
      </c>
      <c r="M335" t="n">
        <v>0</v>
      </c>
      <c r="N335" t="n">
        <v>0</v>
      </c>
      <c r="O335" t="n">
        <v>0</v>
      </c>
      <c r="P335" t="n">
        <v>0</v>
      </c>
      <c r="Q335" t="n">
        <v>0</v>
      </c>
      <c r="R335" s="2" t="inlineStr"/>
    </row>
    <row r="336" ht="15" customHeight="1">
      <c r="A336" t="inlineStr">
        <is>
          <t>A 65195-2021</t>
        </is>
      </c>
      <c r="B336" s="1" t="n">
        <v>44515</v>
      </c>
      <c r="C336" s="1" t="n">
        <v>45849</v>
      </c>
      <c r="D336" t="inlineStr">
        <is>
          <t>DALARNAS LÄN</t>
        </is>
      </c>
      <c r="E336" t="inlineStr">
        <is>
          <t>LUDVIKA</t>
        </is>
      </c>
      <c r="F336" t="inlineStr">
        <is>
          <t>Bergvik skog väst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65699-2021</t>
        </is>
      </c>
      <c r="B337" s="1" t="n">
        <v>44516</v>
      </c>
      <c r="C337" s="1" t="n">
        <v>45849</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65667-2021</t>
        </is>
      </c>
      <c r="B338" s="1" t="n">
        <v>44516</v>
      </c>
      <c r="C338" s="1" t="n">
        <v>45849</v>
      </c>
      <c r="D338" t="inlineStr">
        <is>
          <t>DALARNAS LÄN</t>
        </is>
      </c>
      <c r="E338" t="inlineStr">
        <is>
          <t>LUDVIKA</t>
        </is>
      </c>
      <c r="G338" t="n">
        <v>1.5</v>
      </c>
      <c r="H338" t="n">
        <v>0</v>
      </c>
      <c r="I338" t="n">
        <v>0</v>
      </c>
      <c r="J338" t="n">
        <v>0</v>
      </c>
      <c r="K338" t="n">
        <v>0</v>
      </c>
      <c r="L338" t="n">
        <v>0</v>
      </c>
      <c r="M338" t="n">
        <v>0</v>
      </c>
      <c r="N338" t="n">
        <v>0</v>
      </c>
      <c r="O338" t="n">
        <v>0</v>
      </c>
      <c r="P338" t="n">
        <v>0</v>
      </c>
      <c r="Q338" t="n">
        <v>0</v>
      </c>
      <c r="R338" s="2" t="inlineStr"/>
    </row>
    <row r="339" ht="15" customHeight="1">
      <c r="A339" t="inlineStr">
        <is>
          <t>A 65685-2021</t>
        </is>
      </c>
      <c r="B339" s="1" t="n">
        <v>44516</v>
      </c>
      <c r="C339" s="1" t="n">
        <v>45849</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70046-2021</t>
        </is>
      </c>
      <c r="B340" s="1" t="n">
        <v>44533</v>
      </c>
      <c r="C340" s="1" t="n">
        <v>45849</v>
      </c>
      <c r="D340" t="inlineStr">
        <is>
          <t>DALARNAS LÄN</t>
        </is>
      </c>
      <c r="E340" t="inlineStr">
        <is>
          <t>LUDVIKA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70291-2021</t>
        </is>
      </c>
      <c r="B341" s="1" t="n">
        <v>44536</v>
      </c>
      <c r="C341" s="1" t="n">
        <v>45849</v>
      </c>
      <c r="D341" t="inlineStr">
        <is>
          <t>DALARNAS LÄN</t>
        </is>
      </c>
      <c r="E341" t="inlineStr">
        <is>
          <t>LUDVIKA</t>
        </is>
      </c>
      <c r="G341" t="n">
        <v>1</v>
      </c>
      <c r="H341" t="n">
        <v>0</v>
      </c>
      <c r="I341" t="n">
        <v>0</v>
      </c>
      <c r="J341" t="n">
        <v>0</v>
      </c>
      <c r="K341" t="n">
        <v>0</v>
      </c>
      <c r="L341" t="n">
        <v>0</v>
      </c>
      <c r="M341" t="n">
        <v>0</v>
      </c>
      <c r="N341" t="n">
        <v>0</v>
      </c>
      <c r="O341" t="n">
        <v>0</v>
      </c>
      <c r="P341" t="n">
        <v>0</v>
      </c>
      <c r="Q341" t="n">
        <v>0</v>
      </c>
      <c r="R341" s="2" t="inlineStr"/>
    </row>
    <row r="342" ht="15" customHeight="1">
      <c r="A342" t="inlineStr">
        <is>
          <t>A 71639-2021</t>
        </is>
      </c>
      <c r="B342" s="1" t="n">
        <v>44543</v>
      </c>
      <c r="C342" s="1" t="n">
        <v>45849</v>
      </c>
      <c r="D342" t="inlineStr">
        <is>
          <t>DALARNAS LÄN</t>
        </is>
      </c>
      <c r="E342" t="inlineStr">
        <is>
          <t>LUDVIKA</t>
        </is>
      </c>
      <c r="F342" t="inlineStr">
        <is>
          <t>Naturvårdsverket</t>
        </is>
      </c>
      <c r="G342" t="n">
        <v>2.2</v>
      </c>
      <c r="H342" t="n">
        <v>0</v>
      </c>
      <c r="I342" t="n">
        <v>0</v>
      </c>
      <c r="J342" t="n">
        <v>0</v>
      </c>
      <c r="K342" t="n">
        <v>0</v>
      </c>
      <c r="L342" t="n">
        <v>0</v>
      </c>
      <c r="M342" t="n">
        <v>0</v>
      </c>
      <c r="N342" t="n">
        <v>0</v>
      </c>
      <c r="O342" t="n">
        <v>0</v>
      </c>
      <c r="P342" t="n">
        <v>0</v>
      </c>
      <c r="Q342" t="n">
        <v>0</v>
      </c>
      <c r="R342" s="2" t="inlineStr"/>
    </row>
    <row r="343" ht="15" customHeight="1">
      <c r="A343" t="inlineStr">
        <is>
          <t>A 73167-2021</t>
        </is>
      </c>
      <c r="B343" s="1" t="n">
        <v>44550</v>
      </c>
      <c r="C343" s="1" t="n">
        <v>45849</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73703-2021</t>
        </is>
      </c>
      <c r="B344" s="1" t="n">
        <v>44552</v>
      </c>
      <c r="C344" s="1" t="n">
        <v>45849</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74427-2021</t>
        </is>
      </c>
      <c r="B345" s="1" t="n">
        <v>44560</v>
      </c>
      <c r="C345" s="1" t="n">
        <v>45849</v>
      </c>
      <c r="D345" t="inlineStr">
        <is>
          <t>DALARNAS LÄN</t>
        </is>
      </c>
      <c r="E345" t="inlineStr">
        <is>
          <t>LUDVIKA</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74432-2021</t>
        </is>
      </c>
      <c r="B346" s="1" t="n">
        <v>44560</v>
      </c>
      <c r="C346" s="1" t="n">
        <v>45849</v>
      </c>
      <c r="D346" t="inlineStr">
        <is>
          <t>DALARNAS LÄN</t>
        </is>
      </c>
      <c r="E346" t="inlineStr">
        <is>
          <t>LUDVIKA</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1299-2022</t>
        </is>
      </c>
      <c r="B347" s="1" t="n">
        <v>44572</v>
      </c>
      <c r="C347" s="1" t="n">
        <v>45849</v>
      </c>
      <c r="D347" t="inlineStr">
        <is>
          <t>DALARNAS LÄN</t>
        </is>
      </c>
      <c r="E347" t="inlineStr">
        <is>
          <t>LUDVIKA</t>
        </is>
      </c>
      <c r="G347" t="n">
        <v>0.8</v>
      </c>
      <c r="H347" t="n">
        <v>0</v>
      </c>
      <c r="I347" t="n">
        <v>0</v>
      </c>
      <c r="J347" t="n">
        <v>0</v>
      </c>
      <c r="K347" t="n">
        <v>0</v>
      </c>
      <c r="L347" t="n">
        <v>0</v>
      </c>
      <c r="M347" t="n">
        <v>0</v>
      </c>
      <c r="N347" t="n">
        <v>0</v>
      </c>
      <c r="O347" t="n">
        <v>0</v>
      </c>
      <c r="P347" t="n">
        <v>0</v>
      </c>
      <c r="Q347" t="n">
        <v>0</v>
      </c>
      <c r="R347" s="2" t="inlineStr"/>
    </row>
    <row r="348" ht="15" customHeight="1">
      <c r="A348" t="inlineStr">
        <is>
          <t>A 2422-2022</t>
        </is>
      </c>
      <c r="B348" s="1" t="n">
        <v>44579</v>
      </c>
      <c r="C348" s="1" t="n">
        <v>45849</v>
      </c>
      <c r="D348" t="inlineStr">
        <is>
          <t>DALARNAS LÄN</t>
        </is>
      </c>
      <c r="E348" t="inlineStr">
        <is>
          <t>LUDVIKA</t>
        </is>
      </c>
      <c r="G348" t="n">
        <v>2.3</v>
      </c>
      <c r="H348" t="n">
        <v>0</v>
      </c>
      <c r="I348" t="n">
        <v>0</v>
      </c>
      <c r="J348" t="n">
        <v>0</v>
      </c>
      <c r="K348" t="n">
        <v>0</v>
      </c>
      <c r="L348" t="n">
        <v>0</v>
      </c>
      <c r="M348" t="n">
        <v>0</v>
      </c>
      <c r="N348" t="n">
        <v>0</v>
      </c>
      <c r="O348" t="n">
        <v>0</v>
      </c>
      <c r="P348" t="n">
        <v>0</v>
      </c>
      <c r="Q348" t="n">
        <v>0</v>
      </c>
      <c r="R348" s="2" t="inlineStr"/>
    </row>
    <row r="349" ht="15" customHeight="1">
      <c r="A349" t="inlineStr">
        <is>
          <t>A 2491-2022</t>
        </is>
      </c>
      <c r="B349" s="1" t="n">
        <v>44579</v>
      </c>
      <c r="C349" s="1" t="n">
        <v>45849</v>
      </c>
      <c r="D349" t="inlineStr">
        <is>
          <t>DALARNAS LÄN</t>
        </is>
      </c>
      <c r="E349" t="inlineStr">
        <is>
          <t>LUDVIKA</t>
        </is>
      </c>
      <c r="G349" t="n">
        <v>2.8</v>
      </c>
      <c r="H349" t="n">
        <v>0</v>
      </c>
      <c r="I349" t="n">
        <v>0</v>
      </c>
      <c r="J349" t="n">
        <v>0</v>
      </c>
      <c r="K349" t="n">
        <v>0</v>
      </c>
      <c r="L349" t="n">
        <v>0</v>
      </c>
      <c r="M349" t="n">
        <v>0</v>
      </c>
      <c r="N349" t="n">
        <v>0</v>
      </c>
      <c r="O349" t="n">
        <v>0</v>
      </c>
      <c r="P349" t="n">
        <v>0</v>
      </c>
      <c r="Q349" t="n">
        <v>0</v>
      </c>
      <c r="R349" s="2" t="inlineStr"/>
    </row>
    <row r="350" ht="15" customHeight="1">
      <c r="A350" t="inlineStr">
        <is>
          <t>A 2838-2022</t>
        </is>
      </c>
      <c r="B350" s="1" t="n">
        <v>44581</v>
      </c>
      <c r="C350" s="1" t="n">
        <v>45849</v>
      </c>
      <c r="D350" t="inlineStr">
        <is>
          <t>DALARNAS LÄN</t>
        </is>
      </c>
      <c r="E350" t="inlineStr">
        <is>
          <t>LUDVIKA</t>
        </is>
      </c>
      <c r="F350" t="inlineStr">
        <is>
          <t>Bergvik skog väst AB</t>
        </is>
      </c>
      <c r="G350" t="n">
        <v>2</v>
      </c>
      <c r="H350" t="n">
        <v>0</v>
      </c>
      <c r="I350" t="n">
        <v>0</v>
      </c>
      <c r="J350" t="n">
        <v>0</v>
      </c>
      <c r="K350" t="n">
        <v>0</v>
      </c>
      <c r="L350" t="n">
        <v>0</v>
      </c>
      <c r="M350" t="n">
        <v>0</v>
      </c>
      <c r="N350" t="n">
        <v>0</v>
      </c>
      <c r="O350" t="n">
        <v>0</v>
      </c>
      <c r="P350" t="n">
        <v>0</v>
      </c>
      <c r="Q350" t="n">
        <v>0</v>
      </c>
      <c r="R350" s="2" t="inlineStr"/>
    </row>
    <row r="351" ht="15" customHeight="1">
      <c r="A351" t="inlineStr">
        <is>
          <t>A 4551-2022</t>
        </is>
      </c>
      <c r="B351" s="1" t="n">
        <v>44590</v>
      </c>
      <c r="C351" s="1" t="n">
        <v>45849</v>
      </c>
      <c r="D351" t="inlineStr">
        <is>
          <t>DALARNAS LÄN</t>
        </is>
      </c>
      <c r="E351" t="inlineStr">
        <is>
          <t>LUDVIKA</t>
        </is>
      </c>
      <c r="G351" t="n">
        <v>1.1</v>
      </c>
      <c r="H351" t="n">
        <v>0</v>
      </c>
      <c r="I351" t="n">
        <v>0</v>
      </c>
      <c r="J351" t="n">
        <v>0</v>
      </c>
      <c r="K351" t="n">
        <v>0</v>
      </c>
      <c r="L351" t="n">
        <v>0</v>
      </c>
      <c r="M351" t="n">
        <v>0</v>
      </c>
      <c r="N351" t="n">
        <v>0</v>
      </c>
      <c r="O351" t="n">
        <v>0</v>
      </c>
      <c r="P351" t="n">
        <v>0</v>
      </c>
      <c r="Q351" t="n">
        <v>0</v>
      </c>
      <c r="R351" s="2" t="inlineStr"/>
    </row>
    <row r="352" ht="15" customHeight="1">
      <c r="A352" t="inlineStr">
        <is>
          <t>A 5970-2022</t>
        </is>
      </c>
      <c r="B352" s="1" t="n">
        <v>44599</v>
      </c>
      <c r="C352" s="1" t="n">
        <v>45849</v>
      </c>
      <c r="D352" t="inlineStr">
        <is>
          <t>DALARNAS LÄN</t>
        </is>
      </c>
      <c r="E352" t="inlineStr">
        <is>
          <t>LUDVIKA</t>
        </is>
      </c>
      <c r="G352" t="n">
        <v>8.4</v>
      </c>
      <c r="H352" t="n">
        <v>0</v>
      </c>
      <c r="I352" t="n">
        <v>0</v>
      </c>
      <c r="J352" t="n">
        <v>0</v>
      </c>
      <c r="K352" t="n">
        <v>0</v>
      </c>
      <c r="L352" t="n">
        <v>0</v>
      </c>
      <c r="M352" t="n">
        <v>0</v>
      </c>
      <c r="N352" t="n">
        <v>0</v>
      </c>
      <c r="O352" t="n">
        <v>0</v>
      </c>
      <c r="P352" t="n">
        <v>0</v>
      </c>
      <c r="Q352" t="n">
        <v>0</v>
      </c>
      <c r="R352" s="2" t="inlineStr"/>
    </row>
    <row r="353" ht="15" customHeight="1">
      <c r="A353" t="inlineStr">
        <is>
          <t>A 6364-2022</t>
        </is>
      </c>
      <c r="B353" s="1" t="n">
        <v>44600</v>
      </c>
      <c r="C353" s="1" t="n">
        <v>45849</v>
      </c>
      <c r="D353" t="inlineStr">
        <is>
          <t>DALARNAS LÄN</t>
        </is>
      </c>
      <c r="E353" t="inlineStr">
        <is>
          <t>LUDVIKA</t>
        </is>
      </c>
      <c r="F353" t="inlineStr">
        <is>
          <t>Övriga Aktiebolag</t>
        </is>
      </c>
      <c r="G353" t="n">
        <v>52.3</v>
      </c>
      <c r="H353" t="n">
        <v>0</v>
      </c>
      <c r="I353" t="n">
        <v>0</v>
      </c>
      <c r="J353" t="n">
        <v>0</v>
      </c>
      <c r="K353" t="n">
        <v>0</v>
      </c>
      <c r="L353" t="n">
        <v>0</v>
      </c>
      <c r="M353" t="n">
        <v>0</v>
      </c>
      <c r="N353" t="n">
        <v>0</v>
      </c>
      <c r="O353" t="n">
        <v>0</v>
      </c>
      <c r="P353" t="n">
        <v>0</v>
      </c>
      <c r="Q353" t="n">
        <v>0</v>
      </c>
      <c r="R353" s="2" t="inlineStr"/>
    </row>
    <row r="354" ht="15" customHeight="1">
      <c r="A354" t="inlineStr">
        <is>
          <t>A 6836-2022</t>
        </is>
      </c>
      <c r="B354" s="1" t="n">
        <v>44602</v>
      </c>
      <c r="C354" s="1" t="n">
        <v>45849</v>
      </c>
      <c r="D354" t="inlineStr">
        <is>
          <t>DALARNAS LÄN</t>
        </is>
      </c>
      <c r="E354" t="inlineStr">
        <is>
          <t>LUDVIKA</t>
        </is>
      </c>
      <c r="F354" t="inlineStr">
        <is>
          <t>Bergvik skog väst AB</t>
        </is>
      </c>
      <c r="G354" t="n">
        <v>3.4</v>
      </c>
      <c r="H354" t="n">
        <v>0</v>
      </c>
      <c r="I354" t="n">
        <v>0</v>
      </c>
      <c r="J354" t="n">
        <v>0</v>
      </c>
      <c r="K354" t="n">
        <v>0</v>
      </c>
      <c r="L354" t="n">
        <v>0</v>
      </c>
      <c r="M354" t="n">
        <v>0</v>
      </c>
      <c r="N354" t="n">
        <v>0</v>
      </c>
      <c r="O354" t="n">
        <v>0</v>
      </c>
      <c r="P354" t="n">
        <v>0</v>
      </c>
      <c r="Q354" t="n">
        <v>0</v>
      </c>
      <c r="R354" s="2" t="inlineStr"/>
    </row>
    <row r="355" ht="15" customHeight="1">
      <c r="A355" t="inlineStr">
        <is>
          <t>A 7011-2022</t>
        </is>
      </c>
      <c r="B355" s="1" t="n">
        <v>44603</v>
      </c>
      <c r="C355" s="1" t="n">
        <v>45849</v>
      </c>
      <c r="D355" t="inlineStr">
        <is>
          <t>DALARNAS LÄN</t>
        </is>
      </c>
      <c r="E355" t="inlineStr">
        <is>
          <t>LUDVIKA</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9464-2022</t>
        </is>
      </c>
      <c r="B356" s="1" t="n">
        <v>44616</v>
      </c>
      <c r="C356" s="1" t="n">
        <v>45849</v>
      </c>
      <c r="D356" t="inlineStr">
        <is>
          <t>DALARNAS LÄN</t>
        </is>
      </c>
      <c r="E356" t="inlineStr">
        <is>
          <t>LUDVIKA</t>
        </is>
      </c>
      <c r="G356" t="n">
        <v>4.1</v>
      </c>
      <c r="H356" t="n">
        <v>0</v>
      </c>
      <c r="I356" t="n">
        <v>0</v>
      </c>
      <c r="J356" t="n">
        <v>0</v>
      </c>
      <c r="K356" t="n">
        <v>0</v>
      </c>
      <c r="L356" t="n">
        <v>0</v>
      </c>
      <c r="M356" t="n">
        <v>0</v>
      </c>
      <c r="N356" t="n">
        <v>0</v>
      </c>
      <c r="O356" t="n">
        <v>0</v>
      </c>
      <c r="P356" t="n">
        <v>0</v>
      </c>
      <c r="Q356" t="n">
        <v>0</v>
      </c>
      <c r="R356" s="2" t="inlineStr"/>
    </row>
    <row r="357" ht="15" customHeight="1">
      <c r="A357" t="inlineStr">
        <is>
          <t>A 13051-2022</t>
        </is>
      </c>
      <c r="B357" s="1" t="n">
        <v>44643</v>
      </c>
      <c r="C357" s="1" t="n">
        <v>45849</v>
      </c>
      <c r="D357" t="inlineStr">
        <is>
          <t>DALARNAS LÄN</t>
        </is>
      </c>
      <c r="E357" t="inlineStr">
        <is>
          <t>LUDVIKA</t>
        </is>
      </c>
      <c r="G357" t="n">
        <v>1.4</v>
      </c>
      <c r="H357" t="n">
        <v>0</v>
      </c>
      <c r="I357" t="n">
        <v>0</v>
      </c>
      <c r="J357" t="n">
        <v>0</v>
      </c>
      <c r="K357" t="n">
        <v>0</v>
      </c>
      <c r="L357" t="n">
        <v>0</v>
      </c>
      <c r="M357" t="n">
        <v>0</v>
      </c>
      <c r="N357" t="n">
        <v>0</v>
      </c>
      <c r="O357" t="n">
        <v>0</v>
      </c>
      <c r="P357" t="n">
        <v>0</v>
      </c>
      <c r="Q357" t="n">
        <v>0</v>
      </c>
      <c r="R357" s="2" t="inlineStr"/>
    </row>
    <row r="358" ht="15" customHeight="1">
      <c r="A358" t="inlineStr">
        <is>
          <t>A 14387-2022</t>
        </is>
      </c>
      <c r="B358" s="1" t="n">
        <v>44652</v>
      </c>
      <c r="C358" s="1" t="n">
        <v>45849</v>
      </c>
      <c r="D358" t="inlineStr">
        <is>
          <t>DALARNAS LÄN</t>
        </is>
      </c>
      <c r="E358" t="inlineStr">
        <is>
          <t>LUDVIKA</t>
        </is>
      </c>
      <c r="F358" t="inlineStr">
        <is>
          <t>Bergvik skog väst AB</t>
        </is>
      </c>
      <c r="G358" t="n">
        <v>0.8</v>
      </c>
      <c r="H358" t="n">
        <v>0</v>
      </c>
      <c r="I358" t="n">
        <v>0</v>
      </c>
      <c r="J358" t="n">
        <v>0</v>
      </c>
      <c r="K358" t="n">
        <v>0</v>
      </c>
      <c r="L358" t="n">
        <v>0</v>
      </c>
      <c r="M358" t="n">
        <v>0</v>
      </c>
      <c r="N358" t="n">
        <v>0</v>
      </c>
      <c r="O358" t="n">
        <v>0</v>
      </c>
      <c r="P358" t="n">
        <v>0</v>
      </c>
      <c r="Q358" t="n">
        <v>0</v>
      </c>
      <c r="R358" s="2" t="inlineStr"/>
    </row>
    <row r="359" ht="15" customHeight="1">
      <c r="A359" t="inlineStr">
        <is>
          <t>A 14872-2022</t>
        </is>
      </c>
      <c r="B359" s="1" t="n">
        <v>44656</v>
      </c>
      <c r="C359" s="1" t="n">
        <v>45849</v>
      </c>
      <c r="D359" t="inlineStr">
        <is>
          <t>DALARNAS LÄN</t>
        </is>
      </c>
      <c r="E359" t="inlineStr">
        <is>
          <t>LUDVIKA</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15145-2022</t>
        </is>
      </c>
      <c r="B360" s="1" t="n">
        <v>44658</v>
      </c>
      <c r="C360" s="1" t="n">
        <v>45849</v>
      </c>
      <c r="D360" t="inlineStr">
        <is>
          <t>DALARNAS LÄN</t>
        </is>
      </c>
      <c r="E360" t="inlineStr">
        <is>
          <t>LUDVIKA</t>
        </is>
      </c>
      <c r="G360" t="n">
        <v>3.7</v>
      </c>
      <c r="H360" t="n">
        <v>0</v>
      </c>
      <c r="I360" t="n">
        <v>0</v>
      </c>
      <c r="J360" t="n">
        <v>0</v>
      </c>
      <c r="K360" t="n">
        <v>0</v>
      </c>
      <c r="L360" t="n">
        <v>0</v>
      </c>
      <c r="M360" t="n">
        <v>0</v>
      </c>
      <c r="N360" t="n">
        <v>0</v>
      </c>
      <c r="O360" t="n">
        <v>0</v>
      </c>
      <c r="P360" t="n">
        <v>0</v>
      </c>
      <c r="Q360" t="n">
        <v>0</v>
      </c>
      <c r="R360" s="2" t="inlineStr"/>
    </row>
    <row r="361" ht="15" customHeight="1">
      <c r="A361" t="inlineStr">
        <is>
          <t>A 15617-2022</t>
        </is>
      </c>
      <c r="B361" s="1" t="n">
        <v>44662</v>
      </c>
      <c r="C361" s="1" t="n">
        <v>45849</v>
      </c>
      <c r="D361" t="inlineStr">
        <is>
          <t>DALARNAS LÄN</t>
        </is>
      </c>
      <c r="E361" t="inlineStr">
        <is>
          <t>LUDVIKA</t>
        </is>
      </c>
      <c r="F361" t="inlineStr">
        <is>
          <t>Bergvik skog väst AB</t>
        </is>
      </c>
      <c r="G361" t="n">
        <v>7.8</v>
      </c>
      <c r="H361" t="n">
        <v>0</v>
      </c>
      <c r="I361" t="n">
        <v>0</v>
      </c>
      <c r="J361" t="n">
        <v>0</v>
      </c>
      <c r="K361" t="n">
        <v>0</v>
      </c>
      <c r="L361" t="n">
        <v>0</v>
      </c>
      <c r="M361" t="n">
        <v>0</v>
      </c>
      <c r="N361" t="n">
        <v>0</v>
      </c>
      <c r="O361" t="n">
        <v>0</v>
      </c>
      <c r="P361" t="n">
        <v>0</v>
      </c>
      <c r="Q361" t="n">
        <v>0</v>
      </c>
      <c r="R361" s="2" t="inlineStr"/>
    </row>
    <row r="362" ht="15" customHeight="1">
      <c r="A362" t="inlineStr">
        <is>
          <t>A 17677-2022</t>
        </is>
      </c>
      <c r="B362" s="1" t="n">
        <v>44680</v>
      </c>
      <c r="C362" s="1" t="n">
        <v>45849</v>
      </c>
      <c r="D362" t="inlineStr">
        <is>
          <t>DALARNAS LÄN</t>
        </is>
      </c>
      <c r="E362" t="inlineStr">
        <is>
          <t>LUDVIKA</t>
        </is>
      </c>
      <c r="F362" t="inlineStr">
        <is>
          <t>Bergvik skog väst AB</t>
        </is>
      </c>
      <c r="G362" t="n">
        <v>5.5</v>
      </c>
      <c r="H362" t="n">
        <v>0</v>
      </c>
      <c r="I362" t="n">
        <v>0</v>
      </c>
      <c r="J362" t="n">
        <v>0</v>
      </c>
      <c r="K362" t="n">
        <v>0</v>
      </c>
      <c r="L362" t="n">
        <v>0</v>
      </c>
      <c r="M362" t="n">
        <v>0</v>
      </c>
      <c r="N362" t="n">
        <v>0</v>
      </c>
      <c r="O362" t="n">
        <v>0</v>
      </c>
      <c r="P362" t="n">
        <v>0</v>
      </c>
      <c r="Q362" t="n">
        <v>0</v>
      </c>
      <c r="R362" s="2" t="inlineStr"/>
    </row>
    <row r="363" ht="15" customHeight="1">
      <c r="A363" t="inlineStr">
        <is>
          <t>A 18289-2022</t>
        </is>
      </c>
      <c r="B363" s="1" t="n">
        <v>44685</v>
      </c>
      <c r="C363" s="1" t="n">
        <v>45849</v>
      </c>
      <c r="D363" t="inlineStr">
        <is>
          <t>DALARNAS LÄN</t>
        </is>
      </c>
      <c r="E363" t="inlineStr">
        <is>
          <t>LUDVIKA</t>
        </is>
      </c>
      <c r="F363" t="inlineStr">
        <is>
          <t>Bergvik skog väst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18703-2022</t>
        </is>
      </c>
      <c r="B364" s="1" t="n">
        <v>44687</v>
      </c>
      <c r="C364" s="1" t="n">
        <v>45849</v>
      </c>
      <c r="D364" t="inlineStr">
        <is>
          <t>DALARNAS LÄN</t>
        </is>
      </c>
      <c r="E364" t="inlineStr">
        <is>
          <t>LUDVIKA</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18724-2022</t>
        </is>
      </c>
      <c r="B365" s="1" t="n">
        <v>44687</v>
      </c>
      <c r="C365" s="1" t="n">
        <v>45849</v>
      </c>
      <c r="D365" t="inlineStr">
        <is>
          <t>DALARNAS LÄN</t>
        </is>
      </c>
      <c r="E365" t="inlineStr">
        <is>
          <t>LUDVIKA</t>
        </is>
      </c>
      <c r="G365" t="n">
        <v>4.3</v>
      </c>
      <c r="H365" t="n">
        <v>0</v>
      </c>
      <c r="I365" t="n">
        <v>0</v>
      </c>
      <c r="J365" t="n">
        <v>0</v>
      </c>
      <c r="K365" t="n">
        <v>0</v>
      </c>
      <c r="L365" t="n">
        <v>0</v>
      </c>
      <c r="M365" t="n">
        <v>0</v>
      </c>
      <c r="N365" t="n">
        <v>0</v>
      </c>
      <c r="O365" t="n">
        <v>0</v>
      </c>
      <c r="P365" t="n">
        <v>0</v>
      </c>
      <c r="Q365" t="n">
        <v>0</v>
      </c>
      <c r="R365" s="2" t="inlineStr"/>
    </row>
    <row r="366" ht="15" customHeight="1">
      <c r="A366" t="inlineStr">
        <is>
          <t>A 20656-2022</t>
        </is>
      </c>
      <c r="B366" s="1" t="n">
        <v>44700</v>
      </c>
      <c r="C366" s="1" t="n">
        <v>45849</v>
      </c>
      <c r="D366" t="inlineStr">
        <is>
          <t>DALARNAS LÄN</t>
        </is>
      </c>
      <c r="E366" t="inlineStr">
        <is>
          <t>LUDVIKA</t>
        </is>
      </c>
      <c r="F366" t="inlineStr">
        <is>
          <t>Bergvik skog väst AB</t>
        </is>
      </c>
      <c r="G366" t="n">
        <v>1.6</v>
      </c>
      <c r="H366" t="n">
        <v>0</v>
      </c>
      <c r="I366" t="n">
        <v>0</v>
      </c>
      <c r="J366" t="n">
        <v>0</v>
      </c>
      <c r="K366" t="n">
        <v>0</v>
      </c>
      <c r="L366" t="n">
        <v>0</v>
      </c>
      <c r="M366" t="n">
        <v>0</v>
      </c>
      <c r="N366" t="n">
        <v>0</v>
      </c>
      <c r="O366" t="n">
        <v>0</v>
      </c>
      <c r="P366" t="n">
        <v>0</v>
      </c>
      <c r="Q366" t="n">
        <v>0</v>
      </c>
      <c r="R366" s="2" t="inlineStr"/>
    </row>
    <row r="367" ht="15" customHeight="1">
      <c r="A367" t="inlineStr">
        <is>
          <t>A 20852-2022</t>
        </is>
      </c>
      <c r="B367" s="1" t="n">
        <v>44701</v>
      </c>
      <c r="C367" s="1" t="n">
        <v>45849</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21466-2022</t>
        </is>
      </c>
      <c r="B368" s="1" t="n">
        <v>44706</v>
      </c>
      <c r="C368" s="1" t="n">
        <v>45849</v>
      </c>
      <c r="D368" t="inlineStr">
        <is>
          <t>DALARNAS LÄN</t>
        </is>
      </c>
      <c r="E368" t="inlineStr">
        <is>
          <t>LUDVIKA</t>
        </is>
      </c>
      <c r="F368" t="inlineStr">
        <is>
          <t>Bergvik skog väst AB</t>
        </is>
      </c>
      <c r="G368" t="n">
        <v>1.9</v>
      </c>
      <c r="H368" t="n">
        <v>0</v>
      </c>
      <c r="I368" t="n">
        <v>0</v>
      </c>
      <c r="J368" t="n">
        <v>0</v>
      </c>
      <c r="K368" t="n">
        <v>0</v>
      </c>
      <c r="L368" t="n">
        <v>0</v>
      </c>
      <c r="M368" t="n">
        <v>0</v>
      </c>
      <c r="N368" t="n">
        <v>0</v>
      </c>
      <c r="O368" t="n">
        <v>0</v>
      </c>
      <c r="P368" t="n">
        <v>0</v>
      </c>
      <c r="Q368" t="n">
        <v>0</v>
      </c>
      <c r="R368" s="2" t="inlineStr"/>
    </row>
    <row r="369" ht="15" customHeight="1">
      <c r="A369" t="inlineStr">
        <is>
          <t>A 21502-2022</t>
        </is>
      </c>
      <c r="B369" s="1" t="n">
        <v>44706</v>
      </c>
      <c r="C369" s="1" t="n">
        <v>45849</v>
      </c>
      <c r="D369" t="inlineStr">
        <is>
          <t>DALARNAS LÄN</t>
        </is>
      </c>
      <c r="E369" t="inlineStr">
        <is>
          <t>LUDVIKA</t>
        </is>
      </c>
      <c r="F369" t="inlineStr">
        <is>
          <t>Bergvik skog väst AB</t>
        </is>
      </c>
      <c r="G369" t="n">
        <v>5.5</v>
      </c>
      <c r="H369" t="n">
        <v>0</v>
      </c>
      <c r="I369" t="n">
        <v>0</v>
      </c>
      <c r="J369" t="n">
        <v>0</v>
      </c>
      <c r="K369" t="n">
        <v>0</v>
      </c>
      <c r="L369" t="n">
        <v>0</v>
      </c>
      <c r="M369" t="n">
        <v>0</v>
      </c>
      <c r="N369" t="n">
        <v>0</v>
      </c>
      <c r="O369" t="n">
        <v>0</v>
      </c>
      <c r="P369" t="n">
        <v>0</v>
      </c>
      <c r="Q369" t="n">
        <v>0</v>
      </c>
      <c r="R369" s="2" t="inlineStr"/>
    </row>
    <row r="370" ht="15" customHeight="1">
      <c r="A370" t="inlineStr">
        <is>
          <t>A 21741-2022</t>
        </is>
      </c>
      <c r="B370" s="1" t="n">
        <v>44708</v>
      </c>
      <c r="C370" s="1" t="n">
        <v>45849</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22000-2022</t>
        </is>
      </c>
      <c r="B371" s="1" t="n">
        <v>44711</v>
      </c>
      <c r="C371" s="1" t="n">
        <v>45849</v>
      </c>
      <c r="D371" t="inlineStr">
        <is>
          <t>DALARNAS LÄN</t>
        </is>
      </c>
      <c r="E371" t="inlineStr">
        <is>
          <t>LUDVIKA</t>
        </is>
      </c>
      <c r="F371" t="inlineStr">
        <is>
          <t>Bergvik skog väst AB</t>
        </is>
      </c>
      <c r="G371" t="n">
        <v>2.1</v>
      </c>
      <c r="H371" t="n">
        <v>0</v>
      </c>
      <c r="I371" t="n">
        <v>0</v>
      </c>
      <c r="J371" t="n">
        <v>0</v>
      </c>
      <c r="K371" t="n">
        <v>0</v>
      </c>
      <c r="L371" t="n">
        <v>0</v>
      </c>
      <c r="M371" t="n">
        <v>0</v>
      </c>
      <c r="N371" t="n">
        <v>0</v>
      </c>
      <c r="O371" t="n">
        <v>0</v>
      </c>
      <c r="P371" t="n">
        <v>0</v>
      </c>
      <c r="Q371" t="n">
        <v>0</v>
      </c>
      <c r="R371" s="2" t="inlineStr"/>
    </row>
    <row r="372" ht="15" customHeight="1">
      <c r="A372" t="inlineStr">
        <is>
          <t>A 22920-2022</t>
        </is>
      </c>
      <c r="B372" s="1" t="n">
        <v>44715</v>
      </c>
      <c r="C372" s="1" t="n">
        <v>45849</v>
      </c>
      <c r="D372" t="inlineStr">
        <is>
          <t>DALARNAS LÄN</t>
        </is>
      </c>
      <c r="E372" t="inlineStr">
        <is>
          <t>LUDVIKA</t>
        </is>
      </c>
      <c r="F372" t="inlineStr">
        <is>
          <t>Bergvik skog väst AB</t>
        </is>
      </c>
      <c r="G372" t="n">
        <v>0.8</v>
      </c>
      <c r="H372" t="n">
        <v>0</v>
      </c>
      <c r="I372" t="n">
        <v>0</v>
      </c>
      <c r="J372" t="n">
        <v>0</v>
      </c>
      <c r="K372" t="n">
        <v>0</v>
      </c>
      <c r="L372" t="n">
        <v>0</v>
      </c>
      <c r="M372" t="n">
        <v>0</v>
      </c>
      <c r="N372" t="n">
        <v>0</v>
      </c>
      <c r="O372" t="n">
        <v>0</v>
      </c>
      <c r="P372" t="n">
        <v>0</v>
      </c>
      <c r="Q372" t="n">
        <v>0</v>
      </c>
      <c r="R372" s="2" t="inlineStr"/>
    </row>
    <row r="373" ht="15" customHeight="1">
      <c r="A373" t="inlineStr">
        <is>
          <t>A 23258-2022</t>
        </is>
      </c>
      <c r="B373" s="1" t="n">
        <v>44720</v>
      </c>
      <c r="C373" s="1" t="n">
        <v>45849</v>
      </c>
      <c r="D373" t="inlineStr">
        <is>
          <t>DALARNAS LÄN</t>
        </is>
      </c>
      <c r="E373" t="inlineStr">
        <is>
          <t>LUDVIKA</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23345-2022</t>
        </is>
      </c>
      <c r="B374" s="1" t="n">
        <v>44720</v>
      </c>
      <c r="C374" s="1" t="n">
        <v>45849</v>
      </c>
      <c r="D374" t="inlineStr">
        <is>
          <t>DALARNAS LÄN</t>
        </is>
      </c>
      <c r="E374" t="inlineStr">
        <is>
          <t>LUDVIKA</t>
        </is>
      </c>
      <c r="G374" t="n">
        <v>0.5</v>
      </c>
      <c r="H374" t="n">
        <v>0</v>
      </c>
      <c r="I374" t="n">
        <v>0</v>
      </c>
      <c r="J374" t="n">
        <v>0</v>
      </c>
      <c r="K374" t="n">
        <v>0</v>
      </c>
      <c r="L374" t="n">
        <v>0</v>
      </c>
      <c r="M374" t="n">
        <v>0</v>
      </c>
      <c r="N374" t="n">
        <v>0</v>
      </c>
      <c r="O374" t="n">
        <v>0</v>
      </c>
      <c r="P374" t="n">
        <v>0</v>
      </c>
      <c r="Q374" t="n">
        <v>0</v>
      </c>
      <c r="R374" s="2" t="inlineStr"/>
    </row>
    <row r="375" ht="15" customHeight="1">
      <c r="A375" t="inlineStr">
        <is>
          <t>A 24160-2022</t>
        </is>
      </c>
      <c r="B375" s="1" t="n">
        <v>44725</v>
      </c>
      <c r="C375" s="1" t="n">
        <v>45849</v>
      </c>
      <c r="D375" t="inlineStr">
        <is>
          <t>DALARNAS LÄN</t>
        </is>
      </c>
      <c r="E375" t="inlineStr">
        <is>
          <t>LUDVIKA</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25095-2022</t>
        </is>
      </c>
      <c r="B376" s="1" t="n">
        <v>44729</v>
      </c>
      <c r="C376" s="1" t="n">
        <v>45849</v>
      </c>
      <c r="D376" t="inlineStr">
        <is>
          <t>DALARNAS LÄN</t>
        </is>
      </c>
      <c r="E376" t="inlineStr">
        <is>
          <t>LUDVIKA</t>
        </is>
      </c>
      <c r="F376" t="inlineStr">
        <is>
          <t>Bergvik skog väst AB</t>
        </is>
      </c>
      <c r="G376" t="n">
        <v>3.9</v>
      </c>
      <c r="H376" t="n">
        <v>0</v>
      </c>
      <c r="I376" t="n">
        <v>0</v>
      </c>
      <c r="J376" t="n">
        <v>0</v>
      </c>
      <c r="K376" t="n">
        <v>0</v>
      </c>
      <c r="L376" t="n">
        <v>0</v>
      </c>
      <c r="M376" t="n">
        <v>0</v>
      </c>
      <c r="N376" t="n">
        <v>0</v>
      </c>
      <c r="O376" t="n">
        <v>0</v>
      </c>
      <c r="P376" t="n">
        <v>0</v>
      </c>
      <c r="Q376" t="n">
        <v>0</v>
      </c>
      <c r="R376" s="2" t="inlineStr"/>
    </row>
    <row r="377" ht="15" customHeight="1">
      <c r="A377" t="inlineStr">
        <is>
          <t>A 25243-2022</t>
        </is>
      </c>
      <c r="B377" s="1" t="n">
        <v>44730</v>
      </c>
      <c r="C377" s="1" t="n">
        <v>45849</v>
      </c>
      <c r="D377" t="inlineStr">
        <is>
          <t>DALARNAS LÄN</t>
        </is>
      </c>
      <c r="E377" t="inlineStr">
        <is>
          <t>LUDVIKA</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25272-2022</t>
        </is>
      </c>
      <c r="B378" s="1" t="n">
        <v>44730</v>
      </c>
      <c r="C378" s="1" t="n">
        <v>45849</v>
      </c>
      <c r="D378" t="inlineStr">
        <is>
          <t>DALARNAS LÄN</t>
        </is>
      </c>
      <c r="E378" t="inlineStr">
        <is>
          <t>LUDVIKA</t>
        </is>
      </c>
      <c r="F378" t="inlineStr">
        <is>
          <t>Bergvik skog väst AB</t>
        </is>
      </c>
      <c r="G378" t="n">
        <v>9.6</v>
      </c>
      <c r="H378" t="n">
        <v>0</v>
      </c>
      <c r="I378" t="n">
        <v>0</v>
      </c>
      <c r="J378" t="n">
        <v>0</v>
      </c>
      <c r="K378" t="n">
        <v>0</v>
      </c>
      <c r="L378" t="n">
        <v>0</v>
      </c>
      <c r="M378" t="n">
        <v>0</v>
      </c>
      <c r="N378" t="n">
        <v>0</v>
      </c>
      <c r="O378" t="n">
        <v>0</v>
      </c>
      <c r="P378" t="n">
        <v>0</v>
      </c>
      <c r="Q378" t="n">
        <v>0</v>
      </c>
      <c r="R378" s="2" t="inlineStr"/>
    </row>
    <row r="379" ht="15" customHeight="1">
      <c r="A379" t="inlineStr">
        <is>
          <t>A 25274-2022</t>
        </is>
      </c>
      <c r="B379" s="1" t="n">
        <v>44730</v>
      </c>
      <c r="C379" s="1" t="n">
        <v>45849</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25273-2022</t>
        </is>
      </c>
      <c r="B380" s="1" t="n">
        <v>44730</v>
      </c>
      <c r="C380" s="1" t="n">
        <v>45849</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25292-2022</t>
        </is>
      </c>
      <c r="B381" s="1" t="n">
        <v>44731</v>
      </c>
      <c r="C381" s="1" t="n">
        <v>45849</v>
      </c>
      <c r="D381" t="inlineStr">
        <is>
          <t>DALARNAS LÄN</t>
        </is>
      </c>
      <c r="E381" t="inlineStr">
        <is>
          <t>LUDVIKA</t>
        </is>
      </c>
      <c r="F381" t="inlineStr">
        <is>
          <t>Bergvik skog väst AB</t>
        </is>
      </c>
      <c r="G381" t="n">
        <v>2.5</v>
      </c>
      <c r="H381" t="n">
        <v>0</v>
      </c>
      <c r="I381" t="n">
        <v>0</v>
      </c>
      <c r="J381" t="n">
        <v>0</v>
      </c>
      <c r="K381" t="n">
        <v>0</v>
      </c>
      <c r="L381" t="n">
        <v>0</v>
      </c>
      <c r="M381" t="n">
        <v>0</v>
      </c>
      <c r="N381" t="n">
        <v>0</v>
      </c>
      <c r="O381" t="n">
        <v>0</v>
      </c>
      <c r="P381" t="n">
        <v>0</v>
      </c>
      <c r="Q381" t="n">
        <v>0</v>
      </c>
      <c r="R381" s="2" t="inlineStr"/>
    </row>
    <row r="382" ht="15" customHeight="1">
      <c r="A382" t="inlineStr">
        <is>
          <t>A 25296-2022</t>
        </is>
      </c>
      <c r="B382" s="1" t="n">
        <v>44731</v>
      </c>
      <c r="C382" s="1" t="n">
        <v>45849</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25300-2022</t>
        </is>
      </c>
      <c r="B383" s="1" t="n">
        <v>44731</v>
      </c>
      <c r="C383" s="1" t="n">
        <v>45849</v>
      </c>
      <c r="D383" t="inlineStr">
        <is>
          <t>DALARNAS LÄN</t>
        </is>
      </c>
      <c r="E383" t="inlineStr">
        <is>
          <t>LUDVIKA</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25289-2022</t>
        </is>
      </c>
      <c r="B384" s="1" t="n">
        <v>44731</v>
      </c>
      <c r="C384" s="1" t="n">
        <v>45849</v>
      </c>
      <c r="D384" t="inlineStr">
        <is>
          <t>DALARNAS LÄN</t>
        </is>
      </c>
      <c r="E384" t="inlineStr">
        <is>
          <t>LUDVIKA</t>
        </is>
      </c>
      <c r="F384" t="inlineStr">
        <is>
          <t>Bergvik skog väst AB</t>
        </is>
      </c>
      <c r="G384" t="n">
        <v>10.1</v>
      </c>
      <c r="H384" t="n">
        <v>0</v>
      </c>
      <c r="I384" t="n">
        <v>0</v>
      </c>
      <c r="J384" t="n">
        <v>0</v>
      </c>
      <c r="K384" t="n">
        <v>0</v>
      </c>
      <c r="L384" t="n">
        <v>0</v>
      </c>
      <c r="M384" t="n">
        <v>0</v>
      </c>
      <c r="N384" t="n">
        <v>0</v>
      </c>
      <c r="O384" t="n">
        <v>0</v>
      </c>
      <c r="P384" t="n">
        <v>0</v>
      </c>
      <c r="Q384" t="n">
        <v>0</v>
      </c>
      <c r="R384" s="2" t="inlineStr"/>
    </row>
    <row r="385" ht="15" customHeight="1">
      <c r="A385" t="inlineStr">
        <is>
          <t>A 25293-2022</t>
        </is>
      </c>
      <c r="B385" s="1" t="n">
        <v>44731</v>
      </c>
      <c r="C385" s="1" t="n">
        <v>45849</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25297-2022</t>
        </is>
      </c>
      <c r="B386" s="1" t="n">
        <v>44731</v>
      </c>
      <c r="C386" s="1" t="n">
        <v>45849</v>
      </c>
      <c r="D386" t="inlineStr">
        <is>
          <t>DALARNAS LÄN</t>
        </is>
      </c>
      <c r="E386" t="inlineStr">
        <is>
          <t>LUDVIKA</t>
        </is>
      </c>
      <c r="F386" t="inlineStr">
        <is>
          <t>Bergvik skog väst AB</t>
        </is>
      </c>
      <c r="G386" t="n">
        <v>0.4</v>
      </c>
      <c r="H386" t="n">
        <v>0</v>
      </c>
      <c r="I386" t="n">
        <v>0</v>
      </c>
      <c r="J386" t="n">
        <v>0</v>
      </c>
      <c r="K386" t="n">
        <v>0</v>
      </c>
      <c r="L386" t="n">
        <v>0</v>
      </c>
      <c r="M386" t="n">
        <v>0</v>
      </c>
      <c r="N386" t="n">
        <v>0</v>
      </c>
      <c r="O386" t="n">
        <v>0</v>
      </c>
      <c r="P386" t="n">
        <v>0</v>
      </c>
      <c r="Q386" t="n">
        <v>0</v>
      </c>
      <c r="R386" s="2" t="inlineStr"/>
    </row>
    <row r="387" ht="15" customHeight="1">
      <c r="A387" t="inlineStr">
        <is>
          <t>A 25301-2022</t>
        </is>
      </c>
      <c r="B387" s="1" t="n">
        <v>44731</v>
      </c>
      <c r="C387" s="1" t="n">
        <v>45849</v>
      </c>
      <c r="D387" t="inlineStr">
        <is>
          <t>DALARNAS LÄN</t>
        </is>
      </c>
      <c r="E387" t="inlineStr">
        <is>
          <t>LUDVIKA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25290-2022</t>
        </is>
      </c>
      <c r="B388" s="1" t="n">
        <v>44731</v>
      </c>
      <c r="C388" s="1" t="n">
        <v>45849</v>
      </c>
      <c r="D388" t="inlineStr">
        <is>
          <t>DALARNAS LÄN</t>
        </is>
      </c>
      <c r="E388" t="inlineStr">
        <is>
          <t>LUDVIKA</t>
        </is>
      </c>
      <c r="F388" t="inlineStr">
        <is>
          <t>Bergvik skog väst AB</t>
        </is>
      </c>
      <c r="G388" t="n">
        <v>2.7</v>
      </c>
      <c r="H388" t="n">
        <v>0</v>
      </c>
      <c r="I388" t="n">
        <v>0</v>
      </c>
      <c r="J388" t="n">
        <v>0</v>
      </c>
      <c r="K388" t="n">
        <v>0</v>
      </c>
      <c r="L388" t="n">
        <v>0</v>
      </c>
      <c r="M388" t="n">
        <v>0</v>
      </c>
      <c r="N388" t="n">
        <v>0</v>
      </c>
      <c r="O388" t="n">
        <v>0</v>
      </c>
      <c r="P388" t="n">
        <v>0</v>
      </c>
      <c r="Q388" t="n">
        <v>0</v>
      </c>
      <c r="R388" s="2" t="inlineStr"/>
    </row>
    <row r="389" ht="15" customHeight="1">
      <c r="A389" t="inlineStr">
        <is>
          <t>A 25294-2022</t>
        </is>
      </c>
      <c r="B389" s="1" t="n">
        <v>44730</v>
      </c>
      <c r="C389" s="1" t="n">
        <v>45849</v>
      </c>
      <c r="D389" t="inlineStr">
        <is>
          <t>DALARNAS LÄN</t>
        </is>
      </c>
      <c r="E389" t="inlineStr">
        <is>
          <t>LUDVIKA</t>
        </is>
      </c>
      <c r="F389" t="inlineStr">
        <is>
          <t>Bergvik skog väst AB</t>
        </is>
      </c>
      <c r="G389" t="n">
        <v>2.4</v>
      </c>
      <c r="H389" t="n">
        <v>0</v>
      </c>
      <c r="I389" t="n">
        <v>0</v>
      </c>
      <c r="J389" t="n">
        <v>0</v>
      </c>
      <c r="K389" t="n">
        <v>0</v>
      </c>
      <c r="L389" t="n">
        <v>0</v>
      </c>
      <c r="M389" t="n">
        <v>0</v>
      </c>
      <c r="N389" t="n">
        <v>0</v>
      </c>
      <c r="O389" t="n">
        <v>0</v>
      </c>
      <c r="P389" t="n">
        <v>0</v>
      </c>
      <c r="Q389" t="n">
        <v>0</v>
      </c>
      <c r="R389" s="2" t="inlineStr"/>
    </row>
    <row r="390" ht="15" customHeight="1">
      <c r="A390" t="inlineStr">
        <is>
          <t>A 25298-2022</t>
        </is>
      </c>
      <c r="B390" s="1" t="n">
        <v>44731</v>
      </c>
      <c r="C390" s="1" t="n">
        <v>45849</v>
      </c>
      <c r="D390" t="inlineStr">
        <is>
          <t>DALARNAS LÄN</t>
        </is>
      </c>
      <c r="E390" t="inlineStr">
        <is>
          <t>LUDVIKA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25291-2022</t>
        </is>
      </c>
      <c r="B391" s="1" t="n">
        <v>44731</v>
      </c>
      <c r="C391" s="1" t="n">
        <v>45849</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25299-2022</t>
        </is>
      </c>
      <c r="B392" s="1" t="n">
        <v>44731</v>
      </c>
      <c r="C392" s="1" t="n">
        <v>45849</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25328-2022</t>
        </is>
      </c>
      <c r="B393" s="1" t="n">
        <v>44731</v>
      </c>
      <c r="C393" s="1" t="n">
        <v>45849</v>
      </c>
      <c r="D393" t="inlineStr">
        <is>
          <t>DALARNAS LÄN</t>
        </is>
      </c>
      <c r="E393" t="inlineStr">
        <is>
          <t>LUDVIKA</t>
        </is>
      </c>
      <c r="F393" t="inlineStr">
        <is>
          <t>Bergvik skog väst AB</t>
        </is>
      </c>
      <c r="G393" t="n">
        <v>17.2</v>
      </c>
      <c r="H393" t="n">
        <v>0</v>
      </c>
      <c r="I393" t="n">
        <v>0</v>
      </c>
      <c r="J393" t="n">
        <v>0</v>
      </c>
      <c r="K393" t="n">
        <v>0</v>
      </c>
      <c r="L393" t="n">
        <v>0</v>
      </c>
      <c r="M393" t="n">
        <v>0</v>
      </c>
      <c r="N393" t="n">
        <v>0</v>
      </c>
      <c r="O393" t="n">
        <v>0</v>
      </c>
      <c r="P393" t="n">
        <v>0</v>
      </c>
      <c r="Q393" t="n">
        <v>0</v>
      </c>
      <c r="R393" s="2" t="inlineStr"/>
    </row>
    <row r="394" ht="15" customHeight="1">
      <c r="A394" t="inlineStr">
        <is>
          <t>A 25454-2022</t>
        </is>
      </c>
      <c r="B394" s="1" t="n">
        <v>44732</v>
      </c>
      <c r="C394" s="1" t="n">
        <v>45849</v>
      </c>
      <c r="D394" t="inlineStr">
        <is>
          <t>DALARNAS LÄN</t>
        </is>
      </c>
      <c r="E394" t="inlineStr">
        <is>
          <t>LUDVIKA</t>
        </is>
      </c>
      <c r="G394" t="n">
        <v>1.8</v>
      </c>
      <c r="H394" t="n">
        <v>0</v>
      </c>
      <c r="I394" t="n">
        <v>0</v>
      </c>
      <c r="J394" t="n">
        <v>0</v>
      </c>
      <c r="K394" t="n">
        <v>0</v>
      </c>
      <c r="L394" t="n">
        <v>0</v>
      </c>
      <c r="M394" t="n">
        <v>0</v>
      </c>
      <c r="N394" t="n">
        <v>0</v>
      </c>
      <c r="O394" t="n">
        <v>0</v>
      </c>
      <c r="P394" t="n">
        <v>0</v>
      </c>
      <c r="Q394" t="n">
        <v>0</v>
      </c>
      <c r="R394" s="2" t="inlineStr"/>
    </row>
    <row r="395" ht="15" customHeight="1">
      <c r="A395" t="inlineStr">
        <is>
          <t>A 25755-2022</t>
        </is>
      </c>
      <c r="B395" s="1" t="n">
        <v>44733</v>
      </c>
      <c r="C395" s="1" t="n">
        <v>45849</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27226-2022</t>
        </is>
      </c>
      <c r="B396" s="1" t="n">
        <v>44741</v>
      </c>
      <c r="C396" s="1" t="n">
        <v>45849</v>
      </c>
      <c r="D396" t="inlineStr">
        <is>
          <t>DALARNAS LÄN</t>
        </is>
      </c>
      <c r="E396" t="inlineStr">
        <is>
          <t>LUDVIKA</t>
        </is>
      </c>
      <c r="F396" t="inlineStr">
        <is>
          <t>Bergvik skog väst AB</t>
        </is>
      </c>
      <c r="G396" t="n">
        <v>2.1</v>
      </c>
      <c r="H396" t="n">
        <v>0</v>
      </c>
      <c r="I396" t="n">
        <v>0</v>
      </c>
      <c r="J396" t="n">
        <v>0</v>
      </c>
      <c r="K396" t="n">
        <v>0</v>
      </c>
      <c r="L396" t="n">
        <v>0</v>
      </c>
      <c r="M396" t="n">
        <v>0</v>
      </c>
      <c r="N396" t="n">
        <v>0</v>
      </c>
      <c r="O396" t="n">
        <v>0</v>
      </c>
      <c r="P396" t="n">
        <v>0</v>
      </c>
      <c r="Q396" t="n">
        <v>0</v>
      </c>
      <c r="R396" s="2" t="inlineStr"/>
    </row>
    <row r="397" ht="15" customHeight="1">
      <c r="A397" t="inlineStr">
        <is>
          <t>A 27738-2022</t>
        </is>
      </c>
      <c r="B397" s="1" t="n">
        <v>44743</v>
      </c>
      <c r="C397" s="1" t="n">
        <v>45849</v>
      </c>
      <c r="D397" t="inlineStr">
        <is>
          <t>DALARNAS LÄN</t>
        </is>
      </c>
      <c r="E397" t="inlineStr">
        <is>
          <t>LUDVIKA</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31273-2022</t>
        </is>
      </c>
      <c r="B398" s="1" t="n">
        <v>44771</v>
      </c>
      <c r="C398" s="1" t="n">
        <v>45849</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31270-2022</t>
        </is>
      </c>
      <c r="B399" s="1" t="n">
        <v>44771</v>
      </c>
      <c r="C399" s="1" t="n">
        <v>45849</v>
      </c>
      <c r="D399" t="inlineStr">
        <is>
          <t>DALARNAS LÄN</t>
        </is>
      </c>
      <c r="E399" t="inlineStr">
        <is>
          <t>LUDVIKA</t>
        </is>
      </c>
      <c r="G399" t="n">
        <v>1.2</v>
      </c>
      <c r="H399" t="n">
        <v>0</v>
      </c>
      <c r="I399" t="n">
        <v>0</v>
      </c>
      <c r="J399" t="n">
        <v>0</v>
      </c>
      <c r="K399" t="n">
        <v>0</v>
      </c>
      <c r="L399" t="n">
        <v>0</v>
      </c>
      <c r="M399" t="n">
        <v>0</v>
      </c>
      <c r="N399" t="n">
        <v>0</v>
      </c>
      <c r="O399" t="n">
        <v>0</v>
      </c>
      <c r="P399" t="n">
        <v>0</v>
      </c>
      <c r="Q399" t="n">
        <v>0</v>
      </c>
      <c r="R399" s="2" t="inlineStr"/>
    </row>
    <row r="400" ht="15" customHeight="1">
      <c r="A400" t="inlineStr">
        <is>
          <t>A 31272-2022</t>
        </is>
      </c>
      <c r="B400" s="1" t="n">
        <v>44771</v>
      </c>
      <c r="C400" s="1" t="n">
        <v>45849</v>
      </c>
      <c r="D400" t="inlineStr">
        <is>
          <t>DALARNAS LÄN</t>
        </is>
      </c>
      <c r="E400" t="inlineStr">
        <is>
          <t>LUDVIKA</t>
        </is>
      </c>
      <c r="G400" t="n">
        <v>0.5</v>
      </c>
      <c r="H400" t="n">
        <v>0</v>
      </c>
      <c r="I400" t="n">
        <v>0</v>
      </c>
      <c r="J400" t="n">
        <v>0</v>
      </c>
      <c r="K400" t="n">
        <v>0</v>
      </c>
      <c r="L400" t="n">
        <v>0</v>
      </c>
      <c r="M400" t="n">
        <v>0</v>
      </c>
      <c r="N400" t="n">
        <v>0</v>
      </c>
      <c r="O400" t="n">
        <v>0</v>
      </c>
      <c r="P400" t="n">
        <v>0</v>
      </c>
      <c r="Q400" t="n">
        <v>0</v>
      </c>
      <c r="R400" s="2" t="inlineStr"/>
    </row>
    <row r="401" ht="15" customHeight="1">
      <c r="A401" t="inlineStr">
        <is>
          <t>A 33108-2022</t>
        </is>
      </c>
      <c r="B401" s="1" t="n">
        <v>44785</v>
      </c>
      <c r="C401" s="1" t="n">
        <v>45849</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33673-2022</t>
        </is>
      </c>
      <c r="B402" s="1" t="n">
        <v>44789</v>
      </c>
      <c r="C402" s="1" t="n">
        <v>45849</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36770-2022</t>
        </is>
      </c>
      <c r="B403" s="1" t="n">
        <v>44805</v>
      </c>
      <c r="C403" s="1" t="n">
        <v>45849</v>
      </c>
      <c r="D403" t="inlineStr">
        <is>
          <t>DALARNAS LÄN</t>
        </is>
      </c>
      <c r="E403" t="inlineStr">
        <is>
          <t>LUDVIKA</t>
        </is>
      </c>
      <c r="F403" t="inlineStr">
        <is>
          <t>Bergvik skog väst AB</t>
        </is>
      </c>
      <c r="G403" t="n">
        <v>4.1</v>
      </c>
      <c r="H403" t="n">
        <v>0</v>
      </c>
      <c r="I403" t="n">
        <v>0</v>
      </c>
      <c r="J403" t="n">
        <v>0</v>
      </c>
      <c r="K403" t="n">
        <v>0</v>
      </c>
      <c r="L403" t="n">
        <v>0</v>
      </c>
      <c r="M403" t="n">
        <v>0</v>
      </c>
      <c r="N403" t="n">
        <v>0</v>
      </c>
      <c r="O403" t="n">
        <v>0</v>
      </c>
      <c r="P403" t="n">
        <v>0</v>
      </c>
      <c r="Q403" t="n">
        <v>0</v>
      </c>
      <c r="R403" s="2" t="inlineStr"/>
    </row>
    <row r="404" ht="15" customHeight="1">
      <c r="A404" t="inlineStr">
        <is>
          <t>A 36852-2022</t>
        </is>
      </c>
      <c r="B404" s="1" t="n">
        <v>44805</v>
      </c>
      <c r="C404" s="1" t="n">
        <v>45849</v>
      </c>
      <c r="D404" t="inlineStr">
        <is>
          <t>DALARNAS LÄN</t>
        </is>
      </c>
      <c r="E404" t="inlineStr">
        <is>
          <t>LUDVIKA</t>
        </is>
      </c>
      <c r="F404" t="inlineStr">
        <is>
          <t>Bergvik skog väst AB</t>
        </is>
      </c>
      <c r="G404" t="n">
        <v>5.7</v>
      </c>
      <c r="H404" t="n">
        <v>0</v>
      </c>
      <c r="I404" t="n">
        <v>0</v>
      </c>
      <c r="J404" t="n">
        <v>0</v>
      </c>
      <c r="K404" t="n">
        <v>0</v>
      </c>
      <c r="L404" t="n">
        <v>0</v>
      </c>
      <c r="M404" t="n">
        <v>0</v>
      </c>
      <c r="N404" t="n">
        <v>0</v>
      </c>
      <c r="O404" t="n">
        <v>0</v>
      </c>
      <c r="P404" t="n">
        <v>0</v>
      </c>
      <c r="Q404" t="n">
        <v>0</v>
      </c>
      <c r="R404" s="2" t="inlineStr"/>
    </row>
    <row r="405" ht="15" customHeight="1">
      <c r="A405" t="inlineStr">
        <is>
          <t>A 37495-2022</t>
        </is>
      </c>
      <c r="B405" s="1" t="n">
        <v>44809</v>
      </c>
      <c r="C405" s="1" t="n">
        <v>45849</v>
      </c>
      <c r="D405" t="inlineStr">
        <is>
          <t>DALARNAS LÄN</t>
        </is>
      </c>
      <c r="E405" t="inlineStr">
        <is>
          <t>LUDVIKA</t>
        </is>
      </c>
      <c r="F405" t="inlineStr">
        <is>
          <t>Naturvårdsverket</t>
        </is>
      </c>
      <c r="G405" t="n">
        <v>3.2</v>
      </c>
      <c r="H405" t="n">
        <v>0</v>
      </c>
      <c r="I405" t="n">
        <v>0</v>
      </c>
      <c r="J405" t="n">
        <v>0</v>
      </c>
      <c r="K405" t="n">
        <v>0</v>
      </c>
      <c r="L405" t="n">
        <v>0</v>
      </c>
      <c r="M405" t="n">
        <v>0</v>
      </c>
      <c r="N405" t="n">
        <v>0</v>
      </c>
      <c r="O405" t="n">
        <v>0</v>
      </c>
      <c r="P405" t="n">
        <v>0</v>
      </c>
      <c r="Q405" t="n">
        <v>0</v>
      </c>
      <c r="R405" s="2" t="inlineStr"/>
    </row>
    <row r="406" ht="15" customHeight="1">
      <c r="A406" t="inlineStr">
        <is>
          <t>A 37479-2022</t>
        </is>
      </c>
      <c r="B406" s="1" t="n">
        <v>44809</v>
      </c>
      <c r="C406" s="1" t="n">
        <v>45849</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38014-2022</t>
        </is>
      </c>
      <c r="B407" s="1" t="n">
        <v>44811</v>
      </c>
      <c r="C407" s="1" t="n">
        <v>45849</v>
      </c>
      <c r="D407" t="inlineStr">
        <is>
          <t>DALARNAS LÄN</t>
        </is>
      </c>
      <c r="E407" t="inlineStr">
        <is>
          <t>LUDVIKA</t>
        </is>
      </c>
      <c r="F407" t="inlineStr">
        <is>
          <t>Naturvårdsverket</t>
        </is>
      </c>
      <c r="G407" t="n">
        <v>1.2</v>
      </c>
      <c r="H407" t="n">
        <v>0</v>
      </c>
      <c r="I407" t="n">
        <v>0</v>
      </c>
      <c r="J407" t="n">
        <v>0</v>
      </c>
      <c r="K407" t="n">
        <v>0</v>
      </c>
      <c r="L407" t="n">
        <v>0</v>
      </c>
      <c r="M407" t="n">
        <v>0</v>
      </c>
      <c r="N407" t="n">
        <v>0</v>
      </c>
      <c r="O407" t="n">
        <v>0</v>
      </c>
      <c r="P407" t="n">
        <v>0</v>
      </c>
      <c r="Q407" t="n">
        <v>0</v>
      </c>
      <c r="R407" s="2" t="inlineStr"/>
    </row>
    <row r="408" ht="15" customHeight="1">
      <c r="A408" t="inlineStr">
        <is>
          <t>A 38565-2022</t>
        </is>
      </c>
      <c r="B408" s="1" t="n">
        <v>44813</v>
      </c>
      <c r="C408" s="1" t="n">
        <v>45849</v>
      </c>
      <c r="D408" t="inlineStr">
        <is>
          <t>DALARNAS LÄN</t>
        </is>
      </c>
      <c r="E408" t="inlineStr">
        <is>
          <t>LUDVIKA</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39090-2022</t>
        </is>
      </c>
      <c r="B409" s="1" t="n">
        <v>44817</v>
      </c>
      <c r="C409" s="1" t="n">
        <v>45849</v>
      </c>
      <c r="D409" t="inlineStr">
        <is>
          <t>DALARNAS LÄN</t>
        </is>
      </c>
      <c r="E409" t="inlineStr">
        <is>
          <t>LUDVIKA</t>
        </is>
      </c>
      <c r="F409" t="inlineStr">
        <is>
          <t>Naturvårdsverket</t>
        </is>
      </c>
      <c r="G409" t="n">
        <v>2.4</v>
      </c>
      <c r="H409" t="n">
        <v>0</v>
      </c>
      <c r="I409" t="n">
        <v>0</v>
      </c>
      <c r="J409" t="n">
        <v>0</v>
      </c>
      <c r="K409" t="n">
        <v>0</v>
      </c>
      <c r="L409" t="n">
        <v>0</v>
      </c>
      <c r="M409" t="n">
        <v>0</v>
      </c>
      <c r="N409" t="n">
        <v>0</v>
      </c>
      <c r="O409" t="n">
        <v>0</v>
      </c>
      <c r="P409" t="n">
        <v>0</v>
      </c>
      <c r="Q409" t="n">
        <v>0</v>
      </c>
      <c r="R409" s="2" t="inlineStr"/>
    </row>
    <row r="410" ht="15" customHeight="1">
      <c r="A410" t="inlineStr">
        <is>
          <t>A 39257-2022</t>
        </is>
      </c>
      <c r="B410" s="1" t="n">
        <v>44817</v>
      </c>
      <c r="C410" s="1" t="n">
        <v>45849</v>
      </c>
      <c r="D410" t="inlineStr">
        <is>
          <t>DALARNAS LÄN</t>
        </is>
      </c>
      <c r="E410" t="inlineStr">
        <is>
          <t>LUDVIKA</t>
        </is>
      </c>
      <c r="F410" t="inlineStr">
        <is>
          <t>Bergvik skog väst AB</t>
        </is>
      </c>
      <c r="G410" t="n">
        <v>10</v>
      </c>
      <c r="H410" t="n">
        <v>0</v>
      </c>
      <c r="I410" t="n">
        <v>0</v>
      </c>
      <c r="J410" t="n">
        <v>0</v>
      </c>
      <c r="K410" t="n">
        <v>0</v>
      </c>
      <c r="L410" t="n">
        <v>0</v>
      </c>
      <c r="M410" t="n">
        <v>0</v>
      </c>
      <c r="N410" t="n">
        <v>0</v>
      </c>
      <c r="O410" t="n">
        <v>0</v>
      </c>
      <c r="P410" t="n">
        <v>0</v>
      </c>
      <c r="Q410" t="n">
        <v>0</v>
      </c>
      <c r="R410" s="2" t="inlineStr"/>
    </row>
    <row r="411" ht="15" customHeight="1">
      <c r="A411" t="inlineStr">
        <is>
          <t>A 39761-2022</t>
        </is>
      </c>
      <c r="B411" s="1" t="n">
        <v>44819</v>
      </c>
      <c r="C411" s="1" t="n">
        <v>45849</v>
      </c>
      <c r="D411" t="inlineStr">
        <is>
          <t>DALARNAS LÄN</t>
        </is>
      </c>
      <c r="E411" t="inlineStr">
        <is>
          <t>LUDVIKA</t>
        </is>
      </c>
      <c r="F411" t="inlineStr">
        <is>
          <t>Naturvårdsverket</t>
        </is>
      </c>
      <c r="G411" t="n">
        <v>1</v>
      </c>
      <c r="H411" t="n">
        <v>0</v>
      </c>
      <c r="I411" t="n">
        <v>0</v>
      </c>
      <c r="J411" t="n">
        <v>0</v>
      </c>
      <c r="K411" t="n">
        <v>0</v>
      </c>
      <c r="L411" t="n">
        <v>0</v>
      </c>
      <c r="M411" t="n">
        <v>0</v>
      </c>
      <c r="N411" t="n">
        <v>0</v>
      </c>
      <c r="O411" t="n">
        <v>0</v>
      </c>
      <c r="P411" t="n">
        <v>0</v>
      </c>
      <c r="Q411" t="n">
        <v>0</v>
      </c>
      <c r="R411" s="2" t="inlineStr"/>
    </row>
    <row r="412" ht="15" customHeight="1">
      <c r="A412" t="inlineStr">
        <is>
          <t>A 40151-2022</t>
        </is>
      </c>
      <c r="B412" s="1" t="n">
        <v>44820</v>
      </c>
      <c r="C412" s="1" t="n">
        <v>45849</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40137-2022</t>
        </is>
      </c>
      <c r="B413" s="1" t="n">
        <v>44820</v>
      </c>
      <c r="C413" s="1" t="n">
        <v>45849</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40142-2022</t>
        </is>
      </c>
      <c r="B414" s="1" t="n">
        <v>44820</v>
      </c>
      <c r="C414" s="1" t="n">
        <v>45849</v>
      </c>
      <c r="D414" t="inlineStr">
        <is>
          <t>DALARNAS LÄN</t>
        </is>
      </c>
      <c r="E414" t="inlineStr">
        <is>
          <t>LUDVIKA</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41090-2022</t>
        </is>
      </c>
      <c r="B415" s="1" t="n">
        <v>44825</v>
      </c>
      <c r="C415" s="1" t="n">
        <v>45849</v>
      </c>
      <c r="D415" t="inlineStr">
        <is>
          <t>DALARNAS LÄN</t>
        </is>
      </c>
      <c r="E415" t="inlineStr">
        <is>
          <t>LUDVIKA</t>
        </is>
      </c>
      <c r="F415" t="inlineStr">
        <is>
          <t>Bergvik skog väst AB</t>
        </is>
      </c>
      <c r="G415" t="n">
        <v>2.5</v>
      </c>
      <c r="H415" t="n">
        <v>0</v>
      </c>
      <c r="I415" t="n">
        <v>0</v>
      </c>
      <c r="J415" t="n">
        <v>0</v>
      </c>
      <c r="K415" t="n">
        <v>0</v>
      </c>
      <c r="L415" t="n">
        <v>0</v>
      </c>
      <c r="M415" t="n">
        <v>0</v>
      </c>
      <c r="N415" t="n">
        <v>0</v>
      </c>
      <c r="O415" t="n">
        <v>0</v>
      </c>
      <c r="P415" t="n">
        <v>0</v>
      </c>
      <c r="Q415" t="n">
        <v>0</v>
      </c>
      <c r="R415" s="2" t="inlineStr"/>
    </row>
    <row r="416" ht="15" customHeight="1">
      <c r="A416" t="inlineStr">
        <is>
          <t>A 41158-2022</t>
        </is>
      </c>
      <c r="B416" s="1" t="n">
        <v>44825</v>
      </c>
      <c r="C416" s="1" t="n">
        <v>45849</v>
      </c>
      <c r="D416" t="inlineStr">
        <is>
          <t>DALARNAS LÄN</t>
        </is>
      </c>
      <c r="E416" t="inlineStr">
        <is>
          <t>LUDVIKA</t>
        </is>
      </c>
      <c r="G416" t="n">
        <v>2.1</v>
      </c>
      <c r="H416" t="n">
        <v>0</v>
      </c>
      <c r="I416" t="n">
        <v>0</v>
      </c>
      <c r="J416" t="n">
        <v>0</v>
      </c>
      <c r="K416" t="n">
        <v>0</v>
      </c>
      <c r="L416" t="n">
        <v>0</v>
      </c>
      <c r="M416" t="n">
        <v>0</v>
      </c>
      <c r="N416" t="n">
        <v>0</v>
      </c>
      <c r="O416" t="n">
        <v>0</v>
      </c>
      <c r="P416" t="n">
        <v>0</v>
      </c>
      <c r="Q416" t="n">
        <v>0</v>
      </c>
      <c r="R416" s="2" t="inlineStr"/>
    </row>
    <row r="417" ht="15" customHeight="1">
      <c r="A417" t="inlineStr">
        <is>
          <t>A 41123-2022</t>
        </is>
      </c>
      <c r="B417" s="1" t="n">
        <v>44825</v>
      </c>
      <c r="C417" s="1" t="n">
        <v>45849</v>
      </c>
      <c r="D417" t="inlineStr">
        <is>
          <t>DALARNAS LÄN</t>
        </is>
      </c>
      <c r="E417" t="inlineStr">
        <is>
          <t>LUDVIKA</t>
        </is>
      </c>
      <c r="F417" t="inlineStr">
        <is>
          <t>Naturvårdsverket</t>
        </is>
      </c>
      <c r="G417" t="n">
        <v>1</v>
      </c>
      <c r="H417" t="n">
        <v>0</v>
      </c>
      <c r="I417" t="n">
        <v>0</v>
      </c>
      <c r="J417" t="n">
        <v>0</v>
      </c>
      <c r="K417" t="n">
        <v>0</v>
      </c>
      <c r="L417" t="n">
        <v>0</v>
      </c>
      <c r="M417" t="n">
        <v>0</v>
      </c>
      <c r="N417" t="n">
        <v>0</v>
      </c>
      <c r="O417" t="n">
        <v>0</v>
      </c>
      <c r="P417" t="n">
        <v>0</v>
      </c>
      <c r="Q417" t="n">
        <v>0</v>
      </c>
      <c r="R417" s="2" t="inlineStr"/>
    </row>
    <row r="418" ht="15" customHeight="1">
      <c r="A418" t="inlineStr">
        <is>
          <t>A 41400-2022</t>
        </is>
      </c>
      <c r="B418" s="1" t="n">
        <v>44826</v>
      </c>
      <c r="C418" s="1" t="n">
        <v>45849</v>
      </c>
      <c r="D418" t="inlineStr">
        <is>
          <t>DALARNAS LÄN</t>
        </is>
      </c>
      <c r="E418" t="inlineStr">
        <is>
          <t>LUDVIKA</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41328-2022</t>
        </is>
      </c>
      <c r="B419" s="1" t="n">
        <v>44826</v>
      </c>
      <c r="C419" s="1" t="n">
        <v>45849</v>
      </c>
      <c r="D419" t="inlineStr">
        <is>
          <t>DALARNAS LÄN</t>
        </is>
      </c>
      <c r="E419" t="inlineStr">
        <is>
          <t>LUDVIKA</t>
        </is>
      </c>
      <c r="F419" t="inlineStr">
        <is>
          <t>Bergvik skog väst AB</t>
        </is>
      </c>
      <c r="G419" t="n">
        <v>6.1</v>
      </c>
      <c r="H419" t="n">
        <v>0</v>
      </c>
      <c r="I419" t="n">
        <v>0</v>
      </c>
      <c r="J419" t="n">
        <v>0</v>
      </c>
      <c r="K419" t="n">
        <v>0</v>
      </c>
      <c r="L419" t="n">
        <v>0</v>
      </c>
      <c r="M419" t="n">
        <v>0</v>
      </c>
      <c r="N419" t="n">
        <v>0</v>
      </c>
      <c r="O419" t="n">
        <v>0</v>
      </c>
      <c r="P419" t="n">
        <v>0</v>
      </c>
      <c r="Q419" t="n">
        <v>0</v>
      </c>
      <c r="R419" s="2" t="inlineStr"/>
    </row>
    <row r="420" ht="15" customHeight="1">
      <c r="A420" t="inlineStr">
        <is>
          <t>A 41712-2022</t>
        </is>
      </c>
      <c r="B420" s="1" t="n">
        <v>44827</v>
      </c>
      <c r="C420" s="1" t="n">
        <v>45849</v>
      </c>
      <c r="D420" t="inlineStr">
        <is>
          <t>DALARNAS LÄN</t>
        </is>
      </c>
      <c r="E420" t="inlineStr">
        <is>
          <t>LUDVIKA</t>
        </is>
      </c>
      <c r="G420" t="n">
        <v>1.5</v>
      </c>
      <c r="H420" t="n">
        <v>0</v>
      </c>
      <c r="I420" t="n">
        <v>0</v>
      </c>
      <c r="J420" t="n">
        <v>0</v>
      </c>
      <c r="K420" t="n">
        <v>0</v>
      </c>
      <c r="L420" t="n">
        <v>0</v>
      </c>
      <c r="M420" t="n">
        <v>0</v>
      </c>
      <c r="N420" t="n">
        <v>0</v>
      </c>
      <c r="O420" t="n">
        <v>0</v>
      </c>
      <c r="P420" t="n">
        <v>0</v>
      </c>
      <c r="Q420" t="n">
        <v>0</v>
      </c>
      <c r="R420" s="2" t="inlineStr"/>
    </row>
    <row r="421" ht="15" customHeight="1">
      <c r="A421" t="inlineStr">
        <is>
          <t>A 41594-2022</t>
        </is>
      </c>
      <c r="B421" s="1" t="n">
        <v>44827</v>
      </c>
      <c r="C421" s="1" t="n">
        <v>45849</v>
      </c>
      <c r="D421" t="inlineStr">
        <is>
          <t>DALARNAS LÄN</t>
        </is>
      </c>
      <c r="E421" t="inlineStr">
        <is>
          <t>LUDVIKA</t>
        </is>
      </c>
      <c r="F421" t="inlineStr">
        <is>
          <t>Bergvik skog väst AB</t>
        </is>
      </c>
      <c r="G421" t="n">
        <v>1.3</v>
      </c>
      <c r="H421" t="n">
        <v>0</v>
      </c>
      <c r="I421" t="n">
        <v>0</v>
      </c>
      <c r="J421" t="n">
        <v>0</v>
      </c>
      <c r="K421" t="n">
        <v>0</v>
      </c>
      <c r="L421" t="n">
        <v>0</v>
      </c>
      <c r="M421" t="n">
        <v>0</v>
      </c>
      <c r="N421" t="n">
        <v>0</v>
      </c>
      <c r="O421" t="n">
        <v>0</v>
      </c>
      <c r="P421" t="n">
        <v>0</v>
      </c>
      <c r="Q421" t="n">
        <v>0</v>
      </c>
      <c r="R421" s="2" t="inlineStr"/>
    </row>
    <row r="422" ht="15" customHeight="1">
      <c r="A422" t="inlineStr">
        <is>
          <t>A 41796-2022</t>
        </is>
      </c>
      <c r="B422" s="1" t="n">
        <v>44827</v>
      </c>
      <c r="C422" s="1" t="n">
        <v>45849</v>
      </c>
      <c r="D422" t="inlineStr">
        <is>
          <t>DALARNAS LÄN</t>
        </is>
      </c>
      <c r="E422" t="inlineStr">
        <is>
          <t>LUDVIKA</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41797-2022</t>
        </is>
      </c>
      <c r="B423" s="1" t="n">
        <v>44827</v>
      </c>
      <c r="C423" s="1" t="n">
        <v>45849</v>
      </c>
      <c r="D423" t="inlineStr">
        <is>
          <t>DALARNAS LÄN</t>
        </is>
      </c>
      <c r="E423" t="inlineStr">
        <is>
          <t>LUDVIKA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42140-2022</t>
        </is>
      </c>
      <c r="B424" s="1" t="n">
        <v>44830</v>
      </c>
      <c r="C424" s="1" t="n">
        <v>45849</v>
      </c>
      <c r="D424" t="inlineStr">
        <is>
          <t>DALARNAS LÄN</t>
        </is>
      </c>
      <c r="E424" t="inlineStr">
        <is>
          <t>LUDVIKA</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42329-2022</t>
        </is>
      </c>
      <c r="B425" s="1" t="n">
        <v>44831</v>
      </c>
      <c r="C425" s="1" t="n">
        <v>45849</v>
      </c>
      <c r="D425" t="inlineStr">
        <is>
          <t>DALARNAS LÄN</t>
        </is>
      </c>
      <c r="E425" t="inlineStr">
        <is>
          <t>LUDVIKA</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42440-2022</t>
        </is>
      </c>
      <c r="B426" s="1" t="n">
        <v>44831</v>
      </c>
      <c r="C426" s="1" t="n">
        <v>45849</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42572-2022</t>
        </is>
      </c>
      <c r="B427" s="1" t="n">
        <v>44831</v>
      </c>
      <c r="C427" s="1" t="n">
        <v>45849</v>
      </c>
      <c r="D427" t="inlineStr">
        <is>
          <t>DALARNAS LÄN</t>
        </is>
      </c>
      <c r="E427" t="inlineStr">
        <is>
          <t>LUDVIKA</t>
        </is>
      </c>
      <c r="F427" t="inlineStr">
        <is>
          <t>Bergvik skog väst AB</t>
        </is>
      </c>
      <c r="G427" t="n">
        <v>9.1</v>
      </c>
      <c r="H427" t="n">
        <v>0</v>
      </c>
      <c r="I427" t="n">
        <v>0</v>
      </c>
      <c r="J427" t="n">
        <v>0</v>
      </c>
      <c r="K427" t="n">
        <v>0</v>
      </c>
      <c r="L427" t="n">
        <v>0</v>
      </c>
      <c r="M427" t="n">
        <v>0</v>
      </c>
      <c r="N427" t="n">
        <v>0</v>
      </c>
      <c r="O427" t="n">
        <v>0</v>
      </c>
      <c r="P427" t="n">
        <v>0</v>
      </c>
      <c r="Q427" t="n">
        <v>0</v>
      </c>
      <c r="R427" s="2" t="inlineStr"/>
    </row>
    <row r="428" ht="15" customHeight="1">
      <c r="A428" t="inlineStr">
        <is>
          <t>A 42709-2022</t>
        </is>
      </c>
      <c r="B428" s="1" t="n">
        <v>44832</v>
      </c>
      <c r="C428" s="1" t="n">
        <v>45849</v>
      </c>
      <c r="D428" t="inlineStr">
        <is>
          <t>DALARNAS LÄN</t>
        </is>
      </c>
      <c r="E428" t="inlineStr">
        <is>
          <t>LUDVIKA</t>
        </is>
      </c>
      <c r="F428" t="inlineStr">
        <is>
          <t>Naturvårdsverket</t>
        </is>
      </c>
      <c r="G428" t="n">
        <v>4.5</v>
      </c>
      <c r="H428" t="n">
        <v>0</v>
      </c>
      <c r="I428" t="n">
        <v>0</v>
      </c>
      <c r="J428" t="n">
        <v>0</v>
      </c>
      <c r="K428" t="n">
        <v>0</v>
      </c>
      <c r="L428" t="n">
        <v>0</v>
      </c>
      <c r="M428" t="n">
        <v>0</v>
      </c>
      <c r="N428" t="n">
        <v>0</v>
      </c>
      <c r="O428" t="n">
        <v>0</v>
      </c>
      <c r="P428" t="n">
        <v>0</v>
      </c>
      <c r="Q428" t="n">
        <v>0</v>
      </c>
      <c r="R428" s="2" t="inlineStr"/>
    </row>
    <row r="429" ht="15" customHeight="1">
      <c r="A429" t="inlineStr">
        <is>
          <t>A 43008-2022</t>
        </is>
      </c>
      <c r="B429" s="1" t="n">
        <v>44833</v>
      </c>
      <c r="C429" s="1" t="n">
        <v>45849</v>
      </c>
      <c r="D429" t="inlineStr">
        <is>
          <t>DALARNAS LÄN</t>
        </is>
      </c>
      <c r="E429" t="inlineStr">
        <is>
          <t>LUDVIKA</t>
        </is>
      </c>
      <c r="G429" t="n">
        <v>0.8</v>
      </c>
      <c r="H429" t="n">
        <v>0</v>
      </c>
      <c r="I429" t="n">
        <v>0</v>
      </c>
      <c r="J429" t="n">
        <v>0</v>
      </c>
      <c r="K429" t="n">
        <v>0</v>
      </c>
      <c r="L429" t="n">
        <v>0</v>
      </c>
      <c r="M429" t="n">
        <v>0</v>
      </c>
      <c r="N429" t="n">
        <v>0</v>
      </c>
      <c r="O429" t="n">
        <v>0</v>
      </c>
      <c r="P429" t="n">
        <v>0</v>
      </c>
      <c r="Q429" t="n">
        <v>0</v>
      </c>
      <c r="R429" s="2" t="inlineStr"/>
    </row>
    <row r="430" ht="15" customHeight="1">
      <c r="A430" t="inlineStr">
        <is>
          <t>A 43047-2022</t>
        </is>
      </c>
      <c r="B430" s="1" t="n">
        <v>44833</v>
      </c>
      <c r="C430" s="1" t="n">
        <v>45849</v>
      </c>
      <c r="D430" t="inlineStr">
        <is>
          <t>DALARNAS LÄN</t>
        </is>
      </c>
      <c r="E430" t="inlineStr">
        <is>
          <t>LUDVIKA</t>
        </is>
      </c>
      <c r="F430" t="inlineStr">
        <is>
          <t>Bergvik skog väst AB</t>
        </is>
      </c>
      <c r="G430" t="n">
        <v>9.5</v>
      </c>
      <c r="H430" t="n">
        <v>0</v>
      </c>
      <c r="I430" t="n">
        <v>0</v>
      </c>
      <c r="J430" t="n">
        <v>0</v>
      </c>
      <c r="K430" t="n">
        <v>0</v>
      </c>
      <c r="L430" t="n">
        <v>0</v>
      </c>
      <c r="M430" t="n">
        <v>0</v>
      </c>
      <c r="N430" t="n">
        <v>0</v>
      </c>
      <c r="O430" t="n">
        <v>0</v>
      </c>
      <c r="P430" t="n">
        <v>0</v>
      </c>
      <c r="Q430" t="n">
        <v>0</v>
      </c>
      <c r="R430" s="2" t="inlineStr"/>
    </row>
    <row r="431" ht="15" customHeight="1">
      <c r="A431" t="inlineStr">
        <is>
          <t>A 45060-2022</t>
        </is>
      </c>
      <c r="B431" s="1" t="n">
        <v>44841</v>
      </c>
      <c r="C431" s="1" t="n">
        <v>45849</v>
      </c>
      <c r="D431" t="inlineStr">
        <is>
          <t>DALARNAS LÄN</t>
        </is>
      </c>
      <c r="E431" t="inlineStr">
        <is>
          <t>LUDVIKA</t>
        </is>
      </c>
      <c r="G431" t="n">
        <v>1.1</v>
      </c>
      <c r="H431" t="n">
        <v>0</v>
      </c>
      <c r="I431" t="n">
        <v>0</v>
      </c>
      <c r="J431" t="n">
        <v>0</v>
      </c>
      <c r="K431" t="n">
        <v>0</v>
      </c>
      <c r="L431" t="n">
        <v>0</v>
      </c>
      <c r="M431" t="n">
        <v>0</v>
      </c>
      <c r="N431" t="n">
        <v>0</v>
      </c>
      <c r="O431" t="n">
        <v>0</v>
      </c>
      <c r="P431" t="n">
        <v>0</v>
      </c>
      <c r="Q431" t="n">
        <v>0</v>
      </c>
      <c r="R431" s="2" t="inlineStr"/>
    </row>
    <row r="432" ht="15" customHeight="1">
      <c r="A432" t="inlineStr">
        <is>
          <t>A 45235-2022</t>
        </is>
      </c>
      <c r="B432" s="1" t="n">
        <v>44844</v>
      </c>
      <c r="C432" s="1" t="n">
        <v>45849</v>
      </c>
      <c r="D432" t="inlineStr">
        <is>
          <t>DALARNAS LÄN</t>
        </is>
      </c>
      <c r="E432" t="inlineStr">
        <is>
          <t>LUDVIKA</t>
        </is>
      </c>
      <c r="F432" t="inlineStr">
        <is>
          <t>Naturvårdsverket</t>
        </is>
      </c>
      <c r="G432" t="n">
        <v>4.1</v>
      </c>
      <c r="H432" t="n">
        <v>0</v>
      </c>
      <c r="I432" t="n">
        <v>0</v>
      </c>
      <c r="J432" t="n">
        <v>0</v>
      </c>
      <c r="K432" t="n">
        <v>0</v>
      </c>
      <c r="L432" t="n">
        <v>0</v>
      </c>
      <c r="M432" t="n">
        <v>0</v>
      </c>
      <c r="N432" t="n">
        <v>0</v>
      </c>
      <c r="O432" t="n">
        <v>0</v>
      </c>
      <c r="P432" t="n">
        <v>0</v>
      </c>
      <c r="Q432" t="n">
        <v>0</v>
      </c>
      <c r="R432" s="2" t="inlineStr"/>
    </row>
    <row r="433" ht="15" customHeight="1">
      <c r="A433" t="inlineStr">
        <is>
          <t>A 45179-2022</t>
        </is>
      </c>
      <c r="B433" s="1" t="n">
        <v>44844</v>
      </c>
      <c r="C433" s="1" t="n">
        <v>45849</v>
      </c>
      <c r="D433" t="inlineStr">
        <is>
          <t>DALARNAS LÄN</t>
        </is>
      </c>
      <c r="E433" t="inlineStr">
        <is>
          <t>LUDVIKA</t>
        </is>
      </c>
      <c r="F433" t="inlineStr">
        <is>
          <t>Naturvårdsverket</t>
        </is>
      </c>
      <c r="G433" t="n">
        <v>4.3</v>
      </c>
      <c r="H433" t="n">
        <v>0</v>
      </c>
      <c r="I433" t="n">
        <v>0</v>
      </c>
      <c r="J433" t="n">
        <v>0</v>
      </c>
      <c r="K433" t="n">
        <v>0</v>
      </c>
      <c r="L433" t="n">
        <v>0</v>
      </c>
      <c r="M433" t="n">
        <v>0</v>
      </c>
      <c r="N433" t="n">
        <v>0</v>
      </c>
      <c r="O433" t="n">
        <v>0</v>
      </c>
      <c r="P433" t="n">
        <v>0</v>
      </c>
      <c r="Q433" t="n">
        <v>0</v>
      </c>
      <c r="R433" s="2" t="inlineStr"/>
    </row>
    <row r="434" ht="15" customHeight="1">
      <c r="A434" t="inlineStr">
        <is>
          <t>A 45230-2022</t>
        </is>
      </c>
      <c r="B434" s="1" t="n">
        <v>44844</v>
      </c>
      <c r="C434" s="1" t="n">
        <v>45849</v>
      </c>
      <c r="D434" t="inlineStr">
        <is>
          <t>DALARNAS LÄN</t>
        </is>
      </c>
      <c r="E434" t="inlineStr">
        <is>
          <t>LUDVIKA</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45361-2022</t>
        </is>
      </c>
      <c r="B435" s="1" t="n">
        <v>44844</v>
      </c>
      <c r="C435" s="1" t="n">
        <v>45849</v>
      </c>
      <c r="D435" t="inlineStr">
        <is>
          <t>DALARNAS LÄN</t>
        </is>
      </c>
      <c r="E435" t="inlineStr">
        <is>
          <t>LUDVIKA</t>
        </is>
      </c>
      <c r="F435" t="inlineStr">
        <is>
          <t>Bergvik skog väst AB</t>
        </is>
      </c>
      <c r="G435" t="n">
        <v>0.8</v>
      </c>
      <c r="H435" t="n">
        <v>0</v>
      </c>
      <c r="I435" t="n">
        <v>0</v>
      </c>
      <c r="J435" t="n">
        <v>0</v>
      </c>
      <c r="K435" t="n">
        <v>0</v>
      </c>
      <c r="L435" t="n">
        <v>0</v>
      </c>
      <c r="M435" t="n">
        <v>0</v>
      </c>
      <c r="N435" t="n">
        <v>0</v>
      </c>
      <c r="O435" t="n">
        <v>0</v>
      </c>
      <c r="P435" t="n">
        <v>0</v>
      </c>
      <c r="Q435" t="n">
        <v>0</v>
      </c>
      <c r="R435" s="2" t="inlineStr"/>
    </row>
    <row r="436" ht="15" customHeight="1">
      <c r="A436" t="inlineStr">
        <is>
          <t>A 45458-2022</t>
        </is>
      </c>
      <c r="B436" s="1" t="n">
        <v>44845</v>
      </c>
      <c r="C436" s="1" t="n">
        <v>45849</v>
      </c>
      <c r="D436" t="inlineStr">
        <is>
          <t>DALARNAS LÄN</t>
        </is>
      </c>
      <c r="E436" t="inlineStr">
        <is>
          <t>LUDVIKA</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46878-2022</t>
        </is>
      </c>
      <c r="B437" s="1" t="n">
        <v>44848</v>
      </c>
      <c r="C437" s="1" t="n">
        <v>45849</v>
      </c>
      <c r="D437" t="inlineStr">
        <is>
          <t>DALARNAS LÄN</t>
        </is>
      </c>
      <c r="E437" t="inlineStr">
        <is>
          <t>LUDVIKA</t>
        </is>
      </c>
      <c r="G437" t="n">
        <v>4</v>
      </c>
      <c r="H437" t="n">
        <v>0</v>
      </c>
      <c r="I437" t="n">
        <v>0</v>
      </c>
      <c r="J437" t="n">
        <v>0</v>
      </c>
      <c r="K437" t="n">
        <v>0</v>
      </c>
      <c r="L437" t="n">
        <v>0</v>
      </c>
      <c r="M437" t="n">
        <v>0</v>
      </c>
      <c r="N437" t="n">
        <v>0</v>
      </c>
      <c r="O437" t="n">
        <v>0</v>
      </c>
      <c r="P437" t="n">
        <v>0</v>
      </c>
      <c r="Q437" t="n">
        <v>0</v>
      </c>
      <c r="R437" s="2" t="inlineStr"/>
    </row>
    <row r="438" ht="15" customHeight="1">
      <c r="A438" t="inlineStr">
        <is>
          <t>A 46680-2022</t>
        </is>
      </c>
      <c r="B438" s="1" t="n">
        <v>44851</v>
      </c>
      <c r="C438" s="1" t="n">
        <v>45849</v>
      </c>
      <c r="D438" t="inlineStr">
        <is>
          <t>DALARNAS LÄN</t>
        </is>
      </c>
      <c r="E438" t="inlineStr">
        <is>
          <t>LUDVIKA</t>
        </is>
      </c>
      <c r="G438" t="n">
        <v>2.6</v>
      </c>
      <c r="H438" t="n">
        <v>0</v>
      </c>
      <c r="I438" t="n">
        <v>0</v>
      </c>
      <c r="J438" t="n">
        <v>0</v>
      </c>
      <c r="K438" t="n">
        <v>0</v>
      </c>
      <c r="L438" t="n">
        <v>0</v>
      </c>
      <c r="M438" t="n">
        <v>0</v>
      </c>
      <c r="N438" t="n">
        <v>0</v>
      </c>
      <c r="O438" t="n">
        <v>0</v>
      </c>
      <c r="P438" t="n">
        <v>0</v>
      </c>
      <c r="Q438" t="n">
        <v>0</v>
      </c>
      <c r="R438" s="2" t="inlineStr"/>
    </row>
    <row r="439" ht="15" customHeight="1">
      <c r="A439" t="inlineStr">
        <is>
          <t>A 46905-2022</t>
        </is>
      </c>
      <c r="B439" s="1" t="n">
        <v>44851</v>
      </c>
      <c r="C439" s="1" t="n">
        <v>45849</v>
      </c>
      <c r="D439" t="inlineStr">
        <is>
          <t>DALARNAS LÄN</t>
        </is>
      </c>
      <c r="E439" t="inlineStr">
        <is>
          <t>LUDVIKA</t>
        </is>
      </c>
      <c r="F439" t="inlineStr">
        <is>
          <t>Naturvårdsverket</t>
        </is>
      </c>
      <c r="G439" t="n">
        <v>0.6</v>
      </c>
      <c r="H439" t="n">
        <v>0</v>
      </c>
      <c r="I439" t="n">
        <v>0</v>
      </c>
      <c r="J439" t="n">
        <v>0</v>
      </c>
      <c r="K439" t="n">
        <v>0</v>
      </c>
      <c r="L439" t="n">
        <v>0</v>
      </c>
      <c r="M439" t="n">
        <v>0</v>
      </c>
      <c r="N439" t="n">
        <v>0</v>
      </c>
      <c r="O439" t="n">
        <v>0</v>
      </c>
      <c r="P439" t="n">
        <v>0</v>
      </c>
      <c r="Q439" t="n">
        <v>0</v>
      </c>
      <c r="R439" s="2" t="inlineStr"/>
    </row>
    <row r="440" ht="15" customHeight="1">
      <c r="A440" t="inlineStr">
        <is>
          <t>A 47071-2022</t>
        </is>
      </c>
      <c r="B440" s="1" t="n">
        <v>44852</v>
      </c>
      <c r="C440" s="1" t="n">
        <v>45849</v>
      </c>
      <c r="D440" t="inlineStr">
        <is>
          <t>DALARNAS LÄN</t>
        </is>
      </c>
      <c r="E440" t="inlineStr">
        <is>
          <t>LUDVIKA</t>
        </is>
      </c>
      <c r="G440" t="n">
        <v>1.2</v>
      </c>
      <c r="H440" t="n">
        <v>0</v>
      </c>
      <c r="I440" t="n">
        <v>0</v>
      </c>
      <c r="J440" t="n">
        <v>0</v>
      </c>
      <c r="K440" t="n">
        <v>0</v>
      </c>
      <c r="L440" t="n">
        <v>0</v>
      </c>
      <c r="M440" t="n">
        <v>0</v>
      </c>
      <c r="N440" t="n">
        <v>0</v>
      </c>
      <c r="O440" t="n">
        <v>0</v>
      </c>
      <c r="P440" t="n">
        <v>0</v>
      </c>
      <c r="Q440" t="n">
        <v>0</v>
      </c>
      <c r="R440" s="2" t="inlineStr"/>
    </row>
    <row r="441" ht="15" customHeight="1">
      <c r="A441" t="inlineStr">
        <is>
          <t>A 47496-2022</t>
        </is>
      </c>
      <c r="B441" s="1" t="n">
        <v>44853</v>
      </c>
      <c r="C441" s="1" t="n">
        <v>45849</v>
      </c>
      <c r="D441" t="inlineStr">
        <is>
          <t>DALARNAS LÄN</t>
        </is>
      </c>
      <c r="E441" t="inlineStr">
        <is>
          <t>LUDVIKA</t>
        </is>
      </c>
      <c r="F441" t="inlineStr">
        <is>
          <t>Bergvik skog väst AB</t>
        </is>
      </c>
      <c r="G441" t="n">
        <v>0.4</v>
      </c>
      <c r="H441" t="n">
        <v>0</v>
      </c>
      <c r="I441" t="n">
        <v>0</v>
      </c>
      <c r="J441" t="n">
        <v>0</v>
      </c>
      <c r="K441" t="n">
        <v>0</v>
      </c>
      <c r="L441" t="n">
        <v>0</v>
      </c>
      <c r="M441" t="n">
        <v>0</v>
      </c>
      <c r="N441" t="n">
        <v>0</v>
      </c>
      <c r="O441" t="n">
        <v>0</v>
      </c>
      <c r="P441" t="n">
        <v>0</v>
      </c>
      <c r="Q441" t="n">
        <v>0</v>
      </c>
      <c r="R441" s="2" t="inlineStr"/>
    </row>
    <row r="442" ht="15" customHeight="1">
      <c r="A442" t="inlineStr">
        <is>
          <t>A 47731-2022</t>
        </is>
      </c>
      <c r="B442" s="1" t="n">
        <v>44854</v>
      </c>
      <c r="C442" s="1" t="n">
        <v>45849</v>
      </c>
      <c r="D442" t="inlineStr">
        <is>
          <t>DALARNAS LÄN</t>
        </is>
      </c>
      <c r="E442" t="inlineStr">
        <is>
          <t>LUDVIKA</t>
        </is>
      </c>
      <c r="F442" t="inlineStr">
        <is>
          <t>Naturvårdsverket</t>
        </is>
      </c>
      <c r="G442" t="n">
        <v>2.1</v>
      </c>
      <c r="H442" t="n">
        <v>0</v>
      </c>
      <c r="I442" t="n">
        <v>0</v>
      </c>
      <c r="J442" t="n">
        <v>0</v>
      </c>
      <c r="K442" t="n">
        <v>0</v>
      </c>
      <c r="L442" t="n">
        <v>0</v>
      </c>
      <c r="M442" t="n">
        <v>0</v>
      </c>
      <c r="N442" t="n">
        <v>0</v>
      </c>
      <c r="O442" t="n">
        <v>0</v>
      </c>
      <c r="P442" t="n">
        <v>0</v>
      </c>
      <c r="Q442" t="n">
        <v>0</v>
      </c>
      <c r="R442" s="2" t="inlineStr"/>
    </row>
    <row r="443" ht="15" customHeight="1">
      <c r="A443" t="inlineStr">
        <is>
          <t>A 48740-2022</t>
        </is>
      </c>
      <c r="B443" s="1" t="n">
        <v>44859</v>
      </c>
      <c r="C443" s="1" t="n">
        <v>45849</v>
      </c>
      <c r="D443" t="inlineStr">
        <is>
          <t>DALARNAS LÄN</t>
        </is>
      </c>
      <c r="E443" t="inlineStr">
        <is>
          <t>LUDVIKA</t>
        </is>
      </c>
      <c r="F443" t="inlineStr">
        <is>
          <t>Bergvik skog väst AB</t>
        </is>
      </c>
      <c r="G443" t="n">
        <v>0.3</v>
      </c>
      <c r="H443" t="n">
        <v>0</v>
      </c>
      <c r="I443" t="n">
        <v>0</v>
      </c>
      <c r="J443" t="n">
        <v>0</v>
      </c>
      <c r="K443" t="n">
        <v>0</v>
      </c>
      <c r="L443" t="n">
        <v>0</v>
      </c>
      <c r="M443" t="n">
        <v>0</v>
      </c>
      <c r="N443" t="n">
        <v>0</v>
      </c>
      <c r="O443" t="n">
        <v>0</v>
      </c>
      <c r="P443" t="n">
        <v>0</v>
      </c>
      <c r="Q443" t="n">
        <v>0</v>
      </c>
      <c r="R443" s="2" t="inlineStr"/>
    </row>
    <row r="444" ht="15" customHeight="1">
      <c r="A444" t="inlineStr">
        <is>
          <t>A 48804-2022</t>
        </is>
      </c>
      <c r="B444" s="1" t="n">
        <v>44859</v>
      </c>
      <c r="C444" s="1" t="n">
        <v>45849</v>
      </c>
      <c r="D444" t="inlineStr">
        <is>
          <t>DALARNAS LÄN</t>
        </is>
      </c>
      <c r="E444" t="inlineStr">
        <is>
          <t>LUDVIKA</t>
        </is>
      </c>
      <c r="F444" t="inlineStr">
        <is>
          <t>Naturvårdsverket</t>
        </is>
      </c>
      <c r="G444" t="n">
        <v>5.1</v>
      </c>
      <c r="H444" t="n">
        <v>0</v>
      </c>
      <c r="I444" t="n">
        <v>0</v>
      </c>
      <c r="J444" t="n">
        <v>0</v>
      </c>
      <c r="K444" t="n">
        <v>0</v>
      </c>
      <c r="L444" t="n">
        <v>0</v>
      </c>
      <c r="M444" t="n">
        <v>0</v>
      </c>
      <c r="N444" t="n">
        <v>0</v>
      </c>
      <c r="O444" t="n">
        <v>0</v>
      </c>
      <c r="P444" t="n">
        <v>0</v>
      </c>
      <c r="Q444" t="n">
        <v>0</v>
      </c>
      <c r="R444" s="2" t="inlineStr"/>
    </row>
    <row r="445" ht="15" customHeight="1">
      <c r="A445" t="inlineStr">
        <is>
          <t>A 48642-2022</t>
        </is>
      </c>
      <c r="B445" s="1" t="n">
        <v>44859</v>
      </c>
      <c r="C445" s="1" t="n">
        <v>45849</v>
      </c>
      <c r="D445" t="inlineStr">
        <is>
          <t>DALARNAS LÄN</t>
        </is>
      </c>
      <c r="E445" t="inlineStr">
        <is>
          <t>LUDVIKA</t>
        </is>
      </c>
      <c r="F445" t="inlineStr">
        <is>
          <t>Naturvårdsverket</t>
        </is>
      </c>
      <c r="G445" t="n">
        <v>1.5</v>
      </c>
      <c r="H445" t="n">
        <v>0</v>
      </c>
      <c r="I445" t="n">
        <v>0</v>
      </c>
      <c r="J445" t="n">
        <v>0</v>
      </c>
      <c r="K445" t="n">
        <v>0</v>
      </c>
      <c r="L445" t="n">
        <v>0</v>
      </c>
      <c r="M445" t="n">
        <v>0</v>
      </c>
      <c r="N445" t="n">
        <v>0</v>
      </c>
      <c r="O445" t="n">
        <v>0</v>
      </c>
      <c r="P445" t="n">
        <v>0</v>
      </c>
      <c r="Q445" t="n">
        <v>0</v>
      </c>
      <c r="R445" s="2" t="inlineStr"/>
    </row>
    <row r="446" ht="15" customHeight="1">
      <c r="A446" t="inlineStr">
        <is>
          <t>A 48715-2022</t>
        </is>
      </c>
      <c r="B446" s="1" t="n">
        <v>44859</v>
      </c>
      <c r="C446" s="1" t="n">
        <v>45849</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48748-2022</t>
        </is>
      </c>
      <c r="B447" s="1" t="n">
        <v>44859</v>
      </c>
      <c r="C447" s="1" t="n">
        <v>45849</v>
      </c>
      <c r="D447" t="inlineStr">
        <is>
          <t>DALARNAS LÄN</t>
        </is>
      </c>
      <c r="E447" t="inlineStr">
        <is>
          <t>LUDVIKA</t>
        </is>
      </c>
      <c r="F447" t="inlineStr">
        <is>
          <t>Naturvårdsverket</t>
        </is>
      </c>
      <c r="G447" t="n">
        <v>1.2</v>
      </c>
      <c r="H447" t="n">
        <v>0</v>
      </c>
      <c r="I447" t="n">
        <v>0</v>
      </c>
      <c r="J447" t="n">
        <v>0</v>
      </c>
      <c r="K447" t="n">
        <v>0</v>
      </c>
      <c r="L447" t="n">
        <v>0</v>
      </c>
      <c r="M447" t="n">
        <v>0</v>
      </c>
      <c r="N447" t="n">
        <v>0</v>
      </c>
      <c r="O447" t="n">
        <v>0</v>
      </c>
      <c r="P447" t="n">
        <v>0</v>
      </c>
      <c r="Q447" t="n">
        <v>0</v>
      </c>
      <c r="R447" s="2" t="inlineStr"/>
    </row>
    <row r="448" ht="15" customHeight="1">
      <c r="A448" t="inlineStr">
        <is>
          <t>A 48857-2022</t>
        </is>
      </c>
      <c r="B448" s="1" t="n">
        <v>44859</v>
      </c>
      <c r="C448" s="1" t="n">
        <v>45849</v>
      </c>
      <c r="D448" t="inlineStr">
        <is>
          <t>DALARNAS LÄN</t>
        </is>
      </c>
      <c r="E448" t="inlineStr">
        <is>
          <t>LUDVIKA</t>
        </is>
      </c>
      <c r="G448" t="n">
        <v>1.8</v>
      </c>
      <c r="H448" t="n">
        <v>0</v>
      </c>
      <c r="I448" t="n">
        <v>0</v>
      </c>
      <c r="J448" t="n">
        <v>0</v>
      </c>
      <c r="K448" t="n">
        <v>0</v>
      </c>
      <c r="L448" t="n">
        <v>0</v>
      </c>
      <c r="M448" t="n">
        <v>0</v>
      </c>
      <c r="N448" t="n">
        <v>0</v>
      </c>
      <c r="O448" t="n">
        <v>0</v>
      </c>
      <c r="P448" t="n">
        <v>0</v>
      </c>
      <c r="Q448" t="n">
        <v>0</v>
      </c>
      <c r="R448" s="2" t="inlineStr"/>
    </row>
    <row r="449" ht="15" customHeight="1">
      <c r="A449" t="inlineStr">
        <is>
          <t>A 48673-2022</t>
        </is>
      </c>
      <c r="B449" s="1" t="n">
        <v>44859</v>
      </c>
      <c r="C449" s="1" t="n">
        <v>45849</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48759-2022</t>
        </is>
      </c>
      <c r="B450" s="1" t="n">
        <v>44859</v>
      </c>
      <c r="C450" s="1" t="n">
        <v>45849</v>
      </c>
      <c r="D450" t="inlineStr">
        <is>
          <t>DALARNAS LÄN</t>
        </is>
      </c>
      <c r="E450" t="inlineStr">
        <is>
          <t>LUDVIKA</t>
        </is>
      </c>
      <c r="F450" t="inlineStr">
        <is>
          <t>Naturvårdsverket</t>
        </is>
      </c>
      <c r="G450" t="n">
        <v>4.2</v>
      </c>
      <c r="H450" t="n">
        <v>0</v>
      </c>
      <c r="I450" t="n">
        <v>0</v>
      </c>
      <c r="J450" t="n">
        <v>0</v>
      </c>
      <c r="K450" t="n">
        <v>0</v>
      </c>
      <c r="L450" t="n">
        <v>0</v>
      </c>
      <c r="M450" t="n">
        <v>0</v>
      </c>
      <c r="N450" t="n">
        <v>0</v>
      </c>
      <c r="O450" t="n">
        <v>0</v>
      </c>
      <c r="P450" t="n">
        <v>0</v>
      </c>
      <c r="Q450" t="n">
        <v>0</v>
      </c>
      <c r="R450" s="2" t="inlineStr"/>
    </row>
    <row r="451" ht="15" customHeight="1">
      <c r="A451" t="inlineStr">
        <is>
          <t>A 49371-2022</t>
        </is>
      </c>
      <c r="B451" s="1" t="n">
        <v>44861</v>
      </c>
      <c r="C451" s="1" t="n">
        <v>45849</v>
      </c>
      <c r="D451" t="inlineStr">
        <is>
          <t>DALARNAS LÄN</t>
        </is>
      </c>
      <c r="E451" t="inlineStr">
        <is>
          <t>LUDVIKA</t>
        </is>
      </c>
      <c r="F451" t="inlineStr">
        <is>
          <t>Bergvik skog väst AB</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49564-2022</t>
        </is>
      </c>
      <c r="B452" s="1" t="n">
        <v>44862</v>
      </c>
      <c r="C452" s="1" t="n">
        <v>45849</v>
      </c>
      <c r="D452" t="inlineStr">
        <is>
          <t>DALARNAS LÄN</t>
        </is>
      </c>
      <c r="E452" t="inlineStr">
        <is>
          <t>LUDVIKA</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50078-2022</t>
        </is>
      </c>
      <c r="B453" s="1" t="n">
        <v>44865</v>
      </c>
      <c r="C453" s="1" t="n">
        <v>45849</v>
      </c>
      <c r="D453" t="inlineStr">
        <is>
          <t>DALARNAS LÄN</t>
        </is>
      </c>
      <c r="E453" t="inlineStr">
        <is>
          <t>LUDVIKA</t>
        </is>
      </c>
      <c r="F453" t="inlineStr">
        <is>
          <t>Naturvårdsverket</t>
        </is>
      </c>
      <c r="G453" t="n">
        <v>0.7</v>
      </c>
      <c r="H453" t="n">
        <v>0</v>
      </c>
      <c r="I453" t="n">
        <v>0</v>
      </c>
      <c r="J453" t="n">
        <v>0</v>
      </c>
      <c r="K453" t="n">
        <v>0</v>
      </c>
      <c r="L453" t="n">
        <v>0</v>
      </c>
      <c r="M453" t="n">
        <v>0</v>
      </c>
      <c r="N453" t="n">
        <v>0</v>
      </c>
      <c r="O453" t="n">
        <v>0</v>
      </c>
      <c r="P453" t="n">
        <v>0</v>
      </c>
      <c r="Q453" t="n">
        <v>0</v>
      </c>
      <c r="R453" s="2" t="inlineStr"/>
    </row>
    <row r="454" ht="15" customHeight="1">
      <c r="A454" t="inlineStr">
        <is>
          <t>A 49951-2022</t>
        </is>
      </c>
      <c r="B454" s="1" t="n">
        <v>44865</v>
      </c>
      <c r="C454" s="1" t="n">
        <v>45849</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50057-2022</t>
        </is>
      </c>
      <c r="B455" s="1" t="n">
        <v>44865</v>
      </c>
      <c r="C455" s="1" t="n">
        <v>45849</v>
      </c>
      <c r="D455" t="inlineStr">
        <is>
          <t>DALARNAS LÄN</t>
        </is>
      </c>
      <c r="E455" t="inlineStr">
        <is>
          <t>LUDVIKA</t>
        </is>
      </c>
      <c r="F455" t="inlineStr">
        <is>
          <t>Naturvårdsverket</t>
        </is>
      </c>
      <c r="G455" t="n">
        <v>2.3</v>
      </c>
      <c r="H455" t="n">
        <v>0</v>
      </c>
      <c r="I455" t="n">
        <v>0</v>
      </c>
      <c r="J455" t="n">
        <v>0</v>
      </c>
      <c r="K455" t="n">
        <v>0</v>
      </c>
      <c r="L455" t="n">
        <v>0</v>
      </c>
      <c r="M455" t="n">
        <v>0</v>
      </c>
      <c r="N455" t="n">
        <v>0</v>
      </c>
      <c r="O455" t="n">
        <v>0</v>
      </c>
      <c r="P455" t="n">
        <v>0</v>
      </c>
      <c r="Q455" t="n">
        <v>0</v>
      </c>
      <c r="R455" s="2" t="inlineStr"/>
    </row>
    <row r="456" ht="15" customHeight="1">
      <c r="A456" t="inlineStr">
        <is>
          <t>A 50814-2022</t>
        </is>
      </c>
      <c r="B456" s="1" t="n">
        <v>44867</v>
      </c>
      <c r="C456" s="1" t="n">
        <v>45849</v>
      </c>
      <c r="D456" t="inlineStr">
        <is>
          <t>DALARNAS LÄN</t>
        </is>
      </c>
      <c r="E456" t="inlineStr">
        <is>
          <t>LUDVIKA</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50862-2022</t>
        </is>
      </c>
      <c r="B457" s="1" t="n">
        <v>44867</v>
      </c>
      <c r="C457" s="1" t="n">
        <v>45849</v>
      </c>
      <c r="D457" t="inlineStr">
        <is>
          <t>DALARNAS LÄN</t>
        </is>
      </c>
      <c r="E457" t="inlineStr">
        <is>
          <t>LUDVIKA</t>
        </is>
      </c>
      <c r="F457" t="inlineStr">
        <is>
          <t>Naturvårdsverket</t>
        </is>
      </c>
      <c r="G457" t="n">
        <v>14</v>
      </c>
      <c r="H457" t="n">
        <v>0</v>
      </c>
      <c r="I457" t="n">
        <v>0</v>
      </c>
      <c r="J457" t="n">
        <v>0</v>
      </c>
      <c r="K457" t="n">
        <v>0</v>
      </c>
      <c r="L457" t="n">
        <v>0</v>
      </c>
      <c r="M457" t="n">
        <v>0</v>
      </c>
      <c r="N457" t="n">
        <v>0</v>
      </c>
      <c r="O457" t="n">
        <v>0</v>
      </c>
      <c r="P457" t="n">
        <v>0</v>
      </c>
      <c r="Q457" t="n">
        <v>0</v>
      </c>
      <c r="R457" s="2" t="inlineStr"/>
    </row>
    <row r="458" ht="15" customHeight="1">
      <c r="A458" t="inlineStr">
        <is>
          <t>A 51386-2022</t>
        </is>
      </c>
      <c r="B458" s="1" t="n">
        <v>44869</v>
      </c>
      <c r="C458" s="1" t="n">
        <v>45849</v>
      </c>
      <c r="D458" t="inlineStr">
        <is>
          <t>DALARNAS LÄN</t>
        </is>
      </c>
      <c r="E458" t="inlineStr">
        <is>
          <t>LUDVIKA</t>
        </is>
      </c>
      <c r="F458" t="inlineStr">
        <is>
          <t>Bergvik skog väst AB</t>
        </is>
      </c>
      <c r="G458" t="n">
        <v>5.2</v>
      </c>
      <c r="H458" t="n">
        <v>0</v>
      </c>
      <c r="I458" t="n">
        <v>0</v>
      </c>
      <c r="J458" t="n">
        <v>0</v>
      </c>
      <c r="K458" t="n">
        <v>0</v>
      </c>
      <c r="L458" t="n">
        <v>0</v>
      </c>
      <c r="M458" t="n">
        <v>0</v>
      </c>
      <c r="N458" t="n">
        <v>0</v>
      </c>
      <c r="O458" t="n">
        <v>0</v>
      </c>
      <c r="P458" t="n">
        <v>0</v>
      </c>
      <c r="Q458" t="n">
        <v>0</v>
      </c>
      <c r="R458" s="2" t="inlineStr"/>
    </row>
    <row r="459" ht="15" customHeight="1">
      <c r="A459" t="inlineStr">
        <is>
          <t>A 51453-2022</t>
        </is>
      </c>
      <c r="B459" s="1" t="n">
        <v>44869</v>
      </c>
      <c r="C459" s="1" t="n">
        <v>45849</v>
      </c>
      <c r="D459" t="inlineStr">
        <is>
          <t>DALARNAS LÄN</t>
        </is>
      </c>
      <c r="E459" t="inlineStr">
        <is>
          <t>LUDVIKA</t>
        </is>
      </c>
      <c r="F459" t="inlineStr">
        <is>
          <t>Bergvik skog väst AB</t>
        </is>
      </c>
      <c r="G459" t="n">
        <v>8</v>
      </c>
      <c r="H459" t="n">
        <v>0</v>
      </c>
      <c r="I459" t="n">
        <v>0</v>
      </c>
      <c r="J459" t="n">
        <v>0</v>
      </c>
      <c r="K459" t="n">
        <v>0</v>
      </c>
      <c r="L459" t="n">
        <v>0</v>
      </c>
      <c r="M459" t="n">
        <v>0</v>
      </c>
      <c r="N459" t="n">
        <v>0</v>
      </c>
      <c r="O459" t="n">
        <v>0</v>
      </c>
      <c r="P459" t="n">
        <v>0</v>
      </c>
      <c r="Q459" t="n">
        <v>0</v>
      </c>
      <c r="R459" s="2" t="inlineStr"/>
    </row>
    <row r="460" ht="15" customHeight="1">
      <c r="A460" t="inlineStr">
        <is>
          <t>A 52303-2022</t>
        </is>
      </c>
      <c r="B460" s="1" t="n">
        <v>44869</v>
      </c>
      <c r="C460" s="1" t="n">
        <v>45849</v>
      </c>
      <c r="D460" t="inlineStr">
        <is>
          <t>DALARNAS LÄN</t>
        </is>
      </c>
      <c r="E460" t="inlineStr">
        <is>
          <t>LUDVIKA</t>
        </is>
      </c>
      <c r="G460" t="n">
        <v>1</v>
      </c>
      <c r="H460" t="n">
        <v>0</v>
      </c>
      <c r="I460" t="n">
        <v>0</v>
      </c>
      <c r="J460" t="n">
        <v>0</v>
      </c>
      <c r="K460" t="n">
        <v>0</v>
      </c>
      <c r="L460" t="n">
        <v>0</v>
      </c>
      <c r="M460" t="n">
        <v>0</v>
      </c>
      <c r="N460" t="n">
        <v>0</v>
      </c>
      <c r="O460" t="n">
        <v>0</v>
      </c>
      <c r="P460" t="n">
        <v>0</v>
      </c>
      <c r="Q460" t="n">
        <v>0</v>
      </c>
      <c r="R460" s="2" t="inlineStr"/>
    </row>
    <row r="461" ht="15" customHeight="1">
      <c r="A461" t="inlineStr">
        <is>
          <t>A 51713-2022</t>
        </is>
      </c>
      <c r="B461" s="1" t="n">
        <v>44872</v>
      </c>
      <c r="C461" s="1" t="n">
        <v>45849</v>
      </c>
      <c r="D461" t="inlineStr">
        <is>
          <t>DALARNAS LÄN</t>
        </is>
      </c>
      <c r="E461" t="inlineStr">
        <is>
          <t>LUDVIKA</t>
        </is>
      </c>
      <c r="F461" t="inlineStr">
        <is>
          <t>Bergvik skog väst AB</t>
        </is>
      </c>
      <c r="G461" t="n">
        <v>1.6</v>
      </c>
      <c r="H461" t="n">
        <v>0</v>
      </c>
      <c r="I461" t="n">
        <v>0</v>
      </c>
      <c r="J461" t="n">
        <v>0</v>
      </c>
      <c r="K461" t="n">
        <v>0</v>
      </c>
      <c r="L461" t="n">
        <v>0</v>
      </c>
      <c r="M461" t="n">
        <v>0</v>
      </c>
      <c r="N461" t="n">
        <v>0</v>
      </c>
      <c r="O461" t="n">
        <v>0</v>
      </c>
      <c r="P461" t="n">
        <v>0</v>
      </c>
      <c r="Q461" t="n">
        <v>0</v>
      </c>
      <c r="R461" s="2" t="inlineStr"/>
    </row>
    <row r="462" ht="15" customHeight="1">
      <c r="A462" t="inlineStr">
        <is>
          <t>A 51659-2022</t>
        </is>
      </c>
      <c r="B462" s="1" t="n">
        <v>44872</v>
      </c>
      <c r="C462" s="1" t="n">
        <v>45849</v>
      </c>
      <c r="D462" t="inlineStr">
        <is>
          <t>DALARNAS LÄN</t>
        </is>
      </c>
      <c r="E462" t="inlineStr">
        <is>
          <t>LUDVIKA</t>
        </is>
      </c>
      <c r="G462" t="n">
        <v>0.7</v>
      </c>
      <c r="H462" t="n">
        <v>0</v>
      </c>
      <c r="I462" t="n">
        <v>0</v>
      </c>
      <c r="J462" t="n">
        <v>0</v>
      </c>
      <c r="K462" t="n">
        <v>0</v>
      </c>
      <c r="L462" t="n">
        <v>0</v>
      </c>
      <c r="M462" t="n">
        <v>0</v>
      </c>
      <c r="N462" t="n">
        <v>0</v>
      </c>
      <c r="O462" t="n">
        <v>0</v>
      </c>
      <c r="P462" t="n">
        <v>0</v>
      </c>
      <c r="Q462" t="n">
        <v>0</v>
      </c>
      <c r="R462" s="2" t="inlineStr"/>
    </row>
    <row r="463" ht="15" customHeight="1">
      <c r="A463" t="inlineStr">
        <is>
          <t>A 51709-2022</t>
        </is>
      </c>
      <c r="B463" s="1" t="n">
        <v>44872</v>
      </c>
      <c r="C463" s="1" t="n">
        <v>45849</v>
      </c>
      <c r="D463" t="inlineStr">
        <is>
          <t>DALARNAS LÄN</t>
        </is>
      </c>
      <c r="E463" t="inlineStr">
        <is>
          <t>LUDVIKA</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51886-2022</t>
        </is>
      </c>
      <c r="B464" s="1" t="n">
        <v>44872</v>
      </c>
      <c r="C464" s="1" t="n">
        <v>45849</v>
      </c>
      <c r="D464" t="inlineStr">
        <is>
          <t>DALARNAS LÄN</t>
        </is>
      </c>
      <c r="E464" t="inlineStr">
        <is>
          <t>LUDVIKA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52432-2022</t>
        </is>
      </c>
      <c r="B465" s="1" t="n">
        <v>44874</v>
      </c>
      <c r="C465" s="1" t="n">
        <v>45849</v>
      </c>
      <c r="D465" t="inlineStr">
        <is>
          <t>DALARNAS LÄN</t>
        </is>
      </c>
      <c r="E465" t="inlineStr">
        <is>
          <t>LUDVIKA</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53509-2022</t>
        </is>
      </c>
      <c r="B466" s="1" t="n">
        <v>44879</v>
      </c>
      <c r="C466" s="1" t="n">
        <v>45849</v>
      </c>
      <c r="D466" t="inlineStr">
        <is>
          <t>DALARNAS LÄN</t>
        </is>
      </c>
      <c r="E466" t="inlineStr">
        <is>
          <t>LUDVIKA</t>
        </is>
      </c>
      <c r="F466" t="inlineStr">
        <is>
          <t>Naturvårdsverket</t>
        </is>
      </c>
      <c r="G466" t="n">
        <v>4.9</v>
      </c>
      <c r="H466" t="n">
        <v>0</v>
      </c>
      <c r="I466" t="n">
        <v>0</v>
      </c>
      <c r="J466" t="n">
        <v>0</v>
      </c>
      <c r="K466" t="n">
        <v>0</v>
      </c>
      <c r="L466" t="n">
        <v>0</v>
      </c>
      <c r="M466" t="n">
        <v>0</v>
      </c>
      <c r="N466" t="n">
        <v>0</v>
      </c>
      <c r="O466" t="n">
        <v>0</v>
      </c>
      <c r="P466" t="n">
        <v>0</v>
      </c>
      <c r="Q466" t="n">
        <v>0</v>
      </c>
      <c r="R466" s="2" t="inlineStr"/>
    </row>
    <row r="467" ht="15" customHeight="1">
      <c r="A467" t="inlineStr">
        <is>
          <t>A 53619-2022</t>
        </is>
      </c>
      <c r="B467" s="1" t="n">
        <v>44879</v>
      </c>
      <c r="C467" s="1" t="n">
        <v>45849</v>
      </c>
      <c r="D467" t="inlineStr">
        <is>
          <t>DALARNAS LÄN</t>
        </is>
      </c>
      <c r="E467" t="inlineStr">
        <is>
          <t>LUDVIKA</t>
        </is>
      </c>
      <c r="G467" t="n">
        <v>1</v>
      </c>
      <c r="H467" t="n">
        <v>0</v>
      </c>
      <c r="I467" t="n">
        <v>0</v>
      </c>
      <c r="J467" t="n">
        <v>0</v>
      </c>
      <c r="K467" t="n">
        <v>0</v>
      </c>
      <c r="L467" t="n">
        <v>0</v>
      </c>
      <c r="M467" t="n">
        <v>0</v>
      </c>
      <c r="N467" t="n">
        <v>0</v>
      </c>
      <c r="O467" t="n">
        <v>0</v>
      </c>
      <c r="P467" t="n">
        <v>0</v>
      </c>
      <c r="Q467" t="n">
        <v>0</v>
      </c>
      <c r="R467" s="2" t="inlineStr"/>
    </row>
    <row r="468" ht="15" customHeight="1">
      <c r="A468" t="inlineStr">
        <is>
          <t>A 53620-2022</t>
        </is>
      </c>
      <c r="B468" s="1" t="n">
        <v>44879</v>
      </c>
      <c r="C468" s="1" t="n">
        <v>45849</v>
      </c>
      <c r="D468" t="inlineStr">
        <is>
          <t>DALARNAS LÄN</t>
        </is>
      </c>
      <c r="E468" t="inlineStr">
        <is>
          <t>LUDVIKA</t>
        </is>
      </c>
      <c r="G468" t="n">
        <v>3.7</v>
      </c>
      <c r="H468" t="n">
        <v>0</v>
      </c>
      <c r="I468" t="n">
        <v>0</v>
      </c>
      <c r="J468" t="n">
        <v>0</v>
      </c>
      <c r="K468" t="n">
        <v>0</v>
      </c>
      <c r="L468" t="n">
        <v>0</v>
      </c>
      <c r="M468" t="n">
        <v>0</v>
      </c>
      <c r="N468" t="n">
        <v>0</v>
      </c>
      <c r="O468" t="n">
        <v>0</v>
      </c>
      <c r="P468" t="n">
        <v>0</v>
      </c>
      <c r="Q468" t="n">
        <v>0</v>
      </c>
      <c r="R468" s="2" t="inlineStr"/>
    </row>
    <row r="469" ht="15" customHeight="1">
      <c r="A469" t="inlineStr">
        <is>
          <t>A 53705-2022</t>
        </is>
      </c>
      <c r="B469" s="1" t="n">
        <v>44880</v>
      </c>
      <c r="C469" s="1" t="n">
        <v>45849</v>
      </c>
      <c r="D469" t="inlineStr">
        <is>
          <t>DALARNAS LÄN</t>
        </is>
      </c>
      <c r="E469" t="inlineStr">
        <is>
          <t>LUDVIKA</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54730-2022</t>
        </is>
      </c>
      <c r="B470" s="1" t="n">
        <v>44883</v>
      </c>
      <c r="C470" s="1" t="n">
        <v>45849</v>
      </c>
      <c r="D470" t="inlineStr">
        <is>
          <t>DALARNAS LÄN</t>
        </is>
      </c>
      <c r="E470" t="inlineStr">
        <is>
          <t>LUDVIKA</t>
        </is>
      </c>
      <c r="F470" t="inlineStr">
        <is>
          <t>Bergvik skog väst AB</t>
        </is>
      </c>
      <c r="G470" t="n">
        <v>2.4</v>
      </c>
      <c r="H470" t="n">
        <v>0</v>
      </c>
      <c r="I470" t="n">
        <v>0</v>
      </c>
      <c r="J470" t="n">
        <v>0</v>
      </c>
      <c r="K470" t="n">
        <v>0</v>
      </c>
      <c r="L470" t="n">
        <v>0</v>
      </c>
      <c r="M470" t="n">
        <v>0</v>
      </c>
      <c r="N470" t="n">
        <v>0</v>
      </c>
      <c r="O470" t="n">
        <v>0</v>
      </c>
      <c r="P470" t="n">
        <v>0</v>
      </c>
      <c r="Q470" t="n">
        <v>0</v>
      </c>
      <c r="R470" s="2" t="inlineStr"/>
    </row>
    <row r="471" ht="15" customHeight="1">
      <c r="A471" t="inlineStr">
        <is>
          <t>A 54767-2022</t>
        </is>
      </c>
      <c r="B471" s="1" t="n">
        <v>44883</v>
      </c>
      <c r="C471" s="1" t="n">
        <v>45849</v>
      </c>
      <c r="D471" t="inlineStr">
        <is>
          <t>DALARNAS LÄN</t>
        </is>
      </c>
      <c r="E471" t="inlineStr">
        <is>
          <t>LUDVIKA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54914-2022</t>
        </is>
      </c>
      <c r="B472" s="1" t="n">
        <v>44886</v>
      </c>
      <c r="C472" s="1" t="n">
        <v>45849</v>
      </c>
      <c r="D472" t="inlineStr">
        <is>
          <t>DALARNAS LÄN</t>
        </is>
      </c>
      <c r="E472" t="inlineStr">
        <is>
          <t>LUDVIKA</t>
        </is>
      </c>
      <c r="F472" t="inlineStr">
        <is>
          <t>Naturvårdsverket</t>
        </is>
      </c>
      <c r="G472" t="n">
        <v>0.6</v>
      </c>
      <c r="H472" t="n">
        <v>0</v>
      </c>
      <c r="I472" t="n">
        <v>0</v>
      </c>
      <c r="J472" t="n">
        <v>0</v>
      </c>
      <c r="K472" t="n">
        <v>0</v>
      </c>
      <c r="L472" t="n">
        <v>0</v>
      </c>
      <c r="M472" t="n">
        <v>0</v>
      </c>
      <c r="N472" t="n">
        <v>0</v>
      </c>
      <c r="O472" t="n">
        <v>0</v>
      </c>
      <c r="P472" t="n">
        <v>0</v>
      </c>
      <c r="Q472" t="n">
        <v>0</v>
      </c>
      <c r="R472" s="2" t="inlineStr"/>
    </row>
    <row r="473" ht="15" customHeight="1">
      <c r="A473" t="inlineStr">
        <is>
          <t>A 55262-2022</t>
        </is>
      </c>
      <c r="B473" s="1" t="n">
        <v>44887</v>
      </c>
      <c r="C473" s="1" t="n">
        <v>45849</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56346-2022</t>
        </is>
      </c>
      <c r="B474" s="1" t="n">
        <v>44890</v>
      </c>
      <c r="C474" s="1" t="n">
        <v>45849</v>
      </c>
      <c r="D474" t="inlineStr">
        <is>
          <t>DALARNAS LÄN</t>
        </is>
      </c>
      <c r="E474" t="inlineStr">
        <is>
          <t>LUDVIKA</t>
        </is>
      </c>
      <c r="F474" t="inlineStr">
        <is>
          <t>Bergvik skog väst AB</t>
        </is>
      </c>
      <c r="G474" t="n">
        <v>1.2</v>
      </c>
      <c r="H474" t="n">
        <v>0</v>
      </c>
      <c r="I474" t="n">
        <v>0</v>
      </c>
      <c r="J474" t="n">
        <v>0</v>
      </c>
      <c r="K474" t="n">
        <v>0</v>
      </c>
      <c r="L474" t="n">
        <v>0</v>
      </c>
      <c r="M474" t="n">
        <v>0</v>
      </c>
      <c r="N474" t="n">
        <v>0</v>
      </c>
      <c r="O474" t="n">
        <v>0</v>
      </c>
      <c r="P474" t="n">
        <v>0</v>
      </c>
      <c r="Q474" t="n">
        <v>0</v>
      </c>
      <c r="R474" s="2" t="inlineStr"/>
    </row>
    <row r="475" ht="15" customHeight="1">
      <c r="A475" t="inlineStr">
        <is>
          <t>A 56347-2022</t>
        </is>
      </c>
      <c r="B475" s="1" t="n">
        <v>44890</v>
      </c>
      <c r="C475" s="1" t="n">
        <v>45849</v>
      </c>
      <c r="D475" t="inlineStr">
        <is>
          <t>DALARNAS LÄN</t>
        </is>
      </c>
      <c r="E475" t="inlineStr">
        <is>
          <t>LUDVIKA</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56680-2022</t>
        </is>
      </c>
      <c r="B476" s="1" t="n">
        <v>44893</v>
      </c>
      <c r="C476" s="1" t="n">
        <v>45849</v>
      </c>
      <c r="D476" t="inlineStr">
        <is>
          <t>DALARNAS LÄN</t>
        </is>
      </c>
      <c r="E476" t="inlineStr">
        <is>
          <t>LUDVIKA</t>
        </is>
      </c>
      <c r="G476" t="n">
        <v>0.4</v>
      </c>
      <c r="H476" t="n">
        <v>0</v>
      </c>
      <c r="I476" t="n">
        <v>0</v>
      </c>
      <c r="J476" t="n">
        <v>0</v>
      </c>
      <c r="K476" t="n">
        <v>0</v>
      </c>
      <c r="L476" t="n">
        <v>0</v>
      </c>
      <c r="M476" t="n">
        <v>0</v>
      </c>
      <c r="N476" t="n">
        <v>0</v>
      </c>
      <c r="O476" t="n">
        <v>0</v>
      </c>
      <c r="P476" t="n">
        <v>0</v>
      </c>
      <c r="Q476" t="n">
        <v>0</v>
      </c>
      <c r="R476" s="2" t="inlineStr"/>
    </row>
    <row r="477" ht="15" customHeight="1">
      <c r="A477" t="inlineStr">
        <is>
          <t>A 56686-2022</t>
        </is>
      </c>
      <c r="B477" s="1" t="n">
        <v>44893</v>
      </c>
      <c r="C477" s="1" t="n">
        <v>45849</v>
      </c>
      <c r="D477" t="inlineStr">
        <is>
          <t>DALARNAS LÄN</t>
        </is>
      </c>
      <c r="E477" t="inlineStr">
        <is>
          <t>LUDVIKA</t>
        </is>
      </c>
      <c r="G477" t="n">
        <v>0.7</v>
      </c>
      <c r="H477" t="n">
        <v>0</v>
      </c>
      <c r="I477" t="n">
        <v>0</v>
      </c>
      <c r="J477" t="n">
        <v>0</v>
      </c>
      <c r="K477" t="n">
        <v>0</v>
      </c>
      <c r="L477" t="n">
        <v>0</v>
      </c>
      <c r="M477" t="n">
        <v>0</v>
      </c>
      <c r="N477" t="n">
        <v>0</v>
      </c>
      <c r="O477" t="n">
        <v>0</v>
      </c>
      <c r="P477" t="n">
        <v>0</v>
      </c>
      <c r="Q477" t="n">
        <v>0</v>
      </c>
      <c r="R477" s="2" t="inlineStr"/>
    </row>
    <row r="478" ht="15" customHeight="1">
      <c r="A478" t="inlineStr">
        <is>
          <t>A 56685-2022</t>
        </is>
      </c>
      <c r="B478" s="1" t="n">
        <v>44893</v>
      </c>
      <c r="C478" s="1" t="n">
        <v>45849</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57193-2022</t>
        </is>
      </c>
      <c r="B479" s="1" t="n">
        <v>44895</v>
      </c>
      <c r="C479" s="1" t="n">
        <v>45849</v>
      </c>
      <c r="D479" t="inlineStr">
        <is>
          <t>DALARNAS LÄN</t>
        </is>
      </c>
      <c r="E479" t="inlineStr">
        <is>
          <t>LUDVIKA</t>
        </is>
      </c>
      <c r="F479" t="inlineStr">
        <is>
          <t>Bergvik skog väst AB</t>
        </is>
      </c>
      <c r="G479" t="n">
        <v>3.4</v>
      </c>
      <c r="H479" t="n">
        <v>0</v>
      </c>
      <c r="I479" t="n">
        <v>0</v>
      </c>
      <c r="J479" t="n">
        <v>0</v>
      </c>
      <c r="K479" t="n">
        <v>0</v>
      </c>
      <c r="L479" t="n">
        <v>0</v>
      </c>
      <c r="M479" t="n">
        <v>0</v>
      </c>
      <c r="N479" t="n">
        <v>0</v>
      </c>
      <c r="O479" t="n">
        <v>0</v>
      </c>
      <c r="P479" t="n">
        <v>0</v>
      </c>
      <c r="Q479" t="n">
        <v>0</v>
      </c>
      <c r="R479" s="2" t="inlineStr"/>
    </row>
    <row r="480" ht="15" customHeight="1">
      <c r="A480" t="inlineStr">
        <is>
          <t>A 58021-2022</t>
        </is>
      </c>
      <c r="B480" s="1" t="n">
        <v>44900</v>
      </c>
      <c r="C480" s="1" t="n">
        <v>45849</v>
      </c>
      <c r="D480" t="inlineStr">
        <is>
          <t>DALARNAS LÄN</t>
        </is>
      </c>
      <c r="E480" t="inlineStr">
        <is>
          <t>LUDVIKA</t>
        </is>
      </c>
      <c r="F480" t="inlineStr">
        <is>
          <t>Bergvik skog väst AB</t>
        </is>
      </c>
      <c r="G480" t="n">
        <v>22.3</v>
      </c>
      <c r="H480" t="n">
        <v>0</v>
      </c>
      <c r="I480" t="n">
        <v>0</v>
      </c>
      <c r="J480" t="n">
        <v>0</v>
      </c>
      <c r="K480" t="n">
        <v>0</v>
      </c>
      <c r="L480" t="n">
        <v>0</v>
      </c>
      <c r="M480" t="n">
        <v>0</v>
      </c>
      <c r="N480" t="n">
        <v>0</v>
      </c>
      <c r="O480" t="n">
        <v>0</v>
      </c>
      <c r="P480" t="n">
        <v>0</v>
      </c>
      <c r="Q480" t="n">
        <v>0</v>
      </c>
      <c r="R480" s="2" t="inlineStr"/>
    </row>
    <row r="481" ht="15" customHeight="1">
      <c r="A481" t="inlineStr">
        <is>
          <t>A 59050-2022</t>
        </is>
      </c>
      <c r="B481" s="1" t="n">
        <v>44903</v>
      </c>
      <c r="C481" s="1" t="n">
        <v>45849</v>
      </c>
      <c r="D481" t="inlineStr">
        <is>
          <t>DALARNAS LÄN</t>
        </is>
      </c>
      <c r="E481" t="inlineStr">
        <is>
          <t>LUDVIKA</t>
        </is>
      </c>
      <c r="G481" t="n">
        <v>2.8</v>
      </c>
      <c r="H481" t="n">
        <v>0</v>
      </c>
      <c r="I481" t="n">
        <v>0</v>
      </c>
      <c r="J481" t="n">
        <v>0</v>
      </c>
      <c r="K481" t="n">
        <v>0</v>
      </c>
      <c r="L481" t="n">
        <v>0</v>
      </c>
      <c r="M481" t="n">
        <v>0</v>
      </c>
      <c r="N481" t="n">
        <v>0</v>
      </c>
      <c r="O481" t="n">
        <v>0</v>
      </c>
      <c r="P481" t="n">
        <v>0</v>
      </c>
      <c r="Q481" t="n">
        <v>0</v>
      </c>
      <c r="R481" s="2" t="inlineStr"/>
    </row>
    <row r="482" ht="15" customHeight="1">
      <c r="A482" t="inlineStr">
        <is>
          <t>A 59415-2022</t>
        </is>
      </c>
      <c r="B482" s="1" t="n">
        <v>44907</v>
      </c>
      <c r="C482" s="1" t="n">
        <v>45849</v>
      </c>
      <c r="D482" t="inlineStr">
        <is>
          <t>DALARNAS LÄN</t>
        </is>
      </c>
      <c r="E482" t="inlineStr">
        <is>
          <t>LUDVIKA</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59413-2022</t>
        </is>
      </c>
      <c r="B483" s="1" t="n">
        <v>44907</v>
      </c>
      <c r="C483" s="1" t="n">
        <v>45849</v>
      </c>
      <c r="D483" t="inlineStr">
        <is>
          <t>DALARNAS LÄN</t>
        </is>
      </c>
      <c r="E483" t="inlineStr">
        <is>
          <t>LUDVIKA</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61050-2022</t>
        </is>
      </c>
      <c r="B484" s="1" t="n">
        <v>44915</v>
      </c>
      <c r="C484" s="1" t="n">
        <v>45849</v>
      </c>
      <c r="D484" t="inlineStr">
        <is>
          <t>DALARNAS LÄN</t>
        </is>
      </c>
      <c r="E484" t="inlineStr">
        <is>
          <t>LUDVIKA</t>
        </is>
      </c>
      <c r="G484" t="n">
        <v>2.4</v>
      </c>
      <c r="H484" t="n">
        <v>0</v>
      </c>
      <c r="I484" t="n">
        <v>0</v>
      </c>
      <c r="J484" t="n">
        <v>0</v>
      </c>
      <c r="K484" t="n">
        <v>0</v>
      </c>
      <c r="L484" t="n">
        <v>0</v>
      </c>
      <c r="M484" t="n">
        <v>0</v>
      </c>
      <c r="N484" t="n">
        <v>0</v>
      </c>
      <c r="O484" t="n">
        <v>0</v>
      </c>
      <c r="P484" t="n">
        <v>0</v>
      </c>
      <c r="Q484" t="n">
        <v>0</v>
      </c>
      <c r="R484" s="2" t="inlineStr"/>
    </row>
    <row r="485" ht="15" customHeight="1">
      <c r="A485" t="inlineStr">
        <is>
          <t>A 61309-2022</t>
        </is>
      </c>
      <c r="B485" s="1" t="n">
        <v>44915</v>
      </c>
      <c r="C485" s="1" t="n">
        <v>45849</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61278-2022</t>
        </is>
      </c>
      <c r="B486" s="1" t="n">
        <v>44915</v>
      </c>
      <c r="C486" s="1" t="n">
        <v>45849</v>
      </c>
      <c r="D486" t="inlineStr">
        <is>
          <t>DALARNAS LÄN</t>
        </is>
      </c>
      <c r="E486" t="inlineStr">
        <is>
          <t>LUDVIKA</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61621-2022</t>
        </is>
      </c>
      <c r="B487" s="1" t="n">
        <v>44916</v>
      </c>
      <c r="C487" s="1" t="n">
        <v>45849</v>
      </c>
      <c r="D487" t="inlineStr">
        <is>
          <t>DALARNAS LÄN</t>
        </is>
      </c>
      <c r="E487" t="inlineStr">
        <is>
          <t>LUDVIKA</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62275-2022</t>
        </is>
      </c>
      <c r="B488" s="1" t="n">
        <v>44923</v>
      </c>
      <c r="C488" s="1" t="n">
        <v>45849</v>
      </c>
      <c r="D488" t="inlineStr">
        <is>
          <t>DALARNAS LÄN</t>
        </is>
      </c>
      <c r="E488" t="inlineStr">
        <is>
          <t>LUDVIKA</t>
        </is>
      </c>
      <c r="G488" t="n">
        <v>4.6</v>
      </c>
      <c r="H488" t="n">
        <v>0</v>
      </c>
      <c r="I488" t="n">
        <v>0</v>
      </c>
      <c r="J488" t="n">
        <v>0</v>
      </c>
      <c r="K488" t="n">
        <v>0</v>
      </c>
      <c r="L488" t="n">
        <v>0</v>
      </c>
      <c r="M488" t="n">
        <v>0</v>
      </c>
      <c r="N488" t="n">
        <v>0</v>
      </c>
      <c r="O488" t="n">
        <v>0</v>
      </c>
      <c r="P488" t="n">
        <v>0</v>
      </c>
      <c r="Q488" t="n">
        <v>0</v>
      </c>
      <c r="R488" s="2" t="inlineStr"/>
    </row>
    <row r="489" ht="15" customHeight="1">
      <c r="A489" t="inlineStr">
        <is>
          <t>A 400-2023</t>
        </is>
      </c>
      <c r="B489" s="1" t="n">
        <v>44929</v>
      </c>
      <c r="C489" s="1" t="n">
        <v>45849</v>
      </c>
      <c r="D489" t="inlineStr">
        <is>
          <t>DALARNAS LÄN</t>
        </is>
      </c>
      <c r="E489" t="inlineStr">
        <is>
          <t>LUDVIKA</t>
        </is>
      </c>
      <c r="G489" t="n">
        <v>3.6</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45849</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45849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45849</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45849</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45849</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45849</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45849</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45849</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45849</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45849</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45849</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45849</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45849</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45849</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45849</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45849</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45849</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45849</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45849</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45849</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45849</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45849</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45849</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45849</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45849</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45849</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45849</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45849</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45849</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45849</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45849</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45849</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45849</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45849</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45849</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45849</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45849</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45849</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45849</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45849</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45849</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45849</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45849</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45849</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45849</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45849</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45849</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45849</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45849</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45849</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45849</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45849</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45849</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45849</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45849</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45849</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45849</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45849</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45849</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45849</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45849</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45849</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45849</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45849</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45849</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45849</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45849</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45849</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45849</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45849</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45849</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45849</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45849</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45849</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45849</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45849</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45849</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45849</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45849</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45849</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45849</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45849</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45849</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45849</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45849</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45849</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45849</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45849</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45849</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45849</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45849</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45849</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45849</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45849</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45849</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45849</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45849</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45849</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45849</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45849</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45849</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45849</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45849</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45849</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45849</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45849</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45849</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45849</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45849</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45849</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45849</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45849</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45849</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45849</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45849</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45849</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45849</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45849</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45849</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45849</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45849</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45849</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45849</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45849</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45849</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45849</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45849</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45849</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45849</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45849</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45849</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45849</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45849</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45849</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45849</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45849</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45849</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45849</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45849</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45849</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45849</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45849</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45849</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45849</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45849</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45849</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45849</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45849</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45849</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45849</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45849</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45849</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45849</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45849</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45849</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45849</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45849</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45849</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45849</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45849</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45849</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45849</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45849</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45849</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45849</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45849</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45849</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45849</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45849</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45849</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45849</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45849</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45849</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45849</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45849</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45849</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45849</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45849</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45849</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45849</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45849</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45849</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45849</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45849</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45849</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45849</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45849</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45849</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45849</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45849</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45849</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45849</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45849</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45849</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45849</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45849</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45849</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45849</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45849</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45849</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45849</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45849</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45849</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45849</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45849</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45849</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45849</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45849</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45849</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45849</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45849</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45849</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45849</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45849</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45849</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45849</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45849</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45849</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45849</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45849</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45849</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45849</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45849</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45849</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45849</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45849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45849</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45849</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45849</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45849</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45849</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45849</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45849</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45849</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45849</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45849</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45849</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45849</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45849</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45849</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45849</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45849</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45849</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45849</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45849</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45849</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45849</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45849</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45849</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45849</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45849</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45849</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45849</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47940-2023</t>
        </is>
      </c>
      <c r="B743" s="1" t="n">
        <v>45204</v>
      </c>
      <c r="C743" s="1" t="n">
        <v>45849</v>
      </c>
      <c r="D743" t="inlineStr">
        <is>
          <t>DALARNAS LÄN</t>
        </is>
      </c>
      <c r="E743" t="inlineStr">
        <is>
          <t>LUDVIKA</t>
        </is>
      </c>
      <c r="F743" t="inlineStr">
        <is>
          <t>Bergvik skog väst AB</t>
        </is>
      </c>
      <c r="G743" t="n">
        <v>2.1</v>
      </c>
      <c r="H743" t="n">
        <v>0</v>
      </c>
      <c r="I743" t="n">
        <v>0</v>
      </c>
      <c r="J743" t="n">
        <v>0</v>
      </c>
      <c r="K743" t="n">
        <v>0</v>
      </c>
      <c r="L743" t="n">
        <v>0</v>
      </c>
      <c r="M743" t="n">
        <v>0</v>
      </c>
      <c r="N743" t="n">
        <v>0</v>
      </c>
      <c r="O743" t="n">
        <v>0</v>
      </c>
      <c r="P743" t="n">
        <v>0</v>
      </c>
      <c r="Q743" t="n">
        <v>0</v>
      </c>
      <c r="R743" s="2" t="inlineStr"/>
    </row>
    <row r="744" ht="15" customHeight="1">
      <c r="A744" t="inlineStr">
        <is>
          <t>A 48003-2023</t>
        </is>
      </c>
      <c r="B744" s="1" t="n">
        <v>45204</v>
      </c>
      <c r="C744" s="1" t="n">
        <v>45849</v>
      </c>
      <c r="D744" t="inlineStr">
        <is>
          <t>DALARNAS LÄN</t>
        </is>
      </c>
      <c r="E744" t="inlineStr">
        <is>
          <t>LUDVIKA</t>
        </is>
      </c>
      <c r="F744" t="inlineStr">
        <is>
          <t>Bergvik skog väst AB</t>
        </is>
      </c>
      <c r="G744" t="n">
        <v>1.2</v>
      </c>
      <c r="H744" t="n">
        <v>0</v>
      </c>
      <c r="I744" t="n">
        <v>0</v>
      </c>
      <c r="J744" t="n">
        <v>0</v>
      </c>
      <c r="K744" t="n">
        <v>0</v>
      </c>
      <c r="L744" t="n">
        <v>0</v>
      </c>
      <c r="M744" t="n">
        <v>0</v>
      </c>
      <c r="N744" t="n">
        <v>0</v>
      </c>
      <c r="O744" t="n">
        <v>0</v>
      </c>
      <c r="P744" t="n">
        <v>0</v>
      </c>
      <c r="Q744" t="n">
        <v>0</v>
      </c>
      <c r="R744" s="2" t="inlineStr"/>
    </row>
    <row r="745" ht="15" customHeight="1">
      <c r="A745" t="inlineStr">
        <is>
          <t>A 48212-2023</t>
        </is>
      </c>
      <c r="B745" s="1" t="n">
        <v>45205</v>
      </c>
      <c r="C745" s="1" t="n">
        <v>45849</v>
      </c>
      <c r="D745" t="inlineStr">
        <is>
          <t>DALARNAS LÄN</t>
        </is>
      </c>
      <c r="E745" t="inlineStr">
        <is>
          <t>LUDVIKA</t>
        </is>
      </c>
      <c r="F745" t="inlineStr">
        <is>
          <t>Bergvik skog väst AB</t>
        </is>
      </c>
      <c r="G745" t="n">
        <v>6.5</v>
      </c>
      <c r="H745" t="n">
        <v>0</v>
      </c>
      <c r="I745" t="n">
        <v>0</v>
      </c>
      <c r="J745" t="n">
        <v>0</v>
      </c>
      <c r="K745" t="n">
        <v>0</v>
      </c>
      <c r="L745" t="n">
        <v>0</v>
      </c>
      <c r="M745" t="n">
        <v>0</v>
      </c>
      <c r="N745" t="n">
        <v>0</v>
      </c>
      <c r="O745" t="n">
        <v>0</v>
      </c>
      <c r="P745" t="n">
        <v>0</v>
      </c>
      <c r="Q745" t="n">
        <v>0</v>
      </c>
      <c r="R745" s="2" t="inlineStr"/>
    </row>
    <row r="746" ht="15" customHeight="1">
      <c r="A746" t="inlineStr">
        <is>
          <t>A 48288-2023</t>
        </is>
      </c>
      <c r="B746" s="1" t="n">
        <v>45205</v>
      </c>
      <c r="C746" s="1" t="n">
        <v>45849</v>
      </c>
      <c r="D746" t="inlineStr">
        <is>
          <t>DALARNAS LÄN</t>
        </is>
      </c>
      <c r="E746" t="inlineStr">
        <is>
          <t>LUDVIKA</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48352-2023</t>
        </is>
      </c>
      <c r="B747" s="1" t="n">
        <v>45205</v>
      </c>
      <c r="C747" s="1" t="n">
        <v>45849</v>
      </c>
      <c r="D747" t="inlineStr">
        <is>
          <t>DALARNAS LÄN</t>
        </is>
      </c>
      <c r="E747" t="inlineStr">
        <is>
          <t>LUDVIKA</t>
        </is>
      </c>
      <c r="F747" t="inlineStr">
        <is>
          <t>Bergvik skog väst AB</t>
        </is>
      </c>
      <c r="G747" t="n">
        <v>12.8</v>
      </c>
      <c r="H747" t="n">
        <v>0</v>
      </c>
      <c r="I747" t="n">
        <v>0</v>
      </c>
      <c r="J747" t="n">
        <v>0</v>
      </c>
      <c r="K747" t="n">
        <v>0</v>
      </c>
      <c r="L747" t="n">
        <v>0</v>
      </c>
      <c r="M747" t="n">
        <v>0</v>
      </c>
      <c r="N747" t="n">
        <v>0</v>
      </c>
      <c r="O747" t="n">
        <v>0</v>
      </c>
      <c r="P747" t="n">
        <v>0</v>
      </c>
      <c r="Q747" t="n">
        <v>0</v>
      </c>
      <c r="R747" s="2" t="inlineStr"/>
    </row>
    <row r="748" ht="15" customHeight="1">
      <c r="A748" t="inlineStr">
        <is>
          <t>A 48331-2023</t>
        </is>
      </c>
      <c r="B748" s="1" t="n">
        <v>45205</v>
      </c>
      <c r="C748" s="1" t="n">
        <v>45849</v>
      </c>
      <c r="D748" t="inlineStr">
        <is>
          <t>DALARNAS LÄN</t>
        </is>
      </c>
      <c r="E748" t="inlineStr">
        <is>
          <t>LUDVIKA</t>
        </is>
      </c>
      <c r="F748" t="inlineStr">
        <is>
          <t>Bergvik skog väst AB</t>
        </is>
      </c>
      <c r="G748" t="n">
        <v>4.2</v>
      </c>
      <c r="H748" t="n">
        <v>0</v>
      </c>
      <c r="I748" t="n">
        <v>0</v>
      </c>
      <c r="J748" t="n">
        <v>0</v>
      </c>
      <c r="K748" t="n">
        <v>0</v>
      </c>
      <c r="L748" t="n">
        <v>0</v>
      </c>
      <c r="M748" t="n">
        <v>0</v>
      </c>
      <c r="N748" t="n">
        <v>0</v>
      </c>
      <c r="O748" t="n">
        <v>0</v>
      </c>
      <c r="P748" t="n">
        <v>0</v>
      </c>
      <c r="Q748" t="n">
        <v>0</v>
      </c>
      <c r="R748" s="2" t="inlineStr"/>
    </row>
    <row r="749" ht="15" customHeight="1">
      <c r="A749" t="inlineStr">
        <is>
          <t>A 48559-2023</t>
        </is>
      </c>
      <c r="B749" s="1" t="n">
        <v>45208</v>
      </c>
      <c r="C749" s="1" t="n">
        <v>45849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48589-2023</t>
        </is>
      </c>
      <c r="B750" s="1" t="n">
        <v>45208</v>
      </c>
      <c r="C750" s="1" t="n">
        <v>45849</v>
      </c>
      <c r="D750" t="inlineStr">
        <is>
          <t>DALARNAS LÄN</t>
        </is>
      </c>
      <c r="E750" t="inlineStr">
        <is>
          <t>LUDVIKA</t>
        </is>
      </c>
      <c r="F750" t="inlineStr">
        <is>
          <t>Naturvårdsverket</t>
        </is>
      </c>
      <c r="G750" t="n">
        <v>0.7</v>
      </c>
      <c r="H750" t="n">
        <v>0</v>
      </c>
      <c r="I750" t="n">
        <v>0</v>
      </c>
      <c r="J750" t="n">
        <v>0</v>
      </c>
      <c r="K750" t="n">
        <v>0</v>
      </c>
      <c r="L750" t="n">
        <v>0</v>
      </c>
      <c r="M750" t="n">
        <v>0</v>
      </c>
      <c r="N750" t="n">
        <v>0</v>
      </c>
      <c r="O750" t="n">
        <v>0</v>
      </c>
      <c r="P750" t="n">
        <v>0</v>
      </c>
      <c r="Q750" t="n">
        <v>0</v>
      </c>
      <c r="R750" s="2" t="inlineStr"/>
    </row>
    <row r="751" ht="15" customHeight="1">
      <c r="A751" t="inlineStr">
        <is>
          <t>A 48522-2023</t>
        </is>
      </c>
      <c r="B751" s="1" t="n">
        <v>45208</v>
      </c>
      <c r="C751" s="1" t="n">
        <v>45849</v>
      </c>
      <c r="D751" t="inlineStr">
        <is>
          <t>DALARNAS LÄN</t>
        </is>
      </c>
      <c r="E751" t="inlineStr">
        <is>
          <t>LUDVIKA</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48615-2023</t>
        </is>
      </c>
      <c r="B752" s="1" t="n">
        <v>45208</v>
      </c>
      <c r="C752" s="1" t="n">
        <v>45849</v>
      </c>
      <c r="D752" t="inlineStr">
        <is>
          <t>DALARNAS LÄN</t>
        </is>
      </c>
      <c r="E752" t="inlineStr">
        <is>
          <t>LUDVIKA</t>
        </is>
      </c>
      <c r="F752" t="inlineStr">
        <is>
          <t>Bergvik skog väst AB</t>
        </is>
      </c>
      <c r="G752" t="n">
        <v>1</v>
      </c>
      <c r="H752" t="n">
        <v>0</v>
      </c>
      <c r="I752" t="n">
        <v>0</v>
      </c>
      <c r="J752" t="n">
        <v>0</v>
      </c>
      <c r="K752" t="n">
        <v>0</v>
      </c>
      <c r="L752" t="n">
        <v>0</v>
      </c>
      <c r="M752" t="n">
        <v>0</v>
      </c>
      <c r="N752" t="n">
        <v>0</v>
      </c>
      <c r="O752" t="n">
        <v>0</v>
      </c>
      <c r="P752" t="n">
        <v>0</v>
      </c>
      <c r="Q752" t="n">
        <v>0</v>
      </c>
      <c r="R752" s="2" t="inlineStr"/>
    </row>
    <row r="753" ht="15" customHeight="1">
      <c r="A753" t="inlineStr">
        <is>
          <t>A 48683-2023</t>
        </is>
      </c>
      <c r="B753" s="1" t="n">
        <v>45208</v>
      </c>
      <c r="C753" s="1" t="n">
        <v>45849</v>
      </c>
      <c r="D753" t="inlineStr">
        <is>
          <t>DALARNAS LÄN</t>
        </is>
      </c>
      <c r="E753" t="inlineStr">
        <is>
          <t>LUDVIKA</t>
        </is>
      </c>
      <c r="G753" t="n">
        <v>1.3</v>
      </c>
      <c r="H753" t="n">
        <v>0</v>
      </c>
      <c r="I753" t="n">
        <v>0</v>
      </c>
      <c r="J753" t="n">
        <v>0</v>
      </c>
      <c r="K753" t="n">
        <v>0</v>
      </c>
      <c r="L753" t="n">
        <v>0</v>
      </c>
      <c r="M753" t="n">
        <v>0</v>
      </c>
      <c r="N753" t="n">
        <v>0</v>
      </c>
      <c r="O753" t="n">
        <v>0</v>
      </c>
      <c r="P753" t="n">
        <v>0</v>
      </c>
      <c r="Q753" t="n">
        <v>0</v>
      </c>
      <c r="R753" s="2" t="inlineStr"/>
    </row>
    <row r="754" ht="15" customHeight="1">
      <c r="A754" t="inlineStr">
        <is>
          <t>A 49060-2023</t>
        </is>
      </c>
      <c r="B754" s="1" t="n">
        <v>45210</v>
      </c>
      <c r="C754" s="1" t="n">
        <v>45849</v>
      </c>
      <c r="D754" t="inlineStr">
        <is>
          <t>DALARNAS LÄN</t>
        </is>
      </c>
      <c r="E754" t="inlineStr">
        <is>
          <t>LUDVIKA</t>
        </is>
      </c>
      <c r="F754" t="inlineStr">
        <is>
          <t>Naturvårdsverket</t>
        </is>
      </c>
      <c r="G754" t="n">
        <v>0.8</v>
      </c>
      <c r="H754" t="n">
        <v>0</v>
      </c>
      <c r="I754" t="n">
        <v>0</v>
      </c>
      <c r="J754" t="n">
        <v>0</v>
      </c>
      <c r="K754" t="n">
        <v>0</v>
      </c>
      <c r="L754" t="n">
        <v>0</v>
      </c>
      <c r="M754" t="n">
        <v>0</v>
      </c>
      <c r="N754" t="n">
        <v>0</v>
      </c>
      <c r="O754" t="n">
        <v>0</v>
      </c>
      <c r="P754" t="n">
        <v>0</v>
      </c>
      <c r="Q754" t="n">
        <v>0</v>
      </c>
      <c r="R754" s="2" t="inlineStr"/>
    </row>
    <row r="755" ht="15" customHeight="1">
      <c r="A755" t="inlineStr">
        <is>
          <t>A 49114-2023</t>
        </is>
      </c>
      <c r="B755" s="1" t="n">
        <v>45210</v>
      </c>
      <c r="C755" s="1" t="n">
        <v>45849</v>
      </c>
      <c r="D755" t="inlineStr">
        <is>
          <t>DALARNAS LÄN</t>
        </is>
      </c>
      <c r="E755" t="inlineStr">
        <is>
          <t>LUDVIKA</t>
        </is>
      </c>
      <c r="F755" t="inlineStr">
        <is>
          <t>Naturvårdsverket</t>
        </is>
      </c>
      <c r="G755" t="n">
        <v>4</v>
      </c>
      <c r="H755" t="n">
        <v>0</v>
      </c>
      <c r="I755" t="n">
        <v>0</v>
      </c>
      <c r="J755" t="n">
        <v>0</v>
      </c>
      <c r="K755" t="n">
        <v>0</v>
      </c>
      <c r="L755" t="n">
        <v>0</v>
      </c>
      <c r="M755" t="n">
        <v>0</v>
      </c>
      <c r="N755" t="n">
        <v>0</v>
      </c>
      <c r="O755" t="n">
        <v>0</v>
      </c>
      <c r="P755" t="n">
        <v>0</v>
      </c>
      <c r="Q755" t="n">
        <v>0</v>
      </c>
      <c r="R755" s="2" t="inlineStr"/>
    </row>
    <row r="756" ht="15" customHeight="1">
      <c r="A756" t="inlineStr">
        <is>
          <t>A 49714-2023</t>
        </is>
      </c>
      <c r="B756" s="1" t="n">
        <v>45212</v>
      </c>
      <c r="C756" s="1" t="n">
        <v>45849</v>
      </c>
      <c r="D756" t="inlineStr">
        <is>
          <t>DALARNAS LÄN</t>
        </is>
      </c>
      <c r="E756" t="inlineStr">
        <is>
          <t>LUDVIKA</t>
        </is>
      </c>
      <c r="F756" t="inlineStr">
        <is>
          <t>Bergvik skog väst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49798-2023</t>
        </is>
      </c>
      <c r="B757" s="1" t="n">
        <v>45212</v>
      </c>
      <c r="C757" s="1" t="n">
        <v>45849</v>
      </c>
      <c r="D757" t="inlineStr">
        <is>
          <t>DALARNAS LÄN</t>
        </is>
      </c>
      <c r="E757" t="inlineStr">
        <is>
          <t>LUDVIKA</t>
        </is>
      </c>
      <c r="F757" t="inlineStr">
        <is>
          <t>Bergvik skog väst AB</t>
        </is>
      </c>
      <c r="G757" t="n">
        <v>9.6</v>
      </c>
      <c r="H757" t="n">
        <v>0</v>
      </c>
      <c r="I757" t="n">
        <v>0</v>
      </c>
      <c r="J757" t="n">
        <v>0</v>
      </c>
      <c r="K757" t="n">
        <v>0</v>
      </c>
      <c r="L757" t="n">
        <v>0</v>
      </c>
      <c r="M757" t="n">
        <v>0</v>
      </c>
      <c r="N757" t="n">
        <v>0</v>
      </c>
      <c r="O757" t="n">
        <v>0</v>
      </c>
      <c r="P757" t="n">
        <v>0</v>
      </c>
      <c r="Q757" t="n">
        <v>0</v>
      </c>
      <c r="R757" s="2" t="inlineStr"/>
    </row>
    <row r="758" ht="15" customHeight="1">
      <c r="A758" t="inlineStr">
        <is>
          <t>A 49805-2023</t>
        </is>
      </c>
      <c r="B758" s="1" t="n">
        <v>45212</v>
      </c>
      <c r="C758" s="1" t="n">
        <v>45849</v>
      </c>
      <c r="D758" t="inlineStr">
        <is>
          <t>DALARNAS LÄN</t>
        </is>
      </c>
      <c r="E758" t="inlineStr">
        <is>
          <t>LUDVIKA</t>
        </is>
      </c>
      <c r="G758" t="n">
        <v>1.9</v>
      </c>
      <c r="H758" t="n">
        <v>0</v>
      </c>
      <c r="I758" t="n">
        <v>0</v>
      </c>
      <c r="J758" t="n">
        <v>0</v>
      </c>
      <c r="K758" t="n">
        <v>0</v>
      </c>
      <c r="L758" t="n">
        <v>0</v>
      </c>
      <c r="M758" t="n">
        <v>0</v>
      </c>
      <c r="N758" t="n">
        <v>0</v>
      </c>
      <c r="O758" t="n">
        <v>0</v>
      </c>
      <c r="P758" t="n">
        <v>0</v>
      </c>
      <c r="Q758" t="n">
        <v>0</v>
      </c>
      <c r="R758" s="2" t="inlineStr"/>
    </row>
    <row r="759" ht="15" customHeight="1">
      <c r="A759" t="inlineStr">
        <is>
          <t>A 50132-2023</t>
        </is>
      </c>
      <c r="B759" s="1" t="n">
        <v>45215</v>
      </c>
      <c r="C759" s="1" t="n">
        <v>45849</v>
      </c>
      <c r="D759" t="inlineStr">
        <is>
          <t>DALARNAS LÄN</t>
        </is>
      </c>
      <c r="E759" t="inlineStr">
        <is>
          <t>LUDVIKA</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50054-2023</t>
        </is>
      </c>
      <c r="B760" s="1" t="n">
        <v>45215</v>
      </c>
      <c r="C760" s="1" t="n">
        <v>45849</v>
      </c>
      <c r="D760" t="inlineStr">
        <is>
          <t>DALARNAS LÄN</t>
        </is>
      </c>
      <c r="E760" t="inlineStr">
        <is>
          <t>LUDVIKA</t>
        </is>
      </c>
      <c r="F760" t="inlineStr">
        <is>
          <t>Bergvik skog väst AB</t>
        </is>
      </c>
      <c r="G760" t="n">
        <v>11.4</v>
      </c>
      <c r="H760" t="n">
        <v>0</v>
      </c>
      <c r="I760" t="n">
        <v>0</v>
      </c>
      <c r="J760" t="n">
        <v>0</v>
      </c>
      <c r="K760" t="n">
        <v>0</v>
      </c>
      <c r="L760" t="n">
        <v>0</v>
      </c>
      <c r="M760" t="n">
        <v>0</v>
      </c>
      <c r="N760" t="n">
        <v>0</v>
      </c>
      <c r="O760" t="n">
        <v>0</v>
      </c>
      <c r="P760" t="n">
        <v>0</v>
      </c>
      <c r="Q760" t="n">
        <v>0</v>
      </c>
      <c r="R760" s="2" t="inlineStr"/>
    </row>
    <row r="761" ht="15" customHeight="1">
      <c r="A761" t="inlineStr">
        <is>
          <t>A 50310-2023</t>
        </is>
      </c>
      <c r="B761" s="1" t="n">
        <v>45216</v>
      </c>
      <c r="C761" s="1" t="n">
        <v>45849</v>
      </c>
      <c r="D761" t="inlineStr">
        <is>
          <t>DALARNAS LÄN</t>
        </is>
      </c>
      <c r="E761" t="inlineStr">
        <is>
          <t>LUDVIKA</t>
        </is>
      </c>
      <c r="G761" t="n">
        <v>2</v>
      </c>
      <c r="H761" t="n">
        <v>0</v>
      </c>
      <c r="I761" t="n">
        <v>0</v>
      </c>
      <c r="J761" t="n">
        <v>0</v>
      </c>
      <c r="K761" t="n">
        <v>0</v>
      </c>
      <c r="L761" t="n">
        <v>0</v>
      </c>
      <c r="M761" t="n">
        <v>0</v>
      </c>
      <c r="N761" t="n">
        <v>0</v>
      </c>
      <c r="O761" t="n">
        <v>0</v>
      </c>
      <c r="P761" t="n">
        <v>0</v>
      </c>
      <c r="Q761" t="n">
        <v>0</v>
      </c>
      <c r="R761" s="2" t="inlineStr"/>
    </row>
    <row r="762" ht="15" customHeight="1">
      <c r="A762" t="inlineStr">
        <is>
          <t>A 50594-2023</t>
        </is>
      </c>
      <c r="B762" s="1" t="n">
        <v>45217</v>
      </c>
      <c r="C762" s="1" t="n">
        <v>45849</v>
      </c>
      <c r="D762" t="inlineStr">
        <is>
          <t>DALARNAS LÄN</t>
        </is>
      </c>
      <c r="E762" t="inlineStr">
        <is>
          <t>LUDVIKA</t>
        </is>
      </c>
      <c r="F762" t="inlineStr">
        <is>
          <t>Bergvik skog väst AB</t>
        </is>
      </c>
      <c r="G762" t="n">
        <v>10.3</v>
      </c>
      <c r="H762" t="n">
        <v>0</v>
      </c>
      <c r="I762" t="n">
        <v>0</v>
      </c>
      <c r="J762" t="n">
        <v>0</v>
      </c>
      <c r="K762" t="n">
        <v>0</v>
      </c>
      <c r="L762" t="n">
        <v>0</v>
      </c>
      <c r="M762" t="n">
        <v>0</v>
      </c>
      <c r="N762" t="n">
        <v>0</v>
      </c>
      <c r="O762" t="n">
        <v>0</v>
      </c>
      <c r="P762" t="n">
        <v>0</v>
      </c>
      <c r="Q762" t="n">
        <v>0</v>
      </c>
      <c r="R762" s="2" t="inlineStr"/>
    </row>
    <row r="763" ht="15" customHeight="1">
      <c r="A763" t="inlineStr">
        <is>
          <t>A 51015-2023</t>
        </is>
      </c>
      <c r="B763" s="1" t="n">
        <v>45218</v>
      </c>
      <c r="C763" s="1" t="n">
        <v>45849</v>
      </c>
      <c r="D763" t="inlineStr">
        <is>
          <t>DALARNAS LÄN</t>
        </is>
      </c>
      <c r="E763" t="inlineStr">
        <is>
          <t>LUDVIKA</t>
        </is>
      </c>
      <c r="G763" t="n">
        <v>5.9</v>
      </c>
      <c r="H763" t="n">
        <v>0</v>
      </c>
      <c r="I763" t="n">
        <v>0</v>
      </c>
      <c r="J763" t="n">
        <v>0</v>
      </c>
      <c r="K763" t="n">
        <v>0</v>
      </c>
      <c r="L763" t="n">
        <v>0</v>
      </c>
      <c r="M763" t="n">
        <v>0</v>
      </c>
      <c r="N763" t="n">
        <v>0</v>
      </c>
      <c r="O763" t="n">
        <v>0</v>
      </c>
      <c r="P763" t="n">
        <v>0</v>
      </c>
      <c r="Q763" t="n">
        <v>0</v>
      </c>
      <c r="R763" s="2" t="inlineStr"/>
    </row>
    <row r="764" ht="15" customHeight="1">
      <c r="A764" t="inlineStr">
        <is>
          <t>A 51208-2023</t>
        </is>
      </c>
      <c r="B764" s="1" t="n">
        <v>45219</v>
      </c>
      <c r="C764" s="1" t="n">
        <v>45849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51181-2023</t>
        </is>
      </c>
      <c r="B765" s="1" t="n">
        <v>45219</v>
      </c>
      <c r="C765" s="1" t="n">
        <v>45849</v>
      </c>
      <c r="D765" t="inlineStr">
        <is>
          <t>DALARNAS LÄN</t>
        </is>
      </c>
      <c r="E765" t="inlineStr">
        <is>
          <t>LUDVIKA</t>
        </is>
      </c>
      <c r="F765" t="inlineStr">
        <is>
          <t>Bergvik skog väst AB</t>
        </is>
      </c>
      <c r="G765" t="n">
        <v>1.5</v>
      </c>
      <c r="H765" t="n">
        <v>0</v>
      </c>
      <c r="I765" t="n">
        <v>0</v>
      </c>
      <c r="J765" t="n">
        <v>0</v>
      </c>
      <c r="K765" t="n">
        <v>0</v>
      </c>
      <c r="L765" t="n">
        <v>0</v>
      </c>
      <c r="M765" t="n">
        <v>0</v>
      </c>
      <c r="N765" t="n">
        <v>0</v>
      </c>
      <c r="O765" t="n">
        <v>0</v>
      </c>
      <c r="P765" t="n">
        <v>0</v>
      </c>
      <c r="Q765" t="n">
        <v>0</v>
      </c>
      <c r="R765" s="2" t="inlineStr"/>
    </row>
    <row r="766" ht="15" customHeight="1">
      <c r="A766" t="inlineStr">
        <is>
          <t>A 51160-2023</t>
        </is>
      </c>
      <c r="B766" s="1" t="n">
        <v>45219</v>
      </c>
      <c r="C766" s="1" t="n">
        <v>45849</v>
      </c>
      <c r="D766" t="inlineStr">
        <is>
          <t>DALARNAS LÄN</t>
        </is>
      </c>
      <c r="E766" t="inlineStr">
        <is>
          <t>LUDVIKA</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51200-2023</t>
        </is>
      </c>
      <c r="B767" s="1" t="n">
        <v>45219</v>
      </c>
      <c r="C767" s="1" t="n">
        <v>45849</v>
      </c>
      <c r="D767" t="inlineStr">
        <is>
          <t>DALARNAS LÄN</t>
        </is>
      </c>
      <c r="E767" t="inlineStr">
        <is>
          <t>LUDVIKA</t>
        </is>
      </c>
      <c r="F767" t="inlineStr">
        <is>
          <t>Bergvik skog väst AB</t>
        </is>
      </c>
      <c r="G767" t="n">
        <v>1.6</v>
      </c>
      <c r="H767" t="n">
        <v>0</v>
      </c>
      <c r="I767" t="n">
        <v>0</v>
      </c>
      <c r="J767" t="n">
        <v>0</v>
      </c>
      <c r="K767" t="n">
        <v>0</v>
      </c>
      <c r="L767" t="n">
        <v>0</v>
      </c>
      <c r="M767" t="n">
        <v>0</v>
      </c>
      <c r="N767" t="n">
        <v>0</v>
      </c>
      <c r="O767" t="n">
        <v>0</v>
      </c>
      <c r="P767" t="n">
        <v>0</v>
      </c>
      <c r="Q767" t="n">
        <v>0</v>
      </c>
      <c r="R767" s="2" t="inlineStr"/>
    </row>
    <row r="768" ht="15" customHeight="1">
      <c r="A768" t="inlineStr">
        <is>
          <t>A 52038-2023</t>
        </is>
      </c>
      <c r="B768" s="1" t="n">
        <v>45223</v>
      </c>
      <c r="C768" s="1" t="n">
        <v>45849</v>
      </c>
      <c r="D768" t="inlineStr">
        <is>
          <t>DALARNAS LÄN</t>
        </is>
      </c>
      <c r="E768" t="inlineStr">
        <is>
          <t>LUDVIKA</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52230-2023</t>
        </is>
      </c>
      <c r="B769" s="1" t="n">
        <v>45224</v>
      </c>
      <c r="C769" s="1" t="n">
        <v>45849</v>
      </c>
      <c r="D769" t="inlineStr">
        <is>
          <t>DALARNAS LÄN</t>
        </is>
      </c>
      <c r="E769" t="inlineStr">
        <is>
          <t>LUDVIKA</t>
        </is>
      </c>
      <c r="G769" t="n">
        <v>3.5</v>
      </c>
      <c r="H769" t="n">
        <v>0</v>
      </c>
      <c r="I769" t="n">
        <v>0</v>
      </c>
      <c r="J769" t="n">
        <v>0</v>
      </c>
      <c r="K769" t="n">
        <v>0</v>
      </c>
      <c r="L769" t="n">
        <v>0</v>
      </c>
      <c r="M769" t="n">
        <v>0</v>
      </c>
      <c r="N769" t="n">
        <v>0</v>
      </c>
      <c r="O769" t="n">
        <v>0</v>
      </c>
      <c r="P769" t="n">
        <v>0</v>
      </c>
      <c r="Q769" t="n">
        <v>0</v>
      </c>
      <c r="R769" s="2" t="inlineStr"/>
    </row>
    <row r="770" ht="15" customHeight="1">
      <c r="A770" t="inlineStr">
        <is>
          <t>A 52440-2023</t>
        </is>
      </c>
      <c r="B770" s="1" t="n">
        <v>45225</v>
      </c>
      <c r="C770" s="1" t="n">
        <v>45849</v>
      </c>
      <c r="D770" t="inlineStr">
        <is>
          <t>DALARNAS LÄN</t>
        </is>
      </c>
      <c r="E770" t="inlineStr">
        <is>
          <t>LUDVIKA</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52466-2023</t>
        </is>
      </c>
      <c r="B771" s="1" t="n">
        <v>45225</v>
      </c>
      <c r="C771" s="1" t="n">
        <v>45849</v>
      </c>
      <c r="D771" t="inlineStr">
        <is>
          <t>DALARNAS LÄN</t>
        </is>
      </c>
      <c r="E771" t="inlineStr">
        <is>
          <t>LUDVIKA</t>
        </is>
      </c>
      <c r="F771" t="inlineStr">
        <is>
          <t>Bergvik skog väst AB</t>
        </is>
      </c>
      <c r="G771" t="n">
        <v>3.6</v>
      </c>
      <c r="H771" t="n">
        <v>0</v>
      </c>
      <c r="I771" t="n">
        <v>0</v>
      </c>
      <c r="J771" t="n">
        <v>0</v>
      </c>
      <c r="K771" t="n">
        <v>0</v>
      </c>
      <c r="L771" t="n">
        <v>0</v>
      </c>
      <c r="M771" t="n">
        <v>0</v>
      </c>
      <c r="N771" t="n">
        <v>0</v>
      </c>
      <c r="O771" t="n">
        <v>0</v>
      </c>
      <c r="P771" t="n">
        <v>0</v>
      </c>
      <c r="Q771" t="n">
        <v>0</v>
      </c>
      <c r="R771" s="2" t="inlineStr"/>
    </row>
    <row r="772" ht="15" customHeight="1">
      <c r="A772" t="inlineStr">
        <is>
          <t>A 52461-2023</t>
        </is>
      </c>
      <c r="B772" s="1" t="n">
        <v>45225</v>
      </c>
      <c r="C772" s="1" t="n">
        <v>45849</v>
      </c>
      <c r="D772" t="inlineStr">
        <is>
          <t>DALARNAS LÄN</t>
        </is>
      </c>
      <c r="E772" t="inlineStr">
        <is>
          <t>LUDVIKA</t>
        </is>
      </c>
      <c r="F772" t="inlineStr">
        <is>
          <t>Bergvik skog väst AB</t>
        </is>
      </c>
      <c r="G772" t="n">
        <v>1.6</v>
      </c>
      <c r="H772" t="n">
        <v>0</v>
      </c>
      <c r="I772" t="n">
        <v>0</v>
      </c>
      <c r="J772" t="n">
        <v>0</v>
      </c>
      <c r="K772" t="n">
        <v>0</v>
      </c>
      <c r="L772" t="n">
        <v>0</v>
      </c>
      <c r="M772" t="n">
        <v>0</v>
      </c>
      <c r="N772" t="n">
        <v>0</v>
      </c>
      <c r="O772" t="n">
        <v>0</v>
      </c>
      <c r="P772" t="n">
        <v>0</v>
      </c>
      <c r="Q772" t="n">
        <v>0</v>
      </c>
      <c r="R772" s="2" t="inlineStr"/>
    </row>
    <row r="773" ht="15" customHeight="1">
      <c r="A773" t="inlineStr">
        <is>
          <t>A 52720-2023</t>
        </is>
      </c>
      <c r="B773" s="1" t="n">
        <v>45225</v>
      </c>
      <c r="C773" s="1" t="n">
        <v>45849</v>
      </c>
      <c r="D773" t="inlineStr">
        <is>
          <t>DALARNAS LÄN</t>
        </is>
      </c>
      <c r="E773" t="inlineStr">
        <is>
          <t>LUDVIKA</t>
        </is>
      </c>
      <c r="G773" t="n">
        <v>6.2</v>
      </c>
      <c r="H773" t="n">
        <v>0</v>
      </c>
      <c r="I773" t="n">
        <v>0</v>
      </c>
      <c r="J773" t="n">
        <v>0</v>
      </c>
      <c r="K773" t="n">
        <v>0</v>
      </c>
      <c r="L773" t="n">
        <v>0</v>
      </c>
      <c r="M773" t="n">
        <v>0</v>
      </c>
      <c r="N773" t="n">
        <v>0</v>
      </c>
      <c r="O773" t="n">
        <v>0</v>
      </c>
      <c r="P773" t="n">
        <v>0</v>
      </c>
      <c r="Q773" t="n">
        <v>0</v>
      </c>
      <c r="R773" s="2" t="inlineStr"/>
    </row>
    <row r="774" ht="15" customHeight="1">
      <c r="A774" t="inlineStr">
        <is>
          <t>A 52868-2023</t>
        </is>
      </c>
      <c r="B774" s="1" t="n">
        <v>45226</v>
      </c>
      <c r="C774" s="1" t="n">
        <v>45849</v>
      </c>
      <c r="D774" t="inlineStr">
        <is>
          <t>DALARNAS LÄN</t>
        </is>
      </c>
      <c r="E774" t="inlineStr">
        <is>
          <t>LUDVIKA</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52894-2023</t>
        </is>
      </c>
      <c r="B775" s="1" t="n">
        <v>45226</v>
      </c>
      <c r="C775" s="1" t="n">
        <v>45849</v>
      </c>
      <c r="D775" t="inlineStr">
        <is>
          <t>DALARNAS LÄN</t>
        </is>
      </c>
      <c r="E775" t="inlineStr">
        <is>
          <t>LUDVIKA</t>
        </is>
      </c>
      <c r="F775" t="inlineStr">
        <is>
          <t>Bergvik skog väst AB</t>
        </is>
      </c>
      <c r="G775" t="n">
        <v>6.9</v>
      </c>
      <c r="H775" t="n">
        <v>0</v>
      </c>
      <c r="I775" t="n">
        <v>0</v>
      </c>
      <c r="J775" t="n">
        <v>0</v>
      </c>
      <c r="K775" t="n">
        <v>0</v>
      </c>
      <c r="L775" t="n">
        <v>0</v>
      </c>
      <c r="M775" t="n">
        <v>0</v>
      </c>
      <c r="N775" t="n">
        <v>0</v>
      </c>
      <c r="O775" t="n">
        <v>0</v>
      </c>
      <c r="P775" t="n">
        <v>0</v>
      </c>
      <c r="Q775" t="n">
        <v>0</v>
      </c>
      <c r="R775" s="2" t="inlineStr"/>
    </row>
    <row r="776" ht="15" customHeight="1">
      <c r="A776" t="inlineStr">
        <is>
          <t>A 52932-2023</t>
        </is>
      </c>
      <c r="B776" s="1" t="n">
        <v>45226</v>
      </c>
      <c r="C776" s="1" t="n">
        <v>45849</v>
      </c>
      <c r="D776" t="inlineStr">
        <is>
          <t>DALARNAS LÄN</t>
        </is>
      </c>
      <c r="E776" t="inlineStr">
        <is>
          <t>LUDVIKA</t>
        </is>
      </c>
      <c r="F776" t="inlineStr">
        <is>
          <t>Bergvik skog väst AB</t>
        </is>
      </c>
      <c r="G776" t="n">
        <v>4.5</v>
      </c>
      <c r="H776" t="n">
        <v>0</v>
      </c>
      <c r="I776" t="n">
        <v>0</v>
      </c>
      <c r="J776" t="n">
        <v>0</v>
      </c>
      <c r="K776" t="n">
        <v>0</v>
      </c>
      <c r="L776" t="n">
        <v>0</v>
      </c>
      <c r="M776" t="n">
        <v>0</v>
      </c>
      <c r="N776" t="n">
        <v>0</v>
      </c>
      <c r="O776" t="n">
        <v>0</v>
      </c>
      <c r="P776" t="n">
        <v>0</v>
      </c>
      <c r="Q776" t="n">
        <v>0</v>
      </c>
      <c r="R776" s="2" t="inlineStr"/>
    </row>
    <row r="777" ht="15" customHeight="1">
      <c r="A777" t="inlineStr">
        <is>
          <t>A 53632-2023</t>
        </is>
      </c>
      <c r="B777" s="1" t="n">
        <v>45230</v>
      </c>
      <c r="C777" s="1" t="n">
        <v>45849</v>
      </c>
      <c r="D777" t="inlineStr">
        <is>
          <t>DALARNAS LÄN</t>
        </is>
      </c>
      <c r="E777" t="inlineStr">
        <is>
          <t>LUDVIKA</t>
        </is>
      </c>
      <c r="F777" t="inlineStr">
        <is>
          <t>Bergvik skog väst AB</t>
        </is>
      </c>
      <c r="G777" t="n">
        <v>0.9</v>
      </c>
      <c r="H777" t="n">
        <v>0</v>
      </c>
      <c r="I777" t="n">
        <v>0</v>
      </c>
      <c r="J777" t="n">
        <v>0</v>
      </c>
      <c r="K777" t="n">
        <v>0</v>
      </c>
      <c r="L777" t="n">
        <v>0</v>
      </c>
      <c r="M777" t="n">
        <v>0</v>
      </c>
      <c r="N777" t="n">
        <v>0</v>
      </c>
      <c r="O777" t="n">
        <v>0</v>
      </c>
      <c r="P777" t="n">
        <v>0</v>
      </c>
      <c r="Q777" t="n">
        <v>0</v>
      </c>
      <c r="R777" s="2" t="inlineStr"/>
    </row>
    <row r="778" ht="15" customHeight="1">
      <c r="A778" t="inlineStr">
        <is>
          <t>A 53622-2023</t>
        </is>
      </c>
      <c r="B778" s="1" t="n">
        <v>45230</v>
      </c>
      <c r="C778" s="1" t="n">
        <v>45849</v>
      </c>
      <c r="D778" t="inlineStr">
        <is>
          <t>DALARNAS LÄN</t>
        </is>
      </c>
      <c r="E778" t="inlineStr">
        <is>
          <t>LUDVIKA</t>
        </is>
      </c>
      <c r="G778" t="n">
        <v>2.3</v>
      </c>
      <c r="H778" t="n">
        <v>0</v>
      </c>
      <c r="I778" t="n">
        <v>0</v>
      </c>
      <c r="J778" t="n">
        <v>0</v>
      </c>
      <c r="K778" t="n">
        <v>0</v>
      </c>
      <c r="L778" t="n">
        <v>0</v>
      </c>
      <c r="M778" t="n">
        <v>0</v>
      </c>
      <c r="N778" t="n">
        <v>0</v>
      </c>
      <c r="O778" t="n">
        <v>0</v>
      </c>
      <c r="P778" t="n">
        <v>0</v>
      </c>
      <c r="Q778" t="n">
        <v>0</v>
      </c>
      <c r="R778" s="2" t="inlineStr"/>
    </row>
    <row r="779" ht="15" customHeight="1">
      <c r="A779" t="inlineStr">
        <is>
          <t>A 53602-2023</t>
        </is>
      </c>
      <c r="B779" s="1" t="n">
        <v>45230</v>
      </c>
      <c r="C779" s="1" t="n">
        <v>45849</v>
      </c>
      <c r="D779" t="inlineStr">
        <is>
          <t>DALARNAS LÄN</t>
        </is>
      </c>
      <c r="E779" t="inlineStr">
        <is>
          <t>LUDVIKA</t>
        </is>
      </c>
      <c r="F779" t="inlineStr">
        <is>
          <t>Bergvik skog väst AB</t>
        </is>
      </c>
      <c r="G779" t="n">
        <v>4.9</v>
      </c>
      <c r="H779" t="n">
        <v>0</v>
      </c>
      <c r="I779" t="n">
        <v>0</v>
      </c>
      <c r="J779" t="n">
        <v>0</v>
      </c>
      <c r="K779" t="n">
        <v>0</v>
      </c>
      <c r="L779" t="n">
        <v>0</v>
      </c>
      <c r="M779" t="n">
        <v>0</v>
      </c>
      <c r="N779" t="n">
        <v>0</v>
      </c>
      <c r="O779" t="n">
        <v>0</v>
      </c>
      <c r="P779" t="n">
        <v>0</v>
      </c>
      <c r="Q779" t="n">
        <v>0</v>
      </c>
      <c r="R779" s="2" t="inlineStr"/>
    </row>
    <row r="780" ht="15" customHeight="1">
      <c r="A780" t="inlineStr">
        <is>
          <t>A 53633-2023</t>
        </is>
      </c>
      <c r="B780" s="1" t="n">
        <v>45230</v>
      </c>
      <c r="C780" s="1" t="n">
        <v>45849</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53570-2023</t>
        </is>
      </c>
      <c r="B781" s="1" t="n">
        <v>45230</v>
      </c>
      <c r="C781" s="1" t="n">
        <v>45849</v>
      </c>
      <c r="D781" t="inlineStr">
        <is>
          <t>DALARNAS LÄN</t>
        </is>
      </c>
      <c r="E781" t="inlineStr">
        <is>
          <t>LUDVIKA</t>
        </is>
      </c>
      <c r="F781" t="inlineStr">
        <is>
          <t>Bergvik skog väst AB</t>
        </is>
      </c>
      <c r="G781" t="n">
        <v>1.9</v>
      </c>
      <c r="H781" t="n">
        <v>0</v>
      </c>
      <c r="I781" t="n">
        <v>0</v>
      </c>
      <c r="J781" t="n">
        <v>0</v>
      </c>
      <c r="K781" t="n">
        <v>0</v>
      </c>
      <c r="L781" t="n">
        <v>0</v>
      </c>
      <c r="M781" t="n">
        <v>0</v>
      </c>
      <c r="N781" t="n">
        <v>0</v>
      </c>
      <c r="O781" t="n">
        <v>0</v>
      </c>
      <c r="P781" t="n">
        <v>0</v>
      </c>
      <c r="Q781" t="n">
        <v>0</v>
      </c>
      <c r="R781" s="2" t="inlineStr"/>
    </row>
    <row r="782" ht="15" customHeight="1">
      <c r="A782" t="inlineStr">
        <is>
          <t>A 54744-2023</t>
        </is>
      </c>
      <c r="B782" s="1" t="n">
        <v>45236</v>
      </c>
      <c r="C782" s="1" t="n">
        <v>45849</v>
      </c>
      <c r="D782" t="inlineStr">
        <is>
          <t>DALARNAS LÄN</t>
        </is>
      </c>
      <c r="E782" t="inlineStr">
        <is>
          <t>LUDVIKA</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54886-2023</t>
        </is>
      </c>
      <c r="B783" s="1" t="n">
        <v>45236</v>
      </c>
      <c r="C783" s="1" t="n">
        <v>45849</v>
      </c>
      <c r="D783" t="inlineStr">
        <is>
          <t>DALARNAS LÄN</t>
        </is>
      </c>
      <c r="E783" t="inlineStr">
        <is>
          <t>LUDVIKA</t>
        </is>
      </c>
      <c r="F783" t="inlineStr">
        <is>
          <t>Bergvik skog väst AB</t>
        </is>
      </c>
      <c r="G783" t="n">
        <v>4.6</v>
      </c>
      <c r="H783" t="n">
        <v>0</v>
      </c>
      <c r="I783" t="n">
        <v>0</v>
      </c>
      <c r="J783" t="n">
        <v>0</v>
      </c>
      <c r="K783" t="n">
        <v>0</v>
      </c>
      <c r="L783" t="n">
        <v>0</v>
      </c>
      <c r="M783" t="n">
        <v>0</v>
      </c>
      <c r="N783" t="n">
        <v>0</v>
      </c>
      <c r="O783" t="n">
        <v>0</v>
      </c>
      <c r="P783" t="n">
        <v>0</v>
      </c>
      <c r="Q783" t="n">
        <v>0</v>
      </c>
      <c r="R783" s="2" t="inlineStr"/>
    </row>
    <row r="784" ht="15" customHeight="1">
      <c r="A784" t="inlineStr">
        <is>
          <t>A 55213-2023</t>
        </is>
      </c>
      <c r="B784" s="1" t="n">
        <v>45237</v>
      </c>
      <c r="C784" s="1" t="n">
        <v>45849</v>
      </c>
      <c r="D784" t="inlineStr">
        <is>
          <t>DALARNAS LÄN</t>
        </is>
      </c>
      <c r="E784" t="inlineStr">
        <is>
          <t>LUDVIKA</t>
        </is>
      </c>
      <c r="G784" t="n">
        <v>5.1</v>
      </c>
      <c r="H784" t="n">
        <v>0</v>
      </c>
      <c r="I784" t="n">
        <v>0</v>
      </c>
      <c r="J784" t="n">
        <v>0</v>
      </c>
      <c r="K784" t="n">
        <v>0</v>
      </c>
      <c r="L784" t="n">
        <v>0</v>
      </c>
      <c r="M784" t="n">
        <v>0</v>
      </c>
      <c r="N784" t="n">
        <v>0</v>
      </c>
      <c r="O784" t="n">
        <v>0</v>
      </c>
      <c r="P784" t="n">
        <v>0</v>
      </c>
      <c r="Q784" t="n">
        <v>0</v>
      </c>
      <c r="R784" s="2" t="inlineStr"/>
    </row>
    <row r="785" ht="15" customHeight="1">
      <c r="A785" t="inlineStr">
        <is>
          <t>A 55760-2023</t>
        </is>
      </c>
      <c r="B785" s="1" t="n">
        <v>45239</v>
      </c>
      <c r="C785" s="1" t="n">
        <v>45849</v>
      </c>
      <c r="D785" t="inlineStr">
        <is>
          <t>DALARNAS LÄN</t>
        </is>
      </c>
      <c r="E785" t="inlineStr">
        <is>
          <t>LUDVIKA</t>
        </is>
      </c>
      <c r="F785" t="inlineStr">
        <is>
          <t>Bergvik skog väst AB</t>
        </is>
      </c>
      <c r="G785" t="n">
        <v>9.1</v>
      </c>
      <c r="H785" t="n">
        <v>0</v>
      </c>
      <c r="I785" t="n">
        <v>0</v>
      </c>
      <c r="J785" t="n">
        <v>0</v>
      </c>
      <c r="K785" t="n">
        <v>0</v>
      </c>
      <c r="L785" t="n">
        <v>0</v>
      </c>
      <c r="M785" t="n">
        <v>0</v>
      </c>
      <c r="N785" t="n">
        <v>0</v>
      </c>
      <c r="O785" t="n">
        <v>0</v>
      </c>
      <c r="P785" t="n">
        <v>0</v>
      </c>
      <c r="Q785" t="n">
        <v>0</v>
      </c>
      <c r="R785" s="2" t="inlineStr"/>
    </row>
    <row r="786" ht="15" customHeight="1">
      <c r="A786" t="inlineStr">
        <is>
          <t>A 56604-2023</t>
        </is>
      </c>
      <c r="B786" s="1" t="n">
        <v>45243</v>
      </c>
      <c r="C786" s="1" t="n">
        <v>45849</v>
      </c>
      <c r="D786" t="inlineStr">
        <is>
          <t>DALARNAS LÄN</t>
        </is>
      </c>
      <c r="E786" t="inlineStr">
        <is>
          <t>LUDVIKA</t>
        </is>
      </c>
      <c r="G786" t="n">
        <v>2.5</v>
      </c>
      <c r="H786" t="n">
        <v>0</v>
      </c>
      <c r="I786" t="n">
        <v>0</v>
      </c>
      <c r="J786" t="n">
        <v>0</v>
      </c>
      <c r="K786" t="n">
        <v>0</v>
      </c>
      <c r="L786" t="n">
        <v>0</v>
      </c>
      <c r="M786" t="n">
        <v>0</v>
      </c>
      <c r="N786" t="n">
        <v>0</v>
      </c>
      <c r="O786" t="n">
        <v>0</v>
      </c>
      <c r="P786" t="n">
        <v>0</v>
      </c>
      <c r="Q786" t="n">
        <v>0</v>
      </c>
      <c r="R786" s="2" t="inlineStr"/>
    </row>
    <row r="787" ht="15" customHeight="1">
      <c r="A787" t="inlineStr">
        <is>
          <t>A 56672-2023</t>
        </is>
      </c>
      <c r="B787" s="1" t="n">
        <v>45243</v>
      </c>
      <c r="C787" s="1" t="n">
        <v>45849</v>
      </c>
      <c r="D787" t="inlineStr">
        <is>
          <t>DALARNAS LÄN</t>
        </is>
      </c>
      <c r="E787" t="inlineStr">
        <is>
          <t>LUDVIKA</t>
        </is>
      </c>
      <c r="G787" t="n">
        <v>2.9</v>
      </c>
      <c r="H787" t="n">
        <v>0</v>
      </c>
      <c r="I787" t="n">
        <v>0</v>
      </c>
      <c r="J787" t="n">
        <v>0</v>
      </c>
      <c r="K787" t="n">
        <v>0</v>
      </c>
      <c r="L787" t="n">
        <v>0</v>
      </c>
      <c r="M787" t="n">
        <v>0</v>
      </c>
      <c r="N787" t="n">
        <v>0</v>
      </c>
      <c r="O787" t="n">
        <v>0</v>
      </c>
      <c r="P787" t="n">
        <v>0</v>
      </c>
      <c r="Q787" t="n">
        <v>0</v>
      </c>
      <c r="R787" s="2" t="inlineStr"/>
    </row>
    <row r="788" ht="15" customHeight="1">
      <c r="A788" t="inlineStr">
        <is>
          <t>A 56621-2023</t>
        </is>
      </c>
      <c r="B788" s="1" t="n">
        <v>45243</v>
      </c>
      <c r="C788" s="1" t="n">
        <v>45849</v>
      </c>
      <c r="D788" t="inlineStr">
        <is>
          <t>DALARNAS LÄN</t>
        </is>
      </c>
      <c r="E788" t="inlineStr">
        <is>
          <t>LUDVIKA</t>
        </is>
      </c>
      <c r="G788" t="n">
        <v>0.5</v>
      </c>
      <c r="H788" t="n">
        <v>0</v>
      </c>
      <c r="I788" t="n">
        <v>0</v>
      </c>
      <c r="J788" t="n">
        <v>0</v>
      </c>
      <c r="K788" t="n">
        <v>0</v>
      </c>
      <c r="L788" t="n">
        <v>0</v>
      </c>
      <c r="M788" t="n">
        <v>0</v>
      </c>
      <c r="N788" t="n">
        <v>0</v>
      </c>
      <c r="O788" t="n">
        <v>0</v>
      </c>
      <c r="P788" t="n">
        <v>0</v>
      </c>
      <c r="Q788" t="n">
        <v>0</v>
      </c>
      <c r="R788" s="2" t="inlineStr"/>
    </row>
    <row r="789" ht="15" customHeight="1">
      <c r="A789" t="inlineStr">
        <is>
          <t>A 56818-2023</t>
        </is>
      </c>
      <c r="B789" s="1" t="n">
        <v>45244</v>
      </c>
      <c r="C789" s="1" t="n">
        <v>45849</v>
      </c>
      <c r="D789" t="inlineStr">
        <is>
          <t>DALARNAS LÄN</t>
        </is>
      </c>
      <c r="E789" t="inlineStr">
        <is>
          <t>LUDVIKA</t>
        </is>
      </c>
      <c r="G789" t="n">
        <v>1.4</v>
      </c>
      <c r="H789" t="n">
        <v>0</v>
      </c>
      <c r="I789" t="n">
        <v>0</v>
      </c>
      <c r="J789" t="n">
        <v>0</v>
      </c>
      <c r="K789" t="n">
        <v>0</v>
      </c>
      <c r="L789" t="n">
        <v>0</v>
      </c>
      <c r="M789" t="n">
        <v>0</v>
      </c>
      <c r="N789" t="n">
        <v>0</v>
      </c>
      <c r="O789" t="n">
        <v>0</v>
      </c>
      <c r="P789" t="n">
        <v>0</v>
      </c>
      <c r="Q789" t="n">
        <v>0</v>
      </c>
      <c r="R789" s="2" t="inlineStr"/>
    </row>
    <row r="790" ht="15" customHeight="1">
      <c r="A790" t="inlineStr">
        <is>
          <t>A 57557-2023</t>
        </is>
      </c>
      <c r="B790" s="1" t="n">
        <v>45246</v>
      </c>
      <c r="C790" s="1" t="n">
        <v>45849</v>
      </c>
      <c r="D790" t="inlineStr">
        <is>
          <t>DALARNAS LÄN</t>
        </is>
      </c>
      <c r="E790" t="inlineStr">
        <is>
          <t>LUDVIKA</t>
        </is>
      </c>
      <c r="G790" t="n">
        <v>12.7</v>
      </c>
      <c r="H790" t="n">
        <v>0</v>
      </c>
      <c r="I790" t="n">
        <v>0</v>
      </c>
      <c r="J790" t="n">
        <v>0</v>
      </c>
      <c r="K790" t="n">
        <v>0</v>
      </c>
      <c r="L790" t="n">
        <v>0</v>
      </c>
      <c r="M790" t="n">
        <v>0</v>
      </c>
      <c r="N790" t="n">
        <v>0</v>
      </c>
      <c r="O790" t="n">
        <v>0</v>
      </c>
      <c r="P790" t="n">
        <v>0</v>
      </c>
      <c r="Q790" t="n">
        <v>0</v>
      </c>
      <c r="R790" s="2" t="inlineStr"/>
    </row>
    <row r="791" ht="15" customHeight="1">
      <c r="A791" t="inlineStr">
        <is>
          <t>A 57424-2023</t>
        </is>
      </c>
      <c r="B791" s="1" t="n">
        <v>45246</v>
      </c>
      <c r="C791" s="1" t="n">
        <v>45849</v>
      </c>
      <c r="D791" t="inlineStr">
        <is>
          <t>DALARNAS LÄN</t>
        </is>
      </c>
      <c r="E791" t="inlineStr">
        <is>
          <t>LUDVIKA</t>
        </is>
      </c>
      <c r="G791" t="n">
        <v>4.5</v>
      </c>
      <c r="H791" t="n">
        <v>0</v>
      </c>
      <c r="I791" t="n">
        <v>0</v>
      </c>
      <c r="J791" t="n">
        <v>0</v>
      </c>
      <c r="K791" t="n">
        <v>0</v>
      </c>
      <c r="L791" t="n">
        <v>0</v>
      </c>
      <c r="M791" t="n">
        <v>0</v>
      </c>
      <c r="N791" t="n">
        <v>0</v>
      </c>
      <c r="O791" t="n">
        <v>0</v>
      </c>
      <c r="P791" t="n">
        <v>0</v>
      </c>
      <c r="Q791" t="n">
        <v>0</v>
      </c>
      <c r="R791" s="2" t="inlineStr"/>
    </row>
    <row r="792" ht="15" customHeight="1">
      <c r="A792" t="inlineStr">
        <is>
          <t>A 57803-2023</t>
        </is>
      </c>
      <c r="B792" s="1" t="n">
        <v>45246</v>
      </c>
      <c r="C792" s="1" t="n">
        <v>45849</v>
      </c>
      <c r="D792" t="inlineStr">
        <is>
          <t>DALARNAS LÄN</t>
        </is>
      </c>
      <c r="E792" t="inlineStr">
        <is>
          <t>LUDVIKA</t>
        </is>
      </c>
      <c r="G792" t="n">
        <v>3.3</v>
      </c>
      <c r="H792" t="n">
        <v>0</v>
      </c>
      <c r="I792" t="n">
        <v>0</v>
      </c>
      <c r="J792" t="n">
        <v>0</v>
      </c>
      <c r="K792" t="n">
        <v>0</v>
      </c>
      <c r="L792" t="n">
        <v>0</v>
      </c>
      <c r="M792" t="n">
        <v>0</v>
      </c>
      <c r="N792" t="n">
        <v>0</v>
      </c>
      <c r="O792" t="n">
        <v>0</v>
      </c>
      <c r="P792" t="n">
        <v>0</v>
      </c>
      <c r="Q792" t="n">
        <v>0</v>
      </c>
      <c r="R792" s="2" t="inlineStr"/>
    </row>
    <row r="793" ht="15" customHeight="1">
      <c r="A793" t="inlineStr">
        <is>
          <t>A 57858-2023</t>
        </is>
      </c>
      <c r="B793" s="1" t="n">
        <v>45247</v>
      </c>
      <c r="C793" s="1" t="n">
        <v>45849</v>
      </c>
      <c r="D793" t="inlineStr">
        <is>
          <t>DALARNAS LÄN</t>
        </is>
      </c>
      <c r="E793" t="inlineStr">
        <is>
          <t>LUDVIKA</t>
        </is>
      </c>
      <c r="F793" t="inlineStr">
        <is>
          <t>Bergvik skog väst AB</t>
        </is>
      </c>
      <c r="G793" t="n">
        <v>14.2</v>
      </c>
      <c r="H793" t="n">
        <v>0</v>
      </c>
      <c r="I793" t="n">
        <v>0</v>
      </c>
      <c r="J793" t="n">
        <v>0</v>
      </c>
      <c r="K793" t="n">
        <v>0</v>
      </c>
      <c r="L793" t="n">
        <v>0</v>
      </c>
      <c r="M793" t="n">
        <v>0</v>
      </c>
      <c r="N793" t="n">
        <v>0</v>
      </c>
      <c r="O793" t="n">
        <v>0</v>
      </c>
      <c r="P793" t="n">
        <v>0</v>
      </c>
      <c r="Q793" t="n">
        <v>0</v>
      </c>
      <c r="R793" s="2" t="inlineStr"/>
    </row>
    <row r="794" ht="15" customHeight="1">
      <c r="A794" t="inlineStr">
        <is>
          <t>A 57922-2023</t>
        </is>
      </c>
      <c r="B794" s="1" t="n">
        <v>45247</v>
      </c>
      <c r="C794" s="1" t="n">
        <v>45849</v>
      </c>
      <c r="D794" t="inlineStr">
        <is>
          <t>DALARNAS LÄN</t>
        </is>
      </c>
      <c r="E794" t="inlineStr">
        <is>
          <t>LUDVIKA</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57982-2023</t>
        </is>
      </c>
      <c r="B795" s="1" t="n">
        <v>45247</v>
      </c>
      <c r="C795" s="1" t="n">
        <v>45849</v>
      </c>
      <c r="D795" t="inlineStr">
        <is>
          <t>DALARNAS LÄN</t>
        </is>
      </c>
      <c r="E795" t="inlineStr">
        <is>
          <t>LUDVIKA</t>
        </is>
      </c>
      <c r="F795" t="inlineStr">
        <is>
          <t>Bergvik skog väst AB</t>
        </is>
      </c>
      <c r="G795" t="n">
        <v>1.8</v>
      </c>
      <c r="H795" t="n">
        <v>0</v>
      </c>
      <c r="I795" t="n">
        <v>0</v>
      </c>
      <c r="J795" t="n">
        <v>0</v>
      </c>
      <c r="K795" t="n">
        <v>0</v>
      </c>
      <c r="L795" t="n">
        <v>0</v>
      </c>
      <c r="M795" t="n">
        <v>0</v>
      </c>
      <c r="N795" t="n">
        <v>0</v>
      </c>
      <c r="O795" t="n">
        <v>0</v>
      </c>
      <c r="P795" t="n">
        <v>0</v>
      </c>
      <c r="Q795" t="n">
        <v>0</v>
      </c>
      <c r="R795" s="2" t="inlineStr"/>
    </row>
    <row r="796" ht="15" customHeight="1">
      <c r="A796" t="inlineStr">
        <is>
          <t>A 58112-2023</t>
        </is>
      </c>
      <c r="B796" s="1" t="n">
        <v>45249</v>
      </c>
      <c r="C796" s="1" t="n">
        <v>45849</v>
      </c>
      <c r="D796" t="inlineStr">
        <is>
          <t>DALARNAS LÄN</t>
        </is>
      </c>
      <c r="E796" t="inlineStr">
        <is>
          <t>LUDVIKA</t>
        </is>
      </c>
      <c r="G796" t="n">
        <v>4.7</v>
      </c>
      <c r="H796" t="n">
        <v>0</v>
      </c>
      <c r="I796" t="n">
        <v>0</v>
      </c>
      <c r="J796" t="n">
        <v>0</v>
      </c>
      <c r="K796" t="n">
        <v>0</v>
      </c>
      <c r="L796" t="n">
        <v>0</v>
      </c>
      <c r="M796" t="n">
        <v>0</v>
      </c>
      <c r="N796" t="n">
        <v>0</v>
      </c>
      <c r="O796" t="n">
        <v>0</v>
      </c>
      <c r="P796" t="n">
        <v>0</v>
      </c>
      <c r="Q796" t="n">
        <v>0</v>
      </c>
      <c r="R796" s="2" t="inlineStr"/>
    </row>
    <row r="797" ht="15" customHeight="1">
      <c r="A797" t="inlineStr">
        <is>
          <t>A 59201-2023</t>
        </is>
      </c>
      <c r="B797" s="1" t="n">
        <v>45253</v>
      </c>
      <c r="C797" s="1" t="n">
        <v>45849</v>
      </c>
      <c r="D797" t="inlineStr">
        <is>
          <t>DALARNAS LÄN</t>
        </is>
      </c>
      <c r="E797" t="inlineStr">
        <is>
          <t>LUDVIKA</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59206-2023</t>
        </is>
      </c>
      <c r="B798" s="1" t="n">
        <v>45253</v>
      </c>
      <c r="C798" s="1" t="n">
        <v>45849</v>
      </c>
      <c r="D798" t="inlineStr">
        <is>
          <t>DALARNAS LÄN</t>
        </is>
      </c>
      <c r="E798" t="inlineStr">
        <is>
          <t>LUDVIKA</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59219-2023</t>
        </is>
      </c>
      <c r="B799" s="1" t="n">
        <v>45253</v>
      </c>
      <c r="C799" s="1" t="n">
        <v>45849</v>
      </c>
      <c r="D799" t="inlineStr">
        <is>
          <t>DALARNAS LÄN</t>
        </is>
      </c>
      <c r="E799" t="inlineStr">
        <is>
          <t>LUDVIKA</t>
        </is>
      </c>
      <c r="F799" t="inlineStr">
        <is>
          <t>Bergvik skog väst AB</t>
        </is>
      </c>
      <c r="G799" t="n">
        <v>3.2</v>
      </c>
      <c r="H799" t="n">
        <v>0</v>
      </c>
      <c r="I799" t="n">
        <v>0</v>
      </c>
      <c r="J799" t="n">
        <v>0</v>
      </c>
      <c r="K799" t="n">
        <v>0</v>
      </c>
      <c r="L799" t="n">
        <v>0</v>
      </c>
      <c r="M799" t="n">
        <v>0</v>
      </c>
      <c r="N799" t="n">
        <v>0</v>
      </c>
      <c r="O799" t="n">
        <v>0</v>
      </c>
      <c r="P799" t="n">
        <v>0</v>
      </c>
      <c r="Q799" t="n">
        <v>0</v>
      </c>
      <c r="R799" s="2" t="inlineStr"/>
    </row>
    <row r="800" ht="15" customHeight="1">
      <c r="A800" t="inlineStr">
        <is>
          <t>A 59285-2023</t>
        </is>
      </c>
      <c r="B800" s="1" t="n">
        <v>45253</v>
      </c>
      <c r="C800" s="1" t="n">
        <v>45849</v>
      </c>
      <c r="D800" t="inlineStr">
        <is>
          <t>DALARNAS LÄN</t>
        </is>
      </c>
      <c r="E800" t="inlineStr">
        <is>
          <t>LUDVIKA</t>
        </is>
      </c>
      <c r="F800" t="inlineStr">
        <is>
          <t>Bergvik skog väst AB</t>
        </is>
      </c>
      <c r="G800" t="n">
        <v>2.8</v>
      </c>
      <c r="H800" t="n">
        <v>0</v>
      </c>
      <c r="I800" t="n">
        <v>0</v>
      </c>
      <c r="J800" t="n">
        <v>0</v>
      </c>
      <c r="K800" t="n">
        <v>0</v>
      </c>
      <c r="L800" t="n">
        <v>0</v>
      </c>
      <c r="M800" t="n">
        <v>0</v>
      </c>
      <c r="N800" t="n">
        <v>0</v>
      </c>
      <c r="O800" t="n">
        <v>0</v>
      </c>
      <c r="P800" t="n">
        <v>0</v>
      </c>
      <c r="Q800" t="n">
        <v>0</v>
      </c>
      <c r="R800" s="2" t="inlineStr"/>
    </row>
    <row r="801" ht="15" customHeight="1">
      <c r="A801" t="inlineStr">
        <is>
          <t>A 59351-2023</t>
        </is>
      </c>
      <c r="B801" s="1" t="n">
        <v>45253</v>
      </c>
      <c r="C801" s="1" t="n">
        <v>45849</v>
      </c>
      <c r="D801" t="inlineStr">
        <is>
          <t>DALARNAS LÄN</t>
        </is>
      </c>
      <c r="E801" t="inlineStr">
        <is>
          <t>LUDVIKA</t>
        </is>
      </c>
      <c r="F801" t="inlineStr">
        <is>
          <t>Bergvik skog väst AB</t>
        </is>
      </c>
      <c r="G801" t="n">
        <v>0.9</v>
      </c>
      <c r="H801" t="n">
        <v>0</v>
      </c>
      <c r="I801" t="n">
        <v>0</v>
      </c>
      <c r="J801" t="n">
        <v>0</v>
      </c>
      <c r="K801" t="n">
        <v>0</v>
      </c>
      <c r="L801" t="n">
        <v>0</v>
      </c>
      <c r="M801" t="n">
        <v>0</v>
      </c>
      <c r="N801" t="n">
        <v>0</v>
      </c>
      <c r="O801" t="n">
        <v>0</v>
      </c>
      <c r="P801" t="n">
        <v>0</v>
      </c>
      <c r="Q801" t="n">
        <v>0</v>
      </c>
      <c r="R801" s="2" t="inlineStr"/>
    </row>
    <row r="802" ht="15" customHeight="1">
      <c r="A802" t="inlineStr">
        <is>
          <t>A 59437-2023</t>
        </is>
      </c>
      <c r="B802" s="1" t="n">
        <v>45254</v>
      </c>
      <c r="C802" s="1" t="n">
        <v>45849</v>
      </c>
      <c r="D802" t="inlineStr">
        <is>
          <t>DALARNAS LÄN</t>
        </is>
      </c>
      <c r="E802" t="inlineStr">
        <is>
          <t>LUDVIKA</t>
        </is>
      </c>
      <c r="F802" t="inlineStr">
        <is>
          <t>Bergvik skog väst AB</t>
        </is>
      </c>
      <c r="G802" t="n">
        <v>0.8</v>
      </c>
      <c r="H802" t="n">
        <v>0</v>
      </c>
      <c r="I802" t="n">
        <v>0</v>
      </c>
      <c r="J802" t="n">
        <v>0</v>
      </c>
      <c r="K802" t="n">
        <v>0</v>
      </c>
      <c r="L802" t="n">
        <v>0</v>
      </c>
      <c r="M802" t="n">
        <v>0</v>
      </c>
      <c r="N802" t="n">
        <v>0</v>
      </c>
      <c r="O802" t="n">
        <v>0</v>
      </c>
      <c r="P802" t="n">
        <v>0</v>
      </c>
      <c r="Q802" t="n">
        <v>0</v>
      </c>
      <c r="R802" s="2" t="inlineStr"/>
    </row>
    <row r="803" ht="15" customHeight="1">
      <c r="A803" t="inlineStr">
        <is>
          <t>A 59646-2023</t>
        </is>
      </c>
      <c r="B803" s="1" t="n">
        <v>45254</v>
      </c>
      <c r="C803" s="1" t="n">
        <v>45849</v>
      </c>
      <c r="D803" t="inlineStr">
        <is>
          <t>DALARNAS LÄN</t>
        </is>
      </c>
      <c r="E803" t="inlineStr">
        <is>
          <t>LUDVIKA</t>
        </is>
      </c>
      <c r="G803" t="n">
        <v>7.6</v>
      </c>
      <c r="H803" t="n">
        <v>0</v>
      </c>
      <c r="I803" t="n">
        <v>0</v>
      </c>
      <c r="J803" t="n">
        <v>0</v>
      </c>
      <c r="K803" t="n">
        <v>0</v>
      </c>
      <c r="L803" t="n">
        <v>0</v>
      </c>
      <c r="M803" t="n">
        <v>0</v>
      </c>
      <c r="N803" t="n">
        <v>0</v>
      </c>
      <c r="O803" t="n">
        <v>0</v>
      </c>
      <c r="P803" t="n">
        <v>0</v>
      </c>
      <c r="Q803" t="n">
        <v>0</v>
      </c>
      <c r="R803" s="2" t="inlineStr"/>
    </row>
    <row r="804" ht="15" customHeight="1">
      <c r="A804" t="inlineStr">
        <is>
          <t>A 60180-2023</t>
        </is>
      </c>
      <c r="B804" s="1" t="n">
        <v>45257</v>
      </c>
      <c r="C804" s="1" t="n">
        <v>45849</v>
      </c>
      <c r="D804" t="inlineStr">
        <is>
          <t>DALARNAS LÄN</t>
        </is>
      </c>
      <c r="E804" t="inlineStr">
        <is>
          <t>LUDVIKA</t>
        </is>
      </c>
      <c r="G804" t="n">
        <v>2.4</v>
      </c>
      <c r="H804" t="n">
        <v>0</v>
      </c>
      <c r="I804" t="n">
        <v>0</v>
      </c>
      <c r="J804" t="n">
        <v>0</v>
      </c>
      <c r="K804" t="n">
        <v>0</v>
      </c>
      <c r="L804" t="n">
        <v>0</v>
      </c>
      <c r="M804" t="n">
        <v>0</v>
      </c>
      <c r="N804" t="n">
        <v>0</v>
      </c>
      <c r="O804" t="n">
        <v>0</v>
      </c>
      <c r="P804" t="n">
        <v>0</v>
      </c>
      <c r="Q804" t="n">
        <v>0</v>
      </c>
      <c r="R804" s="2" t="inlineStr"/>
    </row>
    <row r="805" ht="15" customHeight="1">
      <c r="A805" t="inlineStr">
        <is>
          <t>A 60183-2023</t>
        </is>
      </c>
      <c r="B805" s="1" t="n">
        <v>45257</v>
      </c>
      <c r="C805" s="1" t="n">
        <v>45849</v>
      </c>
      <c r="D805" t="inlineStr">
        <is>
          <t>DALARNAS LÄN</t>
        </is>
      </c>
      <c r="E805" t="inlineStr">
        <is>
          <t>LUDVIKA</t>
        </is>
      </c>
      <c r="G805" t="n">
        <v>3.9</v>
      </c>
      <c r="H805" t="n">
        <v>0</v>
      </c>
      <c r="I805" t="n">
        <v>0</v>
      </c>
      <c r="J805" t="n">
        <v>0</v>
      </c>
      <c r="K805" t="n">
        <v>0</v>
      </c>
      <c r="L805" t="n">
        <v>0</v>
      </c>
      <c r="M805" t="n">
        <v>0</v>
      </c>
      <c r="N805" t="n">
        <v>0</v>
      </c>
      <c r="O805" t="n">
        <v>0</v>
      </c>
      <c r="P805" t="n">
        <v>0</v>
      </c>
      <c r="Q805" t="n">
        <v>0</v>
      </c>
      <c r="R805" s="2" t="inlineStr"/>
    </row>
    <row r="806" ht="15" customHeight="1">
      <c r="A806" t="inlineStr">
        <is>
          <t>A 59918-2023</t>
        </is>
      </c>
      <c r="B806" s="1" t="n">
        <v>45257</v>
      </c>
      <c r="C806" s="1" t="n">
        <v>45849</v>
      </c>
      <c r="D806" t="inlineStr">
        <is>
          <t>DALARNAS LÄN</t>
        </is>
      </c>
      <c r="E806" t="inlineStr">
        <is>
          <t>LUDVIKA</t>
        </is>
      </c>
      <c r="F806" t="inlineStr">
        <is>
          <t>Bergvik skog väst AB</t>
        </is>
      </c>
      <c r="G806" t="n">
        <v>5.9</v>
      </c>
      <c r="H806" t="n">
        <v>0</v>
      </c>
      <c r="I806" t="n">
        <v>0</v>
      </c>
      <c r="J806" t="n">
        <v>0</v>
      </c>
      <c r="K806" t="n">
        <v>0</v>
      </c>
      <c r="L806" t="n">
        <v>0</v>
      </c>
      <c r="M806" t="n">
        <v>0</v>
      </c>
      <c r="N806" t="n">
        <v>0</v>
      </c>
      <c r="O806" t="n">
        <v>0</v>
      </c>
      <c r="P806" t="n">
        <v>0</v>
      </c>
      <c r="Q806" t="n">
        <v>0</v>
      </c>
      <c r="R806" s="2" t="inlineStr"/>
    </row>
    <row r="807" ht="15" customHeight="1">
      <c r="A807" t="inlineStr">
        <is>
          <t>A 60138-2023</t>
        </is>
      </c>
      <c r="B807" s="1" t="n">
        <v>45258</v>
      </c>
      <c r="C807" s="1" t="n">
        <v>45849</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60636-2023</t>
        </is>
      </c>
      <c r="B808" s="1" t="n">
        <v>45260</v>
      </c>
      <c r="C808" s="1" t="n">
        <v>45849</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61507-2023</t>
        </is>
      </c>
      <c r="B809" s="1" t="n">
        <v>45265</v>
      </c>
      <c r="C809" s="1" t="n">
        <v>45849</v>
      </c>
      <c r="D809" t="inlineStr">
        <is>
          <t>DALARNAS LÄN</t>
        </is>
      </c>
      <c r="E809" t="inlineStr">
        <is>
          <t>LUDVIKA</t>
        </is>
      </c>
      <c r="G809" t="n">
        <v>3</v>
      </c>
      <c r="H809" t="n">
        <v>0</v>
      </c>
      <c r="I809" t="n">
        <v>0</v>
      </c>
      <c r="J809" t="n">
        <v>0</v>
      </c>
      <c r="K809" t="n">
        <v>0</v>
      </c>
      <c r="L809" t="n">
        <v>0</v>
      </c>
      <c r="M809" t="n">
        <v>0</v>
      </c>
      <c r="N809" t="n">
        <v>0</v>
      </c>
      <c r="O809" t="n">
        <v>0</v>
      </c>
      <c r="P809" t="n">
        <v>0</v>
      </c>
      <c r="Q809" t="n">
        <v>0</v>
      </c>
      <c r="R809" s="2" t="inlineStr"/>
    </row>
    <row r="810" ht="15" customHeight="1">
      <c r="A810" t="inlineStr">
        <is>
          <t>A 63131-2023</t>
        </is>
      </c>
      <c r="B810" s="1" t="n">
        <v>45273</v>
      </c>
      <c r="C810" s="1" t="n">
        <v>45849</v>
      </c>
      <c r="D810" t="inlineStr">
        <is>
          <t>DALARNAS LÄN</t>
        </is>
      </c>
      <c r="E810" t="inlineStr">
        <is>
          <t>LUDVIKA</t>
        </is>
      </c>
      <c r="F810" t="inlineStr">
        <is>
          <t>Bergvik skog väst AB</t>
        </is>
      </c>
      <c r="G810" t="n">
        <v>2.2</v>
      </c>
      <c r="H810" t="n">
        <v>0</v>
      </c>
      <c r="I810" t="n">
        <v>0</v>
      </c>
      <c r="J810" t="n">
        <v>0</v>
      </c>
      <c r="K810" t="n">
        <v>0</v>
      </c>
      <c r="L810" t="n">
        <v>0</v>
      </c>
      <c r="M810" t="n">
        <v>0</v>
      </c>
      <c r="N810" t="n">
        <v>0</v>
      </c>
      <c r="O810" t="n">
        <v>0</v>
      </c>
      <c r="P810" t="n">
        <v>0</v>
      </c>
      <c r="Q810" t="n">
        <v>0</v>
      </c>
      <c r="R810" s="2" t="inlineStr"/>
    </row>
    <row r="811" ht="15" customHeight="1">
      <c r="A811" t="inlineStr">
        <is>
          <t>A 64171-2023</t>
        </is>
      </c>
      <c r="B811" s="1" t="n">
        <v>45279</v>
      </c>
      <c r="C811" s="1" t="n">
        <v>45849</v>
      </c>
      <c r="D811" t="inlineStr">
        <is>
          <t>DALARNAS LÄN</t>
        </is>
      </c>
      <c r="E811" t="inlineStr">
        <is>
          <t>LUDVIKA</t>
        </is>
      </c>
      <c r="G811" t="n">
        <v>8.6</v>
      </c>
      <c r="H811" t="n">
        <v>0</v>
      </c>
      <c r="I811" t="n">
        <v>0</v>
      </c>
      <c r="J811" t="n">
        <v>0</v>
      </c>
      <c r="K811" t="n">
        <v>0</v>
      </c>
      <c r="L811" t="n">
        <v>0</v>
      </c>
      <c r="M811" t="n">
        <v>0</v>
      </c>
      <c r="N811" t="n">
        <v>0</v>
      </c>
      <c r="O811" t="n">
        <v>0</v>
      </c>
      <c r="P811" t="n">
        <v>0</v>
      </c>
      <c r="Q811" t="n">
        <v>0</v>
      </c>
      <c r="R811" s="2" t="inlineStr"/>
    </row>
    <row r="812" ht="15" customHeight="1">
      <c r="A812" t="inlineStr">
        <is>
          <t>A 64450-2023</t>
        </is>
      </c>
      <c r="B812" s="1" t="n">
        <v>45280</v>
      </c>
      <c r="C812" s="1" t="n">
        <v>45849</v>
      </c>
      <c r="D812" t="inlineStr">
        <is>
          <t>DALARNAS LÄN</t>
        </is>
      </c>
      <c r="E812" t="inlineStr">
        <is>
          <t>LUDVIKA</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45849</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64449-2023</t>
        </is>
      </c>
      <c r="B814" s="1" t="n">
        <v>45280</v>
      </c>
      <c r="C814" s="1" t="n">
        <v>45849</v>
      </c>
      <c r="D814" t="inlineStr">
        <is>
          <t>DALARNAS LÄN</t>
        </is>
      </c>
      <c r="E814" t="inlineStr">
        <is>
          <t>LUDVIKA</t>
        </is>
      </c>
      <c r="G814" t="n">
        <v>10.2</v>
      </c>
      <c r="H814" t="n">
        <v>0</v>
      </c>
      <c r="I814" t="n">
        <v>0</v>
      </c>
      <c r="J814" t="n">
        <v>0</v>
      </c>
      <c r="K814" t="n">
        <v>0</v>
      </c>
      <c r="L814" t="n">
        <v>0</v>
      </c>
      <c r="M814" t="n">
        <v>0</v>
      </c>
      <c r="N814" t="n">
        <v>0</v>
      </c>
      <c r="O814" t="n">
        <v>0</v>
      </c>
      <c r="P814" t="n">
        <v>0</v>
      </c>
      <c r="Q814" t="n">
        <v>0</v>
      </c>
      <c r="R814" s="2" t="inlineStr"/>
    </row>
    <row r="815" ht="15" customHeight="1">
      <c r="A815" t="inlineStr">
        <is>
          <t>A 65104-2023</t>
        </is>
      </c>
      <c r="B815" s="1" t="n">
        <v>45288</v>
      </c>
      <c r="C815" s="1" t="n">
        <v>45849</v>
      </c>
      <c r="D815" t="inlineStr">
        <is>
          <t>DALARNAS LÄN</t>
        </is>
      </c>
      <c r="E815" t="inlineStr">
        <is>
          <t>LUDVIKA</t>
        </is>
      </c>
      <c r="G815" t="n">
        <v>1.3</v>
      </c>
      <c r="H815" t="n">
        <v>0</v>
      </c>
      <c r="I815" t="n">
        <v>0</v>
      </c>
      <c r="J815" t="n">
        <v>0</v>
      </c>
      <c r="K815" t="n">
        <v>0</v>
      </c>
      <c r="L815" t="n">
        <v>0</v>
      </c>
      <c r="M815" t="n">
        <v>0</v>
      </c>
      <c r="N815" t="n">
        <v>0</v>
      </c>
      <c r="O815" t="n">
        <v>0</v>
      </c>
      <c r="P815" t="n">
        <v>0</v>
      </c>
      <c r="Q815" t="n">
        <v>0</v>
      </c>
      <c r="R815" s="2" t="inlineStr"/>
    </row>
    <row r="816" ht="15" customHeight="1">
      <c r="A816" t="inlineStr">
        <is>
          <t>A 451-2024</t>
        </is>
      </c>
      <c r="B816" s="1" t="n">
        <v>45296</v>
      </c>
      <c r="C816" s="1" t="n">
        <v>45849</v>
      </c>
      <c r="D816" t="inlineStr">
        <is>
          <t>DALARNAS LÄN</t>
        </is>
      </c>
      <c r="E816" t="inlineStr">
        <is>
          <t>LUDVIKA</t>
        </is>
      </c>
      <c r="F816" t="inlineStr">
        <is>
          <t>Bergvik skog väst AB</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478-2024</t>
        </is>
      </c>
      <c r="B817" s="1" t="n">
        <v>45297</v>
      </c>
      <c r="C817" s="1" t="n">
        <v>45849</v>
      </c>
      <c r="D817" t="inlineStr">
        <is>
          <t>DALARNAS LÄN</t>
        </is>
      </c>
      <c r="E817" t="inlineStr">
        <is>
          <t>LUDVIKA</t>
        </is>
      </c>
      <c r="G817" t="n">
        <v>3.2</v>
      </c>
      <c r="H817" t="n">
        <v>0</v>
      </c>
      <c r="I817" t="n">
        <v>0</v>
      </c>
      <c r="J817" t="n">
        <v>0</v>
      </c>
      <c r="K817" t="n">
        <v>0</v>
      </c>
      <c r="L817" t="n">
        <v>0</v>
      </c>
      <c r="M817" t="n">
        <v>0</v>
      </c>
      <c r="N817" t="n">
        <v>0</v>
      </c>
      <c r="O817" t="n">
        <v>0</v>
      </c>
      <c r="P817" t="n">
        <v>0</v>
      </c>
      <c r="Q817" t="n">
        <v>0</v>
      </c>
      <c r="R817" s="2" t="inlineStr"/>
    </row>
    <row r="818" ht="15" customHeight="1">
      <c r="A818" t="inlineStr">
        <is>
          <t>A 923-2024</t>
        </is>
      </c>
      <c r="B818" s="1" t="n">
        <v>45301</v>
      </c>
      <c r="C818" s="1" t="n">
        <v>45849</v>
      </c>
      <c r="D818" t="inlineStr">
        <is>
          <t>DALARNAS LÄN</t>
        </is>
      </c>
      <c r="E818" t="inlineStr">
        <is>
          <t>LUDVIKA</t>
        </is>
      </c>
      <c r="G818" t="n">
        <v>0.3</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45849</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1133-2024</t>
        </is>
      </c>
      <c r="B820" s="1" t="n">
        <v>45302</v>
      </c>
      <c r="C820" s="1" t="n">
        <v>45849</v>
      </c>
      <c r="D820" t="inlineStr">
        <is>
          <t>DALARNAS LÄN</t>
        </is>
      </c>
      <c r="E820" t="inlineStr">
        <is>
          <t>LUDVIKA</t>
        </is>
      </c>
      <c r="G820" t="n">
        <v>2.6</v>
      </c>
      <c r="H820" t="n">
        <v>0</v>
      </c>
      <c r="I820" t="n">
        <v>0</v>
      </c>
      <c r="J820" t="n">
        <v>0</v>
      </c>
      <c r="K820" t="n">
        <v>0</v>
      </c>
      <c r="L820" t="n">
        <v>0</v>
      </c>
      <c r="M820" t="n">
        <v>0</v>
      </c>
      <c r="N820" t="n">
        <v>0</v>
      </c>
      <c r="O820" t="n">
        <v>0</v>
      </c>
      <c r="P820" t="n">
        <v>0</v>
      </c>
      <c r="Q820" t="n">
        <v>0</v>
      </c>
      <c r="R820" s="2" t="inlineStr"/>
    </row>
    <row r="821" ht="15" customHeight="1">
      <c r="A821" t="inlineStr">
        <is>
          <t>A 1444-2024</t>
        </is>
      </c>
      <c r="B821" s="1" t="n">
        <v>45303</v>
      </c>
      <c r="C821" s="1" t="n">
        <v>45849</v>
      </c>
      <c r="D821" t="inlineStr">
        <is>
          <t>DALARNAS LÄN</t>
        </is>
      </c>
      <c r="E821" t="inlineStr">
        <is>
          <t>LUDVIKA</t>
        </is>
      </c>
      <c r="G821" t="n">
        <v>0.9</v>
      </c>
      <c r="H821" t="n">
        <v>0</v>
      </c>
      <c r="I821" t="n">
        <v>0</v>
      </c>
      <c r="J821" t="n">
        <v>0</v>
      </c>
      <c r="K821" t="n">
        <v>0</v>
      </c>
      <c r="L821" t="n">
        <v>0</v>
      </c>
      <c r="M821" t="n">
        <v>0</v>
      </c>
      <c r="N821" t="n">
        <v>0</v>
      </c>
      <c r="O821" t="n">
        <v>0</v>
      </c>
      <c r="P821" t="n">
        <v>0</v>
      </c>
      <c r="Q821" t="n">
        <v>0</v>
      </c>
      <c r="R821" s="2" t="inlineStr"/>
    </row>
    <row r="822" ht="15" customHeight="1">
      <c r="A822" t="inlineStr">
        <is>
          <t>A 1761-2024</t>
        </is>
      </c>
      <c r="B822" s="1" t="n">
        <v>45307</v>
      </c>
      <c r="C822" s="1" t="n">
        <v>45849</v>
      </c>
      <c r="D822" t="inlineStr">
        <is>
          <t>DALARNAS LÄN</t>
        </is>
      </c>
      <c r="E822" t="inlineStr">
        <is>
          <t>LUDVIKA</t>
        </is>
      </c>
      <c r="F822" t="inlineStr">
        <is>
          <t>Naturvårdsverket</t>
        </is>
      </c>
      <c r="G822" t="n">
        <v>1.5</v>
      </c>
      <c r="H822" t="n">
        <v>0</v>
      </c>
      <c r="I822" t="n">
        <v>0</v>
      </c>
      <c r="J822" t="n">
        <v>0</v>
      </c>
      <c r="K822" t="n">
        <v>0</v>
      </c>
      <c r="L822" t="n">
        <v>0</v>
      </c>
      <c r="M822" t="n">
        <v>0</v>
      </c>
      <c r="N822" t="n">
        <v>0</v>
      </c>
      <c r="O822" t="n">
        <v>0</v>
      </c>
      <c r="P822" t="n">
        <v>0</v>
      </c>
      <c r="Q822" t="n">
        <v>0</v>
      </c>
      <c r="R822" s="2" t="inlineStr"/>
    </row>
    <row r="823" ht="15" customHeight="1">
      <c r="A823" t="inlineStr">
        <is>
          <t>A 1988-2024</t>
        </is>
      </c>
      <c r="B823" s="1" t="n">
        <v>45308</v>
      </c>
      <c r="C823" s="1" t="n">
        <v>45849</v>
      </c>
      <c r="D823" t="inlineStr">
        <is>
          <t>DALARNAS LÄN</t>
        </is>
      </c>
      <c r="E823" t="inlineStr">
        <is>
          <t>LUDVIKA</t>
        </is>
      </c>
      <c r="G823" t="n">
        <v>4.2</v>
      </c>
      <c r="H823" t="n">
        <v>0</v>
      </c>
      <c r="I823" t="n">
        <v>0</v>
      </c>
      <c r="J823" t="n">
        <v>0</v>
      </c>
      <c r="K823" t="n">
        <v>0</v>
      </c>
      <c r="L823" t="n">
        <v>0</v>
      </c>
      <c r="M823" t="n">
        <v>0</v>
      </c>
      <c r="N823" t="n">
        <v>0</v>
      </c>
      <c r="O823" t="n">
        <v>0</v>
      </c>
      <c r="P823" t="n">
        <v>0</v>
      </c>
      <c r="Q823" t="n">
        <v>0</v>
      </c>
      <c r="R823" s="2" t="inlineStr"/>
    </row>
    <row r="824" ht="15" customHeight="1">
      <c r="A824" t="inlineStr">
        <is>
          <t>A 2481-2024</t>
        </is>
      </c>
      <c r="B824" s="1" t="n">
        <v>45313</v>
      </c>
      <c r="C824" s="1" t="n">
        <v>45849</v>
      </c>
      <c r="D824" t="inlineStr">
        <is>
          <t>DALARNAS LÄN</t>
        </is>
      </c>
      <c r="E824" t="inlineStr">
        <is>
          <t>LUDVIKA</t>
        </is>
      </c>
      <c r="G824" t="n">
        <v>4.8</v>
      </c>
      <c r="H824" t="n">
        <v>0</v>
      </c>
      <c r="I824" t="n">
        <v>0</v>
      </c>
      <c r="J824" t="n">
        <v>0</v>
      </c>
      <c r="K824" t="n">
        <v>0</v>
      </c>
      <c r="L824" t="n">
        <v>0</v>
      </c>
      <c r="M824" t="n">
        <v>0</v>
      </c>
      <c r="N824" t="n">
        <v>0</v>
      </c>
      <c r="O824" t="n">
        <v>0</v>
      </c>
      <c r="P824" t="n">
        <v>0</v>
      </c>
      <c r="Q824" t="n">
        <v>0</v>
      </c>
      <c r="R824" s="2" t="inlineStr"/>
      <c r="U824">
        <f>HYPERLINK("https://klasma.github.io/Logging_2085/knärot/A 2481-2024 karta knärot.png", "A 2481-2024")</f>
        <v/>
      </c>
      <c r="V824">
        <f>HYPERLINK("https://klasma.github.io/Logging_2085/klagomål/A 2481-2024 FSC-klagomål.docx", "A 2481-2024")</f>
        <v/>
      </c>
      <c r="W824">
        <f>HYPERLINK("https://klasma.github.io/Logging_2085/klagomålsmail/A 2481-2024 FSC-klagomål mail.docx", "A 2481-2024")</f>
        <v/>
      </c>
      <c r="X824">
        <f>HYPERLINK("https://klasma.github.io/Logging_2085/tillsyn/A 2481-2024 tillsynsbegäran.docx", "A 2481-2024")</f>
        <v/>
      </c>
      <c r="Y824">
        <f>HYPERLINK("https://klasma.github.io/Logging_2085/tillsynsmail/A 2481-2024 tillsynsbegäran mail.docx", "A 2481-2024")</f>
        <v/>
      </c>
    </row>
    <row r="825" ht="15" customHeight="1">
      <c r="A825" t="inlineStr">
        <is>
          <t>A 2485-2024</t>
        </is>
      </c>
      <c r="B825" s="1" t="n">
        <v>45313</v>
      </c>
      <c r="C825" s="1" t="n">
        <v>45849</v>
      </c>
      <c r="D825" t="inlineStr">
        <is>
          <t>DALARNAS LÄN</t>
        </is>
      </c>
      <c r="E825" t="inlineStr">
        <is>
          <t>LUDVIKA</t>
        </is>
      </c>
      <c r="G825" t="n">
        <v>2</v>
      </c>
      <c r="H825" t="n">
        <v>0</v>
      </c>
      <c r="I825" t="n">
        <v>0</v>
      </c>
      <c r="J825" t="n">
        <v>0</v>
      </c>
      <c r="K825" t="n">
        <v>0</v>
      </c>
      <c r="L825" t="n">
        <v>0</v>
      </c>
      <c r="M825" t="n">
        <v>0</v>
      </c>
      <c r="N825" t="n">
        <v>0</v>
      </c>
      <c r="O825" t="n">
        <v>0</v>
      </c>
      <c r="P825" t="n">
        <v>0</v>
      </c>
      <c r="Q825" t="n">
        <v>0</v>
      </c>
      <c r="R825" s="2" t="inlineStr"/>
    </row>
    <row r="826" ht="15" customHeight="1">
      <c r="A826" t="inlineStr">
        <is>
          <t>A 2484-2024</t>
        </is>
      </c>
      <c r="B826" s="1" t="n">
        <v>45313</v>
      </c>
      <c r="C826" s="1" t="n">
        <v>45849</v>
      </c>
      <c r="D826" t="inlineStr">
        <is>
          <t>DALARNAS LÄN</t>
        </is>
      </c>
      <c r="E826" t="inlineStr">
        <is>
          <t>LUDVIKA</t>
        </is>
      </c>
      <c r="G826" t="n">
        <v>1</v>
      </c>
      <c r="H826" t="n">
        <v>0</v>
      </c>
      <c r="I826" t="n">
        <v>0</v>
      </c>
      <c r="J826" t="n">
        <v>0</v>
      </c>
      <c r="K826" t="n">
        <v>0</v>
      </c>
      <c r="L826" t="n">
        <v>0</v>
      </c>
      <c r="M826" t="n">
        <v>0</v>
      </c>
      <c r="N826" t="n">
        <v>0</v>
      </c>
      <c r="O826" t="n">
        <v>0</v>
      </c>
      <c r="P826" t="n">
        <v>0</v>
      </c>
      <c r="Q826" t="n">
        <v>0</v>
      </c>
      <c r="R826" s="2" t="inlineStr"/>
    </row>
    <row r="827" ht="15" customHeight="1">
      <c r="A827" t="inlineStr">
        <is>
          <t>A 2603-2024</t>
        </is>
      </c>
      <c r="B827" s="1" t="n">
        <v>45313</v>
      </c>
      <c r="C827" s="1" t="n">
        <v>45849</v>
      </c>
      <c r="D827" t="inlineStr">
        <is>
          <t>DALARNAS LÄN</t>
        </is>
      </c>
      <c r="E827" t="inlineStr">
        <is>
          <t>LUDVIKA</t>
        </is>
      </c>
      <c r="G827" t="n">
        <v>0.8</v>
      </c>
      <c r="H827" t="n">
        <v>0</v>
      </c>
      <c r="I827" t="n">
        <v>0</v>
      </c>
      <c r="J827" t="n">
        <v>0</v>
      </c>
      <c r="K827" t="n">
        <v>0</v>
      </c>
      <c r="L827" t="n">
        <v>0</v>
      </c>
      <c r="M827" t="n">
        <v>0</v>
      </c>
      <c r="N827" t="n">
        <v>0</v>
      </c>
      <c r="O827" t="n">
        <v>0</v>
      </c>
      <c r="P827" t="n">
        <v>0</v>
      </c>
      <c r="Q827" t="n">
        <v>0</v>
      </c>
      <c r="R827" s="2" t="inlineStr"/>
    </row>
    <row r="828" ht="15" customHeight="1">
      <c r="A828" t="inlineStr">
        <is>
          <t>A 3277-2024</t>
        </is>
      </c>
      <c r="B828" s="1" t="n">
        <v>45317</v>
      </c>
      <c r="C828" s="1" t="n">
        <v>45849</v>
      </c>
      <c r="D828" t="inlineStr">
        <is>
          <t>DALARNAS LÄN</t>
        </is>
      </c>
      <c r="E828" t="inlineStr">
        <is>
          <t>LUDVIKA</t>
        </is>
      </c>
      <c r="G828" t="n">
        <v>0.3</v>
      </c>
      <c r="H828" t="n">
        <v>0</v>
      </c>
      <c r="I828" t="n">
        <v>0</v>
      </c>
      <c r="J828" t="n">
        <v>0</v>
      </c>
      <c r="K828" t="n">
        <v>0</v>
      </c>
      <c r="L828" t="n">
        <v>0</v>
      </c>
      <c r="M828" t="n">
        <v>0</v>
      </c>
      <c r="N828" t="n">
        <v>0</v>
      </c>
      <c r="O828" t="n">
        <v>0</v>
      </c>
      <c r="P828" t="n">
        <v>0</v>
      </c>
      <c r="Q828" t="n">
        <v>0</v>
      </c>
      <c r="R828" s="2" t="inlineStr"/>
    </row>
    <row r="829" ht="15" customHeight="1">
      <c r="A829" t="inlineStr">
        <is>
          <t>A 3280-2024</t>
        </is>
      </c>
      <c r="B829" s="1" t="n">
        <v>45317</v>
      </c>
      <c r="C829" s="1" t="n">
        <v>45849</v>
      </c>
      <c r="D829" t="inlineStr">
        <is>
          <t>DALARNAS LÄN</t>
        </is>
      </c>
      <c r="E829" t="inlineStr">
        <is>
          <t>LUDVIKA</t>
        </is>
      </c>
      <c r="G829" t="n">
        <v>0.4</v>
      </c>
      <c r="H829" t="n">
        <v>0</v>
      </c>
      <c r="I829" t="n">
        <v>0</v>
      </c>
      <c r="J829" t="n">
        <v>0</v>
      </c>
      <c r="K829" t="n">
        <v>0</v>
      </c>
      <c r="L829" t="n">
        <v>0</v>
      </c>
      <c r="M829" t="n">
        <v>0</v>
      </c>
      <c r="N829" t="n">
        <v>0</v>
      </c>
      <c r="O829" t="n">
        <v>0</v>
      </c>
      <c r="P829" t="n">
        <v>0</v>
      </c>
      <c r="Q829" t="n">
        <v>0</v>
      </c>
      <c r="R829" s="2" t="inlineStr"/>
    </row>
    <row r="830" ht="15" customHeight="1">
      <c r="A830" t="inlineStr">
        <is>
          <t>A 3349-2024</t>
        </is>
      </c>
      <c r="B830" s="1" t="n">
        <v>45317</v>
      </c>
      <c r="C830" s="1" t="n">
        <v>45849</v>
      </c>
      <c r="D830" t="inlineStr">
        <is>
          <t>DALARNAS LÄN</t>
        </is>
      </c>
      <c r="E830" t="inlineStr">
        <is>
          <t>LUDVIKA</t>
        </is>
      </c>
      <c r="G830" t="n">
        <v>3.8</v>
      </c>
      <c r="H830" t="n">
        <v>0</v>
      </c>
      <c r="I830" t="n">
        <v>0</v>
      </c>
      <c r="J830" t="n">
        <v>0</v>
      </c>
      <c r="K830" t="n">
        <v>0</v>
      </c>
      <c r="L830" t="n">
        <v>0</v>
      </c>
      <c r="M830" t="n">
        <v>0</v>
      </c>
      <c r="N830" t="n">
        <v>0</v>
      </c>
      <c r="O830" t="n">
        <v>0</v>
      </c>
      <c r="P830" t="n">
        <v>0</v>
      </c>
      <c r="Q830" t="n">
        <v>0</v>
      </c>
      <c r="R830" s="2" t="inlineStr"/>
    </row>
    <row r="831" ht="15" customHeight="1">
      <c r="A831" t="inlineStr">
        <is>
          <t>A 3687-2024</t>
        </is>
      </c>
      <c r="B831" s="1" t="n">
        <v>45321</v>
      </c>
      <c r="C831" s="1" t="n">
        <v>45849</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5576-2024</t>
        </is>
      </c>
      <c r="B832" s="1" t="n">
        <v>45334</v>
      </c>
      <c r="C832" s="1" t="n">
        <v>45849</v>
      </c>
      <c r="D832" t="inlineStr">
        <is>
          <t>DALARNAS LÄN</t>
        </is>
      </c>
      <c r="E832" t="inlineStr">
        <is>
          <t>LUDVIKA</t>
        </is>
      </c>
      <c r="G832" t="n">
        <v>7</v>
      </c>
      <c r="H832" t="n">
        <v>0</v>
      </c>
      <c r="I832" t="n">
        <v>0</v>
      </c>
      <c r="J832" t="n">
        <v>0</v>
      </c>
      <c r="K832" t="n">
        <v>0</v>
      </c>
      <c r="L832" t="n">
        <v>0</v>
      </c>
      <c r="M832" t="n">
        <v>0</v>
      </c>
      <c r="N832" t="n">
        <v>0</v>
      </c>
      <c r="O832" t="n">
        <v>0</v>
      </c>
      <c r="P832" t="n">
        <v>0</v>
      </c>
      <c r="Q832" t="n">
        <v>0</v>
      </c>
      <c r="R832" s="2" t="inlineStr"/>
    </row>
    <row r="833" ht="15" customHeight="1">
      <c r="A833" t="inlineStr">
        <is>
          <t>A 5841-2024</t>
        </is>
      </c>
      <c r="B833" s="1" t="n">
        <v>45335</v>
      </c>
      <c r="C833" s="1" t="n">
        <v>45849</v>
      </c>
      <c r="D833" t="inlineStr">
        <is>
          <t>DALARNAS LÄN</t>
        </is>
      </c>
      <c r="E833" t="inlineStr">
        <is>
          <t>LUDVIKA</t>
        </is>
      </c>
      <c r="G833" t="n">
        <v>1.6</v>
      </c>
      <c r="H833" t="n">
        <v>0</v>
      </c>
      <c r="I833" t="n">
        <v>0</v>
      </c>
      <c r="J833" t="n">
        <v>0</v>
      </c>
      <c r="K833" t="n">
        <v>0</v>
      </c>
      <c r="L833" t="n">
        <v>0</v>
      </c>
      <c r="M833" t="n">
        <v>0</v>
      </c>
      <c r="N833" t="n">
        <v>0</v>
      </c>
      <c r="O833" t="n">
        <v>0</v>
      </c>
      <c r="P833" t="n">
        <v>0</v>
      </c>
      <c r="Q833" t="n">
        <v>0</v>
      </c>
      <c r="R833" s="2" t="inlineStr"/>
    </row>
    <row r="834" ht="15" customHeight="1">
      <c r="A834" t="inlineStr">
        <is>
          <t>A 5947-2024</t>
        </is>
      </c>
      <c r="B834" s="1" t="n">
        <v>45335</v>
      </c>
      <c r="C834" s="1" t="n">
        <v>45849</v>
      </c>
      <c r="D834" t="inlineStr">
        <is>
          <t>DALARNAS LÄN</t>
        </is>
      </c>
      <c r="E834" t="inlineStr">
        <is>
          <t>LUDVIKA</t>
        </is>
      </c>
      <c r="G834" t="n">
        <v>5</v>
      </c>
      <c r="H834" t="n">
        <v>0</v>
      </c>
      <c r="I834" t="n">
        <v>0</v>
      </c>
      <c r="J834" t="n">
        <v>0</v>
      </c>
      <c r="K834" t="n">
        <v>0</v>
      </c>
      <c r="L834" t="n">
        <v>0</v>
      </c>
      <c r="M834" t="n">
        <v>0</v>
      </c>
      <c r="N834" t="n">
        <v>0</v>
      </c>
      <c r="O834" t="n">
        <v>0</v>
      </c>
      <c r="P834" t="n">
        <v>0</v>
      </c>
      <c r="Q834" t="n">
        <v>0</v>
      </c>
      <c r="R834" s="2" t="inlineStr"/>
    </row>
    <row r="835" ht="15" customHeight="1">
      <c r="A835" t="inlineStr">
        <is>
          <t>A 6151-2024</t>
        </is>
      </c>
      <c r="B835" s="1" t="n">
        <v>45337</v>
      </c>
      <c r="C835" s="1" t="n">
        <v>45849</v>
      </c>
      <c r="D835" t="inlineStr">
        <is>
          <t>DALARNAS LÄN</t>
        </is>
      </c>
      <c r="E835" t="inlineStr">
        <is>
          <t>LUDVIKA</t>
        </is>
      </c>
      <c r="G835" t="n">
        <v>1.7</v>
      </c>
      <c r="H835" t="n">
        <v>0</v>
      </c>
      <c r="I835" t="n">
        <v>0</v>
      </c>
      <c r="J835" t="n">
        <v>0</v>
      </c>
      <c r="K835" t="n">
        <v>0</v>
      </c>
      <c r="L835" t="n">
        <v>0</v>
      </c>
      <c r="M835" t="n">
        <v>0</v>
      </c>
      <c r="N835" t="n">
        <v>0</v>
      </c>
      <c r="O835" t="n">
        <v>0</v>
      </c>
      <c r="P835" t="n">
        <v>0</v>
      </c>
      <c r="Q835" t="n">
        <v>0</v>
      </c>
      <c r="R835" s="2" t="inlineStr"/>
    </row>
    <row r="836" ht="15" customHeight="1">
      <c r="A836" t="inlineStr">
        <is>
          <t>A 7317-2024</t>
        </is>
      </c>
      <c r="B836" s="1" t="n">
        <v>45345</v>
      </c>
      <c r="C836" s="1" t="n">
        <v>45849</v>
      </c>
      <c r="D836" t="inlineStr">
        <is>
          <t>DALARNAS LÄN</t>
        </is>
      </c>
      <c r="E836" t="inlineStr">
        <is>
          <t>LUDVIKA</t>
        </is>
      </c>
      <c r="G836" t="n">
        <v>3.9</v>
      </c>
      <c r="H836" t="n">
        <v>0</v>
      </c>
      <c r="I836" t="n">
        <v>0</v>
      </c>
      <c r="J836" t="n">
        <v>0</v>
      </c>
      <c r="K836" t="n">
        <v>0</v>
      </c>
      <c r="L836" t="n">
        <v>0</v>
      </c>
      <c r="M836" t="n">
        <v>0</v>
      </c>
      <c r="N836" t="n">
        <v>0</v>
      </c>
      <c r="O836" t="n">
        <v>0</v>
      </c>
      <c r="P836" t="n">
        <v>0</v>
      </c>
      <c r="Q836" t="n">
        <v>0</v>
      </c>
      <c r="R836" s="2" t="inlineStr"/>
    </row>
    <row r="837" ht="15" customHeight="1">
      <c r="A837" t="inlineStr">
        <is>
          <t>A 8162-2024</t>
        </is>
      </c>
      <c r="B837" s="1" t="n">
        <v>45349</v>
      </c>
      <c r="C837" s="1" t="n">
        <v>45849</v>
      </c>
      <c r="D837" t="inlineStr">
        <is>
          <t>DALARNAS LÄN</t>
        </is>
      </c>
      <c r="E837" t="inlineStr">
        <is>
          <t>LUDVIKA</t>
        </is>
      </c>
      <c r="F837" t="inlineStr">
        <is>
          <t>Allmännings- och besparingsskogar</t>
        </is>
      </c>
      <c r="G837" t="n">
        <v>6.9</v>
      </c>
      <c r="H837" t="n">
        <v>0</v>
      </c>
      <c r="I837" t="n">
        <v>0</v>
      </c>
      <c r="J837" t="n">
        <v>0</v>
      </c>
      <c r="K837" t="n">
        <v>0</v>
      </c>
      <c r="L837" t="n">
        <v>0</v>
      </c>
      <c r="M837" t="n">
        <v>0</v>
      </c>
      <c r="N837" t="n">
        <v>0</v>
      </c>
      <c r="O837" t="n">
        <v>0</v>
      </c>
      <c r="P837" t="n">
        <v>0</v>
      </c>
      <c r="Q837" t="n">
        <v>0</v>
      </c>
      <c r="R837" s="2" t="inlineStr"/>
      <c r="U837">
        <f>HYPERLINK("https://klasma.github.io/Logging_2085/knärot/A 8162-2024 karta knärot.png", "A 8162-2024")</f>
        <v/>
      </c>
      <c r="V837">
        <f>HYPERLINK("https://klasma.github.io/Logging_2085/klagomål/A 8162-2024 FSC-klagomål.docx", "A 8162-2024")</f>
        <v/>
      </c>
      <c r="W837">
        <f>HYPERLINK("https://klasma.github.io/Logging_2085/klagomålsmail/A 8162-2024 FSC-klagomål mail.docx", "A 8162-2024")</f>
        <v/>
      </c>
      <c r="X837">
        <f>HYPERLINK("https://klasma.github.io/Logging_2085/tillsyn/A 8162-2024 tillsynsbegäran.docx", "A 8162-2024")</f>
        <v/>
      </c>
      <c r="Y837">
        <f>HYPERLINK("https://klasma.github.io/Logging_2085/tillsynsmail/A 8162-2024 tillsynsbegäran mail.docx", "A 8162-2024")</f>
        <v/>
      </c>
    </row>
    <row r="838" ht="15" customHeight="1">
      <c r="A838" t="inlineStr">
        <is>
          <t>A 8172-2024</t>
        </is>
      </c>
      <c r="B838" s="1" t="n">
        <v>45349</v>
      </c>
      <c r="C838" s="1" t="n">
        <v>45849</v>
      </c>
      <c r="D838" t="inlineStr">
        <is>
          <t>DALARNAS LÄN</t>
        </is>
      </c>
      <c r="E838" t="inlineStr">
        <is>
          <t>LUDVIKA</t>
        </is>
      </c>
      <c r="F838" t="inlineStr">
        <is>
          <t>Allmännings- och besparingsskogar</t>
        </is>
      </c>
      <c r="G838" t="n">
        <v>2</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45849</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8175-2024</t>
        </is>
      </c>
      <c r="B840" s="1" t="n">
        <v>45349</v>
      </c>
      <c r="C840" s="1" t="n">
        <v>45849</v>
      </c>
      <c r="D840" t="inlineStr">
        <is>
          <t>DALARNAS LÄN</t>
        </is>
      </c>
      <c r="E840" t="inlineStr">
        <is>
          <t>LUDVIKA</t>
        </is>
      </c>
      <c r="F840" t="inlineStr">
        <is>
          <t>Allmännings- och besparingsskogar</t>
        </is>
      </c>
      <c r="G840" t="n">
        <v>3.8</v>
      </c>
      <c r="H840" t="n">
        <v>0</v>
      </c>
      <c r="I840" t="n">
        <v>0</v>
      </c>
      <c r="J840" t="n">
        <v>0</v>
      </c>
      <c r="K840" t="n">
        <v>0</v>
      </c>
      <c r="L840" t="n">
        <v>0</v>
      </c>
      <c r="M840" t="n">
        <v>0</v>
      </c>
      <c r="N840" t="n">
        <v>0</v>
      </c>
      <c r="O840" t="n">
        <v>0</v>
      </c>
      <c r="P840" t="n">
        <v>0</v>
      </c>
      <c r="Q840" t="n">
        <v>0</v>
      </c>
      <c r="R840" s="2" t="inlineStr"/>
    </row>
    <row r="841" ht="15" customHeight="1">
      <c r="A841" t="inlineStr">
        <is>
          <t>A 7996-2024</t>
        </is>
      </c>
      <c r="B841" s="1" t="n">
        <v>45350</v>
      </c>
      <c r="C841" s="1" t="n">
        <v>45849</v>
      </c>
      <c r="D841" t="inlineStr">
        <is>
          <t>DALARNAS LÄN</t>
        </is>
      </c>
      <c r="E841" t="inlineStr">
        <is>
          <t>LUDVIKA</t>
        </is>
      </c>
      <c r="G841" t="n">
        <v>1</v>
      </c>
      <c r="H841" t="n">
        <v>0</v>
      </c>
      <c r="I841" t="n">
        <v>0</v>
      </c>
      <c r="J841" t="n">
        <v>0</v>
      </c>
      <c r="K841" t="n">
        <v>0</v>
      </c>
      <c r="L841" t="n">
        <v>0</v>
      </c>
      <c r="M841" t="n">
        <v>0</v>
      </c>
      <c r="N841" t="n">
        <v>0</v>
      </c>
      <c r="O841" t="n">
        <v>0</v>
      </c>
      <c r="P841" t="n">
        <v>0</v>
      </c>
      <c r="Q841" t="n">
        <v>0</v>
      </c>
      <c r="R841" s="2" t="inlineStr"/>
    </row>
    <row r="842" ht="15" customHeight="1">
      <c r="A842" t="inlineStr">
        <is>
          <t>A 11237-2024</t>
        </is>
      </c>
      <c r="B842" s="1" t="n">
        <v>45371</v>
      </c>
      <c r="C842" s="1" t="n">
        <v>45849</v>
      </c>
      <c r="D842" t="inlineStr">
        <is>
          <t>DALARNAS LÄN</t>
        </is>
      </c>
      <c r="E842" t="inlineStr">
        <is>
          <t>LUDVIKA</t>
        </is>
      </c>
      <c r="G842" t="n">
        <v>20.8</v>
      </c>
      <c r="H842" t="n">
        <v>0</v>
      </c>
      <c r="I842" t="n">
        <v>0</v>
      </c>
      <c r="J842" t="n">
        <v>0</v>
      </c>
      <c r="K842" t="n">
        <v>0</v>
      </c>
      <c r="L842" t="n">
        <v>0</v>
      </c>
      <c r="M842" t="n">
        <v>0</v>
      </c>
      <c r="N842" t="n">
        <v>0</v>
      </c>
      <c r="O842" t="n">
        <v>0</v>
      </c>
      <c r="P842" t="n">
        <v>0</v>
      </c>
      <c r="Q842" t="n">
        <v>0</v>
      </c>
      <c r="R842" s="2" t="inlineStr"/>
    </row>
    <row r="843" ht="15" customHeight="1">
      <c r="A843" t="inlineStr">
        <is>
          <t>A 11436-2024</t>
        </is>
      </c>
      <c r="B843" s="1" t="n">
        <v>45372</v>
      </c>
      <c r="C843" s="1" t="n">
        <v>45849</v>
      </c>
      <c r="D843" t="inlineStr">
        <is>
          <t>DALARNAS LÄN</t>
        </is>
      </c>
      <c r="E843" t="inlineStr">
        <is>
          <t>LUDVIKA</t>
        </is>
      </c>
      <c r="G843" t="n">
        <v>0.5</v>
      </c>
      <c r="H843" t="n">
        <v>0</v>
      </c>
      <c r="I843" t="n">
        <v>0</v>
      </c>
      <c r="J843" t="n">
        <v>0</v>
      </c>
      <c r="K843" t="n">
        <v>0</v>
      </c>
      <c r="L843" t="n">
        <v>0</v>
      </c>
      <c r="M843" t="n">
        <v>0</v>
      </c>
      <c r="N843" t="n">
        <v>0</v>
      </c>
      <c r="O843" t="n">
        <v>0</v>
      </c>
      <c r="P843" t="n">
        <v>0</v>
      </c>
      <c r="Q843" t="n">
        <v>0</v>
      </c>
      <c r="R843" s="2" t="inlineStr"/>
    </row>
    <row r="844" ht="15" customHeight="1">
      <c r="A844" t="inlineStr">
        <is>
          <t>A 11491-2024</t>
        </is>
      </c>
      <c r="B844" s="1" t="n">
        <v>45372</v>
      </c>
      <c r="C844" s="1" t="n">
        <v>45849</v>
      </c>
      <c r="D844" t="inlineStr">
        <is>
          <t>DALARNAS LÄN</t>
        </is>
      </c>
      <c r="E844" t="inlineStr">
        <is>
          <t>LUDVIKA</t>
        </is>
      </c>
      <c r="F844" t="inlineStr">
        <is>
          <t>Kommuner</t>
        </is>
      </c>
      <c r="G844" t="n">
        <v>3.2</v>
      </c>
      <c r="H844" t="n">
        <v>0</v>
      </c>
      <c r="I844" t="n">
        <v>0</v>
      </c>
      <c r="J844" t="n">
        <v>0</v>
      </c>
      <c r="K844" t="n">
        <v>0</v>
      </c>
      <c r="L844" t="n">
        <v>0</v>
      </c>
      <c r="M844" t="n">
        <v>0</v>
      </c>
      <c r="N844" t="n">
        <v>0</v>
      </c>
      <c r="O844" t="n">
        <v>0</v>
      </c>
      <c r="P844" t="n">
        <v>0</v>
      </c>
      <c r="Q844" t="n">
        <v>0</v>
      </c>
      <c r="R844" s="2" t="inlineStr"/>
    </row>
    <row r="845" ht="15" customHeight="1">
      <c r="A845" t="inlineStr">
        <is>
          <t>A 11632-2024</t>
        </is>
      </c>
      <c r="B845" s="1" t="n">
        <v>45373</v>
      </c>
      <c r="C845" s="1" t="n">
        <v>45849</v>
      </c>
      <c r="D845" t="inlineStr">
        <is>
          <t>DALARNAS LÄN</t>
        </is>
      </c>
      <c r="E845" t="inlineStr">
        <is>
          <t>LUDVIKA</t>
        </is>
      </c>
      <c r="G845" t="n">
        <v>5.1</v>
      </c>
      <c r="H845" t="n">
        <v>0</v>
      </c>
      <c r="I845" t="n">
        <v>0</v>
      </c>
      <c r="J845" t="n">
        <v>0</v>
      </c>
      <c r="K845" t="n">
        <v>0</v>
      </c>
      <c r="L845" t="n">
        <v>0</v>
      </c>
      <c r="M845" t="n">
        <v>0</v>
      </c>
      <c r="N845" t="n">
        <v>0</v>
      </c>
      <c r="O845" t="n">
        <v>0</v>
      </c>
      <c r="P845" t="n">
        <v>0</v>
      </c>
      <c r="Q845" t="n">
        <v>0</v>
      </c>
      <c r="R845" s="2" t="inlineStr"/>
    </row>
    <row r="846" ht="15" customHeight="1">
      <c r="A846" t="inlineStr">
        <is>
          <t>A 11829-2024</t>
        </is>
      </c>
      <c r="B846" s="1" t="n">
        <v>45376</v>
      </c>
      <c r="C846" s="1" t="n">
        <v>45849</v>
      </c>
      <c r="D846" t="inlineStr">
        <is>
          <t>DALARNAS LÄN</t>
        </is>
      </c>
      <c r="E846" t="inlineStr">
        <is>
          <t>LUDVIKA</t>
        </is>
      </c>
      <c r="G846" t="n">
        <v>0.6</v>
      </c>
      <c r="H846" t="n">
        <v>0</v>
      </c>
      <c r="I846" t="n">
        <v>0</v>
      </c>
      <c r="J846" t="n">
        <v>0</v>
      </c>
      <c r="K846" t="n">
        <v>0</v>
      </c>
      <c r="L846" t="n">
        <v>0</v>
      </c>
      <c r="M846" t="n">
        <v>0</v>
      </c>
      <c r="N846" t="n">
        <v>0</v>
      </c>
      <c r="O846" t="n">
        <v>0</v>
      </c>
      <c r="P846" t="n">
        <v>0</v>
      </c>
      <c r="Q846" t="n">
        <v>0</v>
      </c>
      <c r="R846" s="2" t="inlineStr"/>
    </row>
    <row r="847" ht="15" customHeight="1">
      <c r="A847" t="inlineStr">
        <is>
          <t>A 12497-2024</t>
        </is>
      </c>
      <c r="B847" s="1" t="n">
        <v>45379</v>
      </c>
      <c r="C847" s="1" t="n">
        <v>45849</v>
      </c>
      <c r="D847" t="inlineStr">
        <is>
          <t>DALARNAS LÄN</t>
        </is>
      </c>
      <c r="E847" t="inlineStr">
        <is>
          <t>LUDVIKA</t>
        </is>
      </c>
      <c r="F847" t="inlineStr">
        <is>
          <t>Naturvårdsverket</t>
        </is>
      </c>
      <c r="G847" t="n">
        <v>0.4</v>
      </c>
      <c r="H847" t="n">
        <v>0</v>
      </c>
      <c r="I847" t="n">
        <v>0</v>
      </c>
      <c r="J847" t="n">
        <v>0</v>
      </c>
      <c r="K847" t="n">
        <v>0</v>
      </c>
      <c r="L847" t="n">
        <v>0</v>
      </c>
      <c r="M847" t="n">
        <v>0</v>
      </c>
      <c r="N847" t="n">
        <v>0</v>
      </c>
      <c r="O847" t="n">
        <v>0</v>
      </c>
      <c r="P847" t="n">
        <v>0</v>
      </c>
      <c r="Q847" t="n">
        <v>0</v>
      </c>
      <c r="R847" s="2" t="inlineStr"/>
    </row>
    <row r="848" ht="15" customHeight="1">
      <c r="A848" t="inlineStr">
        <is>
          <t>A 13861-2024</t>
        </is>
      </c>
      <c r="B848" s="1" t="n">
        <v>45390</v>
      </c>
      <c r="C848" s="1" t="n">
        <v>45849</v>
      </c>
      <c r="D848" t="inlineStr">
        <is>
          <t>DALARNAS LÄN</t>
        </is>
      </c>
      <c r="E848" t="inlineStr">
        <is>
          <t>LUDVIKA</t>
        </is>
      </c>
      <c r="G848" t="n">
        <v>2.5</v>
      </c>
      <c r="H848" t="n">
        <v>0</v>
      </c>
      <c r="I848" t="n">
        <v>0</v>
      </c>
      <c r="J848" t="n">
        <v>0</v>
      </c>
      <c r="K848" t="n">
        <v>0</v>
      </c>
      <c r="L848" t="n">
        <v>0</v>
      </c>
      <c r="M848" t="n">
        <v>0</v>
      </c>
      <c r="N848" t="n">
        <v>0</v>
      </c>
      <c r="O848" t="n">
        <v>0</v>
      </c>
      <c r="P848" t="n">
        <v>0</v>
      </c>
      <c r="Q848" t="n">
        <v>0</v>
      </c>
      <c r="R848" s="2" t="inlineStr"/>
    </row>
    <row r="849" ht="15" customHeight="1">
      <c r="A849" t="inlineStr">
        <is>
          <t>A 14997-2024</t>
        </is>
      </c>
      <c r="B849" s="1" t="n">
        <v>45399</v>
      </c>
      <c r="C849" s="1" t="n">
        <v>45849</v>
      </c>
      <c r="D849" t="inlineStr">
        <is>
          <t>DALARNAS LÄN</t>
        </is>
      </c>
      <c r="E849" t="inlineStr">
        <is>
          <t>LUDVIKA</t>
        </is>
      </c>
      <c r="F849" t="inlineStr">
        <is>
          <t>Bergvik skog väst AB</t>
        </is>
      </c>
      <c r="G849" t="n">
        <v>0.8</v>
      </c>
      <c r="H849" t="n">
        <v>0</v>
      </c>
      <c r="I849" t="n">
        <v>0</v>
      </c>
      <c r="J849" t="n">
        <v>0</v>
      </c>
      <c r="K849" t="n">
        <v>0</v>
      </c>
      <c r="L849" t="n">
        <v>0</v>
      </c>
      <c r="M849" t="n">
        <v>0</v>
      </c>
      <c r="N849" t="n">
        <v>0</v>
      </c>
      <c r="O849" t="n">
        <v>0</v>
      </c>
      <c r="P849" t="n">
        <v>0</v>
      </c>
      <c r="Q849" t="n">
        <v>0</v>
      </c>
      <c r="R849" s="2" t="inlineStr"/>
    </row>
    <row r="850" ht="15" customHeight="1">
      <c r="A850" t="inlineStr">
        <is>
          <t>A 15100-2024</t>
        </is>
      </c>
      <c r="B850" s="1" t="n">
        <v>45399</v>
      </c>
      <c r="C850" s="1" t="n">
        <v>45849</v>
      </c>
      <c r="D850" t="inlineStr">
        <is>
          <t>DALARNAS LÄN</t>
        </is>
      </c>
      <c r="E850" t="inlineStr">
        <is>
          <t>LUDVIKA</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14986-2024</t>
        </is>
      </c>
      <c r="B851" s="1" t="n">
        <v>45399</v>
      </c>
      <c r="C851" s="1" t="n">
        <v>45849</v>
      </c>
      <c r="D851" t="inlineStr">
        <is>
          <t>DALARNAS LÄN</t>
        </is>
      </c>
      <c r="E851" t="inlineStr">
        <is>
          <t>LUDVIKA</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15014-2024</t>
        </is>
      </c>
      <c r="B852" s="1" t="n">
        <v>45399</v>
      </c>
      <c r="C852" s="1" t="n">
        <v>45849</v>
      </c>
      <c r="D852" t="inlineStr">
        <is>
          <t>DALARNAS LÄN</t>
        </is>
      </c>
      <c r="E852" t="inlineStr">
        <is>
          <t>LUDVIKA</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14996-2024</t>
        </is>
      </c>
      <c r="B853" s="1" t="n">
        <v>45399</v>
      </c>
      <c r="C853" s="1" t="n">
        <v>45849</v>
      </c>
      <c r="D853" t="inlineStr">
        <is>
          <t>DALARNAS LÄN</t>
        </is>
      </c>
      <c r="E853" t="inlineStr">
        <is>
          <t>LUDVIKA</t>
        </is>
      </c>
      <c r="F853" t="inlineStr">
        <is>
          <t>Bergvik skog väst AB</t>
        </is>
      </c>
      <c r="G853" t="n">
        <v>0.6</v>
      </c>
      <c r="H853" t="n">
        <v>0</v>
      </c>
      <c r="I853" t="n">
        <v>0</v>
      </c>
      <c r="J853" t="n">
        <v>0</v>
      </c>
      <c r="K853" t="n">
        <v>0</v>
      </c>
      <c r="L853" t="n">
        <v>0</v>
      </c>
      <c r="M853" t="n">
        <v>0</v>
      </c>
      <c r="N853" t="n">
        <v>0</v>
      </c>
      <c r="O853" t="n">
        <v>0</v>
      </c>
      <c r="P853" t="n">
        <v>0</v>
      </c>
      <c r="Q853" t="n">
        <v>0</v>
      </c>
      <c r="R853" s="2" t="inlineStr"/>
    </row>
    <row r="854" ht="15" customHeight="1">
      <c r="A854" t="inlineStr">
        <is>
          <t>A 15008-2024</t>
        </is>
      </c>
      <c r="B854" s="1" t="n">
        <v>45399</v>
      </c>
      <c r="C854" s="1" t="n">
        <v>45849</v>
      </c>
      <c r="D854" t="inlineStr">
        <is>
          <t>DALARNAS LÄN</t>
        </is>
      </c>
      <c r="E854" t="inlineStr">
        <is>
          <t>LUDVIKA</t>
        </is>
      </c>
      <c r="G854" t="n">
        <v>1.3</v>
      </c>
      <c r="H854" t="n">
        <v>0</v>
      </c>
      <c r="I854" t="n">
        <v>0</v>
      </c>
      <c r="J854" t="n">
        <v>0</v>
      </c>
      <c r="K854" t="n">
        <v>0</v>
      </c>
      <c r="L854" t="n">
        <v>0</v>
      </c>
      <c r="M854" t="n">
        <v>0</v>
      </c>
      <c r="N854" t="n">
        <v>0</v>
      </c>
      <c r="O854" t="n">
        <v>0</v>
      </c>
      <c r="P854" t="n">
        <v>0</v>
      </c>
      <c r="Q854" t="n">
        <v>0</v>
      </c>
      <c r="R854" s="2" t="inlineStr"/>
    </row>
    <row r="855" ht="15" customHeight="1">
      <c r="A855" t="inlineStr">
        <is>
          <t>A 15016-2024</t>
        </is>
      </c>
      <c r="B855" s="1" t="n">
        <v>45399</v>
      </c>
      <c r="C855" s="1" t="n">
        <v>45849</v>
      </c>
      <c r="D855" t="inlineStr">
        <is>
          <t>DALARNAS LÄN</t>
        </is>
      </c>
      <c r="E855" t="inlineStr">
        <is>
          <t>LUDVIKA</t>
        </is>
      </c>
      <c r="F855" t="inlineStr">
        <is>
          <t>Bergvik skog väst AB</t>
        </is>
      </c>
      <c r="G855" t="n">
        <v>1.9</v>
      </c>
      <c r="H855" t="n">
        <v>0</v>
      </c>
      <c r="I855" t="n">
        <v>0</v>
      </c>
      <c r="J855" t="n">
        <v>0</v>
      </c>
      <c r="K855" t="n">
        <v>0</v>
      </c>
      <c r="L855" t="n">
        <v>0</v>
      </c>
      <c r="M855" t="n">
        <v>0</v>
      </c>
      <c r="N855" t="n">
        <v>0</v>
      </c>
      <c r="O855" t="n">
        <v>0</v>
      </c>
      <c r="P855" t="n">
        <v>0</v>
      </c>
      <c r="Q855" t="n">
        <v>0</v>
      </c>
      <c r="R855" s="2" t="inlineStr"/>
    </row>
    <row r="856" ht="15" customHeight="1">
      <c r="A856" t="inlineStr">
        <is>
          <t>A 15718-2024</t>
        </is>
      </c>
      <c r="B856" s="1" t="n">
        <v>45404</v>
      </c>
      <c r="C856" s="1" t="n">
        <v>45849</v>
      </c>
      <c r="D856" t="inlineStr">
        <is>
          <t>DALARNAS LÄN</t>
        </is>
      </c>
      <c r="E856" t="inlineStr">
        <is>
          <t>LUDVIKA</t>
        </is>
      </c>
      <c r="F856" t="inlineStr">
        <is>
          <t>Bergvik skog väst AB</t>
        </is>
      </c>
      <c r="G856" t="n">
        <v>4.8</v>
      </c>
      <c r="H856" t="n">
        <v>0</v>
      </c>
      <c r="I856" t="n">
        <v>0</v>
      </c>
      <c r="J856" t="n">
        <v>0</v>
      </c>
      <c r="K856" t="n">
        <v>0</v>
      </c>
      <c r="L856" t="n">
        <v>0</v>
      </c>
      <c r="M856" t="n">
        <v>0</v>
      </c>
      <c r="N856" t="n">
        <v>0</v>
      </c>
      <c r="O856" t="n">
        <v>0</v>
      </c>
      <c r="P856" t="n">
        <v>0</v>
      </c>
      <c r="Q856" t="n">
        <v>0</v>
      </c>
      <c r="R856" s="2" t="inlineStr"/>
    </row>
    <row r="857" ht="15" customHeight="1">
      <c r="A857" t="inlineStr">
        <is>
          <t>A 15851-2024</t>
        </is>
      </c>
      <c r="B857" s="1" t="n">
        <v>45404</v>
      </c>
      <c r="C857" s="1" t="n">
        <v>45849</v>
      </c>
      <c r="D857" t="inlineStr">
        <is>
          <t>DALARNAS LÄN</t>
        </is>
      </c>
      <c r="E857" t="inlineStr">
        <is>
          <t>LUDVIKA</t>
        </is>
      </c>
      <c r="G857" t="n">
        <v>5.2</v>
      </c>
      <c r="H857" t="n">
        <v>0</v>
      </c>
      <c r="I857" t="n">
        <v>0</v>
      </c>
      <c r="J857" t="n">
        <v>0</v>
      </c>
      <c r="K857" t="n">
        <v>0</v>
      </c>
      <c r="L857" t="n">
        <v>0</v>
      </c>
      <c r="M857" t="n">
        <v>0</v>
      </c>
      <c r="N857" t="n">
        <v>0</v>
      </c>
      <c r="O857" t="n">
        <v>0</v>
      </c>
      <c r="P857" t="n">
        <v>0</v>
      </c>
      <c r="Q857" t="n">
        <v>0</v>
      </c>
      <c r="R857" s="2" t="inlineStr"/>
    </row>
    <row r="858" ht="15" customHeight="1">
      <c r="A858" t="inlineStr">
        <is>
          <t>A 15876-2024</t>
        </is>
      </c>
      <c r="B858" s="1" t="n">
        <v>45405</v>
      </c>
      <c r="C858" s="1" t="n">
        <v>45849</v>
      </c>
      <c r="D858" t="inlineStr">
        <is>
          <t>DALARNAS LÄN</t>
        </is>
      </c>
      <c r="E858" t="inlineStr">
        <is>
          <t>LUDVIKA</t>
        </is>
      </c>
      <c r="F858" t="inlineStr">
        <is>
          <t>Bergvik skog väst AB</t>
        </is>
      </c>
      <c r="G858" t="n">
        <v>1.6</v>
      </c>
      <c r="H858" t="n">
        <v>0</v>
      </c>
      <c r="I858" t="n">
        <v>0</v>
      </c>
      <c r="J858" t="n">
        <v>0</v>
      </c>
      <c r="K858" t="n">
        <v>0</v>
      </c>
      <c r="L858" t="n">
        <v>0</v>
      </c>
      <c r="M858" t="n">
        <v>0</v>
      </c>
      <c r="N858" t="n">
        <v>0</v>
      </c>
      <c r="O858" t="n">
        <v>0</v>
      </c>
      <c r="P858" t="n">
        <v>0</v>
      </c>
      <c r="Q858" t="n">
        <v>0</v>
      </c>
      <c r="R858" s="2" t="inlineStr"/>
    </row>
    <row r="859" ht="15" customHeight="1">
      <c r="A859" t="inlineStr">
        <is>
          <t>A 15939-2024</t>
        </is>
      </c>
      <c r="B859" s="1" t="n">
        <v>45405</v>
      </c>
      <c r="C859" s="1" t="n">
        <v>45849</v>
      </c>
      <c r="D859" t="inlineStr">
        <is>
          <t>DALARNAS LÄN</t>
        </is>
      </c>
      <c r="E859" t="inlineStr">
        <is>
          <t>LUDVIKA</t>
        </is>
      </c>
      <c r="G859" t="n">
        <v>1.3</v>
      </c>
      <c r="H859" t="n">
        <v>0</v>
      </c>
      <c r="I859" t="n">
        <v>0</v>
      </c>
      <c r="J859" t="n">
        <v>0</v>
      </c>
      <c r="K859" t="n">
        <v>0</v>
      </c>
      <c r="L859" t="n">
        <v>0</v>
      </c>
      <c r="M859" t="n">
        <v>0</v>
      </c>
      <c r="N859" t="n">
        <v>0</v>
      </c>
      <c r="O859" t="n">
        <v>0</v>
      </c>
      <c r="P859" t="n">
        <v>0</v>
      </c>
      <c r="Q859" t="n">
        <v>0</v>
      </c>
      <c r="R859" s="2" t="inlineStr"/>
      <c r="U859">
        <f>HYPERLINK("https://klasma.github.io/Logging_2085/knärot/A 15939-2024 karta knärot.png", "A 15939-2024")</f>
        <v/>
      </c>
      <c r="V859">
        <f>HYPERLINK("https://klasma.github.io/Logging_2085/klagomål/A 15939-2024 FSC-klagomål.docx", "A 15939-2024")</f>
        <v/>
      </c>
      <c r="W859">
        <f>HYPERLINK("https://klasma.github.io/Logging_2085/klagomålsmail/A 15939-2024 FSC-klagomål mail.docx", "A 15939-2024")</f>
        <v/>
      </c>
      <c r="X859">
        <f>HYPERLINK("https://klasma.github.io/Logging_2085/tillsyn/A 15939-2024 tillsynsbegäran.docx", "A 15939-2024")</f>
        <v/>
      </c>
      <c r="Y859">
        <f>HYPERLINK("https://klasma.github.io/Logging_2085/tillsynsmail/A 15939-2024 tillsynsbegäran mail.docx", "A 15939-2024")</f>
        <v/>
      </c>
    </row>
    <row r="860" ht="15" customHeight="1">
      <c r="A860" t="inlineStr">
        <is>
          <t>A 16494-2024</t>
        </is>
      </c>
      <c r="B860" s="1" t="n">
        <v>45408</v>
      </c>
      <c r="C860" s="1" t="n">
        <v>45849</v>
      </c>
      <c r="D860" t="inlineStr">
        <is>
          <t>DALARNAS LÄN</t>
        </is>
      </c>
      <c r="E860" t="inlineStr">
        <is>
          <t>LUDVIKA</t>
        </is>
      </c>
      <c r="F860" t="inlineStr">
        <is>
          <t>Bergvik skog väst AB</t>
        </is>
      </c>
      <c r="G860" t="n">
        <v>6.8</v>
      </c>
      <c r="H860" t="n">
        <v>0</v>
      </c>
      <c r="I860" t="n">
        <v>0</v>
      </c>
      <c r="J860" t="n">
        <v>0</v>
      </c>
      <c r="K860" t="n">
        <v>0</v>
      </c>
      <c r="L860" t="n">
        <v>0</v>
      </c>
      <c r="M860" t="n">
        <v>0</v>
      </c>
      <c r="N860" t="n">
        <v>0</v>
      </c>
      <c r="O860" t="n">
        <v>0</v>
      </c>
      <c r="P860" t="n">
        <v>0</v>
      </c>
      <c r="Q860" t="n">
        <v>0</v>
      </c>
      <c r="R860" s="2" t="inlineStr"/>
    </row>
    <row r="861" ht="15" customHeight="1">
      <c r="A861" t="inlineStr">
        <is>
          <t>A 16926-2024</t>
        </is>
      </c>
      <c r="B861" s="1" t="n">
        <v>45411</v>
      </c>
      <c r="C861" s="1" t="n">
        <v>45849</v>
      </c>
      <c r="D861" t="inlineStr">
        <is>
          <t>DALARNAS LÄN</t>
        </is>
      </c>
      <c r="E861" t="inlineStr">
        <is>
          <t>LUDVIKA</t>
        </is>
      </c>
      <c r="F861" t="inlineStr">
        <is>
          <t>Bergvik skog väst AB</t>
        </is>
      </c>
      <c r="G861" t="n">
        <v>0.7</v>
      </c>
      <c r="H861" t="n">
        <v>0</v>
      </c>
      <c r="I861" t="n">
        <v>0</v>
      </c>
      <c r="J861" t="n">
        <v>0</v>
      </c>
      <c r="K861" t="n">
        <v>0</v>
      </c>
      <c r="L861" t="n">
        <v>0</v>
      </c>
      <c r="M861" t="n">
        <v>0</v>
      </c>
      <c r="N861" t="n">
        <v>0</v>
      </c>
      <c r="O861" t="n">
        <v>0</v>
      </c>
      <c r="P861" t="n">
        <v>0</v>
      </c>
      <c r="Q861" t="n">
        <v>0</v>
      </c>
      <c r="R861" s="2" t="inlineStr"/>
    </row>
    <row r="862" ht="15" customHeight="1">
      <c r="A862" t="inlineStr">
        <is>
          <t>A 16814-2024</t>
        </is>
      </c>
      <c r="B862" s="1" t="n">
        <v>45411</v>
      </c>
      <c r="C862" s="1" t="n">
        <v>45849</v>
      </c>
      <c r="D862" t="inlineStr">
        <is>
          <t>DALARNAS LÄN</t>
        </is>
      </c>
      <c r="E862" t="inlineStr">
        <is>
          <t>LUDVIKA</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16928-2024</t>
        </is>
      </c>
      <c r="B863" s="1" t="n">
        <v>45411</v>
      </c>
      <c r="C863" s="1" t="n">
        <v>45849</v>
      </c>
      <c r="D863" t="inlineStr">
        <is>
          <t>DALARNAS LÄN</t>
        </is>
      </c>
      <c r="E863" t="inlineStr">
        <is>
          <t>LUDVIKA</t>
        </is>
      </c>
      <c r="F863" t="inlineStr">
        <is>
          <t>Bergvik skog väst AB</t>
        </is>
      </c>
      <c r="G863" t="n">
        <v>1.4</v>
      </c>
      <c r="H863" t="n">
        <v>0</v>
      </c>
      <c r="I863" t="n">
        <v>0</v>
      </c>
      <c r="J863" t="n">
        <v>0</v>
      </c>
      <c r="K863" t="n">
        <v>0</v>
      </c>
      <c r="L863" t="n">
        <v>0</v>
      </c>
      <c r="M863" t="n">
        <v>0</v>
      </c>
      <c r="N863" t="n">
        <v>0</v>
      </c>
      <c r="O863" t="n">
        <v>0</v>
      </c>
      <c r="P863" t="n">
        <v>0</v>
      </c>
      <c r="Q863" t="n">
        <v>0</v>
      </c>
      <c r="R863" s="2" t="inlineStr"/>
    </row>
    <row r="864" ht="15" customHeight="1">
      <c r="A864" t="inlineStr">
        <is>
          <t>A 16924-2024</t>
        </is>
      </c>
      <c r="B864" s="1" t="n">
        <v>45411</v>
      </c>
      <c r="C864" s="1" t="n">
        <v>45849</v>
      </c>
      <c r="D864" t="inlineStr">
        <is>
          <t>DALARNAS LÄN</t>
        </is>
      </c>
      <c r="E864" t="inlineStr">
        <is>
          <t>LUDVIKA</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17054-2024</t>
        </is>
      </c>
      <c r="B865" s="1" t="n">
        <v>45412</v>
      </c>
      <c r="C865" s="1" t="n">
        <v>45849</v>
      </c>
      <c r="D865" t="inlineStr">
        <is>
          <t>DALARNAS LÄN</t>
        </is>
      </c>
      <c r="E865" t="inlineStr">
        <is>
          <t>LUDVIKA</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17638-2024</t>
        </is>
      </c>
      <c r="B866" s="1" t="n">
        <v>45418</v>
      </c>
      <c r="C866" s="1" t="n">
        <v>45849</v>
      </c>
      <c r="D866" t="inlineStr">
        <is>
          <t>DALARNAS LÄN</t>
        </is>
      </c>
      <c r="E866" t="inlineStr">
        <is>
          <t>LUDVIKA</t>
        </is>
      </c>
      <c r="F866" t="inlineStr">
        <is>
          <t>Bergvik skog väst AB</t>
        </is>
      </c>
      <c r="G866" t="n">
        <v>8.1</v>
      </c>
      <c r="H866" t="n">
        <v>0</v>
      </c>
      <c r="I866" t="n">
        <v>0</v>
      </c>
      <c r="J866" t="n">
        <v>0</v>
      </c>
      <c r="K866" t="n">
        <v>0</v>
      </c>
      <c r="L866" t="n">
        <v>0</v>
      </c>
      <c r="M866" t="n">
        <v>0</v>
      </c>
      <c r="N866" t="n">
        <v>0</v>
      </c>
      <c r="O866" t="n">
        <v>0</v>
      </c>
      <c r="P866" t="n">
        <v>0</v>
      </c>
      <c r="Q866" t="n">
        <v>0</v>
      </c>
      <c r="R866" s="2" t="inlineStr"/>
    </row>
    <row r="867" ht="15" customHeight="1">
      <c r="A867" t="inlineStr">
        <is>
          <t>A 18102-2024</t>
        </is>
      </c>
      <c r="B867" s="1" t="n">
        <v>45420</v>
      </c>
      <c r="C867" s="1" t="n">
        <v>45849</v>
      </c>
      <c r="D867" t="inlineStr">
        <is>
          <t>DALARNAS LÄN</t>
        </is>
      </c>
      <c r="E867" t="inlineStr">
        <is>
          <t>LUDVIKA</t>
        </is>
      </c>
      <c r="F867" t="inlineStr">
        <is>
          <t>Bergvik skog väst AB</t>
        </is>
      </c>
      <c r="G867" t="n">
        <v>3.4</v>
      </c>
      <c r="H867" t="n">
        <v>0</v>
      </c>
      <c r="I867" t="n">
        <v>0</v>
      </c>
      <c r="J867" t="n">
        <v>0</v>
      </c>
      <c r="K867" t="n">
        <v>0</v>
      </c>
      <c r="L867" t="n">
        <v>0</v>
      </c>
      <c r="M867" t="n">
        <v>0</v>
      </c>
      <c r="N867" t="n">
        <v>0</v>
      </c>
      <c r="O867" t="n">
        <v>0</v>
      </c>
      <c r="P867" t="n">
        <v>0</v>
      </c>
      <c r="Q867" t="n">
        <v>0</v>
      </c>
      <c r="R867" s="2" t="inlineStr"/>
    </row>
    <row r="868" ht="15" customHeight="1">
      <c r="A868" t="inlineStr">
        <is>
          <t>A 19030-2024</t>
        </is>
      </c>
      <c r="B868" s="1" t="n">
        <v>45427</v>
      </c>
      <c r="C868" s="1" t="n">
        <v>45849</v>
      </c>
      <c r="D868" t="inlineStr">
        <is>
          <t>DALARNAS LÄN</t>
        </is>
      </c>
      <c r="E868" t="inlineStr">
        <is>
          <t>LUDVIKA</t>
        </is>
      </c>
      <c r="F868" t="inlineStr">
        <is>
          <t>Bergvik skog väst AB</t>
        </is>
      </c>
      <c r="G868" t="n">
        <v>1.6</v>
      </c>
      <c r="H868" t="n">
        <v>0</v>
      </c>
      <c r="I868" t="n">
        <v>0</v>
      </c>
      <c r="J868" t="n">
        <v>0</v>
      </c>
      <c r="K868" t="n">
        <v>0</v>
      </c>
      <c r="L868" t="n">
        <v>0</v>
      </c>
      <c r="M868" t="n">
        <v>0</v>
      </c>
      <c r="N868" t="n">
        <v>0</v>
      </c>
      <c r="O868" t="n">
        <v>0</v>
      </c>
      <c r="P868" t="n">
        <v>0</v>
      </c>
      <c r="Q868" t="n">
        <v>0</v>
      </c>
      <c r="R868" s="2" t="inlineStr"/>
    </row>
    <row r="869" ht="15" customHeight="1">
      <c r="A869" t="inlineStr">
        <is>
          <t>A 19277-2024</t>
        </is>
      </c>
      <c r="B869" s="1" t="n">
        <v>45428</v>
      </c>
      <c r="C869" s="1" t="n">
        <v>45849</v>
      </c>
      <c r="D869" t="inlineStr">
        <is>
          <t>DALARNAS LÄN</t>
        </is>
      </c>
      <c r="E869" t="inlineStr">
        <is>
          <t>LUDVIKA</t>
        </is>
      </c>
      <c r="G869" t="n">
        <v>1.8</v>
      </c>
      <c r="H869" t="n">
        <v>0</v>
      </c>
      <c r="I869" t="n">
        <v>0</v>
      </c>
      <c r="J869" t="n">
        <v>0</v>
      </c>
      <c r="K869" t="n">
        <v>0</v>
      </c>
      <c r="L869" t="n">
        <v>0</v>
      </c>
      <c r="M869" t="n">
        <v>0</v>
      </c>
      <c r="N869" t="n">
        <v>0</v>
      </c>
      <c r="O869" t="n">
        <v>0</v>
      </c>
      <c r="P869" t="n">
        <v>0</v>
      </c>
      <c r="Q869" t="n">
        <v>0</v>
      </c>
      <c r="R869" s="2" t="inlineStr"/>
    </row>
    <row r="870" ht="15" customHeight="1">
      <c r="A870" t="inlineStr">
        <is>
          <t>A 19276-2024</t>
        </is>
      </c>
      <c r="B870" s="1" t="n">
        <v>45428</v>
      </c>
      <c r="C870" s="1" t="n">
        <v>45849</v>
      </c>
      <c r="D870" t="inlineStr">
        <is>
          <t>DALARNAS LÄN</t>
        </is>
      </c>
      <c r="E870" t="inlineStr">
        <is>
          <t>LUDVIKA</t>
        </is>
      </c>
      <c r="G870" t="n">
        <v>2.8</v>
      </c>
      <c r="H870" t="n">
        <v>0</v>
      </c>
      <c r="I870" t="n">
        <v>0</v>
      </c>
      <c r="J870" t="n">
        <v>0</v>
      </c>
      <c r="K870" t="n">
        <v>0</v>
      </c>
      <c r="L870" t="n">
        <v>0</v>
      </c>
      <c r="M870" t="n">
        <v>0</v>
      </c>
      <c r="N870" t="n">
        <v>0</v>
      </c>
      <c r="O870" t="n">
        <v>0</v>
      </c>
      <c r="P870" t="n">
        <v>0</v>
      </c>
      <c r="Q870" t="n">
        <v>0</v>
      </c>
      <c r="R870" s="2" t="inlineStr"/>
    </row>
    <row r="871" ht="15" customHeight="1">
      <c r="A871" t="inlineStr">
        <is>
          <t>A 19463-2024</t>
        </is>
      </c>
      <c r="B871" s="1" t="n">
        <v>45429</v>
      </c>
      <c r="C871" s="1" t="n">
        <v>45849</v>
      </c>
      <c r="D871" t="inlineStr">
        <is>
          <t>DALARNAS LÄN</t>
        </is>
      </c>
      <c r="E871" t="inlineStr">
        <is>
          <t>LUDVIKA</t>
        </is>
      </c>
      <c r="F871" t="inlineStr">
        <is>
          <t>Bergvik skog väst AB</t>
        </is>
      </c>
      <c r="G871" t="n">
        <v>0.8</v>
      </c>
      <c r="H871" t="n">
        <v>0</v>
      </c>
      <c r="I871" t="n">
        <v>0</v>
      </c>
      <c r="J871" t="n">
        <v>0</v>
      </c>
      <c r="K871" t="n">
        <v>0</v>
      </c>
      <c r="L871" t="n">
        <v>0</v>
      </c>
      <c r="M871" t="n">
        <v>0</v>
      </c>
      <c r="N871" t="n">
        <v>0</v>
      </c>
      <c r="O871" t="n">
        <v>0</v>
      </c>
      <c r="P871" t="n">
        <v>0</v>
      </c>
      <c r="Q871" t="n">
        <v>0</v>
      </c>
      <c r="R871" s="2" t="inlineStr"/>
    </row>
    <row r="872" ht="15" customHeight="1">
      <c r="A872" t="inlineStr">
        <is>
          <t>A 19389-2024</t>
        </is>
      </c>
      <c r="B872" s="1" t="n">
        <v>45429</v>
      </c>
      <c r="C872" s="1" t="n">
        <v>45849</v>
      </c>
      <c r="D872" t="inlineStr">
        <is>
          <t>DALARNAS LÄN</t>
        </is>
      </c>
      <c r="E872" t="inlineStr">
        <is>
          <t>LUDVIKA</t>
        </is>
      </c>
      <c r="F872" t="inlineStr">
        <is>
          <t>Bergvik skog väst AB</t>
        </is>
      </c>
      <c r="G872" t="n">
        <v>5.3</v>
      </c>
      <c r="H872" t="n">
        <v>0</v>
      </c>
      <c r="I872" t="n">
        <v>0</v>
      </c>
      <c r="J872" t="n">
        <v>0</v>
      </c>
      <c r="K872" t="n">
        <v>0</v>
      </c>
      <c r="L872" t="n">
        <v>0</v>
      </c>
      <c r="M872" t="n">
        <v>0</v>
      </c>
      <c r="N872" t="n">
        <v>0</v>
      </c>
      <c r="O872" t="n">
        <v>0</v>
      </c>
      <c r="P872" t="n">
        <v>0</v>
      </c>
      <c r="Q872" t="n">
        <v>0</v>
      </c>
      <c r="R872" s="2" t="inlineStr"/>
    </row>
    <row r="873" ht="15" customHeight="1">
      <c r="A873" t="inlineStr">
        <is>
          <t>A 19445-2024</t>
        </is>
      </c>
      <c r="B873" s="1" t="n">
        <v>45429</v>
      </c>
      <c r="C873" s="1" t="n">
        <v>45849</v>
      </c>
      <c r="D873" t="inlineStr">
        <is>
          <t>DALARNAS LÄN</t>
        </is>
      </c>
      <c r="E873" t="inlineStr">
        <is>
          <t>LUDVIKA</t>
        </is>
      </c>
      <c r="F873" t="inlineStr">
        <is>
          <t>Bergvik skog väst AB</t>
        </is>
      </c>
      <c r="G873" t="n">
        <v>7.9</v>
      </c>
      <c r="H873" t="n">
        <v>0</v>
      </c>
      <c r="I873" t="n">
        <v>0</v>
      </c>
      <c r="J873" t="n">
        <v>0</v>
      </c>
      <c r="K873" t="n">
        <v>0</v>
      </c>
      <c r="L873" t="n">
        <v>0</v>
      </c>
      <c r="M873" t="n">
        <v>0</v>
      </c>
      <c r="N873" t="n">
        <v>0</v>
      </c>
      <c r="O873" t="n">
        <v>0</v>
      </c>
      <c r="P873" t="n">
        <v>0</v>
      </c>
      <c r="Q873" t="n">
        <v>0</v>
      </c>
      <c r="R873" s="2" t="inlineStr"/>
    </row>
    <row r="874" ht="15" customHeight="1">
      <c r="A874" t="inlineStr">
        <is>
          <t>A 19651-2024</t>
        </is>
      </c>
      <c r="B874" s="1" t="n">
        <v>45432</v>
      </c>
      <c r="C874" s="1" t="n">
        <v>45849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19684-2024</t>
        </is>
      </c>
      <c r="B875" s="1" t="n">
        <v>45432</v>
      </c>
      <c r="C875" s="1" t="n">
        <v>45849</v>
      </c>
      <c r="D875" t="inlineStr">
        <is>
          <t>DALARNAS LÄN</t>
        </is>
      </c>
      <c r="E875" t="inlineStr">
        <is>
          <t>LUDVIKA</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19688-2024</t>
        </is>
      </c>
      <c r="B876" s="1" t="n">
        <v>45432</v>
      </c>
      <c r="C876" s="1" t="n">
        <v>45849</v>
      </c>
      <c r="D876" t="inlineStr">
        <is>
          <t>DALARNAS LÄN</t>
        </is>
      </c>
      <c r="E876" t="inlineStr">
        <is>
          <t>LUDVIKA</t>
        </is>
      </c>
      <c r="F876" t="inlineStr">
        <is>
          <t>Bergvik skog väst AB</t>
        </is>
      </c>
      <c r="G876" t="n">
        <v>10</v>
      </c>
      <c r="H876" t="n">
        <v>0</v>
      </c>
      <c r="I876" t="n">
        <v>0</v>
      </c>
      <c r="J876" t="n">
        <v>0</v>
      </c>
      <c r="K876" t="n">
        <v>0</v>
      </c>
      <c r="L876" t="n">
        <v>0</v>
      </c>
      <c r="M876" t="n">
        <v>0</v>
      </c>
      <c r="N876" t="n">
        <v>0</v>
      </c>
      <c r="O876" t="n">
        <v>0</v>
      </c>
      <c r="P876" t="n">
        <v>0</v>
      </c>
      <c r="Q876" t="n">
        <v>0</v>
      </c>
      <c r="R876" s="2" t="inlineStr"/>
    </row>
    <row r="877" ht="15" customHeight="1">
      <c r="A877" t="inlineStr">
        <is>
          <t>A 20692-2024</t>
        </is>
      </c>
      <c r="B877" s="1" t="n">
        <v>45436</v>
      </c>
      <c r="C877" s="1" t="n">
        <v>45849</v>
      </c>
      <c r="D877" t="inlineStr">
        <is>
          <t>DALARNAS LÄN</t>
        </is>
      </c>
      <c r="E877" t="inlineStr">
        <is>
          <t>LUDVIKA</t>
        </is>
      </c>
      <c r="F877" t="inlineStr">
        <is>
          <t>Bergvik skog väst AB</t>
        </is>
      </c>
      <c r="G877" t="n">
        <v>12.8</v>
      </c>
      <c r="H877" t="n">
        <v>0</v>
      </c>
      <c r="I877" t="n">
        <v>0</v>
      </c>
      <c r="J877" t="n">
        <v>0</v>
      </c>
      <c r="K877" t="n">
        <v>0</v>
      </c>
      <c r="L877" t="n">
        <v>0</v>
      </c>
      <c r="M877" t="n">
        <v>0</v>
      </c>
      <c r="N877" t="n">
        <v>0</v>
      </c>
      <c r="O877" t="n">
        <v>0</v>
      </c>
      <c r="P877" t="n">
        <v>0</v>
      </c>
      <c r="Q877" t="n">
        <v>0</v>
      </c>
      <c r="R877" s="2" t="inlineStr"/>
    </row>
    <row r="878" ht="15" customHeight="1">
      <c r="A878" t="inlineStr">
        <is>
          <t>A 23103-2024</t>
        </is>
      </c>
      <c r="B878" s="1" t="n">
        <v>45450</v>
      </c>
      <c r="C878" s="1" t="n">
        <v>45849</v>
      </c>
      <c r="D878" t="inlineStr">
        <is>
          <t>DALARNAS LÄN</t>
        </is>
      </c>
      <c r="E878" t="inlineStr">
        <is>
          <t>LUDVIKA</t>
        </is>
      </c>
      <c r="G878" t="n">
        <v>0.6</v>
      </c>
      <c r="H878" t="n">
        <v>0</v>
      </c>
      <c r="I878" t="n">
        <v>0</v>
      </c>
      <c r="J878" t="n">
        <v>0</v>
      </c>
      <c r="K878" t="n">
        <v>0</v>
      </c>
      <c r="L878" t="n">
        <v>0</v>
      </c>
      <c r="M878" t="n">
        <v>0</v>
      </c>
      <c r="N878" t="n">
        <v>0</v>
      </c>
      <c r="O878" t="n">
        <v>0</v>
      </c>
      <c r="P878" t="n">
        <v>0</v>
      </c>
      <c r="Q878" t="n">
        <v>0</v>
      </c>
      <c r="R878" s="2" t="inlineStr"/>
    </row>
    <row r="879" ht="15" customHeight="1">
      <c r="A879" t="inlineStr">
        <is>
          <t>A 23443-2024</t>
        </is>
      </c>
      <c r="B879" s="1" t="n">
        <v>45453</v>
      </c>
      <c r="C879" s="1" t="n">
        <v>45849</v>
      </c>
      <c r="D879" t="inlineStr">
        <is>
          <t>DALARNAS LÄN</t>
        </is>
      </c>
      <c r="E879" t="inlineStr">
        <is>
          <t>LUDVIKA</t>
        </is>
      </c>
      <c r="F879" t="inlineStr">
        <is>
          <t>Bergvik skog väst AB</t>
        </is>
      </c>
      <c r="G879" t="n">
        <v>3.2</v>
      </c>
      <c r="H879" t="n">
        <v>0</v>
      </c>
      <c r="I879" t="n">
        <v>0</v>
      </c>
      <c r="J879" t="n">
        <v>0</v>
      </c>
      <c r="K879" t="n">
        <v>0</v>
      </c>
      <c r="L879" t="n">
        <v>0</v>
      </c>
      <c r="M879" t="n">
        <v>0</v>
      </c>
      <c r="N879" t="n">
        <v>0</v>
      </c>
      <c r="O879" t="n">
        <v>0</v>
      </c>
      <c r="P879" t="n">
        <v>0</v>
      </c>
      <c r="Q879" t="n">
        <v>0</v>
      </c>
      <c r="R879" s="2" t="inlineStr"/>
    </row>
    <row r="880" ht="15" customHeight="1">
      <c r="A880" t="inlineStr">
        <is>
          <t>A 23392-2024</t>
        </is>
      </c>
      <c r="B880" s="1" t="n">
        <v>45453</v>
      </c>
      <c r="C880" s="1" t="n">
        <v>45849</v>
      </c>
      <c r="D880" t="inlineStr">
        <is>
          <t>DALARNAS LÄN</t>
        </is>
      </c>
      <c r="E880" t="inlineStr">
        <is>
          <t>LUDVIKA</t>
        </is>
      </c>
      <c r="G880" t="n">
        <v>5.2</v>
      </c>
      <c r="H880" t="n">
        <v>0</v>
      </c>
      <c r="I880" t="n">
        <v>0</v>
      </c>
      <c r="J880" t="n">
        <v>0</v>
      </c>
      <c r="K880" t="n">
        <v>0</v>
      </c>
      <c r="L880" t="n">
        <v>0</v>
      </c>
      <c r="M880" t="n">
        <v>0</v>
      </c>
      <c r="N880" t="n">
        <v>0</v>
      </c>
      <c r="O880" t="n">
        <v>0</v>
      </c>
      <c r="P880" t="n">
        <v>0</v>
      </c>
      <c r="Q880" t="n">
        <v>0</v>
      </c>
      <c r="R880" s="2" t="inlineStr"/>
    </row>
    <row r="881" ht="15" customHeight="1">
      <c r="A881" t="inlineStr">
        <is>
          <t>A 23383-2024</t>
        </is>
      </c>
      <c r="B881" s="1" t="n">
        <v>45453</v>
      </c>
      <c r="C881" s="1" t="n">
        <v>45849</v>
      </c>
      <c r="D881" t="inlineStr">
        <is>
          <t>DALARNAS LÄN</t>
        </is>
      </c>
      <c r="E881" t="inlineStr">
        <is>
          <t>LUDVIKA</t>
        </is>
      </c>
      <c r="G881" t="n">
        <v>1.6</v>
      </c>
      <c r="H881" t="n">
        <v>0</v>
      </c>
      <c r="I881" t="n">
        <v>0</v>
      </c>
      <c r="J881" t="n">
        <v>0</v>
      </c>
      <c r="K881" t="n">
        <v>0</v>
      </c>
      <c r="L881" t="n">
        <v>0</v>
      </c>
      <c r="M881" t="n">
        <v>0</v>
      </c>
      <c r="N881" t="n">
        <v>0</v>
      </c>
      <c r="O881" t="n">
        <v>0</v>
      </c>
      <c r="P881" t="n">
        <v>0</v>
      </c>
      <c r="Q881" t="n">
        <v>0</v>
      </c>
      <c r="R881" s="2" t="inlineStr"/>
    </row>
    <row r="882" ht="15" customHeight="1">
      <c r="A882" t="inlineStr">
        <is>
          <t>A 23363-2024</t>
        </is>
      </c>
      <c r="B882" s="1" t="n">
        <v>45453</v>
      </c>
      <c r="C882" s="1" t="n">
        <v>45849</v>
      </c>
      <c r="D882" t="inlineStr">
        <is>
          <t>DALARNAS LÄN</t>
        </is>
      </c>
      <c r="E882" t="inlineStr">
        <is>
          <t>LUDVIKA</t>
        </is>
      </c>
      <c r="G882" t="n">
        <v>6.4</v>
      </c>
      <c r="H882" t="n">
        <v>0</v>
      </c>
      <c r="I882" t="n">
        <v>0</v>
      </c>
      <c r="J882" t="n">
        <v>0</v>
      </c>
      <c r="K882" t="n">
        <v>0</v>
      </c>
      <c r="L882" t="n">
        <v>0</v>
      </c>
      <c r="M882" t="n">
        <v>0</v>
      </c>
      <c r="N882" t="n">
        <v>0</v>
      </c>
      <c r="O882" t="n">
        <v>0</v>
      </c>
      <c r="P882" t="n">
        <v>0</v>
      </c>
      <c r="Q882" t="n">
        <v>0</v>
      </c>
      <c r="R882" s="2" t="inlineStr"/>
    </row>
    <row r="883" ht="15" customHeight="1">
      <c r="A883" t="inlineStr">
        <is>
          <t>A 23689-2024</t>
        </is>
      </c>
      <c r="B883" s="1" t="n">
        <v>45454</v>
      </c>
      <c r="C883" s="1" t="n">
        <v>45849</v>
      </c>
      <c r="D883" t="inlineStr">
        <is>
          <t>DALARNAS LÄN</t>
        </is>
      </c>
      <c r="E883" t="inlineStr">
        <is>
          <t>LUDVIKA</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23867-2024</t>
        </is>
      </c>
      <c r="B884" s="1" t="n">
        <v>45455</v>
      </c>
      <c r="C884" s="1" t="n">
        <v>45849</v>
      </c>
      <c r="D884" t="inlineStr">
        <is>
          <t>DALARNAS LÄN</t>
        </is>
      </c>
      <c r="E884" t="inlineStr">
        <is>
          <t>LUDVIKA</t>
        </is>
      </c>
      <c r="G884" t="n">
        <v>2.4</v>
      </c>
      <c r="H884" t="n">
        <v>0</v>
      </c>
      <c r="I884" t="n">
        <v>0</v>
      </c>
      <c r="J884" t="n">
        <v>0</v>
      </c>
      <c r="K884" t="n">
        <v>0</v>
      </c>
      <c r="L884" t="n">
        <v>0</v>
      </c>
      <c r="M884" t="n">
        <v>0</v>
      </c>
      <c r="N884" t="n">
        <v>0</v>
      </c>
      <c r="O884" t="n">
        <v>0</v>
      </c>
      <c r="P884" t="n">
        <v>0</v>
      </c>
      <c r="Q884" t="n">
        <v>0</v>
      </c>
      <c r="R884" s="2" t="inlineStr"/>
    </row>
    <row r="885" ht="15" customHeight="1">
      <c r="A885" t="inlineStr">
        <is>
          <t>A 24712-2024</t>
        </is>
      </c>
      <c r="B885" s="1" t="n">
        <v>45460</v>
      </c>
      <c r="C885" s="1" t="n">
        <v>45849</v>
      </c>
      <c r="D885" t="inlineStr">
        <is>
          <t>DALARNAS LÄN</t>
        </is>
      </c>
      <c r="E885" t="inlineStr">
        <is>
          <t>LUDVIKA</t>
        </is>
      </c>
      <c r="G885" t="n">
        <v>4.2</v>
      </c>
      <c r="H885" t="n">
        <v>0</v>
      </c>
      <c r="I885" t="n">
        <v>0</v>
      </c>
      <c r="J885" t="n">
        <v>0</v>
      </c>
      <c r="K885" t="n">
        <v>0</v>
      </c>
      <c r="L885" t="n">
        <v>0</v>
      </c>
      <c r="M885" t="n">
        <v>0</v>
      </c>
      <c r="N885" t="n">
        <v>0</v>
      </c>
      <c r="O885" t="n">
        <v>0</v>
      </c>
      <c r="P885" t="n">
        <v>0</v>
      </c>
      <c r="Q885" t="n">
        <v>0</v>
      </c>
      <c r="R885" s="2" t="inlineStr"/>
    </row>
    <row r="886" ht="15" customHeight="1">
      <c r="A886" t="inlineStr">
        <is>
          <t>A 24977-2024</t>
        </is>
      </c>
      <c r="B886" s="1" t="n">
        <v>45461</v>
      </c>
      <c r="C886" s="1" t="n">
        <v>45849</v>
      </c>
      <c r="D886" t="inlineStr">
        <is>
          <t>DALARNAS LÄN</t>
        </is>
      </c>
      <c r="E886" t="inlineStr">
        <is>
          <t>LUDVIKA</t>
        </is>
      </c>
      <c r="F886" t="inlineStr">
        <is>
          <t>Bergvik skog väst AB</t>
        </is>
      </c>
      <c r="G886" t="n">
        <v>15.4</v>
      </c>
      <c r="H886" t="n">
        <v>0</v>
      </c>
      <c r="I886" t="n">
        <v>0</v>
      </c>
      <c r="J886" t="n">
        <v>0</v>
      </c>
      <c r="K886" t="n">
        <v>0</v>
      </c>
      <c r="L886" t="n">
        <v>0</v>
      </c>
      <c r="M886" t="n">
        <v>0</v>
      </c>
      <c r="N886" t="n">
        <v>0</v>
      </c>
      <c r="O886" t="n">
        <v>0</v>
      </c>
      <c r="P886" t="n">
        <v>0</v>
      </c>
      <c r="Q886" t="n">
        <v>0</v>
      </c>
      <c r="R886" s="2" t="inlineStr"/>
    </row>
    <row r="887" ht="15" customHeight="1">
      <c r="A887" t="inlineStr">
        <is>
          <t>A 25281-2024</t>
        </is>
      </c>
      <c r="B887" s="1" t="n">
        <v>45462</v>
      </c>
      <c r="C887" s="1" t="n">
        <v>45849</v>
      </c>
      <c r="D887" t="inlineStr">
        <is>
          <t>DALARNAS LÄN</t>
        </is>
      </c>
      <c r="E887" t="inlineStr">
        <is>
          <t>LUDVIKA</t>
        </is>
      </c>
      <c r="F887" t="inlineStr">
        <is>
          <t>Bergvik skog väst AB</t>
        </is>
      </c>
      <c r="G887" t="n">
        <v>14.8</v>
      </c>
      <c r="H887" t="n">
        <v>0</v>
      </c>
      <c r="I887" t="n">
        <v>0</v>
      </c>
      <c r="J887" t="n">
        <v>0</v>
      </c>
      <c r="K887" t="n">
        <v>0</v>
      </c>
      <c r="L887" t="n">
        <v>0</v>
      </c>
      <c r="M887" t="n">
        <v>0</v>
      </c>
      <c r="N887" t="n">
        <v>0</v>
      </c>
      <c r="O887" t="n">
        <v>0</v>
      </c>
      <c r="P887" t="n">
        <v>0</v>
      </c>
      <c r="Q887" t="n">
        <v>0</v>
      </c>
      <c r="R887" s="2" t="inlineStr"/>
    </row>
    <row r="888" ht="15" customHeight="1">
      <c r="A888" t="inlineStr">
        <is>
          <t>A 26856-2024</t>
        </is>
      </c>
      <c r="B888" s="1" t="n">
        <v>45470</v>
      </c>
      <c r="C888" s="1" t="n">
        <v>45849</v>
      </c>
      <c r="D888" t="inlineStr">
        <is>
          <t>DALARNAS LÄN</t>
        </is>
      </c>
      <c r="E888" t="inlineStr">
        <is>
          <t>LUDVIKA</t>
        </is>
      </c>
      <c r="G888" t="n">
        <v>3.2</v>
      </c>
      <c r="H888" t="n">
        <v>0</v>
      </c>
      <c r="I888" t="n">
        <v>0</v>
      </c>
      <c r="J888" t="n">
        <v>0</v>
      </c>
      <c r="K888" t="n">
        <v>0</v>
      </c>
      <c r="L888" t="n">
        <v>0</v>
      </c>
      <c r="M888" t="n">
        <v>0</v>
      </c>
      <c r="N888" t="n">
        <v>0</v>
      </c>
      <c r="O888" t="n">
        <v>0</v>
      </c>
      <c r="P888" t="n">
        <v>0</v>
      </c>
      <c r="Q888" t="n">
        <v>0</v>
      </c>
      <c r="R888" s="2" t="inlineStr"/>
    </row>
    <row r="889" ht="15" customHeight="1">
      <c r="A889" t="inlineStr">
        <is>
          <t>A 27044-2024</t>
        </is>
      </c>
      <c r="B889" s="1" t="n">
        <v>45471</v>
      </c>
      <c r="C889" s="1" t="n">
        <v>45849</v>
      </c>
      <c r="D889" t="inlineStr">
        <is>
          <t>DALARNAS LÄN</t>
        </is>
      </c>
      <c r="E889" t="inlineStr">
        <is>
          <t>LUDVIKA</t>
        </is>
      </c>
      <c r="G889" t="n">
        <v>0.7</v>
      </c>
      <c r="H889" t="n">
        <v>0</v>
      </c>
      <c r="I889" t="n">
        <v>0</v>
      </c>
      <c r="J889" t="n">
        <v>0</v>
      </c>
      <c r="K889" t="n">
        <v>0</v>
      </c>
      <c r="L889" t="n">
        <v>0</v>
      </c>
      <c r="M889" t="n">
        <v>0</v>
      </c>
      <c r="N889" t="n">
        <v>0</v>
      </c>
      <c r="O889" t="n">
        <v>0</v>
      </c>
      <c r="P889" t="n">
        <v>0</v>
      </c>
      <c r="Q889" t="n">
        <v>0</v>
      </c>
      <c r="R889" s="2" t="inlineStr"/>
    </row>
    <row r="890" ht="15" customHeight="1">
      <c r="A890" t="inlineStr">
        <is>
          <t>A 27389-2024</t>
        </is>
      </c>
      <c r="B890" s="1" t="n">
        <v>45474</v>
      </c>
      <c r="C890" s="1" t="n">
        <v>45849</v>
      </c>
      <c r="D890" t="inlineStr">
        <is>
          <t>DALARNAS LÄN</t>
        </is>
      </c>
      <c r="E890" t="inlineStr">
        <is>
          <t>LUDVIKA</t>
        </is>
      </c>
      <c r="G890" t="n">
        <v>0.6</v>
      </c>
      <c r="H890" t="n">
        <v>0</v>
      </c>
      <c r="I890" t="n">
        <v>0</v>
      </c>
      <c r="J890" t="n">
        <v>0</v>
      </c>
      <c r="K890" t="n">
        <v>0</v>
      </c>
      <c r="L890" t="n">
        <v>0</v>
      </c>
      <c r="M890" t="n">
        <v>0</v>
      </c>
      <c r="N890" t="n">
        <v>0</v>
      </c>
      <c r="O890" t="n">
        <v>0</v>
      </c>
      <c r="P890" t="n">
        <v>0</v>
      </c>
      <c r="Q890" t="n">
        <v>0</v>
      </c>
      <c r="R890" s="2" t="inlineStr"/>
    </row>
    <row r="891" ht="15" customHeight="1">
      <c r="A891" t="inlineStr">
        <is>
          <t>A 27425-2024</t>
        </is>
      </c>
      <c r="B891" s="1" t="n">
        <v>45474</v>
      </c>
      <c r="C891" s="1" t="n">
        <v>45849</v>
      </c>
      <c r="D891" t="inlineStr">
        <is>
          <t>DALARNAS LÄN</t>
        </is>
      </c>
      <c r="E891" t="inlineStr">
        <is>
          <t>LUDVIKA</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27429-2024</t>
        </is>
      </c>
      <c r="B892" s="1" t="n">
        <v>45474</v>
      </c>
      <c r="C892" s="1" t="n">
        <v>45849</v>
      </c>
      <c r="D892" t="inlineStr">
        <is>
          <t>DALARNAS LÄN</t>
        </is>
      </c>
      <c r="E892" t="inlineStr">
        <is>
          <t>LUDVIKA</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28085-2024</t>
        </is>
      </c>
      <c r="B893" s="1" t="n">
        <v>45476</v>
      </c>
      <c r="C893" s="1" t="n">
        <v>45849</v>
      </c>
      <c r="D893" t="inlineStr">
        <is>
          <t>DALARNAS LÄN</t>
        </is>
      </c>
      <c r="E893" t="inlineStr">
        <is>
          <t>LUDVIKA</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28124-2024</t>
        </is>
      </c>
      <c r="B894" s="1" t="n">
        <v>45476</v>
      </c>
      <c r="C894" s="1" t="n">
        <v>45849</v>
      </c>
      <c r="D894" t="inlineStr">
        <is>
          <t>DALARNAS LÄN</t>
        </is>
      </c>
      <c r="E894" t="inlineStr">
        <is>
          <t>LUDVIKA</t>
        </is>
      </c>
      <c r="F894" t="inlineStr">
        <is>
          <t>Bergvik skog väst AB</t>
        </is>
      </c>
      <c r="G894" t="n">
        <v>2.9</v>
      </c>
      <c r="H894" t="n">
        <v>0</v>
      </c>
      <c r="I894" t="n">
        <v>0</v>
      </c>
      <c r="J894" t="n">
        <v>0</v>
      </c>
      <c r="K894" t="n">
        <v>0</v>
      </c>
      <c r="L894" t="n">
        <v>0</v>
      </c>
      <c r="M894" t="n">
        <v>0</v>
      </c>
      <c r="N894" t="n">
        <v>0</v>
      </c>
      <c r="O894" t="n">
        <v>0</v>
      </c>
      <c r="P894" t="n">
        <v>0</v>
      </c>
      <c r="Q894" t="n">
        <v>0</v>
      </c>
      <c r="R894" s="2" t="inlineStr"/>
    </row>
    <row r="895" ht="15" customHeight="1">
      <c r="A895" t="inlineStr">
        <is>
          <t>A 28698-2024</t>
        </is>
      </c>
      <c r="B895" s="1" t="n">
        <v>45478</v>
      </c>
      <c r="C895" s="1" t="n">
        <v>45849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29114-2024</t>
        </is>
      </c>
      <c r="B896" s="1" t="n">
        <v>45482</v>
      </c>
      <c r="C896" s="1" t="n">
        <v>45849</v>
      </c>
      <c r="D896" t="inlineStr">
        <is>
          <t>DALARNAS LÄN</t>
        </is>
      </c>
      <c r="E896" t="inlineStr">
        <is>
          <t>LUDVIKA</t>
        </is>
      </c>
      <c r="G896" t="n">
        <v>1</v>
      </c>
      <c r="H896" t="n">
        <v>0</v>
      </c>
      <c r="I896" t="n">
        <v>0</v>
      </c>
      <c r="J896" t="n">
        <v>0</v>
      </c>
      <c r="K896" t="n">
        <v>0</v>
      </c>
      <c r="L896" t="n">
        <v>0</v>
      </c>
      <c r="M896" t="n">
        <v>0</v>
      </c>
      <c r="N896" t="n">
        <v>0</v>
      </c>
      <c r="O896" t="n">
        <v>0</v>
      </c>
      <c r="P896" t="n">
        <v>0</v>
      </c>
      <c r="Q896" t="n">
        <v>0</v>
      </c>
      <c r="R896" s="2" t="inlineStr"/>
    </row>
    <row r="897" ht="15" customHeight="1">
      <c r="A897" t="inlineStr">
        <is>
          <t>A 29007-2024</t>
        </is>
      </c>
      <c r="B897" s="1" t="n">
        <v>45481</v>
      </c>
      <c r="C897" s="1" t="n">
        <v>45849</v>
      </c>
      <c r="D897" t="inlineStr">
        <is>
          <t>DALARNAS LÄN</t>
        </is>
      </c>
      <c r="E897" t="inlineStr">
        <is>
          <t>LUDVIKA</t>
        </is>
      </c>
      <c r="G897" t="n">
        <v>2.4</v>
      </c>
      <c r="H897" t="n">
        <v>0</v>
      </c>
      <c r="I897" t="n">
        <v>0</v>
      </c>
      <c r="J897" t="n">
        <v>0</v>
      </c>
      <c r="K897" t="n">
        <v>0</v>
      </c>
      <c r="L897" t="n">
        <v>0</v>
      </c>
      <c r="M897" t="n">
        <v>0</v>
      </c>
      <c r="N897" t="n">
        <v>0</v>
      </c>
      <c r="O897" t="n">
        <v>0</v>
      </c>
      <c r="P897" t="n">
        <v>0</v>
      </c>
      <c r="Q897" t="n">
        <v>0</v>
      </c>
      <c r="R897" s="2" t="inlineStr"/>
    </row>
    <row r="898" ht="15" customHeight="1">
      <c r="A898" t="inlineStr">
        <is>
          <t>A 28921-2024</t>
        </is>
      </c>
      <c r="B898" s="1" t="n">
        <v>45481</v>
      </c>
      <c r="C898" s="1" t="n">
        <v>45849</v>
      </c>
      <c r="D898" t="inlineStr">
        <is>
          <t>DALARNAS LÄN</t>
        </is>
      </c>
      <c r="E898" t="inlineStr">
        <is>
          <t>LUDVIKA</t>
        </is>
      </c>
      <c r="G898" t="n">
        <v>4.2</v>
      </c>
      <c r="H898" t="n">
        <v>0</v>
      </c>
      <c r="I898" t="n">
        <v>0</v>
      </c>
      <c r="J898" t="n">
        <v>0</v>
      </c>
      <c r="K898" t="n">
        <v>0</v>
      </c>
      <c r="L898" t="n">
        <v>0</v>
      </c>
      <c r="M898" t="n">
        <v>0</v>
      </c>
      <c r="N898" t="n">
        <v>0</v>
      </c>
      <c r="O898" t="n">
        <v>0</v>
      </c>
      <c r="P898" t="n">
        <v>0</v>
      </c>
      <c r="Q898" t="n">
        <v>0</v>
      </c>
      <c r="R898" s="2" t="inlineStr"/>
    </row>
    <row r="899" ht="15" customHeight="1">
      <c r="A899" t="inlineStr">
        <is>
          <t>A 29320-2024</t>
        </is>
      </c>
      <c r="B899" s="1" t="n">
        <v>45483</v>
      </c>
      <c r="C899" s="1" t="n">
        <v>45849</v>
      </c>
      <c r="D899" t="inlineStr">
        <is>
          <t>DALARNAS LÄN</t>
        </is>
      </c>
      <c r="E899" t="inlineStr">
        <is>
          <t>LUDVIKA</t>
        </is>
      </c>
      <c r="G899" t="n">
        <v>4.6</v>
      </c>
      <c r="H899" t="n">
        <v>0</v>
      </c>
      <c r="I899" t="n">
        <v>0</v>
      </c>
      <c r="J899" t="n">
        <v>0</v>
      </c>
      <c r="K899" t="n">
        <v>0</v>
      </c>
      <c r="L899" t="n">
        <v>0</v>
      </c>
      <c r="M899" t="n">
        <v>0</v>
      </c>
      <c r="N899" t="n">
        <v>0</v>
      </c>
      <c r="O899" t="n">
        <v>0</v>
      </c>
      <c r="P899" t="n">
        <v>0</v>
      </c>
      <c r="Q899" t="n">
        <v>0</v>
      </c>
      <c r="R899" s="2" t="inlineStr"/>
    </row>
    <row r="900" ht="15" customHeight="1">
      <c r="A900" t="inlineStr">
        <is>
          <t>A 29453-2024</t>
        </is>
      </c>
      <c r="B900" s="1" t="n">
        <v>45484</v>
      </c>
      <c r="C900" s="1" t="n">
        <v>45849</v>
      </c>
      <c r="D900" t="inlineStr">
        <is>
          <t>DALARNAS LÄN</t>
        </is>
      </c>
      <c r="E900" t="inlineStr">
        <is>
          <t>LUDVIKA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29965-2024</t>
        </is>
      </c>
      <c r="B901" s="1" t="n">
        <v>45485</v>
      </c>
      <c r="C901" s="1" t="n">
        <v>45849</v>
      </c>
      <c r="D901" t="inlineStr">
        <is>
          <t>DALARNAS LÄN</t>
        </is>
      </c>
      <c r="E901" t="inlineStr">
        <is>
          <t>LUDVIKA</t>
        </is>
      </c>
      <c r="G901" t="n">
        <v>11.4</v>
      </c>
      <c r="H901" t="n">
        <v>0</v>
      </c>
      <c r="I901" t="n">
        <v>0</v>
      </c>
      <c r="J901" t="n">
        <v>0</v>
      </c>
      <c r="K901" t="n">
        <v>0</v>
      </c>
      <c r="L901" t="n">
        <v>0</v>
      </c>
      <c r="M901" t="n">
        <v>0</v>
      </c>
      <c r="N901" t="n">
        <v>0</v>
      </c>
      <c r="O901" t="n">
        <v>0</v>
      </c>
      <c r="P901" t="n">
        <v>0</v>
      </c>
      <c r="Q901" t="n">
        <v>0</v>
      </c>
      <c r="R901" s="2" t="inlineStr"/>
    </row>
    <row r="902" ht="15" customHeight="1">
      <c r="A902" t="inlineStr">
        <is>
          <t>A 29743-2024</t>
        </is>
      </c>
      <c r="B902" s="1" t="n">
        <v>45485</v>
      </c>
      <c r="C902" s="1" t="n">
        <v>45849</v>
      </c>
      <c r="D902" t="inlineStr">
        <is>
          <t>DALARNAS LÄN</t>
        </is>
      </c>
      <c r="E902" t="inlineStr">
        <is>
          <t>LUDVIKA</t>
        </is>
      </c>
      <c r="G902" t="n">
        <v>0.7</v>
      </c>
      <c r="H902" t="n">
        <v>0</v>
      </c>
      <c r="I902" t="n">
        <v>0</v>
      </c>
      <c r="J902" t="n">
        <v>0</v>
      </c>
      <c r="K902" t="n">
        <v>0</v>
      </c>
      <c r="L902" t="n">
        <v>0</v>
      </c>
      <c r="M902" t="n">
        <v>0</v>
      </c>
      <c r="N902" t="n">
        <v>0</v>
      </c>
      <c r="O902" t="n">
        <v>0</v>
      </c>
      <c r="P902" t="n">
        <v>0</v>
      </c>
      <c r="Q902" t="n">
        <v>0</v>
      </c>
      <c r="R902" s="2" t="inlineStr"/>
    </row>
    <row r="903" ht="15" customHeight="1">
      <c r="A903" t="inlineStr">
        <is>
          <t>A 29709-2024</t>
        </is>
      </c>
      <c r="B903" s="1" t="n">
        <v>45485</v>
      </c>
      <c r="C903" s="1" t="n">
        <v>45849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29780-2024</t>
        </is>
      </c>
      <c r="B904" s="1" t="n">
        <v>45485</v>
      </c>
      <c r="C904" s="1" t="n">
        <v>45849</v>
      </c>
      <c r="D904" t="inlineStr">
        <is>
          <t>DALARNAS LÄN</t>
        </is>
      </c>
      <c r="E904" t="inlineStr">
        <is>
          <t>LUDVIKA</t>
        </is>
      </c>
      <c r="F904" t="inlineStr">
        <is>
          <t>Bergvik skog väst AB</t>
        </is>
      </c>
      <c r="G904" t="n">
        <v>1.2</v>
      </c>
      <c r="H904" t="n">
        <v>0</v>
      </c>
      <c r="I904" t="n">
        <v>0</v>
      </c>
      <c r="J904" t="n">
        <v>0</v>
      </c>
      <c r="K904" t="n">
        <v>0</v>
      </c>
      <c r="L904" t="n">
        <v>0</v>
      </c>
      <c r="M904" t="n">
        <v>0</v>
      </c>
      <c r="N904" t="n">
        <v>0</v>
      </c>
      <c r="O904" t="n">
        <v>0</v>
      </c>
      <c r="P904" t="n">
        <v>0</v>
      </c>
      <c r="Q904" t="n">
        <v>0</v>
      </c>
      <c r="R904" s="2" t="inlineStr"/>
    </row>
    <row r="905" ht="15" customHeight="1">
      <c r="A905" t="inlineStr">
        <is>
          <t>A 29757-2024</t>
        </is>
      </c>
      <c r="B905" s="1" t="n">
        <v>45485</v>
      </c>
      <c r="C905" s="1" t="n">
        <v>45849</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29882-2024</t>
        </is>
      </c>
      <c r="B906" s="1" t="n">
        <v>45486</v>
      </c>
      <c r="C906" s="1" t="n">
        <v>45849</v>
      </c>
      <c r="D906" t="inlineStr">
        <is>
          <t>DALARNAS LÄN</t>
        </is>
      </c>
      <c r="E906" t="inlineStr">
        <is>
          <t>LUDVIKA</t>
        </is>
      </c>
      <c r="G906" t="n">
        <v>1.3</v>
      </c>
      <c r="H906" t="n">
        <v>0</v>
      </c>
      <c r="I906" t="n">
        <v>0</v>
      </c>
      <c r="J906" t="n">
        <v>0</v>
      </c>
      <c r="K906" t="n">
        <v>0</v>
      </c>
      <c r="L906" t="n">
        <v>0</v>
      </c>
      <c r="M906" t="n">
        <v>0</v>
      </c>
      <c r="N906" t="n">
        <v>0</v>
      </c>
      <c r="O906" t="n">
        <v>0</v>
      </c>
      <c r="P906" t="n">
        <v>0</v>
      </c>
      <c r="Q906" t="n">
        <v>0</v>
      </c>
      <c r="R906" s="2" t="inlineStr"/>
    </row>
    <row r="907" ht="15" customHeight="1">
      <c r="A907" t="inlineStr">
        <is>
          <t>A 30039-2024</t>
        </is>
      </c>
      <c r="B907" s="1" t="n">
        <v>45488</v>
      </c>
      <c r="C907" s="1" t="n">
        <v>45849</v>
      </c>
      <c r="D907" t="inlineStr">
        <is>
          <t>DALARNAS LÄN</t>
        </is>
      </c>
      <c r="E907" t="inlineStr">
        <is>
          <t>LUDVIKA</t>
        </is>
      </c>
      <c r="G907" t="n">
        <v>1.3</v>
      </c>
      <c r="H907" t="n">
        <v>0</v>
      </c>
      <c r="I907" t="n">
        <v>0</v>
      </c>
      <c r="J907" t="n">
        <v>0</v>
      </c>
      <c r="K907" t="n">
        <v>0</v>
      </c>
      <c r="L907" t="n">
        <v>0</v>
      </c>
      <c r="M907" t="n">
        <v>0</v>
      </c>
      <c r="N907" t="n">
        <v>0</v>
      </c>
      <c r="O907" t="n">
        <v>0</v>
      </c>
      <c r="P907" t="n">
        <v>0</v>
      </c>
      <c r="Q907" t="n">
        <v>0</v>
      </c>
      <c r="R907" s="2" t="inlineStr"/>
    </row>
    <row r="908" ht="15" customHeight="1">
      <c r="A908" t="inlineStr">
        <is>
          <t>A 30844-2024</t>
        </is>
      </c>
      <c r="B908" s="1" t="n">
        <v>45497</v>
      </c>
      <c r="C908" s="1" t="n">
        <v>45849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30977-2024</t>
        </is>
      </c>
      <c r="B909" s="1" t="n">
        <v>45499</v>
      </c>
      <c r="C909" s="1" t="n">
        <v>45849</v>
      </c>
      <c r="D909" t="inlineStr">
        <is>
          <t>DALARNAS LÄN</t>
        </is>
      </c>
      <c r="E909" t="inlineStr">
        <is>
          <t>LUDVIKA</t>
        </is>
      </c>
      <c r="G909" t="n">
        <v>3.3</v>
      </c>
      <c r="H909" t="n">
        <v>0</v>
      </c>
      <c r="I909" t="n">
        <v>0</v>
      </c>
      <c r="J909" t="n">
        <v>0</v>
      </c>
      <c r="K909" t="n">
        <v>0</v>
      </c>
      <c r="L909" t="n">
        <v>0</v>
      </c>
      <c r="M909" t="n">
        <v>0</v>
      </c>
      <c r="N909" t="n">
        <v>0</v>
      </c>
      <c r="O909" t="n">
        <v>0</v>
      </c>
      <c r="P909" t="n">
        <v>0</v>
      </c>
      <c r="Q909" t="n">
        <v>0</v>
      </c>
      <c r="R909" s="2" t="inlineStr"/>
    </row>
    <row r="910" ht="15" customHeight="1">
      <c r="A910" t="inlineStr">
        <is>
          <t>A 31043-2024</t>
        </is>
      </c>
      <c r="B910" s="1" t="n">
        <v>45502</v>
      </c>
      <c r="C910" s="1" t="n">
        <v>45849</v>
      </c>
      <c r="D910" t="inlineStr">
        <is>
          <t>DALARNAS LÄN</t>
        </is>
      </c>
      <c r="E910" t="inlineStr">
        <is>
          <t>LUDVIKA</t>
        </is>
      </c>
      <c r="F910" t="inlineStr">
        <is>
          <t>Bergvik skog väst AB</t>
        </is>
      </c>
      <c r="G910" t="n">
        <v>2</v>
      </c>
      <c r="H910" t="n">
        <v>0</v>
      </c>
      <c r="I910" t="n">
        <v>0</v>
      </c>
      <c r="J910" t="n">
        <v>0</v>
      </c>
      <c r="K910" t="n">
        <v>0</v>
      </c>
      <c r="L910" t="n">
        <v>0</v>
      </c>
      <c r="M910" t="n">
        <v>0</v>
      </c>
      <c r="N910" t="n">
        <v>0</v>
      </c>
      <c r="O910" t="n">
        <v>0</v>
      </c>
      <c r="P910" t="n">
        <v>0</v>
      </c>
      <c r="Q910" t="n">
        <v>0</v>
      </c>
      <c r="R910" s="2" t="inlineStr"/>
    </row>
    <row r="911" ht="15" customHeight="1">
      <c r="A911" t="inlineStr">
        <is>
          <t>A 31100-2024</t>
        </is>
      </c>
      <c r="B911" s="1" t="n">
        <v>45502</v>
      </c>
      <c r="C911" s="1" t="n">
        <v>45849</v>
      </c>
      <c r="D911" t="inlineStr">
        <is>
          <t>DALARNAS LÄN</t>
        </is>
      </c>
      <c r="E911" t="inlineStr">
        <is>
          <t>LUDVIKA</t>
        </is>
      </c>
      <c r="G911" t="n">
        <v>1.7</v>
      </c>
      <c r="H911" t="n">
        <v>0</v>
      </c>
      <c r="I911" t="n">
        <v>0</v>
      </c>
      <c r="J911" t="n">
        <v>0</v>
      </c>
      <c r="K911" t="n">
        <v>0</v>
      </c>
      <c r="L911" t="n">
        <v>0</v>
      </c>
      <c r="M911" t="n">
        <v>0</v>
      </c>
      <c r="N911" t="n">
        <v>0</v>
      </c>
      <c r="O911" t="n">
        <v>0</v>
      </c>
      <c r="P911" t="n">
        <v>0</v>
      </c>
      <c r="Q911" t="n">
        <v>0</v>
      </c>
      <c r="R911" s="2" t="inlineStr"/>
    </row>
    <row r="912" ht="15" customHeight="1">
      <c r="A912" t="inlineStr">
        <is>
          <t>A 31041-2024</t>
        </is>
      </c>
      <c r="B912" s="1" t="n">
        <v>45502</v>
      </c>
      <c r="C912" s="1" t="n">
        <v>45849</v>
      </c>
      <c r="D912" t="inlineStr">
        <is>
          <t>DALARNAS LÄN</t>
        </is>
      </c>
      <c r="E912" t="inlineStr">
        <is>
          <t>LUDVIKA</t>
        </is>
      </c>
      <c r="F912" t="inlineStr">
        <is>
          <t>Bergvik skog väst AB</t>
        </is>
      </c>
      <c r="G912" t="n">
        <v>4.6</v>
      </c>
      <c r="H912" t="n">
        <v>0</v>
      </c>
      <c r="I912" t="n">
        <v>0</v>
      </c>
      <c r="J912" t="n">
        <v>0</v>
      </c>
      <c r="K912" t="n">
        <v>0</v>
      </c>
      <c r="L912" t="n">
        <v>0</v>
      </c>
      <c r="M912" t="n">
        <v>0</v>
      </c>
      <c r="N912" t="n">
        <v>0</v>
      </c>
      <c r="O912" t="n">
        <v>0</v>
      </c>
      <c r="P912" t="n">
        <v>0</v>
      </c>
      <c r="Q912" t="n">
        <v>0</v>
      </c>
      <c r="R912" s="2" t="inlineStr"/>
    </row>
    <row r="913" ht="15" customHeight="1">
      <c r="A913" t="inlineStr">
        <is>
          <t>A 31188-2024</t>
        </is>
      </c>
      <c r="B913" s="1" t="n">
        <v>45503</v>
      </c>
      <c r="C913" s="1" t="n">
        <v>45849</v>
      </c>
      <c r="D913" t="inlineStr">
        <is>
          <t>DALARNAS LÄN</t>
        </is>
      </c>
      <c r="E913" t="inlineStr">
        <is>
          <t>LUDVIKA</t>
        </is>
      </c>
      <c r="F913" t="inlineStr">
        <is>
          <t>Bergvik skog väst AB</t>
        </is>
      </c>
      <c r="G913" t="n">
        <v>2.2</v>
      </c>
      <c r="H913" t="n">
        <v>0</v>
      </c>
      <c r="I913" t="n">
        <v>0</v>
      </c>
      <c r="J913" t="n">
        <v>0</v>
      </c>
      <c r="K913" t="n">
        <v>0</v>
      </c>
      <c r="L913" t="n">
        <v>0</v>
      </c>
      <c r="M913" t="n">
        <v>0</v>
      </c>
      <c r="N913" t="n">
        <v>0</v>
      </c>
      <c r="O913" t="n">
        <v>0</v>
      </c>
      <c r="P913" t="n">
        <v>0</v>
      </c>
      <c r="Q913" t="n">
        <v>0</v>
      </c>
      <c r="R913" s="2" t="inlineStr"/>
    </row>
    <row r="914" ht="15" customHeight="1">
      <c r="A914" t="inlineStr">
        <is>
          <t>A 31219-2024</t>
        </is>
      </c>
      <c r="B914" s="1" t="n">
        <v>45503</v>
      </c>
      <c r="C914" s="1" t="n">
        <v>45849</v>
      </c>
      <c r="D914" t="inlineStr">
        <is>
          <t>DALARNAS LÄN</t>
        </is>
      </c>
      <c r="E914" t="inlineStr">
        <is>
          <t>LUDVIKA</t>
        </is>
      </c>
      <c r="F914" t="inlineStr">
        <is>
          <t>Bergvik skog väst AB</t>
        </is>
      </c>
      <c r="G914" t="n">
        <v>1.3</v>
      </c>
      <c r="H914" t="n">
        <v>0</v>
      </c>
      <c r="I914" t="n">
        <v>0</v>
      </c>
      <c r="J914" t="n">
        <v>0</v>
      </c>
      <c r="K914" t="n">
        <v>0</v>
      </c>
      <c r="L914" t="n">
        <v>0</v>
      </c>
      <c r="M914" t="n">
        <v>0</v>
      </c>
      <c r="N914" t="n">
        <v>0</v>
      </c>
      <c r="O914" t="n">
        <v>0</v>
      </c>
      <c r="P914" t="n">
        <v>0</v>
      </c>
      <c r="Q914" t="n">
        <v>0</v>
      </c>
      <c r="R914" s="2" t="inlineStr"/>
    </row>
    <row r="915" ht="15" customHeight="1">
      <c r="A915" t="inlineStr">
        <is>
          <t>A 31208-2024</t>
        </is>
      </c>
      <c r="B915" s="1" t="n">
        <v>45503</v>
      </c>
      <c r="C915" s="1" t="n">
        <v>45849</v>
      </c>
      <c r="D915" t="inlineStr">
        <is>
          <t>DALARNAS LÄN</t>
        </is>
      </c>
      <c r="E915" t="inlineStr">
        <is>
          <t>LUDVIKA</t>
        </is>
      </c>
      <c r="F915" t="inlineStr">
        <is>
          <t>Bergvik skog väst AB</t>
        </is>
      </c>
      <c r="G915" t="n">
        <v>0.6</v>
      </c>
      <c r="H915" t="n">
        <v>0</v>
      </c>
      <c r="I915" t="n">
        <v>0</v>
      </c>
      <c r="J915" t="n">
        <v>0</v>
      </c>
      <c r="K915" t="n">
        <v>0</v>
      </c>
      <c r="L915" t="n">
        <v>0</v>
      </c>
      <c r="M915" t="n">
        <v>0</v>
      </c>
      <c r="N915" t="n">
        <v>0</v>
      </c>
      <c r="O915" t="n">
        <v>0</v>
      </c>
      <c r="P915" t="n">
        <v>0</v>
      </c>
      <c r="Q915" t="n">
        <v>0</v>
      </c>
      <c r="R915" s="2" t="inlineStr"/>
    </row>
    <row r="916" ht="15" customHeight="1">
      <c r="A916" t="inlineStr">
        <is>
          <t>A 31181-2024</t>
        </is>
      </c>
      <c r="B916" s="1" t="n">
        <v>45503</v>
      </c>
      <c r="C916" s="1" t="n">
        <v>45849</v>
      </c>
      <c r="D916" t="inlineStr">
        <is>
          <t>DALARNAS LÄN</t>
        </is>
      </c>
      <c r="E916" t="inlineStr">
        <is>
          <t>LUDVIKA</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31214-2024</t>
        </is>
      </c>
      <c r="B917" s="1" t="n">
        <v>45503</v>
      </c>
      <c r="C917" s="1" t="n">
        <v>45849</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31236-2024</t>
        </is>
      </c>
      <c r="B918" s="1" t="n">
        <v>45503</v>
      </c>
      <c r="C918" s="1" t="n">
        <v>45849</v>
      </c>
      <c r="D918" t="inlineStr">
        <is>
          <t>DALARNAS LÄN</t>
        </is>
      </c>
      <c r="E918" t="inlineStr">
        <is>
          <t>LUDVIKA</t>
        </is>
      </c>
      <c r="F918" t="inlineStr">
        <is>
          <t>Bergvik skog väst AB</t>
        </is>
      </c>
      <c r="G918" t="n">
        <v>3</v>
      </c>
      <c r="H918" t="n">
        <v>0</v>
      </c>
      <c r="I918" t="n">
        <v>0</v>
      </c>
      <c r="J918" t="n">
        <v>0</v>
      </c>
      <c r="K918" t="n">
        <v>0</v>
      </c>
      <c r="L918" t="n">
        <v>0</v>
      </c>
      <c r="M918" t="n">
        <v>0</v>
      </c>
      <c r="N918" t="n">
        <v>0</v>
      </c>
      <c r="O918" t="n">
        <v>0</v>
      </c>
      <c r="P918" t="n">
        <v>0</v>
      </c>
      <c r="Q918" t="n">
        <v>0</v>
      </c>
      <c r="R918" s="2" t="inlineStr"/>
    </row>
    <row r="919" ht="15" customHeight="1">
      <c r="A919" t="inlineStr">
        <is>
          <t>A 31249-2024</t>
        </is>
      </c>
      <c r="B919" s="1" t="n">
        <v>45503</v>
      </c>
      <c r="C919" s="1" t="n">
        <v>45849</v>
      </c>
      <c r="D919" t="inlineStr">
        <is>
          <t>DALARNAS LÄN</t>
        </is>
      </c>
      <c r="E919" t="inlineStr">
        <is>
          <t>LUDVIKA</t>
        </is>
      </c>
      <c r="F919" t="inlineStr">
        <is>
          <t>Bergvik skog väst AB</t>
        </is>
      </c>
      <c r="G919" t="n">
        <v>2.7</v>
      </c>
      <c r="H919" t="n">
        <v>0</v>
      </c>
      <c r="I919" t="n">
        <v>0</v>
      </c>
      <c r="J919" t="n">
        <v>0</v>
      </c>
      <c r="K919" t="n">
        <v>0</v>
      </c>
      <c r="L919" t="n">
        <v>0</v>
      </c>
      <c r="M919" t="n">
        <v>0</v>
      </c>
      <c r="N919" t="n">
        <v>0</v>
      </c>
      <c r="O919" t="n">
        <v>0</v>
      </c>
      <c r="P919" t="n">
        <v>0</v>
      </c>
      <c r="Q919" t="n">
        <v>0</v>
      </c>
      <c r="R919" s="2" t="inlineStr"/>
    </row>
    <row r="920" ht="15" customHeight="1">
      <c r="A920" t="inlineStr">
        <is>
          <t>A 31222-2024</t>
        </is>
      </c>
      <c r="B920" s="1" t="n">
        <v>45503</v>
      </c>
      <c r="C920" s="1" t="n">
        <v>45849</v>
      </c>
      <c r="D920" t="inlineStr">
        <is>
          <t>DALARNAS LÄN</t>
        </is>
      </c>
      <c r="E920" t="inlineStr">
        <is>
          <t>LUDVIKA</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31331-2024</t>
        </is>
      </c>
      <c r="B921" s="1" t="n">
        <v>45504</v>
      </c>
      <c r="C921" s="1" t="n">
        <v>45849</v>
      </c>
      <c r="D921" t="inlineStr">
        <is>
          <t>DALARNAS LÄN</t>
        </is>
      </c>
      <c r="E921" t="inlineStr">
        <is>
          <t>LUDVIKA</t>
        </is>
      </c>
      <c r="F921" t="inlineStr">
        <is>
          <t>Bergvik skog väst AB</t>
        </is>
      </c>
      <c r="G921" t="n">
        <v>2.1</v>
      </c>
      <c r="H921" t="n">
        <v>0</v>
      </c>
      <c r="I921" t="n">
        <v>0</v>
      </c>
      <c r="J921" t="n">
        <v>0</v>
      </c>
      <c r="K921" t="n">
        <v>0</v>
      </c>
      <c r="L921" t="n">
        <v>0</v>
      </c>
      <c r="M921" t="n">
        <v>0</v>
      </c>
      <c r="N921" t="n">
        <v>0</v>
      </c>
      <c r="O921" t="n">
        <v>0</v>
      </c>
      <c r="P921" t="n">
        <v>0</v>
      </c>
      <c r="Q921" t="n">
        <v>0</v>
      </c>
      <c r="R921" s="2" t="inlineStr"/>
    </row>
    <row r="922" ht="15" customHeight="1">
      <c r="A922" t="inlineStr">
        <is>
          <t>A 31328-2024</t>
        </is>
      </c>
      <c r="B922" s="1" t="n">
        <v>45504</v>
      </c>
      <c r="C922" s="1" t="n">
        <v>45849</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31602-2024</t>
        </is>
      </c>
      <c r="B923" s="1" t="n">
        <v>45506</v>
      </c>
      <c r="C923" s="1" t="n">
        <v>45849</v>
      </c>
      <c r="D923" t="inlineStr">
        <is>
          <t>DALARNAS LÄN</t>
        </is>
      </c>
      <c r="E923" t="inlineStr">
        <is>
          <t>LUDVIKA</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31761-2024</t>
        </is>
      </c>
      <c r="B924" s="1" t="n">
        <v>45509</v>
      </c>
      <c r="C924" s="1" t="n">
        <v>45849</v>
      </c>
      <c r="D924" t="inlineStr">
        <is>
          <t>DALARNAS LÄN</t>
        </is>
      </c>
      <c r="E924" t="inlineStr">
        <is>
          <t>LUDVIKA</t>
        </is>
      </c>
      <c r="F924" t="inlineStr">
        <is>
          <t>Bergvik skog väst AB</t>
        </is>
      </c>
      <c r="G924" t="n">
        <v>4.6</v>
      </c>
      <c r="H924" t="n">
        <v>0</v>
      </c>
      <c r="I924" t="n">
        <v>0</v>
      </c>
      <c r="J924" t="n">
        <v>0</v>
      </c>
      <c r="K924" t="n">
        <v>0</v>
      </c>
      <c r="L924" t="n">
        <v>0</v>
      </c>
      <c r="M924" t="n">
        <v>0</v>
      </c>
      <c r="N924" t="n">
        <v>0</v>
      </c>
      <c r="O924" t="n">
        <v>0</v>
      </c>
      <c r="P924" t="n">
        <v>0</v>
      </c>
      <c r="Q924" t="n">
        <v>0</v>
      </c>
      <c r="R924" s="2" t="inlineStr"/>
    </row>
    <row r="925" ht="15" customHeight="1">
      <c r="A925" t="inlineStr">
        <is>
          <t>A 31985-2024</t>
        </is>
      </c>
      <c r="B925" s="1" t="n">
        <v>45510</v>
      </c>
      <c r="C925" s="1" t="n">
        <v>45849</v>
      </c>
      <c r="D925" t="inlineStr">
        <is>
          <t>DALARNAS LÄN</t>
        </is>
      </c>
      <c r="E925" t="inlineStr">
        <is>
          <t>LUDVIKA</t>
        </is>
      </c>
      <c r="F925" t="inlineStr">
        <is>
          <t>Bergvik skog väst AB</t>
        </is>
      </c>
      <c r="G925" t="n">
        <v>10.7</v>
      </c>
      <c r="H925" t="n">
        <v>0</v>
      </c>
      <c r="I925" t="n">
        <v>0</v>
      </c>
      <c r="J925" t="n">
        <v>0</v>
      </c>
      <c r="K925" t="n">
        <v>0</v>
      </c>
      <c r="L925" t="n">
        <v>0</v>
      </c>
      <c r="M925" t="n">
        <v>0</v>
      </c>
      <c r="N925" t="n">
        <v>0</v>
      </c>
      <c r="O925" t="n">
        <v>0</v>
      </c>
      <c r="P925" t="n">
        <v>0</v>
      </c>
      <c r="Q925" t="n">
        <v>0</v>
      </c>
      <c r="R925" s="2" t="inlineStr"/>
    </row>
    <row r="926" ht="15" customHeight="1">
      <c r="A926" t="inlineStr">
        <is>
          <t>A 31958-2024</t>
        </is>
      </c>
      <c r="B926" s="1" t="n">
        <v>45510</v>
      </c>
      <c r="C926" s="1" t="n">
        <v>45849</v>
      </c>
      <c r="D926" t="inlineStr">
        <is>
          <t>DALARNAS LÄN</t>
        </is>
      </c>
      <c r="E926" t="inlineStr">
        <is>
          <t>LUDVIKA</t>
        </is>
      </c>
      <c r="G926" t="n">
        <v>1.1</v>
      </c>
      <c r="H926" t="n">
        <v>0</v>
      </c>
      <c r="I926" t="n">
        <v>0</v>
      </c>
      <c r="J926" t="n">
        <v>0</v>
      </c>
      <c r="K926" t="n">
        <v>0</v>
      </c>
      <c r="L926" t="n">
        <v>0</v>
      </c>
      <c r="M926" t="n">
        <v>0</v>
      </c>
      <c r="N926" t="n">
        <v>0</v>
      </c>
      <c r="O926" t="n">
        <v>0</v>
      </c>
      <c r="P926" t="n">
        <v>0</v>
      </c>
      <c r="Q926" t="n">
        <v>0</v>
      </c>
      <c r="R926" s="2" t="inlineStr"/>
    </row>
    <row r="927" ht="15" customHeight="1">
      <c r="A927" t="inlineStr">
        <is>
          <t>A 32022-2024</t>
        </is>
      </c>
      <c r="B927" s="1" t="n">
        <v>45510</v>
      </c>
      <c r="C927" s="1" t="n">
        <v>45849</v>
      </c>
      <c r="D927" t="inlineStr">
        <is>
          <t>DALARNAS LÄN</t>
        </is>
      </c>
      <c r="E927" t="inlineStr">
        <is>
          <t>LUDVIKA</t>
        </is>
      </c>
      <c r="F927" t="inlineStr">
        <is>
          <t>Bergvik skog väst AB</t>
        </is>
      </c>
      <c r="G927" t="n">
        <v>5.7</v>
      </c>
      <c r="H927" t="n">
        <v>0</v>
      </c>
      <c r="I927" t="n">
        <v>0</v>
      </c>
      <c r="J927" t="n">
        <v>0</v>
      </c>
      <c r="K927" t="n">
        <v>0</v>
      </c>
      <c r="L927" t="n">
        <v>0</v>
      </c>
      <c r="M927" t="n">
        <v>0</v>
      </c>
      <c r="N927" t="n">
        <v>0</v>
      </c>
      <c r="O927" t="n">
        <v>0</v>
      </c>
      <c r="P927" t="n">
        <v>0</v>
      </c>
      <c r="Q927" t="n">
        <v>0</v>
      </c>
      <c r="R927" s="2" t="inlineStr"/>
    </row>
    <row r="928" ht="15" customHeight="1">
      <c r="A928" t="inlineStr">
        <is>
          <t>A 31982-2024</t>
        </is>
      </c>
      <c r="B928" s="1" t="n">
        <v>45510</v>
      </c>
      <c r="C928" s="1" t="n">
        <v>45849</v>
      </c>
      <c r="D928" t="inlineStr">
        <is>
          <t>DALARNAS LÄN</t>
        </is>
      </c>
      <c r="E928" t="inlineStr">
        <is>
          <t>LUDVIKA</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32163-2024</t>
        </is>
      </c>
      <c r="B929" s="1" t="n">
        <v>45511</v>
      </c>
      <c r="C929" s="1" t="n">
        <v>45849</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32305-2024</t>
        </is>
      </c>
      <c r="B930" s="1" t="n">
        <v>45512</v>
      </c>
      <c r="C930" s="1" t="n">
        <v>45849</v>
      </c>
      <c r="D930" t="inlineStr">
        <is>
          <t>DALARNAS LÄN</t>
        </is>
      </c>
      <c r="E930" t="inlineStr">
        <is>
          <t>LUDVIKA</t>
        </is>
      </c>
      <c r="F930" t="inlineStr">
        <is>
          <t>Bergvik skog väst AB</t>
        </is>
      </c>
      <c r="G930" t="n">
        <v>1.4</v>
      </c>
      <c r="H930" t="n">
        <v>0</v>
      </c>
      <c r="I930" t="n">
        <v>0</v>
      </c>
      <c r="J930" t="n">
        <v>0</v>
      </c>
      <c r="K930" t="n">
        <v>0</v>
      </c>
      <c r="L930" t="n">
        <v>0</v>
      </c>
      <c r="M930" t="n">
        <v>0</v>
      </c>
      <c r="N930" t="n">
        <v>0</v>
      </c>
      <c r="O930" t="n">
        <v>0</v>
      </c>
      <c r="P930" t="n">
        <v>0</v>
      </c>
      <c r="Q930" t="n">
        <v>0</v>
      </c>
      <c r="R930" s="2" t="inlineStr"/>
    </row>
    <row r="931" ht="15" customHeight="1">
      <c r="A931" t="inlineStr">
        <is>
          <t>A 32301-2024</t>
        </is>
      </c>
      <c r="B931" s="1" t="n">
        <v>45512</v>
      </c>
      <c r="C931" s="1" t="n">
        <v>45849</v>
      </c>
      <c r="D931" t="inlineStr">
        <is>
          <t>DALARNAS LÄN</t>
        </is>
      </c>
      <c r="E931" t="inlineStr">
        <is>
          <t>LUDVIKA</t>
        </is>
      </c>
      <c r="F931" t="inlineStr">
        <is>
          <t>Bergvik skog väst AB</t>
        </is>
      </c>
      <c r="G931" t="n">
        <v>2.8</v>
      </c>
      <c r="H931" t="n">
        <v>0</v>
      </c>
      <c r="I931" t="n">
        <v>0</v>
      </c>
      <c r="J931" t="n">
        <v>0</v>
      </c>
      <c r="K931" t="n">
        <v>0</v>
      </c>
      <c r="L931" t="n">
        <v>0</v>
      </c>
      <c r="M931" t="n">
        <v>0</v>
      </c>
      <c r="N931" t="n">
        <v>0</v>
      </c>
      <c r="O931" t="n">
        <v>0</v>
      </c>
      <c r="P931" t="n">
        <v>0</v>
      </c>
      <c r="Q931" t="n">
        <v>0</v>
      </c>
      <c r="R931" s="2" t="inlineStr"/>
    </row>
    <row r="932" ht="15" customHeight="1">
      <c r="A932" t="inlineStr">
        <is>
          <t>A 32277-2024</t>
        </is>
      </c>
      <c r="B932" s="1" t="n">
        <v>45512</v>
      </c>
      <c r="C932" s="1" t="n">
        <v>45849</v>
      </c>
      <c r="D932" t="inlineStr">
        <is>
          <t>DALARNAS LÄN</t>
        </is>
      </c>
      <c r="E932" t="inlineStr">
        <is>
          <t>LUDVIKA</t>
        </is>
      </c>
      <c r="F932" t="inlineStr">
        <is>
          <t>Bergvik skog väst AB</t>
        </is>
      </c>
      <c r="G932" t="n">
        <v>0.7</v>
      </c>
      <c r="H932" t="n">
        <v>0</v>
      </c>
      <c r="I932" t="n">
        <v>0</v>
      </c>
      <c r="J932" t="n">
        <v>0</v>
      </c>
      <c r="K932" t="n">
        <v>0</v>
      </c>
      <c r="L932" t="n">
        <v>0</v>
      </c>
      <c r="M932" t="n">
        <v>0</v>
      </c>
      <c r="N932" t="n">
        <v>0</v>
      </c>
      <c r="O932" t="n">
        <v>0</v>
      </c>
      <c r="P932" t="n">
        <v>0</v>
      </c>
      <c r="Q932" t="n">
        <v>0</v>
      </c>
      <c r="R932" s="2" t="inlineStr"/>
    </row>
    <row r="933" ht="15" customHeight="1">
      <c r="A933" t="inlineStr">
        <is>
          <t>A 32273-2024</t>
        </is>
      </c>
      <c r="B933" s="1" t="n">
        <v>45512</v>
      </c>
      <c r="C933" s="1" t="n">
        <v>45849</v>
      </c>
      <c r="D933" t="inlineStr">
        <is>
          <t>DALARNAS LÄN</t>
        </is>
      </c>
      <c r="E933" t="inlineStr">
        <is>
          <t>LUDVIKA</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32265-2024</t>
        </is>
      </c>
      <c r="B934" s="1" t="n">
        <v>45512</v>
      </c>
      <c r="C934" s="1" t="n">
        <v>45849</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32329-2024</t>
        </is>
      </c>
      <c r="B935" s="1" t="n">
        <v>45512</v>
      </c>
      <c r="C935" s="1" t="n">
        <v>45849</v>
      </c>
      <c r="D935" t="inlineStr">
        <is>
          <t>DALARNAS LÄN</t>
        </is>
      </c>
      <c r="E935" t="inlineStr">
        <is>
          <t>LUDVIKA</t>
        </is>
      </c>
      <c r="F935" t="inlineStr">
        <is>
          <t>Bergvik skog väst AB</t>
        </is>
      </c>
      <c r="G935" t="n">
        <v>6</v>
      </c>
      <c r="H935" t="n">
        <v>0</v>
      </c>
      <c r="I935" t="n">
        <v>0</v>
      </c>
      <c r="J935" t="n">
        <v>0</v>
      </c>
      <c r="K935" t="n">
        <v>0</v>
      </c>
      <c r="L935" t="n">
        <v>0</v>
      </c>
      <c r="M935" t="n">
        <v>0</v>
      </c>
      <c r="N935" t="n">
        <v>0</v>
      </c>
      <c r="O935" t="n">
        <v>0</v>
      </c>
      <c r="P935" t="n">
        <v>0</v>
      </c>
      <c r="Q935" t="n">
        <v>0</v>
      </c>
      <c r="R935" s="2" t="inlineStr"/>
    </row>
    <row r="936" ht="15" customHeight="1">
      <c r="A936" t="inlineStr">
        <is>
          <t>A 32332-2024</t>
        </is>
      </c>
      <c r="B936" s="1" t="n">
        <v>45512</v>
      </c>
      <c r="C936" s="1" t="n">
        <v>45849</v>
      </c>
      <c r="D936" t="inlineStr">
        <is>
          <t>DALARNAS LÄN</t>
        </is>
      </c>
      <c r="E936" t="inlineStr">
        <is>
          <t>LUDVIKA</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32486-2024</t>
        </is>
      </c>
      <c r="B937" s="1" t="n">
        <v>45513</v>
      </c>
      <c r="C937" s="1" t="n">
        <v>45849</v>
      </c>
      <c r="D937" t="inlineStr">
        <is>
          <t>DALARNAS LÄN</t>
        </is>
      </c>
      <c r="E937" t="inlineStr">
        <is>
          <t>LUDVIKA</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32493-2024</t>
        </is>
      </c>
      <c r="B938" s="1" t="n">
        <v>45513</v>
      </c>
      <c r="C938" s="1" t="n">
        <v>45849</v>
      </c>
      <c r="D938" t="inlineStr">
        <is>
          <t>DALARNAS LÄN</t>
        </is>
      </c>
      <c r="E938" t="inlineStr">
        <is>
          <t>LUDVIKA</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33060-2024</t>
        </is>
      </c>
      <c r="B939" s="1" t="n">
        <v>45517</v>
      </c>
      <c r="C939" s="1" t="n">
        <v>45849</v>
      </c>
      <c r="D939" t="inlineStr">
        <is>
          <t>DALARNAS LÄN</t>
        </is>
      </c>
      <c r="E939" t="inlineStr">
        <is>
          <t>LUDVIKA</t>
        </is>
      </c>
      <c r="F939" t="inlineStr">
        <is>
          <t>Bergvik skog väst AB</t>
        </is>
      </c>
      <c r="G939" t="n">
        <v>1.5</v>
      </c>
      <c r="H939" t="n">
        <v>0</v>
      </c>
      <c r="I939" t="n">
        <v>0</v>
      </c>
      <c r="J939" t="n">
        <v>0</v>
      </c>
      <c r="K939" t="n">
        <v>0</v>
      </c>
      <c r="L939" t="n">
        <v>0</v>
      </c>
      <c r="M939" t="n">
        <v>0</v>
      </c>
      <c r="N939" t="n">
        <v>0</v>
      </c>
      <c r="O939" t="n">
        <v>0</v>
      </c>
      <c r="P939" t="n">
        <v>0</v>
      </c>
      <c r="Q939" t="n">
        <v>0</v>
      </c>
      <c r="R939" s="2" t="inlineStr"/>
    </row>
    <row r="940" ht="15" customHeight="1">
      <c r="A940" t="inlineStr">
        <is>
          <t>A 33063-2024</t>
        </is>
      </c>
      <c r="B940" s="1" t="n">
        <v>45517</v>
      </c>
      <c r="C940" s="1" t="n">
        <v>45849</v>
      </c>
      <c r="D940" t="inlineStr">
        <is>
          <t>DALARNAS LÄN</t>
        </is>
      </c>
      <c r="E940" t="inlineStr">
        <is>
          <t>LUDVIKA</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33242-2024</t>
        </is>
      </c>
      <c r="B941" s="1" t="n">
        <v>45518</v>
      </c>
      <c r="C941" s="1" t="n">
        <v>45849</v>
      </c>
      <c r="D941" t="inlineStr">
        <is>
          <t>DALARNAS LÄN</t>
        </is>
      </c>
      <c r="E941" t="inlineStr">
        <is>
          <t>LUDVIKA</t>
        </is>
      </c>
      <c r="G941" t="n">
        <v>4.2</v>
      </c>
      <c r="H941" t="n">
        <v>0</v>
      </c>
      <c r="I941" t="n">
        <v>0</v>
      </c>
      <c r="J941" t="n">
        <v>0</v>
      </c>
      <c r="K941" t="n">
        <v>0</v>
      </c>
      <c r="L941" t="n">
        <v>0</v>
      </c>
      <c r="M941" t="n">
        <v>0</v>
      </c>
      <c r="N941" t="n">
        <v>0</v>
      </c>
      <c r="O941" t="n">
        <v>0</v>
      </c>
      <c r="P941" t="n">
        <v>0</v>
      </c>
      <c r="Q941" t="n">
        <v>0</v>
      </c>
      <c r="R941" s="2" t="inlineStr"/>
    </row>
    <row r="942" ht="15" customHeight="1">
      <c r="A942" t="inlineStr">
        <is>
          <t>A 33330-2024</t>
        </is>
      </c>
      <c r="B942" s="1" t="n">
        <v>45519</v>
      </c>
      <c r="C942" s="1" t="n">
        <v>45849</v>
      </c>
      <c r="D942" t="inlineStr">
        <is>
          <t>DALARNAS LÄN</t>
        </is>
      </c>
      <c r="E942" t="inlineStr">
        <is>
          <t>LUDVIKA</t>
        </is>
      </c>
      <c r="G942" t="n">
        <v>4.9</v>
      </c>
      <c r="H942" t="n">
        <v>0</v>
      </c>
      <c r="I942" t="n">
        <v>0</v>
      </c>
      <c r="J942" t="n">
        <v>0</v>
      </c>
      <c r="K942" t="n">
        <v>0</v>
      </c>
      <c r="L942" t="n">
        <v>0</v>
      </c>
      <c r="M942" t="n">
        <v>0</v>
      </c>
      <c r="N942" t="n">
        <v>0</v>
      </c>
      <c r="O942" t="n">
        <v>0</v>
      </c>
      <c r="P942" t="n">
        <v>0</v>
      </c>
      <c r="Q942" t="n">
        <v>0</v>
      </c>
      <c r="R942" s="2" t="inlineStr"/>
    </row>
    <row r="943" ht="15" customHeight="1">
      <c r="A943" t="inlineStr">
        <is>
          <t>A 33403-2024</t>
        </is>
      </c>
      <c r="B943" s="1" t="n">
        <v>45519</v>
      </c>
      <c r="C943" s="1" t="n">
        <v>45849</v>
      </c>
      <c r="D943" t="inlineStr">
        <is>
          <t>DALARNAS LÄN</t>
        </is>
      </c>
      <c r="E943" t="inlineStr">
        <is>
          <t>LUDVIKA</t>
        </is>
      </c>
      <c r="F943" t="inlineStr">
        <is>
          <t>Bergvik skog väst AB</t>
        </is>
      </c>
      <c r="G943" t="n">
        <v>5</v>
      </c>
      <c r="H943" t="n">
        <v>0</v>
      </c>
      <c r="I943" t="n">
        <v>0</v>
      </c>
      <c r="J943" t="n">
        <v>0</v>
      </c>
      <c r="K943" t="n">
        <v>0</v>
      </c>
      <c r="L943" t="n">
        <v>0</v>
      </c>
      <c r="M943" t="n">
        <v>0</v>
      </c>
      <c r="N943" t="n">
        <v>0</v>
      </c>
      <c r="O943" t="n">
        <v>0</v>
      </c>
      <c r="P943" t="n">
        <v>0</v>
      </c>
      <c r="Q943" t="n">
        <v>0</v>
      </c>
      <c r="R943" s="2" t="inlineStr"/>
    </row>
    <row r="944" ht="15" customHeight="1">
      <c r="A944" t="inlineStr">
        <is>
          <t>A 33345-2024</t>
        </is>
      </c>
      <c r="B944" s="1" t="n">
        <v>45519</v>
      </c>
      <c r="C944" s="1" t="n">
        <v>45849</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33413-2024</t>
        </is>
      </c>
      <c r="B945" s="1" t="n">
        <v>45519</v>
      </c>
      <c r="C945" s="1" t="n">
        <v>45849</v>
      </c>
      <c r="D945" t="inlineStr">
        <is>
          <t>DALARNAS LÄN</t>
        </is>
      </c>
      <c r="E945" t="inlineStr">
        <is>
          <t>LUDVIKA</t>
        </is>
      </c>
      <c r="F945" t="inlineStr">
        <is>
          <t>Bergvik skog väst AB</t>
        </is>
      </c>
      <c r="G945" t="n">
        <v>4.9</v>
      </c>
      <c r="H945" t="n">
        <v>0</v>
      </c>
      <c r="I945" t="n">
        <v>0</v>
      </c>
      <c r="J945" t="n">
        <v>0</v>
      </c>
      <c r="K945" t="n">
        <v>0</v>
      </c>
      <c r="L945" t="n">
        <v>0</v>
      </c>
      <c r="M945" t="n">
        <v>0</v>
      </c>
      <c r="N945" t="n">
        <v>0</v>
      </c>
      <c r="O945" t="n">
        <v>0</v>
      </c>
      <c r="P945" t="n">
        <v>0</v>
      </c>
      <c r="Q945" t="n">
        <v>0</v>
      </c>
      <c r="R945" s="2" t="inlineStr"/>
    </row>
    <row r="946" ht="15" customHeight="1">
      <c r="A946" t="inlineStr">
        <is>
          <t>A 33723-2024</t>
        </is>
      </c>
      <c r="B946" s="1" t="n">
        <v>45520</v>
      </c>
      <c r="C946" s="1" t="n">
        <v>45849</v>
      </c>
      <c r="D946" t="inlineStr">
        <is>
          <t>DALARNAS LÄN</t>
        </is>
      </c>
      <c r="E946" t="inlineStr">
        <is>
          <t>LUDVIKA</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33839-2024</t>
        </is>
      </c>
      <c r="B947" s="1" t="n">
        <v>45520</v>
      </c>
      <c r="C947" s="1" t="n">
        <v>45849</v>
      </c>
      <c r="D947" t="inlineStr">
        <is>
          <t>DALARNAS LÄN</t>
        </is>
      </c>
      <c r="E947" t="inlineStr">
        <is>
          <t>LUDVIKA</t>
        </is>
      </c>
      <c r="G947" t="n">
        <v>0.5</v>
      </c>
      <c r="H947" t="n">
        <v>0</v>
      </c>
      <c r="I947" t="n">
        <v>0</v>
      </c>
      <c r="J947" t="n">
        <v>0</v>
      </c>
      <c r="K947" t="n">
        <v>0</v>
      </c>
      <c r="L947" t="n">
        <v>0</v>
      </c>
      <c r="M947" t="n">
        <v>0</v>
      </c>
      <c r="N947" t="n">
        <v>0</v>
      </c>
      <c r="O947" t="n">
        <v>0</v>
      </c>
      <c r="P947" t="n">
        <v>0</v>
      </c>
      <c r="Q947" t="n">
        <v>0</v>
      </c>
      <c r="R947" s="2" t="inlineStr"/>
    </row>
    <row r="948" ht="15" customHeight="1">
      <c r="A948" t="inlineStr">
        <is>
          <t>A 34274-2024</t>
        </is>
      </c>
      <c r="B948" s="1" t="n">
        <v>45524</v>
      </c>
      <c r="C948" s="1" t="n">
        <v>45849</v>
      </c>
      <c r="D948" t="inlineStr">
        <is>
          <t>DALARNAS LÄN</t>
        </is>
      </c>
      <c r="E948" t="inlineStr">
        <is>
          <t>LUDVIKA</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34271-2024</t>
        </is>
      </c>
      <c r="B949" s="1" t="n">
        <v>45524</v>
      </c>
      <c r="C949" s="1" t="n">
        <v>45849</v>
      </c>
      <c r="D949" t="inlineStr">
        <is>
          <t>DALARNAS LÄN</t>
        </is>
      </c>
      <c r="E949" t="inlineStr">
        <is>
          <t>LUDVIKA</t>
        </is>
      </c>
      <c r="F949" t="inlineStr">
        <is>
          <t>Bergvik skog väst AB</t>
        </is>
      </c>
      <c r="G949" t="n">
        <v>1</v>
      </c>
      <c r="H949" t="n">
        <v>0</v>
      </c>
      <c r="I949" t="n">
        <v>0</v>
      </c>
      <c r="J949" t="n">
        <v>0</v>
      </c>
      <c r="K949" t="n">
        <v>0</v>
      </c>
      <c r="L949" t="n">
        <v>0</v>
      </c>
      <c r="M949" t="n">
        <v>0</v>
      </c>
      <c r="N949" t="n">
        <v>0</v>
      </c>
      <c r="O949" t="n">
        <v>0</v>
      </c>
      <c r="P949" t="n">
        <v>0</v>
      </c>
      <c r="Q949" t="n">
        <v>0</v>
      </c>
      <c r="R949" s="2" t="inlineStr"/>
    </row>
    <row r="950" ht="15" customHeight="1">
      <c r="A950" t="inlineStr">
        <is>
          <t>A 34280-2024</t>
        </is>
      </c>
      <c r="B950" s="1" t="n">
        <v>45524</v>
      </c>
      <c r="C950" s="1" t="n">
        <v>45849</v>
      </c>
      <c r="D950" t="inlineStr">
        <is>
          <t>DALARNAS LÄN</t>
        </is>
      </c>
      <c r="E950" t="inlineStr">
        <is>
          <t>LUDVIKA</t>
        </is>
      </c>
      <c r="F950" t="inlineStr">
        <is>
          <t>Bergvik skog väst AB</t>
        </is>
      </c>
      <c r="G950" t="n">
        <v>2.3</v>
      </c>
      <c r="H950" t="n">
        <v>0</v>
      </c>
      <c r="I950" t="n">
        <v>0</v>
      </c>
      <c r="J950" t="n">
        <v>0</v>
      </c>
      <c r="K950" t="n">
        <v>0</v>
      </c>
      <c r="L950" t="n">
        <v>0</v>
      </c>
      <c r="M950" t="n">
        <v>0</v>
      </c>
      <c r="N950" t="n">
        <v>0</v>
      </c>
      <c r="O950" t="n">
        <v>0</v>
      </c>
      <c r="P950" t="n">
        <v>0</v>
      </c>
      <c r="Q950" t="n">
        <v>0</v>
      </c>
      <c r="R950" s="2" t="inlineStr"/>
    </row>
    <row r="951" ht="15" customHeight="1">
      <c r="A951" t="inlineStr">
        <is>
          <t>A 34455-2024</t>
        </is>
      </c>
      <c r="B951" s="1" t="n">
        <v>45525</v>
      </c>
      <c r="C951" s="1" t="n">
        <v>45849</v>
      </c>
      <c r="D951" t="inlineStr">
        <is>
          <t>DALARNAS LÄN</t>
        </is>
      </c>
      <c r="E951" t="inlineStr">
        <is>
          <t>LUDVIKA</t>
        </is>
      </c>
      <c r="G951" t="n">
        <v>0.9</v>
      </c>
      <c r="H951" t="n">
        <v>0</v>
      </c>
      <c r="I951" t="n">
        <v>0</v>
      </c>
      <c r="J951" t="n">
        <v>0</v>
      </c>
      <c r="K951" t="n">
        <v>0</v>
      </c>
      <c r="L951" t="n">
        <v>0</v>
      </c>
      <c r="M951" t="n">
        <v>0</v>
      </c>
      <c r="N951" t="n">
        <v>0</v>
      </c>
      <c r="O951" t="n">
        <v>0</v>
      </c>
      <c r="P951" t="n">
        <v>0</v>
      </c>
      <c r="Q951" t="n">
        <v>0</v>
      </c>
      <c r="R951" s="2" t="inlineStr"/>
    </row>
    <row r="952" ht="15" customHeight="1">
      <c r="A952" t="inlineStr">
        <is>
          <t>A 34545-2024</t>
        </is>
      </c>
      <c r="B952" s="1" t="n">
        <v>45525</v>
      </c>
      <c r="C952" s="1" t="n">
        <v>45849</v>
      </c>
      <c r="D952" t="inlineStr">
        <is>
          <t>DALARNAS LÄN</t>
        </is>
      </c>
      <c r="E952" t="inlineStr">
        <is>
          <t>LUDVIKA</t>
        </is>
      </c>
      <c r="G952" t="n">
        <v>1</v>
      </c>
      <c r="H952" t="n">
        <v>0</v>
      </c>
      <c r="I952" t="n">
        <v>0</v>
      </c>
      <c r="J952" t="n">
        <v>0</v>
      </c>
      <c r="K952" t="n">
        <v>0</v>
      </c>
      <c r="L952" t="n">
        <v>0</v>
      </c>
      <c r="M952" t="n">
        <v>0</v>
      </c>
      <c r="N952" t="n">
        <v>0</v>
      </c>
      <c r="O952" t="n">
        <v>0</v>
      </c>
      <c r="P952" t="n">
        <v>0</v>
      </c>
      <c r="Q952" t="n">
        <v>0</v>
      </c>
      <c r="R952" s="2" t="inlineStr"/>
    </row>
    <row r="953" ht="15" customHeight="1">
      <c r="A953" t="inlineStr">
        <is>
          <t>A 34845-2024</t>
        </is>
      </c>
      <c r="B953" s="1" t="n">
        <v>45527</v>
      </c>
      <c r="C953" s="1" t="n">
        <v>45849</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34894-2024</t>
        </is>
      </c>
      <c r="B954" s="1" t="n">
        <v>45527</v>
      </c>
      <c r="C954" s="1" t="n">
        <v>45849</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34911-2024</t>
        </is>
      </c>
      <c r="B955" s="1" t="n">
        <v>45527</v>
      </c>
      <c r="C955" s="1" t="n">
        <v>45849</v>
      </c>
      <c r="D955" t="inlineStr">
        <is>
          <t>DALARNAS LÄN</t>
        </is>
      </c>
      <c r="E955" t="inlineStr">
        <is>
          <t>LUDVIKA</t>
        </is>
      </c>
      <c r="F955" t="inlineStr">
        <is>
          <t>Bergvik skog väst AB</t>
        </is>
      </c>
      <c r="G955" t="n">
        <v>3.1</v>
      </c>
      <c r="H955" t="n">
        <v>0</v>
      </c>
      <c r="I955" t="n">
        <v>0</v>
      </c>
      <c r="J955" t="n">
        <v>0</v>
      </c>
      <c r="K955" t="n">
        <v>0</v>
      </c>
      <c r="L955" t="n">
        <v>0</v>
      </c>
      <c r="M955" t="n">
        <v>0</v>
      </c>
      <c r="N955" t="n">
        <v>0</v>
      </c>
      <c r="O955" t="n">
        <v>0</v>
      </c>
      <c r="P955" t="n">
        <v>0</v>
      </c>
      <c r="Q955" t="n">
        <v>0</v>
      </c>
      <c r="R955" s="2" t="inlineStr"/>
    </row>
    <row r="956" ht="15" customHeight="1">
      <c r="A956" t="inlineStr">
        <is>
          <t>A 34887-2024</t>
        </is>
      </c>
      <c r="B956" s="1" t="n">
        <v>45527</v>
      </c>
      <c r="C956" s="1" t="n">
        <v>45849</v>
      </c>
      <c r="D956" t="inlineStr">
        <is>
          <t>DALARNAS LÄN</t>
        </is>
      </c>
      <c r="E956" t="inlineStr">
        <is>
          <t>LUDVIKA</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35354-2024</t>
        </is>
      </c>
      <c r="B957" s="1" t="n">
        <v>45531</v>
      </c>
      <c r="C957" s="1" t="n">
        <v>45849</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35353-2024</t>
        </is>
      </c>
      <c r="B958" s="1" t="n">
        <v>45531</v>
      </c>
      <c r="C958" s="1" t="n">
        <v>45849</v>
      </c>
      <c r="D958" t="inlineStr">
        <is>
          <t>DALARNAS LÄN</t>
        </is>
      </c>
      <c r="E958" t="inlineStr">
        <is>
          <t>LUDVIKA</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35812-2024</t>
        </is>
      </c>
      <c r="B959" s="1" t="n">
        <v>45532</v>
      </c>
      <c r="C959" s="1" t="n">
        <v>45849</v>
      </c>
      <c r="D959" t="inlineStr">
        <is>
          <t>DALARNAS LÄN</t>
        </is>
      </c>
      <c r="E959" t="inlineStr">
        <is>
          <t>LUDVIKA</t>
        </is>
      </c>
      <c r="F959" t="inlineStr">
        <is>
          <t>Bergvik skog väst AB</t>
        </is>
      </c>
      <c r="G959" t="n">
        <v>4.1</v>
      </c>
      <c r="H959" t="n">
        <v>0</v>
      </c>
      <c r="I959" t="n">
        <v>0</v>
      </c>
      <c r="J959" t="n">
        <v>0</v>
      </c>
      <c r="K959" t="n">
        <v>0</v>
      </c>
      <c r="L959" t="n">
        <v>0</v>
      </c>
      <c r="M959" t="n">
        <v>0</v>
      </c>
      <c r="N959" t="n">
        <v>0</v>
      </c>
      <c r="O959" t="n">
        <v>0</v>
      </c>
      <c r="P959" t="n">
        <v>0</v>
      </c>
      <c r="Q959" t="n">
        <v>0</v>
      </c>
      <c r="R959" s="2" t="inlineStr"/>
    </row>
    <row r="960" ht="15" customHeight="1">
      <c r="A960" t="inlineStr">
        <is>
          <t>A 35818-2024</t>
        </is>
      </c>
      <c r="B960" s="1" t="n">
        <v>45532</v>
      </c>
      <c r="C960" s="1" t="n">
        <v>45849</v>
      </c>
      <c r="D960" t="inlineStr">
        <is>
          <t>DALARNAS LÄN</t>
        </is>
      </c>
      <c r="E960" t="inlineStr">
        <is>
          <t>LUDVIKA</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35846-2024</t>
        </is>
      </c>
      <c r="B961" s="1" t="n">
        <v>45532</v>
      </c>
      <c r="C961" s="1" t="n">
        <v>45849</v>
      </c>
      <c r="D961" t="inlineStr">
        <is>
          <t>DALARNAS LÄN</t>
        </is>
      </c>
      <c r="E961" t="inlineStr">
        <is>
          <t>LUDVIKA</t>
        </is>
      </c>
      <c r="G961" t="n">
        <v>2.9</v>
      </c>
      <c r="H961" t="n">
        <v>0</v>
      </c>
      <c r="I961" t="n">
        <v>0</v>
      </c>
      <c r="J961" t="n">
        <v>0</v>
      </c>
      <c r="K961" t="n">
        <v>0</v>
      </c>
      <c r="L961" t="n">
        <v>0</v>
      </c>
      <c r="M961" t="n">
        <v>0</v>
      </c>
      <c r="N961" t="n">
        <v>0</v>
      </c>
      <c r="O961" t="n">
        <v>0</v>
      </c>
      <c r="P961" t="n">
        <v>0</v>
      </c>
      <c r="Q961" t="n">
        <v>0</v>
      </c>
      <c r="R961" s="2" t="inlineStr"/>
    </row>
    <row r="962" ht="15" customHeight="1">
      <c r="A962" t="inlineStr">
        <is>
          <t>A 36066-2024</t>
        </is>
      </c>
      <c r="B962" s="1" t="n">
        <v>45533</v>
      </c>
      <c r="C962" s="1" t="n">
        <v>45849</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36068-2024</t>
        </is>
      </c>
      <c r="B963" s="1" t="n">
        <v>45533</v>
      </c>
      <c r="C963" s="1" t="n">
        <v>45849</v>
      </c>
      <c r="D963" t="inlineStr">
        <is>
          <t>DALARNAS LÄN</t>
        </is>
      </c>
      <c r="E963" t="inlineStr">
        <is>
          <t>LUDVIKA</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36527-2024</t>
        </is>
      </c>
      <c r="B964" s="1" t="n">
        <v>45537</v>
      </c>
      <c r="C964" s="1" t="n">
        <v>45849</v>
      </c>
      <c r="D964" t="inlineStr">
        <is>
          <t>DALARNAS LÄN</t>
        </is>
      </c>
      <c r="E964" t="inlineStr">
        <is>
          <t>LUDVIKA</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37394-2024</t>
        </is>
      </c>
      <c r="B965" s="1" t="n">
        <v>45540</v>
      </c>
      <c r="C965" s="1" t="n">
        <v>45849</v>
      </c>
      <c r="D965" t="inlineStr">
        <is>
          <t>DALARNAS LÄN</t>
        </is>
      </c>
      <c r="E965" t="inlineStr">
        <is>
          <t>LUDVIKA</t>
        </is>
      </c>
      <c r="G965" t="n">
        <v>4.5</v>
      </c>
      <c r="H965" t="n">
        <v>0</v>
      </c>
      <c r="I965" t="n">
        <v>0</v>
      </c>
      <c r="J965" t="n">
        <v>0</v>
      </c>
      <c r="K965" t="n">
        <v>0</v>
      </c>
      <c r="L965" t="n">
        <v>0</v>
      </c>
      <c r="M965" t="n">
        <v>0</v>
      </c>
      <c r="N965" t="n">
        <v>0</v>
      </c>
      <c r="O965" t="n">
        <v>0</v>
      </c>
      <c r="P965" t="n">
        <v>0</v>
      </c>
      <c r="Q965" t="n">
        <v>0</v>
      </c>
      <c r="R965" s="2" t="inlineStr"/>
    </row>
    <row r="966" ht="15" customHeight="1">
      <c r="A966" t="inlineStr">
        <is>
          <t>A 37535-2024</t>
        </is>
      </c>
      <c r="B966" s="1" t="n">
        <v>45541</v>
      </c>
      <c r="C966" s="1" t="n">
        <v>45849</v>
      </c>
      <c r="D966" t="inlineStr">
        <is>
          <t>DALARNAS LÄN</t>
        </is>
      </c>
      <c r="E966" t="inlineStr">
        <is>
          <t>LUDVIKA</t>
        </is>
      </c>
      <c r="F966" t="inlineStr">
        <is>
          <t>Bergvik skog väst AB</t>
        </is>
      </c>
      <c r="G966" t="n">
        <v>2.1</v>
      </c>
      <c r="H966" t="n">
        <v>0</v>
      </c>
      <c r="I966" t="n">
        <v>0</v>
      </c>
      <c r="J966" t="n">
        <v>0</v>
      </c>
      <c r="K966" t="n">
        <v>0</v>
      </c>
      <c r="L966" t="n">
        <v>0</v>
      </c>
      <c r="M966" t="n">
        <v>0</v>
      </c>
      <c r="N966" t="n">
        <v>0</v>
      </c>
      <c r="O966" t="n">
        <v>0</v>
      </c>
      <c r="P966" t="n">
        <v>0</v>
      </c>
      <c r="Q966" t="n">
        <v>0</v>
      </c>
      <c r="R966" s="2" t="inlineStr"/>
    </row>
    <row r="967" ht="15" customHeight="1">
      <c r="A967" t="inlineStr">
        <is>
          <t>A 37650-2024</t>
        </is>
      </c>
      <c r="B967" s="1" t="n">
        <v>45541</v>
      </c>
      <c r="C967" s="1" t="n">
        <v>45849</v>
      </c>
      <c r="D967" t="inlineStr">
        <is>
          <t>DALARNAS LÄN</t>
        </is>
      </c>
      <c r="E967" t="inlineStr">
        <is>
          <t>LUDVIKA</t>
        </is>
      </c>
      <c r="F967" t="inlineStr">
        <is>
          <t>Bergvik skog väst AB</t>
        </is>
      </c>
      <c r="G967" t="n">
        <v>2.6</v>
      </c>
      <c r="H967" t="n">
        <v>0</v>
      </c>
      <c r="I967" t="n">
        <v>0</v>
      </c>
      <c r="J967" t="n">
        <v>0</v>
      </c>
      <c r="K967" t="n">
        <v>0</v>
      </c>
      <c r="L967" t="n">
        <v>0</v>
      </c>
      <c r="M967" t="n">
        <v>0</v>
      </c>
      <c r="N967" t="n">
        <v>0</v>
      </c>
      <c r="O967" t="n">
        <v>0</v>
      </c>
      <c r="P967" t="n">
        <v>0</v>
      </c>
      <c r="Q967" t="n">
        <v>0</v>
      </c>
      <c r="R967" s="2" t="inlineStr"/>
    </row>
    <row r="968" ht="15" customHeight="1">
      <c r="A968" t="inlineStr">
        <is>
          <t>A 37538-2024</t>
        </is>
      </c>
      <c r="B968" s="1" t="n">
        <v>45541</v>
      </c>
      <c r="C968" s="1" t="n">
        <v>45849</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37644-2024</t>
        </is>
      </c>
      <c r="B969" s="1" t="n">
        <v>45541</v>
      </c>
      <c r="C969" s="1" t="n">
        <v>45849</v>
      </c>
      <c r="D969" t="inlineStr">
        <is>
          <t>DALARNAS LÄN</t>
        </is>
      </c>
      <c r="E969" t="inlineStr">
        <is>
          <t>LUDVIKA</t>
        </is>
      </c>
      <c r="F969" t="inlineStr">
        <is>
          <t>Bergvik skog väst AB</t>
        </is>
      </c>
      <c r="G969" t="n">
        <v>4.5</v>
      </c>
      <c r="H969" t="n">
        <v>0</v>
      </c>
      <c r="I969" t="n">
        <v>0</v>
      </c>
      <c r="J969" t="n">
        <v>0</v>
      </c>
      <c r="K969" t="n">
        <v>0</v>
      </c>
      <c r="L969" t="n">
        <v>0</v>
      </c>
      <c r="M969" t="n">
        <v>0</v>
      </c>
      <c r="N969" t="n">
        <v>0</v>
      </c>
      <c r="O969" t="n">
        <v>0</v>
      </c>
      <c r="P969" t="n">
        <v>0</v>
      </c>
      <c r="Q969" t="n">
        <v>0</v>
      </c>
      <c r="R969" s="2" t="inlineStr"/>
    </row>
    <row r="970" ht="15" customHeight="1">
      <c r="A970" t="inlineStr">
        <is>
          <t>A 37549-2024</t>
        </is>
      </c>
      <c r="B970" s="1" t="n">
        <v>45541</v>
      </c>
      <c r="C970" s="1" t="n">
        <v>45849</v>
      </c>
      <c r="D970" t="inlineStr">
        <is>
          <t>DALARNAS LÄN</t>
        </is>
      </c>
      <c r="E970" t="inlineStr">
        <is>
          <t>LUDVIKA</t>
        </is>
      </c>
      <c r="F970" t="inlineStr">
        <is>
          <t>Bergvik skog väst AB</t>
        </is>
      </c>
      <c r="G970" t="n">
        <v>3.1</v>
      </c>
      <c r="H970" t="n">
        <v>0</v>
      </c>
      <c r="I970" t="n">
        <v>0</v>
      </c>
      <c r="J970" t="n">
        <v>0</v>
      </c>
      <c r="K970" t="n">
        <v>0</v>
      </c>
      <c r="L970" t="n">
        <v>0</v>
      </c>
      <c r="M970" t="n">
        <v>0</v>
      </c>
      <c r="N970" t="n">
        <v>0</v>
      </c>
      <c r="O970" t="n">
        <v>0</v>
      </c>
      <c r="P970" t="n">
        <v>0</v>
      </c>
      <c r="Q970" t="n">
        <v>0</v>
      </c>
      <c r="R970" s="2" t="inlineStr"/>
    </row>
    <row r="971" ht="15" customHeight="1">
      <c r="A971" t="inlineStr">
        <is>
          <t>A 37586-2024</t>
        </is>
      </c>
      <c r="B971" s="1" t="n">
        <v>45541</v>
      </c>
      <c r="C971" s="1" t="n">
        <v>45849</v>
      </c>
      <c r="D971" t="inlineStr">
        <is>
          <t>DALARNAS LÄN</t>
        </is>
      </c>
      <c r="E971" t="inlineStr">
        <is>
          <t>LUDVIKA</t>
        </is>
      </c>
      <c r="F971" t="inlineStr">
        <is>
          <t>Bergvik skog väst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38359-2024</t>
        </is>
      </c>
      <c r="B972" s="1" t="n">
        <v>45545</v>
      </c>
      <c r="C972" s="1" t="n">
        <v>45849</v>
      </c>
      <c r="D972" t="inlineStr">
        <is>
          <t>DALARNAS LÄN</t>
        </is>
      </c>
      <c r="E972" t="inlineStr">
        <is>
          <t>LUDVIKA</t>
        </is>
      </c>
      <c r="G972" t="n">
        <v>2.4</v>
      </c>
      <c r="H972" t="n">
        <v>0</v>
      </c>
      <c r="I972" t="n">
        <v>0</v>
      </c>
      <c r="J972" t="n">
        <v>0</v>
      </c>
      <c r="K972" t="n">
        <v>0</v>
      </c>
      <c r="L972" t="n">
        <v>0</v>
      </c>
      <c r="M972" t="n">
        <v>0</v>
      </c>
      <c r="N972" t="n">
        <v>0</v>
      </c>
      <c r="O972" t="n">
        <v>0</v>
      </c>
      <c r="P972" t="n">
        <v>0</v>
      </c>
      <c r="Q972" t="n">
        <v>0</v>
      </c>
      <c r="R972" s="2" t="inlineStr"/>
    </row>
    <row r="973" ht="15" customHeight="1">
      <c r="A973" t="inlineStr">
        <is>
          <t>A 38374-2024</t>
        </is>
      </c>
      <c r="B973" s="1" t="n">
        <v>45545</v>
      </c>
      <c r="C973" s="1" t="n">
        <v>45849</v>
      </c>
      <c r="D973" t="inlineStr">
        <is>
          <t>DALARNAS LÄN</t>
        </is>
      </c>
      <c r="E973" t="inlineStr">
        <is>
          <t>LUDVIKA</t>
        </is>
      </c>
      <c r="G973" t="n">
        <v>0.9</v>
      </c>
      <c r="H973" t="n">
        <v>0</v>
      </c>
      <c r="I973" t="n">
        <v>0</v>
      </c>
      <c r="J973" t="n">
        <v>0</v>
      </c>
      <c r="K973" t="n">
        <v>0</v>
      </c>
      <c r="L973" t="n">
        <v>0</v>
      </c>
      <c r="M973" t="n">
        <v>0</v>
      </c>
      <c r="N973" t="n">
        <v>0</v>
      </c>
      <c r="O973" t="n">
        <v>0</v>
      </c>
      <c r="P973" t="n">
        <v>0</v>
      </c>
      <c r="Q973" t="n">
        <v>0</v>
      </c>
      <c r="R973" s="2" t="inlineStr"/>
    </row>
    <row r="974" ht="15" customHeight="1">
      <c r="A974" t="inlineStr">
        <is>
          <t>A 38952-2024</t>
        </is>
      </c>
      <c r="B974" s="1" t="n">
        <v>45548</v>
      </c>
      <c r="C974" s="1" t="n">
        <v>45849</v>
      </c>
      <c r="D974" t="inlineStr">
        <is>
          <t>DALARNAS LÄN</t>
        </is>
      </c>
      <c r="E974" t="inlineStr">
        <is>
          <t>LUDVIKA</t>
        </is>
      </c>
      <c r="F974" t="inlineStr">
        <is>
          <t>Bergvik skog väst AB</t>
        </is>
      </c>
      <c r="G974" t="n">
        <v>3.3</v>
      </c>
      <c r="H974" t="n">
        <v>0</v>
      </c>
      <c r="I974" t="n">
        <v>0</v>
      </c>
      <c r="J974" t="n">
        <v>0</v>
      </c>
      <c r="K974" t="n">
        <v>0</v>
      </c>
      <c r="L974" t="n">
        <v>0</v>
      </c>
      <c r="M974" t="n">
        <v>0</v>
      </c>
      <c r="N974" t="n">
        <v>0</v>
      </c>
      <c r="O974" t="n">
        <v>0</v>
      </c>
      <c r="P974" t="n">
        <v>0</v>
      </c>
      <c r="Q974" t="n">
        <v>0</v>
      </c>
      <c r="R974" s="2" t="inlineStr"/>
    </row>
    <row r="975" ht="15" customHeight="1">
      <c r="A975" t="inlineStr">
        <is>
          <t>A 38955-2024</t>
        </is>
      </c>
      <c r="B975" s="1" t="n">
        <v>45548</v>
      </c>
      <c r="C975" s="1" t="n">
        <v>45849</v>
      </c>
      <c r="D975" t="inlineStr">
        <is>
          <t>DALARNAS LÄN</t>
        </is>
      </c>
      <c r="E975" t="inlineStr">
        <is>
          <t>LUDVIKA</t>
        </is>
      </c>
      <c r="F975" t="inlineStr">
        <is>
          <t>Bergvik skog väst AB</t>
        </is>
      </c>
      <c r="G975" t="n">
        <v>3.7</v>
      </c>
      <c r="H975" t="n">
        <v>0</v>
      </c>
      <c r="I975" t="n">
        <v>0</v>
      </c>
      <c r="J975" t="n">
        <v>0</v>
      </c>
      <c r="K975" t="n">
        <v>0</v>
      </c>
      <c r="L975" t="n">
        <v>0</v>
      </c>
      <c r="M975" t="n">
        <v>0</v>
      </c>
      <c r="N975" t="n">
        <v>0</v>
      </c>
      <c r="O975" t="n">
        <v>0</v>
      </c>
      <c r="P975" t="n">
        <v>0</v>
      </c>
      <c r="Q975" t="n">
        <v>0</v>
      </c>
      <c r="R975" s="2" t="inlineStr"/>
    </row>
    <row r="976" ht="15" customHeight="1">
      <c r="A976" t="inlineStr">
        <is>
          <t>A 39008-2024</t>
        </is>
      </c>
      <c r="B976" s="1" t="n">
        <v>45548</v>
      </c>
      <c r="C976" s="1" t="n">
        <v>45849</v>
      </c>
      <c r="D976" t="inlineStr">
        <is>
          <t>DALARNAS LÄN</t>
        </is>
      </c>
      <c r="E976" t="inlineStr">
        <is>
          <t>LUDVIKA</t>
        </is>
      </c>
      <c r="F976" t="inlineStr">
        <is>
          <t>Bergvik skog väst AB</t>
        </is>
      </c>
      <c r="G976" t="n">
        <v>5.1</v>
      </c>
      <c r="H976" t="n">
        <v>0</v>
      </c>
      <c r="I976" t="n">
        <v>0</v>
      </c>
      <c r="J976" t="n">
        <v>0</v>
      </c>
      <c r="K976" t="n">
        <v>0</v>
      </c>
      <c r="L976" t="n">
        <v>0</v>
      </c>
      <c r="M976" t="n">
        <v>0</v>
      </c>
      <c r="N976" t="n">
        <v>0</v>
      </c>
      <c r="O976" t="n">
        <v>0</v>
      </c>
      <c r="P976" t="n">
        <v>0</v>
      </c>
      <c r="Q976" t="n">
        <v>0</v>
      </c>
      <c r="R976" s="2" t="inlineStr"/>
    </row>
    <row r="977" ht="15" customHeight="1">
      <c r="A977" t="inlineStr">
        <is>
          <t>A 39036-2024</t>
        </is>
      </c>
      <c r="B977" s="1" t="n">
        <v>45548</v>
      </c>
      <c r="C977" s="1" t="n">
        <v>45849</v>
      </c>
      <c r="D977" t="inlineStr">
        <is>
          <t>DALARNAS LÄN</t>
        </is>
      </c>
      <c r="E977" t="inlineStr">
        <is>
          <t>LUDVIKA</t>
        </is>
      </c>
      <c r="F977" t="inlineStr">
        <is>
          <t>Bergvik skog väst AB</t>
        </is>
      </c>
      <c r="G977" t="n">
        <v>2.6</v>
      </c>
      <c r="H977" t="n">
        <v>0</v>
      </c>
      <c r="I977" t="n">
        <v>0</v>
      </c>
      <c r="J977" t="n">
        <v>0</v>
      </c>
      <c r="K977" t="n">
        <v>0</v>
      </c>
      <c r="L977" t="n">
        <v>0</v>
      </c>
      <c r="M977" t="n">
        <v>0</v>
      </c>
      <c r="N977" t="n">
        <v>0</v>
      </c>
      <c r="O977" t="n">
        <v>0</v>
      </c>
      <c r="P977" t="n">
        <v>0</v>
      </c>
      <c r="Q977" t="n">
        <v>0</v>
      </c>
      <c r="R977" s="2" t="inlineStr"/>
    </row>
    <row r="978" ht="15" customHeight="1">
      <c r="A978" t="inlineStr">
        <is>
          <t>A 39052-2024</t>
        </is>
      </c>
      <c r="B978" s="1" t="n">
        <v>45548</v>
      </c>
      <c r="C978" s="1" t="n">
        <v>45849</v>
      </c>
      <c r="D978" t="inlineStr">
        <is>
          <t>DALARNAS LÄN</t>
        </is>
      </c>
      <c r="E978" t="inlineStr">
        <is>
          <t>LUDVIKA</t>
        </is>
      </c>
      <c r="F978" t="inlineStr">
        <is>
          <t>Bergvik skog väst AB</t>
        </is>
      </c>
      <c r="G978" t="n">
        <v>7.1</v>
      </c>
      <c r="H978" t="n">
        <v>0</v>
      </c>
      <c r="I978" t="n">
        <v>0</v>
      </c>
      <c r="J978" t="n">
        <v>0</v>
      </c>
      <c r="K978" t="n">
        <v>0</v>
      </c>
      <c r="L978" t="n">
        <v>0</v>
      </c>
      <c r="M978" t="n">
        <v>0</v>
      </c>
      <c r="N978" t="n">
        <v>0</v>
      </c>
      <c r="O978" t="n">
        <v>0</v>
      </c>
      <c r="P978" t="n">
        <v>0</v>
      </c>
      <c r="Q978" t="n">
        <v>0</v>
      </c>
      <c r="R978" s="2" t="inlineStr"/>
    </row>
    <row r="979" ht="15" customHeight="1">
      <c r="A979" t="inlineStr">
        <is>
          <t>A 39172-2024</t>
        </is>
      </c>
      <c r="B979" s="1" t="n">
        <v>45548</v>
      </c>
      <c r="C979" s="1" t="n">
        <v>45849</v>
      </c>
      <c r="D979" t="inlineStr">
        <is>
          <t>DALARNAS LÄN</t>
        </is>
      </c>
      <c r="E979" t="inlineStr">
        <is>
          <t>LUDVIKA</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39167-2024</t>
        </is>
      </c>
      <c r="B980" s="1" t="n">
        <v>45548</v>
      </c>
      <c r="C980" s="1" t="n">
        <v>45849</v>
      </c>
      <c r="D980" t="inlineStr">
        <is>
          <t>DALARNAS LÄN</t>
        </is>
      </c>
      <c r="E980" t="inlineStr">
        <is>
          <t>LUDVIKA</t>
        </is>
      </c>
      <c r="F980" t="inlineStr">
        <is>
          <t>Bergvik skog väst AB</t>
        </is>
      </c>
      <c r="G980" t="n">
        <v>1.7</v>
      </c>
      <c r="H980" t="n">
        <v>0</v>
      </c>
      <c r="I980" t="n">
        <v>0</v>
      </c>
      <c r="J980" t="n">
        <v>0</v>
      </c>
      <c r="K980" t="n">
        <v>0</v>
      </c>
      <c r="L980" t="n">
        <v>0</v>
      </c>
      <c r="M980" t="n">
        <v>0</v>
      </c>
      <c r="N980" t="n">
        <v>0</v>
      </c>
      <c r="O980" t="n">
        <v>0</v>
      </c>
      <c r="P980" t="n">
        <v>0</v>
      </c>
      <c r="Q980" t="n">
        <v>0</v>
      </c>
      <c r="R980" s="2" t="inlineStr"/>
    </row>
    <row r="981" ht="15" customHeight="1">
      <c r="A981" t="inlineStr">
        <is>
          <t>A 39519-2024</t>
        </is>
      </c>
      <c r="B981" s="1" t="n">
        <v>45551</v>
      </c>
      <c r="C981" s="1" t="n">
        <v>45849</v>
      </c>
      <c r="D981" t="inlineStr">
        <is>
          <t>DALARNAS LÄN</t>
        </is>
      </c>
      <c r="E981" t="inlineStr">
        <is>
          <t>LUDVIKA</t>
        </is>
      </c>
      <c r="G981" t="n">
        <v>0.5</v>
      </c>
      <c r="H981" t="n">
        <v>0</v>
      </c>
      <c r="I981" t="n">
        <v>0</v>
      </c>
      <c r="J981" t="n">
        <v>0</v>
      </c>
      <c r="K981" t="n">
        <v>0</v>
      </c>
      <c r="L981" t="n">
        <v>0</v>
      </c>
      <c r="M981" t="n">
        <v>0</v>
      </c>
      <c r="N981" t="n">
        <v>0</v>
      </c>
      <c r="O981" t="n">
        <v>0</v>
      </c>
      <c r="P981" t="n">
        <v>0</v>
      </c>
      <c r="Q981" t="n">
        <v>0</v>
      </c>
      <c r="R981" s="2" t="inlineStr"/>
    </row>
    <row r="982" ht="15" customHeight="1">
      <c r="A982" t="inlineStr">
        <is>
          <t>A 39611-2024</t>
        </is>
      </c>
      <c r="B982" s="1" t="n">
        <v>45552</v>
      </c>
      <c r="C982" s="1" t="n">
        <v>45849</v>
      </c>
      <c r="D982" t="inlineStr">
        <is>
          <t>DALARNAS LÄN</t>
        </is>
      </c>
      <c r="E982" t="inlineStr">
        <is>
          <t>LUDVIKA</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40125-2024</t>
        </is>
      </c>
      <c r="B983" s="1" t="n">
        <v>45554</v>
      </c>
      <c r="C983" s="1" t="n">
        <v>45849</v>
      </c>
      <c r="D983" t="inlineStr">
        <is>
          <t>DALARNAS LÄN</t>
        </is>
      </c>
      <c r="E983" t="inlineStr">
        <is>
          <t>LUDVIKA</t>
        </is>
      </c>
      <c r="G983" t="n">
        <v>1</v>
      </c>
      <c r="H983" t="n">
        <v>0</v>
      </c>
      <c r="I983" t="n">
        <v>0</v>
      </c>
      <c r="J983" t="n">
        <v>0</v>
      </c>
      <c r="K983" t="n">
        <v>0</v>
      </c>
      <c r="L983" t="n">
        <v>0</v>
      </c>
      <c r="M983" t="n">
        <v>0</v>
      </c>
      <c r="N983" t="n">
        <v>0</v>
      </c>
      <c r="O983" t="n">
        <v>0</v>
      </c>
      <c r="P983" t="n">
        <v>0</v>
      </c>
      <c r="Q983" t="n">
        <v>0</v>
      </c>
      <c r="R983" s="2" t="inlineStr"/>
    </row>
    <row r="984" ht="15" customHeight="1">
      <c r="A984" t="inlineStr">
        <is>
          <t>A 40439-2024</t>
        </is>
      </c>
      <c r="B984" s="1" t="n">
        <v>45555</v>
      </c>
      <c r="C984" s="1" t="n">
        <v>45849</v>
      </c>
      <c r="D984" t="inlineStr">
        <is>
          <t>DALARNAS LÄN</t>
        </is>
      </c>
      <c r="E984" t="inlineStr">
        <is>
          <t>LUDVIKA</t>
        </is>
      </c>
      <c r="F984" t="inlineStr">
        <is>
          <t>Bergvik skog väst AB</t>
        </is>
      </c>
      <c r="G984" t="n">
        <v>2.5</v>
      </c>
      <c r="H984" t="n">
        <v>0</v>
      </c>
      <c r="I984" t="n">
        <v>0</v>
      </c>
      <c r="J984" t="n">
        <v>0</v>
      </c>
      <c r="K984" t="n">
        <v>0</v>
      </c>
      <c r="L984" t="n">
        <v>0</v>
      </c>
      <c r="M984" t="n">
        <v>0</v>
      </c>
      <c r="N984" t="n">
        <v>0</v>
      </c>
      <c r="O984" t="n">
        <v>0</v>
      </c>
      <c r="P984" t="n">
        <v>0</v>
      </c>
      <c r="Q984" t="n">
        <v>0</v>
      </c>
      <c r="R984" s="2" t="inlineStr"/>
    </row>
    <row r="985" ht="15" customHeight="1">
      <c r="A985" t="inlineStr">
        <is>
          <t>A 41495-2024</t>
        </is>
      </c>
      <c r="B985" s="1" t="n">
        <v>45560</v>
      </c>
      <c r="C985" s="1" t="n">
        <v>45849</v>
      </c>
      <c r="D985" t="inlineStr">
        <is>
          <t>DALARNAS LÄN</t>
        </is>
      </c>
      <c r="E985" t="inlineStr">
        <is>
          <t>LUDVIKA</t>
        </is>
      </c>
      <c r="F985" t="inlineStr">
        <is>
          <t>Bergvik skog väst AB</t>
        </is>
      </c>
      <c r="G985" t="n">
        <v>5.8</v>
      </c>
      <c r="H985" t="n">
        <v>0</v>
      </c>
      <c r="I985" t="n">
        <v>0</v>
      </c>
      <c r="J985" t="n">
        <v>0</v>
      </c>
      <c r="K985" t="n">
        <v>0</v>
      </c>
      <c r="L985" t="n">
        <v>0</v>
      </c>
      <c r="M985" t="n">
        <v>0</v>
      </c>
      <c r="N985" t="n">
        <v>0</v>
      </c>
      <c r="O985" t="n">
        <v>0</v>
      </c>
      <c r="P985" t="n">
        <v>0</v>
      </c>
      <c r="Q985" t="n">
        <v>0</v>
      </c>
      <c r="R985" s="2" t="inlineStr"/>
    </row>
    <row r="986" ht="15" customHeight="1">
      <c r="A986" t="inlineStr">
        <is>
          <t>A 41449-2024</t>
        </is>
      </c>
      <c r="B986" s="1" t="n">
        <v>45560</v>
      </c>
      <c r="C986" s="1" t="n">
        <v>45849</v>
      </c>
      <c r="D986" t="inlineStr">
        <is>
          <t>DALARNAS LÄN</t>
        </is>
      </c>
      <c r="E986" t="inlineStr">
        <is>
          <t>LUDVIKA</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41616-2024</t>
        </is>
      </c>
      <c r="B987" s="1" t="n">
        <v>45560</v>
      </c>
      <c r="C987" s="1" t="n">
        <v>45849</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row r="988" ht="15" customHeight="1">
      <c r="A988" t="inlineStr">
        <is>
          <t>A 41509-2024</t>
        </is>
      </c>
      <c r="B988" s="1" t="n">
        <v>45560</v>
      </c>
      <c r="C988" s="1" t="n">
        <v>45849</v>
      </c>
      <c r="D988" t="inlineStr">
        <is>
          <t>DALARNAS LÄN</t>
        </is>
      </c>
      <c r="E988" t="inlineStr">
        <is>
          <t>LUDVIKA</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41473-2024</t>
        </is>
      </c>
      <c r="B989" s="1" t="n">
        <v>45560</v>
      </c>
      <c r="C989" s="1" t="n">
        <v>45849</v>
      </c>
      <c r="D989" t="inlineStr">
        <is>
          <t>DALARNAS LÄN</t>
        </is>
      </c>
      <c r="E989" t="inlineStr">
        <is>
          <t>LUDVIKA</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41459-2024</t>
        </is>
      </c>
      <c r="B990" s="1" t="n">
        <v>45560</v>
      </c>
      <c r="C990" s="1" t="n">
        <v>45849</v>
      </c>
      <c r="D990" t="inlineStr">
        <is>
          <t>DALARNAS LÄN</t>
        </is>
      </c>
      <c r="E990" t="inlineStr">
        <is>
          <t>LUDVIKA</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41426-2024</t>
        </is>
      </c>
      <c r="B991" s="1" t="n">
        <v>45560</v>
      </c>
      <c r="C991" s="1" t="n">
        <v>45849</v>
      </c>
      <c r="D991" t="inlineStr">
        <is>
          <t>DALARNAS LÄN</t>
        </is>
      </c>
      <c r="E991" t="inlineStr">
        <is>
          <t>LUDVIKA</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41539-2024</t>
        </is>
      </c>
      <c r="B992" s="1" t="n">
        <v>45560</v>
      </c>
      <c r="C992" s="1" t="n">
        <v>45849</v>
      </c>
      <c r="D992" t="inlineStr">
        <is>
          <t>DALARNAS LÄN</t>
        </is>
      </c>
      <c r="E992" t="inlineStr">
        <is>
          <t>LUDVIKA</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41883-2024</t>
        </is>
      </c>
      <c r="B993" s="1" t="n">
        <v>45561</v>
      </c>
      <c r="C993" s="1" t="n">
        <v>45849</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42108-2024</t>
        </is>
      </c>
      <c r="B994" s="1" t="n">
        <v>45562</v>
      </c>
      <c r="C994" s="1" t="n">
        <v>45849</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42128-2024</t>
        </is>
      </c>
      <c r="B995" s="1" t="n">
        <v>45562</v>
      </c>
      <c r="C995" s="1" t="n">
        <v>45849</v>
      </c>
      <c r="D995" t="inlineStr">
        <is>
          <t>DALARNAS LÄN</t>
        </is>
      </c>
      <c r="E995" t="inlineStr">
        <is>
          <t>LUDVIKA</t>
        </is>
      </c>
      <c r="G995" t="n">
        <v>3.1</v>
      </c>
      <c r="H995" t="n">
        <v>0</v>
      </c>
      <c r="I995" t="n">
        <v>0</v>
      </c>
      <c r="J995" t="n">
        <v>0</v>
      </c>
      <c r="K995" t="n">
        <v>0</v>
      </c>
      <c r="L995" t="n">
        <v>0</v>
      </c>
      <c r="M995" t="n">
        <v>0</v>
      </c>
      <c r="N995" t="n">
        <v>0</v>
      </c>
      <c r="O995" t="n">
        <v>0</v>
      </c>
      <c r="P995" t="n">
        <v>0</v>
      </c>
      <c r="Q995" t="n">
        <v>0</v>
      </c>
      <c r="R995" s="2" t="inlineStr"/>
    </row>
    <row r="996" ht="15" customHeight="1">
      <c r="A996" t="inlineStr">
        <is>
          <t>A 42213-2024</t>
        </is>
      </c>
      <c r="B996" s="1" t="n">
        <v>45562</v>
      </c>
      <c r="C996" s="1" t="n">
        <v>45849</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42254-2024</t>
        </is>
      </c>
      <c r="B997" s="1" t="n">
        <v>45562</v>
      </c>
      <c r="C997" s="1" t="n">
        <v>45849</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42106-2024</t>
        </is>
      </c>
      <c r="B998" s="1" t="n">
        <v>45562</v>
      </c>
      <c r="C998" s="1" t="n">
        <v>45849</v>
      </c>
      <c r="D998" t="inlineStr">
        <is>
          <t>DALARNAS LÄN</t>
        </is>
      </c>
      <c r="E998" t="inlineStr">
        <is>
          <t>LUDVIKA</t>
        </is>
      </c>
      <c r="F998" t="inlineStr">
        <is>
          <t>Bergvik skog väst AB</t>
        </is>
      </c>
      <c r="G998" t="n">
        <v>6</v>
      </c>
      <c r="H998" t="n">
        <v>0</v>
      </c>
      <c r="I998" t="n">
        <v>0</v>
      </c>
      <c r="J998" t="n">
        <v>0</v>
      </c>
      <c r="K998" t="n">
        <v>0</v>
      </c>
      <c r="L998" t="n">
        <v>0</v>
      </c>
      <c r="M998" t="n">
        <v>0</v>
      </c>
      <c r="N998" t="n">
        <v>0</v>
      </c>
      <c r="O998" t="n">
        <v>0</v>
      </c>
      <c r="P998" t="n">
        <v>0</v>
      </c>
      <c r="Q998" t="n">
        <v>0</v>
      </c>
      <c r="R998" s="2" t="inlineStr"/>
    </row>
    <row r="999" ht="15" customHeight="1">
      <c r="A999" t="inlineStr">
        <is>
          <t>A 42215-2024</t>
        </is>
      </c>
      <c r="B999" s="1" t="n">
        <v>45562</v>
      </c>
      <c r="C999" s="1" t="n">
        <v>45849</v>
      </c>
      <c r="D999" t="inlineStr">
        <is>
          <t>DALARNAS LÄN</t>
        </is>
      </c>
      <c r="E999" t="inlineStr">
        <is>
          <t>LUDVIKA</t>
        </is>
      </c>
      <c r="F999" t="inlineStr">
        <is>
          <t>Bergvik skog väst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42341-2024</t>
        </is>
      </c>
      <c r="B1000" s="1" t="n">
        <v>45562</v>
      </c>
      <c r="C1000" s="1" t="n">
        <v>45849</v>
      </c>
      <c r="D1000" t="inlineStr">
        <is>
          <t>DALARNAS LÄN</t>
        </is>
      </c>
      <c r="E1000" t="inlineStr">
        <is>
          <t>LUDVIKA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42421-2024</t>
        </is>
      </c>
      <c r="B1001" s="1" t="n">
        <v>45565</v>
      </c>
      <c r="C1001" s="1" t="n">
        <v>45849</v>
      </c>
      <c r="D1001" t="inlineStr">
        <is>
          <t>DALARNAS LÄN</t>
        </is>
      </c>
      <c r="E1001" t="inlineStr">
        <is>
          <t>LUDVIKA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42829-2024</t>
        </is>
      </c>
      <c r="B1002" s="1" t="n">
        <v>45566</v>
      </c>
      <c r="C1002" s="1" t="n">
        <v>45849</v>
      </c>
      <c r="D1002" t="inlineStr">
        <is>
          <t>DALARNAS LÄN</t>
        </is>
      </c>
      <c r="E1002" t="inlineStr">
        <is>
          <t>LUDVIKA</t>
        </is>
      </c>
      <c r="F1002" t="inlineStr">
        <is>
          <t>Bergvik skog väst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42827-2024</t>
        </is>
      </c>
      <c r="B1003" s="1" t="n">
        <v>45566</v>
      </c>
      <c r="C1003" s="1" t="n">
        <v>45849</v>
      </c>
      <c r="D1003" t="inlineStr">
        <is>
          <t>DALARNAS LÄN</t>
        </is>
      </c>
      <c r="E1003" t="inlineStr">
        <is>
          <t>LUDVIKA</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43057-2024</t>
        </is>
      </c>
      <c r="B1004" s="1" t="n">
        <v>45567</v>
      </c>
      <c r="C1004" s="1" t="n">
        <v>45849</v>
      </c>
      <c r="D1004" t="inlineStr">
        <is>
          <t>DALARNAS LÄN</t>
        </is>
      </c>
      <c r="E1004" t="inlineStr">
        <is>
          <t>LUDVIKA</t>
        </is>
      </c>
      <c r="F1004" t="inlineStr">
        <is>
          <t>Bergvik skog väst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43111-2024</t>
        </is>
      </c>
      <c r="B1005" s="1" t="n">
        <v>45567</v>
      </c>
      <c r="C1005" s="1" t="n">
        <v>45849</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43033-2024</t>
        </is>
      </c>
      <c r="B1006" s="1" t="n">
        <v>45567</v>
      </c>
      <c r="C1006" s="1" t="n">
        <v>45849</v>
      </c>
      <c r="D1006" t="inlineStr">
        <is>
          <t>DALARNAS LÄN</t>
        </is>
      </c>
      <c r="E1006" t="inlineStr">
        <is>
          <t>LUDVIKA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43116-2024</t>
        </is>
      </c>
      <c r="B1007" s="1" t="n">
        <v>45567</v>
      </c>
      <c r="C1007" s="1" t="n">
        <v>45849</v>
      </c>
      <c r="D1007" t="inlineStr">
        <is>
          <t>DALARNAS LÄN</t>
        </is>
      </c>
      <c r="E1007" t="inlineStr">
        <is>
          <t>LUDVIKA</t>
        </is>
      </c>
      <c r="F1007" t="inlineStr">
        <is>
          <t>Bergvik skog väst AB</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43055-2024</t>
        </is>
      </c>
      <c r="B1008" s="1" t="n">
        <v>45567</v>
      </c>
      <c r="C1008" s="1" t="n">
        <v>45849</v>
      </c>
      <c r="D1008" t="inlineStr">
        <is>
          <t>DALARNAS LÄN</t>
        </is>
      </c>
      <c r="E1008" t="inlineStr">
        <is>
          <t>LUDVIKA</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43015-2024</t>
        </is>
      </c>
      <c r="B1009" s="1" t="n">
        <v>45567</v>
      </c>
      <c r="C1009" s="1" t="n">
        <v>45849</v>
      </c>
      <c r="D1009" t="inlineStr">
        <is>
          <t>DALARNAS LÄN</t>
        </is>
      </c>
      <c r="E1009" t="inlineStr">
        <is>
          <t>LUDVIKA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43240-2024</t>
        </is>
      </c>
      <c r="B1010" s="1" t="n">
        <v>45568</v>
      </c>
      <c r="C1010" s="1" t="n">
        <v>45849</v>
      </c>
      <c r="D1010" t="inlineStr">
        <is>
          <t>DALARNAS LÄN</t>
        </is>
      </c>
      <c r="E1010" t="inlineStr">
        <is>
          <t>LUDVIKA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43330-2024</t>
        </is>
      </c>
      <c r="B1011" s="1" t="n">
        <v>45568</v>
      </c>
      <c r="C1011" s="1" t="n">
        <v>45849</v>
      </c>
      <c r="D1011" t="inlineStr">
        <is>
          <t>DALARNAS LÄN</t>
        </is>
      </c>
      <c r="E1011" t="inlineStr">
        <is>
          <t>LUDVIKA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43706-2024</t>
        </is>
      </c>
      <c r="B1012" s="1" t="n">
        <v>45569</v>
      </c>
      <c r="C1012" s="1" t="n">
        <v>45849</v>
      </c>
      <c r="D1012" t="inlineStr">
        <is>
          <t>DALARNAS LÄN</t>
        </is>
      </c>
      <c r="E1012" t="inlineStr">
        <is>
          <t>LUDVIKA</t>
        </is>
      </c>
      <c r="F1012" t="inlineStr">
        <is>
          <t>Naturvårdsverket</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43704-2024</t>
        </is>
      </c>
      <c r="B1013" s="1" t="n">
        <v>45569</v>
      </c>
      <c r="C1013" s="1" t="n">
        <v>45849</v>
      </c>
      <c r="D1013" t="inlineStr">
        <is>
          <t>DALARNAS LÄN</t>
        </is>
      </c>
      <c r="E1013" t="inlineStr">
        <is>
          <t>LUDVIKA</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43700-2024</t>
        </is>
      </c>
      <c r="B1014" s="1" t="n">
        <v>45569</v>
      </c>
      <c r="C1014" s="1" t="n">
        <v>45849</v>
      </c>
      <c r="D1014" t="inlineStr">
        <is>
          <t>DALARNAS LÄN</t>
        </is>
      </c>
      <c r="E1014" t="inlineStr">
        <is>
          <t>LUDVIKA</t>
        </is>
      </c>
      <c r="F1014" t="inlineStr">
        <is>
          <t>Bergvik skog väst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43702-2024</t>
        </is>
      </c>
      <c r="B1015" s="1" t="n">
        <v>45569</v>
      </c>
      <c r="C1015" s="1" t="n">
        <v>45849</v>
      </c>
      <c r="D1015" t="inlineStr">
        <is>
          <t>DALARNAS LÄN</t>
        </is>
      </c>
      <c r="E1015" t="inlineStr">
        <is>
          <t>LUDVIKA</t>
        </is>
      </c>
      <c r="F1015" t="inlineStr">
        <is>
          <t>Bergvik skog väst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43694-2024</t>
        </is>
      </c>
      <c r="B1016" s="1" t="n">
        <v>45569</v>
      </c>
      <c r="C1016" s="1" t="n">
        <v>45849</v>
      </c>
      <c r="D1016" t="inlineStr">
        <is>
          <t>DALARNAS LÄN</t>
        </is>
      </c>
      <c r="E1016" t="inlineStr">
        <is>
          <t>LUDVIKA</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43981-2024</t>
        </is>
      </c>
      <c r="B1017" s="1" t="n">
        <v>45572</v>
      </c>
      <c r="C1017" s="1" t="n">
        <v>45849</v>
      </c>
      <c r="D1017" t="inlineStr">
        <is>
          <t>DALARNAS LÄN</t>
        </is>
      </c>
      <c r="E1017" t="inlineStr">
        <is>
          <t>LUDVIKA</t>
        </is>
      </c>
      <c r="F1017" t="inlineStr">
        <is>
          <t>Bergvik skog väst AB</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44217-2024</t>
        </is>
      </c>
      <c r="B1018" s="1" t="n">
        <v>45573</v>
      </c>
      <c r="C1018" s="1" t="n">
        <v>45849</v>
      </c>
      <c r="D1018" t="inlineStr">
        <is>
          <t>DALARNAS LÄN</t>
        </is>
      </c>
      <c r="E1018" t="inlineStr">
        <is>
          <t>LUDVIKA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44248-2024</t>
        </is>
      </c>
      <c r="B1019" s="1" t="n">
        <v>45573</v>
      </c>
      <c r="C1019" s="1" t="n">
        <v>45849</v>
      </c>
      <c r="D1019" t="inlineStr">
        <is>
          <t>DALARNAS LÄN</t>
        </is>
      </c>
      <c r="E1019" t="inlineStr">
        <is>
          <t>LUDVIKA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44537-2024</t>
        </is>
      </c>
      <c r="B1020" s="1" t="n">
        <v>45574</v>
      </c>
      <c r="C1020" s="1" t="n">
        <v>45849</v>
      </c>
      <c r="D1020" t="inlineStr">
        <is>
          <t>DALARNAS LÄN</t>
        </is>
      </c>
      <c r="E1020" t="inlineStr">
        <is>
          <t>LUDVIKA</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44534-2024</t>
        </is>
      </c>
      <c r="B1021" s="1" t="n">
        <v>45574</v>
      </c>
      <c r="C1021" s="1" t="n">
        <v>45849</v>
      </c>
      <c r="D1021" t="inlineStr">
        <is>
          <t>DALARNAS LÄN</t>
        </is>
      </c>
      <c r="E1021" t="inlineStr">
        <is>
          <t>LUDVIKA</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44732-2024</t>
        </is>
      </c>
      <c r="B1022" s="1" t="n">
        <v>45574</v>
      </c>
      <c r="C1022" s="1" t="n">
        <v>45849</v>
      </c>
      <c r="D1022" t="inlineStr">
        <is>
          <t>DALARNAS LÄN</t>
        </is>
      </c>
      <c r="E1022" t="inlineStr">
        <is>
          <t>LUDVIKA</t>
        </is>
      </c>
      <c r="F1022" t="inlineStr">
        <is>
          <t>Bergvik skog väst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44880-2024</t>
        </is>
      </c>
      <c r="B1023" s="1" t="n">
        <v>45575</v>
      </c>
      <c r="C1023" s="1" t="n">
        <v>45849</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45184-2024</t>
        </is>
      </c>
      <c r="B1024" s="1" t="n">
        <v>45575</v>
      </c>
      <c r="C1024" s="1" t="n">
        <v>45849</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45188-2024</t>
        </is>
      </c>
      <c r="B1025" s="1" t="n">
        <v>45575</v>
      </c>
      <c r="C1025" s="1" t="n">
        <v>45849</v>
      </c>
      <c r="D1025" t="inlineStr">
        <is>
          <t>DALARNAS LÄN</t>
        </is>
      </c>
      <c r="E1025" t="inlineStr">
        <is>
          <t>LUDVIKA</t>
        </is>
      </c>
      <c r="F1025" t="inlineStr">
        <is>
          <t>Bergvik skog väst AB</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44885-2024</t>
        </is>
      </c>
      <c r="B1026" s="1" t="n">
        <v>45575</v>
      </c>
      <c r="C1026" s="1" t="n">
        <v>45849</v>
      </c>
      <c r="D1026" t="inlineStr">
        <is>
          <t>DALARNAS LÄN</t>
        </is>
      </c>
      <c r="E1026" t="inlineStr">
        <is>
          <t>LUDVIKA</t>
        </is>
      </c>
      <c r="F1026" t="inlineStr">
        <is>
          <t>Bergvik skog väst AB</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44881-2024</t>
        </is>
      </c>
      <c r="B1027" s="1" t="n">
        <v>45575</v>
      </c>
      <c r="C1027" s="1" t="n">
        <v>45849</v>
      </c>
      <c r="D1027" t="inlineStr">
        <is>
          <t>DALARNAS LÄN</t>
        </is>
      </c>
      <c r="E1027" t="inlineStr">
        <is>
          <t>LUDVIKA</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45405-2024</t>
        </is>
      </c>
      <c r="B1028" s="1" t="n">
        <v>45576</v>
      </c>
      <c r="C1028" s="1" t="n">
        <v>45849</v>
      </c>
      <c r="D1028" t="inlineStr">
        <is>
          <t>DALARNAS LÄN</t>
        </is>
      </c>
      <c r="E1028" t="inlineStr">
        <is>
          <t>LUDVIKA</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45445-2024</t>
        </is>
      </c>
      <c r="B1029" s="1" t="n">
        <v>45576</v>
      </c>
      <c r="C1029" s="1" t="n">
        <v>45849</v>
      </c>
      <c r="D1029" t="inlineStr">
        <is>
          <t>DALARNAS LÄN</t>
        </is>
      </c>
      <c r="E1029" t="inlineStr">
        <is>
          <t>LUDVIKA</t>
        </is>
      </c>
      <c r="F1029" t="inlineStr">
        <is>
          <t>Bergvik skog väst AB</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45443-2024</t>
        </is>
      </c>
      <c r="B1030" s="1" t="n">
        <v>45576</v>
      </c>
      <c r="C1030" s="1" t="n">
        <v>45849</v>
      </c>
      <c r="D1030" t="inlineStr">
        <is>
          <t>DALARNAS LÄN</t>
        </is>
      </c>
      <c r="E1030" t="inlineStr">
        <is>
          <t>LUDVIKA</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45400-2024</t>
        </is>
      </c>
      <c r="B1031" s="1" t="n">
        <v>45576</v>
      </c>
      <c r="C1031" s="1" t="n">
        <v>45849</v>
      </c>
      <c r="D1031" t="inlineStr">
        <is>
          <t>DALARNAS LÄN</t>
        </is>
      </c>
      <c r="E1031" t="inlineStr">
        <is>
          <t>LUDVIKA</t>
        </is>
      </c>
      <c r="F1031" t="inlineStr">
        <is>
          <t>Bergvik skog väst AB</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45402-2024</t>
        </is>
      </c>
      <c r="B1032" s="1" t="n">
        <v>45576</v>
      </c>
      <c r="C1032" s="1" t="n">
        <v>45849</v>
      </c>
      <c r="D1032" t="inlineStr">
        <is>
          <t>DALARNAS LÄN</t>
        </is>
      </c>
      <c r="E1032" t="inlineStr">
        <is>
          <t>LUDVIKA</t>
        </is>
      </c>
      <c r="F1032" t="inlineStr">
        <is>
          <t>Bergvik skog väst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45559-2024</t>
        </is>
      </c>
      <c r="B1033" s="1" t="n">
        <v>45579</v>
      </c>
      <c r="C1033" s="1" t="n">
        <v>45849</v>
      </c>
      <c r="D1033" t="inlineStr">
        <is>
          <t>DALARNAS LÄN</t>
        </is>
      </c>
      <c r="E1033" t="inlineStr">
        <is>
          <t>LUDVIKA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45544-2024</t>
        </is>
      </c>
      <c r="B1034" s="1" t="n">
        <v>45579</v>
      </c>
      <c r="C1034" s="1" t="n">
        <v>45849</v>
      </c>
      <c r="D1034" t="inlineStr">
        <is>
          <t>DALARNAS LÄN</t>
        </is>
      </c>
      <c r="E1034" t="inlineStr">
        <is>
          <t>LUDVIKA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45547-2024</t>
        </is>
      </c>
      <c r="B1035" s="1" t="n">
        <v>45579</v>
      </c>
      <c r="C1035" s="1" t="n">
        <v>45849</v>
      </c>
      <c r="D1035" t="inlineStr">
        <is>
          <t>DALARNAS LÄN</t>
        </is>
      </c>
      <c r="E1035" t="inlineStr">
        <is>
          <t>LUDVIKA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45543-2024</t>
        </is>
      </c>
      <c r="B1036" s="1" t="n">
        <v>45579</v>
      </c>
      <c r="C1036" s="1" t="n">
        <v>45849</v>
      </c>
      <c r="D1036" t="inlineStr">
        <is>
          <t>DALARNAS LÄN</t>
        </is>
      </c>
      <c r="E1036" t="inlineStr">
        <is>
          <t>LUDVIKA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46102-2024</t>
        </is>
      </c>
      <c r="B1037" s="1" t="n">
        <v>45581</v>
      </c>
      <c r="C1037" s="1" t="n">
        <v>45849</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46093-2024</t>
        </is>
      </c>
      <c r="B1038" s="1" t="n">
        <v>45581</v>
      </c>
      <c r="C1038" s="1" t="n">
        <v>45849</v>
      </c>
      <c r="D1038" t="inlineStr">
        <is>
          <t>DALARNAS LÄN</t>
        </is>
      </c>
      <c r="E1038" t="inlineStr">
        <is>
          <t>LUDVIKA</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46097-2024</t>
        </is>
      </c>
      <c r="B1039" s="1" t="n">
        <v>45581</v>
      </c>
      <c r="C1039" s="1" t="n">
        <v>45849</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46183-2024</t>
        </is>
      </c>
      <c r="B1040" s="1" t="n">
        <v>45581</v>
      </c>
      <c r="C1040" s="1" t="n">
        <v>45849</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46107-2024</t>
        </is>
      </c>
      <c r="B1041" s="1" t="n">
        <v>45581</v>
      </c>
      <c r="C1041" s="1" t="n">
        <v>45849</v>
      </c>
      <c r="D1041" t="inlineStr">
        <is>
          <t>DALARNAS LÄN</t>
        </is>
      </c>
      <c r="E1041" t="inlineStr">
        <is>
          <t>LUDVIKA</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46095-2024</t>
        </is>
      </c>
      <c r="B1042" s="1" t="n">
        <v>45581</v>
      </c>
      <c r="C1042" s="1" t="n">
        <v>45849</v>
      </c>
      <c r="D1042" t="inlineStr">
        <is>
          <t>DALARNAS LÄN</t>
        </is>
      </c>
      <c r="E1042" t="inlineStr">
        <is>
          <t>LUDVIKA</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46092-2024</t>
        </is>
      </c>
      <c r="B1043" s="1" t="n">
        <v>45581</v>
      </c>
      <c r="C1043" s="1" t="n">
        <v>45849</v>
      </c>
      <c r="D1043" t="inlineStr">
        <is>
          <t>DALARNAS LÄN</t>
        </is>
      </c>
      <c r="E1043" t="inlineStr">
        <is>
          <t>LUDVIKA</t>
        </is>
      </c>
      <c r="F1043" t="inlineStr">
        <is>
          <t>Bergvik skog väst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46185-2024</t>
        </is>
      </c>
      <c r="B1044" s="1" t="n">
        <v>45581</v>
      </c>
      <c r="C1044" s="1" t="n">
        <v>45849</v>
      </c>
      <c r="D1044" t="inlineStr">
        <is>
          <t>DALARNAS LÄN</t>
        </is>
      </c>
      <c r="E1044" t="inlineStr">
        <is>
          <t>LUDVIKA</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46358-2024</t>
        </is>
      </c>
      <c r="B1045" s="1" t="n">
        <v>45582</v>
      </c>
      <c r="C1045" s="1" t="n">
        <v>45849</v>
      </c>
      <c r="D1045" t="inlineStr">
        <is>
          <t>DALARNAS LÄN</t>
        </is>
      </c>
      <c r="E1045" t="inlineStr">
        <is>
          <t>LUDVIKA</t>
        </is>
      </c>
      <c r="F1045" t="inlineStr">
        <is>
          <t>Övriga Aktiebolag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46351-2024</t>
        </is>
      </c>
      <c r="B1046" s="1" t="n">
        <v>45582</v>
      </c>
      <c r="C1046" s="1" t="n">
        <v>45849</v>
      </c>
      <c r="D1046" t="inlineStr">
        <is>
          <t>DALARNAS LÄN</t>
        </is>
      </c>
      <c r="E1046" t="inlineStr">
        <is>
          <t>LUDVIKA</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47233-2024</t>
        </is>
      </c>
      <c r="B1047" s="1" t="n">
        <v>45586</v>
      </c>
      <c r="C1047" s="1" t="n">
        <v>45849</v>
      </c>
      <c r="D1047" t="inlineStr">
        <is>
          <t>DALARNAS LÄN</t>
        </is>
      </c>
      <c r="E1047" t="inlineStr">
        <is>
          <t>LUDVIKA</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47239-2024</t>
        </is>
      </c>
      <c r="B1048" s="1" t="n">
        <v>45586</v>
      </c>
      <c r="C1048" s="1" t="n">
        <v>45849</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47229-2024</t>
        </is>
      </c>
      <c r="B1049" s="1" t="n">
        <v>45586</v>
      </c>
      <c r="C1049" s="1" t="n">
        <v>45849</v>
      </c>
      <c r="D1049" t="inlineStr">
        <is>
          <t>DALARNAS LÄN</t>
        </is>
      </c>
      <c r="E1049" t="inlineStr">
        <is>
          <t>LUDVIKA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47671-2024</t>
        </is>
      </c>
      <c r="B1050" s="1" t="n">
        <v>45588</v>
      </c>
      <c r="C1050" s="1" t="n">
        <v>45849</v>
      </c>
      <c r="D1050" t="inlineStr">
        <is>
          <t>DALARNAS LÄN</t>
        </is>
      </c>
      <c r="E1050" t="inlineStr">
        <is>
          <t>LUDVIKA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47999-2024</t>
        </is>
      </c>
      <c r="B1051" s="1" t="n">
        <v>45589</v>
      </c>
      <c r="C1051" s="1" t="n">
        <v>45849</v>
      </c>
      <c r="D1051" t="inlineStr">
        <is>
          <t>DALARNAS LÄN</t>
        </is>
      </c>
      <c r="E1051" t="inlineStr">
        <is>
          <t>LUDVIKA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48003-2024</t>
        </is>
      </c>
      <c r="B1052" s="1" t="n">
        <v>45589</v>
      </c>
      <c r="C1052" s="1" t="n">
        <v>45849</v>
      </c>
      <c r="D1052" t="inlineStr">
        <is>
          <t>DALARNAS LÄN</t>
        </is>
      </c>
      <c r="E1052" t="inlineStr">
        <is>
          <t>LUDVIKA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47901-2024</t>
        </is>
      </c>
      <c r="B1053" s="1" t="n">
        <v>45589</v>
      </c>
      <c r="C1053" s="1" t="n">
        <v>45849</v>
      </c>
      <c r="D1053" t="inlineStr">
        <is>
          <t>DALARNAS LÄN</t>
        </is>
      </c>
      <c r="E1053" t="inlineStr">
        <is>
          <t>LUDVIKA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48164-2024</t>
        </is>
      </c>
      <c r="B1054" s="1" t="n">
        <v>45589</v>
      </c>
      <c r="C1054" s="1" t="n">
        <v>45849</v>
      </c>
      <c r="D1054" t="inlineStr">
        <is>
          <t>DALARNAS LÄN</t>
        </is>
      </c>
      <c r="E1054" t="inlineStr">
        <is>
          <t>LUDVIKA</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48774-2024</t>
        </is>
      </c>
      <c r="B1055" s="1" t="n">
        <v>45593</v>
      </c>
      <c r="C1055" s="1" t="n">
        <v>45849</v>
      </c>
      <c r="D1055" t="inlineStr">
        <is>
          <t>DALARNAS LÄN</t>
        </is>
      </c>
      <c r="E1055" t="inlineStr">
        <is>
          <t>LUDVIKA</t>
        </is>
      </c>
      <c r="F1055" t="inlineStr">
        <is>
          <t>Bergvik skog väst AB</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48726-2024</t>
        </is>
      </c>
      <c r="B1056" s="1" t="n">
        <v>45593</v>
      </c>
      <c r="C1056" s="1" t="n">
        <v>45849</v>
      </c>
      <c r="D1056" t="inlineStr">
        <is>
          <t>DALARNAS LÄN</t>
        </is>
      </c>
      <c r="E1056" t="inlineStr">
        <is>
          <t>LUDVIKA</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48760-2024</t>
        </is>
      </c>
      <c r="B1057" s="1" t="n">
        <v>45593</v>
      </c>
      <c r="C1057" s="1" t="n">
        <v>45849</v>
      </c>
      <c r="D1057" t="inlineStr">
        <is>
          <t>DALARNAS LÄN</t>
        </is>
      </c>
      <c r="E1057" t="inlineStr">
        <is>
          <t>LUDVIKA</t>
        </is>
      </c>
      <c r="F1057" t="inlineStr">
        <is>
          <t>Naturvårdsverket</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48991-2024</t>
        </is>
      </c>
      <c r="B1058" s="1" t="n">
        <v>45594</v>
      </c>
      <c r="C1058" s="1" t="n">
        <v>45849</v>
      </c>
      <c r="D1058" t="inlineStr">
        <is>
          <t>DALARNAS LÄN</t>
        </is>
      </c>
      <c r="E1058" t="inlineStr">
        <is>
          <t>LUDVIKA</t>
        </is>
      </c>
      <c r="F1058" t="inlineStr">
        <is>
          <t>Naturvårdsverket</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49035-2024</t>
        </is>
      </c>
      <c r="B1059" s="1" t="n">
        <v>45594</v>
      </c>
      <c r="C1059" s="1" t="n">
        <v>45849</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49043-2024</t>
        </is>
      </c>
      <c r="B1060" s="1" t="n">
        <v>45594</v>
      </c>
      <c r="C1060" s="1" t="n">
        <v>45849</v>
      </c>
      <c r="D1060" t="inlineStr">
        <is>
          <t>DALARNAS LÄN</t>
        </is>
      </c>
      <c r="E1060" t="inlineStr">
        <is>
          <t>LUDVIKA</t>
        </is>
      </c>
      <c r="F1060" t="inlineStr">
        <is>
          <t>Naturvårdsverket</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49051-2024</t>
        </is>
      </c>
      <c r="B1061" s="1" t="n">
        <v>45594</v>
      </c>
      <c r="C1061" s="1" t="n">
        <v>45849</v>
      </c>
      <c r="D1061" t="inlineStr">
        <is>
          <t>DALARNAS LÄN</t>
        </is>
      </c>
      <c r="E1061" t="inlineStr">
        <is>
          <t>LUDVIKA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48922-2024</t>
        </is>
      </c>
      <c r="B1062" s="1" t="n">
        <v>45594</v>
      </c>
      <c r="C1062" s="1" t="n">
        <v>45849</v>
      </c>
      <c r="D1062" t="inlineStr">
        <is>
          <t>DALARNAS LÄN</t>
        </is>
      </c>
      <c r="E1062" t="inlineStr">
        <is>
          <t>LUDVIKA</t>
        </is>
      </c>
      <c r="F1062" t="inlineStr">
        <is>
          <t>Bergvik skog väst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49045-2024</t>
        </is>
      </c>
      <c r="B1063" s="1" t="n">
        <v>45594</v>
      </c>
      <c r="C1063" s="1" t="n">
        <v>45849</v>
      </c>
      <c r="D1063" t="inlineStr">
        <is>
          <t>DALARNAS LÄN</t>
        </is>
      </c>
      <c r="E1063" t="inlineStr">
        <is>
          <t>LUDVIKA</t>
        </is>
      </c>
      <c r="F1063" t="inlineStr">
        <is>
          <t>Naturvårdsverket</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48925-2024</t>
        </is>
      </c>
      <c r="B1064" s="1" t="n">
        <v>45594</v>
      </c>
      <c r="C1064" s="1" t="n">
        <v>45849</v>
      </c>
      <c r="D1064" t="inlineStr">
        <is>
          <t>DALARNAS LÄN</t>
        </is>
      </c>
      <c r="E1064" t="inlineStr">
        <is>
          <t>LUDVIKA</t>
        </is>
      </c>
      <c r="F1064" t="inlineStr">
        <is>
          <t>Bergvik skog väst AB</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48927-2024</t>
        </is>
      </c>
      <c r="B1065" s="1" t="n">
        <v>45594</v>
      </c>
      <c r="C1065" s="1" t="n">
        <v>45849</v>
      </c>
      <c r="D1065" t="inlineStr">
        <is>
          <t>DALARNAS LÄN</t>
        </is>
      </c>
      <c r="E1065" t="inlineStr">
        <is>
          <t>LUDVIKA</t>
        </is>
      </c>
      <c r="F1065" t="inlineStr">
        <is>
          <t>Bergvik skog väst AB</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49177-2024</t>
        </is>
      </c>
      <c r="B1066" s="1" t="n">
        <v>45595</v>
      </c>
      <c r="C1066" s="1" t="n">
        <v>45849</v>
      </c>
      <c r="D1066" t="inlineStr">
        <is>
          <t>DALARNAS LÄN</t>
        </is>
      </c>
      <c r="E1066" t="inlineStr">
        <is>
          <t>LUDVIKA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49669-2024</t>
        </is>
      </c>
      <c r="B1067" s="1" t="n">
        <v>45596</v>
      </c>
      <c r="C1067" s="1" t="n">
        <v>45849</v>
      </c>
      <c r="D1067" t="inlineStr">
        <is>
          <t>DALARNAS LÄN</t>
        </is>
      </c>
      <c r="E1067" t="inlineStr">
        <is>
          <t>LUDVIKA</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49676-2024</t>
        </is>
      </c>
      <c r="B1068" s="1" t="n">
        <v>45596</v>
      </c>
      <c r="C1068" s="1" t="n">
        <v>45849</v>
      </c>
      <c r="D1068" t="inlineStr">
        <is>
          <t>DALARNAS LÄN</t>
        </is>
      </c>
      <c r="E1068" t="inlineStr">
        <is>
          <t>LUDVIKA</t>
        </is>
      </c>
      <c r="F1068" t="inlineStr">
        <is>
          <t>Bergvik skog väst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49480-2024</t>
        </is>
      </c>
      <c r="B1069" s="1" t="n">
        <v>45596</v>
      </c>
      <c r="C1069" s="1" t="n">
        <v>45849</v>
      </c>
      <c r="D1069" t="inlineStr">
        <is>
          <t>DALARNAS LÄN</t>
        </is>
      </c>
      <c r="E1069" t="inlineStr">
        <is>
          <t>LUDVIKA</t>
        </is>
      </c>
      <c r="F1069" t="inlineStr">
        <is>
          <t>Bergvik skog väst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49484-2024</t>
        </is>
      </c>
      <c r="B1070" s="1" t="n">
        <v>45596</v>
      </c>
      <c r="C1070" s="1" t="n">
        <v>45849</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50240-2024</t>
        </is>
      </c>
      <c r="B1071" s="1" t="n">
        <v>45600</v>
      </c>
      <c r="C1071" s="1" t="n">
        <v>45849</v>
      </c>
      <c r="D1071" t="inlineStr">
        <is>
          <t>DALARNAS LÄN</t>
        </is>
      </c>
      <c r="E1071" t="inlineStr">
        <is>
          <t>LUDVIKA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50199-2024</t>
        </is>
      </c>
      <c r="B1072" s="1" t="n">
        <v>45600</v>
      </c>
      <c r="C1072" s="1" t="n">
        <v>45849</v>
      </c>
      <c r="D1072" t="inlineStr">
        <is>
          <t>DALARNAS LÄN</t>
        </is>
      </c>
      <c r="E1072" t="inlineStr">
        <is>
          <t>LUDVIKA</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50529-2024</t>
        </is>
      </c>
      <c r="B1073" s="1" t="n">
        <v>45601</v>
      </c>
      <c r="C1073" s="1" t="n">
        <v>45849</v>
      </c>
      <c r="D1073" t="inlineStr">
        <is>
          <t>DALARNAS LÄN</t>
        </is>
      </c>
      <c r="E1073" t="inlineStr">
        <is>
          <t>LUDVIKA</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50384-2024</t>
        </is>
      </c>
      <c r="B1074" s="1" t="n">
        <v>45601</v>
      </c>
      <c r="C1074" s="1" t="n">
        <v>45849</v>
      </c>
      <c r="D1074" t="inlineStr">
        <is>
          <t>DALARNAS LÄN</t>
        </is>
      </c>
      <c r="E1074" t="inlineStr">
        <is>
          <t>LUDVIKA</t>
        </is>
      </c>
      <c r="F1074" t="inlineStr">
        <is>
          <t>Bergvik skog väst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50528-2024</t>
        </is>
      </c>
      <c r="B1075" s="1" t="n">
        <v>45601</v>
      </c>
      <c r="C1075" s="1" t="n">
        <v>45849</v>
      </c>
      <c r="D1075" t="inlineStr">
        <is>
          <t>DALARNAS LÄN</t>
        </is>
      </c>
      <c r="E1075" t="inlineStr">
        <is>
          <t>LUDVIKA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50714-2024</t>
        </is>
      </c>
      <c r="B1076" s="1" t="n">
        <v>45602</v>
      </c>
      <c r="C1076" s="1" t="n">
        <v>45849</v>
      </c>
      <c r="D1076" t="inlineStr">
        <is>
          <t>DALARNAS LÄN</t>
        </is>
      </c>
      <c r="E1076" t="inlineStr">
        <is>
          <t>LUDVIKA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50777-2024</t>
        </is>
      </c>
      <c r="B1077" s="1" t="n">
        <v>45602</v>
      </c>
      <c r="C1077" s="1" t="n">
        <v>45849</v>
      </c>
      <c r="D1077" t="inlineStr">
        <is>
          <t>DALARNAS LÄN</t>
        </is>
      </c>
      <c r="E1077" t="inlineStr">
        <is>
          <t>LUDVIKA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50871-2024</t>
        </is>
      </c>
      <c r="B1078" s="1" t="n">
        <v>45602</v>
      </c>
      <c r="C1078" s="1" t="n">
        <v>45849</v>
      </c>
      <c r="D1078" t="inlineStr">
        <is>
          <t>DALARNAS LÄN</t>
        </is>
      </c>
      <c r="E1078" t="inlineStr">
        <is>
          <t>LUDVIKA</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50868-2024</t>
        </is>
      </c>
      <c r="B1079" s="1" t="n">
        <v>45602</v>
      </c>
      <c r="C1079" s="1" t="n">
        <v>45849</v>
      </c>
      <c r="D1079" t="inlineStr">
        <is>
          <t>DALARNAS LÄN</t>
        </is>
      </c>
      <c r="E1079" t="inlineStr">
        <is>
          <t>LUDVIKA</t>
        </is>
      </c>
      <c r="F1079" t="inlineStr">
        <is>
          <t>Bergvik skog väst AB</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51080-2024</t>
        </is>
      </c>
      <c r="B1080" s="1" t="n">
        <v>45603</v>
      </c>
      <c r="C1080" s="1" t="n">
        <v>45849</v>
      </c>
      <c r="D1080" t="inlineStr">
        <is>
          <t>DALARNAS LÄN</t>
        </is>
      </c>
      <c r="E1080" t="inlineStr">
        <is>
          <t>LUDVIKA</t>
        </is>
      </c>
      <c r="F1080" t="inlineStr">
        <is>
          <t>Naturvårdsverket</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51043-2024</t>
        </is>
      </c>
      <c r="B1081" s="1" t="n">
        <v>45603</v>
      </c>
      <c r="C1081" s="1" t="n">
        <v>45849</v>
      </c>
      <c r="D1081" t="inlineStr">
        <is>
          <t>DALARNAS LÄN</t>
        </is>
      </c>
      <c r="E1081" t="inlineStr">
        <is>
          <t>LUDVIKA</t>
        </is>
      </c>
      <c r="F1081" t="inlineStr">
        <is>
          <t>Bergvik skog väst AB</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51029-2024</t>
        </is>
      </c>
      <c r="B1082" s="1" t="n">
        <v>45603</v>
      </c>
      <c r="C1082" s="1" t="n">
        <v>45849</v>
      </c>
      <c r="D1082" t="inlineStr">
        <is>
          <t>DALARNAS LÄN</t>
        </is>
      </c>
      <c r="E1082" t="inlineStr">
        <is>
          <t>LUDVIKA</t>
        </is>
      </c>
      <c r="F1082" t="inlineStr">
        <is>
          <t>Bergvik skog väst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51410-2024</t>
        </is>
      </c>
      <c r="B1083" s="1" t="n">
        <v>45604</v>
      </c>
      <c r="C1083" s="1" t="n">
        <v>45849</v>
      </c>
      <c r="D1083" t="inlineStr">
        <is>
          <t>DALARNAS LÄN</t>
        </is>
      </c>
      <c r="E1083" t="inlineStr">
        <is>
          <t>LUDVIKA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51429-2024</t>
        </is>
      </c>
      <c r="B1084" s="1" t="n">
        <v>45604</v>
      </c>
      <c r="C1084" s="1" t="n">
        <v>45849</v>
      </c>
      <c r="D1084" t="inlineStr">
        <is>
          <t>DALARNAS LÄN</t>
        </is>
      </c>
      <c r="E1084" t="inlineStr">
        <is>
          <t>LUDVIKA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51956-2024</t>
        </is>
      </c>
      <c r="B1085" s="1" t="n">
        <v>45607</v>
      </c>
      <c r="C1085" s="1" t="n">
        <v>45849</v>
      </c>
      <c r="D1085" t="inlineStr">
        <is>
          <t>DALARNAS LÄN</t>
        </is>
      </c>
      <c r="E1085" t="inlineStr">
        <is>
          <t>LUDVIKA</t>
        </is>
      </c>
      <c r="F1085" t="inlineStr">
        <is>
          <t>Bergvik skog väst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51972-2024</t>
        </is>
      </c>
      <c r="B1086" s="1" t="n">
        <v>45607</v>
      </c>
      <c r="C1086" s="1" t="n">
        <v>45849</v>
      </c>
      <c r="D1086" t="inlineStr">
        <is>
          <t>DALARNAS LÄN</t>
        </is>
      </c>
      <c r="E1086" t="inlineStr">
        <is>
          <t>LUDVIKA</t>
        </is>
      </c>
      <c r="F1086" t="inlineStr">
        <is>
          <t>Bergvik skog väst AB</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51702-2024</t>
        </is>
      </c>
      <c r="B1087" s="1" t="n">
        <v>45607</v>
      </c>
      <c r="C1087" s="1" t="n">
        <v>45849</v>
      </c>
      <c r="D1087" t="inlineStr">
        <is>
          <t>DALARNAS LÄN</t>
        </is>
      </c>
      <c r="E1087" t="inlineStr">
        <is>
          <t>LUDVIKA</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51704-2024</t>
        </is>
      </c>
      <c r="B1088" s="1" t="n">
        <v>45607</v>
      </c>
      <c r="C1088" s="1" t="n">
        <v>45849</v>
      </c>
      <c r="D1088" t="inlineStr">
        <is>
          <t>DALARNAS LÄN</t>
        </is>
      </c>
      <c r="E1088" t="inlineStr">
        <is>
          <t>LUDVIKA</t>
        </is>
      </c>
      <c r="F1088" t="inlineStr">
        <is>
          <t>Bergvik skog väst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52347-2024</t>
        </is>
      </c>
      <c r="B1089" s="1" t="n">
        <v>45609</v>
      </c>
      <c r="C1089" s="1" t="n">
        <v>45849</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52351-2024</t>
        </is>
      </c>
      <c r="B1090" s="1" t="n">
        <v>45609</v>
      </c>
      <c r="C1090" s="1" t="n">
        <v>45849</v>
      </c>
      <c r="D1090" t="inlineStr">
        <is>
          <t>DALARNAS LÄN</t>
        </is>
      </c>
      <c r="E1090" t="inlineStr">
        <is>
          <t>LUDVIKA</t>
        </is>
      </c>
      <c r="F1090" t="inlineStr">
        <is>
          <t>Bergvik skog väst AB</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52359-2024</t>
        </is>
      </c>
      <c r="B1091" s="1" t="n">
        <v>45609</v>
      </c>
      <c r="C1091" s="1" t="n">
        <v>45849</v>
      </c>
      <c r="D1091" t="inlineStr">
        <is>
          <t>DALARNAS LÄN</t>
        </is>
      </c>
      <c r="E1091" t="inlineStr">
        <is>
          <t>LUDVIKA</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52792-2024</t>
        </is>
      </c>
      <c r="B1092" s="1" t="n">
        <v>45610</v>
      </c>
      <c r="C1092" s="1" t="n">
        <v>45849</v>
      </c>
      <c r="D1092" t="inlineStr">
        <is>
          <t>DALARNAS LÄN</t>
        </is>
      </c>
      <c r="E1092" t="inlineStr">
        <is>
          <t>LUDVIKA</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52766-2024</t>
        </is>
      </c>
      <c r="B1093" s="1" t="n">
        <v>45610</v>
      </c>
      <c r="C1093" s="1" t="n">
        <v>45849</v>
      </c>
      <c r="D1093" t="inlineStr">
        <is>
          <t>DALARNAS LÄN</t>
        </is>
      </c>
      <c r="E1093" t="inlineStr">
        <is>
          <t>LUDVIKA</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52782-2024</t>
        </is>
      </c>
      <c r="B1094" s="1" t="n">
        <v>45610</v>
      </c>
      <c r="C1094" s="1" t="n">
        <v>45849</v>
      </c>
      <c r="D1094" t="inlineStr">
        <is>
          <t>DALARNAS LÄN</t>
        </is>
      </c>
      <c r="E1094" t="inlineStr">
        <is>
          <t>LUDVIKA</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53057-2024</t>
        </is>
      </c>
      <c r="B1095" s="1" t="n">
        <v>45611</v>
      </c>
      <c r="C1095" s="1" t="n">
        <v>45849</v>
      </c>
      <c r="D1095" t="inlineStr">
        <is>
          <t>DALARNAS LÄN</t>
        </is>
      </c>
      <c r="E1095" t="inlineStr">
        <is>
          <t>LUDVIKA</t>
        </is>
      </c>
      <c r="F1095" t="inlineStr">
        <is>
          <t>Bergvik skog väst AB</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53183-2024</t>
        </is>
      </c>
      <c r="B1096" s="1" t="n">
        <v>45611</v>
      </c>
      <c r="C1096" s="1" t="n">
        <v>45849</v>
      </c>
      <c r="D1096" t="inlineStr">
        <is>
          <t>DALARNAS LÄN</t>
        </is>
      </c>
      <c r="E1096" t="inlineStr">
        <is>
          <t>LUDVIKA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53106-2024</t>
        </is>
      </c>
      <c r="B1097" s="1" t="n">
        <v>45611</v>
      </c>
      <c r="C1097" s="1" t="n">
        <v>45849</v>
      </c>
      <c r="D1097" t="inlineStr">
        <is>
          <t>DALARNAS LÄN</t>
        </is>
      </c>
      <c r="E1097" t="inlineStr">
        <is>
          <t>LUDVIKA</t>
        </is>
      </c>
      <c r="F1097" t="inlineStr">
        <is>
          <t>Bergvik skog väst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53048-2024</t>
        </is>
      </c>
      <c r="B1098" s="1" t="n">
        <v>45611</v>
      </c>
      <c r="C1098" s="1" t="n">
        <v>45849</v>
      </c>
      <c r="D1098" t="inlineStr">
        <is>
          <t>DALARNAS LÄN</t>
        </is>
      </c>
      <c r="E1098" t="inlineStr">
        <is>
          <t>LUDVIKA</t>
        </is>
      </c>
      <c r="F1098" t="inlineStr">
        <is>
          <t>Bergvik skog väst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53104-2024</t>
        </is>
      </c>
      <c r="B1099" s="1" t="n">
        <v>45611</v>
      </c>
      <c r="C1099" s="1" t="n">
        <v>45849</v>
      </c>
      <c r="D1099" t="inlineStr">
        <is>
          <t>DALARNAS LÄN</t>
        </is>
      </c>
      <c r="E1099" t="inlineStr">
        <is>
          <t>LUDVIKA</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53054-2024</t>
        </is>
      </c>
      <c r="B1100" s="1" t="n">
        <v>45611</v>
      </c>
      <c r="C1100" s="1" t="n">
        <v>45849</v>
      </c>
      <c r="D1100" t="inlineStr">
        <is>
          <t>DALARNAS LÄN</t>
        </is>
      </c>
      <c r="E1100" t="inlineStr">
        <is>
          <t>LUDVIKA</t>
        </is>
      </c>
      <c r="F1100" t="inlineStr">
        <is>
          <t>Bergvik skog väst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53632-2024</t>
        </is>
      </c>
      <c r="B1101" s="1" t="n">
        <v>45614</v>
      </c>
      <c r="C1101" s="1" t="n">
        <v>45849</v>
      </c>
      <c r="D1101" t="inlineStr">
        <is>
          <t>DALARNAS LÄN</t>
        </is>
      </c>
      <c r="E1101" t="inlineStr">
        <is>
          <t>LUDVIKA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54137-2024</t>
        </is>
      </c>
      <c r="B1102" s="1" t="n">
        <v>45616</v>
      </c>
      <c r="C1102" s="1" t="n">
        <v>45849</v>
      </c>
      <c r="D1102" t="inlineStr">
        <is>
          <t>DALARNAS LÄN</t>
        </is>
      </c>
      <c r="E1102" t="inlineStr">
        <is>
          <t>LUDVIKA</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54154-2024</t>
        </is>
      </c>
      <c r="B1103" s="1" t="n">
        <v>45616</v>
      </c>
      <c r="C1103" s="1" t="n">
        <v>45849</v>
      </c>
      <c r="D1103" t="inlineStr">
        <is>
          <t>DALARNAS LÄN</t>
        </is>
      </c>
      <c r="E1103" t="inlineStr">
        <is>
          <t>LUDVIKA</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54222-2024</t>
        </is>
      </c>
      <c r="B1104" s="1" t="n">
        <v>45616</v>
      </c>
      <c r="C1104" s="1" t="n">
        <v>45849</v>
      </c>
      <c r="D1104" t="inlineStr">
        <is>
          <t>DALARNAS LÄN</t>
        </is>
      </c>
      <c r="E1104" t="inlineStr">
        <is>
          <t>LUDVIKA</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53996-2024</t>
        </is>
      </c>
      <c r="B1105" s="1" t="n">
        <v>45616</v>
      </c>
      <c r="C1105" s="1" t="n">
        <v>45849</v>
      </c>
      <c r="D1105" t="inlineStr">
        <is>
          <t>DALARNAS LÄN</t>
        </is>
      </c>
      <c r="E1105" t="inlineStr">
        <is>
          <t>LUDVIKA</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54096-2024</t>
        </is>
      </c>
      <c r="B1106" s="1" t="n">
        <v>45616</v>
      </c>
      <c r="C1106" s="1" t="n">
        <v>45849</v>
      </c>
      <c r="D1106" t="inlineStr">
        <is>
          <t>DALARNAS LÄN</t>
        </is>
      </c>
      <c r="E1106" t="inlineStr">
        <is>
          <t>LUDVIKA</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54089-2024</t>
        </is>
      </c>
      <c r="B1107" s="1" t="n">
        <v>45616</v>
      </c>
      <c r="C1107" s="1" t="n">
        <v>45849</v>
      </c>
      <c r="D1107" t="inlineStr">
        <is>
          <t>DALARNAS LÄN</t>
        </is>
      </c>
      <c r="E1107" t="inlineStr">
        <is>
          <t>LUDVIKA</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54353-2024</t>
        </is>
      </c>
      <c r="B1108" s="1" t="n">
        <v>45617</v>
      </c>
      <c r="C1108" s="1" t="n">
        <v>45849</v>
      </c>
      <c r="D1108" t="inlineStr">
        <is>
          <t>DALARNAS LÄN</t>
        </is>
      </c>
      <c r="E1108" t="inlineStr">
        <is>
          <t>LUDVIKA</t>
        </is>
      </c>
      <c r="F1108" t="inlineStr">
        <is>
          <t>Bergvik skog väst AB</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54373-2024</t>
        </is>
      </c>
      <c r="B1109" s="1" t="n">
        <v>45617</v>
      </c>
      <c r="C1109" s="1" t="n">
        <v>45849</v>
      </c>
      <c r="D1109" t="inlineStr">
        <is>
          <t>DALARNAS LÄN</t>
        </is>
      </c>
      <c r="E1109" t="inlineStr">
        <is>
          <t>LUDVIKA</t>
        </is>
      </c>
      <c r="F1109" t="inlineStr">
        <is>
          <t>Bergvik skog väst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54551-2024</t>
        </is>
      </c>
      <c r="B1110" s="1" t="n">
        <v>45617</v>
      </c>
      <c r="C1110" s="1" t="n">
        <v>45849</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54556-2024</t>
        </is>
      </c>
      <c r="B1111" s="1" t="n">
        <v>45617</v>
      </c>
      <c r="C1111" s="1" t="n">
        <v>45849</v>
      </c>
      <c r="D1111" t="inlineStr">
        <is>
          <t>DALARNAS LÄN</t>
        </is>
      </c>
      <c r="E1111" t="inlineStr">
        <is>
          <t>LUDVIKA</t>
        </is>
      </c>
      <c r="F1111" t="inlineStr">
        <is>
          <t>Bergvik skog väst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54754-2024</t>
        </is>
      </c>
      <c r="B1112" s="1" t="n">
        <v>45618</v>
      </c>
      <c r="C1112" s="1" t="n">
        <v>45849</v>
      </c>
      <c r="D1112" t="inlineStr">
        <is>
          <t>DALARNAS LÄN</t>
        </is>
      </c>
      <c r="E1112" t="inlineStr">
        <is>
          <t>LUDVIKA</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54666-2024</t>
        </is>
      </c>
      <c r="B1113" s="1" t="n">
        <v>45618</v>
      </c>
      <c r="C1113" s="1" t="n">
        <v>45849</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54708-2024</t>
        </is>
      </c>
      <c r="B1114" s="1" t="n">
        <v>45618</v>
      </c>
      <c r="C1114" s="1" t="n">
        <v>45849</v>
      </c>
      <c r="D1114" t="inlineStr">
        <is>
          <t>DALARNAS LÄN</t>
        </is>
      </c>
      <c r="E1114" t="inlineStr">
        <is>
          <t>LUDVIKA</t>
        </is>
      </c>
      <c r="F1114" t="inlineStr">
        <is>
          <t>Bergvik skog väst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55281-2024</t>
        </is>
      </c>
      <c r="B1115" s="1" t="n">
        <v>45621</v>
      </c>
      <c r="C1115" s="1" t="n">
        <v>45849</v>
      </c>
      <c r="D1115" t="inlineStr">
        <is>
          <t>DALARNAS LÄN</t>
        </is>
      </c>
      <c r="E1115" t="inlineStr">
        <is>
          <t>LUDVIKA</t>
        </is>
      </c>
      <c r="F1115" t="inlineStr">
        <is>
          <t>Naturvårdsverket</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55034-2024</t>
        </is>
      </c>
      <c r="B1116" s="1" t="n">
        <v>45621</v>
      </c>
      <c r="C1116" s="1" t="n">
        <v>45849</v>
      </c>
      <c r="D1116" t="inlineStr">
        <is>
          <t>DALARNAS LÄN</t>
        </is>
      </c>
      <c r="E1116" t="inlineStr">
        <is>
          <t>LUDVIKA</t>
        </is>
      </c>
      <c r="F1116" t="inlineStr">
        <is>
          <t>Naturvårdsverket</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55126-2024</t>
        </is>
      </c>
      <c r="B1117" s="1" t="n">
        <v>45621</v>
      </c>
      <c r="C1117" s="1" t="n">
        <v>45849</v>
      </c>
      <c r="D1117" t="inlineStr">
        <is>
          <t>DALARNAS LÄN</t>
        </is>
      </c>
      <c r="E1117" t="inlineStr">
        <is>
          <t>LUDVIKA</t>
        </is>
      </c>
      <c r="F1117" t="inlineStr">
        <is>
          <t>Bergvik skog väst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55218-2024</t>
        </is>
      </c>
      <c r="B1118" s="1" t="n">
        <v>45621</v>
      </c>
      <c r="C1118" s="1" t="n">
        <v>45849</v>
      </c>
      <c r="D1118" t="inlineStr">
        <is>
          <t>DALARNAS LÄN</t>
        </is>
      </c>
      <c r="E1118" t="inlineStr">
        <is>
          <t>LUDVIKA</t>
        </is>
      </c>
      <c r="F1118" t="inlineStr">
        <is>
          <t>Naturvårdsverket</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55485-2024</t>
        </is>
      </c>
      <c r="B1119" s="1" t="n">
        <v>45622</v>
      </c>
      <c r="C1119" s="1" t="n">
        <v>45849</v>
      </c>
      <c r="D1119" t="inlineStr">
        <is>
          <t>DALARNAS LÄN</t>
        </is>
      </c>
      <c r="E1119" t="inlineStr">
        <is>
          <t>LUDVIKA</t>
        </is>
      </c>
      <c r="F1119" t="inlineStr">
        <is>
          <t>Naturvårdsverket</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55510-2024</t>
        </is>
      </c>
      <c r="B1120" s="1" t="n">
        <v>45622</v>
      </c>
      <c r="C1120" s="1" t="n">
        <v>45849</v>
      </c>
      <c r="D1120" t="inlineStr">
        <is>
          <t>DALARNAS LÄN</t>
        </is>
      </c>
      <c r="E1120" t="inlineStr">
        <is>
          <t>LUDVIKA</t>
        </is>
      </c>
      <c r="F1120" t="inlineStr">
        <is>
          <t>Naturvårdsverket</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55462-2024</t>
        </is>
      </c>
      <c r="B1121" s="1" t="n">
        <v>45622</v>
      </c>
      <c r="C1121" s="1" t="n">
        <v>45849</v>
      </c>
      <c r="D1121" t="inlineStr">
        <is>
          <t>DALARNAS LÄN</t>
        </is>
      </c>
      <c r="E1121" t="inlineStr">
        <is>
          <t>LUDVIKA</t>
        </is>
      </c>
      <c r="F1121" t="inlineStr">
        <is>
          <t>Naturvårdsverket</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55474-2024</t>
        </is>
      </c>
      <c r="B1122" s="1" t="n">
        <v>45622</v>
      </c>
      <c r="C1122" s="1" t="n">
        <v>45849</v>
      </c>
      <c r="D1122" t="inlineStr">
        <is>
          <t>DALARNAS LÄN</t>
        </is>
      </c>
      <c r="E1122" t="inlineStr">
        <is>
          <t>LUDVIKA</t>
        </is>
      </c>
      <c r="F1122" t="inlineStr">
        <is>
          <t>Naturvårdsverket</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55551-2024</t>
        </is>
      </c>
      <c r="B1123" s="1" t="n">
        <v>45622</v>
      </c>
      <c r="C1123" s="1" t="n">
        <v>45849</v>
      </c>
      <c r="D1123" t="inlineStr">
        <is>
          <t>DALARNAS LÄN</t>
        </is>
      </c>
      <c r="E1123" t="inlineStr">
        <is>
          <t>LUDVIKA</t>
        </is>
      </c>
      <c r="F1123" t="inlineStr">
        <is>
          <t>Bergvik skog väst AB</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55662-2024</t>
        </is>
      </c>
      <c r="B1124" s="1" t="n">
        <v>45622</v>
      </c>
      <c r="C1124" s="1" t="n">
        <v>45849</v>
      </c>
      <c r="D1124" t="inlineStr">
        <is>
          <t>DALARNAS LÄN</t>
        </is>
      </c>
      <c r="E1124" t="inlineStr">
        <is>
          <t>LUDVIKA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55472-2024</t>
        </is>
      </c>
      <c r="B1125" s="1" t="n">
        <v>45622</v>
      </c>
      <c r="C1125" s="1" t="n">
        <v>45849</v>
      </c>
      <c r="D1125" t="inlineStr">
        <is>
          <t>DALARNAS LÄN</t>
        </is>
      </c>
      <c r="E1125" t="inlineStr">
        <is>
          <t>LUDVIKA</t>
        </is>
      </c>
      <c r="F1125" t="inlineStr">
        <is>
          <t>Naturvårdsverket</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55488-2024</t>
        </is>
      </c>
      <c r="B1126" s="1" t="n">
        <v>45622</v>
      </c>
      <c r="C1126" s="1" t="n">
        <v>45849</v>
      </c>
      <c r="D1126" t="inlineStr">
        <is>
          <t>DALARNAS LÄN</t>
        </is>
      </c>
      <c r="E1126" t="inlineStr">
        <is>
          <t>LUDVIKA</t>
        </is>
      </c>
      <c r="F1126" t="inlineStr">
        <is>
          <t>Naturvårdsverket</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55772-2024</t>
        </is>
      </c>
      <c r="B1127" s="1" t="n">
        <v>45622</v>
      </c>
      <c r="C1127" s="1" t="n">
        <v>45849</v>
      </c>
      <c r="D1127" t="inlineStr">
        <is>
          <t>DALARNAS LÄN</t>
        </is>
      </c>
      <c r="E1127" t="inlineStr">
        <is>
          <t>LUDVIKA</t>
        </is>
      </c>
      <c r="F1127" t="inlineStr">
        <is>
          <t>Kommuner</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55880-2024</t>
        </is>
      </c>
      <c r="B1128" s="1" t="n">
        <v>45623</v>
      </c>
      <c r="C1128" s="1" t="n">
        <v>45849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55971-2024</t>
        </is>
      </c>
      <c r="B1129" s="1" t="n">
        <v>45623</v>
      </c>
      <c r="C1129" s="1" t="n">
        <v>45849</v>
      </c>
      <c r="D1129" t="inlineStr">
        <is>
          <t>DALARNAS LÄN</t>
        </is>
      </c>
      <c r="E1129" t="inlineStr">
        <is>
          <t>LUDVIKA</t>
        </is>
      </c>
      <c r="F1129" t="inlineStr">
        <is>
          <t>Bergvik skog väst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55961-2024</t>
        </is>
      </c>
      <c r="B1130" s="1" t="n">
        <v>45623</v>
      </c>
      <c r="C1130" s="1" t="n">
        <v>45849</v>
      </c>
      <c r="D1130" t="inlineStr">
        <is>
          <t>DALARNAS LÄN</t>
        </is>
      </c>
      <c r="E1130" t="inlineStr">
        <is>
          <t>LUDVIKA</t>
        </is>
      </c>
      <c r="F1130" t="inlineStr">
        <is>
          <t>Bergvik skog väst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55964-2024</t>
        </is>
      </c>
      <c r="B1131" s="1" t="n">
        <v>45623</v>
      </c>
      <c r="C1131" s="1" t="n">
        <v>45849</v>
      </c>
      <c r="D1131" t="inlineStr">
        <is>
          <t>DALARNAS LÄN</t>
        </is>
      </c>
      <c r="E1131" t="inlineStr">
        <is>
          <t>LUDVIKA</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55982-2024</t>
        </is>
      </c>
      <c r="B1132" s="1" t="n">
        <v>45623</v>
      </c>
      <c r="C1132" s="1" t="n">
        <v>45849</v>
      </c>
      <c r="D1132" t="inlineStr">
        <is>
          <t>DALARNAS LÄN</t>
        </is>
      </c>
      <c r="E1132" t="inlineStr">
        <is>
          <t>LUDVIKA</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56203-2024</t>
        </is>
      </c>
      <c r="B1133" s="1" t="n">
        <v>45624</v>
      </c>
      <c r="C1133" s="1" t="n">
        <v>45849</v>
      </c>
      <c r="D1133" t="inlineStr">
        <is>
          <t>DALARNAS LÄN</t>
        </is>
      </c>
      <c r="E1133" t="inlineStr">
        <is>
          <t>LUDVIKA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56570-2024</t>
        </is>
      </c>
      <c r="B1134" s="1" t="n">
        <v>45625</v>
      </c>
      <c r="C1134" s="1" t="n">
        <v>45849</v>
      </c>
      <c r="D1134" t="inlineStr">
        <is>
          <t>DALARNAS LÄN</t>
        </is>
      </c>
      <c r="E1134" t="inlineStr">
        <is>
          <t>LUDVIKA</t>
        </is>
      </c>
      <c r="G1134" t="n">
        <v>22.4</v>
      </c>
      <c r="H1134" t="n">
        <v>0</v>
      </c>
      <c r="I1134" t="n">
        <v>0</v>
      </c>
      <c r="J1134" t="n">
        <v>0</v>
      </c>
      <c r="K1134" t="n">
        <v>0</v>
      </c>
      <c r="L1134" t="n">
        <v>0</v>
      </c>
      <c r="M1134" t="n">
        <v>0</v>
      </c>
      <c r="N1134" t="n">
        <v>0</v>
      </c>
      <c r="O1134" t="n">
        <v>0</v>
      </c>
      <c r="P1134" t="n">
        <v>0</v>
      </c>
      <c r="Q1134" t="n">
        <v>0</v>
      </c>
      <c r="R1134" s="2" t="inlineStr"/>
    </row>
    <row r="1135" ht="15" customHeight="1">
      <c r="A1135" t="inlineStr">
        <is>
          <t>A 56445-2024</t>
        </is>
      </c>
      <c r="B1135" s="1" t="n">
        <v>45625</v>
      </c>
      <c r="C1135" s="1" t="n">
        <v>45849</v>
      </c>
      <c r="D1135" t="inlineStr">
        <is>
          <t>DALARNAS LÄN</t>
        </is>
      </c>
      <c r="E1135" t="inlineStr">
        <is>
          <t>LUDVIKA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56573-2024</t>
        </is>
      </c>
      <c r="B1136" s="1" t="n">
        <v>45625</v>
      </c>
      <c r="C1136" s="1" t="n">
        <v>45849</v>
      </c>
      <c r="D1136" t="inlineStr">
        <is>
          <t>DALARNAS LÄN</t>
        </is>
      </c>
      <c r="E1136" t="inlineStr">
        <is>
          <t>LUDVIKA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56580-2024</t>
        </is>
      </c>
      <c r="B1137" s="1" t="n">
        <v>45625</v>
      </c>
      <c r="C1137" s="1" t="n">
        <v>45849</v>
      </c>
      <c r="D1137" t="inlineStr">
        <is>
          <t>DALARNAS LÄN</t>
        </is>
      </c>
      <c r="E1137" t="inlineStr">
        <is>
          <t>LUDVIKA</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56563-2024</t>
        </is>
      </c>
      <c r="B1138" s="1" t="n">
        <v>45625</v>
      </c>
      <c r="C1138" s="1" t="n">
        <v>45849</v>
      </c>
      <c r="D1138" t="inlineStr">
        <is>
          <t>DALARNAS LÄN</t>
        </is>
      </c>
      <c r="E1138" t="inlineStr">
        <is>
          <t>LUDVIKA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56737-2024</t>
        </is>
      </c>
      <c r="B1139" s="1" t="n">
        <v>45628</v>
      </c>
      <c r="C1139" s="1" t="n">
        <v>45849</v>
      </c>
      <c r="D1139" t="inlineStr">
        <is>
          <t>DALARNAS LÄN</t>
        </is>
      </c>
      <c r="E1139" t="inlineStr">
        <is>
          <t>LUDVIKA</t>
        </is>
      </c>
      <c r="F1139" t="inlineStr">
        <is>
          <t>Naturvårdsverket</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57217-2024</t>
        </is>
      </c>
      <c r="B1140" s="1" t="n">
        <v>45629</v>
      </c>
      <c r="C1140" s="1" t="n">
        <v>45849</v>
      </c>
      <c r="D1140" t="inlineStr">
        <is>
          <t>DALARNAS LÄN</t>
        </is>
      </c>
      <c r="E1140" t="inlineStr">
        <is>
          <t>LUDVIKA</t>
        </is>
      </c>
      <c r="F1140" t="inlineStr">
        <is>
          <t>Bergvik skog väst AB</t>
        </is>
      </c>
      <c r="G1140" t="n">
        <v>17.3</v>
      </c>
      <c r="H1140" t="n">
        <v>0</v>
      </c>
      <c r="I1140" t="n">
        <v>0</v>
      </c>
      <c r="J1140" t="n">
        <v>0</v>
      </c>
      <c r="K1140" t="n">
        <v>0</v>
      </c>
      <c r="L1140" t="n">
        <v>0</v>
      </c>
      <c r="M1140" t="n">
        <v>0</v>
      </c>
      <c r="N1140" t="n">
        <v>0</v>
      </c>
      <c r="O1140" t="n">
        <v>0</v>
      </c>
      <c r="P1140" t="n">
        <v>0</v>
      </c>
      <c r="Q1140" t="n">
        <v>0</v>
      </c>
      <c r="R1140" s="2" t="inlineStr"/>
    </row>
    <row r="1141" ht="15" customHeight="1">
      <c r="A1141" t="inlineStr">
        <is>
          <t>A 57247-2024</t>
        </is>
      </c>
      <c r="B1141" s="1" t="n">
        <v>45629</v>
      </c>
      <c r="C1141" s="1" t="n">
        <v>45849</v>
      </c>
      <c r="D1141" t="inlineStr">
        <is>
          <t>DALARNAS LÄN</t>
        </is>
      </c>
      <c r="E1141" t="inlineStr">
        <is>
          <t>LUDVIKA</t>
        </is>
      </c>
      <c r="F1141" t="inlineStr">
        <is>
          <t>Bergvik skog väst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57310-2024</t>
        </is>
      </c>
      <c r="B1142" s="1" t="n">
        <v>45629</v>
      </c>
      <c r="C1142" s="1" t="n">
        <v>45849</v>
      </c>
      <c r="D1142" t="inlineStr">
        <is>
          <t>DALARNAS LÄN</t>
        </is>
      </c>
      <c r="E1142" t="inlineStr">
        <is>
          <t>LUDVIKA</t>
        </is>
      </c>
      <c r="F1142" t="inlineStr">
        <is>
          <t>Naturvårdsverket</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57230-2024</t>
        </is>
      </c>
      <c r="B1143" s="1" t="n">
        <v>45629</v>
      </c>
      <c r="C1143" s="1" t="n">
        <v>45849</v>
      </c>
      <c r="D1143" t="inlineStr">
        <is>
          <t>DALARNAS LÄN</t>
        </is>
      </c>
      <c r="E1143" t="inlineStr">
        <is>
          <t>LUDVIKA</t>
        </is>
      </c>
      <c r="F1143" t="inlineStr">
        <is>
          <t>Bergvik skog väst AB</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57307-2024</t>
        </is>
      </c>
      <c r="B1144" s="1" t="n">
        <v>45629</v>
      </c>
      <c r="C1144" s="1" t="n">
        <v>45849</v>
      </c>
      <c r="D1144" t="inlineStr">
        <is>
          <t>DALARNAS LÄN</t>
        </is>
      </c>
      <c r="E1144" t="inlineStr">
        <is>
          <t>LUDVIKA</t>
        </is>
      </c>
      <c r="F1144" t="inlineStr">
        <is>
          <t>Naturvårdsverket</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57776-2024</t>
        </is>
      </c>
      <c r="B1145" s="1" t="n">
        <v>45631</v>
      </c>
      <c r="C1145" s="1" t="n">
        <v>45849</v>
      </c>
      <c r="D1145" t="inlineStr">
        <is>
          <t>DALARNAS LÄN</t>
        </is>
      </c>
      <c r="E1145" t="inlineStr">
        <is>
          <t>LUDVIKA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57969-2024</t>
        </is>
      </c>
      <c r="B1146" s="1" t="n">
        <v>45631</v>
      </c>
      <c r="C1146" s="1" t="n">
        <v>45849</v>
      </c>
      <c r="D1146" t="inlineStr">
        <is>
          <t>DALARNAS LÄN</t>
        </is>
      </c>
      <c r="E1146" t="inlineStr">
        <is>
          <t>LUDVIKA</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58044-2024</t>
        </is>
      </c>
      <c r="B1147" s="1" t="n">
        <v>45631</v>
      </c>
      <c r="C1147" s="1" t="n">
        <v>45849</v>
      </c>
      <c r="D1147" t="inlineStr">
        <is>
          <t>DALARNAS LÄN</t>
        </is>
      </c>
      <c r="E1147" t="inlineStr">
        <is>
          <t>LUDVIKA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58071-2024</t>
        </is>
      </c>
      <c r="B1148" s="1" t="n">
        <v>45632</v>
      </c>
      <c r="C1148" s="1" t="n">
        <v>45849</v>
      </c>
      <c r="D1148" t="inlineStr">
        <is>
          <t>DALARNAS LÄN</t>
        </is>
      </c>
      <c r="E1148" t="inlineStr">
        <is>
          <t>LUDVIKA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58090-2024</t>
        </is>
      </c>
      <c r="B1149" s="1" t="n">
        <v>45632</v>
      </c>
      <c r="C1149" s="1" t="n">
        <v>45849</v>
      </c>
      <c r="D1149" t="inlineStr">
        <is>
          <t>DALARNAS LÄN</t>
        </is>
      </c>
      <c r="E1149" t="inlineStr">
        <is>
          <t>LUDVIKA</t>
        </is>
      </c>
      <c r="F1149" t="inlineStr">
        <is>
          <t>Bergvik skog väst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58072-2024</t>
        </is>
      </c>
      <c r="B1150" s="1" t="n">
        <v>45632</v>
      </c>
      <c r="C1150" s="1" t="n">
        <v>45849</v>
      </c>
      <c r="D1150" t="inlineStr">
        <is>
          <t>DALARNAS LÄN</t>
        </is>
      </c>
      <c r="E1150" t="inlineStr">
        <is>
          <t>LUDVIKA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58997-2024</t>
        </is>
      </c>
      <c r="B1151" s="1" t="n">
        <v>45636</v>
      </c>
      <c r="C1151" s="1" t="n">
        <v>45849</v>
      </c>
      <c r="D1151" t="inlineStr">
        <is>
          <t>DALARNAS LÄN</t>
        </is>
      </c>
      <c r="E1151" t="inlineStr">
        <is>
          <t>LUDVIKA</t>
        </is>
      </c>
      <c r="F1151" t="inlineStr">
        <is>
          <t>Bergvik skog väst AB</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59346-2024</t>
        </is>
      </c>
      <c r="B1152" s="1" t="n">
        <v>45638</v>
      </c>
      <c r="C1152" s="1" t="n">
        <v>45849</v>
      </c>
      <c r="D1152" t="inlineStr">
        <is>
          <t>DALARNAS LÄN</t>
        </is>
      </c>
      <c r="E1152" t="inlineStr">
        <is>
          <t>LUDVIKA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59634-2024</t>
        </is>
      </c>
      <c r="B1153" s="1" t="n">
        <v>45639</v>
      </c>
      <c r="C1153" s="1" t="n">
        <v>45849</v>
      </c>
      <c r="D1153" t="inlineStr">
        <is>
          <t>DALARNAS LÄN</t>
        </is>
      </c>
      <c r="E1153" t="inlineStr">
        <is>
          <t>LUDVIKA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59448-2024</t>
        </is>
      </c>
      <c r="B1154" s="1" t="n">
        <v>45638</v>
      </c>
      <c r="C1154" s="1" t="n">
        <v>45849</v>
      </c>
      <c r="D1154" t="inlineStr">
        <is>
          <t>DALARNAS LÄN</t>
        </is>
      </c>
      <c r="E1154" t="inlineStr">
        <is>
          <t>LUDVIKA</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59347-2024</t>
        </is>
      </c>
      <c r="B1155" s="1" t="n">
        <v>45638</v>
      </c>
      <c r="C1155" s="1" t="n">
        <v>45849</v>
      </c>
      <c r="D1155" t="inlineStr">
        <is>
          <t>DALARNAS LÄN</t>
        </is>
      </c>
      <c r="E1155" t="inlineStr">
        <is>
          <t>LUDVIKA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59398-2024</t>
        </is>
      </c>
      <c r="B1156" s="1" t="n">
        <v>45638</v>
      </c>
      <c r="C1156" s="1" t="n">
        <v>45849</v>
      </c>
      <c r="D1156" t="inlineStr">
        <is>
          <t>DALARNAS LÄN</t>
        </is>
      </c>
      <c r="E1156" t="inlineStr">
        <is>
          <t>LUDVIKA</t>
        </is>
      </c>
      <c r="F1156" t="inlineStr">
        <is>
          <t>Naturvårdsverket</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59356-2024</t>
        </is>
      </c>
      <c r="B1157" s="1" t="n">
        <v>45638</v>
      </c>
      <c r="C1157" s="1" t="n">
        <v>45849</v>
      </c>
      <c r="D1157" t="inlineStr">
        <is>
          <t>DALARNAS LÄN</t>
        </is>
      </c>
      <c r="E1157" t="inlineStr">
        <is>
          <t>LUDVIKA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59667-2024</t>
        </is>
      </c>
      <c r="B1158" s="1" t="n">
        <v>45639</v>
      </c>
      <c r="C1158" s="1" t="n">
        <v>45849</v>
      </c>
      <c r="D1158" t="inlineStr">
        <is>
          <t>DALARNAS LÄN</t>
        </is>
      </c>
      <c r="E1158" t="inlineStr">
        <is>
          <t>LUDVIKA</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59842-2024</t>
        </is>
      </c>
      <c r="B1159" s="1" t="n">
        <v>45639</v>
      </c>
      <c r="C1159" s="1" t="n">
        <v>45849</v>
      </c>
      <c r="D1159" t="inlineStr">
        <is>
          <t>DALARNAS LÄN</t>
        </is>
      </c>
      <c r="E1159" t="inlineStr">
        <is>
          <t>LUDVIKA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60787-2024</t>
        </is>
      </c>
      <c r="B1160" s="1" t="n">
        <v>45644</v>
      </c>
      <c r="C1160" s="1" t="n">
        <v>45849</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60668-2024</t>
        </is>
      </c>
      <c r="B1161" s="1" t="n">
        <v>45644</v>
      </c>
      <c r="C1161" s="1" t="n">
        <v>45849</v>
      </c>
      <c r="D1161" t="inlineStr">
        <is>
          <t>DALARNAS LÄN</t>
        </is>
      </c>
      <c r="E1161" t="inlineStr">
        <is>
          <t>LUDVIKA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60660-2024</t>
        </is>
      </c>
      <c r="B1162" s="1" t="n">
        <v>45644</v>
      </c>
      <c r="C1162" s="1" t="n">
        <v>45849</v>
      </c>
      <c r="D1162" t="inlineStr">
        <is>
          <t>DALARNAS LÄN</t>
        </is>
      </c>
      <c r="E1162" t="inlineStr">
        <is>
          <t>LUDVIKA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60788-2024</t>
        </is>
      </c>
      <c r="B1163" s="1" t="n">
        <v>45644</v>
      </c>
      <c r="C1163" s="1" t="n">
        <v>45849</v>
      </c>
      <c r="D1163" t="inlineStr">
        <is>
          <t>DALARNAS LÄN</t>
        </is>
      </c>
      <c r="E1163" t="inlineStr">
        <is>
          <t>LUDVIKA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60843-2024</t>
        </is>
      </c>
      <c r="B1164" s="1" t="n">
        <v>45644</v>
      </c>
      <c r="C1164" s="1" t="n">
        <v>45849</v>
      </c>
      <c r="D1164" t="inlineStr">
        <is>
          <t>DALARNAS LÄN</t>
        </is>
      </c>
      <c r="E1164" t="inlineStr">
        <is>
          <t>LUDVIKA</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61054-2024</t>
        </is>
      </c>
      <c r="B1165" s="1" t="n">
        <v>45645</v>
      </c>
      <c r="C1165" s="1" t="n">
        <v>45849</v>
      </c>
      <c r="D1165" t="inlineStr">
        <is>
          <t>DALARNAS LÄN</t>
        </is>
      </c>
      <c r="E1165" t="inlineStr">
        <is>
          <t>LUDVIKA</t>
        </is>
      </c>
      <c r="F1165" t="inlineStr">
        <is>
          <t>Bergvik skog väst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61231-2024</t>
        </is>
      </c>
      <c r="B1166" s="1" t="n">
        <v>45645</v>
      </c>
      <c r="C1166" s="1" t="n">
        <v>45849</v>
      </c>
      <c r="D1166" t="inlineStr">
        <is>
          <t>DALARNAS LÄN</t>
        </is>
      </c>
      <c r="E1166" t="inlineStr">
        <is>
          <t>LUDVIKA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61384-2024</t>
        </is>
      </c>
      <c r="B1167" s="1" t="n">
        <v>45646</v>
      </c>
      <c r="C1167" s="1" t="n">
        <v>45849</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3170-2025</t>
        </is>
      </c>
      <c r="B1168" s="1" t="n">
        <v>45679</v>
      </c>
      <c r="C1168" s="1" t="n">
        <v>45849</v>
      </c>
      <c r="D1168" t="inlineStr">
        <is>
          <t>DALARNAS LÄN</t>
        </is>
      </c>
      <c r="E1168" t="inlineStr">
        <is>
          <t>LUDVIKA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3468-2025</t>
        </is>
      </c>
      <c r="B1169" s="1" t="n">
        <v>45680</v>
      </c>
      <c r="C1169" s="1" t="n">
        <v>45849</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3391-2025</t>
        </is>
      </c>
      <c r="B1170" s="1" t="n">
        <v>45680</v>
      </c>
      <c r="C1170" s="1" t="n">
        <v>45849</v>
      </c>
      <c r="D1170" t="inlineStr">
        <is>
          <t>DALARNAS LÄN</t>
        </is>
      </c>
      <c r="E1170" t="inlineStr">
        <is>
          <t>LUDVIKA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3470-2025</t>
        </is>
      </c>
      <c r="B1171" s="1" t="n">
        <v>45680</v>
      </c>
      <c r="C1171" s="1" t="n">
        <v>45849</v>
      </c>
      <c r="D1171" t="inlineStr">
        <is>
          <t>DALARNAS LÄN</t>
        </is>
      </c>
      <c r="E1171" t="inlineStr">
        <is>
          <t>LUDVIKA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3380-2025</t>
        </is>
      </c>
      <c r="B1172" s="1" t="n">
        <v>45680</v>
      </c>
      <c r="C1172" s="1" t="n">
        <v>45849</v>
      </c>
      <c r="D1172" t="inlineStr">
        <is>
          <t>DALARNAS LÄN</t>
        </is>
      </c>
      <c r="E1172" t="inlineStr">
        <is>
          <t>LUDVIKA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4170-2025</t>
        </is>
      </c>
      <c r="B1173" s="1" t="n">
        <v>45685</v>
      </c>
      <c r="C1173" s="1" t="n">
        <v>45849</v>
      </c>
      <c r="D1173" t="inlineStr">
        <is>
          <t>DALARNAS LÄN</t>
        </is>
      </c>
      <c r="E1173" t="inlineStr">
        <is>
          <t>LUDVIKA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4173-2025</t>
        </is>
      </c>
      <c r="B1174" s="1" t="n">
        <v>45685</v>
      </c>
      <c r="C1174" s="1" t="n">
        <v>45849</v>
      </c>
      <c r="D1174" t="inlineStr">
        <is>
          <t>DALARNAS LÄN</t>
        </is>
      </c>
      <c r="E1174" t="inlineStr">
        <is>
          <t>LUDVIKA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4544-2025</t>
        </is>
      </c>
      <c r="B1175" s="1" t="n">
        <v>45687</v>
      </c>
      <c r="C1175" s="1" t="n">
        <v>45849</v>
      </c>
      <c r="D1175" t="inlineStr">
        <is>
          <t>DALARNAS LÄN</t>
        </is>
      </c>
      <c r="E1175" t="inlineStr">
        <is>
          <t>LUDVIKA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4550-2025</t>
        </is>
      </c>
      <c r="B1176" s="1" t="n">
        <v>45687</v>
      </c>
      <c r="C1176" s="1" t="n">
        <v>45849</v>
      </c>
      <c r="D1176" t="inlineStr">
        <is>
          <t>DALARNAS LÄN</t>
        </is>
      </c>
      <c r="E1176" t="inlineStr">
        <is>
          <t>LUDVIKA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4782-2025</t>
        </is>
      </c>
      <c r="B1177" s="1" t="n">
        <v>45688</v>
      </c>
      <c r="C1177" s="1" t="n">
        <v>45849</v>
      </c>
      <c r="D1177" t="inlineStr">
        <is>
          <t>DALARNAS LÄN</t>
        </is>
      </c>
      <c r="E1177" t="inlineStr">
        <is>
          <t>LUDVIKA</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4772-2025</t>
        </is>
      </c>
      <c r="B1178" s="1" t="n">
        <v>45688</v>
      </c>
      <c r="C1178" s="1" t="n">
        <v>45849</v>
      </c>
      <c r="D1178" t="inlineStr">
        <is>
          <t>DALARNAS LÄN</t>
        </is>
      </c>
      <c r="E1178" t="inlineStr">
        <is>
          <t>LUDVIKA</t>
        </is>
      </c>
      <c r="G1178" t="n">
        <v>15.9</v>
      </c>
      <c r="H1178" t="n">
        <v>0</v>
      </c>
      <c r="I1178" t="n">
        <v>0</v>
      </c>
      <c r="J1178" t="n">
        <v>0</v>
      </c>
      <c r="K1178" t="n">
        <v>0</v>
      </c>
      <c r="L1178" t="n">
        <v>0</v>
      </c>
      <c r="M1178" t="n">
        <v>0</v>
      </c>
      <c r="N1178" t="n">
        <v>0</v>
      </c>
      <c r="O1178" t="n">
        <v>0</v>
      </c>
      <c r="P1178" t="n">
        <v>0</v>
      </c>
      <c r="Q1178" t="n">
        <v>0</v>
      </c>
      <c r="R1178" s="2" t="inlineStr"/>
    </row>
    <row r="1179" ht="15" customHeight="1">
      <c r="A1179" t="inlineStr">
        <is>
          <t>A 7526-2025</t>
        </is>
      </c>
      <c r="B1179" s="1" t="n">
        <v>45705</v>
      </c>
      <c r="C1179" s="1" t="n">
        <v>45849</v>
      </c>
      <c r="D1179" t="inlineStr">
        <is>
          <t>DALARNAS LÄN</t>
        </is>
      </c>
      <c r="E1179" t="inlineStr">
        <is>
          <t>LUDVIKA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8202-2025</t>
        </is>
      </c>
      <c r="B1180" s="1" t="n">
        <v>45708</v>
      </c>
      <c r="C1180" s="1" t="n">
        <v>45849</v>
      </c>
      <c r="D1180" t="inlineStr">
        <is>
          <t>DALARNAS LÄN</t>
        </is>
      </c>
      <c r="E1180" t="inlineStr">
        <is>
          <t>LUDVIKA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9725-2025</t>
        </is>
      </c>
      <c r="B1181" s="1" t="n">
        <v>45716</v>
      </c>
      <c r="C1181" s="1" t="n">
        <v>45849</v>
      </c>
      <c r="D1181" t="inlineStr">
        <is>
          <t>DALARNAS LÄN</t>
        </is>
      </c>
      <c r="E1181" t="inlineStr">
        <is>
          <t>LUDVIKA</t>
        </is>
      </c>
      <c r="F1181" t="inlineStr">
        <is>
          <t>Bergvik skog väst AB</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10514-2025</t>
        </is>
      </c>
      <c r="B1182" s="1" t="n">
        <v>45721</v>
      </c>
      <c r="C1182" s="1" t="n">
        <v>45849</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12435-2025</t>
        </is>
      </c>
      <c r="B1183" s="1" t="n">
        <v>45730</v>
      </c>
      <c r="C1183" s="1" t="n">
        <v>45849</v>
      </c>
      <c r="D1183" t="inlineStr">
        <is>
          <t>DALARNAS LÄN</t>
        </is>
      </c>
      <c r="E1183" t="inlineStr">
        <is>
          <t>LUDVIKA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12836-2025</t>
        </is>
      </c>
      <c r="B1184" s="1" t="n">
        <v>45733</v>
      </c>
      <c r="C1184" s="1" t="n">
        <v>45849</v>
      </c>
      <c r="D1184" t="inlineStr">
        <is>
          <t>DALARNAS LÄN</t>
        </is>
      </c>
      <c r="E1184" t="inlineStr">
        <is>
          <t>LUDVIKA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13080-2025</t>
        </is>
      </c>
      <c r="B1185" s="1" t="n">
        <v>45734</v>
      </c>
      <c r="C1185" s="1" t="n">
        <v>45849</v>
      </c>
      <c r="D1185" t="inlineStr">
        <is>
          <t>DALARNAS LÄN</t>
        </is>
      </c>
      <c r="E1185" t="inlineStr">
        <is>
          <t>LUDVIKA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13809-2025</t>
        </is>
      </c>
      <c r="B1186" s="1" t="n">
        <v>45737</v>
      </c>
      <c r="C1186" s="1" t="n">
        <v>45849</v>
      </c>
      <c r="D1186" t="inlineStr">
        <is>
          <t>DALARNAS LÄN</t>
        </is>
      </c>
      <c r="E1186" t="inlineStr">
        <is>
          <t>LUDVIKA</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14046-2025</t>
        </is>
      </c>
      <c r="B1187" s="1" t="n">
        <v>45740</v>
      </c>
      <c r="C1187" s="1" t="n">
        <v>45849</v>
      </c>
      <c r="D1187" t="inlineStr">
        <is>
          <t>DALARNAS LÄN</t>
        </is>
      </c>
      <c r="E1187" t="inlineStr">
        <is>
          <t>LUDVIKA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14764-2025</t>
        </is>
      </c>
      <c r="B1188" s="1" t="n">
        <v>45742</v>
      </c>
      <c r="C1188" s="1" t="n">
        <v>45849</v>
      </c>
      <c r="D1188" t="inlineStr">
        <is>
          <t>DALARNAS LÄN</t>
        </is>
      </c>
      <c r="E1188" t="inlineStr">
        <is>
          <t>LUDVIKA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14881-2025</t>
        </is>
      </c>
      <c r="B1189" s="1" t="n">
        <v>45743</v>
      </c>
      <c r="C1189" s="1" t="n">
        <v>45849</v>
      </c>
      <c r="D1189" t="inlineStr">
        <is>
          <t>DALARNAS LÄN</t>
        </is>
      </c>
      <c r="E1189" t="inlineStr">
        <is>
          <t>LUDVIKA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15127-2025</t>
        </is>
      </c>
      <c r="B1190" s="1" t="n">
        <v>45744</v>
      </c>
      <c r="C1190" s="1" t="n">
        <v>45849</v>
      </c>
      <c r="D1190" t="inlineStr">
        <is>
          <t>DALARNAS LÄN</t>
        </is>
      </c>
      <c r="E1190" t="inlineStr">
        <is>
          <t>LUDVIKA</t>
        </is>
      </c>
      <c r="F1190" t="inlineStr">
        <is>
          <t>Bergvik skog väst AB</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15128-2025</t>
        </is>
      </c>
      <c r="B1191" s="1" t="n">
        <v>45744</v>
      </c>
      <c r="C1191" s="1" t="n">
        <v>45849</v>
      </c>
      <c r="D1191" t="inlineStr">
        <is>
          <t>DALARNAS LÄN</t>
        </is>
      </c>
      <c r="E1191" t="inlineStr">
        <is>
          <t>LUDVIKA</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15421-2025</t>
        </is>
      </c>
      <c r="B1192" s="1" t="n">
        <v>45747</v>
      </c>
      <c r="C1192" s="1" t="n">
        <v>45849</v>
      </c>
      <c r="D1192" t="inlineStr">
        <is>
          <t>DALARNAS LÄN</t>
        </is>
      </c>
      <c r="E1192" t="inlineStr">
        <is>
          <t>LUDVIKA</t>
        </is>
      </c>
      <c r="F1192" t="inlineStr">
        <is>
          <t>Övriga Aktiebolag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16768-2025</t>
        </is>
      </c>
      <c r="B1193" s="1" t="n">
        <v>45754</v>
      </c>
      <c r="C1193" s="1" t="n">
        <v>45849</v>
      </c>
      <c r="D1193" t="inlineStr">
        <is>
          <t>DALARNAS LÄN</t>
        </is>
      </c>
      <c r="E1193" t="inlineStr">
        <is>
          <t>LUDVIKA</t>
        </is>
      </c>
      <c r="F1193" t="inlineStr">
        <is>
          <t>Naturvårdsverket</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16807-2025</t>
        </is>
      </c>
      <c r="B1194" s="1" t="n">
        <v>45754</v>
      </c>
      <c r="C1194" s="1" t="n">
        <v>45849</v>
      </c>
      <c r="D1194" t="inlineStr">
        <is>
          <t>DALARNAS LÄN</t>
        </is>
      </c>
      <c r="E1194" t="inlineStr">
        <is>
          <t>LUDVIKA</t>
        </is>
      </c>
      <c r="F1194" t="inlineStr">
        <is>
          <t>Naturvårdsverket</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18180-2025</t>
        </is>
      </c>
      <c r="B1195" s="1" t="n">
        <v>45761</v>
      </c>
      <c r="C1195" s="1" t="n">
        <v>45849</v>
      </c>
      <c r="D1195" t="inlineStr">
        <is>
          <t>DALARNAS LÄN</t>
        </is>
      </c>
      <c r="E1195" t="inlineStr">
        <is>
          <t>LUDVIKA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18237-2025</t>
        </is>
      </c>
      <c r="B1196" s="1" t="n">
        <v>45762</v>
      </c>
      <c r="C1196" s="1" t="n">
        <v>45849</v>
      </c>
      <c r="D1196" t="inlineStr">
        <is>
          <t>DALARNAS LÄN</t>
        </is>
      </c>
      <c r="E1196" t="inlineStr">
        <is>
          <t>LUDVIKA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17998-2025</t>
        </is>
      </c>
      <c r="B1197" s="1" t="n">
        <v>45761</v>
      </c>
      <c r="C1197" s="1" t="n">
        <v>45849</v>
      </c>
      <c r="D1197" t="inlineStr">
        <is>
          <t>DALARNAS LÄN</t>
        </is>
      </c>
      <c r="E1197" t="inlineStr">
        <is>
          <t>LUDVIKA</t>
        </is>
      </c>
      <c r="F1197" t="inlineStr">
        <is>
          <t>Naturvårdsverket</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17986-2025</t>
        </is>
      </c>
      <c r="B1198" s="1" t="n">
        <v>45761</v>
      </c>
      <c r="C1198" s="1" t="n">
        <v>45849</v>
      </c>
      <c r="D1198" t="inlineStr">
        <is>
          <t>DALARNAS LÄN</t>
        </is>
      </c>
      <c r="E1198" t="inlineStr">
        <is>
          <t>LUDVIKA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18187-2025</t>
        </is>
      </c>
      <c r="B1199" s="1" t="n">
        <v>45761</v>
      </c>
      <c r="C1199" s="1" t="n">
        <v>45849</v>
      </c>
      <c r="D1199" t="inlineStr">
        <is>
          <t>DALARNAS LÄN</t>
        </is>
      </c>
      <c r="E1199" t="inlineStr">
        <is>
          <t>LUDVIKA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18189-2025</t>
        </is>
      </c>
      <c r="B1200" s="1" t="n">
        <v>45761</v>
      </c>
      <c r="C1200" s="1" t="n">
        <v>45849</v>
      </c>
      <c r="D1200" t="inlineStr">
        <is>
          <t>DALARNAS LÄN</t>
        </is>
      </c>
      <c r="E1200" t="inlineStr">
        <is>
          <t>LUDVIKA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17999-2025</t>
        </is>
      </c>
      <c r="B1201" s="1" t="n">
        <v>45761</v>
      </c>
      <c r="C1201" s="1" t="n">
        <v>45849</v>
      </c>
      <c r="D1201" t="inlineStr">
        <is>
          <t>DALARNAS LÄN</t>
        </is>
      </c>
      <c r="E1201" t="inlineStr">
        <is>
          <t>LUDVIKA</t>
        </is>
      </c>
      <c r="F1201" t="inlineStr">
        <is>
          <t>Naturvårdsverket</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18421-2025</t>
        </is>
      </c>
      <c r="B1202" s="1" t="n">
        <v>45762</v>
      </c>
      <c r="C1202" s="1" t="n">
        <v>45849</v>
      </c>
      <c r="D1202" t="inlineStr">
        <is>
          <t>DALARNAS LÄN</t>
        </is>
      </c>
      <c r="E1202" t="inlineStr">
        <is>
          <t>LUDVIKA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18435-2025</t>
        </is>
      </c>
      <c r="B1203" s="1" t="n">
        <v>45762</v>
      </c>
      <c r="C1203" s="1" t="n">
        <v>45849</v>
      </c>
      <c r="D1203" t="inlineStr">
        <is>
          <t>DALARNAS LÄN</t>
        </is>
      </c>
      <c r="E1203" t="inlineStr">
        <is>
          <t>LUDVIKA</t>
        </is>
      </c>
      <c r="F1203" t="inlineStr">
        <is>
          <t>Bergvik skog väst AB</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18372-2025</t>
        </is>
      </c>
      <c r="B1204" s="1" t="n">
        <v>45762</v>
      </c>
      <c r="C1204" s="1" t="n">
        <v>45849</v>
      </c>
      <c r="D1204" t="inlineStr">
        <is>
          <t>DALARNAS LÄN</t>
        </is>
      </c>
      <c r="E1204" t="inlineStr">
        <is>
          <t>LUDVIKA</t>
        </is>
      </c>
      <c r="F1204" t="inlineStr">
        <is>
          <t>Bergvik skog väst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19071-2025</t>
        </is>
      </c>
      <c r="B1205" s="1" t="n">
        <v>45765</v>
      </c>
      <c r="C1205" s="1" t="n">
        <v>45849</v>
      </c>
      <c r="D1205" t="inlineStr">
        <is>
          <t>DALARNAS LÄN</t>
        </is>
      </c>
      <c r="E1205" t="inlineStr">
        <is>
          <t>LUDVIKA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19226-2025</t>
        </is>
      </c>
      <c r="B1206" s="1" t="n">
        <v>45769</v>
      </c>
      <c r="C1206" s="1" t="n">
        <v>45849</v>
      </c>
      <c r="D1206" t="inlineStr">
        <is>
          <t>DALARNAS LÄN</t>
        </is>
      </c>
      <c r="E1206" t="inlineStr">
        <is>
          <t>LUDVIKA</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19677-2025</t>
        </is>
      </c>
      <c r="B1207" s="1" t="n">
        <v>45770</v>
      </c>
      <c r="C1207" s="1" t="n">
        <v>45849</v>
      </c>
      <c r="D1207" t="inlineStr">
        <is>
          <t>DALARNAS LÄN</t>
        </is>
      </c>
      <c r="E1207" t="inlineStr">
        <is>
          <t>LUDVIKA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20368-2025</t>
        </is>
      </c>
      <c r="B1208" s="1" t="n">
        <v>45775</v>
      </c>
      <c r="C1208" s="1" t="n">
        <v>45849</v>
      </c>
      <c r="D1208" t="inlineStr">
        <is>
          <t>DALARNAS LÄN</t>
        </is>
      </c>
      <c r="E1208" t="inlineStr">
        <is>
          <t>LUDVIKA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20449-2025</t>
        </is>
      </c>
      <c r="B1209" s="1" t="n">
        <v>45775</v>
      </c>
      <c r="C1209" s="1" t="n">
        <v>45849</v>
      </c>
      <c r="D1209" t="inlineStr">
        <is>
          <t>DALARNAS LÄN</t>
        </is>
      </c>
      <c r="E1209" t="inlineStr">
        <is>
          <t>LUDVIKA</t>
        </is>
      </c>
      <c r="F1209" t="inlineStr">
        <is>
          <t>Bergvik skog väst AB</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20427-2025</t>
        </is>
      </c>
      <c r="B1210" s="1" t="n">
        <v>45775</v>
      </c>
      <c r="C1210" s="1" t="n">
        <v>45849</v>
      </c>
      <c r="D1210" t="inlineStr">
        <is>
          <t>DALARNAS LÄN</t>
        </is>
      </c>
      <c r="E1210" t="inlineStr">
        <is>
          <t>LUDVIKA</t>
        </is>
      </c>
      <c r="F1210" t="inlineStr">
        <is>
          <t>Bergvik skog väst AB</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20642-2025</t>
        </is>
      </c>
      <c r="B1211" s="1" t="n">
        <v>45776</v>
      </c>
      <c r="C1211" s="1" t="n">
        <v>45849</v>
      </c>
      <c r="D1211" t="inlineStr">
        <is>
          <t>DALARNAS LÄN</t>
        </is>
      </c>
      <c r="E1211" t="inlineStr">
        <is>
          <t>LUDVIKA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20994-2025</t>
        </is>
      </c>
      <c r="B1212" s="1" t="n">
        <v>45777</v>
      </c>
      <c r="C1212" s="1" t="n">
        <v>45849</v>
      </c>
      <c r="D1212" t="inlineStr">
        <is>
          <t>DALARNAS LÄN</t>
        </is>
      </c>
      <c r="E1212" t="inlineStr">
        <is>
          <t>LUDVIKA</t>
        </is>
      </c>
      <c r="F1212" t="inlineStr">
        <is>
          <t>Bergvik skog väst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21021-2025</t>
        </is>
      </c>
      <c r="B1213" s="1" t="n">
        <v>45777</v>
      </c>
      <c r="C1213" s="1" t="n">
        <v>45849</v>
      </c>
      <c r="D1213" t="inlineStr">
        <is>
          <t>DALARNAS LÄN</t>
        </is>
      </c>
      <c r="E1213" t="inlineStr">
        <is>
          <t>LUDVIKA</t>
        </is>
      </c>
      <c r="F1213" t="inlineStr">
        <is>
          <t>Bergvik skog väst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21891-2025</t>
        </is>
      </c>
      <c r="B1214" s="1" t="n">
        <v>45784</v>
      </c>
      <c r="C1214" s="1" t="n">
        <v>45849</v>
      </c>
      <c r="D1214" t="inlineStr">
        <is>
          <t>DALARNAS LÄN</t>
        </is>
      </c>
      <c r="E1214" t="inlineStr">
        <is>
          <t>LUDVIKA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21893-2025</t>
        </is>
      </c>
      <c r="B1215" s="1" t="n">
        <v>45784</v>
      </c>
      <c r="C1215" s="1" t="n">
        <v>45849</v>
      </c>
      <c r="D1215" t="inlineStr">
        <is>
          <t>DALARNAS LÄN</t>
        </is>
      </c>
      <c r="E1215" t="inlineStr">
        <is>
          <t>LUDVIKA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22195-2025</t>
        </is>
      </c>
      <c r="B1216" s="1" t="n">
        <v>45785</v>
      </c>
      <c r="C1216" s="1" t="n">
        <v>45849</v>
      </c>
      <c r="D1216" t="inlineStr">
        <is>
          <t>DALARNAS LÄN</t>
        </is>
      </c>
      <c r="E1216" t="inlineStr">
        <is>
          <t>LUDVIKA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22330-2025</t>
        </is>
      </c>
      <c r="B1217" s="1" t="n">
        <v>45786</v>
      </c>
      <c r="C1217" s="1" t="n">
        <v>45849</v>
      </c>
      <c r="D1217" t="inlineStr">
        <is>
          <t>DALARNAS LÄN</t>
        </is>
      </c>
      <c r="E1217" t="inlineStr">
        <is>
          <t>LUDVIKA</t>
        </is>
      </c>
      <c r="F1217" t="inlineStr">
        <is>
          <t>Bergvik skog väst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22325-2025</t>
        </is>
      </c>
      <c r="B1218" s="1" t="n">
        <v>45786</v>
      </c>
      <c r="C1218" s="1" t="n">
        <v>45849</v>
      </c>
      <c r="D1218" t="inlineStr">
        <is>
          <t>DALARNAS LÄN</t>
        </is>
      </c>
      <c r="E1218" t="inlineStr">
        <is>
          <t>LUDVIKA</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22328-2025</t>
        </is>
      </c>
      <c r="B1219" s="1" t="n">
        <v>45786</v>
      </c>
      <c r="C1219" s="1" t="n">
        <v>45849</v>
      </c>
      <c r="D1219" t="inlineStr">
        <is>
          <t>DALARNAS LÄN</t>
        </is>
      </c>
      <c r="E1219" t="inlineStr">
        <is>
          <t>LUDVIKA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22324-2025</t>
        </is>
      </c>
      <c r="B1220" s="1" t="n">
        <v>45786</v>
      </c>
      <c r="C1220" s="1" t="n">
        <v>45849</v>
      </c>
      <c r="D1220" t="inlineStr">
        <is>
          <t>DALARNAS LÄN</t>
        </is>
      </c>
      <c r="E1220" t="inlineStr">
        <is>
          <t>LUDVIKA</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22686-2025</t>
        </is>
      </c>
      <c r="B1221" s="1" t="n">
        <v>45786</v>
      </c>
      <c r="C1221" s="1" t="n">
        <v>45849</v>
      </c>
      <c r="D1221" t="inlineStr">
        <is>
          <t>DALARNAS LÄN</t>
        </is>
      </c>
      <c r="E1221" t="inlineStr">
        <is>
          <t>LUDVIKA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22801-2025</t>
        </is>
      </c>
      <c r="B1222" s="1" t="n">
        <v>45789</v>
      </c>
      <c r="C1222" s="1" t="n">
        <v>45849</v>
      </c>
      <c r="D1222" t="inlineStr">
        <is>
          <t>DALARNAS LÄN</t>
        </is>
      </c>
      <c r="E1222" t="inlineStr">
        <is>
          <t>LUDVIKA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22807-2025</t>
        </is>
      </c>
      <c r="B1223" s="1" t="n">
        <v>45789</v>
      </c>
      <c r="C1223" s="1" t="n">
        <v>45849</v>
      </c>
      <c r="D1223" t="inlineStr">
        <is>
          <t>DALARNAS LÄN</t>
        </is>
      </c>
      <c r="E1223" t="inlineStr">
        <is>
          <t>LUDVIKA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22606-2025</t>
        </is>
      </c>
      <c r="B1224" s="1" t="n">
        <v>45789</v>
      </c>
      <c r="C1224" s="1" t="n">
        <v>45849</v>
      </c>
      <c r="D1224" t="inlineStr">
        <is>
          <t>DALARNAS LÄN</t>
        </is>
      </c>
      <c r="E1224" t="inlineStr">
        <is>
          <t>LUDVIKA</t>
        </is>
      </c>
      <c r="F1224" t="inlineStr">
        <is>
          <t>Bergvik skog väst AB</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22610-2025</t>
        </is>
      </c>
      <c r="B1225" s="1" t="n">
        <v>45789</v>
      </c>
      <c r="C1225" s="1" t="n">
        <v>45849</v>
      </c>
      <c r="D1225" t="inlineStr">
        <is>
          <t>DALARNAS LÄN</t>
        </is>
      </c>
      <c r="E1225" t="inlineStr">
        <is>
          <t>LUDVIKA</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22599-2025</t>
        </is>
      </c>
      <c r="B1226" s="1" t="n">
        <v>45789</v>
      </c>
      <c r="C1226" s="1" t="n">
        <v>45849</v>
      </c>
      <c r="D1226" t="inlineStr">
        <is>
          <t>DALARNAS LÄN</t>
        </is>
      </c>
      <c r="E1226" t="inlineStr">
        <is>
          <t>LUDVIKA</t>
        </is>
      </c>
      <c r="F1226" t="inlineStr">
        <is>
          <t>Bergvik skog väst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22594-2025</t>
        </is>
      </c>
      <c r="B1227" s="1" t="n">
        <v>45789</v>
      </c>
      <c r="C1227" s="1" t="n">
        <v>45849</v>
      </c>
      <c r="D1227" t="inlineStr">
        <is>
          <t>DALARNAS LÄN</t>
        </is>
      </c>
      <c r="E1227" t="inlineStr">
        <is>
          <t>LUDVIKA</t>
        </is>
      </c>
      <c r="F1227" t="inlineStr">
        <is>
          <t>Bergvik skog väst AB</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22850-2025</t>
        </is>
      </c>
      <c r="B1228" s="1" t="n">
        <v>45790</v>
      </c>
      <c r="C1228" s="1" t="n">
        <v>45849</v>
      </c>
      <c r="D1228" t="inlineStr">
        <is>
          <t>DALARNAS LÄN</t>
        </is>
      </c>
      <c r="E1228" t="inlineStr">
        <is>
          <t>LUDVIKA</t>
        </is>
      </c>
      <c r="F1228" t="inlineStr">
        <is>
          <t>Övriga Aktiebolag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23137-2025</t>
        </is>
      </c>
      <c r="B1229" s="1" t="n">
        <v>45791</v>
      </c>
      <c r="C1229" s="1" t="n">
        <v>45849</v>
      </c>
      <c r="D1229" t="inlineStr">
        <is>
          <t>DALARNAS LÄN</t>
        </is>
      </c>
      <c r="E1229" t="inlineStr">
        <is>
          <t>LUDVIKA</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23086-2025</t>
        </is>
      </c>
      <c r="B1230" s="1" t="n">
        <v>45791</v>
      </c>
      <c r="C1230" s="1" t="n">
        <v>45849</v>
      </c>
      <c r="D1230" t="inlineStr">
        <is>
          <t>DALARNAS LÄN</t>
        </is>
      </c>
      <c r="E1230" t="inlineStr">
        <is>
          <t>LUDVIKA</t>
        </is>
      </c>
      <c r="F1230" t="inlineStr">
        <is>
          <t>Bergvik skog väst AB</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23082-2025</t>
        </is>
      </c>
      <c r="B1231" s="1" t="n">
        <v>45791</v>
      </c>
      <c r="C1231" s="1" t="n">
        <v>45849</v>
      </c>
      <c r="D1231" t="inlineStr">
        <is>
          <t>DALARNAS LÄN</t>
        </is>
      </c>
      <c r="E1231" t="inlineStr">
        <is>
          <t>LUDVIKA</t>
        </is>
      </c>
      <c r="F1231" t="inlineStr">
        <is>
          <t>Bergvik skog väst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23088-2025</t>
        </is>
      </c>
      <c r="B1232" s="1" t="n">
        <v>45791</v>
      </c>
      <c r="C1232" s="1" t="n">
        <v>45849</v>
      </c>
      <c r="D1232" t="inlineStr">
        <is>
          <t>DALARNAS LÄN</t>
        </is>
      </c>
      <c r="E1232" t="inlineStr">
        <is>
          <t>LUDVIKA</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23087-2025</t>
        </is>
      </c>
      <c r="B1233" s="1" t="n">
        <v>45791</v>
      </c>
      <c r="C1233" s="1" t="n">
        <v>45849</v>
      </c>
      <c r="D1233" t="inlineStr">
        <is>
          <t>DALARNAS LÄN</t>
        </is>
      </c>
      <c r="E1233" t="inlineStr">
        <is>
          <t>LUDVIKA</t>
        </is>
      </c>
      <c r="F1233" t="inlineStr">
        <is>
          <t>Bergvik skog väst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23097-2025</t>
        </is>
      </c>
      <c r="B1234" s="1" t="n">
        <v>45791</v>
      </c>
      <c r="C1234" s="1" t="n">
        <v>45849</v>
      </c>
      <c r="D1234" t="inlineStr">
        <is>
          <t>DALARNAS LÄN</t>
        </is>
      </c>
      <c r="E1234" t="inlineStr">
        <is>
          <t>LUDVIKA</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23103-2025</t>
        </is>
      </c>
      <c r="B1235" s="1" t="n">
        <v>45791</v>
      </c>
      <c r="C1235" s="1" t="n">
        <v>45849</v>
      </c>
      <c r="D1235" t="inlineStr">
        <is>
          <t>DALARNAS LÄN</t>
        </is>
      </c>
      <c r="E1235" t="inlineStr">
        <is>
          <t>LUDVIKA</t>
        </is>
      </c>
      <c r="F1235" t="inlineStr">
        <is>
          <t>Bergvik skog väst AB</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23105-2025</t>
        </is>
      </c>
      <c r="B1236" s="1" t="n">
        <v>45791</v>
      </c>
      <c r="C1236" s="1" t="n">
        <v>45849</v>
      </c>
      <c r="D1236" t="inlineStr">
        <is>
          <t>DALARNAS LÄN</t>
        </is>
      </c>
      <c r="E1236" t="inlineStr">
        <is>
          <t>LUDVIKA</t>
        </is>
      </c>
      <c r="F1236" t="inlineStr">
        <is>
          <t>Bergvik skog väst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23139-2025</t>
        </is>
      </c>
      <c r="B1237" s="1" t="n">
        <v>45791</v>
      </c>
      <c r="C1237" s="1" t="n">
        <v>45849</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23117-2025</t>
        </is>
      </c>
      <c r="B1238" s="1" t="n">
        <v>45791</v>
      </c>
      <c r="C1238" s="1" t="n">
        <v>45849</v>
      </c>
      <c r="D1238" t="inlineStr">
        <is>
          <t>DALARNAS LÄN</t>
        </is>
      </c>
      <c r="E1238" t="inlineStr">
        <is>
          <t>LUDVIKA</t>
        </is>
      </c>
      <c r="F1238" t="inlineStr">
        <is>
          <t>Bergvik skog väst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23111-2025</t>
        </is>
      </c>
      <c r="B1239" s="1" t="n">
        <v>45791</v>
      </c>
      <c r="C1239" s="1" t="n">
        <v>45849</v>
      </c>
      <c r="D1239" t="inlineStr">
        <is>
          <t>DALARNAS LÄN</t>
        </is>
      </c>
      <c r="E1239" t="inlineStr">
        <is>
          <t>LUDVIKA</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23521-2025</t>
        </is>
      </c>
      <c r="B1240" s="1" t="n">
        <v>45792</v>
      </c>
      <c r="C1240" s="1" t="n">
        <v>45849</v>
      </c>
      <c r="D1240" t="inlineStr">
        <is>
          <t>DALARNAS LÄN</t>
        </is>
      </c>
      <c r="E1240" t="inlineStr">
        <is>
          <t>LUDVIKA</t>
        </is>
      </c>
      <c r="F1240" t="inlineStr">
        <is>
          <t>Bergvik skog väst AB</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24081-2025</t>
        </is>
      </c>
      <c r="B1241" s="1" t="n">
        <v>45796</v>
      </c>
      <c r="C1241" s="1" t="n">
        <v>45849</v>
      </c>
      <c r="D1241" t="inlineStr">
        <is>
          <t>DALARNAS LÄN</t>
        </is>
      </c>
      <c r="E1241" t="inlineStr">
        <is>
          <t>LUDVIKA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24027-2025</t>
        </is>
      </c>
      <c r="B1242" s="1" t="n">
        <v>45796</v>
      </c>
      <c r="C1242" s="1" t="n">
        <v>45849</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24696-2025</t>
        </is>
      </c>
      <c r="B1243" s="1" t="n">
        <v>45798</v>
      </c>
      <c r="C1243" s="1" t="n">
        <v>45849</v>
      </c>
      <c r="D1243" t="inlineStr">
        <is>
          <t>DALARNAS LÄN</t>
        </is>
      </c>
      <c r="E1243" t="inlineStr">
        <is>
          <t>LUDVIKA</t>
        </is>
      </c>
      <c r="F1243" t="inlineStr">
        <is>
          <t>Bergvik skog väst AB</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24628-2025</t>
        </is>
      </c>
      <c r="B1244" s="1" t="n">
        <v>45798</v>
      </c>
      <c r="C1244" s="1" t="n">
        <v>45849</v>
      </c>
      <c r="D1244" t="inlineStr">
        <is>
          <t>DALARNAS LÄN</t>
        </is>
      </c>
      <c r="E1244" t="inlineStr">
        <is>
          <t>LUDVIKA</t>
        </is>
      </c>
      <c r="F1244" t="inlineStr">
        <is>
          <t>Bergvik skog väst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24697-2025</t>
        </is>
      </c>
      <c r="B1245" s="1" t="n">
        <v>45798</v>
      </c>
      <c r="C1245" s="1" t="n">
        <v>45849</v>
      </c>
      <c r="D1245" t="inlineStr">
        <is>
          <t>DALARNAS LÄN</t>
        </is>
      </c>
      <c r="E1245" t="inlineStr">
        <is>
          <t>LUDVIKA</t>
        </is>
      </c>
      <c r="F1245" t="inlineStr">
        <is>
          <t>Bergvik skog väst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24928-2025</t>
        </is>
      </c>
      <c r="B1246" s="1" t="n">
        <v>45799</v>
      </c>
      <c r="C1246" s="1" t="n">
        <v>45849</v>
      </c>
      <c r="D1246" t="inlineStr">
        <is>
          <t>DALARNAS LÄN</t>
        </is>
      </c>
      <c r="E1246" t="inlineStr">
        <is>
          <t>LUDVIKA</t>
        </is>
      </c>
      <c r="F1246" t="inlineStr">
        <is>
          <t>Bergvik skog väst AB</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24814-2025</t>
        </is>
      </c>
      <c r="B1247" s="1" t="n">
        <v>45799</v>
      </c>
      <c r="C1247" s="1" t="n">
        <v>45849</v>
      </c>
      <c r="D1247" t="inlineStr">
        <is>
          <t>DALARNAS LÄN</t>
        </is>
      </c>
      <c r="E1247" t="inlineStr">
        <is>
          <t>LUDVIKA</t>
        </is>
      </c>
      <c r="F1247" t="inlineStr">
        <is>
          <t>Bergvik skog väst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24848-2025</t>
        </is>
      </c>
      <c r="B1248" s="1" t="n">
        <v>45799</v>
      </c>
      <c r="C1248" s="1" t="n">
        <v>45849</v>
      </c>
      <c r="D1248" t="inlineStr">
        <is>
          <t>DALARNAS LÄN</t>
        </is>
      </c>
      <c r="E1248" t="inlineStr">
        <is>
          <t>LUDVIKA</t>
        </is>
      </c>
      <c r="F1248" t="inlineStr">
        <is>
          <t>Bergvik skog väst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24783-2025</t>
        </is>
      </c>
      <c r="B1249" s="1" t="n">
        <v>45799</v>
      </c>
      <c r="C1249" s="1" t="n">
        <v>45849</v>
      </c>
      <c r="D1249" t="inlineStr">
        <is>
          <t>DALARNAS LÄN</t>
        </is>
      </c>
      <c r="E1249" t="inlineStr">
        <is>
          <t>LUDVIKA</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24893-2025</t>
        </is>
      </c>
      <c r="B1250" s="1" t="n">
        <v>45799</v>
      </c>
      <c r="C1250" s="1" t="n">
        <v>45849</v>
      </c>
      <c r="D1250" t="inlineStr">
        <is>
          <t>DALARNAS LÄN</t>
        </is>
      </c>
      <c r="E1250" t="inlineStr">
        <is>
          <t>LUDVIKA</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24939-2025</t>
        </is>
      </c>
      <c r="B1251" s="1" t="n">
        <v>45799</v>
      </c>
      <c r="C1251" s="1" t="n">
        <v>45849</v>
      </c>
      <c r="D1251" t="inlineStr">
        <is>
          <t>DALARNAS LÄN</t>
        </is>
      </c>
      <c r="E1251" t="inlineStr">
        <is>
          <t>LUDVIKA</t>
        </is>
      </c>
      <c r="F1251" t="inlineStr">
        <is>
          <t>Bergvik skog väst AB</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24974-2025</t>
        </is>
      </c>
      <c r="B1252" s="1" t="n">
        <v>45799</v>
      </c>
      <c r="C1252" s="1" t="n">
        <v>45849</v>
      </c>
      <c r="D1252" t="inlineStr">
        <is>
          <t>DALARNAS LÄN</t>
        </is>
      </c>
      <c r="E1252" t="inlineStr">
        <is>
          <t>LUDVIKA</t>
        </is>
      </c>
      <c r="F1252" t="inlineStr">
        <is>
          <t>Bergvik skog väst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24875-2025</t>
        </is>
      </c>
      <c r="B1253" s="1" t="n">
        <v>45799</v>
      </c>
      <c r="C1253" s="1" t="n">
        <v>45849</v>
      </c>
      <c r="D1253" t="inlineStr">
        <is>
          <t>DALARNAS LÄN</t>
        </is>
      </c>
      <c r="E1253" t="inlineStr">
        <is>
          <t>LUDVIKA</t>
        </is>
      </c>
      <c r="F1253" t="inlineStr">
        <is>
          <t>Bergvik skog väst AB</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24789-2025</t>
        </is>
      </c>
      <c r="B1254" s="1" t="n">
        <v>45799</v>
      </c>
      <c r="C1254" s="1" t="n">
        <v>45849</v>
      </c>
      <c r="D1254" t="inlineStr">
        <is>
          <t>DALARNAS LÄN</t>
        </is>
      </c>
      <c r="E1254" t="inlineStr">
        <is>
          <t>LUDVIKA</t>
        </is>
      </c>
      <c r="F1254" t="inlineStr">
        <is>
          <t>Bergvik skog väst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25006-2025</t>
        </is>
      </c>
      <c r="B1255" s="1" t="n">
        <v>45799</v>
      </c>
      <c r="C1255" s="1" t="n">
        <v>45849</v>
      </c>
      <c r="D1255" t="inlineStr">
        <is>
          <t>DALARNAS LÄN</t>
        </is>
      </c>
      <c r="E1255" t="inlineStr">
        <is>
          <t>LUDVIKA</t>
        </is>
      </c>
      <c r="F1255" t="inlineStr">
        <is>
          <t>Bergvik skog väst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25004-2025</t>
        </is>
      </c>
      <c r="B1256" s="1" t="n">
        <v>45799</v>
      </c>
      <c r="C1256" s="1" t="n">
        <v>45849</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25277-2025</t>
        </is>
      </c>
      <c r="B1257" s="1" t="n">
        <v>45800</v>
      </c>
      <c r="C1257" s="1" t="n">
        <v>45849</v>
      </c>
      <c r="D1257" t="inlineStr">
        <is>
          <t>DALARNAS LÄN</t>
        </is>
      </c>
      <c r="E1257" t="inlineStr">
        <is>
          <t>LUDVIKA</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25235-2025</t>
        </is>
      </c>
      <c r="B1258" s="1" t="n">
        <v>45800</v>
      </c>
      <c r="C1258" s="1" t="n">
        <v>45849</v>
      </c>
      <c r="D1258" t="inlineStr">
        <is>
          <t>DALARNAS LÄN</t>
        </is>
      </c>
      <c r="E1258" t="inlineStr">
        <is>
          <t>LUDVIKA</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25113-2025</t>
        </is>
      </c>
      <c r="B1259" s="1" t="n">
        <v>45800</v>
      </c>
      <c r="C1259" s="1" t="n">
        <v>45849</v>
      </c>
      <c r="D1259" t="inlineStr">
        <is>
          <t>DALARNAS LÄN</t>
        </is>
      </c>
      <c r="E1259" t="inlineStr">
        <is>
          <t>LUDVIKA</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25150-2025</t>
        </is>
      </c>
      <c r="B1260" s="1" t="n">
        <v>45800</v>
      </c>
      <c r="C1260" s="1" t="n">
        <v>45849</v>
      </c>
      <c r="D1260" t="inlineStr">
        <is>
          <t>DALARNAS LÄN</t>
        </is>
      </c>
      <c r="E1260" t="inlineStr">
        <is>
          <t>LUDVIKA</t>
        </is>
      </c>
      <c r="F1260" t="inlineStr">
        <is>
          <t>Bergvik skog väst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25133-2025</t>
        </is>
      </c>
      <c r="B1261" s="1" t="n">
        <v>45800</v>
      </c>
      <c r="C1261" s="1" t="n">
        <v>45849</v>
      </c>
      <c r="D1261" t="inlineStr">
        <is>
          <t>DALARNAS LÄN</t>
        </is>
      </c>
      <c r="E1261" t="inlineStr">
        <is>
          <t>LUDVIKA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25157-2025</t>
        </is>
      </c>
      <c r="B1262" s="1" t="n">
        <v>45800</v>
      </c>
      <c r="C1262" s="1" t="n">
        <v>45849</v>
      </c>
      <c r="D1262" t="inlineStr">
        <is>
          <t>DALARNAS LÄN</t>
        </is>
      </c>
      <c r="E1262" t="inlineStr">
        <is>
          <t>LUDVIKA</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25140-2025</t>
        </is>
      </c>
      <c r="B1263" s="1" t="n">
        <v>45800</v>
      </c>
      <c r="C1263" s="1" t="n">
        <v>45849</v>
      </c>
      <c r="D1263" t="inlineStr">
        <is>
          <t>DALARNAS LÄN</t>
        </is>
      </c>
      <c r="E1263" t="inlineStr">
        <is>
          <t>LUDVIKA</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25619-2025</t>
        </is>
      </c>
      <c r="B1264" s="1" t="n">
        <v>45803</v>
      </c>
      <c r="C1264" s="1" t="n">
        <v>45849</v>
      </c>
      <c r="D1264" t="inlineStr">
        <is>
          <t>DALARNAS LÄN</t>
        </is>
      </c>
      <c r="E1264" t="inlineStr">
        <is>
          <t>LUDVIKA</t>
        </is>
      </c>
      <c r="F1264" t="inlineStr">
        <is>
          <t>Bergvik skog väst AB</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25627-2025</t>
        </is>
      </c>
      <c r="B1265" s="1" t="n">
        <v>45803</v>
      </c>
      <c r="C1265" s="1" t="n">
        <v>45849</v>
      </c>
      <c r="D1265" t="inlineStr">
        <is>
          <t>DALARNAS LÄN</t>
        </is>
      </c>
      <c r="E1265" t="inlineStr">
        <is>
          <t>LUDVIKA</t>
        </is>
      </c>
      <c r="F1265" t="inlineStr">
        <is>
          <t>Bergvik skog väst AB</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25644-2025</t>
        </is>
      </c>
      <c r="B1266" s="1" t="n">
        <v>45803</v>
      </c>
      <c r="C1266" s="1" t="n">
        <v>45849</v>
      </c>
      <c r="D1266" t="inlineStr">
        <is>
          <t>DALARNAS LÄN</t>
        </is>
      </c>
      <c r="E1266" t="inlineStr">
        <is>
          <t>LUDVIKA</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25920-2025</t>
        </is>
      </c>
      <c r="B1267" s="1" t="n">
        <v>45804</v>
      </c>
      <c r="C1267" s="1" t="n">
        <v>45849</v>
      </c>
      <c r="D1267" t="inlineStr">
        <is>
          <t>DALARNAS LÄN</t>
        </is>
      </c>
      <c r="E1267" t="inlineStr">
        <is>
          <t>LUDVIKA</t>
        </is>
      </c>
      <c r="F1267" t="inlineStr">
        <is>
          <t>Bergvik skog väst AB</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26320-2025</t>
        </is>
      </c>
      <c r="B1268" s="1" t="n">
        <v>45805</v>
      </c>
      <c r="C1268" s="1" t="n">
        <v>45849</v>
      </c>
      <c r="D1268" t="inlineStr">
        <is>
          <t>DALARNAS LÄN</t>
        </is>
      </c>
      <c r="E1268" t="inlineStr">
        <is>
          <t>LUDVIKA</t>
        </is>
      </c>
      <c r="F1268" t="inlineStr">
        <is>
          <t>Bergvik skog väst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26150-2025</t>
        </is>
      </c>
      <c r="B1269" s="1" t="n">
        <v>45805</v>
      </c>
      <c r="C1269" s="1" t="n">
        <v>45849</v>
      </c>
      <c r="D1269" t="inlineStr">
        <is>
          <t>DALARNAS LÄN</t>
        </is>
      </c>
      <c r="E1269" t="inlineStr">
        <is>
          <t>LUDVIKA</t>
        </is>
      </c>
      <c r="F1269" t="inlineStr">
        <is>
          <t>Bergvik skog väst AB</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26433-2025</t>
        </is>
      </c>
      <c r="B1270" s="1" t="n">
        <v>45807</v>
      </c>
      <c r="C1270" s="1" t="n">
        <v>45849</v>
      </c>
      <c r="D1270" t="inlineStr">
        <is>
          <t>DALARNAS LÄN</t>
        </is>
      </c>
      <c r="E1270" t="inlineStr">
        <is>
          <t>LUDVIKA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26779-2025</t>
        </is>
      </c>
      <c r="B1271" s="1" t="n">
        <v>45810</v>
      </c>
      <c r="C1271" s="1" t="n">
        <v>45849</v>
      </c>
      <c r="D1271" t="inlineStr">
        <is>
          <t>DALARNAS LÄN</t>
        </is>
      </c>
      <c r="E1271" t="inlineStr">
        <is>
          <t>LUDVIKA</t>
        </is>
      </c>
      <c r="F1271" t="inlineStr">
        <is>
          <t>Bergvik skog väst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26698-2025</t>
        </is>
      </c>
      <c r="B1272" s="1" t="n">
        <v>45810</v>
      </c>
      <c r="C1272" s="1" t="n">
        <v>45849</v>
      </c>
      <c r="D1272" t="inlineStr">
        <is>
          <t>DALARNAS LÄN</t>
        </is>
      </c>
      <c r="E1272" t="inlineStr">
        <is>
          <t>LUDVIKA</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26719-2025</t>
        </is>
      </c>
      <c r="B1273" s="1" t="n">
        <v>45810</v>
      </c>
      <c r="C1273" s="1" t="n">
        <v>45849</v>
      </c>
      <c r="D1273" t="inlineStr">
        <is>
          <t>DALARNAS LÄN</t>
        </is>
      </c>
      <c r="E1273" t="inlineStr">
        <is>
          <t>LUDVIKA</t>
        </is>
      </c>
      <c r="F1273" t="inlineStr">
        <is>
          <t>Bergvik skog väst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26628-2025</t>
        </is>
      </c>
      <c r="B1274" s="1" t="n">
        <v>45810</v>
      </c>
      <c r="C1274" s="1" t="n">
        <v>45849</v>
      </c>
      <c r="D1274" t="inlineStr">
        <is>
          <t>DALARNAS LÄN</t>
        </is>
      </c>
      <c r="E1274" t="inlineStr">
        <is>
          <t>LUDVIKA</t>
        </is>
      </c>
      <c r="F1274" t="inlineStr">
        <is>
          <t>Bergvik skog väst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26823-2025</t>
        </is>
      </c>
      <c r="B1275" s="1" t="n">
        <v>45810</v>
      </c>
      <c r="C1275" s="1" t="n">
        <v>45849</v>
      </c>
      <c r="D1275" t="inlineStr">
        <is>
          <t>DALARNAS LÄN</t>
        </is>
      </c>
      <c r="E1275" t="inlineStr">
        <is>
          <t>LUDVIKA</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26826-2025</t>
        </is>
      </c>
      <c r="B1276" s="1" t="n">
        <v>45810</v>
      </c>
      <c r="C1276" s="1" t="n">
        <v>45849</v>
      </c>
      <c r="D1276" t="inlineStr">
        <is>
          <t>DALARNAS LÄN</t>
        </is>
      </c>
      <c r="E1276" t="inlineStr">
        <is>
          <t>LUDVIKA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26794-2025</t>
        </is>
      </c>
      <c r="B1277" s="1" t="n">
        <v>45810</v>
      </c>
      <c r="C1277" s="1" t="n">
        <v>45849</v>
      </c>
      <c r="D1277" t="inlineStr">
        <is>
          <t>DALARNAS LÄN</t>
        </is>
      </c>
      <c r="E1277" t="inlineStr">
        <is>
          <t>LUDVIKA</t>
        </is>
      </c>
      <c r="F1277" t="inlineStr">
        <is>
          <t>Kommuner</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26942-2025</t>
        </is>
      </c>
      <c r="B1278" s="1" t="n">
        <v>45811</v>
      </c>
      <c r="C1278" s="1" t="n">
        <v>45849</v>
      </c>
      <c r="D1278" t="inlineStr">
        <is>
          <t>DALARNAS LÄN</t>
        </is>
      </c>
      <c r="E1278" t="inlineStr">
        <is>
          <t>LUDVIKA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27021-2025</t>
        </is>
      </c>
      <c r="B1279" s="1" t="n">
        <v>45811</v>
      </c>
      <c r="C1279" s="1" t="n">
        <v>45849</v>
      </c>
      <c r="D1279" t="inlineStr">
        <is>
          <t>DALARNAS LÄN</t>
        </is>
      </c>
      <c r="E1279" t="inlineStr">
        <is>
          <t>LUDVIKA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27644-2025</t>
        </is>
      </c>
      <c r="B1280" s="1" t="n">
        <v>45813</v>
      </c>
      <c r="C1280" s="1" t="n">
        <v>45849</v>
      </c>
      <c r="D1280" t="inlineStr">
        <is>
          <t>DALARNAS LÄN</t>
        </is>
      </c>
      <c r="E1280" t="inlineStr">
        <is>
          <t>LUDVIKA</t>
        </is>
      </c>
      <c r="F1280" t="inlineStr">
        <is>
          <t>Bergvik skog väst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27532-2025</t>
        </is>
      </c>
      <c r="B1281" s="1" t="n">
        <v>45813</v>
      </c>
      <c r="C1281" s="1" t="n">
        <v>45849</v>
      </c>
      <c r="D1281" t="inlineStr">
        <is>
          <t>DALARNAS LÄN</t>
        </is>
      </c>
      <c r="E1281" t="inlineStr">
        <is>
          <t>LUDVIKA</t>
        </is>
      </c>
      <c r="F1281" t="inlineStr">
        <is>
          <t>Bergvik skog väst AB</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27435-2025</t>
        </is>
      </c>
      <c r="B1282" s="1" t="n">
        <v>45813</v>
      </c>
      <c r="C1282" s="1" t="n">
        <v>45849</v>
      </c>
      <c r="D1282" t="inlineStr">
        <is>
          <t>DALARNAS LÄN</t>
        </is>
      </c>
      <c r="E1282" t="inlineStr">
        <is>
          <t>LUDVIKA</t>
        </is>
      </c>
      <c r="F1282" t="inlineStr">
        <is>
          <t>Bergvik skog väst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27528-2025</t>
        </is>
      </c>
      <c r="B1283" s="1" t="n">
        <v>45813</v>
      </c>
      <c r="C1283" s="1" t="n">
        <v>45849</v>
      </c>
      <c r="D1283" t="inlineStr">
        <is>
          <t>DALARNAS LÄN</t>
        </is>
      </c>
      <c r="E1283" t="inlineStr">
        <is>
          <t>LUDVIKA</t>
        </is>
      </c>
      <c r="F1283" t="inlineStr">
        <is>
          <t>Bergvik skog väst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27506-2025</t>
        </is>
      </c>
      <c r="B1284" s="1" t="n">
        <v>45813</v>
      </c>
      <c r="C1284" s="1" t="n">
        <v>45849</v>
      </c>
      <c r="D1284" t="inlineStr">
        <is>
          <t>DALARNAS LÄN</t>
        </is>
      </c>
      <c r="E1284" t="inlineStr">
        <is>
          <t>LUDVIKA</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27525-2025</t>
        </is>
      </c>
      <c r="B1285" s="1" t="n">
        <v>45813</v>
      </c>
      <c r="C1285" s="1" t="n">
        <v>45849</v>
      </c>
      <c r="D1285" t="inlineStr">
        <is>
          <t>DALARNAS LÄN</t>
        </is>
      </c>
      <c r="E1285" t="inlineStr">
        <is>
          <t>LUDVIKA</t>
        </is>
      </c>
      <c r="F1285" t="inlineStr">
        <is>
          <t>Bergvik skog väst AB</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27616-2025</t>
        </is>
      </c>
      <c r="B1286" s="1" t="n">
        <v>45813</v>
      </c>
      <c r="C1286" s="1" t="n">
        <v>45849</v>
      </c>
      <c r="D1286" t="inlineStr">
        <is>
          <t>DALARNAS LÄN</t>
        </is>
      </c>
      <c r="E1286" t="inlineStr">
        <is>
          <t>LUDVIKA</t>
        </is>
      </c>
      <c r="F1286" t="inlineStr">
        <is>
          <t>Bergvik skog väst AB</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27448-2025</t>
        </is>
      </c>
      <c r="B1287" s="1" t="n">
        <v>45813</v>
      </c>
      <c r="C1287" s="1" t="n">
        <v>45849</v>
      </c>
      <c r="D1287" t="inlineStr">
        <is>
          <t>DALARNAS LÄN</t>
        </is>
      </c>
      <c r="E1287" t="inlineStr">
        <is>
          <t>LUDVIKA</t>
        </is>
      </c>
      <c r="F1287" t="inlineStr">
        <is>
          <t>Bergvik skog väst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28435-2025</t>
        </is>
      </c>
      <c r="B1288" s="1" t="n">
        <v>45819</v>
      </c>
      <c r="C1288" s="1" t="n">
        <v>45849</v>
      </c>
      <c r="D1288" t="inlineStr">
        <is>
          <t>DALARNAS LÄN</t>
        </is>
      </c>
      <c r="E1288" t="inlineStr">
        <is>
          <t>LUDVIKA</t>
        </is>
      </c>
      <c r="F1288" t="inlineStr">
        <is>
          <t>Bergvik skog väst AB</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28737-2025</t>
        </is>
      </c>
      <c r="B1289" s="1" t="n">
        <v>45820</v>
      </c>
      <c r="C1289" s="1" t="n">
        <v>45849</v>
      </c>
      <c r="D1289" t="inlineStr">
        <is>
          <t>DALARNAS LÄN</t>
        </is>
      </c>
      <c r="E1289" t="inlineStr">
        <is>
          <t>LUDVIKA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29443-2025</t>
        </is>
      </c>
      <c r="B1290" s="1" t="n">
        <v>45824</v>
      </c>
      <c r="C1290" s="1" t="n">
        <v>45849</v>
      </c>
      <c r="D1290" t="inlineStr">
        <is>
          <t>DALARNAS LÄN</t>
        </is>
      </c>
      <c r="E1290" t="inlineStr">
        <is>
          <t>LUDVIKA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29654-2025</t>
        </is>
      </c>
      <c r="B1291" s="1" t="n">
        <v>45825</v>
      </c>
      <c r="C1291" s="1" t="n">
        <v>45849</v>
      </c>
      <c r="D1291" t="inlineStr">
        <is>
          <t>DALARNAS LÄN</t>
        </is>
      </c>
      <c r="E1291" t="inlineStr">
        <is>
          <t>LUDVIKA</t>
        </is>
      </c>
      <c r="F1291" t="inlineStr">
        <is>
          <t>Bergvik skog väst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29578-2025</t>
        </is>
      </c>
      <c r="B1292" s="1" t="n">
        <v>45825</v>
      </c>
      <c r="C1292" s="1" t="n">
        <v>45849</v>
      </c>
      <c r="D1292" t="inlineStr">
        <is>
          <t>DALARNAS LÄN</t>
        </is>
      </c>
      <c r="E1292" t="inlineStr">
        <is>
          <t>LUDVIKA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29966-2025</t>
        </is>
      </c>
      <c r="B1293" s="1" t="n">
        <v>45826</v>
      </c>
      <c r="C1293" s="1" t="n">
        <v>45849</v>
      </c>
      <c r="D1293" t="inlineStr">
        <is>
          <t>DALARNAS LÄN</t>
        </is>
      </c>
      <c r="E1293" t="inlineStr">
        <is>
          <t>LUDVIKA</t>
        </is>
      </c>
      <c r="F1293" t="inlineStr">
        <is>
          <t>Bergvik skog väst AB</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29918-2025</t>
        </is>
      </c>
      <c r="B1294" s="1" t="n">
        <v>45826</v>
      </c>
      <c r="C1294" s="1" t="n">
        <v>45849</v>
      </c>
      <c r="D1294" t="inlineStr">
        <is>
          <t>DALARNAS LÄN</t>
        </is>
      </c>
      <c r="E1294" t="inlineStr">
        <is>
          <t>LUDVIKA</t>
        </is>
      </c>
      <c r="F1294" t="inlineStr">
        <is>
          <t>Bergvik skog väst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30399-2025</t>
        </is>
      </c>
      <c r="B1295" s="1" t="n">
        <v>45827</v>
      </c>
      <c r="C1295" s="1" t="n">
        <v>45849</v>
      </c>
      <c r="D1295" t="inlineStr">
        <is>
          <t>DALARNAS LÄN</t>
        </is>
      </c>
      <c r="E1295" t="inlineStr">
        <is>
          <t>LUDVIKA</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30283-2025</t>
        </is>
      </c>
      <c r="B1296" s="1" t="n">
        <v>45827</v>
      </c>
      <c r="C1296" s="1" t="n">
        <v>45849</v>
      </c>
      <c r="D1296" t="inlineStr">
        <is>
          <t>DALARNAS LÄN</t>
        </is>
      </c>
      <c r="E1296" t="inlineStr">
        <is>
          <t>LUDVIKA</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30288-2025</t>
        </is>
      </c>
      <c r="B1297" s="1" t="n">
        <v>45827</v>
      </c>
      <c r="C1297" s="1" t="n">
        <v>45849</v>
      </c>
      <c r="D1297" t="inlineStr">
        <is>
          <t>DALARNAS LÄN</t>
        </is>
      </c>
      <c r="E1297" t="inlineStr">
        <is>
          <t>LUDVIKA</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30324-2025</t>
        </is>
      </c>
      <c r="B1298" s="1" t="n">
        <v>45827</v>
      </c>
      <c r="C1298" s="1" t="n">
        <v>45849</v>
      </c>
      <c r="D1298" t="inlineStr">
        <is>
          <t>DALARNAS LÄN</t>
        </is>
      </c>
      <c r="E1298" t="inlineStr">
        <is>
          <t>LUDVIKA</t>
        </is>
      </c>
      <c r="F1298" t="inlineStr">
        <is>
          <t>Bergvik skog väst AB</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30417-2025</t>
        </is>
      </c>
      <c r="B1299" s="1" t="n">
        <v>45827</v>
      </c>
      <c r="C1299" s="1" t="n">
        <v>45849</v>
      </c>
      <c r="D1299" t="inlineStr">
        <is>
          <t>DALARNAS LÄN</t>
        </is>
      </c>
      <c r="E1299" t="inlineStr">
        <is>
          <t>LUDVIKA</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30748-2025</t>
        </is>
      </c>
      <c r="B1300" s="1" t="n">
        <v>45831</v>
      </c>
      <c r="C1300" s="1" t="n">
        <v>45849</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30760-2025</t>
        </is>
      </c>
      <c r="B1301" s="1" t="n">
        <v>45831</v>
      </c>
      <c r="C1301" s="1" t="n">
        <v>45849</v>
      </c>
      <c r="D1301" t="inlineStr">
        <is>
          <t>DALARNAS LÄN</t>
        </is>
      </c>
      <c r="E1301" t="inlineStr">
        <is>
          <t>LUDVIKA</t>
        </is>
      </c>
      <c r="F1301" t="inlineStr">
        <is>
          <t>Bergvik skog väst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30813-2025</t>
        </is>
      </c>
      <c r="B1302" s="1" t="n">
        <v>45831</v>
      </c>
      <c r="C1302" s="1" t="n">
        <v>45849</v>
      </c>
      <c r="D1302" t="inlineStr">
        <is>
          <t>DALARNAS LÄN</t>
        </is>
      </c>
      <c r="E1302" t="inlineStr">
        <is>
          <t>LUDVIKA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30562-2025</t>
        </is>
      </c>
      <c r="B1303" s="1" t="n">
        <v>45831</v>
      </c>
      <c r="C1303" s="1" t="n">
        <v>45849</v>
      </c>
      <c r="D1303" t="inlineStr">
        <is>
          <t>DALARNAS LÄN</t>
        </is>
      </c>
      <c r="E1303" t="inlineStr">
        <is>
          <t>LUDVIKA</t>
        </is>
      </c>
      <c r="F1303" t="inlineStr">
        <is>
          <t>Bergvik skog väst AB</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31144-2025</t>
        </is>
      </c>
      <c r="B1304" s="1" t="n">
        <v>45832</v>
      </c>
      <c r="C1304" s="1" t="n">
        <v>45849</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31001-2025</t>
        </is>
      </c>
      <c r="B1305" s="1" t="n">
        <v>45832</v>
      </c>
      <c r="C1305" s="1" t="n">
        <v>45849</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31050-2025</t>
        </is>
      </c>
      <c r="B1306" s="1" t="n">
        <v>45832</v>
      </c>
      <c r="C1306" s="1" t="n">
        <v>45849</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31010-2025</t>
        </is>
      </c>
      <c r="B1307" s="1" t="n">
        <v>45832</v>
      </c>
      <c r="C1307" s="1" t="n">
        <v>45849</v>
      </c>
      <c r="D1307" t="inlineStr">
        <is>
          <t>DALARNAS LÄN</t>
        </is>
      </c>
      <c r="E1307" t="inlineStr">
        <is>
          <t>LUDVIKA</t>
        </is>
      </c>
      <c r="F1307" t="inlineStr">
        <is>
          <t>Bergvik skog väst AB</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31057-2025</t>
        </is>
      </c>
      <c r="B1308" s="1" t="n">
        <v>45832</v>
      </c>
      <c r="C1308" s="1" t="n">
        <v>45849</v>
      </c>
      <c r="D1308" t="inlineStr">
        <is>
          <t>DALARNAS LÄN</t>
        </is>
      </c>
      <c r="E1308" t="inlineStr">
        <is>
          <t>LUDVIKA</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31039-2025</t>
        </is>
      </c>
      <c r="B1309" s="1" t="n">
        <v>45832</v>
      </c>
      <c r="C1309" s="1" t="n">
        <v>45849</v>
      </c>
      <c r="D1309" t="inlineStr">
        <is>
          <t>DALARNAS LÄN</t>
        </is>
      </c>
      <c r="E1309" t="inlineStr">
        <is>
          <t>LUDVIKA</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31380-2025</t>
        </is>
      </c>
      <c r="B1310" s="1" t="n">
        <v>45833</v>
      </c>
      <c r="C1310" s="1" t="n">
        <v>45849</v>
      </c>
      <c r="D1310" t="inlineStr">
        <is>
          <t>DALARNAS LÄN</t>
        </is>
      </c>
      <c r="E1310" t="inlineStr">
        <is>
          <t>LUDVIKA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31818-2025</t>
        </is>
      </c>
      <c r="B1311" s="1" t="n">
        <v>45834</v>
      </c>
      <c r="C1311" s="1" t="n">
        <v>45849</v>
      </c>
      <c r="D1311" t="inlineStr">
        <is>
          <t>DALARNAS LÄN</t>
        </is>
      </c>
      <c r="E1311" t="inlineStr">
        <is>
          <t>LUDVIKA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32085-2025</t>
        </is>
      </c>
      <c r="B1312" s="1" t="n">
        <v>45835</v>
      </c>
      <c r="C1312" s="1" t="n">
        <v>45849</v>
      </c>
      <c r="D1312" t="inlineStr">
        <is>
          <t>DALARNAS LÄN</t>
        </is>
      </c>
      <c r="E1312" t="inlineStr">
        <is>
          <t>LUDVIKA</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45849</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32224-2025</t>
        </is>
      </c>
      <c r="B1314" s="1" t="n">
        <v>45835</v>
      </c>
      <c r="C1314" s="1" t="n">
        <v>45849</v>
      </c>
      <c r="D1314" t="inlineStr">
        <is>
          <t>DALARNAS LÄN</t>
        </is>
      </c>
      <c r="E1314" t="inlineStr">
        <is>
          <t>LUDVIKA</t>
        </is>
      </c>
      <c r="F1314" t="inlineStr">
        <is>
          <t>Bergvik skog väst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32424-2025</t>
        </is>
      </c>
      <c r="B1315" s="1" t="n">
        <v>45838</v>
      </c>
      <c r="C1315" s="1" t="n">
        <v>45849</v>
      </c>
      <c r="D1315" t="inlineStr">
        <is>
          <t>DALARNAS LÄN</t>
        </is>
      </c>
      <c r="E1315" t="inlineStr">
        <is>
          <t>LUDVIKA</t>
        </is>
      </c>
      <c r="F1315" t="inlineStr">
        <is>
          <t>Bergvik skog väst AB</t>
        </is>
      </c>
      <c r="G1315" t="n">
        <v>10.9</v>
      </c>
      <c r="H1315" t="n">
        <v>0</v>
      </c>
      <c r="I1315" t="n">
        <v>0</v>
      </c>
      <c r="J1315" t="n">
        <v>0</v>
      </c>
      <c r="K1315" t="n">
        <v>0</v>
      </c>
      <c r="L1315" t="n">
        <v>0</v>
      </c>
      <c r="M1315" t="n">
        <v>0</v>
      </c>
      <c r="N1315" t="n">
        <v>0</v>
      </c>
      <c r="O1315" t="n">
        <v>0</v>
      </c>
      <c r="P1315" t="n">
        <v>0</v>
      </c>
      <c r="Q1315" t="n">
        <v>0</v>
      </c>
      <c r="R1315" s="2" t="inlineStr"/>
    </row>
    <row r="1316" ht="15" customHeight="1">
      <c r="A1316" t="inlineStr">
        <is>
          <t>A 33063-2025</t>
        </is>
      </c>
      <c r="B1316" s="1" t="n">
        <v>45840</v>
      </c>
      <c r="C1316" s="1" t="n">
        <v>45849</v>
      </c>
      <c r="D1316" t="inlineStr">
        <is>
          <t>DALARNAS LÄN</t>
        </is>
      </c>
      <c r="E1316" t="inlineStr">
        <is>
          <t>LUDVIKA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33244-2025</t>
        </is>
      </c>
      <c r="B1317" s="1" t="n">
        <v>45840</v>
      </c>
      <c r="C1317" s="1" t="n">
        <v>45849</v>
      </c>
      <c r="D1317" t="inlineStr">
        <is>
          <t>DALARNAS LÄN</t>
        </is>
      </c>
      <c r="E1317" t="inlineStr">
        <is>
          <t>LUDVIKA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33249-2025</t>
        </is>
      </c>
      <c r="B1318" s="1" t="n">
        <v>45840</v>
      </c>
      <c r="C1318" s="1" t="n">
        <v>45849</v>
      </c>
      <c r="D1318" t="inlineStr">
        <is>
          <t>DALARNAS LÄN</t>
        </is>
      </c>
      <c r="E1318" t="inlineStr">
        <is>
          <t>LUDVIKA</t>
        </is>
      </c>
      <c r="F1318" t="inlineStr">
        <is>
          <t>Bergvik skog väst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33122-2025</t>
        </is>
      </c>
      <c r="B1319" s="1" t="n">
        <v>45840</v>
      </c>
      <c r="C1319" s="1" t="n">
        <v>45849</v>
      </c>
      <c r="D1319" t="inlineStr">
        <is>
          <t>DALARNAS LÄN</t>
        </is>
      </c>
      <c r="E1319" t="inlineStr">
        <is>
          <t>LUDVIKA</t>
        </is>
      </c>
      <c r="F1319" t="inlineStr">
        <is>
          <t>Bergvik skog väst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33127-2025</t>
        </is>
      </c>
      <c r="B1320" s="1" t="n">
        <v>45840</v>
      </c>
      <c r="C1320" s="1" t="n">
        <v>45849</v>
      </c>
      <c r="D1320" t="inlineStr">
        <is>
          <t>DALARNAS LÄN</t>
        </is>
      </c>
      <c r="E1320" t="inlineStr">
        <is>
          <t>LUDVIKA</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33001-2025</t>
        </is>
      </c>
      <c r="B1321" s="1" t="n">
        <v>45840</v>
      </c>
      <c r="C1321" s="1" t="n">
        <v>45849</v>
      </c>
      <c r="D1321" t="inlineStr">
        <is>
          <t>DALARNAS LÄN</t>
        </is>
      </c>
      <c r="E1321" t="inlineStr">
        <is>
          <t>LUDVIKA</t>
        </is>
      </c>
      <c r="F1321" t="inlineStr">
        <is>
          <t>Bergvik skog väst AB</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33908-2025</t>
        </is>
      </c>
      <c r="B1322" s="1" t="n">
        <v>45842</v>
      </c>
      <c r="C1322" s="1" t="n">
        <v>45849</v>
      </c>
      <c r="D1322" t="inlineStr">
        <is>
          <t>DALARNAS LÄN</t>
        </is>
      </c>
      <c r="E1322" t="inlineStr">
        <is>
          <t>LUDVIKA</t>
        </is>
      </c>
      <c r="F1322" t="inlineStr">
        <is>
          <t>Bergvik skog väst AB</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33885-2025</t>
        </is>
      </c>
      <c r="B1323" s="1" t="n">
        <v>45842</v>
      </c>
      <c r="C1323" s="1" t="n">
        <v>45849</v>
      </c>
      <c r="D1323" t="inlineStr">
        <is>
          <t>DALARNAS LÄN</t>
        </is>
      </c>
      <c r="E1323" t="inlineStr">
        <is>
          <t>LUDVIKA</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34070-2025</t>
        </is>
      </c>
      <c r="B1324" s="1" t="n">
        <v>45845</v>
      </c>
      <c r="C1324" s="1" t="n">
        <v>45849</v>
      </c>
      <c r="D1324" t="inlineStr">
        <is>
          <t>DALARNAS LÄN</t>
        </is>
      </c>
      <c r="E1324" t="inlineStr">
        <is>
          <t>LUDVIKA</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34067-2025</t>
        </is>
      </c>
      <c r="B1325" s="1" t="n">
        <v>45845</v>
      </c>
      <c r="C1325" s="1" t="n">
        <v>45849</v>
      </c>
      <c r="D1325" t="inlineStr">
        <is>
          <t>DALARNAS LÄN</t>
        </is>
      </c>
      <c r="E1325" t="inlineStr">
        <is>
          <t>LUDVIKA</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34403-2025</t>
        </is>
      </c>
      <c r="B1326" s="1" t="n">
        <v>45846</v>
      </c>
      <c r="C1326" s="1" t="n">
        <v>45849</v>
      </c>
      <c r="D1326" t="inlineStr">
        <is>
          <t>DALARNAS LÄN</t>
        </is>
      </c>
      <c r="E1326" t="inlineStr">
        <is>
          <t>LUDVIKA</t>
        </is>
      </c>
      <c r="F1326" t="inlineStr">
        <is>
          <t>Bergvik skog väst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34492-2025</t>
        </is>
      </c>
      <c r="B1327" s="1" t="n">
        <v>45847</v>
      </c>
      <c r="C1327" s="1" t="n">
        <v>45849</v>
      </c>
      <c r="D1327" t="inlineStr">
        <is>
          <t>DALARNAS LÄN</t>
        </is>
      </c>
      <c r="E1327" t="inlineStr">
        <is>
          <t>LUDVIKA</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c r="A1328" t="inlineStr">
        <is>
          <t>A 34522-2025</t>
        </is>
      </c>
      <c r="B1328" s="1" t="n">
        <v>45847</v>
      </c>
      <c r="C1328" s="1" t="n">
        <v>45849</v>
      </c>
      <c r="D1328" t="inlineStr">
        <is>
          <t>DALARNAS LÄN</t>
        </is>
      </c>
      <c r="E1328" t="inlineStr">
        <is>
          <t>LUDVIKA</t>
        </is>
      </c>
      <c r="F1328" t="inlineStr">
        <is>
          <t>Bergvik skog väst AB</t>
        </is>
      </c>
      <c r="G1328" t="n">
        <v>1</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2025-07-11T19:46:27Z</dcterms:created>
  <dcterms:modified xmlns:dcterms="http://purl.org/dc/terms/" xmlns:xsi="http://www.w3.org/2001/XMLSchema-instance" xsi:type="dcterms:W3CDTF">2025-07-11T19:46:28Z</dcterms:modified>
</cp:coreProperties>
</file>
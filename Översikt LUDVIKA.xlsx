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45852</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45852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45852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45852</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45852</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45852</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45852</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45852</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45852</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34485-2025</t>
        </is>
      </c>
      <c r="B11" s="1" t="n">
        <v>45847</v>
      </c>
      <c r="C11" s="1" t="n">
        <v>45852</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HYPERLINK("https://klasma.github.io/Logging_202085/artfynd/A 34485-2025 artfynd.xlsx", "A 34485-2025")</f>
        <v/>
      </c>
      <c r="T11">
        <f>HYPERLINK("https://klasma.github.io/Logging_202085/kartor/A 34485-2025 karta.png", "A 34485-2025")</f>
        <v/>
      </c>
      <c r="V11">
        <f>HYPERLINK("https://klasma.github.io/Logging_202085/klagomål/A 34485-2025 FSC-klagomål.docx", "A 34485-2025")</f>
        <v/>
      </c>
      <c r="W11">
        <f>HYPERLINK("https://klasma.github.io/Logging_202085/klagomålsmail/A 34485-2025 FSC-klagomål mail.docx", "A 34485-2025")</f>
        <v/>
      </c>
      <c r="X11">
        <f>HYPERLINK("https://klasma.github.io/Logging_202085/tillsyn/A 34485-2025 tillsynsbegäran.docx", "A 34485-2025")</f>
        <v/>
      </c>
      <c r="Y11">
        <f>HYPERLINK("https://klasma.github.io/Logging_202085/tillsynsmail/A 34485-2025 tillsynsbegäran mail.docx", "A 34485-2025")</f>
        <v/>
      </c>
    </row>
    <row r="12" ht="15" customHeight="1">
      <c r="A12" t="inlineStr">
        <is>
          <t>A 3635-2021</t>
        </is>
      </c>
      <c r="B12" s="1" t="n">
        <v>44221</v>
      </c>
      <c r="C12" s="1" t="n">
        <v>45852</v>
      </c>
      <c r="D12" t="inlineStr">
        <is>
          <t>DALARNAS LÄN</t>
        </is>
      </c>
      <c r="E12" t="inlineStr">
        <is>
          <t>LUDVIKA</t>
        </is>
      </c>
      <c r="F12" t="inlineStr">
        <is>
          <t>Kommuner</t>
        </is>
      </c>
      <c r="G12" t="n">
        <v>16.4</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3635-2021 artfynd.xlsx", "A 3635-2021")</f>
        <v/>
      </c>
      <c r="T12">
        <f>HYPERLINK("https://klasma.github.io/Logging_2085/kartor/A 3635-2021 karta.png", "A 3635-2021")</f>
        <v/>
      </c>
      <c r="V12">
        <f>HYPERLINK("https://klasma.github.io/Logging_2085/klagomål/A 3635-2021 FSC-klagomål.docx", "A 3635-2021")</f>
        <v/>
      </c>
      <c r="W12">
        <f>HYPERLINK("https://klasma.github.io/Logging_2085/klagomålsmail/A 3635-2021 FSC-klagomål mail.docx", "A 3635-2021")</f>
        <v/>
      </c>
      <c r="X12">
        <f>HYPERLINK("https://klasma.github.io/Logging_2085/tillsyn/A 3635-2021 tillsynsbegäran.docx", "A 3635-2021")</f>
        <v/>
      </c>
      <c r="Y12">
        <f>HYPERLINK("https://klasma.github.io/Logging_2085/tillsynsmail/A 3635-2021 tillsynsbegäran mail.docx", "A 3635-2021")</f>
        <v/>
      </c>
    </row>
    <row r="13" ht="15" customHeight="1">
      <c r="A13" t="inlineStr">
        <is>
          <t>A 30447-2022</t>
        </is>
      </c>
      <c r="B13" s="1" t="n">
        <v>44761</v>
      </c>
      <c r="C13" s="1" t="n">
        <v>45852</v>
      </c>
      <c r="D13" t="inlineStr">
        <is>
          <t>DALARNAS LÄN</t>
        </is>
      </c>
      <c r="E13" t="inlineStr">
        <is>
          <t>LUDVIKA</t>
        </is>
      </c>
      <c r="F13" t="inlineStr">
        <is>
          <t>Bergvik skog väst AB</t>
        </is>
      </c>
      <c r="G13" t="n">
        <v>15.3</v>
      </c>
      <c r="H13" t="n">
        <v>3</v>
      </c>
      <c r="I13" t="n">
        <v>3</v>
      </c>
      <c r="J13" t="n">
        <v>0</v>
      </c>
      <c r="K13" t="n">
        <v>2</v>
      </c>
      <c r="L13" t="n">
        <v>0</v>
      </c>
      <c r="M13" t="n">
        <v>0</v>
      </c>
      <c r="N13" t="n">
        <v>0</v>
      </c>
      <c r="O13" t="n">
        <v>2</v>
      </c>
      <c r="P13" t="n">
        <v>2</v>
      </c>
      <c r="Q13" t="n">
        <v>8</v>
      </c>
      <c r="R13" s="2" t="inlineStr">
        <is>
          <t>Aspgelélav
Läderlappslav
Bårdlav
Gytterlav
Skinnlav
Fläcknycklar
Mattlummer
Revlummer</t>
        </is>
      </c>
      <c r="S13">
        <f>HYPERLINK("https://klasma.github.io/Logging_2085/artfynd/A 30447-2022 artfynd.xlsx", "A 30447-2022")</f>
        <v/>
      </c>
      <c r="T13">
        <f>HYPERLINK("https://klasma.github.io/Logging_2085/kartor/A 30447-2022 karta.png", "A 30447-2022")</f>
        <v/>
      </c>
      <c r="V13">
        <f>HYPERLINK("https://klasma.github.io/Logging_2085/klagomål/A 30447-2022 FSC-klagomål.docx", "A 30447-2022")</f>
        <v/>
      </c>
      <c r="W13">
        <f>HYPERLINK("https://klasma.github.io/Logging_2085/klagomålsmail/A 30447-2022 FSC-klagomål mail.docx", "A 30447-2022")</f>
        <v/>
      </c>
      <c r="X13">
        <f>HYPERLINK("https://klasma.github.io/Logging_2085/tillsyn/A 30447-2022 tillsynsbegäran.docx", "A 30447-2022")</f>
        <v/>
      </c>
      <c r="Y13">
        <f>HYPERLINK("https://klasma.github.io/Logging_2085/tillsynsmail/A 30447-2022 tillsynsbegäran mail.docx", "A 30447-2022")</f>
        <v/>
      </c>
    </row>
    <row r="14" ht="15" customHeight="1">
      <c r="A14" t="inlineStr">
        <is>
          <t>A 1912-2023</t>
        </is>
      </c>
      <c r="B14" s="1" t="n">
        <v>44937</v>
      </c>
      <c r="C14" s="1" t="n">
        <v>45852</v>
      </c>
      <c r="D14" t="inlineStr">
        <is>
          <t>DALARNAS LÄN</t>
        </is>
      </c>
      <c r="E14" t="inlineStr">
        <is>
          <t>LUDVIKA</t>
        </is>
      </c>
      <c r="F14" t="inlineStr">
        <is>
          <t>Kommuner</t>
        </is>
      </c>
      <c r="G14" t="n">
        <v>8.800000000000001</v>
      </c>
      <c r="H14" t="n">
        <v>0</v>
      </c>
      <c r="I14" t="n">
        <v>5</v>
      </c>
      <c r="J14" t="n">
        <v>2</v>
      </c>
      <c r="K14" t="n">
        <v>1</v>
      </c>
      <c r="L14" t="n">
        <v>0</v>
      </c>
      <c r="M14" t="n">
        <v>0</v>
      </c>
      <c r="N14" t="n">
        <v>0</v>
      </c>
      <c r="O14" t="n">
        <v>3</v>
      </c>
      <c r="P14" t="n">
        <v>1</v>
      </c>
      <c r="Q14" t="n">
        <v>8</v>
      </c>
      <c r="R14" s="2" t="inlineStr">
        <is>
          <t>Rynkskinn
Kådvaxskinn
Mjölig dropplav
Fjällig taggsvamp s.str.
Kamjordstjärna
Mörk husmossa
Svavelriska
Vedticka</t>
        </is>
      </c>
      <c r="S14">
        <f>HYPERLINK("https://klasma.github.io/Logging_2085/artfynd/A 1912-2023 artfynd.xlsx", "A 1912-2023")</f>
        <v/>
      </c>
      <c r="T14">
        <f>HYPERLINK("https://klasma.github.io/Logging_2085/kartor/A 1912-2023 karta.png", "A 1912-2023")</f>
        <v/>
      </c>
      <c r="V14">
        <f>HYPERLINK("https://klasma.github.io/Logging_2085/klagomål/A 1912-2023 FSC-klagomål.docx", "A 1912-2023")</f>
        <v/>
      </c>
      <c r="W14">
        <f>HYPERLINK("https://klasma.github.io/Logging_2085/klagomålsmail/A 1912-2023 FSC-klagomål mail.docx", "A 1912-2023")</f>
        <v/>
      </c>
      <c r="X14">
        <f>HYPERLINK("https://klasma.github.io/Logging_2085/tillsyn/A 1912-2023 tillsynsbegäran.docx", "A 1912-2023")</f>
        <v/>
      </c>
      <c r="Y14">
        <f>HYPERLINK("https://klasma.github.io/Logging_2085/tillsynsmail/A 1912-2023 tillsynsbegäran mail.docx", "A 1912-2023")</f>
        <v/>
      </c>
    </row>
    <row r="15" ht="15" customHeight="1">
      <c r="A15" t="inlineStr">
        <is>
          <t>A 31749-2024</t>
        </is>
      </c>
      <c r="B15" s="1" t="n">
        <v>45509</v>
      </c>
      <c r="C15" s="1" t="n">
        <v>45852</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54639-2020</t>
        </is>
      </c>
      <c r="B16" s="1" t="n">
        <v>44127</v>
      </c>
      <c r="C16" s="1" t="n">
        <v>45852</v>
      </c>
      <c r="D16" t="inlineStr">
        <is>
          <t>DALARNAS LÄN</t>
        </is>
      </c>
      <c r="E16" t="inlineStr">
        <is>
          <t>LUDVIKA</t>
        </is>
      </c>
      <c r="F16" t="inlineStr">
        <is>
          <t>Övriga Aktiebolag</t>
        </is>
      </c>
      <c r="G16" t="n">
        <v>25.9</v>
      </c>
      <c r="H16" t="n">
        <v>3</v>
      </c>
      <c r="I16" t="n">
        <v>2</v>
      </c>
      <c r="J16" t="n">
        <v>2</v>
      </c>
      <c r="K16" t="n">
        <v>1</v>
      </c>
      <c r="L16" t="n">
        <v>0</v>
      </c>
      <c r="M16" t="n">
        <v>0</v>
      </c>
      <c r="N16" t="n">
        <v>0</v>
      </c>
      <c r="O16" t="n">
        <v>3</v>
      </c>
      <c r="P16" t="n">
        <v>1</v>
      </c>
      <c r="Q16" t="n">
        <v>5</v>
      </c>
      <c r="R16" s="2" t="inlineStr">
        <is>
          <t>Knärot
Tretåig hackspett
Ullticka
Bronshjon
Korallrot</t>
        </is>
      </c>
      <c r="S16">
        <f>HYPERLINK("https://klasma.github.io/Logging_2085/artfynd/A 54639-2020 artfynd.xlsx", "A 54639-2020")</f>
        <v/>
      </c>
      <c r="T16">
        <f>HYPERLINK("https://klasma.github.io/Logging_2085/kartor/A 54639-2020 karta.png", "A 54639-2020")</f>
        <v/>
      </c>
      <c r="U16">
        <f>HYPERLINK("https://klasma.github.io/Logging_2085/knärot/A 54639-2020 karta knärot.png", "A 54639-2020")</f>
        <v/>
      </c>
      <c r="V16">
        <f>HYPERLINK("https://klasma.github.io/Logging_2085/klagomål/A 54639-2020 FSC-klagomål.docx", "A 54639-2020")</f>
        <v/>
      </c>
      <c r="W16">
        <f>HYPERLINK("https://klasma.github.io/Logging_2085/klagomålsmail/A 54639-2020 FSC-klagomål mail.docx", "A 54639-2020")</f>
        <v/>
      </c>
      <c r="X16">
        <f>HYPERLINK("https://klasma.github.io/Logging_2085/tillsyn/A 54639-2020 tillsynsbegäran.docx", "A 54639-2020")</f>
        <v/>
      </c>
      <c r="Y16">
        <f>HYPERLINK("https://klasma.github.io/Logging_2085/tillsynsmail/A 54639-2020 tillsynsbegäran mail.docx", "A 54639-2020")</f>
        <v/>
      </c>
      <c r="Z16">
        <f>HYPERLINK("https://klasma.github.io/Logging_2085/fåglar/A 54639-2020 prioriterade fågelarter.docx", "A 54639-2020")</f>
        <v/>
      </c>
    </row>
    <row r="17" ht="15" customHeight="1">
      <c r="A17" t="inlineStr">
        <is>
          <t>A 24739-2023</t>
        </is>
      </c>
      <c r="B17" s="1" t="n">
        <v>45084</v>
      </c>
      <c r="C17" s="1" t="n">
        <v>45852</v>
      </c>
      <c r="D17" t="inlineStr">
        <is>
          <t>DALARNAS LÄN</t>
        </is>
      </c>
      <c r="E17" t="inlineStr">
        <is>
          <t>LUDVIKA</t>
        </is>
      </c>
      <c r="F17" t="inlineStr">
        <is>
          <t>Bergvik skog väst AB</t>
        </is>
      </c>
      <c r="G17" t="n">
        <v>17.8</v>
      </c>
      <c r="H17" t="n">
        <v>0</v>
      </c>
      <c r="I17" t="n">
        <v>2</v>
      </c>
      <c r="J17" t="n">
        <v>3</v>
      </c>
      <c r="K17" t="n">
        <v>0</v>
      </c>
      <c r="L17" t="n">
        <v>0</v>
      </c>
      <c r="M17" t="n">
        <v>0</v>
      </c>
      <c r="N17" t="n">
        <v>0</v>
      </c>
      <c r="O17" t="n">
        <v>3</v>
      </c>
      <c r="P17" t="n">
        <v>0</v>
      </c>
      <c r="Q17" t="n">
        <v>5</v>
      </c>
      <c r="R17" s="2" t="inlineStr">
        <is>
          <t>Aspskinn
Barrviolspindling
Veckticka
Dvärgtufs
Luddlav</t>
        </is>
      </c>
      <c r="S17">
        <f>HYPERLINK("https://klasma.github.io/Logging_2085/artfynd/A 24739-2023 artfynd.xlsx", "A 24739-2023")</f>
        <v/>
      </c>
      <c r="T17">
        <f>HYPERLINK("https://klasma.github.io/Logging_2085/kartor/A 24739-2023 karta.png", "A 24739-2023")</f>
        <v/>
      </c>
      <c r="V17">
        <f>HYPERLINK("https://klasma.github.io/Logging_2085/klagomål/A 24739-2023 FSC-klagomål.docx", "A 24739-2023")</f>
        <v/>
      </c>
      <c r="W17">
        <f>HYPERLINK("https://klasma.github.io/Logging_2085/klagomålsmail/A 24739-2023 FSC-klagomål mail.docx", "A 24739-2023")</f>
        <v/>
      </c>
      <c r="X17">
        <f>HYPERLINK("https://klasma.github.io/Logging_2085/tillsyn/A 24739-2023 tillsynsbegäran.docx", "A 24739-2023")</f>
        <v/>
      </c>
      <c r="Y17">
        <f>HYPERLINK("https://klasma.github.io/Logging_2085/tillsynsmail/A 24739-2023 tillsynsbegäran mail.docx", "A 24739-2023")</f>
        <v/>
      </c>
    </row>
    <row r="18" ht="15" customHeight="1">
      <c r="A18" t="inlineStr">
        <is>
          <t>A 38618-2023</t>
        </is>
      </c>
      <c r="B18" s="1" t="n">
        <v>45162</v>
      </c>
      <c r="C18" s="1" t="n">
        <v>45852</v>
      </c>
      <c r="D18" t="inlineStr">
        <is>
          <t>DALARNAS LÄN</t>
        </is>
      </c>
      <c r="E18" t="inlineStr">
        <is>
          <t>LUDVIKA</t>
        </is>
      </c>
      <c r="F18" t="inlineStr">
        <is>
          <t>Bergvik skog väst AB</t>
        </is>
      </c>
      <c r="G18" t="n">
        <v>5.9</v>
      </c>
      <c r="H18" t="n">
        <v>0</v>
      </c>
      <c r="I18" t="n">
        <v>4</v>
      </c>
      <c r="J18" t="n">
        <v>1</v>
      </c>
      <c r="K18" t="n">
        <v>0</v>
      </c>
      <c r="L18" t="n">
        <v>0</v>
      </c>
      <c r="M18" t="n">
        <v>0</v>
      </c>
      <c r="N18" t="n">
        <v>0</v>
      </c>
      <c r="O18" t="n">
        <v>1</v>
      </c>
      <c r="P18" t="n">
        <v>0</v>
      </c>
      <c r="Q18" t="n">
        <v>5</v>
      </c>
      <c r="R18" s="2" t="inlineStr">
        <is>
          <t>Garnlav
Bårdlav
Korallblylav
Stuplav
Vedticka</t>
        </is>
      </c>
      <c r="S18">
        <f>HYPERLINK("https://klasma.github.io/Logging_2085/artfynd/A 38618-2023 artfynd.xlsx", "A 38618-2023")</f>
        <v/>
      </c>
      <c r="T18">
        <f>HYPERLINK("https://klasma.github.io/Logging_2085/kartor/A 38618-2023 karta.png", "A 38618-2023")</f>
        <v/>
      </c>
      <c r="V18">
        <f>HYPERLINK("https://klasma.github.io/Logging_2085/klagomål/A 38618-2023 FSC-klagomål.docx", "A 38618-2023")</f>
        <v/>
      </c>
      <c r="W18">
        <f>HYPERLINK("https://klasma.github.io/Logging_2085/klagomålsmail/A 38618-2023 FSC-klagomål mail.docx", "A 38618-2023")</f>
        <v/>
      </c>
      <c r="X18">
        <f>HYPERLINK("https://klasma.github.io/Logging_2085/tillsyn/A 38618-2023 tillsynsbegäran.docx", "A 38618-2023")</f>
        <v/>
      </c>
      <c r="Y18">
        <f>HYPERLINK("https://klasma.github.io/Logging_2085/tillsynsmail/A 38618-2023 tillsynsbegäran mail.docx", "A 38618-2023")</f>
        <v/>
      </c>
    </row>
    <row r="19" ht="15" customHeight="1">
      <c r="A19" t="inlineStr">
        <is>
          <t>A 55855-2023</t>
        </is>
      </c>
      <c r="B19" s="1" t="n">
        <v>45239</v>
      </c>
      <c r="C19" s="1" t="n">
        <v>45852</v>
      </c>
      <c r="D19" t="inlineStr">
        <is>
          <t>DALARNAS LÄN</t>
        </is>
      </c>
      <c r="E19" t="inlineStr">
        <is>
          <t>LUDVIKA</t>
        </is>
      </c>
      <c r="F19" t="inlineStr">
        <is>
          <t>Bergvik skog väst AB</t>
        </is>
      </c>
      <c r="G19" t="n">
        <v>11.8</v>
      </c>
      <c r="H19" t="n">
        <v>4</v>
      </c>
      <c r="I19" t="n">
        <v>0</v>
      </c>
      <c r="J19" t="n">
        <v>4</v>
      </c>
      <c r="K19" t="n">
        <v>0</v>
      </c>
      <c r="L19" t="n">
        <v>0</v>
      </c>
      <c r="M19" t="n">
        <v>0</v>
      </c>
      <c r="N19" t="n">
        <v>0</v>
      </c>
      <c r="O19" t="n">
        <v>4</v>
      </c>
      <c r="P19" t="n">
        <v>0</v>
      </c>
      <c r="Q19" t="n">
        <v>5</v>
      </c>
      <c r="R19" s="2" t="inlineStr">
        <is>
          <t>Brunklöver
Duvhök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53053-2024</t>
        </is>
      </c>
      <c r="B20" s="1" t="n">
        <v>45611</v>
      </c>
      <c r="C20" s="1" t="n">
        <v>45852</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34913-2025</t>
        </is>
      </c>
      <c r="B21" s="1" t="n">
        <v>45849</v>
      </c>
      <c r="C21" s="1" t="n">
        <v>45852</v>
      </c>
      <c r="D21" t="inlineStr">
        <is>
          <t>DALARNAS LÄN</t>
        </is>
      </c>
      <c r="E21" t="inlineStr">
        <is>
          <t>LUDVIKA</t>
        </is>
      </c>
      <c r="G21" t="n">
        <v>6</v>
      </c>
      <c r="H21" t="n">
        <v>2</v>
      </c>
      <c r="I21" t="n">
        <v>1</v>
      </c>
      <c r="J21" t="n">
        <v>2</v>
      </c>
      <c r="K21" t="n">
        <v>0</v>
      </c>
      <c r="L21" t="n">
        <v>0</v>
      </c>
      <c r="M21" t="n">
        <v>0</v>
      </c>
      <c r="N21" t="n">
        <v>0</v>
      </c>
      <c r="O21" t="n">
        <v>2</v>
      </c>
      <c r="P21" t="n">
        <v>0</v>
      </c>
      <c r="Q21" t="n">
        <v>5</v>
      </c>
      <c r="R21" s="2" t="inlineStr">
        <is>
          <t>Barrpraktbagge
Lunglav
Barkticka
Huggorm
Blåsippa</t>
        </is>
      </c>
      <c r="S21">
        <f>HYPERLINK("https://klasma.github.io/Logging_202085/artfynd/A 34913-2025 artfynd.xlsx", "A 34913-2025")</f>
        <v/>
      </c>
      <c r="T21">
        <f>HYPERLINK("https://klasma.github.io/Logging_202085/kartor/A 34913-2025 karta.png", "A 34913-2025")</f>
        <v/>
      </c>
      <c r="V21">
        <f>HYPERLINK("https://klasma.github.io/Logging_202085/klagomål/A 34913-2025 FSC-klagomål.docx", "A 34913-2025")</f>
        <v/>
      </c>
      <c r="W21">
        <f>HYPERLINK("https://klasma.github.io/Logging_202085/klagomålsmail/A 34913-2025 FSC-klagomål mail.docx", "A 34913-2025")</f>
        <v/>
      </c>
      <c r="X21">
        <f>HYPERLINK("https://klasma.github.io/Logging_202085/tillsyn/A 34913-2025 tillsynsbegäran.docx", "A 34913-2025")</f>
        <v/>
      </c>
      <c r="Y21">
        <f>HYPERLINK("https://klasma.github.io/Logging_202085/tillsynsmail/A 34913-2025 tillsynsbegäran mail.docx", "A 34913-2025")</f>
        <v/>
      </c>
    </row>
    <row r="22" ht="15" customHeight="1">
      <c r="A22" t="inlineStr">
        <is>
          <t>A 29285-2020</t>
        </is>
      </c>
      <c r="B22" s="1" t="n">
        <v>44000</v>
      </c>
      <c r="C22" s="1" t="n">
        <v>45852</v>
      </c>
      <c r="D22" t="inlineStr">
        <is>
          <t>DALARNAS LÄN</t>
        </is>
      </c>
      <c r="E22" t="inlineStr">
        <is>
          <t>LUDVIKA</t>
        </is>
      </c>
      <c r="G22" t="n">
        <v>2.5</v>
      </c>
      <c r="H22" t="n">
        <v>1</v>
      </c>
      <c r="I22" t="n">
        <v>1</v>
      </c>
      <c r="J22" t="n">
        <v>2</v>
      </c>
      <c r="K22" t="n">
        <v>0</v>
      </c>
      <c r="L22" t="n">
        <v>0</v>
      </c>
      <c r="M22" t="n">
        <v>0</v>
      </c>
      <c r="N22" t="n">
        <v>0</v>
      </c>
      <c r="O22" t="n">
        <v>2</v>
      </c>
      <c r="P22" t="n">
        <v>0</v>
      </c>
      <c r="Q22" t="n">
        <v>4</v>
      </c>
      <c r="R22" s="2" t="inlineStr">
        <is>
          <t>Violettgrå tagellav
Vitgrynig nållav
Nästlav
Fläcknycklar</t>
        </is>
      </c>
      <c r="S22">
        <f>HYPERLINK("https://klasma.github.io/Logging_2085/artfynd/A 29285-2020 artfynd.xlsx", "A 29285-2020")</f>
        <v/>
      </c>
      <c r="T22">
        <f>HYPERLINK("https://klasma.github.io/Logging_2085/kartor/A 29285-2020 karta.png", "A 29285-2020")</f>
        <v/>
      </c>
      <c r="V22">
        <f>HYPERLINK("https://klasma.github.io/Logging_2085/klagomål/A 29285-2020 FSC-klagomål.docx", "A 29285-2020")</f>
        <v/>
      </c>
      <c r="W22">
        <f>HYPERLINK("https://klasma.github.io/Logging_2085/klagomålsmail/A 29285-2020 FSC-klagomål mail.docx", "A 29285-2020")</f>
        <v/>
      </c>
      <c r="X22">
        <f>HYPERLINK("https://klasma.github.io/Logging_2085/tillsyn/A 29285-2020 tillsynsbegäran.docx", "A 29285-2020")</f>
        <v/>
      </c>
      <c r="Y22">
        <f>HYPERLINK("https://klasma.github.io/Logging_2085/tillsynsmail/A 29285-2020 tillsynsbegäran mail.docx", "A 29285-2020")</f>
        <v/>
      </c>
    </row>
    <row r="23" ht="15" customHeight="1">
      <c r="A23" t="inlineStr">
        <is>
          <t>A 44535-2021</t>
        </is>
      </c>
      <c r="B23" s="1" t="n">
        <v>44435</v>
      </c>
      <c r="C23" s="1" t="n">
        <v>45852</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14637-2023</t>
        </is>
      </c>
      <c r="B24" s="1" t="n">
        <v>45013</v>
      </c>
      <c r="C24" s="1" t="n">
        <v>45852</v>
      </c>
      <c r="D24" t="inlineStr">
        <is>
          <t>DALARNAS LÄN</t>
        </is>
      </c>
      <c r="E24" t="inlineStr">
        <is>
          <t>LUDVIKA</t>
        </is>
      </c>
      <c r="F24" t="inlineStr">
        <is>
          <t>Övriga Aktiebolag</t>
        </is>
      </c>
      <c r="G24" t="n">
        <v>6.1</v>
      </c>
      <c r="H24" t="n">
        <v>1</v>
      </c>
      <c r="I24" t="n">
        <v>3</v>
      </c>
      <c r="J24" t="n">
        <v>0</v>
      </c>
      <c r="K24" t="n">
        <v>0</v>
      </c>
      <c r="L24" t="n">
        <v>0</v>
      </c>
      <c r="M24" t="n">
        <v>0</v>
      </c>
      <c r="N24" t="n">
        <v>0</v>
      </c>
      <c r="O24" t="n">
        <v>0</v>
      </c>
      <c r="P24" t="n">
        <v>0</v>
      </c>
      <c r="Q24" t="n">
        <v>4</v>
      </c>
      <c r="R24" s="2" t="inlineStr">
        <is>
          <t>Korallblylav
Skinnlav
Vårärt
Blåsippa</t>
        </is>
      </c>
      <c r="S24">
        <f>HYPERLINK("https://klasma.github.io/Logging_2085/artfynd/A 14637-2023 artfynd.xlsx", "A 14637-2023")</f>
        <v/>
      </c>
      <c r="T24">
        <f>HYPERLINK("https://klasma.github.io/Logging_2085/kartor/A 14637-2023 karta.png", "A 14637-2023")</f>
        <v/>
      </c>
      <c r="V24">
        <f>HYPERLINK("https://klasma.github.io/Logging_2085/klagomål/A 14637-2023 FSC-klagomål.docx", "A 14637-2023")</f>
        <v/>
      </c>
      <c r="W24">
        <f>HYPERLINK("https://klasma.github.io/Logging_2085/klagomålsmail/A 14637-2023 FSC-klagomål mail.docx", "A 14637-2023")</f>
        <v/>
      </c>
      <c r="X24">
        <f>HYPERLINK("https://klasma.github.io/Logging_2085/tillsyn/A 14637-2023 tillsynsbegäran.docx", "A 14637-2023")</f>
        <v/>
      </c>
      <c r="Y24">
        <f>HYPERLINK("https://klasma.github.io/Logging_2085/tillsynsmail/A 14637-2023 tillsynsbegäran mail.docx", "A 14637-2023")</f>
        <v/>
      </c>
    </row>
    <row r="25" ht="15" customHeight="1">
      <c r="A25" t="inlineStr">
        <is>
          <t>A 46101-2023</t>
        </is>
      </c>
      <c r="B25" s="1" t="n">
        <v>45196</v>
      </c>
      <c r="C25" s="1" t="n">
        <v>45852</v>
      </c>
      <c r="D25" t="inlineStr">
        <is>
          <t>DALARNAS LÄN</t>
        </is>
      </c>
      <c r="E25" t="inlineStr">
        <is>
          <t>LUDVIKA</t>
        </is>
      </c>
      <c r="F25" t="inlineStr">
        <is>
          <t>Övriga Aktiebolag</t>
        </is>
      </c>
      <c r="G25" t="n">
        <v>21.1</v>
      </c>
      <c r="H25" t="n">
        <v>1</v>
      </c>
      <c r="I25" t="n">
        <v>2</v>
      </c>
      <c r="J25" t="n">
        <v>2</v>
      </c>
      <c r="K25" t="n">
        <v>0</v>
      </c>
      <c r="L25" t="n">
        <v>0</v>
      </c>
      <c r="M25" t="n">
        <v>0</v>
      </c>
      <c r="N25" t="n">
        <v>0</v>
      </c>
      <c r="O25" t="n">
        <v>2</v>
      </c>
      <c r="P25" t="n">
        <v>0</v>
      </c>
      <c r="Q25" t="n">
        <v>4</v>
      </c>
      <c r="R25" s="2" t="inlineStr">
        <is>
          <t>Garnlav
Spillkråka
Skinnlav
Strimspindling</t>
        </is>
      </c>
      <c r="S25">
        <f>HYPERLINK("https://klasma.github.io/Logging_2085/artfynd/A 46101-2023 artfynd.xlsx", "A 46101-2023")</f>
        <v/>
      </c>
      <c r="T25">
        <f>HYPERLINK("https://klasma.github.io/Logging_2085/kartor/A 46101-2023 karta.png", "A 46101-2023")</f>
        <v/>
      </c>
      <c r="V25">
        <f>HYPERLINK("https://klasma.github.io/Logging_2085/klagomål/A 46101-2023 FSC-klagomål.docx", "A 46101-2023")</f>
        <v/>
      </c>
      <c r="W25">
        <f>HYPERLINK("https://klasma.github.io/Logging_2085/klagomålsmail/A 46101-2023 FSC-klagomål mail.docx", "A 46101-2023")</f>
        <v/>
      </c>
      <c r="X25">
        <f>HYPERLINK("https://klasma.github.io/Logging_2085/tillsyn/A 46101-2023 tillsynsbegäran.docx", "A 46101-2023")</f>
        <v/>
      </c>
      <c r="Y25">
        <f>HYPERLINK("https://klasma.github.io/Logging_2085/tillsynsmail/A 46101-2023 tillsynsbegäran mail.docx", "A 46101-2023")</f>
        <v/>
      </c>
      <c r="Z25">
        <f>HYPERLINK("https://klasma.github.io/Logging_2085/fåglar/A 46101-2023 prioriterade fågelarter.docx", "A 46101-2023")</f>
        <v/>
      </c>
    </row>
    <row r="26" ht="15" customHeight="1">
      <c r="A26" t="inlineStr">
        <is>
          <t>A 49783-2024</t>
        </is>
      </c>
      <c r="B26" s="1" t="n">
        <v>45597</v>
      </c>
      <c r="C26" s="1" t="n">
        <v>45852</v>
      </c>
      <c r="D26" t="inlineStr">
        <is>
          <t>DALARNAS LÄN</t>
        </is>
      </c>
      <c r="E26" t="inlineStr">
        <is>
          <t>LUDVIKA</t>
        </is>
      </c>
      <c r="F26" t="inlineStr">
        <is>
          <t>Bergvik skog väst AB</t>
        </is>
      </c>
      <c r="G26" t="n">
        <v>20.9</v>
      </c>
      <c r="H26" t="n">
        <v>0</v>
      </c>
      <c r="I26" t="n">
        <v>0</v>
      </c>
      <c r="J26" t="n">
        <v>3</v>
      </c>
      <c r="K26" t="n">
        <v>0</v>
      </c>
      <c r="L26" t="n">
        <v>0</v>
      </c>
      <c r="M26" t="n">
        <v>0</v>
      </c>
      <c r="N26" t="n">
        <v>0</v>
      </c>
      <c r="O26" t="n">
        <v>4</v>
      </c>
      <c r="P26" t="n">
        <v>0</v>
      </c>
      <c r="Q26" t="n">
        <v>4</v>
      </c>
      <c r="R26" s="2" t="inlineStr">
        <is>
          <t>Gammelgransskål
Garnlav
Stjärntagging
Mörk kådsvartspik</t>
        </is>
      </c>
      <c r="S26">
        <f>HYPERLINK("https://klasma.github.io/Logging_2085/artfynd/A 49783-2024 artfynd.xlsx", "A 49783-2024")</f>
        <v/>
      </c>
      <c r="T26">
        <f>HYPERLINK("https://klasma.github.io/Logging_2085/kartor/A 49783-2024 karta.png", "A 49783-2024")</f>
        <v/>
      </c>
      <c r="V26">
        <f>HYPERLINK("https://klasma.github.io/Logging_2085/klagomål/A 49783-2024 FSC-klagomål.docx", "A 49783-2024")</f>
        <v/>
      </c>
      <c r="W26">
        <f>HYPERLINK("https://klasma.github.io/Logging_2085/klagomålsmail/A 49783-2024 FSC-klagomål mail.docx", "A 49783-2024")</f>
        <v/>
      </c>
      <c r="X26">
        <f>HYPERLINK("https://klasma.github.io/Logging_2085/tillsyn/A 49783-2024 tillsynsbegäran.docx", "A 49783-2024")</f>
        <v/>
      </c>
      <c r="Y26">
        <f>HYPERLINK("https://klasma.github.io/Logging_2085/tillsynsmail/A 49783-2024 tillsynsbegäran mail.docx", "A 49783-2024")</f>
        <v/>
      </c>
    </row>
    <row r="27" ht="15" customHeight="1">
      <c r="A27" t="inlineStr">
        <is>
          <t>A 51045-2024</t>
        </is>
      </c>
      <c r="B27" s="1" t="n">
        <v>45603</v>
      </c>
      <c r="C27" s="1" t="n">
        <v>45852</v>
      </c>
      <c r="D27" t="inlineStr">
        <is>
          <t>DALARNAS LÄN</t>
        </is>
      </c>
      <c r="E27" t="inlineStr">
        <is>
          <t>LUDVIKA</t>
        </is>
      </c>
      <c r="F27" t="inlineStr">
        <is>
          <t>Bergvik skog väst AB</t>
        </is>
      </c>
      <c r="G27" t="n">
        <v>2.4</v>
      </c>
      <c r="H27" t="n">
        <v>0</v>
      </c>
      <c r="I27" t="n">
        <v>3</v>
      </c>
      <c r="J27" t="n">
        <v>1</v>
      </c>
      <c r="K27" t="n">
        <v>0</v>
      </c>
      <c r="L27" t="n">
        <v>0</v>
      </c>
      <c r="M27" t="n">
        <v>0</v>
      </c>
      <c r="N27" t="n">
        <v>0</v>
      </c>
      <c r="O27" t="n">
        <v>1</v>
      </c>
      <c r="P27" t="n">
        <v>0</v>
      </c>
      <c r="Q27" t="n">
        <v>4</v>
      </c>
      <c r="R27" s="2" t="inlineStr">
        <is>
          <t>Garnlav
Björksplintborre
Bronshjon
Dropptaggsvamp</t>
        </is>
      </c>
      <c r="S27">
        <f>HYPERLINK("https://klasma.github.io/Logging_2085/artfynd/A 51045-2024 artfynd.xlsx", "A 51045-2024")</f>
        <v/>
      </c>
      <c r="T27">
        <f>HYPERLINK("https://klasma.github.io/Logging_2085/kartor/A 51045-2024 karta.png", "A 51045-2024")</f>
        <v/>
      </c>
      <c r="V27">
        <f>HYPERLINK("https://klasma.github.io/Logging_2085/klagomål/A 51045-2024 FSC-klagomål.docx", "A 51045-2024")</f>
        <v/>
      </c>
      <c r="W27">
        <f>HYPERLINK("https://klasma.github.io/Logging_2085/klagomålsmail/A 51045-2024 FSC-klagomål mail.docx", "A 51045-2024")</f>
        <v/>
      </c>
      <c r="X27">
        <f>HYPERLINK("https://klasma.github.io/Logging_2085/tillsyn/A 51045-2024 tillsynsbegäran.docx", "A 51045-2024")</f>
        <v/>
      </c>
      <c r="Y27">
        <f>HYPERLINK("https://klasma.github.io/Logging_2085/tillsynsmail/A 51045-2024 tillsynsbegäran mail.docx", "A 51045-2024")</f>
        <v/>
      </c>
    </row>
    <row r="28" ht="15" customHeight="1">
      <c r="A28" t="inlineStr">
        <is>
          <t>A 51928-2024</t>
        </is>
      </c>
      <c r="B28" s="1" t="n">
        <v>45607</v>
      </c>
      <c r="C28" s="1" t="n">
        <v>45852</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23099-2025</t>
        </is>
      </c>
      <c r="B29" s="1" t="n">
        <v>45791</v>
      </c>
      <c r="C29" s="1" t="n">
        <v>45852</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HYPERLINK("https://klasma.github.io/Logging_202085/artfynd/A 23099-2025 artfynd.xlsx", "A 23099-2025")</f>
        <v/>
      </c>
      <c r="T29">
        <f>HYPERLINK("https://klasma.github.io/Logging_202085/kartor/A 23099-2025 karta.png", "A 23099-2025")</f>
        <v/>
      </c>
      <c r="V29">
        <f>HYPERLINK("https://klasma.github.io/Logging_202085/klagomål/A 23099-2025 FSC-klagomål.docx", "A 23099-2025")</f>
        <v/>
      </c>
      <c r="W29">
        <f>HYPERLINK("https://klasma.github.io/Logging_202085/klagomålsmail/A 23099-2025 FSC-klagomål mail.docx", "A 23099-2025")</f>
        <v/>
      </c>
      <c r="X29">
        <f>HYPERLINK("https://klasma.github.io/Logging_202085/tillsyn/A 23099-2025 tillsynsbegäran.docx", "A 23099-2025")</f>
        <v/>
      </c>
      <c r="Y29">
        <f>HYPERLINK("https://klasma.github.io/Logging_202085/tillsynsmail/A 23099-2025 tillsynsbegäran mail.docx", "A 23099-2025")</f>
        <v/>
      </c>
    </row>
    <row r="30" ht="15" customHeight="1">
      <c r="A30" t="inlineStr">
        <is>
          <t>A 25287-2025</t>
        </is>
      </c>
      <c r="B30" s="1" t="n">
        <v>45800</v>
      </c>
      <c r="C30" s="1" t="n">
        <v>45852</v>
      </c>
      <c r="D30" t="inlineStr">
        <is>
          <t>DALARNAS LÄN</t>
        </is>
      </c>
      <c r="E30" t="inlineStr">
        <is>
          <t>LUDVIKA</t>
        </is>
      </c>
      <c r="F30" t="inlineStr">
        <is>
          <t>Bergvik skog väst AB</t>
        </is>
      </c>
      <c r="G30" t="n">
        <v>8.6</v>
      </c>
      <c r="H30" t="n">
        <v>0</v>
      </c>
      <c r="I30" t="n">
        <v>1</v>
      </c>
      <c r="J30" t="n">
        <v>3</v>
      </c>
      <c r="K30" t="n">
        <v>0</v>
      </c>
      <c r="L30" t="n">
        <v>0</v>
      </c>
      <c r="M30" t="n">
        <v>0</v>
      </c>
      <c r="N30" t="n">
        <v>0</v>
      </c>
      <c r="O30" t="n">
        <v>3</v>
      </c>
      <c r="P30" t="n">
        <v>0</v>
      </c>
      <c r="Q30" t="n">
        <v>4</v>
      </c>
      <c r="R30" s="2" t="inlineStr">
        <is>
          <t>Garnlav
Kolflarnlav
Vedskivlav
Nästlav</t>
        </is>
      </c>
      <c r="S30">
        <f>HYPERLINK("https://klasma.github.io/Logging_202085/artfynd/A 25287-2025 artfynd.xlsx", "A 25287-2025")</f>
        <v/>
      </c>
      <c r="T30">
        <f>HYPERLINK("https://klasma.github.io/Logging_202085/kartor/A 25287-2025 karta.png", "A 25287-2025")</f>
        <v/>
      </c>
      <c r="V30">
        <f>HYPERLINK("https://klasma.github.io/Logging_202085/klagomål/A 25287-2025 FSC-klagomål.docx", "A 25287-2025")</f>
        <v/>
      </c>
      <c r="W30">
        <f>HYPERLINK("https://klasma.github.io/Logging_202085/klagomålsmail/A 25287-2025 FSC-klagomål mail.docx", "A 25287-2025")</f>
        <v/>
      </c>
      <c r="X30">
        <f>HYPERLINK("https://klasma.github.io/Logging_202085/tillsyn/A 25287-2025 tillsynsbegäran.docx", "A 25287-2025")</f>
        <v/>
      </c>
      <c r="Y30">
        <f>HYPERLINK("https://klasma.github.io/Logging_202085/tillsynsmail/A 25287-2025 tillsynsbegäran mail.docx", "A 25287-2025")</f>
        <v/>
      </c>
    </row>
    <row r="31" ht="15" customHeight="1">
      <c r="A31" t="inlineStr">
        <is>
          <t>A 69138-2020</t>
        </is>
      </c>
      <c r="B31" s="1" t="n">
        <v>44188</v>
      </c>
      <c r="C31" s="1" t="n">
        <v>45852</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56632-2021</t>
        </is>
      </c>
      <c r="B32" s="1" t="n">
        <v>44480</v>
      </c>
      <c r="C32" s="1" t="n">
        <v>45852</v>
      </c>
      <c r="D32" t="inlineStr">
        <is>
          <t>DALARNAS LÄN</t>
        </is>
      </c>
      <c r="E32" t="inlineStr">
        <is>
          <t>LUDVIKA</t>
        </is>
      </c>
      <c r="G32" t="n">
        <v>17.1</v>
      </c>
      <c r="H32" t="n">
        <v>1</v>
      </c>
      <c r="I32" t="n">
        <v>2</v>
      </c>
      <c r="J32" t="n">
        <v>1</v>
      </c>
      <c r="K32" t="n">
        <v>0</v>
      </c>
      <c r="L32" t="n">
        <v>0</v>
      </c>
      <c r="M32" t="n">
        <v>0</v>
      </c>
      <c r="N32" t="n">
        <v>0</v>
      </c>
      <c r="O32" t="n">
        <v>1</v>
      </c>
      <c r="P32" t="n">
        <v>0</v>
      </c>
      <c r="Q32" t="n">
        <v>3</v>
      </c>
      <c r="R32" s="2" t="inlineStr">
        <is>
          <t>Nordfladdermus
Gräsull
Skinnlav</t>
        </is>
      </c>
      <c r="S32">
        <f>HYPERLINK("https://klasma.github.io/Logging_2085/artfynd/A 56632-2021 artfynd.xlsx", "A 56632-2021")</f>
        <v/>
      </c>
      <c r="T32">
        <f>HYPERLINK("https://klasma.github.io/Logging_2085/kartor/A 56632-2021 karta.png", "A 56632-2021")</f>
        <v/>
      </c>
      <c r="V32">
        <f>HYPERLINK("https://klasma.github.io/Logging_2085/klagomål/A 56632-2021 FSC-klagomål.docx", "A 56632-2021")</f>
        <v/>
      </c>
      <c r="W32">
        <f>HYPERLINK("https://klasma.github.io/Logging_2085/klagomålsmail/A 56632-2021 FSC-klagomål mail.docx", "A 56632-2021")</f>
        <v/>
      </c>
      <c r="X32">
        <f>HYPERLINK("https://klasma.github.io/Logging_2085/tillsyn/A 56632-2021 tillsynsbegäran.docx", "A 56632-2021")</f>
        <v/>
      </c>
      <c r="Y32">
        <f>HYPERLINK("https://klasma.github.io/Logging_2085/tillsynsmail/A 56632-2021 tillsynsbegäran mail.docx", "A 56632-2021")</f>
        <v/>
      </c>
    </row>
    <row r="33" ht="15" customHeight="1">
      <c r="A33" t="inlineStr">
        <is>
          <t>A 45268-2022</t>
        </is>
      </c>
      <c r="B33" s="1" t="n">
        <v>44844</v>
      </c>
      <c r="C33" s="1" t="n">
        <v>45852</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28119-2023</t>
        </is>
      </c>
      <c r="B34" s="1" t="n">
        <v>45099</v>
      </c>
      <c r="C34" s="1" t="n">
        <v>45852</v>
      </c>
      <c r="D34" t="inlineStr">
        <is>
          <t>DALARNAS LÄN</t>
        </is>
      </c>
      <c r="E34" t="inlineStr">
        <is>
          <t>LUDVIKA</t>
        </is>
      </c>
      <c r="F34" t="inlineStr">
        <is>
          <t>Bergvik skog väst AB</t>
        </is>
      </c>
      <c r="G34" t="n">
        <v>7.8</v>
      </c>
      <c r="H34" t="n">
        <v>1</v>
      </c>
      <c r="I34" t="n">
        <v>1</v>
      </c>
      <c r="J34" t="n">
        <v>1</v>
      </c>
      <c r="K34" t="n">
        <v>0</v>
      </c>
      <c r="L34" t="n">
        <v>0</v>
      </c>
      <c r="M34" t="n">
        <v>0</v>
      </c>
      <c r="N34" t="n">
        <v>0</v>
      </c>
      <c r="O34" t="n">
        <v>1</v>
      </c>
      <c r="P34" t="n">
        <v>0</v>
      </c>
      <c r="Q34" t="n">
        <v>3</v>
      </c>
      <c r="R34" s="2" t="inlineStr">
        <is>
          <t>Skorpgelélav
Bårdlav
Nattviol</t>
        </is>
      </c>
      <c r="S34">
        <f>HYPERLINK("https://klasma.github.io/Logging_2085/artfynd/A 28119-2023 artfynd.xlsx", "A 28119-2023")</f>
        <v/>
      </c>
      <c r="T34">
        <f>HYPERLINK("https://klasma.github.io/Logging_2085/kartor/A 28119-2023 karta.png", "A 28119-2023")</f>
        <v/>
      </c>
      <c r="V34">
        <f>HYPERLINK("https://klasma.github.io/Logging_2085/klagomål/A 28119-2023 FSC-klagomål.docx", "A 28119-2023")</f>
        <v/>
      </c>
      <c r="W34">
        <f>HYPERLINK("https://klasma.github.io/Logging_2085/klagomålsmail/A 28119-2023 FSC-klagomål mail.docx", "A 28119-2023")</f>
        <v/>
      </c>
      <c r="X34">
        <f>HYPERLINK("https://klasma.github.io/Logging_2085/tillsyn/A 28119-2023 tillsynsbegäran.docx", "A 28119-2023")</f>
        <v/>
      </c>
      <c r="Y34">
        <f>HYPERLINK("https://klasma.github.io/Logging_2085/tillsynsmail/A 28119-2023 tillsynsbegäran mail.docx", "A 28119-2023")</f>
        <v/>
      </c>
    </row>
    <row r="35" ht="15" customHeight="1">
      <c r="A35" t="inlineStr">
        <is>
          <t>A 32643-2023</t>
        </is>
      </c>
      <c r="B35" s="1" t="n">
        <v>45121</v>
      </c>
      <c r="C35" s="1" t="n">
        <v>45852</v>
      </c>
      <c r="D35" t="inlineStr">
        <is>
          <t>DALARNAS LÄN</t>
        </is>
      </c>
      <c r="E35" t="inlineStr">
        <is>
          <t>LUDVIKA</t>
        </is>
      </c>
      <c r="F35" t="inlineStr">
        <is>
          <t>Bergvik skog väst AB</t>
        </is>
      </c>
      <c r="G35" t="n">
        <v>12.2</v>
      </c>
      <c r="H35" t="n">
        <v>1</v>
      </c>
      <c r="I35" t="n">
        <v>2</v>
      </c>
      <c r="J35" t="n">
        <v>1</v>
      </c>
      <c r="K35" t="n">
        <v>0</v>
      </c>
      <c r="L35" t="n">
        <v>0</v>
      </c>
      <c r="M35" t="n">
        <v>0</v>
      </c>
      <c r="N35" t="n">
        <v>0</v>
      </c>
      <c r="O35" t="n">
        <v>1</v>
      </c>
      <c r="P35" t="n">
        <v>0</v>
      </c>
      <c r="Q35" t="n">
        <v>3</v>
      </c>
      <c r="R35" s="2" t="inlineStr">
        <is>
          <t>Spillkråka
Aprikosfingersvamp
Honungsvaxing</t>
        </is>
      </c>
      <c r="S35">
        <f>HYPERLINK("https://klasma.github.io/Logging_2085/artfynd/A 32643-2023 artfynd.xlsx", "A 32643-2023")</f>
        <v/>
      </c>
      <c r="T35">
        <f>HYPERLINK("https://klasma.github.io/Logging_2085/kartor/A 32643-2023 karta.png", "A 32643-2023")</f>
        <v/>
      </c>
      <c r="V35">
        <f>HYPERLINK("https://klasma.github.io/Logging_2085/klagomål/A 32643-2023 FSC-klagomål.docx", "A 32643-2023")</f>
        <v/>
      </c>
      <c r="W35">
        <f>HYPERLINK("https://klasma.github.io/Logging_2085/klagomålsmail/A 32643-2023 FSC-klagomål mail.docx", "A 32643-2023")</f>
        <v/>
      </c>
      <c r="X35">
        <f>HYPERLINK("https://klasma.github.io/Logging_2085/tillsyn/A 32643-2023 tillsynsbegäran.docx", "A 32643-2023")</f>
        <v/>
      </c>
      <c r="Y35">
        <f>HYPERLINK("https://klasma.github.io/Logging_2085/tillsynsmail/A 32643-2023 tillsynsbegäran mail.docx", "A 32643-2023")</f>
        <v/>
      </c>
      <c r="Z35">
        <f>HYPERLINK("https://klasma.github.io/Logging_2085/fåglar/A 32643-2023 prioriterade fågelarter.docx", "A 32643-2023")</f>
        <v/>
      </c>
    </row>
    <row r="36" ht="15" customHeight="1">
      <c r="A36" t="inlineStr">
        <is>
          <t>A 47706-2024</t>
        </is>
      </c>
      <c r="B36" s="1" t="n">
        <v>45588</v>
      </c>
      <c r="C36" s="1" t="n">
        <v>45852</v>
      </c>
      <c r="D36" t="inlineStr">
        <is>
          <t>DALARNAS LÄN</t>
        </is>
      </c>
      <c r="E36" t="inlineStr">
        <is>
          <t>LUDVIKA</t>
        </is>
      </c>
      <c r="F36" t="inlineStr">
        <is>
          <t>Bergvik skog väst AB</t>
        </is>
      </c>
      <c r="G36" t="n">
        <v>2.6</v>
      </c>
      <c r="H36" t="n">
        <v>1</v>
      </c>
      <c r="I36" t="n">
        <v>2</v>
      </c>
      <c r="J36" t="n">
        <v>0</v>
      </c>
      <c r="K36" t="n">
        <v>0</v>
      </c>
      <c r="L36" t="n">
        <v>0</v>
      </c>
      <c r="M36" t="n">
        <v>0</v>
      </c>
      <c r="N36" t="n">
        <v>0</v>
      </c>
      <c r="O36" t="n">
        <v>0</v>
      </c>
      <c r="P36" t="n">
        <v>0</v>
      </c>
      <c r="Q36" t="n">
        <v>3</v>
      </c>
      <c r="R36" s="2" t="inlineStr">
        <is>
          <t>Bårdlav
Korallblylav
Blåsippa</t>
        </is>
      </c>
      <c r="S36">
        <f>HYPERLINK("https://klasma.github.io/Logging_2085/artfynd/A 47706-2024 artfynd.xlsx", "A 47706-2024")</f>
        <v/>
      </c>
      <c r="T36">
        <f>HYPERLINK("https://klasma.github.io/Logging_2085/kartor/A 47706-2024 karta.png", "A 47706-2024")</f>
        <v/>
      </c>
      <c r="V36">
        <f>HYPERLINK("https://klasma.github.io/Logging_2085/klagomål/A 47706-2024 FSC-klagomål.docx", "A 47706-2024")</f>
        <v/>
      </c>
      <c r="W36">
        <f>HYPERLINK("https://klasma.github.io/Logging_2085/klagomålsmail/A 47706-2024 FSC-klagomål mail.docx", "A 47706-2024")</f>
        <v/>
      </c>
      <c r="X36">
        <f>HYPERLINK("https://klasma.github.io/Logging_2085/tillsyn/A 47706-2024 tillsynsbegäran.docx", "A 47706-2024")</f>
        <v/>
      </c>
      <c r="Y36">
        <f>HYPERLINK("https://klasma.github.io/Logging_2085/tillsynsmail/A 47706-2024 tillsynsbegäran mail.docx", "A 47706-2024")</f>
        <v/>
      </c>
    </row>
    <row r="37" ht="15" customHeight="1">
      <c r="A37" t="inlineStr">
        <is>
          <t>A 23094-2025</t>
        </is>
      </c>
      <c r="B37" s="1" t="n">
        <v>45791</v>
      </c>
      <c r="C37" s="1" t="n">
        <v>45852</v>
      </c>
      <c r="D37" t="inlineStr">
        <is>
          <t>DALARNAS LÄN</t>
        </is>
      </c>
      <c r="E37" t="inlineStr">
        <is>
          <t>LUDVIKA</t>
        </is>
      </c>
      <c r="F37" t="inlineStr">
        <is>
          <t>Bergvik skog väst AB</t>
        </is>
      </c>
      <c r="G37" t="n">
        <v>2.9</v>
      </c>
      <c r="H37" t="n">
        <v>2</v>
      </c>
      <c r="I37" t="n">
        <v>1</v>
      </c>
      <c r="J37" t="n">
        <v>0</v>
      </c>
      <c r="K37" t="n">
        <v>0</v>
      </c>
      <c r="L37" t="n">
        <v>0</v>
      </c>
      <c r="M37" t="n">
        <v>0</v>
      </c>
      <c r="N37" t="n">
        <v>0</v>
      </c>
      <c r="O37" t="n">
        <v>0</v>
      </c>
      <c r="P37" t="n">
        <v>0</v>
      </c>
      <c r="Q37" t="n">
        <v>3</v>
      </c>
      <c r="R37" s="2" t="inlineStr">
        <is>
          <t>Trädporella
Vanlig padda
Blåsippa</t>
        </is>
      </c>
      <c r="S37">
        <f>HYPERLINK("https://klasma.github.io/Logging_202085/artfynd/A 23094-2025 artfynd.xlsx", "A 23094-2025")</f>
        <v/>
      </c>
      <c r="T37">
        <f>HYPERLINK("https://klasma.github.io/Logging_202085/kartor/A 23094-2025 karta.png", "A 23094-2025")</f>
        <v/>
      </c>
      <c r="V37">
        <f>HYPERLINK("https://klasma.github.io/Logging_202085/klagomål/A 23094-2025 FSC-klagomål.docx", "A 23094-2025")</f>
        <v/>
      </c>
      <c r="W37">
        <f>HYPERLINK("https://klasma.github.io/Logging_202085/klagomålsmail/A 23094-2025 FSC-klagomål mail.docx", "A 23094-2025")</f>
        <v/>
      </c>
      <c r="X37">
        <f>HYPERLINK("https://klasma.github.io/Logging_202085/tillsyn/A 23094-2025 tillsynsbegäran.docx", "A 23094-2025")</f>
        <v/>
      </c>
      <c r="Y37">
        <f>HYPERLINK("https://klasma.github.io/Logging_202085/tillsynsmail/A 23094-2025 tillsynsbegäran mail.docx", "A 23094-2025")</f>
        <v/>
      </c>
    </row>
    <row r="38" ht="15" customHeight="1">
      <c r="A38" t="inlineStr">
        <is>
          <t>A 7704-2020</t>
        </is>
      </c>
      <c r="B38" s="1" t="n">
        <v>43872</v>
      </c>
      <c r="C38" s="1" t="n">
        <v>45852</v>
      </c>
      <c r="D38" t="inlineStr">
        <is>
          <t>DALARNAS LÄN</t>
        </is>
      </c>
      <c r="E38" t="inlineStr">
        <is>
          <t>LUDVIKA</t>
        </is>
      </c>
      <c r="G38" t="n">
        <v>3.4</v>
      </c>
      <c r="H38" t="n">
        <v>1</v>
      </c>
      <c r="I38" t="n">
        <v>1</v>
      </c>
      <c r="J38" t="n">
        <v>0</v>
      </c>
      <c r="K38" t="n">
        <v>0</v>
      </c>
      <c r="L38" t="n">
        <v>0</v>
      </c>
      <c r="M38" t="n">
        <v>0</v>
      </c>
      <c r="N38" t="n">
        <v>0</v>
      </c>
      <c r="O38" t="n">
        <v>0</v>
      </c>
      <c r="P38" t="n">
        <v>0</v>
      </c>
      <c r="Q38" t="n">
        <v>2</v>
      </c>
      <c r="R38" s="2" t="inlineStr">
        <is>
          <t>Svavelriska
Blåsippa</t>
        </is>
      </c>
      <c r="S38">
        <f>HYPERLINK("https://klasma.github.io/Logging_2085/artfynd/A 7704-2020 artfynd.xlsx", "A 7704-2020")</f>
        <v/>
      </c>
      <c r="T38">
        <f>HYPERLINK("https://klasma.github.io/Logging_2085/kartor/A 7704-2020 karta.png", "A 7704-2020")</f>
        <v/>
      </c>
      <c r="V38">
        <f>HYPERLINK("https://klasma.github.io/Logging_2085/klagomål/A 7704-2020 FSC-klagomål.docx", "A 7704-2020")</f>
        <v/>
      </c>
      <c r="W38">
        <f>HYPERLINK("https://klasma.github.io/Logging_2085/klagomålsmail/A 7704-2020 FSC-klagomål mail.docx", "A 7704-2020")</f>
        <v/>
      </c>
      <c r="X38">
        <f>HYPERLINK("https://klasma.github.io/Logging_2085/tillsyn/A 7704-2020 tillsynsbegäran.docx", "A 7704-2020")</f>
        <v/>
      </c>
      <c r="Y38">
        <f>HYPERLINK("https://klasma.github.io/Logging_2085/tillsynsmail/A 7704-2020 tillsynsbegäran mail.docx", "A 7704-2020")</f>
        <v/>
      </c>
    </row>
    <row r="39" ht="15" customHeight="1">
      <c r="A39" t="inlineStr">
        <is>
          <t>A 7849-2020</t>
        </is>
      </c>
      <c r="B39" s="1" t="n">
        <v>43873</v>
      </c>
      <c r="C39" s="1" t="n">
        <v>45852</v>
      </c>
      <c r="D39" t="inlineStr">
        <is>
          <t>DALARNAS LÄN</t>
        </is>
      </c>
      <c r="E39" t="inlineStr">
        <is>
          <t>LUDVIKA</t>
        </is>
      </c>
      <c r="F39" t="inlineStr">
        <is>
          <t>Naturvårdsverket</t>
        </is>
      </c>
      <c r="G39" t="n">
        <v>1.3</v>
      </c>
      <c r="H39" t="n">
        <v>1</v>
      </c>
      <c r="I39" t="n">
        <v>1</v>
      </c>
      <c r="J39" t="n">
        <v>0</v>
      </c>
      <c r="K39" t="n">
        <v>1</v>
      </c>
      <c r="L39" t="n">
        <v>0</v>
      </c>
      <c r="M39" t="n">
        <v>0</v>
      </c>
      <c r="N39" t="n">
        <v>0</v>
      </c>
      <c r="O39" t="n">
        <v>1</v>
      </c>
      <c r="P39" t="n">
        <v>1</v>
      </c>
      <c r="Q39" t="n">
        <v>2</v>
      </c>
      <c r="R39" s="2" t="inlineStr">
        <is>
          <t>Knärot
Myskbock</t>
        </is>
      </c>
      <c r="S39">
        <f>HYPERLINK("https://klasma.github.io/Logging_2085/artfynd/A 7849-2020 artfynd.xlsx", "A 7849-2020")</f>
        <v/>
      </c>
      <c r="T39">
        <f>HYPERLINK("https://klasma.github.io/Logging_2085/kartor/A 7849-2020 karta.png", "A 7849-2020")</f>
        <v/>
      </c>
      <c r="U39">
        <f>HYPERLINK("https://klasma.github.io/Logging_2085/knärot/A 7849-2020 karta knärot.png", "A 7849-2020")</f>
        <v/>
      </c>
      <c r="V39">
        <f>HYPERLINK("https://klasma.github.io/Logging_2085/klagomål/A 7849-2020 FSC-klagomål.docx", "A 7849-2020")</f>
        <v/>
      </c>
      <c r="W39">
        <f>HYPERLINK("https://klasma.github.io/Logging_2085/klagomålsmail/A 7849-2020 FSC-klagomål mail.docx", "A 7849-2020")</f>
        <v/>
      </c>
      <c r="X39">
        <f>HYPERLINK("https://klasma.github.io/Logging_2085/tillsyn/A 7849-2020 tillsynsbegäran.docx", "A 7849-2020")</f>
        <v/>
      </c>
      <c r="Y39">
        <f>HYPERLINK("https://klasma.github.io/Logging_2085/tillsynsmail/A 7849-2020 tillsynsbegäran mail.docx", "A 7849-2020")</f>
        <v/>
      </c>
    </row>
    <row r="40" ht="15" customHeight="1">
      <c r="A40" t="inlineStr">
        <is>
          <t>A 21885-2021</t>
        </is>
      </c>
      <c r="B40" s="1" t="n">
        <v>44322</v>
      </c>
      <c r="C40" s="1" t="n">
        <v>45852</v>
      </c>
      <c r="D40" t="inlineStr">
        <is>
          <t>DALARNAS LÄN</t>
        </is>
      </c>
      <c r="E40" t="inlineStr">
        <is>
          <t>LUDVIKA</t>
        </is>
      </c>
      <c r="F40" t="inlineStr">
        <is>
          <t>Bergvik skog väst AB</t>
        </is>
      </c>
      <c r="G40" t="n">
        <v>4.8</v>
      </c>
      <c r="H40" t="n">
        <v>0</v>
      </c>
      <c r="I40" t="n">
        <v>0</v>
      </c>
      <c r="J40" t="n">
        <v>1</v>
      </c>
      <c r="K40" t="n">
        <v>1</v>
      </c>
      <c r="L40" t="n">
        <v>0</v>
      </c>
      <c r="M40" t="n">
        <v>0</v>
      </c>
      <c r="N40" t="n">
        <v>0</v>
      </c>
      <c r="O40" t="n">
        <v>2</v>
      </c>
      <c r="P40" t="n">
        <v>1</v>
      </c>
      <c r="Q40" t="n">
        <v>2</v>
      </c>
      <c r="R40" s="2" t="inlineStr">
        <is>
          <t>Allékantlav
Veckticka</t>
        </is>
      </c>
      <c r="S40">
        <f>HYPERLINK("https://klasma.github.io/Logging_2085/artfynd/A 21885-2021 artfynd.xlsx", "A 21885-2021")</f>
        <v/>
      </c>
      <c r="T40">
        <f>HYPERLINK("https://klasma.github.io/Logging_2085/kartor/A 21885-2021 karta.png", "A 21885-2021")</f>
        <v/>
      </c>
      <c r="V40">
        <f>HYPERLINK("https://klasma.github.io/Logging_2085/klagomål/A 21885-2021 FSC-klagomål.docx", "A 21885-2021")</f>
        <v/>
      </c>
      <c r="W40">
        <f>HYPERLINK("https://klasma.github.io/Logging_2085/klagomålsmail/A 21885-2021 FSC-klagomål mail.docx", "A 21885-2021")</f>
        <v/>
      </c>
      <c r="X40">
        <f>HYPERLINK("https://klasma.github.io/Logging_2085/tillsyn/A 21885-2021 tillsynsbegäran.docx", "A 21885-2021")</f>
        <v/>
      </c>
      <c r="Y40">
        <f>HYPERLINK("https://klasma.github.io/Logging_2085/tillsynsmail/A 21885-2021 tillsynsbegäran mail.docx", "A 21885-2021")</f>
        <v/>
      </c>
    </row>
    <row r="41" ht="15" customHeight="1">
      <c r="A41" t="inlineStr">
        <is>
          <t>A 12093-2023</t>
        </is>
      </c>
      <c r="B41" s="1" t="n">
        <v>44998</v>
      </c>
      <c r="C41" s="1" t="n">
        <v>45852</v>
      </c>
      <c r="D41" t="inlineStr">
        <is>
          <t>DALARNAS LÄN</t>
        </is>
      </c>
      <c r="E41" t="inlineStr">
        <is>
          <t>LUDVIKA</t>
        </is>
      </c>
      <c r="G41" t="n">
        <v>3.2</v>
      </c>
      <c r="H41" t="n">
        <v>0</v>
      </c>
      <c r="I41" t="n">
        <v>0</v>
      </c>
      <c r="J41" t="n">
        <v>1</v>
      </c>
      <c r="K41" t="n">
        <v>1</v>
      </c>
      <c r="L41" t="n">
        <v>0</v>
      </c>
      <c r="M41" t="n">
        <v>0</v>
      </c>
      <c r="N41" t="n">
        <v>0</v>
      </c>
      <c r="O41" t="n">
        <v>2</v>
      </c>
      <c r="P41" t="n">
        <v>1</v>
      </c>
      <c r="Q41" t="n">
        <v>2</v>
      </c>
      <c r="R41" s="2" t="inlineStr">
        <is>
          <t>Bitter taggsvamp
Solfjäderlav</t>
        </is>
      </c>
      <c r="S41">
        <f>HYPERLINK("https://klasma.github.io/Logging_2085/artfynd/A 12093-2023 artfynd.xlsx", "A 12093-2023")</f>
        <v/>
      </c>
      <c r="T41">
        <f>HYPERLINK("https://klasma.github.io/Logging_2085/kartor/A 12093-2023 karta.png", "A 12093-2023")</f>
        <v/>
      </c>
      <c r="V41">
        <f>HYPERLINK("https://klasma.github.io/Logging_2085/klagomål/A 12093-2023 FSC-klagomål.docx", "A 12093-2023")</f>
        <v/>
      </c>
      <c r="W41">
        <f>HYPERLINK("https://klasma.github.io/Logging_2085/klagomålsmail/A 12093-2023 FSC-klagomål mail.docx", "A 12093-2023")</f>
        <v/>
      </c>
      <c r="X41">
        <f>HYPERLINK("https://klasma.github.io/Logging_2085/tillsyn/A 12093-2023 tillsynsbegäran.docx", "A 12093-2023")</f>
        <v/>
      </c>
      <c r="Y41">
        <f>HYPERLINK("https://klasma.github.io/Logging_2085/tillsynsmail/A 12093-2023 tillsynsbegäran mail.docx", "A 12093-2023")</f>
        <v/>
      </c>
    </row>
    <row r="42" ht="15" customHeight="1">
      <c r="A42" t="inlineStr">
        <is>
          <t>A 19338-2023</t>
        </is>
      </c>
      <c r="B42" s="1" t="n">
        <v>45049</v>
      </c>
      <c r="C42" s="1" t="n">
        <v>45852</v>
      </c>
      <c r="D42" t="inlineStr">
        <is>
          <t>DALARNAS LÄN</t>
        </is>
      </c>
      <c r="E42" t="inlineStr">
        <is>
          <t>LUDVIKA</t>
        </is>
      </c>
      <c r="G42" t="n">
        <v>13.7</v>
      </c>
      <c r="H42" t="n">
        <v>0</v>
      </c>
      <c r="I42" t="n">
        <v>1</v>
      </c>
      <c r="J42" t="n">
        <v>1</v>
      </c>
      <c r="K42" t="n">
        <v>0</v>
      </c>
      <c r="L42" t="n">
        <v>0</v>
      </c>
      <c r="M42" t="n">
        <v>0</v>
      </c>
      <c r="N42" t="n">
        <v>0</v>
      </c>
      <c r="O42" t="n">
        <v>1</v>
      </c>
      <c r="P42" t="n">
        <v>0</v>
      </c>
      <c r="Q42" t="n">
        <v>2</v>
      </c>
      <c r="R42" s="2" t="inlineStr">
        <is>
          <t>Motaggsvamp
Dropptaggsvamp</t>
        </is>
      </c>
      <c r="S42">
        <f>HYPERLINK("https://klasma.github.io/Logging_2085/artfynd/A 19338-2023 artfynd.xlsx", "A 19338-2023")</f>
        <v/>
      </c>
      <c r="T42">
        <f>HYPERLINK("https://klasma.github.io/Logging_2085/kartor/A 19338-2023 karta.png", "A 19338-2023")</f>
        <v/>
      </c>
      <c r="V42">
        <f>HYPERLINK("https://klasma.github.io/Logging_2085/klagomål/A 19338-2023 FSC-klagomål.docx", "A 19338-2023")</f>
        <v/>
      </c>
      <c r="W42">
        <f>HYPERLINK("https://klasma.github.io/Logging_2085/klagomålsmail/A 19338-2023 FSC-klagomål mail.docx", "A 19338-2023")</f>
        <v/>
      </c>
      <c r="X42">
        <f>HYPERLINK("https://klasma.github.io/Logging_2085/tillsyn/A 19338-2023 tillsynsbegäran.docx", "A 19338-2023")</f>
        <v/>
      </c>
      <c r="Y42">
        <f>HYPERLINK("https://klasma.github.io/Logging_2085/tillsynsmail/A 19338-2023 tillsynsbegäran mail.docx", "A 19338-2023")</f>
        <v/>
      </c>
    </row>
    <row r="43" ht="15" customHeight="1">
      <c r="A43" t="inlineStr">
        <is>
          <t>A 21074-2023</t>
        </is>
      </c>
      <c r="B43" s="1" t="n">
        <v>45061</v>
      </c>
      <c r="C43" s="1" t="n">
        <v>45852</v>
      </c>
      <c r="D43" t="inlineStr">
        <is>
          <t>DALARNAS LÄN</t>
        </is>
      </c>
      <c r="E43" t="inlineStr">
        <is>
          <t>LUDVIKA</t>
        </is>
      </c>
      <c r="F43" t="inlineStr">
        <is>
          <t>Bergvik skog väst AB</t>
        </is>
      </c>
      <c r="G43" t="n">
        <v>12</v>
      </c>
      <c r="H43" t="n">
        <v>0</v>
      </c>
      <c r="I43" t="n">
        <v>2</v>
      </c>
      <c r="J43" t="n">
        <v>0</v>
      </c>
      <c r="K43" t="n">
        <v>0</v>
      </c>
      <c r="L43" t="n">
        <v>0</v>
      </c>
      <c r="M43" t="n">
        <v>0</v>
      </c>
      <c r="N43" t="n">
        <v>0</v>
      </c>
      <c r="O43" t="n">
        <v>0</v>
      </c>
      <c r="P43" t="n">
        <v>0</v>
      </c>
      <c r="Q43" t="n">
        <v>2</v>
      </c>
      <c r="R43" s="2" t="inlineStr">
        <is>
          <t>Bårdlav
Korallblylav</t>
        </is>
      </c>
      <c r="S43">
        <f>HYPERLINK("https://klasma.github.io/Logging_2085/artfynd/A 21074-2023 artfynd.xlsx", "A 21074-2023")</f>
        <v/>
      </c>
      <c r="T43">
        <f>HYPERLINK("https://klasma.github.io/Logging_2085/kartor/A 21074-2023 karta.png", "A 21074-2023")</f>
        <v/>
      </c>
      <c r="V43">
        <f>HYPERLINK("https://klasma.github.io/Logging_2085/klagomål/A 21074-2023 FSC-klagomål.docx", "A 21074-2023")</f>
        <v/>
      </c>
      <c r="W43">
        <f>HYPERLINK("https://klasma.github.io/Logging_2085/klagomålsmail/A 21074-2023 FSC-klagomål mail.docx", "A 21074-2023")</f>
        <v/>
      </c>
      <c r="X43">
        <f>HYPERLINK("https://klasma.github.io/Logging_2085/tillsyn/A 21074-2023 tillsynsbegäran.docx", "A 21074-2023")</f>
        <v/>
      </c>
      <c r="Y43">
        <f>HYPERLINK("https://klasma.github.io/Logging_2085/tillsynsmail/A 21074-2023 tillsynsbegäran mail.docx", "A 21074-2023")</f>
        <v/>
      </c>
    </row>
    <row r="44" ht="15" customHeight="1">
      <c r="A44" t="inlineStr">
        <is>
          <t>A 49390-2023</t>
        </is>
      </c>
      <c r="B44" s="1" t="n">
        <v>45211</v>
      </c>
      <c r="C44" s="1" t="n">
        <v>45852</v>
      </c>
      <c r="D44" t="inlineStr">
        <is>
          <t>DALARNAS LÄN</t>
        </is>
      </c>
      <c r="E44" t="inlineStr">
        <is>
          <t>LUDVIKA</t>
        </is>
      </c>
      <c r="F44" t="inlineStr">
        <is>
          <t>Bergvik skog väst AB</t>
        </is>
      </c>
      <c r="G44" t="n">
        <v>12.7</v>
      </c>
      <c r="H44" t="n">
        <v>0</v>
      </c>
      <c r="I44" t="n">
        <v>2</v>
      </c>
      <c r="J44" t="n">
        <v>0</v>
      </c>
      <c r="K44" t="n">
        <v>0</v>
      </c>
      <c r="L44" t="n">
        <v>0</v>
      </c>
      <c r="M44" t="n">
        <v>0</v>
      </c>
      <c r="N44" t="n">
        <v>0</v>
      </c>
      <c r="O44" t="n">
        <v>0</v>
      </c>
      <c r="P44" t="n">
        <v>0</v>
      </c>
      <c r="Q44" t="n">
        <v>2</v>
      </c>
      <c r="R44" s="2" t="inlineStr">
        <is>
          <t>Sotriska
Svart trolldruva</t>
        </is>
      </c>
      <c r="S44">
        <f>HYPERLINK("https://klasma.github.io/Logging_2085/artfynd/A 49390-2023 artfynd.xlsx", "A 49390-2023")</f>
        <v/>
      </c>
      <c r="T44">
        <f>HYPERLINK("https://klasma.github.io/Logging_2085/kartor/A 49390-2023 karta.png", "A 49390-2023")</f>
        <v/>
      </c>
      <c r="V44">
        <f>HYPERLINK("https://klasma.github.io/Logging_2085/klagomål/A 49390-2023 FSC-klagomål.docx", "A 49390-2023")</f>
        <v/>
      </c>
      <c r="W44">
        <f>HYPERLINK("https://klasma.github.io/Logging_2085/klagomålsmail/A 49390-2023 FSC-klagomål mail.docx", "A 49390-2023")</f>
        <v/>
      </c>
      <c r="X44">
        <f>HYPERLINK("https://klasma.github.io/Logging_2085/tillsyn/A 49390-2023 tillsynsbegäran.docx", "A 49390-2023")</f>
        <v/>
      </c>
      <c r="Y44">
        <f>HYPERLINK("https://klasma.github.io/Logging_2085/tillsynsmail/A 49390-2023 tillsynsbegäran mail.docx", "A 49390-2023")</f>
        <v/>
      </c>
    </row>
    <row r="45" ht="15" customHeight="1">
      <c r="A45" t="inlineStr">
        <is>
          <t>A 25448-2024</t>
        </is>
      </c>
      <c r="B45" s="1" t="n">
        <v>45463</v>
      </c>
      <c r="C45" s="1" t="n">
        <v>45852</v>
      </c>
      <c r="D45" t="inlineStr">
        <is>
          <t>DALARNAS LÄN</t>
        </is>
      </c>
      <c r="E45" t="inlineStr">
        <is>
          <t>LUDVIKA</t>
        </is>
      </c>
      <c r="F45" t="inlineStr">
        <is>
          <t>Bergvik skog väst AB</t>
        </is>
      </c>
      <c r="G45" t="n">
        <v>24.7</v>
      </c>
      <c r="H45" t="n">
        <v>2</v>
      </c>
      <c r="I45" t="n">
        <v>0</v>
      </c>
      <c r="J45" t="n">
        <v>1</v>
      </c>
      <c r="K45" t="n">
        <v>0</v>
      </c>
      <c r="L45" t="n">
        <v>0</v>
      </c>
      <c r="M45" t="n">
        <v>0</v>
      </c>
      <c r="N45" t="n">
        <v>0</v>
      </c>
      <c r="O45" t="n">
        <v>1</v>
      </c>
      <c r="P45" t="n">
        <v>0</v>
      </c>
      <c r="Q45" t="n">
        <v>2</v>
      </c>
      <c r="R45" s="2" t="inlineStr">
        <is>
          <t>Spillkråka
Blåsippa</t>
        </is>
      </c>
      <c r="S45">
        <f>HYPERLINK("https://klasma.github.io/Logging_2085/artfynd/A 25448-2024 artfynd.xlsx", "A 25448-2024")</f>
        <v/>
      </c>
      <c r="T45">
        <f>HYPERLINK("https://klasma.github.io/Logging_2085/kartor/A 25448-2024 karta.png", "A 25448-2024")</f>
        <v/>
      </c>
      <c r="V45">
        <f>HYPERLINK("https://klasma.github.io/Logging_2085/klagomål/A 25448-2024 FSC-klagomål.docx", "A 25448-2024")</f>
        <v/>
      </c>
      <c r="W45">
        <f>HYPERLINK("https://klasma.github.io/Logging_2085/klagomålsmail/A 25448-2024 FSC-klagomål mail.docx", "A 25448-2024")</f>
        <v/>
      </c>
      <c r="X45">
        <f>HYPERLINK("https://klasma.github.io/Logging_2085/tillsyn/A 25448-2024 tillsynsbegäran.docx", "A 25448-2024")</f>
        <v/>
      </c>
      <c r="Y45">
        <f>HYPERLINK("https://klasma.github.io/Logging_2085/tillsynsmail/A 25448-2024 tillsynsbegäran mail.docx", "A 25448-2024")</f>
        <v/>
      </c>
      <c r="Z45">
        <f>HYPERLINK("https://klasma.github.io/Logging_2085/fåglar/A 25448-2024 prioriterade fågelarter.docx", "A 25448-2024")</f>
        <v/>
      </c>
    </row>
    <row r="46" ht="15" customHeight="1">
      <c r="A46" t="inlineStr">
        <is>
          <t>A 29758-2024</t>
        </is>
      </c>
      <c r="B46" s="1" t="n">
        <v>45485</v>
      </c>
      <c r="C46" s="1" t="n">
        <v>45852</v>
      </c>
      <c r="D46" t="inlineStr">
        <is>
          <t>DALARNAS LÄN</t>
        </is>
      </c>
      <c r="E46" t="inlineStr">
        <is>
          <t>LUDVIKA</t>
        </is>
      </c>
      <c r="F46" t="inlineStr">
        <is>
          <t>Övriga Aktiebolag</t>
        </is>
      </c>
      <c r="G46" t="n">
        <v>8.699999999999999</v>
      </c>
      <c r="H46" t="n">
        <v>1</v>
      </c>
      <c r="I46" t="n">
        <v>1</v>
      </c>
      <c r="J46" t="n">
        <v>0</v>
      </c>
      <c r="K46" t="n">
        <v>1</v>
      </c>
      <c r="L46" t="n">
        <v>0</v>
      </c>
      <c r="M46" t="n">
        <v>0</v>
      </c>
      <c r="N46" t="n">
        <v>0</v>
      </c>
      <c r="O46" t="n">
        <v>1</v>
      </c>
      <c r="P46" t="n">
        <v>1</v>
      </c>
      <c r="Q46" t="n">
        <v>2</v>
      </c>
      <c r="R46" s="2" t="inlineStr">
        <is>
          <t>Knärot
Dropptaggsvamp</t>
        </is>
      </c>
      <c r="S46">
        <f>HYPERLINK("https://klasma.github.io/Logging_2085/artfynd/A 29758-2024 artfynd.xlsx", "A 29758-2024")</f>
        <v/>
      </c>
      <c r="T46">
        <f>HYPERLINK("https://klasma.github.io/Logging_2085/kartor/A 29758-2024 karta.png", "A 29758-2024")</f>
        <v/>
      </c>
      <c r="U46">
        <f>HYPERLINK("https://klasma.github.io/Logging_2085/knärot/A 29758-2024 karta knärot.png", "A 29758-2024")</f>
        <v/>
      </c>
      <c r="V46">
        <f>HYPERLINK("https://klasma.github.io/Logging_2085/klagomål/A 29758-2024 FSC-klagomål.docx", "A 29758-2024")</f>
        <v/>
      </c>
      <c r="W46">
        <f>HYPERLINK("https://klasma.github.io/Logging_2085/klagomålsmail/A 29758-2024 FSC-klagomål mail.docx", "A 29758-2024")</f>
        <v/>
      </c>
      <c r="X46">
        <f>HYPERLINK("https://klasma.github.io/Logging_2085/tillsyn/A 29758-2024 tillsynsbegäran.docx", "A 29758-2024")</f>
        <v/>
      </c>
      <c r="Y46">
        <f>HYPERLINK("https://klasma.github.io/Logging_2085/tillsynsmail/A 29758-2024 tillsynsbegäran mail.docx", "A 29758-2024")</f>
        <v/>
      </c>
    </row>
    <row r="47" ht="15" customHeight="1">
      <c r="A47" t="inlineStr">
        <is>
          <t>A 19542-2025</t>
        </is>
      </c>
      <c r="B47" s="1" t="n">
        <v>45770</v>
      </c>
      <c r="C47" s="1" t="n">
        <v>45852</v>
      </c>
      <c r="D47" t="inlineStr">
        <is>
          <t>DALARNAS LÄN</t>
        </is>
      </c>
      <c r="E47" t="inlineStr">
        <is>
          <t>LUDVIKA</t>
        </is>
      </c>
      <c r="F47" t="inlineStr">
        <is>
          <t>Bergvik skog väst AB</t>
        </is>
      </c>
      <c r="G47" t="n">
        <v>2</v>
      </c>
      <c r="H47" t="n">
        <v>0</v>
      </c>
      <c r="I47" t="n">
        <v>2</v>
      </c>
      <c r="J47" t="n">
        <v>0</v>
      </c>
      <c r="K47" t="n">
        <v>0</v>
      </c>
      <c r="L47" t="n">
        <v>0</v>
      </c>
      <c r="M47" t="n">
        <v>0</v>
      </c>
      <c r="N47" t="n">
        <v>0</v>
      </c>
      <c r="O47" t="n">
        <v>0</v>
      </c>
      <c r="P47" t="n">
        <v>0</v>
      </c>
      <c r="Q47" t="n">
        <v>2</v>
      </c>
      <c r="R47" s="2" t="inlineStr">
        <is>
          <t>Gulnål
Skinnlav</t>
        </is>
      </c>
      <c r="S47">
        <f>HYPERLINK("https://klasma.github.io/Logging_202085/artfynd/A 19542-2025 artfynd.xlsx", "A 19542-2025")</f>
        <v/>
      </c>
      <c r="T47">
        <f>HYPERLINK("https://klasma.github.io/Logging_202085/kartor/A 19542-2025 karta.png", "A 19542-2025")</f>
        <v/>
      </c>
      <c r="V47">
        <f>HYPERLINK("https://klasma.github.io/Logging_202085/klagomål/A 19542-2025 FSC-klagomål.docx", "A 19542-2025")</f>
        <v/>
      </c>
      <c r="W47">
        <f>HYPERLINK("https://klasma.github.io/Logging_202085/klagomålsmail/A 19542-2025 FSC-klagomål mail.docx", "A 19542-2025")</f>
        <v/>
      </c>
      <c r="X47">
        <f>HYPERLINK("https://klasma.github.io/Logging_202085/tillsyn/A 19542-2025 tillsynsbegäran.docx", "A 19542-2025")</f>
        <v/>
      </c>
      <c r="Y47">
        <f>HYPERLINK("https://klasma.github.io/Logging_202085/tillsynsmail/A 19542-2025 tillsynsbegäran mail.docx", "A 19542-2025")</f>
        <v/>
      </c>
    </row>
    <row r="48" ht="15" customHeight="1">
      <c r="A48" t="inlineStr">
        <is>
          <t>A 25293-2025</t>
        </is>
      </c>
      <c r="B48" s="1" t="n">
        <v>45800</v>
      </c>
      <c r="C48" s="1" t="n">
        <v>45852</v>
      </c>
      <c r="D48" t="inlineStr">
        <is>
          <t>DALARNAS LÄN</t>
        </is>
      </c>
      <c r="E48" t="inlineStr">
        <is>
          <t>LUDVIKA</t>
        </is>
      </c>
      <c r="F48" t="inlineStr">
        <is>
          <t>Bergvik skog väst AB</t>
        </is>
      </c>
      <c r="G48" t="n">
        <v>19.6</v>
      </c>
      <c r="H48" t="n">
        <v>0</v>
      </c>
      <c r="I48" t="n">
        <v>1</v>
      </c>
      <c r="J48" t="n">
        <v>1</v>
      </c>
      <c r="K48" t="n">
        <v>0</v>
      </c>
      <c r="L48" t="n">
        <v>0</v>
      </c>
      <c r="M48" t="n">
        <v>0</v>
      </c>
      <c r="N48" t="n">
        <v>0</v>
      </c>
      <c r="O48" t="n">
        <v>1</v>
      </c>
      <c r="P48" t="n">
        <v>0</v>
      </c>
      <c r="Q48" t="n">
        <v>2</v>
      </c>
      <c r="R48" s="2" t="inlineStr">
        <is>
          <t>Garnlav
Nästlav</t>
        </is>
      </c>
      <c r="S48">
        <f>HYPERLINK("https://klasma.github.io/Logging_202085/artfynd/A 25293-2025 artfynd.xlsx", "A 25293-2025")</f>
        <v/>
      </c>
      <c r="T48">
        <f>HYPERLINK("https://klasma.github.io/Logging_202085/kartor/A 25293-2025 karta.png", "A 25293-2025")</f>
        <v/>
      </c>
      <c r="V48">
        <f>HYPERLINK("https://klasma.github.io/Logging_202085/klagomål/A 25293-2025 FSC-klagomål.docx", "A 25293-2025")</f>
        <v/>
      </c>
      <c r="W48">
        <f>HYPERLINK("https://klasma.github.io/Logging_202085/klagomålsmail/A 25293-2025 FSC-klagomål mail.docx", "A 25293-2025")</f>
        <v/>
      </c>
      <c r="X48">
        <f>HYPERLINK("https://klasma.github.io/Logging_202085/tillsyn/A 25293-2025 tillsynsbegäran.docx", "A 25293-2025")</f>
        <v/>
      </c>
      <c r="Y48">
        <f>HYPERLINK("https://klasma.github.io/Logging_202085/tillsynsmail/A 25293-2025 tillsynsbegäran mail.docx", "A 25293-2025")</f>
        <v/>
      </c>
    </row>
    <row r="49" ht="15" customHeight="1">
      <c r="A49" t="inlineStr">
        <is>
          <t>A 21672-2019</t>
        </is>
      </c>
      <c r="B49" s="1" t="n">
        <v>43581</v>
      </c>
      <c r="C49" s="1" t="n">
        <v>45852</v>
      </c>
      <c r="D49" t="inlineStr">
        <is>
          <t>DALARNAS LÄN</t>
        </is>
      </c>
      <c r="E49" t="inlineStr">
        <is>
          <t>LUDVIKA</t>
        </is>
      </c>
      <c r="G49" t="n">
        <v>6.3</v>
      </c>
      <c r="H49" t="n">
        <v>1</v>
      </c>
      <c r="I49" t="n">
        <v>0</v>
      </c>
      <c r="J49" t="n">
        <v>0</v>
      </c>
      <c r="K49" t="n">
        <v>0</v>
      </c>
      <c r="L49" t="n">
        <v>1</v>
      </c>
      <c r="M49" t="n">
        <v>0</v>
      </c>
      <c r="N49" t="n">
        <v>0</v>
      </c>
      <c r="O49" t="n">
        <v>1</v>
      </c>
      <c r="P49" t="n">
        <v>1</v>
      </c>
      <c r="Q49" t="n">
        <v>1</v>
      </c>
      <c r="R49" s="2" t="inlineStr">
        <is>
          <t>Mosippa</t>
        </is>
      </c>
      <c r="S49">
        <f>HYPERLINK("https://klasma.github.io/Logging_2085/artfynd/A 21672-2019 artfynd.xlsx", "A 21672-2019")</f>
        <v/>
      </c>
      <c r="T49">
        <f>HYPERLINK("https://klasma.github.io/Logging_2085/kartor/A 21672-2019 karta.png", "A 21672-2019")</f>
        <v/>
      </c>
      <c r="V49">
        <f>HYPERLINK("https://klasma.github.io/Logging_2085/klagomål/A 21672-2019 FSC-klagomål.docx", "A 21672-2019")</f>
        <v/>
      </c>
      <c r="W49">
        <f>HYPERLINK("https://klasma.github.io/Logging_2085/klagomålsmail/A 21672-2019 FSC-klagomål mail.docx", "A 21672-2019")</f>
        <v/>
      </c>
      <c r="X49">
        <f>HYPERLINK("https://klasma.github.io/Logging_2085/tillsyn/A 21672-2019 tillsynsbegäran.docx", "A 21672-2019")</f>
        <v/>
      </c>
      <c r="Y49">
        <f>HYPERLINK("https://klasma.github.io/Logging_2085/tillsynsmail/A 21672-2019 tillsynsbegäran mail.docx", "A 21672-2019")</f>
        <v/>
      </c>
    </row>
    <row r="50" ht="15" customHeight="1">
      <c r="A50" t="inlineStr">
        <is>
          <t>A 27562-2020</t>
        </is>
      </c>
      <c r="B50" s="1" t="n">
        <v>43993</v>
      </c>
      <c r="C50" s="1" t="n">
        <v>45852</v>
      </c>
      <c r="D50" t="inlineStr">
        <is>
          <t>DALARNAS LÄN</t>
        </is>
      </c>
      <c r="E50" t="inlineStr">
        <is>
          <t>LUDVIKA</t>
        </is>
      </c>
      <c r="F50" t="inlineStr">
        <is>
          <t>Bergvik skog väst AB</t>
        </is>
      </c>
      <c r="G50" t="n">
        <v>2</v>
      </c>
      <c r="H50" t="n">
        <v>0</v>
      </c>
      <c r="I50" t="n">
        <v>1</v>
      </c>
      <c r="J50" t="n">
        <v>0</v>
      </c>
      <c r="K50" t="n">
        <v>0</v>
      </c>
      <c r="L50" t="n">
        <v>0</v>
      </c>
      <c r="M50" t="n">
        <v>0</v>
      </c>
      <c r="N50" t="n">
        <v>0</v>
      </c>
      <c r="O50" t="n">
        <v>0</v>
      </c>
      <c r="P50" t="n">
        <v>0</v>
      </c>
      <c r="Q50" t="n">
        <v>1</v>
      </c>
      <c r="R50" s="2" t="inlineStr">
        <is>
          <t>Skinnlav</t>
        </is>
      </c>
      <c r="S50">
        <f>HYPERLINK("https://klasma.github.io/Logging_2085/artfynd/A 27562-2020 artfynd.xlsx", "A 27562-2020")</f>
        <v/>
      </c>
      <c r="T50">
        <f>HYPERLINK("https://klasma.github.io/Logging_2085/kartor/A 27562-2020 karta.png", "A 27562-2020")</f>
        <v/>
      </c>
      <c r="V50">
        <f>HYPERLINK("https://klasma.github.io/Logging_2085/klagomål/A 27562-2020 FSC-klagomål.docx", "A 27562-2020")</f>
        <v/>
      </c>
      <c r="W50">
        <f>HYPERLINK("https://klasma.github.io/Logging_2085/klagomålsmail/A 27562-2020 FSC-klagomål mail.docx", "A 27562-2020")</f>
        <v/>
      </c>
      <c r="X50">
        <f>HYPERLINK("https://klasma.github.io/Logging_2085/tillsyn/A 27562-2020 tillsynsbegäran.docx", "A 27562-2020")</f>
        <v/>
      </c>
      <c r="Y50">
        <f>HYPERLINK("https://klasma.github.io/Logging_2085/tillsynsmail/A 27562-2020 tillsynsbegäran mail.docx", "A 27562-2020")</f>
        <v/>
      </c>
    </row>
    <row r="51" ht="15" customHeight="1">
      <c r="A51" t="inlineStr">
        <is>
          <t>A 54641-2020</t>
        </is>
      </c>
      <c r="B51" s="1" t="n">
        <v>44127</v>
      </c>
      <c r="C51" s="1" t="n">
        <v>45852</v>
      </c>
      <c r="D51" t="inlineStr">
        <is>
          <t>DALARNAS LÄN</t>
        </is>
      </c>
      <c r="E51" t="inlineStr">
        <is>
          <t>LUDVIKA</t>
        </is>
      </c>
      <c r="F51" t="inlineStr">
        <is>
          <t>Övriga Aktiebolag</t>
        </is>
      </c>
      <c r="G51" t="n">
        <v>38.7</v>
      </c>
      <c r="H51" t="n">
        <v>0</v>
      </c>
      <c r="I51" t="n">
        <v>1</v>
      </c>
      <c r="J51" t="n">
        <v>0</v>
      </c>
      <c r="K51" t="n">
        <v>0</v>
      </c>
      <c r="L51" t="n">
        <v>0</v>
      </c>
      <c r="M51" t="n">
        <v>0</v>
      </c>
      <c r="N51" t="n">
        <v>0</v>
      </c>
      <c r="O51" t="n">
        <v>0</v>
      </c>
      <c r="P51" t="n">
        <v>0</v>
      </c>
      <c r="Q51" t="n">
        <v>1</v>
      </c>
      <c r="R51" s="2" t="inlineStr">
        <is>
          <t>Bronshjon</t>
        </is>
      </c>
      <c r="S51">
        <f>HYPERLINK("https://klasma.github.io/Logging_2085/artfynd/A 54641-2020 artfynd.xlsx", "A 54641-2020")</f>
        <v/>
      </c>
      <c r="T51">
        <f>HYPERLINK("https://klasma.github.io/Logging_2085/kartor/A 54641-2020 karta.png", "A 54641-2020")</f>
        <v/>
      </c>
      <c r="V51">
        <f>HYPERLINK("https://klasma.github.io/Logging_2085/klagomål/A 54641-2020 FSC-klagomål.docx", "A 54641-2020")</f>
        <v/>
      </c>
      <c r="W51">
        <f>HYPERLINK("https://klasma.github.io/Logging_2085/klagomålsmail/A 54641-2020 FSC-klagomål mail.docx", "A 54641-2020")</f>
        <v/>
      </c>
      <c r="X51">
        <f>HYPERLINK("https://klasma.github.io/Logging_2085/tillsyn/A 54641-2020 tillsynsbegäran.docx", "A 54641-2020")</f>
        <v/>
      </c>
      <c r="Y51">
        <f>HYPERLINK("https://klasma.github.io/Logging_2085/tillsynsmail/A 54641-2020 tillsynsbegäran mail.docx", "A 54641-2020")</f>
        <v/>
      </c>
    </row>
    <row r="52" ht="15" customHeight="1">
      <c r="A52" t="inlineStr">
        <is>
          <t>A 64068-2020</t>
        </is>
      </c>
      <c r="B52" s="1" t="n">
        <v>44167</v>
      </c>
      <c r="C52" s="1" t="n">
        <v>45852</v>
      </c>
      <c r="D52" t="inlineStr">
        <is>
          <t>DALARNAS LÄN</t>
        </is>
      </c>
      <c r="E52" t="inlineStr">
        <is>
          <t>LUDVIKA</t>
        </is>
      </c>
      <c r="F52" t="inlineStr">
        <is>
          <t>Kommuner</t>
        </is>
      </c>
      <c r="G52" t="n">
        <v>4.5</v>
      </c>
      <c r="H52" t="n">
        <v>0</v>
      </c>
      <c r="I52" t="n">
        <v>0</v>
      </c>
      <c r="J52" t="n">
        <v>1</v>
      </c>
      <c r="K52" t="n">
        <v>0</v>
      </c>
      <c r="L52" t="n">
        <v>0</v>
      </c>
      <c r="M52" t="n">
        <v>0</v>
      </c>
      <c r="N52" t="n">
        <v>0</v>
      </c>
      <c r="O52" t="n">
        <v>1</v>
      </c>
      <c r="P52" t="n">
        <v>0</v>
      </c>
      <c r="Q52" t="n">
        <v>1</v>
      </c>
      <c r="R52" s="2" t="inlineStr">
        <is>
          <t>Garnlav</t>
        </is>
      </c>
      <c r="S52">
        <f>HYPERLINK("https://klasma.github.io/Logging_2085/artfynd/A 64068-2020 artfynd.xlsx", "A 64068-2020")</f>
        <v/>
      </c>
      <c r="T52">
        <f>HYPERLINK("https://klasma.github.io/Logging_2085/kartor/A 64068-2020 karta.png", "A 64068-2020")</f>
        <v/>
      </c>
      <c r="U52">
        <f>HYPERLINK("https://klasma.github.io/Logging_2085/knärot/A 64068-2020 karta knärot.png", "A 64068-2020")</f>
        <v/>
      </c>
      <c r="V52">
        <f>HYPERLINK("https://klasma.github.io/Logging_2085/klagomål/A 64068-2020 FSC-klagomål.docx", "A 64068-2020")</f>
        <v/>
      </c>
      <c r="W52">
        <f>HYPERLINK("https://klasma.github.io/Logging_2085/klagomålsmail/A 64068-2020 FSC-klagomål mail.docx", "A 64068-2020")</f>
        <v/>
      </c>
      <c r="X52">
        <f>HYPERLINK("https://klasma.github.io/Logging_2085/tillsyn/A 64068-2020 tillsynsbegäran.docx", "A 64068-2020")</f>
        <v/>
      </c>
      <c r="Y52">
        <f>HYPERLINK("https://klasma.github.io/Logging_2085/tillsynsmail/A 64068-2020 tillsynsbegäran mail.docx", "A 64068-2020")</f>
        <v/>
      </c>
    </row>
    <row r="53" ht="15" customHeight="1">
      <c r="A53" t="inlineStr">
        <is>
          <t>A 69166-2020</t>
        </is>
      </c>
      <c r="B53" s="1" t="n">
        <v>44188</v>
      </c>
      <c r="C53" s="1" t="n">
        <v>45852</v>
      </c>
      <c r="D53" t="inlineStr">
        <is>
          <t>DALARNAS LÄN</t>
        </is>
      </c>
      <c r="E53" t="inlineStr">
        <is>
          <t>LUDVIKA</t>
        </is>
      </c>
      <c r="F53" t="inlineStr">
        <is>
          <t>Kommuner</t>
        </is>
      </c>
      <c r="G53" t="n">
        <v>4.9</v>
      </c>
      <c r="H53" t="n">
        <v>1</v>
      </c>
      <c r="I53" t="n">
        <v>0</v>
      </c>
      <c r="J53" t="n">
        <v>0</v>
      </c>
      <c r="K53" t="n">
        <v>0</v>
      </c>
      <c r="L53" t="n">
        <v>0</v>
      </c>
      <c r="M53" t="n">
        <v>0</v>
      </c>
      <c r="N53" t="n">
        <v>0</v>
      </c>
      <c r="O53" t="n">
        <v>0</v>
      </c>
      <c r="P53" t="n">
        <v>0</v>
      </c>
      <c r="Q53" t="n">
        <v>1</v>
      </c>
      <c r="R53" s="2" t="inlineStr">
        <is>
          <t>Fläcknycklar</t>
        </is>
      </c>
      <c r="S53">
        <f>HYPERLINK("https://klasma.github.io/Logging_2085/artfynd/A 69166-2020 artfynd.xlsx", "A 69166-2020")</f>
        <v/>
      </c>
      <c r="T53">
        <f>HYPERLINK("https://klasma.github.io/Logging_2085/kartor/A 69166-2020 karta.png", "A 69166-2020")</f>
        <v/>
      </c>
      <c r="V53">
        <f>HYPERLINK("https://klasma.github.io/Logging_2085/klagomål/A 69166-2020 FSC-klagomål.docx", "A 69166-2020")</f>
        <v/>
      </c>
      <c r="W53">
        <f>HYPERLINK("https://klasma.github.io/Logging_2085/klagomålsmail/A 69166-2020 FSC-klagomål mail.docx", "A 69166-2020")</f>
        <v/>
      </c>
      <c r="X53">
        <f>HYPERLINK("https://klasma.github.io/Logging_2085/tillsyn/A 69166-2020 tillsynsbegäran.docx", "A 69166-2020")</f>
        <v/>
      </c>
      <c r="Y53">
        <f>HYPERLINK("https://klasma.github.io/Logging_2085/tillsynsmail/A 69166-2020 tillsynsbegäran mail.docx", "A 69166-2020")</f>
        <v/>
      </c>
    </row>
    <row r="54" ht="15" customHeight="1">
      <c r="A54" t="inlineStr">
        <is>
          <t>A 38674-2021</t>
        </is>
      </c>
      <c r="B54" s="1" t="n">
        <v>44410</v>
      </c>
      <c r="C54" s="1" t="n">
        <v>45852</v>
      </c>
      <c r="D54" t="inlineStr">
        <is>
          <t>DALARNAS LÄN</t>
        </is>
      </c>
      <c r="E54" t="inlineStr">
        <is>
          <t>LUDVIKA</t>
        </is>
      </c>
      <c r="G54" t="n">
        <v>6.3</v>
      </c>
      <c r="H54" t="n">
        <v>0</v>
      </c>
      <c r="I54" t="n">
        <v>0</v>
      </c>
      <c r="J54" t="n">
        <v>1</v>
      </c>
      <c r="K54" t="n">
        <v>0</v>
      </c>
      <c r="L54" t="n">
        <v>0</v>
      </c>
      <c r="M54" t="n">
        <v>0</v>
      </c>
      <c r="N54" t="n">
        <v>0</v>
      </c>
      <c r="O54" t="n">
        <v>1</v>
      </c>
      <c r="P54" t="n">
        <v>0</v>
      </c>
      <c r="Q54" t="n">
        <v>1</v>
      </c>
      <c r="R54" s="2" t="inlineStr">
        <is>
          <t>Dvärgbägarlav</t>
        </is>
      </c>
      <c r="S54">
        <f>HYPERLINK("https://klasma.github.io/Logging_2085/artfynd/A 38674-2021 artfynd.xlsx", "A 38674-2021")</f>
        <v/>
      </c>
      <c r="T54">
        <f>HYPERLINK("https://klasma.github.io/Logging_2085/kartor/A 38674-2021 karta.png", "A 38674-2021")</f>
        <v/>
      </c>
      <c r="V54">
        <f>HYPERLINK("https://klasma.github.io/Logging_2085/klagomål/A 38674-2021 FSC-klagomål.docx", "A 38674-2021")</f>
        <v/>
      </c>
      <c r="W54">
        <f>HYPERLINK("https://klasma.github.io/Logging_2085/klagomålsmail/A 38674-2021 FSC-klagomål mail.docx", "A 38674-2021")</f>
        <v/>
      </c>
      <c r="X54">
        <f>HYPERLINK("https://klasma.github.io/Logging_2085/tillsyn/A 38674-2021 tillsynsbegäran.docx", "A 38674-2021")</f>
        <v/>
      </c>
      <c r="Y54">
        <f>HYPERLINK("https://klasma.github.io/Logging_2085/tillsynsmail/A 38674-2021 tillsynsbegäran mail.docx", "A 38674-2021")</f>
        <v/>
      </c>
    </row>
    <row r="55" ht="15" customHeight="1">
      <c r="A55" t="inlineStr">
        <is>
          <t>A 45995-2021</t>
        </is>
      </c>
      <c r="B55" s="1" t="n">
        <v>44441</v>
      </c>
      <c r="C55" s="1" t="n">
        <v>45852</v>
      </c>
      <c r="D55" t="inlineStr">
        <is>
          <t>DALARNAS LÄN</t>
        </is>
      </c>
      <c r="E55" t="inlineStr">
        <is>
          <t>LUDVIKA</t>
        </is>
      </c>
      <c r="G55" t="n">
        <v>1.2</v>
      </c>
      <c r="H55" t="n">
        <v>1</v>
      </c>
      <c r="I55" t="n">
        <v>0</v>
      </c>
      <c r="J55" t="n">
        <v>1</v>
      </c>
      <c r="K55" t="n">
        <v>0</v>
      </c>
      <c r="L55" t="n">
        <v>0</v>
      </c>
      <c r="M55" t="n">
        <v>0</v>
      </c>
      <c r="N55" t="n">
        <v>0</v>
      </c>
      <c r="O55" t="n">
        <v>1</v>
      </c>
      <c r="P55" t="n">
        <v>0</v>
      </c>
      <c r="Q55" t="n">
        <v>1</v>
      </c>
      <c r="R55" s="2" t="inlineStr">
        <is>
          <t>Nordfladdermus</t>
        </is>
      </c>
      <c r="S55">
        <f>HYPERLINK("https://klasma.github.io/Logging_2085/artfynd/A 45995-2021 artfynd.xlsx", "A 45995-2021")</f>
        <v/>
      </c>
      <c r="T55">
        <f>HYPERLINK("https://klasma.github.io/Logging_2085/kartor/A 45995-2021 karta.png", "A 45995-2021")</f>
        <v/>
      </c>
      <c r="V55">
        <f>HYPERLINK("https://klasma.github.io/Logging_2085/klagomål/A 45995-2021 FSC-klagomål.docx", "A 45995-2021")</f>
        <v/>
      </c>
      <c r="W55">
        <f>HYPERLINK("https://klasma.github.io/Logging_2085/klagomålsmail/A 45995-2021 FSC-klagomål mail.docx", "A 45995-2021")</f>
        <v/>
      </c>
      <c r="X55">
        <f>HYPERLINK("https://klasma.github.io/Logging_2085/tillsyn/A 45995-2021 tillsynsbegäran.docx", "A 45995-2021")</f>
        <v/>
      </c>
      <c r="Y55">
        <f>HYPERLINK("https://klasma.github.io/Logging_2085/tillsynsmail/A 45995-2021 tillsynsbegäran mail.docx", "A 45995-2021")</f>
        <v/>
      </c>
    </row>
    <row r="56" ht="15" customHeight="1">
      <c r="A56" t="inlineStr">
        <is>
          <t>A 50052-2021</t>
        </is>
      </c>
      <c r="B56" s="1" t="n">
        <v>44456</v>
      </c>
      <c r="C56" s="1" t="n">
        <v>45852</v>
      </c>
      <c r="D56" t="inlineStr">
        <is>
          <t>DALARNAS LÄN</t>
        </is>
      </c>
      <c r="E56" t="inlineStr">
        <is>
          <t>LUDVIKA</t>
        </is>
      </c>
      <c r="F56" t="inlineStr">
        <is>
          <t>Bergvik skog väst AB</t>
        </is>
      </c>
      <c r="G56" t="n">
        <v>2</v>
      </c>
      <c r="H56" t="n">
        <v>1</v>
      </c>
      <c r="I56" t="n">
        <v>0</v>
      </c>
      <c r="J56" t="n">
        <v>0</v>
      </c>
      <c r="K56" t="n">
        <v>0</v>
      </c>
      <c r="L56" t="n">
        <v>0</v>
      </c>
      <c r="M56" t="n">
        <v>0</v>
      </c>
      <c r="N56" t="n">
        <v>0</v>
      </c>
      <c r="O56" t="n">
        <v>0</v>
      </c>
      <c r="P56" t="n">
        <v>0</v>
      </c>
      <c r="Q56" t="n">
        <v>1</v>
      </c>
      <c r="R56" s="2" t="inlineStr">
        <is>
          <t>Buskmus</t>
        </is>
      </c>
      <c r="S56">
        <f>HYPERLINK("https://klasma.github.io/Logging_2085/artfynd/A 50052-2021 artfynd.xlsx", "A 50052-2021")</f>
        <v/>
      </c>
      <c r="T56">
        <f>HYPERLINK("https://klasma.github.io/Logging_2085/kartor/A 50052-2021 karta.png", "A 50052-2021")</f>
        <v/>
      </c>
      <c r="V56">
        <f>HYPERLINK("https://klasma.github.io/Logging_2085/klagomål/A 50052-2021 FSC-klagomål.docx", "A 50052-2021")</f>
        <v/>
      </c>
      <c r="W56">
        <f>HYPERLINK("https://klasma.github.io/Logging_2085/klagomålsmail/A 50052-2021 FSC-klagomål mail.docx", "A 50052-2021")</f>
        <v/>
      </c>
      <c r="X56">
        <f>HYPERLINK("https://klasma.github.io/Logging_2085/tillsyn/A 50052-2021 tillsynsbegäran.docx", "A 50052-2021")</f>
        <v/>
      </c>
      <c r="Y56">
        <f>HYPERLINK("https://klasma.github.io/Logging_2085/tillsynsmail/A 50052-2021 tillsynsbegäran mail.docx", "A 50052-2021")</f>
        <v/>
      </c>
    </row>
    <row r="57" ht="15" customHeight="1">
      <c r="A57" t="inlineStr">
        <is>
          <t>A 72858-2021</t>
        </is>
      </c>
      <c r="B57" s="1" t="n">
        <v>44547</v>
      </c>
      <c r="C57" s="1" t="n">
        <v>45852</v>
      </c>
      <c r="D57" t="inlineStr">
        <is>
          <t>DALARNAS LÄN</t>
        </is>
      </c>
      <c r="E57" t="inlineStr">
        <is>
          <t>LUDVIKA</t>
        </is>
      </c>
      <c r="F57" t="inlineStr">
        <is>
          <t>Kommuner</t>
        </is>
      </c>
      <c r="G57" t="n">
        <v>7</v>
      </c>
      <c r="H57" t="n">
        <v>0</v>
      </c>
      <c r="I57" t="n">
        <v>0</v>
      </c>
      <c r="J57" t="n">
        <v>0</v>
      </c>
      <c r="K57" t="n">
        <v>1</v>
      </c>
      <c r="L57" t="n">
        <v>0</v>
      </c>
      <c r="M57" t="n">
        <v>0</v>
      </c>
      <c r="N57" t="n">
        <v>0</v>
      </c>
      <c r="O57" t="n">
        <v>1</v>
      </c>
      <c r="P57" t="n">
        <v>1</v>
      </c>
      <c r="Q57" t="n">
        <v>1</v>
      </c>
      <c r="R57" s="2" t="inlineStr">
        <is>
          <t>Rynkskinn</t>
        </is>
      </c>
      <c r="S57">
        <f>HYPERLINK("https://klasma.github.io/Logging_2085/artfynd/A 72858-2021 artfynd.xlsx", "A 72858-2021")</f>
        <v/>
      </c>
      <c r="T57">
        <f>HYPERLINK("https://klasma.github.io/Logging_2085/kartor/A 72858-2021 karta.png", "A 72858-2021")</f>
        <v/>
      </c>
      <c r="V57">
        <f>HYPERLINK("https://klasma.github.io/Logging_2085/klagomål/A 72858-2021 FSC-klagomål.docx", "A 72858-2021")</f>
        <v/>
      </c>
      <c r="W57">
        <f>HYPERLINK("https://klasma.github.io/Logging_2085/klagomålsmail/A 72858-2021 FSC-klagomål mail.docx", "A 72858-2021")</f>
        <v/>
      </c>
      <c r="X57">
        <f>HYPERLINK("https://klasma.github.io/Logging_2085/tillsyn/A 72858-2021 tillsynsbegäran.docx", "A 72858-2021")</f>
        <v/>
      </c>
      <c r="Y57">
        <f>HYPERLINK("https://klasma.github.io/Logging_2085/tillsynsmail/A 72858-2021 tillsynsbegäran mail.docx", "A 72858-2021")</f>
        <v/>
      </c>
    </row>
    <row r="58" ht="15" customHeight="1">
      <c r="A58" t="inlineStr">
        <is>
          <t>A 74401-2021</t>
        </is>
      </c>
      <c r="B58" s="1" t="n">
        <v>44560</v>
      </c>
      <c r="C58" s="1" t="n">
        <v>45852</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927-2022</t>
        </is>
      </c>
      <c r="B59" s="1" t="n">
        <v>44571</v>
      </c>
      <c r="C59" s="1" t="n">
        <v>45852</v>
      </c>
      <c r="D59" t="inlineStr">
        <is>
          <t>DALARNAS LÄN</t>
        </is>
      </c>
      <c r="E59" t="inlineStr">
        <is>
          <t>LUDVIKA</t>
        </is>
      </c>
      <c r="F59" t="inlineStr">
        <is>
          <t>Allmännings- och besparingsskogar</t>
        </is>
      </c>
      <c r="G59" t="n">
        <v>2.4</v>
      </c>
      <c r="H59" t="n">
        <v>0</v>
      </c>
      <c r="I59" t="n">
        <v>0</v>
      </c>
      <c r="J59" t="n">
        <v>1</v>
      </c>
      <c r="K59" t="n">
        <v>0</v>
      </c>
      <c r="L59" t="n">
        <v>0</v>
      </c>
      <c r="M59" t="n">
        <v>0</v>
      </c>
      <c r="N59" t="n">
        <v>0</v>
      </c>
      <c r="O59" t="n">
        <v>1</v>
      </c>
      <c r="P59" t="n">
        <v>0</v>
      </c>
      <c r="Q59" t="n">
        <v>1</v>
      </c>
      <c r="R59" s="2" t="inlineStr">
        <is>
          <t>Brunklöver</t>
        </is>
      </c>
      <c r="S59">
        <f>HYPERLINK("https://klasma.github.io/Logging_2085/artfynd/A 927-2022 artfynd.xlsx", "A 927-2022")</f>
        <v/>
      </c>
      <c r="T59">
        <f>HYPERLINK("https://klasma.github.io/Logging_2085/kartor/A 927-2022 karta.png", "A 927-2022")</f>
        <v/>
      </c>
      <c r="V59">
        <f>HYPERLINK("https://klasma.github.io/Logging_2085/klagomål/A 927-2022 FSC-klagomål.docx", "A 927-2022")</f>
        <v/>
      </c>
      <c r="W59">
        <f>HYPERLINK("https://klasma.github.io/Logging_2085/klagomålsmail/A 927-2022 FSC-klagomål mail.docx", "A 927-2022")</f>
        <v/>
      </c>
      <c r="X59">
        <f>HYPERLINK("https://klasma.github.io/Logging_2085/tillsyn/A 927-2022 tillsynsbegäran.docx", "A 927-2022")</f>
        <v/>
      </c>
      <c r="Y59">
        <f>HYPERLINK("https://klasma.github.io/Logging_2085/tillsynsmail/A 927-2022 tillsynsbegäran mail.docx", "A 927-2022")</f>
        <v/>
      </c>
    </row>
    <row r="60" ht="15" customHeight="1">
      <c r="A60" t="inlineStr">
        <is>
          <t>A 19512-2022</t>
        </is>
      </c>
      <c r="B60" s="1" t="n">
        <v>44693</v>
      </c>
      <c r="C60" s="1" t="n">
        <v>45852</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19717-2022</t>
        </is>
      </c>
      <c r="B61" s="1" t="n">
        <v>44694</v>
      </c>
      <c r="C61" s="1" t="n">
        <v>45852</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Vedticka</t>
        </is>
      </c>
      <c r="S61">
        <f>HYPERLINK("https://klasma.github.io/Logging_2085/artfynd/A 19717-2022 artfynd.xlsx", "A 19717-2022")</f>
        <v/>
      </c>
      <c r="T61">
        <f>HYPERLINK("https://klasma.github.io/Logging_2085/kartor/A 19717-2022 karta.png", "A 19717-2022")</f>
        <v/>
      </c>
      <c r="V61">
        <f>HYPERLINK("https://klasma.github.io/Logging_2085/klagomål/A 19717-2022 FSC-klagomål.docx", "A 19717-2022")</f>
        <v/>
      </c>
      <c r="W61">
        <f>HYPERLINK("https://klasma.github.io/Logging_2085/klagomålsmail/A 19717-2022 FSC-klagomål mail.docx", "A 19717-2022")</f>
        <v/>
      </c>
      <c r="X61">
        <f>HYPERLINK("https://klasma.github.io/Logging_2085/tillsyn/A 19717-2022 tillsynsbegäran.docx", "A 19717-2022")</f>
        <v/>
      </c>
      <c r="Y61">
        <f>HYPERLINK("https://klasma.github.io/Logging_2085/tillsynsmail/A 19717-2022 tillsynsbegäran mail.docx", "A 19717-2022")</f>
        <v/>
      </c>
    </row>
    <row r="62" ht="15" customHeight="1">
      <c r="A62" t="inlineStr">
        <is>
          <t>A 21499-2022</t>
        </is>
      </c>
      <c r="B62" s="1" t="n">
        <v>44706</v>
      </c>
      <c r="C62" s="1" t="n">
        <v>45852</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41028-2022</t>
        </is>
      </c>
      <c r="B63" s="1" t="n">
        <v>44825</v>
      </c>
      <c r="C63" s="1" t="n">
        <v>45852</v>
      </c>
      <c r="D63" t="inlineStr">
        <is>
          <t>DALARNAS LÄN</t>
        </is>
      </c>
      <c r="E63" t="inlineStr">
        <is>
          <t>LUDVIKA</t>
        </is>
      </c>
      <c r="F63" t="inlineStr">
        <is>
          <t>Naturvårdsverket</t>
        </is>
      </c>
      <c r="G63" t="n">
        <v>8.300000000000001</v>
      </c>
      <c r="H63" t="n">
        <v>0</v>
      </c>
      <c r="I63" t="n">
        <v>0</v>
      </c>
      <c r="J63" t="n">
        <v>1</v>
      </c>
      <c r="K63" t="n">
        <v>0</v>
      </c>
      <c r="L63" t="n">
        <v>0</v>
      </c>
      <c r="M63" t="n">
        <v>0</v>
      </c>
      <c r="N63" t="n">
        <v>0</v>
      </c>
      <c r="O63" t="n">
        <v>1</v>
      </c>
      <c r="P63" t="n">
        <v>0</v>
      </c>
      <c r="Q63" t="n">
        <v>1</v>
      </c>
      <c r="R63" s="2" t="inlineStr">
        <is>
          <t>Vårtsporigt stålskinn</t>
        </is>
      </c>
      <c r="S63">
        <f>HYPERLINK("https://klasma.github.io/Logging_2085/artfynd/A 41028-2022 artfynd.xlsx", "A 41028-2022")</f>
        <v/>
      </c>
      <c r="T63">
        <f>HYPERLINK("https://klasma.github.io/Logging_2085/kartor/A 41028-2022 karta.png", "A 41028-2022")</f>
        <v/>
      </c>
      <c r="V63">
        <f>HYPERLINK("https://klasma.github.io/Logging_2085/klagomål/A 41028-2022 FSC-klagomål.docx", "A 41028-2022")</f>
        <v/>
      </c>
      <c r="W63">
        <f>HYPERLINK("https://klasma.github.io/Logging_2085/klagomålsmail/A 41028-2022 FSC-klagomål mail.docx", "A 41028-2022")</f>
        <v/>
      </c>
      <c r="X63">
        <f>HYPERLINK("https://klasma.github.io/Logging_2085/tillsyn/A 41028-2022 tillsynsbegäran.docx", "A 41028-2022")</f>
        <v/>
      </c>
      <c r="Y63">
        <f>HYPERLINK("https://klasma.github.io/Logging_2085/tillsynsmail/A 41028-2022 tillsynsbegäran mail.docx", "A 41028-2022")</f>
        <v/>
      </c>
    </row>
    <row r="64" ht="15" customHeight="1">
      <c r="A64" t="inlineStr">
        <is>
          <t>A 42558-2022</t>
        </is>
      </c>
      <c r="B64" s="1" t="n">
        <v>44831</v>
      </c>
      <c r="C64" s="1" t="n">
        <v>45852</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42758-2022</t>
        </is>
      </c>
      <c r="B65" s="1" t="n">
        <v>44832</v>
      </c>
      <c r="C65" s="1" t="n">
        <v>45852</v>
      </c>
      <c r="D65" t="inlineStr">
        <is>
          <t>DALARNAS LÄN</t>
        </is>
      </c>
      <c r="E65" t="inlineStr">
        <is>
          <t>LUDVIKA</t>
        </is>
      </c>
      <c r="F65" t="inlineStr">
        <is>
          <t>Bergvik skog väst AB</t>
        </is>
      </c>
      <c r="G65" t="n">
        <v>1.6</v>
      </c>
      <c r="H65" t="n">
        <v>0</v>
      </c>
      <c r="I65" t="n">
        <v>0</v>
      </c>
      <c r="J65" t="n">
        <v>0</v>
      </c>
      <c r="K65" t="n">
        <v>1</v>
      </c>
      <c r="L65" t="n">
        <v>0</v>
      </c>
      <c r="M65" t="n">
        <v>0</v>
      </c>
      <c r="N65" t="n">
        <v>0</v>
      </c>
      <c r="O65" t="n">
        <v>1</v>
      </c>
      <c r="P65" t="n">
        <v>1</v>
      </c>
      <c r="Q65" t="n">
        <v>1</v>
      </c>
      <c r="R65" s="2" t="inlineStr">
        <is>
          <t>Aspgelélav</t>
        </is>
      </c>
      <c r="S65">
        <f>HYPERLINK("https://klasma.github.io/Logging_2085/artfynd/A 42758-2022 artfynd.xlsx", "A 42758-2022")</f>
        <v/>
      </c>
      <c r="T65">
        <f>HYPERLINK("https://klasma.github.io/Logging_2085/kartor/A 42758-2022 karta.png", "A 42758-2022")</f>
        <v/>
      </c>
      <c r="V65">
        <f>HYPERLINK("https://klasma.github.io/Logging_2085/klagomål/A 42758-2022 FSC-klagomål.docx", "A 42758-2022")</f>
        <v/>
      </c>
      <c r="W65">
        <f>HYPERLINK("https://klasma.github.io/Logging_2085/klagomålsmail/A 42758-2022 FSC-klagomål mail.docx", "A 42758-2022")</f>
        <v/>
      </c>
      <c r="X65">
        <f>HYPERLINK("https://klasma.github.io/Logging_2085/tillsyn/A 42758-2022 tillsynsbegäran.docx", "A 42758-2022")</f>
        <v/>
      </c>
      <c r="Y65">
        <f>HYPERLINK("https://klasma.github.io/Logging_2085/tillsynsmail/A 42758-2022 tillsynsbegäran mail.docx", "A 42758-2022")</f>
        <v/>
      </c>
    </row>
    <row r="66" ht="15" customHeight="1">
      <c r="A66" t="inlineStr">
        <is>
          <t>A 52452-2022</t>
        </is>
      </c>
      <c r="B66" s="1" t="n">
        <v>44874</v>
      </c>
      <c r="C66" s="1" t="n">
        <v>45852</v>
      </c>
      <c r="D66" t="inlineStr">
        <is>
          <t>DALARNAS LÄN</t>
        </is>
      </c>
      <c r="E66" t="inlineStr">
        <is>
          <t>LUDVIKA</t>
        </is>
      </c>
      <c r="F66" t="inlineStr">
        <is>
          <t>Bergvik skog väst AB</t>
        </is>
      </c>
      <c r="G66" t="n">
        <v>1.9</v>
      </c>
      <c r="H66" t="n">
        <v>0</v>
      </c>
      <c r="I66" t="n">
        <v>0</v>
      </c>
      <c r="J66" t="n">
        <v>1</v>
      </c>
      <c r="K66" t="n">
        <v>0</v>
      </c>
      <c r="L66" t="n">
        <v>0</v>
      </c>
      <c r="M66" t="n">
        <v>0</v>
      </c>
      <c r="N66" t="n">
        <v>0</v>
      </c>
      <c r="O66" t="n">
        <v>1</v>
      </c>
      <c r="P66" t="n">
        <v>0</v>
      </c>
      <c r="Q66" t="n">
        <v>1</v>
      </c>
      <c r="R66" s="2" t="inlineStr">
        <is>
          <t>Garnlav</t>
        </is>
      </c>
      <c r="S66">
        <f>HYPERLINK("https://klasma.github.io/Logging_2085/artfynd/A 52452-2022 artfynd.xlsx", "A 52452-2022")</f>
        <v/>
      </c>
      <c r="T66">
        <f>HYPERLINK("https://klasma.github.io/Logging_2085/kartor/A 52452-2022 karta.png", "A 52452-2022")</f>
        <v/>
      </c>
      <c r="V66">
        <f>HYPERLINK("https://klasma.github.io/Logging_2085/klagomål/A 52452-2022 FSC-klagomål.docx", "A 52452-2022")</f>
        <v/>
      </c>
      <c r="W66">
        <f>HYPERLINK("https://klasma.github.io/Logging_2085/klagomålsmail/A 52452-2022 FSC-klagomål mail.docx", "A 52452-2022")</f>
        <v/>
      </c>
      <c r="X66">
        <f>HYPERLINK("https://klasma.github.io/Logging_2085/tillsyn/A 52452-2022 tillsynsbegäran.docx", "A 52452-2022")</f>
        <v/>
      </c>
      <c r="Y66">
        <f>HYPERLINK("https://klasma.github.io/Logging_2085/tillsynsmail/A 52452-2022 tillsynsbegäran mail.docx", "A 52452-2022")</f>
        <v/>
      </c>
    </row>
    <row r="67" ht="15" customHeight="1">
      <c r="A67" t="inlineStr">
        <is>
          <t>A 55550-2022</t>
        </is>
      </c>
      <c r="B67" s="1" t="n">
        <v>44888</v>
      </c>
      <c r="C67" s="1" t="n">
        <v>45852</v>
      </c>
      <c r="D67" t="inlineStr">
        <is>
          <t>DALARNAS LÄN</t>
        </is>
      </c>
      <c r="E67" t="inlineStr">
        <is>
          <t>LUDVIKA</t>
        </is>
      </c>
      <c r="F67" t="inlineStr">
        <is>
          <t>Bergvik skog väst AB</t>
        </is>
      </c>
      <c r="G67" t="n">
        <v>1.1</v>
      </c>
      <c r="H67" t="n">
        <v>0</v>
      </c>
      <c r="I67" t="n">
        <v>1</v>
      </c>
      <c r="J67" t="n">
        <v>0</v>
      </c>
      <c r="K67" t="n">
        <v>0</v>
      </c>
      <c r="L67" t="n">
        <v>0</v>
      </c>
      <c r="M67" t="n">
        <v>0</v>
      </c>
      <c r="N67" t="n">
        <v>0</v>
      </c>
      <c r="O67" t="n">
        <v>0</v>
      </c>
      <c r="P67" t="n">
        <v>0</v>
      </c>
      <c r="Q67" t="n">
        <v>1</v>
      </c>
      <c r="R67" s="2" t="inlineStr">
        <is>
          <t>Ögonpyrola</t>
        </is>
      </c>
      <c r="S67">
        <f>HYPERLINK("https://klasma.github.io/Logging_2085/artfynd/A 55550-2022 artfynd.xlsx", "A 55550-2022")</f>
        <v/>
      </c>
      <c r="T67">
        <f>HYPERLINK("https://klasma.github.io/Logging_2085/kartor/A 55550-2022 karta.png", "A 55550-2022")</f>
        <v/>
      </c>
      <c r="V67">
        <f>HYPERLINK("https://klasma.github.io/Logging_2085/klagomål/A 55550-2022 FSC-klagomål.docx", "A 55550-2022")</f>
        <v/>
      </c>
      <c r="W67">
        <f>HYPERLINK("https://klasma.github.io/Logging_2085/klagomålsmail/A 55550-2022 FSC-klagomål mail.docx", "A 55550-2022")</f>
        <v/>
      </c>
      <c r="X67">
        <f>HYPERLINK("https://klasma.github.io/Logging_2085/tillsyn/A 55550-2022 tillsynsbegäran.docx", "A 55550-2022")</f>
        <v/>
      </c>
      <c r="Y67">
        <f>HYPERLINK("https://klasma.github.io/Logging_2085/tillsynsmail/A 55550-2022 tillsynsbegäran mail.docx", "A 55550-2022")</f>
        <v/>
      </c>
    </row>
    <row r="68" ht="15" customHeight="1">
      <c r="A68" t="inlineStr">
        <is>
          <t>A 381-2023</t>
        </is>
      </c>
      <c r="B68" s="1" t="n">
        <v>44929</v>
      </c>
      <c r="C68" s="1" t="n">
        <v>45852</v>
      </c>
      <c r="D68" t="inlineStr">
        <is>
          <t>DALARNAS LÄN</t>
        </is>
      </c>
      <c r="E68" t="inlineStr">
        <is>
          <t>LUDVIKA</t>
        </is>
      </c>
      <c r="G68" t="n">
        <v>7.9</v>
      </c>
      <c r="H68" t="n">
        <v>1</v>
      </c>
      <c r="I68" t="n">
        <v>0</v>
      </c>
      <c r="J68" t="n">
        <v>0</v>
      </c>
      <c r="K68" t="n">
        <v>0</v>
      </c>
      <c r="L68" t="n">
        <v>0</v>
      </c>
      <c r="M68" t="n">
        <v>0</v>
      </c>
      <c r="N68" t="n">
        <v>0</v>
      </c>
      <c r="O68" t="n">
        <v>0</v>
      </c>
      <c r="P68" t="n">
        <v>0</v>
      </c>
      <c r="Q68" t="n">
        <v>1</v>
      </c>
      <c r="R68" s="2" t="inlineStr">
        <is>
          <t>Fläcknycklar</t>
        </is>
      </c>
      <c r="S68">
        <f>HYPERLINK("https://klasma.github.io/Logging_2085/artfynd/A 381-2023 artfynd.xlsx", "A 381-2023")</f>
        <v/>
      </c>
      <c r="T68">
        <f>HYPERLINK("https://klasma.github.io/Logging_2085/kartor/A 381-2023 karta.png", "A 381-2023")</f>
        <v/>
      </c>
      <c r="V68">
        <f>HYPERLINK("https://klasma.github.io/Logging_2085/klagomål/A 381-2023 FSC-klagomål.docx", "A 381-2023")</f>
        <v/>
      </c>
      <c r="W68">
        <f>HYPERLINK("https://klasma.github.io/Logging_2085/klagomålsmail/A 381-2023 FSC-klagomål mail.docx", "A 381-2023")</f>
        <v/>
      </c>
      <c r="X68">
        <f>HYPERLINK("https://klasma.github.io/Logging_2085/tillsyn/A 381-2023 tillsynsbegäran.docx", "A 381-2023")</f>
        <v/>
      </c>
      <c r="Y68">
        <f>HYPERLINK("https://klasma.github.io/Logging_2085/tillsynsmail/A 381-2023 tillsynsbegäran mail.docx", "A 381-2023")</f>
        <v/>
      </c>
    </row>
    <row r="69" ht="15" customHeight="1">
      <c r="A69" t="inlineStr">
        <is>
          <t>A 17310-2023</t>
        </is>
      </c>
      <c r="B69" s="1" t="n">
        <v>45035</v>
      </c>
      <c r="C69" s="1" t="n">
        <v>45852</v>
      </c>
      <c r="D69" t="inlineStr">
        <is>
          <t>DALARNAS LÄN</t>
        </is>
      </c>
      <c r="E69" t="inlineStr">
        <is>
          <t>LUDVIKA</t>
        </is>
      </c>
      <c r="G69" t="n">
        <v>10.2</v>
      </c>
      <c r="H69" t="n">
        <v>0</v>
      </c>
      <c r="I69" t="n">
        <v>0</v>
      </c>
      <c r="J69" t="n">
        <v>1</v>
      </c>
      <c r="K69" t="n">
        <v>0</v>
      </c>
      <c r="L69" t="n">
        <v>0</v>
      </c>
      <c r="M69" t="n">
        <v>0</v>
      </c>
      <c r="N69" t="n">
        <v>0</v>
      </c>
      <c r="O69" t="n">
        <v>1</v>
      </c>
      <c r="P69" t="n">
        <v>0</v>
      </c>
      <c r="Q69" t="n">
        <v>1</v>
      </c>
      <c r="R69" s="2" t="inlineStr">
        <is>
          <t>Barrpraktbagge</t>
        </is>
      </c>
      <c r="S69">
        <f>HYPERLINK("https://klasma.github.io/Logging_2085/artfynd/A 17310-2023 artfynd.xlsx", "A 17310-2023")</f>
        <v/>
      </c>
      <c r="T69">
        <f>HYPERLINK("https://klasma.github.io/Logging_2085/kartor/A 17310-2023 karta.png", "A 17310-2023")</f>
        <v/>
      </c>
      <c r="V69">
        <f>HYPERLINK("https://klasma.github.io/Logging_2085/klagomål/A 17310-2023 FSC-klagomål.docx", "A 17310-2023")</f>
        <v/>
      </c>
      <c r="W69">
        <f>HYPERLINK("https://klasma.github.io/Logging_2085/klagomålsmail/A 17310-2023 FSC-klagomål mail.docx", "A 17310-2023")</f>
        <v/>
      </c>
      <c r="X69">
        <f>HYPERLINK("https://klasma.github.io/Logging_2085/tillsyn/A 17310-2023 tillsynsbegäran.docx", "A 17310-2023")</f>
        <v/>
      </c>
      <c r="Y69">
        <f>HYPERLINK("https://klasma.github.io/Logging_2085/tillsynsmail/A 17310-2023 tillsynsbegäran mail.docx", "A 17310-2023")</f>
        <v/>
      </c>
    </row>
    <row r="70" ht="15" customHeight="1">
      <c r="A70" t="inlineStr">
        <is>
          <t>A 18298-2023</t>
        </is>
      </c>
      <c r="B70" s="1" t="n">
        <v>45041</v>
      </c>
      <c r="C70" s="1" t="n">
        <v>45852</v>
      </c>
      <c r="D70" t="inlineStr">
        <is>
          <t>DALARNAS LÄN</t>
        </is>
      </c>
      <c r="E70" t="inlineStr">
        <is>
          <t>LUDVIKA</t>
        </is>
      </c>
      <c r="G70" t="n">
        <v>3.4</v>
      </c>
      <c r="H70" t="n">
        <v>1</v>
      </c>
      <c r="I70" t="n">
        <v>0</v>
      </c>
      <c r="J70" t="n">
        <v>0</v>
      </c>
      <c r="K70" t="n">
        <v>0</v>
      </c>
      <c r="L70" t="n">
        <v>0</v>
      </c>
      <c r="M70" t="n">
        <v>0</v>
      </c>
      <c r="N70" t="n">
        <v>0</v>
      </c>
      <c r="O70" t="n">
        <v>0</v>
      </c>
      <c r="P70" t="n">
        <v>0</v>
      </c>
      <c r="Q70" t="n">
        <v>1</v>
      </c>
      <c r="R70" s="2" t="inlineStr">
        <is>
          <t>Fläcknycklar</t>
        </is>
      </c>
      <c r="S70">
        <f>HYPERLINK("https://klasma.github.io/Logging_2085/artfynd/A 18298-2023 artfynd.xlsx", "A 18298-2023")</f>
        <v/>
      </c>
      <c r="T70">
        <f>HYPERLINK("https://klasma.github.io/Logging_2085/kartor/A 18298-2023 karta.png", "A 18298-2023")</f>
        <v/>
      </c>
      <c r="V70">
        <f>HYPERLINK("https://klasma.github.io/Logging_2085/klagomål/A 18298-2023 FSC-klagomål.docx", "A 18298-2023")</f>
        <v/>
      </c>
      <c r="W70">
        <f>HYPERLINK("https://klasma.github.io/Logging_2085/klagomålsmail/A 18298-2023 FSC-klagomål mail.docx", "A 18298-2023")</f>
        <v/>
      </c>
      <c r="X70">
        <f>HYPERLINK("https://klasma.github.io/Logging_2085/tillsyn/A 18298-2023 tillsynsbegäran.docx", "A 18298-2023")</f>
        <v/>
      </c>
      <c r="Y70">
        <f>HYPERLINK("https://klasma.github.io/Logging_2085/tillsynsmail/A 18298-2023 tillsynsbegäran mail.docx", "A 18298-2023")</f>
        <v/>
      </c>
    </row>
    <row r="71" ht="15" customHeight="1">
      <c r="A71" t="inlineStr">
        <is>
          <t>A 25588-2023</t>
        </is>
      </c>
      <c r="B71" s="1" t="n">
        <v>45089</v>
      </c>
      <c r="C71" s="1" t="n">
        <v>45852</v>
      </c>
      <c r="D71" t="inlineStr">
        <is>
          <t>DALARNAS LÄN</t>
        </is>
      </c>
      <c r="E71" t="inlineStr">
        <is>
          <t>LUDVIKA</t>
        </is>
      </c>
      <c r="G71" t="n">
        <v>9.4</v>
      </c>
      <c r="H71" t="n">
        <v>0</v>
      </c>
      <c r="I71" t="n">
        <v>0</v>
      </c>
      <c r="J71" t="n">
        <v>1</v>
      </c>
      <c r="K71" t="n">
        <v>0</v>
      </c>
      <c r="L71" t="n">
        <v>0</v>
      </c>
      <c r="M71" t="n">
        <v>0</v>
      </c>
      <c r="N71" t="n">
        <v>0</v>
      </c>
      <c r="O71" t="n">
        <v>1</v>
      </c>
      <c r="P71" t="n">
        <v>0</v>
      </c>
      <c r="Q71" t="n">
        <v>1</v>
      </c>
      <c r="R71" s="2" t="inlineStr">
        <is>
          <t>Garnlav</t>
        </is>
      </c>
      <c r="S71">
        <f>HYPERLINK("https://klasma.github.io/Logging_2085/artfynd/A 25588-2023 artfynd.xlsx", "A 25588-2023")</f>
        <v/>
      </c>
      <c r="T71">
        <f>HYPERLINK("https://klasma.github.io/Logging_2085/kartor/A 25588-2023 karta.png", "A 25588-2023")</f>
        <v/>
      </c>
      <c r="V71">
        <f>HYPERLINK("https://klasma.github.io/Logging_2085/klagomål/A 25588-2023 FSC-klagomål.docx", "A 25588-2023")</f>
        <v/>
      </c>
      <c r="W71">
        <f>HYPERLINK("https://klasma.github.io/Logging_2085/klagomålsmail/A 25588-2023 FSC-klagomål mail.docx", "A 25588-2023")</f>
        <v/>
      </c>
      <c r="X71">
        <f>HYPERLINK("https://klasma.github.io/Logging_2085/tillsyn/A 25588-2023 tillsynsbegäran.docx", "A 25588-2023")</f>
        <v/>
      </c>
      <c r="Y71">
        <f>HYPERLINK("https://klasma.github.io/Logging_2085/tillsynsmail/A 25588-2023 tillsynsbegäran mail.docx", "A 25588-2023")</f>
        <v/>
      </c>
    </row>
    <row r="72" ht="15" customHeight="1">
      <c r="A72" t="inlineStr">
        <is>
          <t>A 26850-2023</t>
        </is>
      </c>
      <c r="B72" s="1" t="n">
        <v>45093</v>
      </c>
      <c r="C72" s="1" t="n">
        <v>45852</v>
      </c>
      <c r="D72" t="inlineStr">
        <is>
          <t>DALARNAS LÄN</t>
        </is>
      </c>
      <c r="E72" t="inlineStr">
        <is>
          <t>LUDVIKA</t>
        </is>
      </c>
      <c r="F72" t="inlineStr">
        <is>
          <t>Naturvårdsverket</t>
        </is>
      </c>
      <c r="G72" t="n">
        <v>2.7</v>
      </c>
      <c r="H72" t="n">
        <v>0</v>
      </c>
      <c r="I72" t="n">
        <v>0</v>
      </c>
      <c r="J72" t="n">
        <v>1</v>
      </c>
      <c r="K72" t="n">
        <v>0</v>
      </c>
      <c r="L72" t="n">
        <v>0</v>
      </c>
      <c r="M72" t="n">
        <v>0</v>
      </c>
      <c r="N72" t="n">
        <v>0</v>
      </c>
      <c r="O72" t="n">
        <v>1</v>
      </c>
      <c r="P72" t="n">
        <v>0</v>
      </c>
      <c r="Q72" t="n">
        <v>1</v>
      </c>
      <c r="R72" s="2" t="inlineStr">
        <is>
          <t>Motaggsvamp</t>
        </is>
      </c>
      <c r="S72">
        <f>HYPERLINK("https://klasma.github.io/Logging_2085/artfynd/A 26850-2023 artfynd.xlsx", "A 26850-2023")</f>
        <v/>
      </c>
      <c r="T72">
        <f>HYPERLINK("https://klasma.github.io/Logging_2085/kartor/A 26850-2023 karta.png", "A 26850-2023")</f>
        <v/>
      </c>
      <c r="V72">
        <f>HYPERLINK("https://klasma.github.io/Logging_2085/klagomål/A 26850-2023 FSC-klagomål.docx", "A 26850-2023")</f>
        <v/>
      </c>
      <c r="W72">
        <f>HYPERLINK("https://klasma.github.io/Logging_2085/klagomålsmail/A 26850-2023 FSC-klagomål mail.docx", "A 26850-2023")</f>
        <v/>
      </c>
      <c r="X72">
        <f>HYPERLINK("https://klasma.github.io/Logging_2085/tillsyn/A 26850-2023 tillsynsbegäran.docx", "A 26850-2023")</f>
        <v/>
      </c>
      <c r="Y72">
        <f>HYPERLINK("https://klasma.github.io/Logging_2085/tillsynsmail/A 26850-2023 tillsynsbegäran mail.docx", "A 26850-2023")</f>
        <v/>
      </c>
    </row>
    <row r="73" ht="15" customHeight="1">
      <c r="A73" t="inlineStr">
        <is>
          <t>A 29144-2023</t>
        </is>
      </c>
      <c r="B73" s="1" t="n">
        <v>45105</v>
      </c>
      <c r="C73" s="1" t="n">
        <v>45852</v>
      </c>
      <c r="D73" t="inlineStr">
        <is>
          <t>DALARNAS LÄN</t>
        </is>
      </c>
      <c r="E73" t="inlineStr">
        <is>
          <t>LUDVIKA</t>
        </is>
      </c>
      <c r="F73" t="inlineStr">
        <is>
          <t>Allmännings- och besparingsskogar</t>
        </is>
      </c>
      <c r="G73" t="n">
        <v>7.2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30053-2023</t>
        </is>
      </c>
      <c r="B74" s="1" t="n">
        <v>45110</v>
      </c>
      <c r="C74" s="1" t="n">
        <v>45852</v>
      </c>
      <c r="D74" t="inlineStr">
        <is>
          <t>DALARNAS LÄN</t>
        </is>
      </c>
      <c r="E74" t="inlineStr">
        <is>
          <t>LUDVIKA</t>
        </is>
      </c>
      <c r="F74" t="inlineStr">
        <is>
          <t>Bergvik skog väst AB</t>
        </is>
      </c>
      <c r="G74" t="n">
        <v>6.8</v>
      </c>
      <c r="H74" t="n">
        <v>0</v>
      </c>
      <c r="I74" t="n">
        <v>0</v>
      </c>
      <c r="J74" t="n">
        <v>1</v>
      </c>
      <c r="K74" t="n">
        <v>0</v>
      </c>
      <c r="L74" t="n">
        <v>0</v>
      </c>
      <c r="M74" t="n">
        <v>0</v>
      </c>
      <c r="N74" t="n">
        <v>0</v>
      </c>
      <c r="O74" t="n">
        <v>1</v>
      </c>
      <c r="P74" t="n">
        <v>0</v>
      </c>
      <c r="Q74" t="n">
        <v>1</v>
      </c>
      <c r="R74" s="2" t="inlineStr">
        <is>
          <t>Garnlav</t>
        </is>
      </c>
      <c r="S74">
        <f>HYPERLINK("https://klasma.github.io/Logging_2085/artfynd/A 30053-2023 artfynd.xlsx", "A 30053-2023")</f>
        <v/>
      </c>
      <c r="T74">
        <f>HYPERLINK("https://klasma.github.io/Logging_2085/kartor/A 30053-2023 karta.png", "A 30053-2023")</f>
        <v/>
      </c>
      <c r="V74">
        <f>HYPERLINK("https://klasma.github.io/Logging_2085/klagomål/A 30053-2023 FSC-klagomål.docx", "A 30053-2023")</f>
        <v/>
      </c>
      <c r="W74">
        <f>HYPERLINK("https://klasma.github.io/Logging_2085/klagomålsmail/A 30053-2023 FSC-klagomål mail.docx", "A 30053-2023")</f>
        <v/>
      </c>
      <c r="X74">
        <f>HYPERLINK("https://klasma.github.io/Logging_2085/tillsyn/A 30053-2023 tillsynsbegäran.docx", "A 30053-2023")</f>
        <v/>
      </c>
      <c r="Y74">
        <f>HYPERLINK("https://klasma.github.io/Logging_2085/tillsynsmail/A 30053-2023 tillsynsbegäran mail.docx", "A 30053-2023")</f>
        <v/>
      </c>
    </row>
    <row r="75" ht="15" customHeight="1">
      <c r="A75" t="inlineStr">
        <is>
          <t>A 33055-2023</t>
        </is>
      </c>
      <c r="B75" s="1" t="n">
        <v>45126</v>
      </c>
      <c r="C75" s="1" t="n">
        <v>45852</v>
      </c>
      <c r="D75" t="inlineStr">
        <is>
          <t>DALARNAS LÄN</t>
        </is>
      </c>
      <c r="E75" t="inlineStr">
        <is>
          <t>LUDVIKA</t>
        </is>
      </c>
      <c r="F75" t="inlineStr">
        <is>
          <t>Bergvik skog väst AB</t>
        </is>
      </c>
      <c r="G75" t="n">
        <v>6</v>
      </c>
      <c r="H75" t="n">
        <v>0</v>
      </c>
      <c r="I75" t="n">
        <v>1</v>
      </c>
      <c r="J75" t="n">
        <v>0</v>
      </c>
      <c r="K75" t="n">
        <v>0</v>
      </c>
      <c r="L75" t="n">
        <v>0</v>
      </c>
      <c r="M75" t="n">
        <v>0</v>
      </c>
      <c r="N75" t="n">
        <v>0</v>
      </c>
      <c r="O75" t="n">
        <v>0</v>
      </c>
      <c r="P75" t="n">
        <v>0</v>
      </c>
      <c r="Q75" t="n">
        <v>1</v>
      </c>
      <c r="R75" s="2" t="inlineStr">
        <is>
          <t>Vedticka</t>
        </is>
      </c>
      <c r="S75">
        <f>HYPERLINK("https://klasma.github.io/Logging_2085/artfynd/A 33055-2023 artfynd.xlsx", "A 33055-2023")</f>
        <v/>
      </c>
      <c r="T75">
        <f>HYPERLINK("https://klasma.github.io/Logging_2085/kartor/A 33055-2023 karta.png", "A 33055-2023")</f>
        <v/>
      </c>
      <c r="V75">
        <f>HYPERLINK("https://klasma.github.io/Logging_2085/klagomål/A 33055-2023 FSC-klagomål.docx", "A 33055-2023")</f>
        <v/>
      </c>
      <c r="W75">
        <f>HYPERLINK("https://klasma.github.io/Logging_2085/klagomålsmail/A 33055-2023 FSC-klagomål mail.docx", "A 33055-2023")</f>
        <v/>
      </c>
      <c r="X75">
        <f>HYPERLINK("https://klasma.github.io/Logging_2085/tillsyn/A 33055-2023 tillsynsbegäran.docx", "A 33055-2023")</f>
        <v/>
      </c>
      <c r="Y75">
        <f>HYPERLINK("https://klasma.github.io/Logging_2085/tillsynsmail/A 33055-2023 tillsynsbegäran mail.docx", "A 33055-2023")</f>
        <v/>
      </c>
    </row>
    <row r="76" ht="15" customHeight="1">
      <c r="A76" t="inlineStr">
        <is>
          <t>A 34539-2023</t>
        </is>
      </c>
      <c r="B76" s="1" t="n">
        <v>45140</v>
      </c>
      <c r="C76" s="1" t="n">
        <v>45852</v>
      </c>
      <c r="D76" t="inlineStr">
        <is>
          <t>DALARNAS LÄN</t>
        </is>
      </c>
      <c r="E76" t="inlineStr">
        <is>
          <t>LUDVIKA</t>
        </is>
      </c>
      <c r="F76" t="inlineStr">
        <is>
          <t>Bergvik skog väst AB</t>
        </is>
      </c>
      <c r="G76" t="n">
        <v>6.1</v>
      </c>
      <c r="H76" t="n">
        <v>1</v>
      </c>
      <c r="I76" t="n">
        <v>0</v>
      </c>
      <c r="J76" t="n">
        <v>0</v>
      </c>
      <c r="K76" t="n">
        <v>0</v>
      </c>
      <c r="L76" t="n">
        <v>0</v>
      </c>
      <c r="M76" t="n">
        <v>0</v>
      </c>
      <c r="N76" t="n">
        <v>0</v>
      </c>
      <c r="O76" t="n">
        <v>0</v>
      </c>
      <c r="P76" t="n">
        <v>0</v>
      </c>
      <c r="Q76" t="n">
        <v>1</v>
      </c>
      <c r="R76" s="2" t="inlineStr">
        <is>
          <t>Gullviva</t>
        </is>
      </c>
      <c r="S76">
        <f>HYPERLINK("https://klasma.github.io/Logging_2085/artfynd/A 34539-2023 artfynd.xlsx", "A 34539-2023")</f>
        <v/>
      </c>
      <c r="T76">
        <f>HYPERLINK("https://klasma.github.io/Logging_2085/kartor/A 34539-2023 karta.png", "A 34539-2023")</f>
        <v/>
      </c>
      <c r="V76">
        <f>HYPERLINK("https://klasma.github.io/Logging_2085/klagomål/A 34539-2023 FSC-klagomål.docx", "A 34539-2023")</f>
        <v/>
      </c>
      <c r="W76">
        <f>HYPERLINK("https://klasma.github.io/Logging_2085/klagomålsmail/A 34539-2023 FSC-klagomål mail.docx", "A 34539-2023")</f>
        <v/>
      </c>
      <c r="X76">
        <f>HYPERLINK("https://klasma.github.io/Logging_2085/tillsyn/A 34539-2023 tillsynsbegäran.docx", "A 34539-2023")</f>
        <v/>
      </c>
      <c r="Y76">
        <f>HYPERLINK("https://klasma.github.io/Logging_2085/tillsynsmail/A 34539-2023 tillsynsbegäran mail.docx", "A 34539-2023")</f>
        <v/>
      </c>
    </row>
    <row r="77" ht="15" customHeight="1">
      <c r="A77" t="inlineStr">
        <is>
          <t>A 36559-2023</t>
        </is>
      </c>
      <c r="B77" s="1" t="n">
        <v>45153</v>
      </c>
      <c r="C77" s="1" t="n">
        <v>45852</v>
      </c>
      <c r="D77" t="inlineStr">
        <is>
          <t>DALARNAS LÄN</t>
        </is>
      </c>
      <c r="E77" t="inlineStr">
        <is>
          <t>LUDVIKA</t>
        </is>
      </c>
      <c r="F77" t="inlineStr">
        <is>
          <t>Bergvik skog väst AB</t>
        </is>
      </c>
      <c r="G77" t="n">
        <v>34.7</v>
      </c>
      <c r="H77" t="n">
        <v>0</v>
      </c>
      <c r="I77" t="n">
        <v>0</v>
      </c>
      <c r="J77" t="n">
        <v>1</v>
      </c>
      <c r="K77" t="n">
        <v>0</v>
      </c>
      <c r="L77" t="n">
        <v>0</v>
      </c>
      <c r="M77" t="n">
        <v>0</v>
      </c>
      <c r="N77" t="n">
        <v>0</v>
      </c>
      <c r="O77" t="n">
        <v>1</v>
      </c>
      <c r="P77" t="n">
        <v>0</v>
      </c>
      <c r="Q77" t="n">
        <v>1</v>
      </c>
      <c r="R77" s="2" t="inlineStr">
        <is>
          <t>Garnlav</t>
        </is>
      </c>
      <c r="S77">
        <f>HYPERLINK("https://klasma.github.io/Logging_2085/artfynd/A 36559-2023 artfynd.xlsx", "A 36559-2023")</f>
        <v/>
      </c>
      <c r="T77">
        <f>HYPERLINK("https://klasma.github.io/Logging_2085/kartor/A 36559-2023 karta.png", "A 36559-2023")</f>
        <v/>
      </c>
      <c r="V77">
        <f>HYPERLINK("https://klasma.github.io/Logging_2085/klagomål/A 36559-2023 FSC-klagomål.docx", "A 36559-2023")</f>
        <v/>
      </c>
      <c r="W77">
        <f>HYPERLINK("https://klasma.github.io/Logging_2085/klagomålsmail/A 36559-2023 FSC-klagomål mail.docx", "A 36559-2023")</f>
        <v/>
      </c>
      <c r="X77">
        <f>HYPERLINK("https://klasma.github.io/Logging_2085/tillsyn/A 36559-2023 tillsynsbegäran.docx", "A 36559-2023")</f>
        <v/>
      </c>
      <c r="Y77">
        <f>HYPERLINK("https://klasma.github.io/Logging_2085/tillsynsmail/A 36559-2023 tillsynsbegäran mail.docx", "A 36559-2023")</f>
        <v/>
      </c>
    </row>
    <row r="78" ht="15" customHeight="1">
      <c r="A78" t="inlineStr">
        <is>
          <t>A 42089-2023</t>
        </is>
      </c>
      <c r="B78" s="1" t="n">
        <v>45177</v>
      </c>
      <c r="C78" s="1" t="n">
        <v>45852</v>
      </c>
      <c r="D78" t="inlineStr">
        <is>
          <t>DALARNAS LÄN</t>
        </is>
      </c>
      <c r="E78" t="inlineStr">
        <is>
          <t>LUDVIKA</t>
        </is>
      </c>
      <c r="F78" t="inlineStr">
        <is>
          <t>Bergvik skog väst AB</t>
        </is>
      </c>
      <c r="G78" t="n">
        <v>2.5</v>
      </c>
      <c r="H78" t="n">
        <v>0</v>
      </c>
      <c r="I78" t="n">
        <v>0</v>
      </c>
      <c r="J78" t="n">
        <v>1</v>
      </c>
      <c r="K78" t="n">
        <v>0</v>
      </c>
      <c r="L78" t="n">
        <v>0</v>
      </c>
      <c r="M78" t="n">
        <v>0</v>
      </c>
      <c r="N78" t="n">
        <v>0</v>
      </c>
      <c r="O78" t="n">
        <v>1</v>
      </c>
      <c r="P78" t="n">
        <v>0</v>
      </c>
      <c r="Q78" t="n">
        <v>1</v>
      </c>
      <c r="R78" s="2" t="inlineStr">
        <is>
          <t>Ullticka</t>
        </is>
      </c>
      <c r="S78">
        <f>HYPERLINK("https://klasma.github.io/Logging_2085/artfynd/A 42089-2023 artfynd.xlsx", "A 42089-2023")</f>
        <v/>
      </c>
      <c r="T78">
        <f>HYPERLINK("https://klasma.github.io/Logging_2085/kartor/A 42089-2023 karta.png", "A 42089-2023")</f>
        <v/>
      </c>
      <c r="V78">
        <f>HYPERLINK("https://klasma.github.io/Logging_2085/klagomål/A 42089-2023 FSC-klagomål.docx", "A 42089-2023")</f>
        <v/>
      </c>
      <c r="W78">
        <f>HYPERLINK("https://klasma.github.io/Logging_2085/klagomålsmail/A 42089-2023 FSC-klagomål mail.docx", "A 42089-2023")</f>
        <v/>
      </c>
      <c r="X78">
        <f>HYPERLINK("https://klasma.github.io/Logging_2085/tillsyn/A 42089-2023 tillsynsbegäran.docx", "A 42089-2023")</f>
        <v/>
      </c>
      <c r="Y78">
        <f>HYPERLINK("https://klasma.github.io/Logging_2085/tillsynsmail/A 42089-2023 tillsynsbegäran mail.docx", "A 42089-2023")</f>
        <v/>
      </c>
    </row>
    <row r="79" ht="15" customHeight="1">
      <c r="A79" t="inlineStr">
        <is>
          <t>A 44578-2023</t>
        </is>
      </c>
      <c r="B79" s="1" t="n">
        <v>45189</v>
      </c>
      <c r="C79" s="1" t="n">
        <v>45852</v>
      </c>
      <c r="D79" t="inlineStr">
        <is>
          <t>DALARNAS LÄN</t>
        </is>
      </c>
      <c r="E79" t="inlineStr">
        <is>
          <t>LUDVIKA</t>
        </is>
      </c>
      <c r="F79" t="inlineStr">
        <is>
          <t>Övriga Aktiebolag</t>
        </is>
      </c>
      <c r="G79" t="n">
        <v>12</v>
      </c>
      <c r="H79" t="n">
        <v>0</v>
      </c>
      <c r="I79" t="n">
        <v>0</v>
      </c>
      <c r="J79" t="n">
        <v>1</v>
      </c>
      <c r="K79" t="n">
        <v>0</v>
      </c>
      <c r="L79" t="n">
        <v>0</v>
      </c>
      <c r="M79" t="n">
        <v>0</v>
      </c>
      <c r="N79" t="n">
        <v>0</v>
      </c>
      <c r="O79" t="n">
        <v>1</v>
      </c>
      <c r="P79" t="n">
        <v>0</v>
      </c>
      <c r="Q79" t="n">
        <v>1</v>
      </c>
      <c r="R79" s="2" t="inlineStr">
        <is>
          <t>Dofttaggsvamp</t>
        </is>
      </c>
      <c r="S79">
        <f>HYPERLINK("https://klasma.github.io/Logging_2085/artfynd/A 44578-2023 artfynd.xlsx", "A 44578-2023")</f>
        <v/>
      </c>
      <c r="T79">
        <f>HYPERLINK("https://klasma.github.io/Logging_2085/kartor/A 44578-2023 karta.png", "A 44578-2023")</f>
        <v/>
      </c>
      <c r="V79">
        <f>HYPERLINK("https://klasma.github.io/Logging_2085/klagomål/A 44578-2023 FSC-klagomål.docx", "A 44578-2023")</f>
        <v/>
      </c>
      <c r="W79">
        <f>HYPERLINK("https://klasma.github.io/Logging_2085/klagomålsmail/A 44578-2023 FSC-klagomål mail.docx", "A 44578-2023")</f>
        <v/>
      </c>
      <c r="X79">
        <f>HYPERLINK("https://klasma.github.io/Logging_2085/tillsyn/A 44578-2023 tillsynsbegäran.docx", "A 44578-2023")</f>
        <v/>
      </c>
      <c r="Y79">
        <f>HYPERLINK("https://klasma.github.io/Logging_2085/tillsynsmail/A 44578-2023 tillsynsbegäran mail.docx", "A 44578-2023")</f>
        <v/>
      </c>
    </row>
    <row r="80" ht="15" customHeight="1">
      <c r="A80" t="inlineStr">
        <is>
          <t>A 46398-2023</t>
        </is>
      </c>
      <c r="B80" s="1" t="n">
        <v>45197</v>
      </c>
      <c r="C80" s="1" t="n">
        <v>45852</v>
      </c>
      <c r="D80" t="inlineStr">
        <is>
          <t>DALARNAS LÄN</t>
        </is>
      </c>
      <c r="E80" t="inlineStr">
        <is>
          <t>LUDVIKA</t>
        </is>
      </c>
      <c r="G80" t="n">
        <v>2.1</v>
      </c>
      <c r="H80" t="n">
        <v>1</v>
      </c>
      <c r="I80" t="n">
        <v>0</v>
      </c>
      <c r="J80" t="n">
        <v>0</v>
      </c>
      <c r="K80" t="n">
        <v>1</v>
      </c>
      <c r="L80" t="n">
        <v>0</v>
      </c>
      <c r="M80" t="n">
        <v>0</v>
      </c>
      <c r="N80" t="n">
        <v>0</v>
      </c>
      <c r="O80" t="n">
        <v>1</v>
      </c>
      <c r="P80" t="n">
        <v>1</v>
      </c>
      <c r="Q80" t="n">
        <v>1</v>
      </c>
      <c r="R80" s="2" t="inlineStr">
        <is>
          <t>Knärot</t>
        </is>
      </c>
      <c r="S80">
        <f>HYPERLINK("https://klasma.github.io/Logging_2085/artfynd/A 46398-2023 artfynd.xlsx", "A 46398-2023")</f>
        <v/>
      </c>
      <c r="T80">
        <f>HYPERLINK("https://klasma.github.io/Logging_2085/kartor/A 46398-2023 karta.png", "A 46398-2023")</f>
        <v/>
      </c>
      <c r="U80">
        <f>HYPERLINK("https://klasma.github.io/Logging_2085/knärot/A 46398-2023 karta knärot.png", "A 46398-2023")</f>
        <v/>
      </c>
      <c r="V80">
        <f>HYPERLINK("https://klasma.github.io/Logging_2085/klagomål/A 46398-2023 FSC-klagomål.docx", "A 46398-2023")</f>
        <v/>
      </c>
      <c r="W80">
        <f>HYPERLINK("https://klasma.github.io/Logging_2085/klagomålsmail/A 46398-2023 FSC-klagomål mail.docx", "A 46398-2023")</f>
        <v/>
      </c>
      <c r="X80">
        <f>HYPERLINK("https://klasma.github.io/Logging_2085/tillsyn/A 46398-2023 tillsynsbegäran.docx", "A 46398-2023")</f>
        <v/>
      </c>
      <c r="Y80">
        <f>HYPERLINK("https://klasma.github.io/Logging_2085/tillsynsmail/A 46398-2023 tillsynsbegäran mail.docx", "A 46398-2023")</f>
        <v/>
      </c>
    </row>
    <row r="81" ht="15" customHeight="1">
      <c r="A81" t="inlineStr">
        <is>
          <t>A 47429-2023</t>
        </is>
      </c>
      <c r="B81" s="1" t="n">
        <v>45202</v>
      </c>
      <c r="C81" s="1" t="n">
        <v>45852</v>
      </c>
      <c r="D81" t="inlineStr">
        <is>
          <t>DALARNAS LÄN</t>
        </is>
      </c>
      <c r="E81" t="inlineStr">
        <is>
          <t>LUDVIKA</t>
        </is>
      </c>
      <c r="F81" t="inlineStr">
        <is>
          <t>Övriga Aktiebolag</t>
        </is>
      </c>
      <c r="G81" t="n">
        <v>7.4</v>
      </c>
      <c r="H81" t="n">
        <v>1</v>
      </c>
      <c r="I81" t="n">
        <v>0</v>
      </c>
      <c r="J81" t="n">
        <v>0</v>
      </c>
      <c r="K81" t="n">
        <v>0</v>
      </c>
      <c r="L81" t="n">
        <v>0</v>
      </c>
      <c r="M81" t="n">
        <v>0</v>
      </c>
      <c r="N81" t="n">
        <v>0</v>
      </c>
      <c r="O81" t="n">
        <v>0</v>
      </c>
      <c r="P81" t="n">
        <v>0</v>
      </c>
      <c r="Q81" t="n">
        <v>1</v>
      </c>
      <c r="R81" s="2" t="inlineStr">
        <is>
          <t>Sångsvan</t>
        </is>
      </c>
      <c r="S81">
        <f>HYPERLINK("https://klasma.github.io/Logging_2085/artfynd/A 47429-2023 artfynd.xlsx", "A 47429-2023")</f>
        <v/>
      </c>
      <c r="T81">
        <f>HYPERLINK("https://klasma.github.io/Logging_2085/kartor/A 47429-2023 karta.png", "A 47429-2023")</f>
        <v/>
      </c>
      <c r="V81">
        <f>HYPERLINK("https://klasma.github.io/Logging_2085/klagomål/A 47429-2023 FSC-klagomål.docx", "A 47429-2023")</f>
        <v/>
      </c>
      <c r="W81">
        <f>HYPERLINK("https://klasma.github.io/Logging_2085/klagomålsmail/A 47429-2023 FSC-klagomål mail.docx", "A 47429-2023")</f>
        <v/>
      </c>
      <c r="X81">
        <f>HYPERLINK("https://klasma.github.io/Logging_2085/tillsyn/A 47429-2023 tillsynsbegäran.docx", "A 47429-2023")</f>
        <v/>
      </c>
      <c r="Y81">
        <f>HYPERLINK("https://klasma.github.io/Logging_2085/tillsynsmail/A 47429-2023 tillsynsbegäran mail.docx", "A 47429-2023")</f>
        <v/>
      </c>
      <c r="Z81">
        <f>HYPERLINK("https://klasma.github.io/Logging_2085/fåglar/A 47429-2023 prioriterade fågelarter.docx", "A 47429-2023")</f>
        <v/>
      </c>
    </row>
    <row r="82" ht="15" customHeight="1">
      <c r="A82" t="inlineStr">
        <is>
          <t>A 48544-2023</t>
        </is>
      </c>
      <c r="B82" s="1" t="n">
        <v>45208</v>
      </c>
      <c r="C82" s="1" t="n">
        <v>45852</v>
      </c>
      <c r="D82" t="inlineStr">
        <is>
          <t>DALARNAS LÄN</t>
        </is>
      </c>
      <c r="E82" t="inlineStr">
        <is>
          <t>LUDVIKA</t>
        </is>
      </c>
      <c r="F82" t="inlineStr">
        <is>
          <t>Bergvik skog väst AB</t>
        </is>
      </c>
      <c r="G82" t="n">
        <v>0.9</v>
      </c>
      <c r="H82" t="n">
        <v>0</v>
      </c>
      <c r="I82" t="n">
        <v>0</v>
      </c>
      <c r="J82" t="n">
        <v>1</v>
      </c>
      <c r="K82" t="n">
        <v>0</v>
      </c>
      <c r="L82" t="n">
        <v>0</v>
      </c>
      <c r="M82" t="n">
        <v>0</v>
      </c>
      <c r="N82" t="n">
        <v>0</v>
      </c>
      <c r="O82" t="n">
        <v>1</v>
      </c>
      <c r="P82" t="n">
        <v>0</v>
      </c>
      <c r="Q82" t="n">
        <v>1</v>
      </c>
      <c r="R82" s="2" t="inlineStr">
        <is>
          <t>Garnlav</t>
        </is>
      </c>
      <c r="S82">
        <f>HYPERLINK("https://klasma.github.io/Logging_2085/artfynd/A 48544-2023 artfynd.xlsx", "A 48544-2023")</f>
        <v/>
      </c>
      <c r="T82">
        <f>HYPERLINK("https://klasma.github.io/Logging_2085/kartor/A 48544-2023 karta.png", "A 48544-2023")</f>
        <v/>
      </c>
      <c r="V82">
        <f>HYPERLINK("https://klasma.github.io/Logging_2085/klagomål/A 48544-2023 FSC-klagomål.docx", "A 48544-2023")</f>
        <v/>
      </c>
      <c r="W82">
        <f>HYPERLINK("https://klasma.github.io/Logging_2085/klagomålsmail/A 48544-2023 FSC-klagomål mail.docx", "A 48544-2023")</f>
        <v/>
      </c>
      <c r="X82">
        <f>HYPERLINK("https://klasma.github.io/Logging_2085/tillsyn/A 48544-2023 tillsynsbegäran.docx", "A 48544-2023")</f>
        <v/>
      </c>
      <c r="Y82">
        <f>HYPERLINK("https://klasma.github.io/Logging_2085/tillsynsmail/A 48544-2023 tillsynsbegäran mail.docx", "A 48544-2023")</f>
        <v/>
      </c>
    </row>
    <row r="83" ht="15" customHeight="1">
      <c r="A83" t="inlineStr">
        <is>
          <t>A 3809-2024</t>
        </is>
      </c>
      <c r="B83" s="1" t="n">
        <v>45321</v>
      </c>
      <c r="C83" s="1" t="n">
        <v>45852</v>
      </c>
      <c r="D83" t="inlineStr">
        <is>
          <t>DALARNAS LÄN</t>
        </is>
      </c>
      <c r="E83" t="inlineStr">
        <is>
          <t>LUDVIKA</t>
        </is>
      </c>
      <c r="G83" t="n">
        <v>0.5</v>
      </c>
      <c r="H83" t="n">
        <v>1</v>
      </c>
      <c r="I83" t="n">
        <v>0</v>
      </c>
      <c r="J83" t="n">
        <v>0</v>
      </c>
      <c r="K83" t="n">
        <v>0</v>
      </c>
      <c r="L83" t="n">
        <v>0</v>
      </c>
      <c r="M83" t="n">
        <v>0</v>
      </c>
      <c r="N83" t="n">
        <v>0</v>
      </c>
      <c r="O83" t="n">
        <v>0</v>
      </c>
      <c r="P83" t="n">
        <v>0</v>
      </c>
      <c r="Q83" t="n">
        <v>1</v>
      </c>
      <c r="R83" s="2" t="inlineStr">
        <is>
          <t>Fläcknycklar</t>
        </is>
      </c>
      <c r="S83">
        <f>HYPERLINK("https://klasma.github.io/Logging_2085/artfynd/A 3809-2024 artfynd.xlsx", "A 3809-2024")</f>
        <v/>
      </c>
      <c r="T83">
        <f>HYPERLINK("https://klasma.github.io/Logging_2085/kartor/A 3809-2024 karta.png", "A 3809-2024")</f>
        <v/>
      </c>
      <c r="V83">
        <f>HYPERLINK("https://klasma.github.io/Logging_2085/klagomål/A 3809-2024 FSC-klagomål.docx", "A 3809-2024")</f>
        <v/>
      </c>
      <c r="W83">
        <f>HYPERLINK("https://klasma.github.io/Logging_2085/klagomålsmail/A 3809-2024 FSC-klagomål mail.docx", "A 3809-2024")</f>
        <v/>
      </c>
      <c r="X83">
        <f>HYPERLINK("https://klasma.github.io/Logging_2085/tillsyn/A 3809-2024 tillsynsbegäran.docx", "A 3809-2024")</f>
        <v/>
      </c>
      <c r="Y83">
        <f>HYPERLINK("https://klasma.github.io/Logging_2085/tillsynsmail/A 3809-2024 tillsynsbegäran mail.docx", "A 3809-2024")</f>
        <v/>
      </c>
    </row>
    <row r="84" ht="15" customHeight="1">
      <c r="A84" t="inlineStr">
        <is>
          <t>A 9998-2024</t>
        </is>
      </c>
      <c r="B84" s="1" t="n">
        <v>45363</v>
      </c>
      <c r="C84" s="1" t="n">
        <v>45852</v>
      </c>
      <c r="D84" t="inlineStr">
        <is>
          <t>DALARNAS LÄN</t>
        </is>
      </c>
      <c r="E84" t="inlineStr">
        <is>
          <t>LUDVIKA</t>
        </is>
      </c>
      <c r="G84" t="n">
        <v>8.199999999999999</v>
      </c>
      <c r="H84" t="n">
        <v>1</v>
      </c>
      <c r="I84" t="n">
        <v>0</v>
      </c>
      <c r="J84" t="n">
        <v>0</v>
      </c>
      <c r="K84" t="n">
        <v>0</v>
      </c>
      <c r="L84" t="n">
        <v>0</v>
      </c>
      <c r="M84" t="n">
        <v>0</v>
      </c>
      <c r="N84" t="n">
        <v>0</v>
      </c>
      <c r="O84" t="n">
        <v>0</v>
      </c>
      <c r="P84" t="n">
        <v>0</v>
      </c>
      <c r="Q84" t="n">
        <v>1</v>
      </c>
      <c r="R84" s="2" t="inlineStr">
        <is>
          <t>Tjäder</t>
        </is>
      </c>
      <c r="S84">
        <f>HYPERLINK("https://klasma.github.io/Logging_2085/artfynd/A 9998-2024 artfynd.xlsx", "A 9998-2024")</f>
        <v/>
      </c>
      <c r="T84">
        <f>HYPERLINK("https://klasma.github.io/Logging_2085/kartor/A 9998-2024 karta.png", "A 9998-2024")</f>
        <v/>
      </c>
      <c r="V84">
        <f>HYPERLINK("https://klasma.github.io/Logging_2085/klagomål/A 9998-2024 FSC-klagomål.docx", "A 9998-2024")</f>
        <v/>
      </c>
      <c r="W84">
        <f>HYPERLINK("https://klasma.github.io/Logging_2085/klagomålsmail/A 9998-2024 FSC-klagomål mail.docx", "A 9998-2024")</f>
        <v/>
      </c>
      <c r="X84">
        <f>HYPERLINK("https://klasma.github.io/Logging_2085/tillsyn/A 9998-2024 tillsynsbegäran.docx", "A 9998-2024")</f>
        <v/>
      </c>
      <c r="Y84">
        <f>HYPERLINK("https://klasma.github.io/Logging_2085/tillsynsmail/A 9998-2024 tillsynsbegäran mail.docx", "A 9998-2024")</f>
        <v/>
      </c>
      <c r="Z84">
        <f>HYPERLINK("https://klasma.github.io/Logging_2085/fåglar/A 9998-2024 prioriterade fågelarter.docx", "A 9998-2024")</f>
        <v/>
      </c>
    </row>
    <row r="85" ht="15" customHeight="1">
      <c r="A85" t="inlineStr">
        <is>
          <t>A 11705-2024</t>
        </is>
      </c>
      <c r="B85" s="1" t="n">
        <v>45373</v>
      </c>
      <c r="C85" s="1" t="n">
        <v>45852</v>
      </c>
      <c r="D85" t="inlineStr">
        <is>
          <t>DALARNAS LÄN</t>
        </is>
      </c>
      <c r="E85" t="inlineStr">
        <is>
          <t>LUDVIKA</t>
        </is>
      </c>
      <c r="G85" t="n">
        <v>35.4</v>
      </c>
      <c r="H85" t="n">
        <v>0</v>
      </c>
      <c r="I85" t="n">
        <v>0</v>
      </c>
      <c r="J85" t="n">
        <v>1</v>
      </c>
      <c r="K85" t="n">
        <v>0</v>
      </c>
      <c r="L85" t="n">
        <v>0</v>
      </c>
      <c r="M85" t="n">
        <v>0</v>
      </c>
      <c r="N85" t="n">
        <v>0</v>
      </c>
      <c r="O85" t="n">
        <v>1</v>
      </c>
      <c r="P85" t="n">
        <v>0</v>
      </c>
      <c r="Q85" t="n">
        <v>1</v>
      </c>
      <c r="R85" s="2" t="inlineStr">
        <is>
          <t>Brunpudrad nållav</t>
        </is>
      </c>
      <c r="S85">
        <f>HYPERLINK("https://klasma.github.io/Logging_2085/artfynd/A 11705-2024 artfynd.xlsx", "A 11705-2024")</f>
        <v/>
      </c>
      <c r="T85">
        <f>HYPERLINK("https://klasma.github.io/Logging_2085/kartor/A 11705-2024 karta.png", "A 11705-2024")</f>
        <v/>
      </c>
      <c r="V85">
        <f>HYPERLINK("https://klasma.github.io/Logging_2085/klagomål/A 11705-2024 FSC-klagomål.docx", "A 11705-2024")</f>
        <v/>
      </c>
      <c r="W85">
        <f>HYPERLINK("https://klasma.github.io/Logging_2085/klagomålsmail/A 11705-2024 FSC-klagomål mail.docx", "A 11705-2024")</f>
        <v/>
      </c>
      <c r="X85">
        <f>HYPERLINK("https://klasma.github.io/Logging_2085/tillsyn/A 11705-2024 tillsynsbegäran.docx", "A 11705-2024")</f>
        <v/>
      </c>
      <c r="Y85">
        <f>HYPERLINK("https://klasma.github.io/Logging_2085/tillsynsmail/A 11705-2024 tillsynsbegäran mail.docx", "A 11705-2024")</f>
        <v/>
      </c>
    </row>
    <row r="86" ht="15" customHeight="1">
      <c r="A86" t="inlineStr">
        <is>
          <t>A 29161-2024</t>
        </is>
      </c>
      <c r="B86" s="1" t="n">
        <v>45482</v>
      </c>
      <c r="C86" s="1" t="n">
        <v>45852</v>
      </c>
      <c r="D86" t="inlineStr">
        <is>
          <t>DALARNAS LÄN</t>
        </is>
      </c>
      <c r="E86" t="inlineStr">
        <is>
          <t>LUDVIKA</t>
        </is>
      </c>
      <c r="G86" t="n">
        <v>3.4</v>
      </c>
      <c r="H86" t="n">
        <v>0</v>
      </c>
      <c r="I86" t="n">
        <v>0</v>
      </c>
      <c r="J86" t="n">
        <v>1</v>
      </c>
      <c r="K86" t="n">
        <v>0</v>
      </c>
      <c r="L86" t="n">
        <v>0</v>
      </c>
      <c r="M86" t="n">
        <v>0</v>
      </c>
      <c r="N86" t="n">
        <v>0</v>
      </c>
      <c r="O86" t="n">
        <v>1</v>
      </c>
      <c r="P86" t="n">
        <v>0</v>
      </c>
      <c r="Q86" t="n">
        <v>1</v>
      </c>
      <c r="R86" s="2" t="inlineStr">
        <is>
          <t>Ullticka</t>
        </is>
      </c>
      <c r="S86">
        <f>HYPERLINK("https://klasma.github.io/Logging_2085/artfynd/A 29161-2024 artfynd.xlsx", "A 29161-2024")</f>
        <v/>
      </c>
      <c r="T86">
        <f>HYPERLINK("https://klasma.github.io/Logging_2085/kartor/A 29161-2024 karta.png", "A 29161-2024")</f>
        <v/>
      </c>
      <c r="V86">
        <f>HYPERLINK("https://klasma.github.io/Logging_2085/klagomål/A 29161-2024 FSC-klagomål.docx", "A 29161-2024")</f>
        <v/>
      </c>
      <c r="W86">
        <f>HYPERLINK("https://klasma.github.io/Logging_2085/klagomålsmail/A 29161-2024 FSC-klagomål mail.docx", "A 29161-2024")</f>
        <v/>
      </c>
      <c r="X86">
        <f>HYPERLINK("https://klasma.github.io/Logging_2085/tillsyn/A 29161-2024 tillsynsbegäran.docx", "A 29161-2024")</f>
        <v/>
      </c>
      <c r="Y86">
        <f>HYPERLINK("https://klasma.github.io/Logging_2085/tillsynsmail/A 29161-2024 tillsynsbegäran mail.docx", "A 29161-2024")</f>
        <v/>
      </c>
    </row>
    <row r="87" ht="15" customHeight="1">
      <c r="A87" t="inlineStr">
        <is>
          <t>A 31862-2024</t>
        </is>
      </c>
      <c r="B87" s="1" t="n">
        <v>45509</v>
      </c>
      <c r="C87" s="1" t="n">
        <v>45852</v>
      </c>
      <c r="D87" t="inlineStr">
        <is>
          <t>DALARNAS LÄN</t>
        </is>
      </c>
      <c r="E87" t="inlineStr">
        <is>
          <t>LUDVIKA</t>
        </is>
      </c>
      <c r="F87" t="inlineStr">
        <is>
          <t>Bergvik skog väst AB</t>
        </is>
      </c>
      <c r="G87" t="n">
        <v>7.4</v>
      </c>
      <c r="H87" t="n">
        <v>0</v>
      </c>
      <c r="I87" t="n">
        <v>0</v>
      </c>
      <c r="J87" t="n">
        <v>1</v>
      </c>
      <c r="K87" t="n">
        <v>0</v>
      </c>
      <c r="L87" t="n">
        <v>0</v>
      </c>
      <c r="M87" t="n">
        <v>0</v>
      </c>
      <c r="N87" t="n">
        <v>0</v>
      </c>
      <c r="O87" t="n">
        <v>1</v>
      </c>
      <c r="P87" t="n">
        <v>0</v>
      </c>
      <c r="Q87" t="n">
        <v>1</v>
      </c>
      <c r="R87" s="2" t="inlineStr">
        <is>
          <t>Gultoppig fingersvamp</t>
        </is>
      </c>
      <c r="S87">
        <f>HYPERLINK("https://klasma.github.io/Logging_2085/artfynd/A 31862-2024 artfynd.xlsx", "A 31862-2024")</f>
        <v/>
      </c>
      <c r="T87">
        <f>HYPERLINK("https://klasma.github.io/Logging_2085/kartor/A 31862-2024 karta.png", "A 31862-2024")</f>
        <v/>
      </c>
      <c r="V87">
        <f>HYPERLINK("https://klasma.github.io/Logging_2085/klagomål/A 31862-2024 FSC-klagomål.docx", "A 31862-2024")</f>
        <v/>
      </c>
      <c r="W87">
        <f>HYPERLINK("https://klasma.github.io/Logging_2085/klagomålsmail/A 31862-2024 FSC-klagomål mail.docx", "A 31862-2024")</f>
        <v/>
      </c>
      <c r="X87">
        <f>HYPERLINK("https://klasma.github.io/Logging_2085/tillsyn/A 31862-2024 tillsynsbegäran.docx", "A 31862-2024")</f>
        <v/>
      </c>
      <c r="Y87">
        <f>HYPERLINK("https://klasma.github.io/Logging_2085/tillsynsmail/A 31862-2024 tillsynsbegäran mail.docx", "A 31862-2024")</f>
        <v/>
      </c>
    </row>
    <row r="88" ht="15" customHeight="1">
      <c r="A88" t="inlineStr">
        <is>
          <t>A 33155-2024</t>
        </is>
      </c>
      <c r="B88" s="1" t="n">
        <v>45518</v>
      </c>
      <c r="C88" s="1" t="n">
        <v>45852</v>
      </c>
      <c r="D88" t="inlineStr">
        <is>
          <t>DALARNAS LÄN</t>
        </is>
      </c>
      <c r="E88" t="inlineStr">
        <is>
          <t>LUDVIKA</t>
        </is>
      </c>
      <c r="G88" t="n">
        <v>2.9</v>
      </c>
      <c r="H88" t="n">
        <v>0</v>
      </c>
      <c r="I88" t="n">
        <v>0</v>
      </c>
      <c r="J88" t="n">
        <v>1</v>
      </c>
      <c r="K88" t="n">
        <v>0</v>
      </c>
      <c r="L88" t="n">
        <v>0</v>
      </c>
      <c r="M88" t="n">
        <v>0</v>
      </c>
      <c r="N88" t="n">
        <v>0</v>
      </c>
      <c r="O88" t="n">
        <v>1</v>
      </c>
      <c r="P88" t="n">
        <v>0</v>
      </c>
      <c r="Q88" t="n">
        <v>1</v>
      </c>
      <c r="R88" s="2" t="inlineStr">
        <is>
          <t>Brunpudrad nållav</t>
        </is>
      </c>
      <c r="S88">
        <f>HYPERLINK("https://klasma.github.io/Logging_2085/artfynd/A 33155-2024 artfynd.xlsx", "A 33155-2024")</f>
        <v/>
      </c>
      <c r="T88">
        <f>HYPERLINK("https://klasma.github.io/Logging_2085/kartor/A 33155-2024 karta.png", "A 33155-2024")</f>
        <v/>
      </c>
      <c r="V88">
        <f>HYPERLINK("https://klasma.github.io/Logging_2085/klagomål/A 33155-2024 FSC-klagomål.docx", "A 33155-2024")</f>
        <v/>
      </c>
      <c r="W88">
        <f>HYPERLINK("https://klasma.github.io/Logging_2085/klagomålsmail/A 33155-2024 FSC-klagomål mail.docx", "A 33155-2024")</f>
        <v/>
      </c>
      <c r="X88">
        <f>HYPERLINK("https://klasma.github.io/Logging_2085/tillsyn/A 33155-2024 tillsynsbegäran.docx", "A 33155-2024")</f>
        <v/>
      </c>
      <c r="Y88">
        <f>HYPERLINK("https://klasma.github.io/Logging_2085/tillsynsmail/A 33155-2024 tillsynsbegäran mail.docx", "A 33155-2024")</f>
        <v/>
      </c>
    </row>
    <row r="89" ht="15" customHeight="1">
      <c r="A89" t="inlineStr">
        <is>
          <t>A 34844-2024</t>
        </is>
      </c>
      <c r="B89" s="1" t="n">
        <v>45527</v>
      </c>
      <c r="C89" s="1" t="n">
        <v>45852</v>
      </c>
      <c r="D89" t="inlineStr">
        <is>
          <t>DALARNAS LÄN</t>
        </is>
      </c>
      <c r="E89" t="inlineStr">
        <is>
          <t>LUDVIKA</t>
        </is>
      </c>
      <c r="G89" t="n">
        <v>3.2</v>
      </c>
      <c r="H89" t="n">
        <v>1</v>
      </c>
      <c r="I89" t="n">
        <v>0</v>
      </c>
      <c r="J89" t="n">
        <v>0</v>
      </c>
      <c r="K89" t="n">
        <v>1</v>
      </c>
      <c r="L89" t="n">
        <v>0</v>
      </c>
      <c r="M89" t="n">
        <v>0</v>
      </c>
      <c r="N89" t="n">
        <v>0</v>
      </c>
      <c r="O89" t="n">
        <v>1</v>
      </c>
      <c r="P89" t="n">
        <v>1</v>
      </c>
      <c r="Q89" t="n">
        <v>1</v>
      </c>
      <c r="R89" s="2" t="inlineStr">
        <is>
          <t>Knärot</t>
        </is>
      </c>
      <c r="S89">
        <f>HYPERLINK("https://klasma.github.io/Logging_2085/artfynd/A 34844-2024 artfynd.xlsx", "A 34844-2024")</f>
        <v/>
      </c>
      <c r="T89">
        <f>HYPERLINK("https://klasma.github.io/Logging_2085/kartor/A 34844-2024 karta.png", "A 34844-2024")</f>
        <v/>
      </c>
      <c r="U89">
        <f>HYPERLINK("https://klasma.github.io/Logging_2085/knärot/A 34844-2024 karta knärot.png", "A 34844-2024")</f>
        <v/>
      </c>
      <c r="V89">
        <f>HYPERLINK("https://klasma.github.io/Logging_2085/klagomål/A 34844-2024 FSC-klagomål.docx", "A 34844-2024")</f>
        <v/>
      </c>
      <c r="W89">
        <f>HYPERLINK("https://klasma.github.io/Logging_2085/klagomålsmail/A 34844-2024 FSC-klagomål mail.docx", "A 34844-2024")</f>
        <v/>
      </c>
      <c r="X89">
        <f>HYPERLINK("https://klasma.github.io/Logging_2085/tillsyn/A 34844-2024 tillsynsbegäran.docx", "A 34844-2024")</f>
        <v/>
      </c>
      <c r="Y89">
        <f>HYPERLINK("https://klasma.github.io/Logging_2085/tillsynsmail/A 34844-2024 tillsynsbegäran mail.docx", "A 34844-2024")</f>
        <v/>
      </c>
    </row>
    <row r="90" ht="15" customHeight="1">
      <c r="A90" t="inlineStr">
        <is>
          <t>A 37639-2024</t>
        </is>
      </c>
      <c r="B90" s="1" t="n">
        <v>45541</v>
      </c>
      <c r="C90" s="1" t="n">
        <v>45852</v>
      </c>
      <c r="D90" t="inlineStr">
        <is>
          <t>DALARNAS LÄN</t>
        </is>
      </c>
      <c r="E90" t="inlineStr">
        <is>
          <t>LUDVIKA</t>
        </is>
      </c>
      <c r="F90" t="inlineStr">
        <is>
          <t>Bergvik skog väst AB</t>
        </is>
      </c>
      <c r="G90" t="n">
        <v>1.6</v>
      </c>
      <c r="H90" t="n">
        <v>0</v>
      </c>
      <c r="I90" t="n">
        <v>1</v>
      </c>
      <c r="J90" t="n">
        <v>0</v>
      </c>
      <c r="K90" t="n">
        <v>0</v>
      </c>
      <c r="L90" t="n">
        <v>0</v>
      </c>
      <c r="M90" t="n">
        <v>0</v>
      </c>
      <c r="N90" t="n">
        <v>0</v>
      </c>
      <c r="O90" t="n">
        <v>0</v>
      </c>
      <c r="P90" t="n">
        <v>0</v>
      </c>
      <c r="Q90" t="n">
        <v>1</v>
      </c>
      <c r="R90" s="2" t="inlineStr">
        <is>
          <t>Gulnål</t>
        </is>
      </c>
      <c r="S90">
        <f>HYPERLINK("https://klasma.github.io/Logging_2085/artfynd/A 37639-2024 artfynd.xlsx", "A 37639-2024")</f>
        <v/>
      </c>
      <c r="T90">
        <f>HYPERLINK("https://klasma.github.io/Logging_2085/kartor/A 37639-2024 karta.png", "A 37639-2024")</f>
        <v/>
      </c>
      <c r="V90">
        <f>HYPERLINK("https://klasma.github.io/Logging_2085/klagomål/A 37639-2024 FSC-klagomål.docx", "A 37639-2024")</f>
        <v/>
      </c>
      <c r="W90">
        <f>HYPERLINK("https://klasma.github.io/Logging_2085/klagomålsmail/A 37639-2024 FSC-klagomål mail.docx", "A 37639-2024")</f>
        <v/>
      </c>
      <c r="X90">
        <f>HYPERLINK("https://klasma.github.io/Logging_2085/tillsyn/A 37639-2024 tillsynsbegäran.docx", "A 37639-2024")</f>
        <v/>
      </c>
      <c r="Y90">
        <f>HYPERLINK("https://klasma.github.io/Logging_2085/tillsynsmail/A 37639-2024 tillsynsbegäran mail.docx", "A 37639-2024")</f>
        <v/>
      </c>
    </row>
    <row r="91" ht="15" customHeight="1">
      <c r="A91" t="inlineStr">
        <is>
          <t>A 43239-2024</t>
        </is>
      </c>
      <c r="B91" s="1" t="n">
        <v>45568</v>
      </c>
      <c r="C91" s="1" t="n">
        <v>45852</v>
      </c>
      <c r="D91" t="inlineStr">
        <is>
          <t>DALARNAS LÄN</t>
        </is>
      </c>
      <c r="E91" t="inlineStr">
        <is>
          <t>LUDVIKA</t>
        </is>
      </c>
      <c r="G91" t="n">
        <v>4</v>
      </c>
      <c r="H91" t="n">
        <v>1</v>
      </c>
      <c r="I91" t="n">
        <v>0</v>
      </c>
      <c r="J91" t="n">
        <v>0</v>
      </c>
      <c r="K91" t="n">
        <v>0</v>
      </c>
      <c r="L91" t="n">
        <v>0</v>
      </c>
      <c r="M91" t="n">
        <v>0</v>
      </c>
      <c r="N91" t="n">
        <v>0</v>
      </c>
      <c r="O91" t="n">
        <v>0</v>
      </c>
      <c r="P91" t="n">
        <v>0</v>
      </c>
      <c r="Q91" t="n">
        <v>1</v>
      </c>
      <c r="R91" s="2" t="inlineStr">
        <is>
          <t>Fläcknycklar</t>
        </is>
      </c>
      <c r="S91">
        <f>HYPERLINK("https://klasma.github.io/Logging_2085/artfynd/A 43239-2024 artfynd.xlsx", "A 43239-2024")</f>
        <v/>
      </c>
      <c r="T91">
        <f>HYPERLINK("https://klasma.github.io/Logging_2085/kartor/A 43239-2024 karta.png", "A 43239-2024")</f>
        <v/>
      </c>
      <c r="V91">
        <f>HYPERLINK("https://klasma.github.io/Logging_2085/klagomål/A 43239-2024 FSC-klagomål.docx", "A 43239-2024")</f>
        <v/>
      </c>
      <c r="W91">
        <f>HYPERLINK("https://klasma.github.io/Logging_2085/klagomålsmail/A 43239-2024 FSC-klagomål mail.docx", "A 43239-2024")</f>
        <v/>
      </c>
      <c r="X91">
        <f>HYPERLINK("https://klasma.github.io/Logging_2085/tillsyn/A 43239-2024 tillsynsbegäran.docx", "A 43239-2024")</f>
        <v/>
      </c>
      <c r="Y91">
        <f>HYPERLINK("https://klasma.github.io/Logging_2085/tillsynsmail/A 43239-2024 tillsynsbegäran mail.docx", "A 43239-2024")</f>
        <v/>
      </c>
    </row>
    <row r="92" ht="15" customHeight="1">
      <c r="A92" t="inlineStr">
        <is>
          <t>A 45225-2024</t>
        </is>
      </c>
      <c r="B92" s="1" t="n">
        <v>45575</v>
      </c>
      <c r="C92" s="1" t="n">
        <v>45852</v>
      </c>
      <c r="D92" t="inlineStr">
        <is>
          <t>DALARNAS LÄN</t>
        </is>
      </c>
      <c r="E92" t="inlineStr">
        <is>
          <t>LUDVIKA</t>
        </is>
      </c>
      <c r="G92" t="n">
        <v>1.1</v>
      </c>
      <c r="H92" t="n">
        <v>1</v>
      </c>
      <c r="I92" t="n">
        <v>0</v>
      </c>
      <c r="J92" t="n">
        <v>1</v>
      </c>
      <c r="K92" t="n">
        <v>0</v>
      </c>
      <c r="L92" t="n">
        <v>0</v>
      </c>
      <c r="M92" t="n">
        <v>0</v>
      </c>
      <c r="N92" t="n">
        <v>0</v>
      </c>
      <c r="O92" t="n">
        <v>1</v>
      </c>
      <c r="P92" t="n">
        <v>0</v>
      </c>
      <c r="Q92" t="n">
        <v>1</v>
      </c>
      <c r="R92" s="2" t="inlineStr">
        <is>
          <t>Ärtsångare</t>
        </is>
      </c>
      <c r="S92">
        <f>HYPERLINK("https://klasma.github.io/Logging_2085/artfynd/A 45225-2024 artfynd.xlsx", "A 45225-2024")</f>
        <v/>
      </c>
      <c r="T92">
        <f>HYPERLINK("https://klasma.github.io/Logging_2085/kartor/A 45225-2024 karta.png", "A 45225-2024")</f>
        <v/>
      </c>
      <c r="V92">
        <f>HYPERLINK("https://klasma.github.io/Logging_2085/klagomål/A 45225-2024 FSC-klagomål.docx", "A 45225-2024")</f>
        <v/>
      </c>
      <c r="W92">
        <f>HYPERLINK("https://klasma.github.io/Logging_2085/klagomålsmail/A 45225-2024 FSC-klagomål mail.docx", "A 45225-2024")</f>
        <v/>
      </c>
      <c r="X92">
        <f>HYPERLINK("https://klasma.github.io/Logging_2085/tillsyn/A 45225-2024 tillsynsbegäran.docx", "A 45225-2024")</f>
        <v/>
      </c>
      <c r="Y92">
        <f>HYPERLINK("https://klasma.github.io/Logging_2085/tillsynsmail/A 45225-2024 tillsynsbegäran mail.docx", "A 45225-2024")</f>
        <v/>
      </c>
      <c r="Z92">
        <f>HYPERLINK("https://klasma.github.io/Logging_2085/fåglar/A 45225-2024 prioriterade fågelarter.docx", "A 45225-2024")</f>
        <v/>
      </c>
    </row>
    <row r="93" ht="15" customHeight="1">
      <c r="A93" t="inlineStr">
        <is>
          <t>A 49660-2024</t>
        </is>
      </c>
      <c r="B93" s="1" t="n">
        <v>45596</v>
      </c>
      <c r="C93" s="1" t="n">
        <v>45852</v>
      </c>
      <c r="D93" t="inlineStr">
        <is>
          <t>DALARNAS LÄN</t>
        </is>
      </c>
      <c r="E93" t="inlineStr">
        <is>
          <t>LUDVIKA</t>
        </is>
      </c>
      <c r="F93" t="inlineStr">
        <is>
          <t>Bergvik skog väst AB</t>
        </is>
      </c>
      <c r="G93" t="n">
        <v>0.9</v>
      </c>
      <c r="H93" t="n">
        <v>0</v>
      </c>
      <c r="I93" t="n">
        <v>1</v>
      </c>
      <c r="J93" t="n">
        <v>0</v>
      </c>
      <c r="K93" t="n">
        <v>0</v>
      </c>
      <c r="L93" t="n">
        <v>0</v>
      </c>
      <c r="M93" t="n">
        <v>0</v>
      </c>
      <c r="N93" t="n">
        <v>0</v>
      </c>
      <c r="O93" t="n">
        <v>0</v>
      </c>
      <c r="P93" t="n">
        <v>0</v>
      </c>
      <c r="Q93" t="n">
        <v>1</v>
      </c>
      <c r="R93" s="2" t="inlineStr">
        <is>
          <t>Mörk husmossa</t>
        </is>
      </c>
      <c r="S93">
        <f>HYPERLINK("https://klasma.github.io/Logging_2085/artfynd/A 49660-2024 artfynd.xlsx", "A 49660-2024")</f>
        <v/>
      </c>
      <c r="T93">
        <f>HYPERLINK("https://klasma.github.io/Logging_2085/kartor/A 49660-2024 karta.png", "A 49660-2024")</f>
        <v/>
      </c>
      <c r="V93">
        <f>HYPERLINK("https://klasma.github.io/Logging_2085/klagomål/A 49660-2024 FSC-klagomål.docx", "A 49660-2024")</f>
        <v/>
      </c>
      <c r="W93">
        <f>HYPERLINK("https://klasma.github.io/Logging_2085/klagomålsmail/A 49660-2024 FSC-klagomål mail.docx", "A 49660-2024")</f>
        <v/>
      </c>
      <c r="X93">
        <f>HYPERLINK("https://klasma.github.io/Logging_2085/tillsyn/A 49660-2024 tillsynsbegäran.docx", "A 49660-2024")</f>
        <v/>
      </c>
      <c r="Y93">
        <f>HYPERLINK("https://klasma.github.io/Logging_2085/tillsynsmail/A 49660-2024 tillsynsbegäran mail.docx", "A 49660-2024")</f>
        <v/>
      </c>
    </row>
    <row r="94" ht="15" customHeight="1">
      <c r="A94" t="inlineStr">
        <is>
          <t>A 50177-2024</t>
        </is>
      </c>
      <c r="B94" s="1" t="n">
        <v>45600</v>
      </c>
      <c r="C94" s="1" t="n">
        <v>45852</v>
      </c>
      <c r="D94" t="inlineStr">
        <is>
          <t>DALARNAS LÄN</t>
        </is>
      </c>
      <c r="E94" t="inlineStr">
        <is>
          <t>LUDVIKA</t>
        </is>
      </c>
      <c r="F94" t="inlineStr">
        <is>
          <t>Bergvik skog väst AB</t>
        </is>
      </c>
      <c r="G94" t="n">
        <v>2.8</v>
      </c>
      <c r="H94" t="n">
        <v>0</v>
      </c>
      <c r="I94" t="n">
        <v>0</v>
      </c>
      <c r="J94" t="n">
        <v>1</v>
      </c>
      <c r="K94" t="n">
        <v>0</v>
      </c>
      <c r="L94" t="n">
        <v>0</v>
      </c>
      <c r="M94" t="n">
        <v>0</v>
      </c>
      <c r="N94" t="n">
        <v>0</v>
      </c>
      <c r="O94" t="n">
        <v>1</v>
      </c>
      <c r="P94" t="n">
        <v>0</v>
      </c>
      <c r="Q94" t="n">
        <v>1</v>
      </c>
      <c r="R94" s="2" t="inlineStr">
        <is>
          <t>Grönhjon</t>
        </is>
      </c>
      <c r="S94">
        <f>HYPERLINK("https://klasma.github.io/Logging_2085/artfynd/A 50177-2024 artfynd.xlsx", "A 50177-2024")</f>
        <v/>
      </c>
      <c r="T94">
        <f>HYPERLINK("https://klasma.github.io/Logging_2085/kartor/A 50177-2024 karta.png", "A 50177-2024")</f>
        <v/>
      </c>
      <c r="V94">
        <f>HYPERLINK("https://klasma.github.io/Logging_2085/klagomål/A 50177-2024 FSC-klagomål.docx", "A 50177-2024")</f>
        <v/>
      </c>
      <c r="W94">
        <f>HYPERLINK("https://klasma.github.io/Logging_2085/klagomålsmail/A 50177-2024 FSC-klagomål mail.docx", "A 50177-2024")</f>
        <v/>
      </c>
      <c r="X94">
        <f>HYPERLINK("https://klasma.github.io/Logging_2085/tillsyn/A 50177-2024 tillsynsbegäran.docx", "A 50177-2024")</f>
        <v/>
      </c>
      <c r="Y94">
        <f>HYPERLINK("https://klasma.github.io/Logging_2085/tillsynsmail/A 50177-2024 tillsynsbegäran mail.docx", "A 50177-2024")</f>
        <v/>
      </c>
    </row>
    <row r="95" ht="15" customHeight="1">
      <c r="A95" t="inlineStr">
        <is>
          <t>A 53502-2024</t>
        </is>
      </c>
      <c r="B95" s="1" t="n">
        <v>45614</v>
      </c>
      <c r="C95" s="1" t="n">
        <v>45852</v>
      </c>
      <c r="D95" t="inlineStr">
        <is>
          <t>DALARNAS LÄN</t>
        </is>
      </c>
      <c r="E95" t="inlineStr">
        <is>
          <t>LUDVIKA</t>
        </is>
      </c>
      <c r="F95" t="inlineStr">
        <is>
          <t>Bergvik skog väst AB</t>
        </is>
      </c>
      <c r="G95" t="n">
        <v>4.7</v>
      </c>
      <c r="H95" t="n">
        <v>0</v>
      </c>
      <c r="I95" t="n">
        <v>0</v>
      </c>
      <c r="J95" t="n">
        <v>1</v>
      </c>
      <c r="K95" t="n">
        <v>0</v>
      </c>
      <c r="L95" t="n">
        <v>0</v>
      </c>
      <c r="M95" t="n">
        <v>0</v>
      </c>
      <c r="N95" t="n">
        <v>0</v>
      </c>
      <c r="O95" t="n">
        <v>1</v>
      </c>
      <c r="P95" t="n">
        <v>0</v>
      </c>
      <c r="Q95" t="n">
        <v>1</v>
      </c>
      <c r="R95" s="2" t="inlineStr">
        <is>
          <t>Ullticka</t>
        </is>
      </c>
      <c r="S95">
        <f>HYPERLINK("https://klasma.github.io/Logging_2085/artfynd/A 53502-2024 artfynd.xlsx", "A 53502-2024")</f>
        <v/>
      </c>
      <c r="T95">
        <f>HYPERLINK("https://klasma.github.io/Logging_2085/kartor/A 53502-2024 karta.png", "A 53502-2024")</f>
        <v/>
      </c>
      <c r="U95">
        <f>HYPERLINK("https://klasma.github.io/Logging_2085/knärot/A 53502-2024 karta knärot.png", "A 53502-2024")</f>
        <v/>
      </c>
      <c r="V95">
        <f>HYPERLINK("https://klasma.github.io/Logging_2085/klagomål/A 53502-2024 FSC-klagomål.docx", "A 53502-2024")</f>
        <v/>
      </c>
      <c r="W95">
        <f>HYPERLINK("https://klasma.github.io/Logging_2085/klagomålsmail/A 53502-2024 FSC-klagomål mail.docx", "A 53502-2024")</f>
        <v/>
      </c>
      <c r="X95">
        <f>HYPERLINK("https://klasma.github.io/Logging_2085/tillsyn/A 53502-2024 tillsynsbegäran.docx", "A 53502-2024")</f>
        <v/>
      </c>
      <c r="Y95">
        <f>HYPERLINK("https://klasma.github.io/Logging_2085/tillsynsmail/A 53502-2024 tillsynsbegäran mail.docx", "A 53502-2024")</f>
        <v/>
      </c>
    </row>
    <row r="96" ht="15" customHeight="1">
      <c r="A96" t="inlineStr">
        <is>
          <t>A 17987-2025</t>
        </is>
      </c>
      <c r="B96" s="1" t="n">
        <v>45761</v>
      </c>
      <c r="C96" s="1" t="n">
        <v>45852</v>
      </c>
      <c r="D96" t="inlineStr">
        <is>
          <t>DALARNAS LÄN</t>
        </is>
      </c>
      <c r="E96" t="inlineStr">
        <is>
          <t>LUDVIKA</t>
        </is>
      </c>
      <c r="G96" t="n">
        <v>0.5</v>
      </c>
      <c r="H96" t="n">
        <v>1</v>
      </c>
      <c r="I96" t="n">
        <v>0</v>
      </c>
      <c r="J96" t="n">
        <v>1</v>
      </c>
      <c r="K96" t="n">
        <v>0</v>
      </c>
      <c r="L96" t="n">
        <v>0</v>
      </c>
      <c r="M96" t="n">
        <v>0</v>
      </c>
      <c r="N96" t="n">
        <v>0</v>
      </c>
      <c r="O96" t="n">
        <v>1</v>
      </c>
      <c r="P96" t="n">
        <v>0</v>
      </c>
      <c r="Q96" t="n">
        <v>1</v>
      </c>
      <c r="R96" s="2" t="inlineStr">
        <is>
          <t>Talltita</t>
        </is>
      </c>
      <c r="S96">
        <f>HYPERLINK("https://klasma.github.io/Logging_202085/artfynd/A 17987-2025 artfynd.xlsx", "A 17987-2025")</f>
        <v/>
      </c>
      <c r="T96">
        <f>HYPERLINK("https://klasma.github.io/Logging_202085/kartor/A 17987-2025 karta.png", "A 17987-2025")</f>
        <v/>
      </c>
      <c r="V96">
        <f>HYPERLINK("https://klasma.github.io/Logging_202085/klagomål/A 17987-2025 FSC-klagomål.docx", "A 17987-2025")</f>
        <v/>
      </c>
      <c r="W96">
        <f>HYPERLINK("https://klasma.github.io/Logging_202085/klagomålsmail/A 17987-2025 FSC-klagomål mail.docx", "A 17987-2025")</f>
        <v/>
      </c>
      <c r="X96">
        <f>HYPERLINK("https://klasma.github.io/Logging_202085/tillsyn/A 17987-2025 tillsynsbegäran.docx", "A 17987-2025")</f>
        <v/>
      </c>
      <c r="Y96">
        <f>HYPERLINK("https://klasma.github.io/Logging_202085/tillsynsmail/A 17987-2025 tillsynsbegäran mail.docx", "A 17987-2025")</f>
        <v/>
      </c>
      <c r="Z96">
        <f>HYPERLINK("https://klasma.github.io/Logging_202085/fåglar/A 17987-2025 prioriterade fågelarter.docx", "A 17987-2025")</f>
        <v/>
      </c>
    </row>
    <row r="97" ht="15" customHeight="1">
      <c r="A97" t="inlineStr">
        <is>
          <t>A 17959-2025</t>
        </is>
      </c>
      <c r="B97" s="1" t="n">
        <v>45761</v>
      </c>
      <c r="C97" s="1" t="n">
        <v>45852</v>
      </c>
      <c r="D97" t="inlineStr">
        <is>
          <t>DALARNAS LÄN</t>
        </is>
      </c>
      <c r="E97" t="inlineStr">
        <is>
          <t>LUDVIKA</t>
        </is>
      </c>
      <c r="F97" t="inlineStr">
        <is>
          <t>Bergvik skog väst AB</t>
        </is>
      </c>
      <c r="G97" t="n">
        <v>2.9</v>
      </c>
      <c r="H97" t="n">
        <v>0</v>
      </c>
      <c r="I97" t="n">
        <v>1</v>
      </c>
      <c r="J97" t="n">
        <v>0</v>
      </c>
      <c r="K97" t="n">
        <v>0</v>
      </c>
      <c r="L97" t="n">
        <v>0</v>
      </c>
      <c r="M97" t="n">
        <v>0</v>
      </c>
      <c r="N97" t="n">
        <v>0</v>
      </c>
      <c r="O97" t="n">
        <v>0</v>
      </c>
      <c r="P97" t="n">
        <v>0</v>
      </c>
      <c r="Q97" t="n">
        <v>1</v>
      </c>
      <c r="R97" s="2" t="inlineStr">
        <is>
          <t>Rödgul trumpetsvamp</t>
        </is>
      </c>
      <c r="S97">
        <f>HYPERLINK("https://klasma.github.io/Logging_202085/artfynd/A 17959-2025 artfynd.xlsx", "A 17959-2025")</f>
        <v/>
      </c>
      <c r="T97">
        <f>HYPERLINK("https://klasma.github.io/Logging_202085/kartor/A 17959-2025 karta.png", "A 17959-2025")</f>
        <v/>
      </c>
      <c r="V97">
        <f>HYPERLINK("https://klasma.github.io/Logging_202085/klagomål/A 17959-2025 FSC-klagomål.docx", "A 17959-2025")</f>
        <v/>
      </c>
      <c r="W97">
        <f>HYPERLINK("https://klasma.github.io/Logging_202085/klagomålsmail/A 17959-2025 FSC-klagomål mail.docx", "A 17959-2025")</f>
        <v/>
      </c>
      <c r="X97">
        <f>HYPERLINK("https://klasma.github.io/Logging_202085/tillsyn/A 17959-2025 tillsynsbegäran.docx", "A 17959-2025")</f>
        <v/>
      </c>
      <c r="Y97">
        <f>HYPERLINK("https://klasma.github.io/Logging_202085/tillsynsmail/A 17959-2025 tillsynsbegäran mail.docx", "A 17959-2025")</f>
        <v/>
      </c>
    </row>
    <row r="98" ht="15" customHeight="1">
      <c r="A98" t="inlineStr">
        <is>
          <t>A 20985-2025</t>
        </is>
      </c>
      <c r="B98" s="1" t="n">
        <v>45777</v>
      </c>
      <c r="C98" s="1" t="n">
        <v>45852</v>
      </c>
      <c r="D98" t="inlineStr">
        <is>
          <t>DALARNAS LÄN</t>
        </is>
      </c>
      <c r="E98" t="inlineStr">
        <is>
          <t>LUDVIKA</t>
        </is>
      </c>
      <c r="F98" t="inlineStr">
        <is>
          <t>Bergvik skog väst AB</t>
        </is>
      </c>
      <c r="G98" t="n">
        <v>5.8</v>
      </c>
      <c r="H98" t="n">
        <v>0</v>
      </c>
      <c r="I98" t="n">
        <v>0</v>
      </c>
      <c r="J98" t="n">
        <v>1</v>
      </c>
      <c r="K98" t="n">
        <v>0</v>
      </c>
      <c r="L98" t="n">
        <v>0</v>
      </c>
      <c r="M98" t="n">
        <v>0</v>
      </c>
      <c r="N98" t="n">
        <v>0</v>
      </c>
      <c r="O98" t="n">
        <v>1</v>
      </c>
      <c r="P98" t="n">
        <v>0</v>
      </c>
      <c r="Q98" t="n">
        <v>1</v>
      </c>
      <c r="R98" s="2" t="inlineStr">
        <is>
          <t>Garnlav</t>
        </is>
      </c>
      <c r="S98">
        <f>HYPERLINK("https://klasma.github.io/Logging_202085/artfynd/A 20985-2025 artfynd.xlsx", "A 20985-2025")</f>
        <v/>
      </c>
      <c r="T98">
        <f>HYPERLINK("https://klasma.github.io/Logging_202085/kartor/A 20985-2025 karta.png", "A 20985-2025")</f>
        <v/>
      </c>
      <c r="V98">
        <f>HYPERLINK("https://klasma.github.io/Logging_202085/klagomål/A 20985-2025 FSC-klagomål.docx", "A 20985-2025")</f>
        <v/>
      </c>
      <c r="W98">
        <f>HYPERLINK("https://klasma.github.io/Logging_202085/klagomålsmail/A 20985-2025 FSC-klagomål mail.docx", "A 20985-2025")</f>
        <v/>
      </c>
      <c r="X98">
        <f>HYPERLINK("https://klasma.github.io/Logging_202085/tillsyn/A 20985-2025 tillsynsbegäran.docx", "A 20985-2025")</f>
        <v/>
      </c>
      <c r="Y98">
        <f>HYPERLINK("https://klasma.github.io/Logging_202085/tillsynsmail/A 20985-2025 tillsynsbegäran mail.docx", "A 20985-2025")</f>
        <v/>
      </c>
    </row>
    <row r="99" ht="15" customHeight="1">
      <c r="A99" t="inlineStr">
        <is>
          <t>A 23085-2025</t>
        </is>
      </c>
      <c r="B99" s="1" t="n">
        <v>45791</v>
      </c>
      <c r="C99" s="1" t="n">
        <v>45852</v>
      </c>
      <c r="D99" t="inlineStr">
        <is>
          <t>DALARNAS LÄN</t>
        </is>
      </c>
      <c r="E99" t="inlineStr">
        <is>
          <t>LUDVIKA</t>
        </is>
      </c>
      <c r="F99" t="inlineStr">
        <is>
          <t>Bergvik skog väst AB</t>
        </is>
      </c>
      <c r="G99" t="n">
        <v>3.9</v>
      </c>
      <c r="H99" t="n">
        <v>1</v>
      </c>
      <c r="I99" t="n">
        <v>0</v>
      </c>
      <c r="J99" t="n">
        <v>0</v>
      </c>
      <c r="K99" t="n">
        <v>1</v>
      </c>
      <c r="L99" t="n">
        <v>0</v>
      </c>
      <c r="M99" t="n">
        <v>0</v>
      </c>
      <c r="N99" t="n">
        <v>0</v>
      </c>
      <c r="O99" t="n">
        <v>1</v>
      </c>
      <c r="P99" t="n">
        <v>1</v>
      </c>
      <c r="Q99" t="n">
        <v>1</v>
      </c>
      <c r="R99" s="2" t="inlineStr">
        <is>
          <t>Berguv</t>
        </is>
      </c>
      <c r="S99">
        <f>HYPERLINK("https://klasma.github.io/Logging_202085/artfynd/A 23085-2025 artfynd.xlsx", "A 23085-2025")</f>
        <v/>
      </c>
      <c r="T99">
        <f>HYPERLINK("https://klasma.github.io/Logging_202085/kartor/A 23085-2025 karta.png", "A 23085-2025")</f>
        <v/>
      </c>
      <c r="V99">
        <f>HYPERLINK("https://klasma.github.io/Logging_202085/klagomål/A 23085-2025 FSC-klagomål.docx", "A 23085-2025")</f>
        <v/>
      </c>
      <c r="W99">
        <f>HYPERLINK("https://klasma.github.io/Logging_202085/klagomålsmail/A 23085-2025 FSC-klagomål mail.docx", "A 23085-2025")</f>
        <v/>
      </c>
      <c r="X99">
        <f>HYPERLINK("https://klasma.github.io/Logging_202085/tillsyn/A 23085-2025 tillsynsbegäran.docx", "A 23085-2025")</f>
        <v/>
      </c>
      <c r="Y99">
        <f>HYPERLINK("https://klasma.github.io/Logging_202085/tillsynsmail/A 23085-2025 tillsynsbegäran mail.docx", "A 23085-2025")</f>
        <v/>
      </c>
      <c r="Z99">
        <f>HYPERLINK("https://klasma.github.io/Logging_202085/fåglar/A 23085-2025 prioriterade fågelarter.docx", "A 23085-2025")</f>
        <v/>
      </c>
    </row>
    <row r="100" ht="15" customHeight="1">
      <c r="A100" t="inlineStr">
        <is>
          <t>A 23102-2025</t>
        </is>
      </c>
      <c r="B100" s="1" t="n">
        <v>45791</v>
      </c>
      <c r="C100" s="1" t="n">
        <v>45852</v>
      </c>
      <c r="D100" t="inlineStr">
        <is>
          <t>DALARNAS LÄN</t>
        </is>
      </c>
      <c r="E100" t="inlineStr">
        <is>
          <t>LUDVIKA</t>
        </is>
      </c>
      <c r="F100" t="inlineStr">
        <is>
          <t>Bergvik skog väst AB</t>
        </is>
      </c>
      <c r="G100" t="n">
        <v>0.8</v>
      </c>
      <c r="H100" t="n">
        <v>1</v>
      </c>
      <c r="I100" t="n">
        <v>0</v>
      </c>
      <c r="J100" t="n">
        <v>0</v>
      </c>
      <c r="K100" t="n">
        <v>0</v>
      </c>
      <c r="L100" t="n">
        <v>0</v>
      </c>
      <c r="M100" t="n">
        <v>0</v>
      </c>
      <c r="N100" t="n">
        <v>0</v>
      </c>
      <c r="O100" t="n">
        <v>0</v>
      </c>
      <c r="P100" t="n">
        <v>0</v>
      </c>
      <c r="Q100" t="n">
        <v>1</v>
      </c>
      <c r="R100" s="2" t="inlineStr">
        <is>
          <t>Vanlig groda</t>
        </is>
      </c>
      <c r="S100">
        <f>HYPERLINK("https://klasma.github.io/Logging_202085/artfynd/A 23102-2025 artfynd.xlsx", "A 23102-2025")</f>
        <v/>
      </c>
      <c r="T100">
        <f>HYPERLINK("https://klasma.github.io/Logging_202085/kartor/A 23102-2025 karta.png", "A 23102-2025")</f>
        <v/>
      </c>
      <c r="V100">
        <f>HYPERLINK("https://klasma.github.io/Logging_202085/klagomål/A 23102-2025 FSC-klagomål.docx", "A 23102-2025")</f>
        <v/>
      </c>
      <c r="W100">
        <f>HYPERLINK("https://klasma.github.io/Logging_202085/klagomålsmail/A 23102-2025 FSC-klagomål mail.docx", "A 23102-2025")</f>
        <v/>
      </c>
      <c r="X100">
        <f>HYPERLINK("https://klasma.github.io/Logging_202085/tillsyn/A 23102-2025 tillsynsbegäran.docx", "A 23102-2025")</f>
        <v/>
      </c>
      <c r="Y100">
        <f>HYPERLINK("https://klasma.github.io/Logging_202085/tillsynsmail/A 23102-2025 tillsynsbegäran mail.docx", "A 23102-2025")</f>
        <v/>
      </c>
    </row>
    <row r="101" ht="15" customHeight="1">
      <c r="A101" t="inlineStr">
        <is>
          <t>A 23107-2025</t>
        </is>
      </c>
      <c r="B101" s="1" t="n">
        <v>45791</v>
      </c>
      <c r="C101" s="1" t="n">
        <v>45852</v>
      </c>
      <c r="D101" t="inlineStr">
        <is>
          <t>DALARNAS LÄN</t>
        </is>
      </c>
      <c r="E101" t="inlineStr">
        <is>
          <t>LUDVIKA</t>
        </is>
      </c>
      <c r="F101" t="inlineStr">
        <is>
          <t>Bergvik skog väst AB</t>
        </is>
      </c>
      <c r="G101" t="n">
        <v>3.4</v>
      </c>
      <c r="H101" t="n">
        <v>1</v>
      </c>
      <c r="I101" t="n">
        <v>0</v>
      </c>
      <c r="J101" t="n">
        <v>0</v>
      </c>
      <c r="K101" t="n">
        <v>0</v>
      </c>
      <c r="L101" t="n">
        <v>0</v>
      </c>
      <c r="M101" t="n">
        <v>0</v>
      </c>
      <c r="N101" t="n">
        <v>0</v>
      </c>
      <c r="O101" t="n">
        <v>0</v>
      </c>
      <c r="P101" t="n">
        <v>0</v>
      </c>
      <c r="Q101" t="n">
        <v>1</v>
      </c>
      <c r="R101" s="2" t="inlineStr">
        <is>
          <t>Större vattensalamander</t>
        </is>
      </c>
      <c r="S101">
        <f>HYPERLINK("https://klasma.github.io/Logging_202085/artfynd/A 23107-2025 artfynd.xlsx", "A 23107-2025")</f>
        <v/>
      </c>
      <c r="T101">
        <f>HYPERLINK("https://klasma.github.io/Logging_202085/kartor/A 23107-2025 karta.png", "A 23107-2025")</f>
        <v/>
      </c>
      <c r="V101">
        <f>HYPERLINK("https://klasma.github.io/Logging_202085/klagomål/A 23107-2025 FSC-klagomål.docx", "A 23107-2025")</f>
        <v/>
      </c>
      <c r="W101">
        <f>HYPERLINK("https://klasma.github.io/Logging_202085/klagomålsmail/A 23107-2025 FSC-klagomål mail.docx", "A 23107-2025")</f>
        <v/>
      </c>
      <c r="X101">
        <f>HYPERLINK("https://klasma.github.io/Logging_202085/tillsyn/A 23107-2025 tillsynsbegäran.docx", "A 23107-2025")</f>
        <v/>
      </c>
      <c r="Y101">
        <f>HYPERLINK("https://klasma.github.io/Logging_202085/tillsynsmail/A 23107-2025 tillsynsbegäran mail.docx", "A 23107-2025")</f>
        <v/>
      </c>
    </row>
    <row r="102" ht="15" customHeight="1">
      <c r="A102" t="inlineStr">
        <is>
          <t>A 25282-2025</t>
        </is>
      </c>
      <c r="B102" s="1" t="n">
        <v>45800</v>
      </c>
      <c r="C102" s="1" t="n">
        <v>45852</v>
      </c>
      <c r="D102" t="inlineStr">
        <is>
          <t>DALARNAS LÄN</t>
        </is>
      </c>
      <c r="E102" t="inlineStr">
        <is>
          <t>LUDVIKA</t>
        </is>
      </c>
      <c r="F102" t="inlineStr">
        <is>
          <t>Bergvik skog väst AB</t>
        </is>
      </c>
      <c r="G102" t="n">
        <v>4.8</v>
      </c>
      <c r="H102" t="n">
        <v>0</v>
      </c>
      <c r="I102" t="n">
        <v>0</v>
      </c>
      <c r="J102" t="n">
        <v>1</v>
      </c>
      <c r="K102" t="n">
        <v>0</v>
      </c>
      <c r="L102" t="n">
        <v>0</v>
      </c>
      <c r="M102" t="n">
        <v>0</v>
      </c>
      <c r="N102" t="n">
        <v>0</v>
      </c>
      <c r="O102" t="n">
        <v>1</v>
      </c>
      <c r="P102" t="n">
        <v>0</v>
      </c>
      <c r="Q102" t="n">
        <v>1</v>
      </c>
      <c r="R102" s="2" t="inlineStr">
        <is>
          <t>Garnlav</t>
        </is>
      </c>
      <c r="S102">
        <f>HYPERLINK("https://klasma.github.io/Logging_202085/artfynd/A 25282-2025 artfynd.xlsx", "A 25282-2025")</f>
        <v/>
      </c>
      <c r="T102">
        <f>HYPERLINK("https://klasma.github.io/Logging_202085/kartor/A 25282-2025 karta.png", "A 25282-2025")</f>
        <v/>
      </c>
      <c r="V102">
        <f>HYPERLINK("https://klasma.github.io/Logging_202085/klagomål/A 25282-2025 FSC-klagomål.docx", "A 25282-2025")</f>
        <v/>
      </c>
      <c r="W102">
        <f>HYPERLINK("https://klasma.github.io/Logging_202085/klagomålsmail/A 25282-2025 FSC-klagomål mail.docx", "A 25282-2025")</f>
        <v/>
      </c>
      <c r="X102">
        <f>HYPERLINK("https://klasma.github.io/Logging_202085/tillsyn/A 25282-2025 tillsynsbegäran.docx", "A 25282-2025")</f>
        <v/>
      </c>
      <c r="Y102">
        <f>HYPERLINK("https://klasma.github.io/Logging_202085/tillsynsmail/A 25282-2025 tillsynsbegäran mail.docx", "A 25282-2025")</f>
        <v/>
      </c>
    </row>
    <row r="103" ht="15" customHeight="1">
      <c r="A103" t="inlineStr">
        <is>
          <t>A 29733-2025</t>
        </is>
      </c>
      <c r="B103" s="1" t="n">
        <v>45825</v>
      </c>
      <c r="C103" s="1" t="n">
        <v>45852</v>
      </c>
      <c r="D103" t="inlineStr">
        <is>
          <t>DALARNAS LÄN</t>
        </is>
      </c>
      <c r="E103" t="inlineStr">
        <is>
          <t>LUDVIKA</t>
        </is>
      </c>
      <c r="F103" t="inlineStr">
        <is>
          <t>Bergvik skog väst AB</t>
        </is>
      </c>
      <c r="G103" t="n">
        <v>10.4</v>
      </c>
      <c r="H103" t="n">
        <v>0</v>
      </c>
      <c r="I103" t="n">
        <v>1</v>
      </c>
      <c r="J103" t="n">
        <v>0</v>
      </c>
      <c r="K103" t="n">
        <v>0</v>
      </c>
      <c r="L103" t="n">
        <v>0</v>
      </c>
      <c r="M103" t="n">
        <v>0</v>
      </c>
      <c r="N103" t="n">
        <v>0</v>
      </c>
      <c r="O103" t="n">
        <v>0</v>
      </c>
      <c r="P103" t="n">
        <v>0</v>
      </c>
      <c r="Q103" t="n">
        <v>1</v>
      </c>
      <c r="R103" s="2" t="inlineStr">
        <is>
          <t>Stuplav</t>
        </is>
      </c>
      <c r="S103">
        <f>HYPERLINK("https://klasma.github.io/Logging_202085/artfynd/A 29733-2025 artfynd.xlsx", "A 29733-2025")</f>
        <v/>
      </c>
      <c r="T103">
        <f>HYPERLINK("https://klasma.github.io/Logging_202085/kartor/A 29733-2025 karta.png", "A 29733-2025")</f>
        <v/>
      </c>
      <c r="V103">
        <f>HYPERLINK("https://klasma.github.io/Logging_202085/klagomål/A 29733-2025 FSC-klagomål.docx", "A 29733-2025")</f>
        <v/>
      </c>
      <c r="W103">
        <f>HYPERLINK("https://klasma.github.io/Logging_202085/klagomålsmail/A 29733-2025 FSC-klagomål mail.docx", "A 29733-2025")</f>
        <v/>
      </c>
      <c r="X103">
        <f>HYPERLINK("https://klasma.github.io/Logging_202085/tillsyn/A 29733-2025 tillsynsbegäran.docx", "A 29733-2025")</f>
        <v/>
      </c>
      <c r="Y103">
        <f>HYPERLINK("https://klasma.github.io/Logging_202085/tillsynsmail/A 29733-2025 tillsynsbegäran mail.docx", "A 29733-2025")</f>
        <v/>
      </c>
    </row>
    <row r="104" ht="15" customHeight="1">
      <c r="A104" t="inlineStr">
        <is>
          <t>A 33162-2025</t>
        </is>
      </c>
      <c r="B104" s="1" t="n">
        <v>45840</v>
      </c>
      <c r="C104" s="1" t="n">
        <v>45852</v>
      </c>
      <c r="D104" t="inlineStr">
        <is>
          <t>DALARNAS LÄN</t>
        </is>
      </c>
      <c r="E104" t="inlineStr">
        <is>
          <t>LUDVIKA</t>
        </is>
      </c>
      <c r="F104" t="inlineStr">
        <is>
          <t>Bergvik skog väst AB</t>
        </is>
      </c>
      <c r="G104" t="n">
        <v>2.3</v>
      </c>
      <c r="H104" t="n">
        <v>0</v>
      </c>
      <c r="I104" t="n">
        <v>0</v>
      </c>
      <c r="J104" t="n">
        <v>1</v>
      </c>
      <c r="K104" t="n">
        <v>0</v>
      </c>
      <c r="L104" t="n">
        <v>0</v>
      </c>
      <c r="M104" t="n">
        <v>0</v>
      </c>
      <c r="N104" t="n">
        <v>0</v>
      </c>
      <c r="O104" t="n">
        <v>1</v>
      </c>
      <c r="P104" t="n">
        <v>0</v>
      </c>
      <c r="Q104" t="n">
        <v>1</v>
      </c>
      <c r="R104" s="2" t="inlineStr">
        <is>
          <t>Kandelabersvamp</t>
        </is>
      </c>
      <c r="S104">
        <f>HYPERLINK("https://klasma.github.io/Logging_202085/artfynd/A 33162-2025 artfynd.xlsx", "A 33162-2025")</f>
        <v/>
      </c>
      <c r="T104">
        <f>HYPERLINK("https://klasma.github.io/Logging_202085/kartor/A 33162-2025 karta.png", "A 33162-2025")</f>
        <v/>
      </c>
      <c r="V104">
        <f>HYPERLINK("https://klasma.github.io/Logging_202085/klagomål/A 33162-2025 FSC-klagomål.docx", "A 33162-2025")</f>
        <v/>
      </c>
      <c r="W104">
        <f>HYPERLINK("https://klasma.github.io/Logging_202085/klagomålsmail/A 33162-2025 FSC-klagomål mail.docx", "A 33162-2025")</f>
        <v/>
      </c>
      <c r="X104">
        <f>HYPERLINK("https://klasma.github.io/Logging_202085/tillsyn/A 33162-2025 tillsynsbegäran.docx", "A 33162-2025")</f>
        <v/>
      </c>
      <c r="Y104">
        <f>HYPERLINK("https://klasma.github.io/Logging_202085/tillsynsmail/A 33162-2025 tillsynsbegäran mail.docx", "A 33162-2025")</f>
        <v/>
      </c>
    </row>
    <row r="105" ht="15" customHeight="1">
      <c r="A105" t="inlineStr">
        <is>
          <t>A 17947-2019</t>
        </is>
      </c>
      <c r="B105" s="1" t="n">
        <v>43557</v>
      </c>
      <c r="C105" s="1" t="n">
        <v>45852</v>
      </c>
      <c r="D105" t="inlineStr">
        <is>
          <t>DALARNAS LÄN</t>
        </is>
      </c>
      <c r="E105" t="inlineStr">
        <is>
          <t>LUDVIKA</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19571-2019</t>
        </is>
      </c>
      <c r="B106" s="1" t="n">
        <v>43566</v>
      </c>
      <c r="C106" s="1" t="n">
        <v>45852</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23351-2019</t>
        </is>
      </c>
      <c r="B107" s="1" t="n">
        <v>43593</v>
      </c>
      <c r="C107" s="1" t="n">
        <v>45852</v>
      </c>
      <c r="D107" t="inlineStr">
        <is>
          <t>DALARNAS LÄN</t>
        </is>
      </c>
      <c r="E107" t="inlineStr">
        <is>
          <t>LUDVIKA</t>
        </is>
      </c>
      <c r="G107" t="n">
        <v>3.3</v>
      </c>
      <c r="H107" t="n">
        <v>0</v>
      </c>
      <c r="I107" t="n">
        <v>0</v>
      </c>
      <c r="J107" t="n">
        <v>0</v>
      </c>
      <c r="K107" t="n">
        <v>0</v>
      </c>
      <c r="L107" t="n">
        <v>0</v>
      </c>
      <c r="M107" t="n">
        <v>0</v>
      </c>
      <c r="N107" t="n">
        <v>0</v>
      </c>
      <c r="O107" t="n">
        <v>0</v>
      </c>
      <c r="P107" t="n">
        <v>0</v>
      </c>
      <c r="Q107" t="n">
        <v>0</v>
      </c>
      <c r="R107" s="2" t="inlineStr"/>
    </row>
    <row r="108" ht="15" customHeight="1">
      <c r="A108" t="inlineStr">
        <is>
          <t>A 23487-2019</t>
        </is>
      </c>
      <c r="B108" s="1" t="n">
        <v>43594</v>
      </c>
      <c r="C108" s="1" t="n">
        <v>45852</v>
      </c>
      <c r="D108" t="inlineStr">
        <is>
          <t>DALARNAS LÄN</t>
        </is>
      </c>
      <c r="E108" t="inlineStr">
        <is>
          <t>LUDVIKA</t>
        </is>
      </c>
      <c r="G108" t="n">
        <v>2.5</v>
      </c>
      <c r="H108" t="n">
        <v>0</v>
      </c>
      <c r="I108" t="n">
        <v>0</v>
      </c>
      <c r="J108" t="n">
        <v>0</v>
      </c>
      <c r="K108" t="n">
        <v>0</v>
      </c>
      <c r="L108" t="n">
        <v>0</v>
      </c>
      <c r="M108" t="n">
        <v>0</v>
      </c>
      <c r="N108" t="n">
        <v>0</v>
      </c>
      <c r="O108" t="n">
        <v>0</v>
      </c>
      <c r="P108" t="n">
        <v>0</v>
      </c>
      <c r="Q108" t="n">
        <v>0</v>
      </c>
      <c r="R108" s="2" t="inlineStr"/>
    </row>
    <row r="109" ht="15" customHeight="1">
      <c r="A109" t="inlineStr">
        <is>
          <t>A 24629-2019</t>
        </is>
      </c>
      <c r="B109" s="1" t="n">
        <v>43601</v>
      </c>
      <c r="C109" s="1" t="n">
        <v>45852</v>
      </c>
      <c r="D109" t="inlineStr">
        <is>
          <t>DALARNAS LÄN</t>
        </is>
      </c>
      <c r="E109" t="inlineStr">
        <is>
          <t>LUDVIKA</t>
        </is>
      </c>
      <c r="G109" t="n">
        <v>3</v>
      </c>
      <c r="H109" t="n">
        <v>0</v>
      </c>
      <c r="I109" t="n">
        <v>0</v>
      </c>
      <c r="J109" t="n">
        <v>0</v>
      </c>
      <c r="K109" t="n">
        <v>0</v>
      </c>
      <c r="L109" t="n">
        <v>0</v>
      </c>
      <c r="M109" t="n">
        <v>0</v>
      </c>
      <c r="N109" t="n">
        <v>0</v>
      </c>
      <c r="O109" t="n">
        <v>0</v>
      </c>
      <c r="P109" t="n">
        <v>0</v>
      </c>
      <c r="Q109" t="n">
        <v>0</v>
      </c>
      <c r="R109" s="2" t="inlineStr"/>
    </row>
    <row r="110" ht="15" customHeight="1">
      <c r="A110" t="inlineStr">
        <is>
          <t>A 25116-2019</t>
        </is>
      </c>
      <c r="B110" s="1" t="n">
        <v>43605</v>
      </c>
      <c r="C110" s="1" t="n">
        <v>45852</v>
      </c>
      <c r="D110" t="inlineStr">
        <is>
          <t>DALARNAS LÄN</t>
        </is>
      </c>
      <c r="E110" t="inlineStr">
        <is>
          <t>LUDVIKA</t>
        </is>
      </c>
      <c r="G110" t="n">
        <v>3</v>
      </c>
      <c r="H110" t="n">
        <v>0</v>
      </c>
      <c r="I110" t="n">
        <v>0</v>
      </c>
      <c r="J110" t="n">
        <v>0</v>
      </c>
      <c r="K110" t="n">
        <v>0</v>
      </c>
      <c r="L110" t="n">
        <v>0</v>
      </c>
      <c r="M110" t="n">
        <v>0</v>
      </c>
      <c r="N110" t="n">
        <v>0</v>
      </c>
      <c r="O110" t="n">
        <v>0</v>
      </c>
      <c r="P110" t="n">
        <v>0</v>
      </c>
      <c r="Q110" t="n">
        <v>0</v>
      </c>
      <c r="R110" s="2" t="inlineStr"/>
    </row>
    <row r="111" ht="15" customHeight="1">
      <c r="A111" t="inlineStr">
        <is>
          <t>A 27005-2019</t>
        </is>
      </c>
      <c r="B111" s="1" t="n">
        <v>43614</v>
      </c>
      <c r="C111" s="1" t="n">
        <v>45852</v>
      </c>
      <c r="D111" t="inlineStr">
        <is>
          <t>DALARNAS LÄN</t>
        </is>
      </c>
      <c r="E111" t="inlineStr">
        <is>
          <t>LUDVIKA</t>
        </is>
      </c>
      <c r="F111" t="inlineStr">
        <is>
          <t>Bergvik skog väst AB</t>
        </is>
      </c>
      <c r="G111" t="n">
        <v>22.4</v>
      </c>
      <c r="H111" t="n">
        <v>0</v>
      </c>
      <c r="I111" t="n">
        <v>0</v>
      </c>
      <c r="J111" t="n">
        <v>0</v>
      </c>
      <c r="K111" t="n">
        <v>0</v>
      </c>
      <c r="L111" t="n">
        <v>0</v>
      </c>
      <c r="M111" t="n">
        <v>0</v>
      </c>
      <c r="N111" t="n">
        <v>0</v>
      </c>
      <c r="O111" t="n">
        <v>0</v>
      </c>
      <c r="P111" t="n">
        <v>0</v>
      </c>
      <c r="Q111" t="n">
        <v>0</v>
      </c>
      <c r="R111" s="2" t="inlineStr"/>
    </row>
    <row r="112" ht="15" customHeight="1">
      <c r="A112" t="inlineStr">
        <is>
          <t>A 29027-2019</t>
        </is>
      </c>
      <c r="B112" s="1" t="n">
        <v>43628</v>
      </c>
      <c r="C112" s="1" t="n">
        <v>45852</v>
      </c>
      <c r="D112" t="inlineStr">
        <is>
          <t>DALARNAS LÄN</t>
        </is>
      </c>
      <c r="E112" t="inlineStr">
        <is>
          <t>LUDVIKA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30233-2019</t>
        </is>
      </c>
      <c r="B113" s="1" t="n">
        <v>43630</v>
      </c>
      <c r="C113" s="1" t="n">
        <v>45852</v>
      </c>
      <c r="D113" t="inlineStr">
        <is>
          <t>DALARNAS LÄN</t>
        </is>
      </c>
      <c r="E113" t="inlineStr">
        <is>
          <t>LUDVIKA</t>
        </is>
      </c>
      <c r="G113" t="n">
        <v>0.3</v>
      </c>
      <c r="H113" t="n">
        <v>0</v>
      </c>
      <c r="I113" t="n">
        <v>0</v>
      </c>
      <c r="J113" t="n">
        <v>0</v>
      </c>
      <c r="K113" t="n">
        <v>0</v>
      </c>
      <c r="L113" t="n">
        <v>0</v>
      </c>
      <c r="M113" t="n">
        <v>0</v>
      </c>
      <c r="N113" t="n">
        <v>0</v>
      </c>
      <c r="O113" t="n">
        <v>0</v>
      </c>
      <c r="P113" t="n">
        <v>0</v>
      </c>
      <c r="Q113" t="n">
        <v>0</v>
      </c>
      <c r="R113" s="2" t="inlineStr"/>
    </row>
    <row r="114" ht="15" customHeight="1">
      <c r="A114" t="inlineStr">
        <is>
          <t>A 30102-2019</t>
        </is>
      </c>
      <c r="B114" s="1" t="n">
        <v>43630</v>
      </c>
      <c r="C114" s="1" t="n">
        <v>45852</v>
      </c>
      <c r="D114" t="inlineStr">
        <is>
          <t>DALARNAS LÄN</t>
        </is>
      </c>
      <c r="E114" t="inlineStr">
        <is>
          <t>LUDVIKA</t>
        </is>
      </c>
      <c r="G114" t="n">
        <v>2.3</v>
      </c>
      <c r="H114" t="n">
        <v>0</v>
      </c>
      <c r="I114" t="n">
        <v>0</v>
      </c>
      <c r="J114" t="n">
        <v>0</v>
      </c>
      <c r="K114" t="n">
        <v>0</v>
      </c>
      <c r="L114" t="n">
        <v>0</v>
      </c>
      <c r="M114" t="n">
        <v>0</v>
      </c>
      <c r="N114" t="n">
        <v>0</v>
      </c>
      <c r="O114" t="n">
        <v>0</v>
      </c>
      <c r="P114" t="n">
        <v>0</v>
      </c>
      <c r="Q114" t="n">
        <v>0</v>
      </c>
      <c r="R114" s="2" t="inlineStr"/>
    </row>
    <row r="115" ht="15" customHeight="1">
      <c r="A115" t="inlineStr">
        <is>
          <t>A 30121-2019</t>
        </is>
      </c>
      <c r="B115" s="1" t="n">
        <v>43630</v>
      </c>
      <c r="C115" s="1" t="n">
        <v>45852</v>
      </c>
      <c r="D115" t="inlineStr">
        <is>
          <t>DALARNAS LÄN</t>
        </is>
      </c>
      <c r="E115" t="inlineStr">
        <is>
          <t>LUDVIKA</t>
        </is>
      </c>
      <c r="G115" t="n">
        <v>0.5</v>
      </c>
      <c r="H115" t="n">
        <v>0</v>
      </c>
      <c r="I115" t="n">
        <v>0</v>
      </c>
      <c r="J115" t="n">
        <v>0</v>
      </c>
      <c r="K115" t="n">
        <v>0</v>
      </c>
      <c r="L115" t="n">
        <v>0</v>
      </c>
      <c r="M115" t="n">
        <v>0</v>
      </c>
      <c r="N115" t="n">
        <v>0</v>
      </c>
      <c r="O115" t="n">
        <v>0</v>
      </c>
      <c r="P115" t="n">
        <v>0</v>
      </c>
      <c r="Q115" t="n">
        <v>0</v>
      </c>
      <c r="R115" s="2" t="inlineStr"/>
    </row>
    <row r="116" ht="15" customHeight="1">
      <c r="A116" t="inlineStr">
        <is>
          <t>A 30040-2019</t>
        </is>
      </c>
      <c r="B116" s="1" t="n">
        <v>43633</v>
      </c>
      <c r="C116" s="1" t="n">
        <v>45852</v>
      </c>
      <c r="D116" t="inlineStr">
        <is>
          <t>DALARNAS LÄN</t>
        </is>
      </c>
      <c r="E116" t="inlineStr">
        <is>
          <t>LUDVIKA</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30887-2019</t>
        </is>
      </c>
      <c r="B117" s="1" t="n">
        <v>43636</v>
      </c>
      <c r="C117" s="1" t="n">
        <v>45852</v>
      </c>
      <c r="D117" t="inlineStr">
        <is>
          <t>DALARNAS LÄN</t>
        </is>
      </c>
      <c r="E117" t="inlineStr">
        <is>
          <t>LUDVIKA</t>
        </is>
      </c>
      <c r="F117" t="inlineStr">
        <is>
          <t>Bergvik skog väst AB</t>
        </is>
      </c>
      <c r="G117" t="n">
        <v>5.5</v>
      </c>
      <c r="H117" t="n">
        <v>0</v>
      </c>
      <c r="I117" t="n">
        <v>0</v>
      </c>
      <c r="J117" t="n">
        <v>0</v>
      </c>
      <c r="K117" t="n">
        <v>0</v>
      </c>
      <c r="L117" t="n">
        <v>0</v>
      </c>
      <c r="M117" t="n">
        <v>0</v>
      </c>
      <c r="N117" t="n">
        <v>0</v>
      </c>
      <c r="O117" t="n">
        <v>0</v>
      </c>
      <c r="P117" t="n">
        <v>0</v>
      </c>
      <c r="Q117" t="n">
        <v>0</v>
      </c>
      <c r="R117" s="2" t="inlineStr"/>
    </row>
    <row r="118" ht="15" customHeight="1">
      <c r="A118" t="inlineStr">
        <is>
          <t>A 33194-2019</t>
        </is>
      </c>
      <c r="B118" s="1" t="n">
        <v>43649</v>
      </c>
      <c r="C118" s="1" t="n">
        <v>45852</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34472-2019</t>
        </is>
      </c>
      <c r="B119" s="1" t="n">
        <v>43656</v>
      </c>
      <c r="C119" s="1" t="n">
        <v>45852</v>
      </c>
      <c r="D119" t="inlineStr">
        <is>
          <t>DALARNAS LÄN</t>
        </is>
      </c>
      <c r="E119" t="inlineStr">
        <is>
          <t>LUDVIKA</t>
        </is>
      </c>
      <c r="G119" t="n">
        <v>1.2</v>
      </c>
      <c r="H119" t="n">
        <v>0</v>
      </c>
      <c r="I119" t="n">
        <v>0</v>
      </c>
      <c r="J119" t="n">
        <v>0</v>
      </c>
      <c r="K119" t="n">
        <v>0</v>
      </c>
      <c r="L119" t="n">
        <v>0</v>
      </c>
      <c r="M119" t="n">
        <v>0</v>
      </c>
      <c r="N119" t="n">
        <v>0</v>
      </c>
      <c r="O119" t="n">
        <v>0</v>
      </c>
      <c r="P119" t="n">
        <v>0</v>
      </c>
      <c r="Q119" t="n">
        <v>0</v>
      </c>
      <c r="R119" s="2" t="inlineStr"/>
    </row>
    <row r="120" ht="15" customHeight="1">
      <c r="A120" t="inlineStr">
        <is>
          <t>A 35230-2019</t>
        </is>
      </c>
      <c r="B120" s="1" t="n">
        <v>43662</v>
      </c>
      <c r="C120" s="1" t="n">
        <v>45852</v>
      </c>
      <c r="D120" t="inlineStr">
        <is>
          <t>DALARNAS LÄN</t>
        </is>
      </c>
      <c r="E120" t="inlineStr">
        <is>
          <t>LUDVIKA</t>
        </is>
      </c>
      <c r="G120" t="n">
        <v>0.4</v>
      </c>
      <c r="H120" t="n">
        <v>0</v>
      </c>
      <c r="I120" t="n">
        <v>0</v>
      </c>
      <c r="J120" t="n">
        <v>0</v>
      </c>
      <c r="K120" t="n">
        <v>0</v>
      </c>
      <c r="L120" t="n">
        <v>0</v>
      </c>
      <c r="M120" t="n">
        <v>0</v>
      </c>
      <c r="N120" t="n">
        <v>0</v>
      </c>
      <c r="O120" t="n">
        <v>0</v>
      </c>
      <c r="P120" t="n">
        <v>0</v>
      </c>
      <c r="Q120" t="n">
        <v>0</v>
      </c>
      <c r="R120" s="2" t="inlineStr"/>
    </row>
    <row r="121" ht="15" customHeight="1">
      <c r="A121" t="inlineStr">
        <is>
          <t>A 35634-2019</t>
        </is>
      </c>
      <c r="B121" s="1" t="n">
        <v>43664</v>
      </c>
      <c r="C121" s="1" t="n">
        <v>45852</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37612-2019</t>
        </is>
      </c>
      <c r="B122" s="1" t="n">
        <v>43681</v>
      </c>
      <c r="C122" s="1" t="n">
        <v>45852</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40358-2019</t>
        </is>
      </c>
      <c r="B123" s="1" t="n">
        <v>43696</v>
      </c>
      <c r="C123" s="1" t="n">
        <v>45852</v>
      </c>
      <c r="D123" t="inlineStr">
        <is>
          <t>DALARNAS LÄN</t>
        </is>
      </c>
      <c r="E123" t="inlineStr">
        <is>
          <t>LUDVIKA</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41395-2019</t>
        </is>
      </c>
      <c r="B124" s="1" t="n">
        <v>43698</v>
      </c>
      <c r="C124" s="1" t="n">
        <v>45852</v>
      </c>
      <c r="D124" t="inlineStr">
        <is>
          <t>DALARNAS LÄN</t>
        </is>
      </c>
      <c r="E124" t="inlineStr">
        <is>
          <t>LUDVIKA</t>
        </is>
      </c>
      <c r="G124" t="n">
        <v>1</v>
      </c>
      <c r="H124" t="n">
        <v>0</v>
      </c>
      <c r="I124" t="n">
        <v>0</v>
      </c>
      <c r="J124" t="n">
        <v>0</v>
      </c>
      <c r="K124" t="n">
        <v>0</v>
      </c>
      <c r="L124" t="n">
        <v>0</v>
      </c>
      <c r="M124" t="n">
        <v>0</v>
      </c>
      <c r="N124" t="n">
        <v>0</v>
      </c>
      <c r="O124" t="n">
        <v>0</v>
      </c>
      <c r="P124" t="n">
        <v>0</v>
      </c>
      <c r="Q124" t="n">
        <v>0</v>
      </c>
      <c r="R124" s="2" t="inlineStr"/>
    </row>
    <row r="125" ht="15" customHeight="1">
      <c r="A125" t="inlineStr">
        <is>
          <t>A 42849-2019</t>
        </is>
      </c>
      <c r="B125" s="1" t="n">
        <v>43700</v>
      </c>
      <c r="C125" s="1" t="n">
        <v>45852</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43074-2019</t>
        </is>
      </c>
      <c r="B126" s="1" t="n">
        <v>43705</v>
      </c>
      <c r="C126" s="1" t="n">
        <v>45852</v>
      </c>
      <c r="D126" t="inlineStr">
        <is>
          <t>DALARNAS LÄN</t>
        </is>
      </c>
      <c r="E126" t="inlineStr">
        <is>
          <t>LUDVIKA</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45480-2019</t>
        </is>
      </c>
      <c r="B127" s="1" t="n">
        <v>43714</v>
      </c>
      <c r="C127" s="1" t="n">
        <v>45852</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47012-2019</t>
        </is>
      </c>
      <c r="B128" s="1" t="n">
        <v>43720</v>
      </c>
      <c r="C128" s="1" t="n">
        <v>45852</v>
      </c>
      <c r="D128" t="inlineStr">
        <is>
          <t>DALARNAS LÄN</t>
        </is>
      </c>
      <c r="E128" t="inlineStr">
        <is>
          <t>LUDVIKA</t>
        </is>
      </c>
      <c r="F128" t="inlineStr">
        <is>
          <t>Kyrkan</t>
        </is>
      </c>
      <c r="G128" t="n">
        <v>2</v>
      </c>
      <c r="H128" t="n">
        <v>0</v>
      </c>
      <c r="I128" t="n">
        <v>0</v>
      </c>
      <c r="J128" t="n">
        <v>0</v>
      </c>
      <c r="K128" t="n">
        <v>0</v>
      </c>
      <c r="L128" t="n">
        <v>0</v>
      </c>
      <c r="M128" t="n">
        <v>0</v>
      </c>
      <c r="N128" t="n">
        <v>0</v>
      </c>
      <c r="O128" t="n">
        <v>0</v>
      </c>
      <c r="P128" t="n">
        <v>0</v>
      </c>
      <c r="Q128" t="n">
        <v>0</v>
      </c>
      <c r="R128" s="2" t="inlineStr"/>
    </row>
    <row r="129" ht="15" customHeight="1">
      <c r="A129" t="inlineStr">
        <is>
          <t>A 49329-2019</t>
        </is>
      </c>
      <c r="B129" s="1" t="n">
        <v>43731</v>
      </c>
      <c r="C129" s="1" t="n">
        <v>45852</v>
      </c>
      <c r="D129" t="inlineStr">
        <is>
          <t>DALARNAS LÄN</t>
        </is>
      </c>
      <c r="E129" t="inlineStr">
        <is>
          <t>LUDVIKA</t>
        </is>
      </c>
      <c r="G129" t="n">
        <v>1.2</v>
      </c>
      <c r="H129" t="n">
        <v>0</v>
      </c>
      <c r="I129" t="n">
        <v>0</v>
      </c>
      <c r="J129" t="n">
        <v>0</v>
      </c>
      <c r="K129" t="n">
        <v>0</v>
      </c>
      <c r="L129" t="n">
        <v>0</v>
      </c>
      <c r="M129" t="n">
        <v>0</v>
      </c>
      <c r="N129" t="n">
        <v>0</v>
      </c>
      <c r="O129" t="n">
        <v>0</v>
      </c>
      <c r="P129" t="n">
        <v>0</v>
      </c>
      <c r="Q129" t="n">
        <v>0</v>
      </c>
      <c r="R129" s="2" t="inlineStr"/>
    </row>
    <row r="130" ht="15" customHeight="1">
      <c r="A130" t="inlineStr">
        <is>
          <t>A 49699-2019</t>
        </is>
      </c>
      <c r="B130" s="1" t="n">
        <v>43733</v>
      </c>
      <c r="C130" s="1" t="n">
        <v>45852</v>
      </c>
      <c r="D130" t="inlineStr">
        <is>
          <t>DALARNAS LÄN</t>
        </is>
      </c>
      <c r="E130" t="inlineStr">
        <is>
          <t>LUDVIKA</t>
        </is>
      </c>
      <c r="G130" t="n">
        <v>2.1</v>
      </c>
      <c r="H130" t="n">
        <v>0</v>
      </c>
      <c r="I130" t="n">
        <v>0</v>
      </c>
      <c r="J130" t="n">
        <v>0</v>
      </c>
      <c r="K130" t="n">
        <v>0</v>
      </c>
      <c r="L130" t="n">
        <v>0</v>
      </c>
      <c r="M130" t="n">
        <v>0</v>
      </c>
      <c r="N130" t="n">
        <v>0</v>
      </c>
      <c r="O130" t="n">
        <v>0</v>
      </c>
      <c r="P130" t="n">
        <v>0</v>
      </c>
      <c r="Q130" t="n">
        <v>0</v>
      </c>
      <c r="R130" s="2" t="inlineStr"/>
    </row>
    <row r="131" ht="15" customHeight="1">
      <c r="A131" t="inlineStr">
        <is>
          <t>A 50024-2019</t>
        </is>
      </c>
      <c r="B131" s="1" t="n">
        <v>43734</v>
      </c>
      <c r="C131" s="1" t="n">
        <v>45852</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53038-2019</t>
        </is>
      </c>
      <c r="B132" s="1" t="n">
        <v>43747</v>
      </c>
      <c r="C132" s="1" t="n">
        <v>45852</v>
      </c>
      <c r="D132" t="inlineStr">
        <is>
          <t>DALARNAS LÄN</t>
        </is>
      </c>
      <c r="E132" t="inlineStr">
        <is>
          <t>LUDVIKA</t>
        </is>
      </c>
      <c r="G132" t="n">
        <v>10.6</v>
      </c>
      <c r="H132" t="n">
        <v>0</v>
      </c>
      <c r="I132" t="n">
        <v>0</v>
      </c>
      <c r="J132" t="n">
        <v>0</v>
      </c>
      <c r="K132" t="n">
        <v>0</v>
      </c>
      <c r="L132" t="n">
        <v>0</v>
      </c>
      <c r="M132" t="n">
        <v>0</v>
      </c>
      <c r="N132" t="n">
        <v>0</v>
      </c>
      <c r="O132" t="n">
        <v>0</v>
      </c>
      <c r="P132" t="n">
        <v>0</v>
      </c>
      <c r="Q132" t="n">
        <v>0</v>
      </c>
      <c r="R132" s="2" t="inlineStr"/>
    </row>
    <row r="133" ht="15" customHeight="1">
      <c r="A133" t="inlineStr">
        <is>
          <t>A 59304-2019</t>
        </is>
      </c>
      <c r="B133" s="1" t="n">
        <v>43770</v>
      </c>
      <c r="C133" s="1" t="n">
        <v>45852</v>
      </c>
      <c r="D133" t="inlineStr">
        <is>
          <t>DALARNAS LÄN</t>
        </is>
      </c>
      <c r="E133" t="inlineStr">
        <is>
          <t>LUDVIKA</t>
        </is>
      </c>
      <c r="G133" t="n">
        <v>3.2</v>
      </c>
      <c r="H133" t="n">
        <v>0</v>
      </c>
      <c r="I133" t="n">
        <v>0</v>
      </c>
      <c r="J133" t="n">
        <v>0</v>
      </c>
      <c r="K133" t="n">
        <v>0</v>
      </c>
      <c r="L133" t="n">
        <v>0</v>
      </c>
      <c r="M133" t="n">
        <v>0</v>
      </c>
      <c r="N133" t="n">
        <v>0</v>
      </c>
      <c r="O133" t="n">
        <v>0</v>
      </c>
      <c r="P133" t="n">
        <v>0</v>
      </c>
      <c r="Q133" t="n">
        <v>0</v>
      </c>
      <c r="R133" s="2" t="inlineStr"/>
    </row>
    <row r="134" ht="15" customHeight="1">
      <c r="A134" t="inlineStr">
        <is>
          <t>A 60221-2019</t>
        </is>
      </c>
      <c r="B134" s="1" t="n">
        <v>43780</v>
      </c>
      <c r="C134" s="1" t="n">
        <v>45852</v>
      </c>
      <c r="D134" t="inlineStr">
        <is>
          <t>DALARNAS LÄN</t>
        </is>
      </c>
      <c r="E134" t="inlineStr">
        <is>
          <t>LUDVIKA</t>
        </is>
      </c>
      <c r="G134" t="n">
        <v>3.4</v>
      </c>
      <c r="H134" t="n">
        <v>0</v>
      </c>
      <c r="I134" t="n">
        <v>0</v>
      </c>
      <c r="J134" t="n">
        <v>0</v>
      </c>
      <c r="K134" t="n">
        <v>0</v>
      </c>
      <c r="L134" t="n">
        <v>0</v>
      </c>
      <c r="M134" t="n">
        <v>0</v>
      </c>
      <c r="N134" t="n">
        <v>0</v>
      </c>
      <c r="O134" t="n">
        <v>0</v>
      </c>
      <c r="P134" t="n">
        <v>0</v>
      </c>
      <c r="Q134" t="n">
        <v>0</v>
      </c>
      <c r="R134" s="2" t="inlineStr"/>
    </row>
    <row r="135" ht="15" customHeight="1">
      <c r="A135" t="inlineStr">
        <is>
          <t>A 61027-2019</t>
        </is>
      </c>
      <c r="B135" s="1" t="n">
        <v>43782</v>
      </c>
      <c r="C135" s="1" t="n">
        <v>45852</v>
      </c>
      <c r="D135" t="inlineStr">
        <is>
          <t>DALARNAS LÄN</t>
        </is>
      </c>
      <c r="E135" t="inlineStr">
        <is>
          <t>LUDVIKA</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62356-2019</t>
        </is>
      </c>
      <c r="B136" s="1" t="n">
        <v>43788</v>
      </c>
      <c r="C136" s="1" t="n">
        <v>45852</v>
      </c>
      <c r="D136" t="inlineStr">
        <is>
          <t>DALARNAS LÄN</t>
        </is>
      </c>
      <c r="E136" t="inlineStr">
        <is>
          <t>LUDVIKA</t>
        </is>
      </c>
      <c r="F136" t="inlineStr">
        <is>
          <t>Bergvik skog väst AB</t>
        </is>
      </c>
      <c r="G136" t="n">
        <v>2.8</v>
      </c>
      <c r="H136" t="n">
        <v>0</v>
      </c>
      <c r="I136" t="n">
        <v>0</v>
      </c>
      <c r="J136" t="n">
        <v>0</v>
      </c>
      <c r="K136" t="n">
        <v>0</v>
      </c>
      <c r="L136" t="n">
        <v>0</v>
      </c>
      <c r="M136" t="n">
        <v>0</v>
      </c>
      <c r="N136" t="n">
        <v>0</v>
      </c>
      <c r="O136" t="n">
        <v>0</v>
      </c>
      <c r="P136" t="n">
        <v>0</v>
      </c>
      <c r="Q136" t="n">
        <v>0</v>
      </c>
      <c r="R136" s="2" t="inlineStr"/>
    </row>
    <row r="137" ht="15" customHeight="1">
      <c r="A137" t="inlineStr">
        <is>
          <t>A 63149-2019</t>
        </is>
      </c>
      <c r="B137" s="1" t="n">
        <v>43791</v>
      </c>
      <c r="C137" s="1" t="n">
        <v>45852</v>
      </c>
      <c r="D137" t="inlineStr">
        <is>
          <t>DALARNAS LÄN</t>
        </is>
      </c>
      <c r="E137" t="inlineStr">
        <is>
          <t>LUDVIKA</t>
        </is>
      </c>
      <c r="F137" t="inlineStr">
        <is>
          <t>Bergvik skog väst AB</t>
        </is>
      </c>
      <c r="G137" t="n">
        <v>2.3</v>
      </c>
      <c r="H137" t="n">
        <v>0</v>
      </c>
      <c r="I137" t="n">
        <v>0</v>
      </c>
      <c r="J137" t="n">
        <v>0</v>
      </c>
      <c r="K137" t="n">
        <v>0</v>
      </c>
      <c r="L137" t="n">
        <v>0</v>
      </c>
      <c r="M137" t="n">
        <v>0</v>
      </c>
      <c r="N137" t="n">
        <v>0</v>
      </c>
      <c r="O137" t="n">
        <v>0</v>
      </c>
      <c r="P137" t="n">
        <v>0</v>
      </c>
      <c r="Q137" t="n">
        <v>0</v>
      </c>
      <c r="R137" s="2" t="inlineStr"/>
    </row>
    <row r="138" ht="15" customHeight="1">
      <c r="A138" t="inlineStr">
        <is>
          <t>A 64300-2019</t>
        </is>
      </c>
      <c r="B138" s="1" t="n">
        <v>43797</v>
      </c>
      <c r="C138" s="1" t="n">
        <v>45852</v>
      </c>
      <c r="D138" t="inlineStr">
        <is>
          <t>DALARNAS LÄN</t>
        </is>
      </c>
      <c r="E138" t="inlineStr">
        <is>
          <t>LUDVIKA</t>
        </is>
      </c>
      <c r="G138" t="n">
        <v>7.2</v>
      </c>
      <c r="H138" t="n">
        <v>0</v>
      </c>
      <c r="I138" t="n">
        <v>0</v>
      </c>
      <c r="J138" t="n">
        <v>0</v>
      </c>
      <c r="K138" t="n">
        <v>0</v>
      </c>
      <c r="L138" t="n">
        <v>0</v>
      </c>
      <c r="M138" t="n">
        <v>0</v>
      </c>
      <c r="N138" t="n">
        <v>0</v>
      </c>
      <c r="O138" t="n">
        <v>0</v>
      </c>
      <c r="P138" t="n">
        <v>0</v>
      </c>
      <c r="Q138" t="n">
        <v>0</v>
      </c>
      <c r="R138" s="2" t="inlineStr"/>
    </row>
    <row r="139" ht="15" customHeight="1">
      <c r="A139" t="inlineStr">
        <is>
          <t>A 64583-2019</t>
        </is>
      </c>
      <c r="B139" s="1" t="n">
        <v>43798</v>
      </c>
      <c r="C139" s="1" t="n">
        <v>45852</v>
      </c>
      <c r="D139" t="inlineStr">
        <is>
          <t>DALARNAS LÄN</t>
        </is>
      </c>
      <c r="E139" t="inlineStr">
        <is>
          <t>LUDVIKA</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64684-2019</t>
        </is>
      </c>
      <c r="B140" s="1" t="n">
        <v>43798</v>
      </c>
      <c r="C140" s="1" t="n">
        <v>45852</v>
      </c>
      <c r="D140" t="inlineStr">
        <is>
          <t>DALARNAS LÄN</t>
        </is>
      </c>
      <c r="E140" t="inlineStr">
        <is>
          <t>LUDVIKA</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64693-2019</t>
        </is>
      </c>
      <c r="B141" s="1" t="n">
        <v>43798</v>
      </c>
      <c r="C141" s="1" t="n">
        <v>45852</v>
      </c>
      <c r="D141" t="inlineStr">
        <is>
          <t>DALARNAS LÄN</t>
        </is>
      </c>
      <c r="E141" t="inlineStr">
        <is>
          <t>LUDVIKA</t>
        </is>
      </c>
      <c r="F141" t="inlineStr">
        <is>
          <t>Bergvik skog väst AB</t>
        </is>
      </c>
      <c r="G141" t="n">
        <v>3.6</v>
      </c>
      <c r="H141" t="n">
        <v>0</v>
      </c>
      <c r="I141" t="n">
        <v>0</v>
      </c>
      <c r="J141" t="n">
        <v>0</v>
      </c>
      <c r="K141" t="n">
        <v>0</v>
      </c>
      <c r="L141" t="n">
        <v>0</v>
      </c>
      <c r="M141" t="n">
        <v>0</v>
      </c>
      <c r="N141" t="n">
        <v>0</v>
      </c>
      <c r="O141" t="n">
        <v>0</v>
      </c>
      <c r="P141" t="n">
        <v>0</v>
      </c>
      <c r="Q141" t="n">
        <v>0</v>
      </c>
      <c r="R141" s="2" t="inlineStr"/>
    </row>
    <row r="142" ht="15" customHeight="1">
      <c r="A142" t="inlineStr">
        <is>
          <t>A 64628-2019</t>
        </is>
      </c>
      <c r="B142" s="1" t="n">
        <v>43798</v>
      </c>
      <c r="C142" s="1" t="n">
        <v>45852</v>
      </c>
      <c r="D142" t="inlineStr">
        <is>
          <t>DALARNAS LÄN</t>
        </is>
      </c>
      <c r="E142" t="inlineStr">
        <is>
          <t>LUDVIKA</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64961-2019</t>
        </is>
      </c>
      <c r="B143" s="1" t="n">
        <v>43801</v>
      </c>
      <c r="C143" s="1" t="n">
        <v>45852</v>
      </c>
      <c r="D143" t="inlineStr">
        <is>
          <t>DALARNAS LÄN</t>
        </is>
      </c>
      <c r="E143" t="inlineStr">
        <is>
          <t>LUDVIKA</t>
        </is>
      </c>
      <c r="G143" t="n">
        <v>1.3</v>
      </c>
      <c r="H143" t="n">
        <v>0</v>
      </c>
      <c r="I143" t="n">
        <v>0</v>
      </c>
      <c r="J143" t="n">
        <v>0</v>
      </c>
      <c r="K143" t="n">
        <v>0</v>
      </c>
      <c r="L143" t="n">
        <v>0</v>
      </c>
      <c r="M143" t="n">
        <v>0</v>
      </c>
      <c r="N143" t="n">
        <v>0</v>
      </c>
      <c r="O143" t="n">
        <v>0</v>
      </c>
      <c r="P143" t="n">
        <v>0</v>
      </c>
      <c r="Q143" t="n">
        <v>0</v>
      </c>
      <c r="R143" s="2" t="inlineStr"/>
    </row>
    <row r="144" ht="15" customHeight="1">
      <c r="A144" t="inlineStr">
        <is>
          <t>A 68226-2019</t>
        </is>
      </c>
      <c r="B144" s="1" t="n">
        <v>43817</v>
      </c>
      <c r="C144" s="1" t="n">
        <v>45852</v>
      </c>
      <c r="D144" t="inlineStr">
        <is>
          <t>DALARNAS LÄN</t>
        </is>
      </c>
      <c r="E144" t="inlineStr">
        <is>
          <t>LUDVIKA</t>
        </is>
      </c>
      <c r="G144" t="n">
        <v>4.4</v>
      </c>
      <c r="H144" t="n">
        <v>0</v>
      </c>
      <c r="I144" t="n">
        <v>0</v>
      </c>
      <c r="J144" t="n">
        <v>0</v>
      </c>
      <c r="K144" t="n">
        <v>0</v>
      </c>
      <c r="L144" t="n">
        <v>0</v>
      </c>
      <c r="M144" t="n">
        <v>0</v>
      </c>
      <c r="N144" t="n">
        <v>0</v>
      </c>
      <c r="O144" t="n">
        <v>0</v>
      </c>
      <c r="P144" t="n">
        <v>0</v>
      </c>
      <c r="Q144" t="n">
        <v>0</v>
      </c>
      <c r="R144" s="2" t="inlineStr"/>
    </row>
    <row r="145" ht="15" customHeight="1">
      <c r="A145" t="inlineStr">
        <is>
          <t>A 68721-2019</t>
        </is>
      </c>
      <c r="B145" s="1" t="n">
        <v>43819</v>
      </c>
      <c r="C145" s="1" t="n">
        <v>45852</v>
      </c>
      <c r="D145" t="inlineStr">
        <is>
          <t>DALARNAS LÄN</t>
        </is>
      </c>
      <c r="E145" t="inlineStr">
        <is>
          <t>LUDVIKA</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2572-2020</t>
        </is>
      </c>
      <c r="B146" s="1" t="n">
        <v>43847</v>
      </c>
      <c r="C146" s="1" t="n">
        <v>45852</v>
      </c>
      <c r="D146" t="inlineStr">
        <is>
          <t>DALARNAS LÄN</t>
        </is>
      </c>
      <c r="E146" t="inlineStr">
        <is>
          <t>LUDVIKA</t>
        </is>
      </c>
      <c r="G146" t="n">
        <v>5.4</v>
      </c>
      <c r="H146" t="n">
        <v>0</v>
      </c>
      <c r="I146" t="n">
        <v>0</v>
      </c>
      <c r="J146" t="n">
        <v>0</v>
      </c>
      <c r="K146" t="n">
        <v>0</v>
      </c>
      <c r="L146" t="n">
        <v>0</v>
      </c>
      <c r="M146" t="n">
        <v>0</v>
      </c>
      <c r="N146" t="n">
        <v>0</v>
      </c>
      <c r="O146" t="n">
        <v>0</v>
      </c>
      <c r="P146" t="n">
        <v>0</v>
      </c>
      <c r="Q146" t="n">
        <v>0</v>
      </c>
      <c r="R146" s="2" t="inlineStr"/>
    </row>
    <row r="147" ht="15" customHeight="1">
      <c r="A147" t="inlineStr">
        <is>
          <t>A 4071-2020</t>
        </is>
      </c>
      <c r="B147" s="1" t="n">
        <v>43847</v>
      </c>
      <c r="C147" s="1" t="n">
        <v>45852</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4611-2020</t>
        </is>
      </c>
      <c r="B148" s="1" t="n">
        <v>43858</v>
      </c>
      <c r="C148" s="1" t="n">
        <v>45852</v>
      </c>
      <c r="D148" t="inlineStr">
        <is>
          <t>DALARNAS LÄN</t>
        </is>
      </c>
      <c r="E148" t="inlineStr">
        <is>
          <t>LUDVIKA</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5243-2020</t>
        </is>
      </c>
      <c r="B149" s="1" t="n">
        <v>43860</v>
      </c>
      <c r="C149" s="1" t="n">
        <v>45852</v>
      </c>
      <c r="D149" t="inlineStr">
        <is>
          <t>DALARNAS LÄN</t>
        </is>
      </c>
      <c r="E149" t="inlineStr">
        <is>
          <t>LUDVIKA</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5481-2020</t>
        </is>
      </c>
      <c r="B150" s="1" t="n">
        <v>43861</v>
      </c>
      <c r="C150" s="1" t="n">
        <v>45852</v>
      </c>
      <c r="D150" t="inlineStr">
        <is>
          <t>DALARNAS LÄN</t>
        </is>
      </c>
      <c r="E150" t="inlineStr">
        <is>
          <t>LUDVIKA</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5829-2020</t>
        </is>
      </c>
      <c r="B151" s="1" t="n">
        <v>43861</v>
      </c>
      <c r="C151" s="1" t="n">
        <v>45852</v>
      </c>
      <c r="D151" t="inlineStr">
        <is>
          <t>DALARNAS LÄN</t>
        </is>
      </c>
      <c r="E151" t="inlineStr">
        <is>
          <t>LUDVIKA</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6948-2020</t>
        </is>
      </c>
      <c r="B152" s="1" t="n">
        <v>43868</v>
      </c>
      <c r="C152" s="1" t="n">
        <v>45852</v>
      </c>
      <c r="D152" t="inlineStr">
        <is>
          <t>DALARNAS LÄN</t>
        </is>
      </c>
      <c r="E152" t="inlineStr">
        <is>
          <t>LUDVIKA</t>
        </is>
      </c>
      <c r="G152" t="n">
        <v>2.4</v>
      </c>
      <c r="H152" t="n">
        <v>0</v>
      </c>
      <c r="I152" t="n">
        <v>0</v>
      </c>
      <c r="J152" t="n">
        <v>0</v>
      </c>
      <c r="K152" t="n">
        <v>0</v>
      </c>
      <c r="L152" t="n">
        <v>0</v>
      </c>
      <c r="M152" t="n">
        <v>0</v>
      </c>
      <c r="N152" t="n">
        <v>0</v>
      </c>
      <c r="O152" t="n">
        <v>0</v>
      </c>
      <c r="P152" t="n">
        <v>0</v>
      </c>
      <c r="Q152" t="n">
        <v>0</v>
      </c>
      <c r="R152" s="2" t="inlineStr"/>
    </row>
    <row r="153" ht="15" customHeight="1">
      <c r="A153" t="inlineStr">
        <is>
          <t>A 7010-2020</t>
        </is>
      </c>
      <c r="B153" s="1" t="n">
        <v>43868</v>
      </c>
      <c r="C153" s="1" t="n">
        <v>45852</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7709-2020</t>
        </is>
      </c>
      <c r="B154" s="1" t="n">
        <v>43872</v>
      </c>
      <c r="C154" s="1" t="n">
        <v>45852</v>
      </c>
      <c r="D154" t="inlineStr">
        <is>
          <t>DALARNAS LÄN</t>
        </is>
      </c>
      <c r="E154" t="inlineStr">
        <is>
          <t>LUDVIKA</t>
        </is>
      </c>
      <c r="G154" t="n">
        <v>2.6</v>
      </c>
      <c r="H154" t="n">
        <v>0</v>
      </c>
      <c r="I154" t="n">
        <v>0</v>
      </c>
      <c r="J154" t="n">
        <v>0</v>
      </c>
      <c r="K154" t="n">
        <v>0</v>
      </c>
      <c r="L154" t="n">
        <v>0</v>
      </c>
      <c r="M154" t="n">
        <v>0</v>
      </c>
      <c r="N154" t="n">
        <v>0</v>
      </c>
      <c r="O154" t="n">
        <v>0</v>
      </c>
      <c r="P154" t="n">
        <v>0</v>
      </c>
      <c r="Q154" t="n">
        <v>0</v>
      </c>
      <c r="R154" s="2" t="inlineStr"/>
    </row>
    <row r="155" ht="15" customHeight="1">
      <c r="A155" t="inlineStr">
        <is>
          <t>A 7851-2020</t>
        </is>
      </c>
      <c r="B155" s="1" t="n">
        <v>43873</v>
      </c>
      <c r="C155" s="1" t="n">
        <v>45852</v>
      </c>
      <c r="D155" t="inlineStr">
        <is>
          <t>DALARNAS LÄN</t>
        </is>
      </c>
      <c r="E155" t="inlineStr">
        <is>
          <t>LUDVIKA</t>
        </is>
      </c>
      <c r="F155" t="inlineStr">
        <is>
          <t>Naturvårdsverket</t>
        </is>
      </c>
      <c r="G155" t="n">
        <v>1.9</v>
      </c>
      <c r="H155" t="n">
        <v>0</v>
      </c>
      <c r="I155" t="n">
        <v>0</v>
      </c>
      <c r="J155" t="n">
        <v>0</v>
      </c>
      <c r="K155" t="n">
        <v>0</v>
      </c>
      <c r="L155" t="n">
        <v>0</v>
      </c>
      <c r="M155" t="n">
        <v>0</v>
      </c>
      <c r="N155" t="n">
        <v>0</v>
      </c>
      <c r="O155" t="n">
        <v>0</v>
      </c>
      <c r="P155" t="n">
        <v>0</v>
      </c>
      <c r="Q155" t="n">
        <v>0</v>
      </c>
      <c r="R155" s="2" t="inlineStr"/>
    </row>
    <row r="156" ht="15" customHeight="1">
      <c r="A156" t="inlineStr">
        <is>
          <t>A 9552-2020</t>
        </is>
      </c>
      <c r="B156" s="1" t="n">
        <v>43881</v>
      </c>
      <c r="C156" s="1" t="n">
        <v>45852</v>
      </c>
      <c r="D156" t="inlineStr">
        <is>
          <t>DALARNAS LÄN</t>
        </is>
      </c>
      <c r="E156" t="inlineStr">
        <is>
          <t>LUDVIKA</t>
        </is>
      </c>
      <c r="F156" t="inlineStr">
        <is>
          <t>Övriga Aktiebolag</t>
        </is>
      </c>
      <c r="G156" t="n">
        <v>1.3</v>
      </c>
      <c r="H156" t="n">
        <v>0</v>
      </c>
      <c r="I156" t="n">
        <v>0</v>
      </c>
      <c r="J156" t="n">
        <v>0</v>
      </c>
      <c r="K156" t="n">
        <v>0</v>
      </c>
      <c r="L156" t="n">
        <v>0</v>
      </c>
      <c r="M156" t="n">
        <v>0</v>
      </c>
      <c r="N156" t="n">
        <v>0</v>
      </c>
      <c r="O156" t="n">
        <v>0</v>
      </c>
      <c r="P156" t="n">
        <v>0</v>
      </c>
      <c r="Q156" t="n">
        <v>0</v>
      </c>
      <c r="R156" s="2" t="inlineStr"/>
    </row>
    <row r="157" ht="15" customHeight="1">
      <c r="A157" t="inlineStr">
        <is>
          <t>A 9805-2020</t>
        </is>
      </c>
      <c r="B157" s="1" t="n">
        <v>43881</v>
      </c>
      <c r="C157" s="1" t="n">
        <v>45852</v>
      </c>
      <c r="D157" t="inlineStr">
        <is>
          <t>DALARNAS LÄN</t>
        </is>
      </c>
      <c r="E157" t="inlineStr">
        <is>
          <t>LUDVIKA</t>
        </is>
      </c>
      <c r="G157" t="n">
        <v>0.5</v>
      </c>
      <c r="H157" t="n">
        <v>0</v>
      </c>
      <c r="I157" t="n">
        <v>0</v>
      </c>
      <c r="J157" t="n">
        <v>0</v>
      </c>
      <c r="K157" t="n">
        <v>0</v>
      </c>
      <c r="L157" t="n">
        <v>0</v>
      </c>
      <c r="M157" t="n">
        <v>0</v>
      </c>
      <c r="N157" t="n">
        <v>0</v>
      </c>
      <c r="O157" t="n">
        <v>0</v>
      </c>
      <c r="P157" t="n">
        <v>0</v>
      </c>
      <c r="Q157" t="n">
        <v>0</v>
      </c>
      <c r="R157" s="2" t="inlineStr"/>
    </row>
    <row r="158" ht="15" customHeight="1">
      <c r="A158" t="inlineStr">
        <is>
          <t>A 9932-2020</t>
        </is>
      </c>
      <c r="B158" s="1" t="n">
        <v>43882</v>
      </c>
      <c r="C158" s="1" t="n">
        <v>45852</v>
      </c>
      <c r="D158" t="inlineStr">
        <is>
          <t>DALARNAS LÄN</t>
        </is>
      </c>
      <c r="E158" t="inlineStr">
        <is>
          <t>LUDVIKA</t>
        </is>
      </c>
      <c r="G158" t="n">
        <v>0.6</v>
      </c>
      <c r="H158" t="n">
        <v>0</v>
      </c>
      <c r="I158" t="n">
        <v>0</v>
      </c>
      <c r="J158" t="n">
        <v>0</v>
      </c>
      <c r="K158" t="n">
        <v>0</v>
      </c>
      <c r="L158" t="n">
        <v>0</v>
      </c>
      <c r="M158" t="n">
        <v>0</v>
      </c>
      <c r="N158" t="n">
        <v>0</v>
      </c>
      <c r="O158" t="n">
        <v>0</v>
      </c>
      <c r="P158" t="n">
        <v>0</v>
      </c>
      <c r="Q158" t="n">
        <v>0</v>
      </c>
      <c r="R158" s="2" t="inlineStr"/>
    </row>
    <row r="159" ht="15" customHeight="1">
      <c r="A159" t="inlineStr">
        <is>
          <t>A 10578-2020</t>
        </is>
      </c>
      <c r="B159" s="1" t="n">
        <v>43887</v>
      </c>
      <c r="C159" s="1" t="n">
        <v>45852</v>
      </c>
      <c r="D159" t="inlineStr">
        <is>
          <t>DALARNAS LÄN</t>
        </is>
      </c>
      <c r="E159" t="inlineStr">
        <is>
          <t>LUDVIKA</t>
        </is>
      </c>
      <c r="F159" t="inlineStr">
        <is>
          <t>Bergvik skog väst AB</t>
        </is>
      </c>
      <c r="G159" t="n">
        <v>3.3</v>
      </c>
      <c r="H159" t="n">
        <v>0</v>
      </c>
      <c r="I159" t="n">
        <v>0</v>
      </c>
      <c r="J159" t="n">
        <v>0</v>
      </c>
      <c r="K159" t="n">
        <v>0</v>
      </c>
      <c r="L159" t="n">
        <v>0</v>
      </c>
      <c r="M159" t="n">
        <v>0</v>
      </c>
      <c r="N159" t="n">
        <v>0</v>
      </c>
      <c r="O159" t="n">
        <v>0</v>
      </c>
      <c r="P159" t="n">
        <v>0</v>
      </c>
      <c r="Q159" t="n">
        <v>0</v>
      </c>
      <c r="R159" s="2" t="inlineStr"/>
    </row>
    <row r="160" ht="15" customHeight="1">
      <c r="A160" t="inlineStr">
        <is>
          <t>A 10600-2020</t>
        </is>
      </c>
      <c r="B160" s="1" t="n">
        <v>43887</v>
      </c>
      <c r="C160" s="1" t="n">
        <v>45852</v>
      </c>
      <c r="D160" t="inlineStr">
        <is>
          <t>DALARNAS LÄN</t>
        </is>
      </c>
      <c r="E160" t="inlineStr">
        <is>
          <t>LUDVIKA</t>
        </is>
      </c>
      <c r="G160" t="n">
        <v>1.4</v>
      </c>
      <c r="H160" t="n">
        <v>0</v>
      </c>
      <c r="I160" t="n">
        <v>0</v>
      </c>
      <c r="J160" t="n">
        <v>0</v>
      </c>
      <c r="K160" t="n">
        <v>0</v>
      </c>
      <c r="L160" t="n">
        <v>0</v>
      </c>
      <c r="M160" t="n">
        <v>0</v>
      </c>
      <c r="N160" t="n">
        <v>0</v>
      </c>
      <c r="O160" t="n">
        <v>0</v>
      </c>
      <c r="P160" t="n">
        <v>0</v>
      </c>
      <c r="Q160" t="n">
        <v>0</v>
      </c>
      <c r="R160" s="2" t="inlineStr"/>
    </row>
    <row r="161" ht="15" customHeight="1">
      <c r="A161" t="inlineStr">
        <is>
          <t>A 12439-2020</t>
        </is>
      </c>
      <c r="B161" s="1" t="n">
        <v>43892</v>
      </c>
      <c r="C161" s="1" t="n">
        <v>45852</v>
      </c>
      <c r="D161" t="inlineStr">
        <is>
          <t>DALARNAS LÄN</t>
        </is>
      </c>
      <c r="E161" t="inlineStr">
        <is>
          <t>LUDVIKA</t>
        </is>
      </c>
      <c r="G161" t="n">
        <v>1.1</v>
      </c>
      <c r="H161" t="n">
        <v>0</v>
      </c>
      <c r="I161" t="n">
        <v>0</v>
      </c>
      <c r="J161" t="n">
        <v>0</v>
      </c>
      <c r="K161" t="n">
        <v>0</v>
      </c>
      <c r="L161" t="n">
        <v>0</v>
      </c>
      <c r="M161" t="n">
        <v>0</v>
      </c>
      <c r="N161" t="n">
        <v>0</v>
      </c>
      <c r="O161" t="n">
        <v>0</v>
      </c>
      <c r="P161" t="n">
        <v>0</v>
      </c>
      <c r="Q161" t="n">
        <v>0</v>
      </c>
      <c r="R161" s="2" t="inlineStr"/>
    </row>
    <row r="162" ht="15" customHeight="1">
      <c r="A162" t="inlineStr">
        <is>
          <t>A 11207-2020</t>
        </is>
      </c>
      <c r="B162" s="1" t="n">
        <v>43892</v>
      </c>
      <c r="C162" s="1" t="n">
        <v>45852</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11559-2020</t>
        </is>
      </c>
      <c r="B163" s="1" t="n">
        <v>43893</v>
      </c>
      <c r="C163" s="1" t="n">
        <v>45852</v>
      </c>
      <c r="D163" t="inlineStr">
        <is>
          <t>DALARNAS LÄN</t>
        </is>
      </c>
      <c r="E163" t="inlineStr">
        <is>
          <t>LUDVIKA</t>
        </is>
      </c>
      <c r="G163" t="n">
        <v>32.7</v>
      </c>
      <c r="H163" t="n">
        <v>0</v>
      </c>
      <c r="I163" t="n">
        <v>0</v>
      </c>
      <c r="J163" t="n">
        <v>0</v>
      </c>
      <c r="K163" t="n">
        <v>0</v>
      </c>
      <c r="L163" t="n">
        <v>0</v>
      </c>
      <c r="M163" t="n">
        <v>0</v>
      </c>
      <c r="N163" t="n">
        <v>0</v>
      </c>
      <c r="O163" t="n">
        <v>0</v>
      </c>
      <c r="P163" t="n">
        <v>0</v>
      </c>
      <c r="Q163" t="n">
        <v>0</v>
      </c>
      <c r="R163" s="2" t="inlineStr"/>
    </row>
    <row r="164" ht="15" customHeight="1">
      <c r="A164" t="inlineStr">
        <is>
          <t>A 11626-2020</t>
        </is>
      </c>
      <c r="B164" s="1" t="n">
        <v>43893</v>
      </c>
      <c r="C164" s="1" t="n">
        <v>45852</v>
      </c>
      <c r="D164" t="inlineStr">
        <is>
          <t>DALARNAS LÄN</t>
        </is>
      </c>
      <c r="E164" t="inlineStr">
        <is>
          <t>LUDVIKA</t>
        </is>
      </c>
      <c r="G164" t="n">
        <v>1</v>
      </c>
      <c r="H164" t="n">
        <v>0</v>
      </c>
      <c r="I164" t="n">
        <v>0</v>
      </c>
      <c r="J164" t="n">
        <v>0</v>
      </c>
      <c r="K164" t="n">
        <v>0</v>
      </c>
      <c r="L164" t="n">
        <v>0</v>
      </c>
      <c r="M164" t="n">
        <v>0</v>
      </c>
      <c r="N164" t="n">
        <v>0</v>
      </c>
      <c r="O164" t="n">
        <v>0</v>
      </c>
      <c r="P164" t="n">
        <v>0</v>
      </c>
      <c r="Q164" t="n">
        <v>0</v>
      </c>
      <c r="R164" s="2" t="inlineStr"/>
    </row>
    <row r="165" ht="15" customHeight="1">
      <c r="A165" t="inlineStr">
        <is>
          <t>A 13483-2020</t>
        </is>
      </c>
      <c r="B165" s="1" t="n">
        <v>43894</v>
      </c>
      <c r="C165" s="1" t="n">
        <v>45852</v>
      </c>
      <c r="D165" t="inlineStr">
        <is>
          <t>DALARNAS LÄN</t>
        </is>
      </c>
      <c r="E165" t="inlineStr">
        <is>
          <t>LUDVIKA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12049-2020</t>
        </is>
      </c>
      <c r="B166" s="1" t="n">
        <v>43894</v>
      </c>
      <c r="C166" s="1" t="n">
        <v>45852</v>
      </c>
      <c r="D166" t="inlineStr">
        <is>
          <t>DALARNAS LÄN</t>
        </is>
      </c>
      <c r="E166" t="inlineStr">
        <is>
          <t>LUDVIKA</t>
        </is>
      </c>
      <c r="G166" t="n">
        <v>3</v>
      </c>
      <c r="H166" t="n">
        <v>0</v>
      </c>
      <c r="I166" t="n">
        <v>0</v>
      </c>
      <c r="J166" t="n">
        <v>0</v>
      </c>
      <c r="K166" t="n">
        <v>0</v>
      </c>
      <c r="L166" t="n">
        <v>0</v>
      </c>
      <c r="M166" t="n">
        <v>0</v>
      </c>
      <c r="N166" t="n">
        <v>0</v>
      </c>
      <c r="O166" t="n">
        <v>0</v>
      </c>
      <c r="P166" t="n">
        <v>0</v>
      </c>
      <c r="Q166" t="n">
        <v>0</v>
      </c>
      <c r="R166" s="2" t="inlineStr"/>
    </row>
    <row r="167" ht="15" customHeight="1">
      <c r="A167" t="inlineStr">
        <is>
          <t>A 12223-2020</t>
        </is>
      </c>
      <c r="B167" s="1" t="n">
        <v>43895</v>
      </c>
      <c r="C167" s="1" t="n">
        <v>45852</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12560-2020</t>
        </is>
      </c>
      <c r="B168" s="1" t="n">
        <v>43898</v>
      </c>
      <c r="C168" s="1" t="n">
        <v>45852</v>
      </c>
      <c r="D168" t="inlineStr">
        <is>
          <t>DALARNAS LÄN</t>
        </is>
      </c>
      <c r="E168" t="inlineStr">
        <is>
          <t>LUDVIKA</t>
        </is>
      </c>
      <c r="G168" t="n">
        <v>2.7</v>
      </c>
      <c r="H168" t="n">
        <v>0</v>
      </c>
      <c r="I168" t="n">
        <v>0</v>
      </c>
      <c r="J168" t="n">
        <v>0</v>
      </c>
      <c r="K168" t="n">
        <v>0</v>
      </c>
      <c r="L168" t="n">
        <v>0</v>
      </c>
      <c r="M168" t="n">
        <v>0</v>
      </c>
      <c r="N168" t="n">
        <v>0</v>
      </c>
      <c r="O168" t="n">
        <v>0</v>
      </c>
      <c r="P168" t="n">
        <v>0</v>
      </c>
      <c r="Q168" t="n">
        <v>0</v>
      </c>
      <c r="R168" s="2" t="inlineStr"/>
    </row>
    <row r="169" ht="15" customHeight="1">
      <c r="A169" t="inlineStr">
        <is>
          <t>A 12935-2020</t>
        </is>
      </c>
      <c r="B169" s="1" t="n">
        <v>43900</v>
      </c>
      <c r="C169" s="1" t="n">
        <v>45852</v>
      </c>
      <c r="D169" t="inlineStr">
        <is>
          <t>DALARNAS LÄN</t>
        </is>
      </c>
      <c r="E169" t="inlineStr">
        <is>
          <t>LUDVIKA</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13757-2020</t>
        </is>
      </c>
      <c r="B170" s="1" t="n">
        <v>43903</v>
      </c>
      <c r="C170" s="1" t="n">
        <v>45852</v>
      </c>
      <c r="D170" t="inlineStr">
        <is>
          <t>DALARNAS LÄN</t>
        </is>
      </c>
      <c r="E170" t="inlineStr">
        <is>
          <t>LUDVIKA</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13767-2020</t>
        </is>
      </c>
      <c r="B171" s="1" t="n">
        <v>43903</v>
      </c>
      <c r="C171" s="1" t="n">
        <v>45852</v>
      </c>
      <c r="D171" t="inlineStr">
        <is>
          <t>DALARNAS LÄN</t>
        </is>
      </c>
      <c r="E171" t="inlineStr">
        <is>
          <t>LUDVIKA</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14373-2020</t>
        </is>
      </c>
      <c r="B172" s="1" t="n">
        <v>43908</v>
      </c>
      <c r="C172" s="1" t="n">
        <v>45852</v>
      </c>
      <c r="D172" t="inlineStr">
        <is>
          <t>DALARNAS LÄN</t>
        </is>
      </c>
      <c r="E172" t="inlineStr">
        <is>
          <t>LUDVIKA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15053-2020</t>
        </is>
      </c>
      <c r="B173" s="1" t="n">
        <v>43910</v>
      </c>
      <c r="C173" s="1" t="n">
        <v>45852</v>
      </c>
      <c r="D173" t="inlineStr">
        <is>
          <t>DALARNAS LÄN</t>
        </is>
      </c>
      <c r="E173" t="inlineStr">
        <is>
          <t>LUDVIKA</t>
        </is>
      </c>
      <c r="G173" t="n">
        <v>1.2</v>
      </c>
      <c r="H173" t="n">
        <v>0</v>
      </c>
      <c r="I173" t="n">
        <v>0</v>
      </c>
      <c r="J173" t="n">
        <v>0</v>
      </c>
      <c r="K173" t="n">
        <v>0</v>
      </c>
      <c r="L173" t="n">
        <v>0</v>
      </c>
      <c r="M173" t="n">
        <v>0</v>
      </c>
      <c r="N173" t="n">
        <v>0</v>
      </c>
      <c r="O173" t="n">
        <v>0</v>
      </c>
      <c r="P173" t="n">
        <v>0</v>
      </c>
      <c r="Q173" t="n">
        <v>0</v>
      </c>
      <c r="R173" s="2" t="inlineStr"/>
    </row>
    <row r="174" ht="15" customHeight="1">
      <c r="A174" t="inlineStr">
        <is>
          <t>A 15861-2020</t>
        </is>
      </c>
      <c r="B174" s="1" t="n">
        <v>43915</v>
      </c>
      <c r="C174" s="1" t="n">
        <v>45852</v>
      </c>
      <c r="D174" t="inlineStr">
        <is>
          <t>DALARNAS LÄN</t>
        </is>
      </c>
      <c r="E174" t="inlineStr">
        <is>
          <t>LUDVIKA</t>
        </is>
      </c>
      <c r="G174" t="n">
        <v>0.9</v>
      </c>
      <c r="H174" t="n">
        <v>0</v>
      </c>
      <c r="I174" t="n">
        <v>0</v>
      </c>
      <c r="J174" t="n">
        <v>0</v>
      </c>
      <c r="K174" t="n">
        <v>0</v>
      </c>
      <c r="L174" t="n">
        <v>0</v>
      </c>
      <c r="M174" t="n">
        <v>0</v>
      </c>
      <c r="N174" t="n">
        <v>0</v>
      </c>
      <c r="O174" t="n">
        <v>0</v>
      </c>
      <c r="P174" t="n">
        <v>0</v>
      </c>
      <c r="Q174" t="n">
        <v>0</v>
      </c>
      <c r="R174" s="2" t="inlineStr"/>
    </row>
    <row r="175" ht="15" customHeight="1">
      <c r="A175" t="inlineStr">
        <is>
          <t>A 16407-2020</t>
        </is>
      </c>
      <c r="B175" s="1" t="n">
        <v>43918</v>
      </c>
      <c r="C175" s="1" t="n">
        <v>45852</v>
      </c>
      <c r="D175" t="inlineStr">
        <is>
          <t>DALARNAS LÄN</t>
        </is>
      </c>
      <c r="E175" t="inlineStr">
        <is>
          <t>LUDVIKA</t>
        </is>
      </c>
      <c r="F175" t="inlineStr">
        <is>
          <t>Bergvik skog väst AB</t>
        </is>
      </c>
      <c r="G175" t="n">
        <v>32.8</v>
      </c>
      <c r="H175" t="n">
        <v>0</v>
      </c>
      <c r="I175" t="n">
        <v>0</v>
      </c>
      <c r="J175" t="n">
        <v>0</v>
      </c>
      <c r="K175" t="n">
        <v>0</v>
      </c>
      <c r="L175" t="n">
        <v>0</v>
      </c>
      <c r="M175" t="n">
        <v>0</v>
      </c>
      <c r="N175" t="n">
        <v>0</v>
      </c>
      <c r="O175" t="n">
        <v>0</v>
      </c>
      <c r="P175" t="n">
        <v>0</v>
      </c>
      <c r="Q175" t="n">
        <v>0</v>
      </c>
      <c r="R175" s="2" t="inlineStr"/>
    </row>
    <row r="176" ht="15" customHeight="1">
      <c r="A176" t="inlineStr">
        <is>
          <t>A 16782-2020</t>
        </is>
      </c>
      <c r="B176" s="1" t="n">
        <v>43921</v>
      </c>
      <c r="C176" s="1" t="n">
        <v>45852</v>
      </c>
      <c r="D176" t="inlineStr">
        <is>
          <t>DALARNAS LÄN</t>
        </is>
      </c>
      <c r="E176" t="inlineStr">
        <is>
          <t>LUDVIKA</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16781-2020</t>
        </is>
      </c>
      <c r="B177" s="1" t="n">
        <v>43921</v>
      </c>
      <c r="C177" s="1" t="n">
        <v>45852</v>
      </c>
      <c r="D177" t="inlineStr">
        <is>
          <t>DALARNAS LÄN</t>
        </is>
      </c>
      <c r="E177" t="inlineStr">
        <is>
          <t>LUDVIKA</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17166-2020</t>
        </is>
      </c>
      <c r="B178" s="1" t="n">
        <v>43922</v>
      </c>
      <c r="C178" s="1" t="n">
        <v>45852</v>
      </c>
      <c r="D178" t="inlineStr">
        <is>
          <t>DALARNAS LÄN</t>
        </is>
      </c>
      <c r="E178" t="inlineStr">
        <is>
          <t>LUDVIKA</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17597-2020</t>
        </is>
      </c>
      <c r="B179" s="1" t="n">
        <v>43923</v>
      </c>
      <c r="C179" s="1" t="n">
        <v>45852</v>
      </c>
      <c r="D179" t="inlineStr">
        <is>
          <t>DALARNAS LÄN</t>
        </is>
      </c>
      <c r="E179" t="inlineStr">
        <is>
          <t>LUDVIKA</t>
        </is>
      </c>
      <c r="F179" t="inlineStr">
        <is>
          <t>Bergvik skog väst AB</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17605-2020</t>
        </is>
      </c>
      <c r="B180" s="1" t="n">
        <v>43923</v>
      </c>
      <c r="C180" s="1" t="n">
        <v>45852</v>
      </c>
      <c r="D180" t="inlineStr">
        <is>
          <t>DALARNAS LÄN</t>
        </is>
      </c>
      <c r="E180" t="inlineStr">
        <is>
          <t>LUDVIKA</t>
        </is>
      </c>
      <c r="F180" t="inlineStr">
        <is>
          <t>Bergvik skog väst AB</t>
        </is>
      </c>
      <c r="G180" t="n">
        <v>4.2</v>
      </c>
      <c r="H180" t="n">
        <v>0</v>
      </c>
      <c r="I180" t="n">
        <v>0</v>
      </c>
      <c r="J180" t="n">
        <v>0</v>
      </c>
      <c r="K180" t="n">
        <v>0</v>
      </c>
      <c r="L180" t="n">
        <v>0</v>
      </c>
      <c r="M180" t="n">
        <v>0</v>
      </c>
      <c r="N180" t="n">
        <v>0</v>
      </c>
      <c r="O180" t="n">
        <v>0</v>
      </c>
      <c r="P180" t="n">
        <v>0</v>
      </c>
      <c r="Q180" t="n">
        <v>0</v>
      </c>
      <c r="R180" s="2" t="inlineStr"/>
    </row>
    <row r="181" ht="15" customHeight="1">
      <c r="A181" t="inlineStr">
        <is>
          <t>A 17602-2020</t>
        </is>
      </c>
      <c r="B181" s="1" t="n">
        <v>43923</v>
      </c>
      <c r="C181" s="1" t="n">
        <v>45852</v>
      </c>
      <c r="D181" t="inlineStr">
        <is>
          <t>DALARNAS LÄN</t>
        </is>
      </c>
      <c r="E181" t="inlineStr">
        <is>
          <t>LUDVIKA</t>
        </is>
      </c>
      <c r="F181" t="inlineStr">
        <is>
          <t>Bergvik skog väst AB</t>
        </is>
      </c>
      <c r="G181" t="n">
        <v>4</v>
      </c>
      <c r="H181" t="n">
        <v>0</v>
      </c>
      <c r="I181" t="n">
        <v>0</v>
      </c>
      <c r="J181" t="n">
        <v>0</v>
      </c>
      <c r="K181" t="n">
        <v>0</v>
      </c>
      <c r="L181" t="n">
        <v>0</v>
      </c>
      <c r="M181" t="n">
        <v>0</v>
      </c>
      <c r="N181" t="n">
        <v>0</v>
      </c>
      <c r="O181" t="n">
        <v>0</v>
      </c>
      <c r="P181" t="n">
        <v>0</v>
      </c>
      <c r="Q181" t="n">
        <v>0</v>
      </c>
      <c r="R181" s="2" t="inlineStr"/>
    </row>
    <row r="182" ht="15" customHeight="1">
      <c r="A182" t="inlineStr">
        <is>
          <t>A 17603-2020</t>
        </is>
      </c>
      <c r="B182" s="1" t="n">
        <v>43923</v>
      </c>
      <c r="C182" s="1" t="n">
        <v>45852</v>
      </c>
      <c r="D182" t="inlineStr">
        <is>
          <t>DALARNAS LÄN</t>
        </is>
      </c>
      <c r="E182" t="inlineStr">
        <is>
          <t>LUDVIKA</t>
        </is>
      </c>
      <c r="F182" t="inlineStr">
        <is>
          <t>Bergvik skog väst AB</t>
        </is>
      </c>
      <c r="G182" t="n">
        <v>19.9</v>
      </c>
      <c r="H182" t="n">
        <v>0</v>
      </c>
      <c r="I182" t="n">
        <v>0</v>
      </c>
      <c r="J182" t="n">
        <v>0</v>
      </c>
      <c r="K182" t="n">
        <v>0</v>
      </c>
      <c r="L182" t="n">
        <v>0</v>
      </c>
      <c r="M182" t="n">
        <v>0</v>
      </c>
      <c r="N182" t="n">
        <v>0</v>
      </c>
      <c r="O182" t="n">
        <v>0</v>
      </c>
      <c r="P182" t="n">
        <v>0</v>
      </c>
      <c r="Q182" t="n">
        <v>0</v>
      </c>
      <c r="R182" s="2" t="inlineStr"/>
    </row>
    <row r="183" ht="15" customHeight="1">
      <c r="A183" t="inlineStr">
        <is>
          <t>A 17598-2020</t>
        </is>
      </c>
      <c r="B183" s="1" t="n">
        <v>43923</v>
      </c>
      <c r="C183" s="1" t="n">
        <v>45852</v>
      </c>
      <c r="D183" t="inlineStr">
        <is>
          <t>DALARNAS LÄN</t>
        </is>
      </c>
      <c r="E183" t="inlineStr">
        <is>
          <t>LUDVIKA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17344-2020</t>
        </is>
      </c>
      <c r="B184" s="1" t="n">
        <v>43923</v>
      </c>
      <c r="C184" s="1" t="n">
        <v>45852</v>
      </c>
      <c r="D184" t="inlineStr">
        <is>
          <t>DALARNAS LÄN</t>
        </is>
      </c>
      <c r="E184" t="inlineStr">
        <is>
          <t>LUDVIKA</t>
        </is>
      </c>
      <c r="G184" t="n">
        <v>1.6</v>
      </c>
      <c r="H184" t="n">
        <v>0</v>
      </c>
      <c r="I184" t="n">
        <v>0</v>
      </c>
      <c r="J184" t="n">
        <v>0</v>
      </c>
      <c r="K184" t="n">
        <v>0</v>
      </c>
      <c r="L184" t="n">
        <v>0</v>
      </c>
      <c r="M184" t="n">
        <v>0</v>
      </c>
      <c r="N184" t="n">
        <v>0</v>
      </c>
      <c r="O184" t="n">
        <v>0</v>
      </c>
      <c r="P184" t="n">
        <v>0</v>
      </c>
      <c r="Q184" t="n">
        <v>0</v>
      </c>
      <c r="R184" s="2" t="inlineStr"/>
    </row>
    <row r="185" ht="15" customHeight="1">
      <c r="A185" t="inlineStr">
        <is>
          <t>A 17809-2020</t>
        </is>
      </c>
      <c r="B185" s="1" t="n">
        <v>43924</v>
      </c>
      <c r="C185" s="1" t="n">
        <v>45852</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20725-2020</t>
        </is>
      </c>
      <c r="B186" s="1" t="n">
        <v>43949</v>
      </c>
      <c r="C186" s="1" t="n">
        <v>45852</v>
      </c>
      <c r="D186" t="inlineStr">
        <is>
          <t>DALARNAS LÄN</t>
        </is>
      </c>
      <c r="E186" t="inlineStr">
        <is>
          <t>LUDVIKA</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23086-2020</t>
        </is>
      </c>
      <c r="B187" s="1" t="n">
        <v>43965</v>
      </c>
      <c r="C187" s="1" t="n">
        <v>45852</v>
      </c>
      <c r="D187" t="inlineStr">
        <is>
          <t>DALARNAS LÄN</t>
        </is>
      </c>
      <c r="E187" t="inlineStr">
        <is>
          <t>LUDVIKA</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23079-2020</t>
        </is>
      </c>
      <c r="B188" s="1" t="n">
        <v>43965</v>
      </c>
      <c r="C188" s="1" t="n">
        <v>45852</v>
      </c>
      <c r="D188" t="inlineStr">
        <is>
          <t>DALARNAS LÄN</t>
        </is>
      </c>
      <c r="E188" t="inlineStr">
        <is>
          <t>LUDVIKA</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23452-2020</t>
        </is>
      </c>
      <c r="B189" s="1" t="n">
        <v>43969</v>
      </c>
      <c r="C189" s="1" t="n">
        <v>45852</v>
      </c>
      <c r="D189" t="inlineStr">
        <is>
          <t>DALARNAS LÄN</t>
        </is>
      </c>
      <c r="E189" t="inlineStr">
        <is>
          <t>LUDVIKA</t>
        </is>
      </c>
      <c r="G189" t="n">
        <v>1.1</v>
      </c>
      <c r="H189" t="n">
        <v>0</v>
      </c>
      <c r="I189" t="n">
        <v>0</v>
      </c>
      <c r="J189" t="n">
        <v>0</v>
      </c>
      <c r="K189" t="n">
        <v>0</v>
      </c>
      <c r="L189" t="n">
        <v>0</v>
      </c>
      <c r="M189" t="n">
        <v>0</v>
      </c>
      <c r="N189" t="n">
        <v>0</v>
      </c>
      <c r="O189" t="n">
        <v>0</v>
      </c>
      <c r="P189" t="n">
        <v>0</v>
      </c>
      <c r="Q189" t="n">
        <v>0</v>
      </c>
      <c r="R189" s="2" t="inlineStr"/>
    </row>
    <row r="190" ht="15" customHeight="1">
      <c r="A190" t="inlineStr">
        <is>
          <t>A 24742-2020</t>
        </is>
      </c>
      <c r="B190" s="1" t="n">
        <v>43978</v>
      </c>
      <c r="C190" s="1" t="n">
        <v>45852</v>
      </c>
      <c r="D190" t="inlineStr">
        <is>
          <t>DALARNAS LÄN</t>
        </is>
      </c>
      <c r="E190" t="inlineStr">
        <is>
          <t>LUDVIKA</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25450-2020</t>
        </is>
      </c>
      <c r="B191" s="1" t="n">
        <v>43983</v>
      </c>
      <c r="C191" s="1" t="n">
        <v>45852</v>
      </c>
      <c r="D191" t="inlineStr">
        <is>
          <t>DALARNAS LÄN</t>
        </is>
      </c>
      <c r="E191" t="inlineStr">
        <is>
          <t>LUDVIKA</t>
        </is>
      </c>
      <c r="F191" t="inlineStr">
        <is>
          <t>Bergvik skog väst AB</t>
        </is>
      </c>
      <c r="G191" t="n">
        <v>5.8</v>
      </c>
      <c r="H191" t="n">
        <v>0</v>
      </c>
      <c r="I191" t="n">
        <v>0</v>
      </c>
      <c r="J191" t="n">
        <v>0</v>
      </c>
      <c r="K191" t="n">
        <v>0</v>
      </c>
      <c r="L191" t="n">
        <v>0</v>
      </c>
      <c r="M191" t="n">
        <v>0</v>
      </c>
      <c r="N191" t="n">
        <v>0</v>
      </c>
      <c r="O191" t="n">
        <v>0</v>
      </c>
      <c r="P191" t="n">
        <v>0</v>
      </c>
      <c r="Q191" t="n">
        <v>0</v>
      </c>
      <c r="R191" s="2" t="inlineStr"/>
    </row>
    <row r="192" ht="15" customHeight="1">
      <c r="A192" t="inlineStr">
        <is>
          <t>A 25441-2020</t>
        </is>
      </c>
      <c r="B192" s="1" t="n">
        <v>43983</v>
      </c>
      <c r="C192" s="1" t="n">
        <v>45852</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25471-2020</t>
        </is>
      </c>
      <c r="B193" s="1" t="n">
        <v>43983</v>
      </c>
      <c r="C193" s="1" t="n">
        <v>45852</v>
      </c>
      <c r="D193" t="inlineStr">
        <is>
          <t>DALARNAS LÄN</t>
        </is>
      </c>
      <c r="E193" t="inlineStr">
        <is>
          <t>LUDVIKA</t>
        </is>
      </c>
      <c r="F193" t="inlineStr">
        <is>
          <t>Bergvik skog väst AB</t>
        </is>
      </c>
      <c r="G193" t="n">
        <v>2.6</v>
      </c>
      <c r="H193" t="n">
        <v>0</v>
      </c>
      <c r="I193" t="n">
        <v>0</v>
      </c>
      <c r="J193" t="n">
        <v>0</v>
      </c>
      <c r="K193" t="n">
        <v>0</v>
      </c>
      <c r="L193" t="n">
        <v>0</v>
      </c>
      <c r="M193" t="n">
        <v>0</v>
      </c>
      <c r="N193" t="n">
        <v>0</v>
      </c>
      <c r="O193" t="n">
        <v>0</v>
      </c>
      <c r="P193" t="n">
        <v>0</v>
      </c>
      <c r="Q193" t="n">
        <v>0</v>
      </c>
      <c r="R193" s="2" t="inlineStr"/>
    </row>
    <row r="194" ht="15" customHeight="1">
      <c r="A194" t="inlineStr">
        <is>
          <t>A 25554-2020</t>
        </is>
      </c>
      <c r="B194" s="1" t="n">
        <v>43983</v>
      </c>
      <c r="C194" s="1" t="n">
        <v>45852</v>
      </c>
      <c r="D194" t="inlineStr">
        <is>
          <t>DALARNAS LÄN</t>
        </is>
      </c>
      <c r="E194" t="inlineStr">
        <is>
          <t>LUDVIKA</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25581-2020</t>
        </is>
      </c>
      <c r="B195" s="1" t="n">
        <v>43983</v>
      </c>
      <c r="C195" s="1" t="n">
        <v>45852</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25458-2020</t>
        </is>
      </c>
      <c r="B196" s="1" t="n">
        <v>43983</v>
      </c>
      <c r="C196" s="1" t="n">
        <v>45852</v>
      </c>
      <c r="D196" t="inlineStr">
        <is>
          <t>DALARNAS LÄN</t>
        </is>
      </c>
      <c r="E196" t="inlineStr">
        <is>
          <t>LUDVIKA</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28524-2020</t>
        </is>
      </c>
      <c r="B197" s="1" t="n">
        <v>43999</v>
      </c>
      <c r="C197" s="1" t="n">
        <v>45852</v>
      </c>
      <c r="D197" t="inlineStr">
        <is>
          <t>DALARNAS LÄN</t>
        </is>
      </c>
      <c r="E197" t="inlineStr">
        <is>
          <t>LUDVIKA</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28802-2020</t>
        </is>
      </c>
      <c r="B198" s="1" t="n">
        <v>44000</v>
      </c>
      <c r="C198" s="1" t="n">
        <v>45852</v>
      </c>
      <c r="D198" t="inlineStr">
        <is>
          <t>DALARNAS LÄN</t>
        </is>
      </c>
      <c r="E198" t="inlineStr">
        <is>
          <t>LUDVIKA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28798-2020</t>
        </is>
      </c>
      <c r="B199" s="1" t="n">
        <v>44000</v>
      </c>
      <c r="C199" s="1" t="n">
        <v>45852</v>
      </c>
      <c r="D199" t="inlineStr">
        <is>
          <t>DALARNAS LÄN</t>
        </is>
      </c>
      <c r="E199" t="inlineStr">
        <is>
          <t>LUDVIKA</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29869-2020</t>
        </is>
      </c>
      <c r="B200" s="1" t="n">
        <v>44006</v>
      </c>
      <c r="C200" s="1" t="n">
        <v>45852</v>
      </c>
      <c r="D200" t="inlineStr">
        <is>
          <t>DALARNAS LÄN</t>
        </is>
      </c>
      <c r="E200" t="inlineStr">
        <is>
          <t>LUDVIKA</t>
        </is>
      </c>
      <c r="G200" t="n">
        <v>2.1</v>
      </c>
      <c r="H200" t="n">
        <v>0</v>
      </c>
      <c r="I200" t="n">
        <v>0</v>
      </c>
      <c r="J200" t="n">
        <v>0</v>
      </c>
      <c r="K200" t="n">
        <v>0</v>
      </c>
      <c r="L200" t="n">
        <v>0</v>
      </c>
      <c r="M200" t="n">
        <v>0</v>
      </c>
      <c r="N200" t="n">
        <v>0</v>
      </c>
      <c r="O200" t="n">
        <v>0</v>
      </c>
      <c r="P200" t="n">
        <v>0</v>
      </c>
      <c r="Q200" t="n">
        <v>0</v>
      </c>
      <c r="R200" s="2" t="inlineStr"/>
    </row>
    <row r="201" ht="15" customHeight="1">
      <c r="A201" t="inlineStr">
        <is>
          <t>A 31257-2020</t>
        </is>
      </c>
      <c r="B201" s="1" t="n">
        <v>44012</v>
      </c>
      <c r="C201" s="1" t="n">
        <v>45852</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32994-2020</t>
        </is>
      </c>
      <c r="B202" s="1" t="n">
        <v>44020</v>
      </c>
      <c r="C202" s="1" t="n">
        <v>45852</v>
      </c>
      <c r="D202" t="inlineStr">
        <is>
          <t>DALARNAS LÄN</t>
        </is>
      </c>
      <c r="E202" t="inlineStr">
        <is>
          <t>LUDVIKA</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33357-2020</t>
        </is>
      </c>
      <c r="B203" s="1" t="n">
        <v>44022</v>
      </c>
      <c r="C203" s="1" t="n">
        <v>45852</v>
      </c>
      <c r="D203" t="inlineStr">
        <is>
          <t>DALARNAS LÄN</t>
        </is>
      </c>
      <c r="E203" t="inlineStr">
        <is>
          <t>LUDVIKA</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34915-2020</t>
        </is>
      </c>
      <c r="B204" s="1" t="n">
        <v>44036</v>
      </c>
      <c r="C204" s="1" t="n">
        <v>45852</v>
      </c>
      <c r="D204" t="inlineStr">
        <is>
          <t>DALARNAS LÄN</t>
        </is>
      </c>
      <c r="E204" t="inlineStr">
        <is>
          <t>LUDVIKA</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39915-2020</t>
        </is>
      </c>
      <c r="B205" s="1" t="n">
        <v>44067</v>
      </c>
      <c r="C205" s="1" t="n">
        <v>45852</v>
      </c>
      <c r="D205" t="inlineStr">
        <is>
          <t>DALARNAS LÄN</t>
        </is>
      </c>
      <c r="E205" t="inlineStr">
        <is>
          <t>LUDVIKA</t>
        </is>
      </c>
      <c r="F205" t="inlineStr">
        <is>
          <t>Naturvårdsverket</t>
        </is>
      </c>
      <c r="G205" t="n">
        <v>17.7</v>
      </c>
      <c r="H205" t="n">
        <v>0</v>
      </c>
      <c r="I205" t="n">
        <v>0</v>
      </c>
      <c r="J205" t="n">
        <v>0</v>
      </c>
      <c r="K205" t="n">
        <v>0</v>
      </c>
      <c r="L205" t="n">
        <v>0</v>
      </c>
      <c r="M205" t="n">
        <v>0</v>
      </c>
      <c r="N205" t="n">
        <v>0</v>
      </c>
      <c r="O205" t="n">
        <v>0</v>
      </c>
      <c r="P205" t="n">
        <v>0</v>
      </c>
      <c r="Q205" t="n">
        <v>0</v>
      </c>
      <c r="R205" s="2" t="inlineStr"/>
    </row>
    <row r="206" ht="15" customHeight="1">
      <c r="A206" t="inlineStr">
        <is>
          <t>A 40472-2020</t>
        </is>
      </c>
      <c r="B206" s="1" t="n">
        <v>44069</v>
      </c>
      <c r="C206" s="1" t="n">
        <v>45852</v>
      </c>
      <c r="D206" t="inlineStr">
        <is>
          <t>DALARNAS LÄN</t>
        </is>
      </c>
      <c r="E206" t="inlineStr">
        <is>
          <t>LUDVIKA</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40504-2020</t>
        </is>
      </c>
      <c r="B207" s="1" t="n">
        <v>44069</v>
      </c>
      <c r="C207" s="1" t="n">
        <v>45852</v>
      </c>
      <c r="D207" t="inlineStr">
        <is>
          <t>DALARNAS LÄN</t>
        </is>
      </c>
      <c r="E207" t="inlineStr">
        <is>
          <t>LUDVIKA</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40978-2020</t>
        </is>
      </c>
      <c r="B208" s="1" t="n">
        <v>44070</v>
      </c>
      <c r="C208" s="1" t="n">
        <v>45852</v>
      </c>
      <c r="D208" t="inlineStr">
        <is>
          <t>DALARNAS LÄN</t>
        </is>
      </c>
      <c r="E208" t="inlineStr">
        <is>
          <t>LUDVIKA</t>
        </is>
      </c>
      <c r="F208" t="inlineStr">
        <is>
          <t>Bergvik skog väst AB</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43162-2020</t>
        </is>
      </c>
      <c r="B209" s="1" t="n">
        <v>44081</v>
      </c>
      <c r="C209" s="1" t="n">
        <v>45852</v>
      </c>
      <c r="D209" t="inlineStr">
        <is>
          <t>DALARNAS LÄN</t>
        </is>
      </c>
      <c r="E209" t="inlineStr">
        <is>
          <t>LUDVIKA</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44747-2020</t>
        </is>
      </c>
      <c r="B210" s="1" t="n">
        <v>44085</v>
      </c>
      <c r="C210" s="1" t="n">
        <v>45852</v>
      </c>
      <c r="D210" t="inlineStr">
        <is>
          <t>DALARNAS LÄN</t>
        </is>
      </c>
      <c r="E210" t="inlineStr">
        <is>
          <t>LUDVIKA</t>
        </is>
      </c>
      <c r="F210" t="inlineStr">
        <is>
          <t>Bergvik skog väst AB</t>
        </is>
      </c>
      <c r="G210" t="n">
        <v>2</v>
      </c>
      <c r="H210" t="n">
        <v>0</v>
      </c>
      <c r="I210" t="n">
        <v>0</v>
      </c>
      <c r="J210" t="n">
        <v>0</v>
      </c>
      <c r="K210" t="n">
        <v>0</v>
      </c>
      <c r="L210" t="n">
        <v>0</v>
      </c>
      <c r="M210" t="n">
        <v>0</v>
      </c>
      <c r="N210" t="n">
        <v>0</v>
      </c>
      <c r="O210" t="n">
        <v>0</v>
      </c>
      <c r="P210" t="n">
        <v>0</v>
      </c>
      <c r="Q210" t="n">
        <v>0</v>
      </c>
      <c r="R210" s="2" t="inlineStr"/>
    </row>
    <row r="211" ht="15" customHeight="1">
      <c r="A211" t="inlineStr">
        <is>
          <t>A 44746-2020</t>
        </is>
      </c>
      <c r="B211" s="1" t="n">
        <v>44085</v>
      </c>
      <c r="C211" s="1" t="n">
        <v>45852</v>
      </c>
      <c r="D211" t="inlineStr">
        <is>
          <t>DALARNAS LÄN</t>
        </is>
      </c>
      <c r="E211" t="inlineStr">
        <is>
          <t>LUDVIKA</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45390-2020</t>
        </is>
      </c>
      <c r="B212" s="1" t="n">
        <v>44085</v>
      </c>
      <c r="C212" s="1" t="n">
        <v>45852</v>
      </c>
      <c r="D212" t="inlineStr">
        <is>
          <t>DALARNAS LÄN</t>
        </is>
      </c>
      <c r="E212" t="inlineStr">
        <is>
          <t>LUDVIKA</t>
        </is>
      </c>
      <c r="G212" t="n">
        <v>4.4</v>
      </c>
      <c r="H212" t="n">
        <v>0</v>
      </c>
      <c r="I212" t="n">
        <v>0</v>
      </c>
      <c r="J212" t="n">
        <v>0</v>
      </c>
      <c r="K212" t="n">
        <v>0</v>
      </c>
      <c r="L212" t="n">
        <v>0</v>
      </c>
      <c r="M212" t="n">
        <v>0</v>
      </c>
      <c r="N212" t="n">
        <v>0</v>
      </c>
      <c r="O212" t="n">
        <v>0</v>
      </c>
      <c r="P212" t="n">
        <v>0</v>
      </c>
      <c r="Q212" t="n">
        <v>0</v>
      </c>
      <c r="R212" s="2" t="inlineStr"/>
    </row>
    <row r="213" ht="15" customHeight="1">
      <c r="A213" t="inlineStr">
        <is>
          <t>A 44745-2020</t>
        </is>
      </c>
      <c r="B213" s="1" t="n">
        <v>44085</v>
      </c>
      <c r="C213" s="1" t="n">
        <v>45852</v>
      </c>
      <c r="D213" t="inlineStr">
        <is>
          <t>DALARNAS LÄN</t>
        </is>
      </c>
      <c r="E213" t="inlineStr">
        <is>
          <t>LUDVIKA</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45309-2020</t>
        </is>
      </c>
      <c r="B214" s="1" t="n">
        <v>44089</v>
      </c>
      <c r="C214" s="1" t="n">
        <v>45852</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45613-2020</t>
        </is>
      </c>
      <c r="B215" s="1" t="n">
        <v>44090</v>
      </c>
      <c r="C215" s="1" t="n">
        <v>45852</v>
      </c>
      <c r="D215" t="inlineStr">
        <is>
          <t>DALARNAS LÄN</t>
        </is>
      </c>
      <c r="E215" t="inlineStr">
        <is>
          <t>LUDVIKA</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46252-2020</t>
        </is>
      </c>
      <c r="B216" s="1" t="n">
        <v>44092</v>
      </c>
      <c r="C216" s="1" t="n">
        <v>45852</v>
      </c>
      <c r="D216" t="inlineStr">
        <is>
          <t>DALARNAS LÄN</t>
        </is>
      </c>
      <c r="E216" t="inlineStr">
        <is>
          <t>LUDVIKA</t>
        </is>
      </c>
      <c r="F216" t="inlineStr">
        <is>
          <t>Sveaskog</t>
        </is>
      </c>
      <c r="G216" t="n">
        <v>4</v>
      </c>
      <c r="H216" t="n">
        <v>0</v>
      </c>
      <c r="I216" t="n">
        <v>0</v>
      </c>
      <c r="J216" t="n">
        <v>0</v>
      </c>
      <c r="K216" t="n">
        <v>0</v>
      </c>
      <c r="L216" t="n">
        <v>0</v>
      </c>
      <c r="M216" t="n">
        <v>0</v>
      </c>
      <c r="N216" t="n">
        <v>0</v>
      </c>
      <c r="O216" t="n">
        <v>0</v>
      </c>
      <c r="P216" t="n">
        <v>0</v>
      </c>
      <c r="Q216" t="n">
        <v>0</v>
      </c>
      <c r="R216" s="2" t="inlineStr"/>
    </row>
    <row r="217" ht="15" customHeight="1">
      <c r="A217" t="inlineStr">
        <is>
          <t>A 46268-2020</t>
        </is>
      </c>
      <c r="B217" s="1" t="n">
        <v>44092</v>
      </c>
      <c r="C217" s="1" t="n">
        <v>45852</v>
      </c>
      <c r="D217" t="inlineStr">
        <is>
          <t>DALARNAS LÄN</t>
        </is>
      </c>
      <c r="E217" t="inlineStr">
        <is>
          <t>LUDVIKA</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46329-2020</t>
        </is>
      </c>
      <c r="B218" s="1" t="n">
        <v>44092</v>
      </c>
      <c r="C218" s="1" t="n">
        <v>45852</v>
      </c>
      <c r="D218" t="inlineStr">
        <is>
          <t>DALARNAS LÄN</t>
        </is>
      </c>
      <c r="E218" t="inlineStr">
        <is>
          <t>LUDVIKA</t>
        </is>
      </c>
      <c r="F218" t="inlineStr">
        <is>
          <t>Sveaskog</t>
        </is>
      </c>
      <c r="G218" t="n">
        <v>4.6</v>
      </c>
      <c r="H218" t="n">
        <v>0</v>
      </c>
      <c r="I218" t="n">
        <v>0</v>
      </c>
      <c r="J218" t="n">
        <v>0</v>
      </c>
      <c r="K218" t="n">
        <v>0</v>
      </c>
      <c r="L218" t="n">
        <v>0</v>
      </c>
      <c r="M218" t="n">
        <v>0</v>
      </c>
      <c r="N218" t="n">
        <v>0</v>
      </c>
      <c r="O218" t="n">
        <v>0</v>
      </c>
      <c r="P218" t="n">
        <v>0</v>
      </c>
      <c r="Q218" t="n">
        <v>0</v>
      </c>
      <c r="R218" s="2" t="inlineStr"/>
    </row>
    <row r="219" ht="15" customHeight="1">
      <c r="A219" t="inlineStr">
        <is>
          <t>A 46147-2020</t>
        </is>
      </c>
      <c r="B219" s="1" t="n">
        <v>44092</v>
      </c>
      <c r="C219" s="1" t="n">
        <v>45852</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46146-2020</t>
        </is>
      </c>
      <c r="B220" s="1" t="n">
        <v>44092</v>
      </c>
      <c r="C220" s="1" t="n">
        <v>45852</v>
      </c>
      <c r="D220" t="inlineStr">
        <is>
          <t>DALARNAS LÄN</t>
        </is>
      </c>
      <c r="E220" t="inlineStr">
        <is>
          <t>LUDVIKA</t>
        </is>
      </c>
      <c r="G220" t="n">
        <v>1.5</v>
      </c>
      <c r="H220" t="n">
        <v>0</v>
      </c>
      <c r="I220" t="n">
        <v>0</v>
      </c>
      <c r="J220" t="n">
        <v>0</v>
      </c>
      <c r="K220" t="n">
        <v>0</v>
      </c>
      <c r="L220" t="n">
        <v>0</v>
      </c>
      <c r="M220" t="n">
        <v>0</v>
      </c>
      <c r="N220" t="n">
        <v>0</v>
      </c>
      <c r="O220" t="n">
        <v>0</v>
      </c>
      <c r="P220" t="n">
        <v>0</v>
      </c>
      <c r="Q220" t="n">
        <v>0</v>
      </c>
      <c r="R220" s="2" t="inlineStr"/>
    </row>
    <row r="221" ht="15" customHeight="1">
      <c r="A221" t="inlineStr">
        <is>
          <t>A 46275-2020</t>
        </is>
      </c>
      <c r="B221" s="1" t="n">
        <v>44092</v>
      </c>
      <c r="C221" s="1" t="n">
        <v>45852</v>
      </c>
      <c r="D221" t="inlineStr">
        <is>
          <t>DALARNAS LÄN</t>
        </is>
      </c>
      <c r="E221" t="inlineStr">
        <is>
          <t>LUDVIKA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46284-2020</t>
        </is>
      </c>
      <c r="B222" s="1" t="n">
        <v>44092</v>
      </c>
      <c r="C222" s="1" t="n">
        <v>45852</v>
      </c>
      <c r="D222" t="inlineStr">
        <is>
          <t>DALARNAS LÄN</t>
        </is>
      </c>
      <c r="E222" t="inlineStr">
        <is>
          <t>LUDVIKA</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46369-2020</t>
        </is>
      </c>
      <c r="B223" s="1" t="n">
        <v>44093</v>
      </c>
      <c r="C223" s="1" t="n">
        <v>45852</v>
      </c>
      <c r="D223" t="inlineStr">
        <is>
          <t>DALARNAS LÄN</t>
        </is>
      </c>
      <c r="E223" t="inlineStr">
        <is>
          <t>LUDVIKA</t>
        </is>
      </c>
      <c r="G223" t="n">
        <v>3.8</v>
      </c>
      <c r="H223" t="n">
        <v>0</v>
      </c>
      <c r="I223" t="n">
        <v>0</v>
      </c>
      <c r="J223" t="n">
        <v>0</v>
      </c>
      <c r="K223" t="n">
        <v>0</v>
      </c>
      <c r="L223" t="n">
        <v>0</v>
      </c>
      <c r="M223" t="n">
        <v>0</v>
      </c>
      <c r="N223" t="n">
        <v>0</v>
      </c>
      <c r="O223" t="n">
        <v>0</v>
      </c>
      <c r="P223" t="n">
        <v>0</v>
      </c>
      <c r="Q223" t="n">
        <v>0</v>
      </c>
      <c r="R223" s="2" t="inlineStr"/>
    </row>
    <row r="224" ht="15" customHeight="1">
      <c r="A224" t="inlineStr">
        <is>
          <t>A 47194-2020</t>
        </is>
      </c>
      <c r="B224" s="1" t="n">
        <v>44097</v>
      </c>
      <c r="C224" s="1" t="n">
        <v>45852</v>
      </c>
      <c r="D224" t="inlineStr">
        <is>
          <t>DALARNAS LÄN</t>
        </is>
      </c>
      <c r="E224" t="inlineStr">
        <is>
          <t>LUDVIKA</t>
        </is>
      </c>
      <c r="F224" t="inlineStr">
        <is>
          <t>Bergvik skog väst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47471-2020</t>
        </is>
      </c>
      <c r="B225" s="1" t="n">
        <v>44097</v>
      </c>
      <c r="C225" s="1" t="n">
        <v>45852</v>
      </c>
      <c r="D225" t="inlineStr">
        <is>
          <t>DALARNAS LÄN</t>
        </is>
      </c>
      <c r="E225" t="inlineStr">
        <is>
          <t>LUDVIKA</t>
        </is>
      </c>
      <c r="G225" t="n">
        <v>0.7</v>
      </c>
      <c r="H225" t="n">
        <v>0</v>
      </c>
      <c r="I225" t="n">
        <v>0</v>
      </c>
      <c r="J225" t="n">
        <v>0</v>
      </c>
      <c r="K225" t="n">
        <v>0</v>
      </c>
      <c r="L225" t="n">
        <v>0</v>
      </c>
      <c r="M225" t="n">
        <v>0</v>
      </c>
      <c r="N225" t="n">
        <v>0</v>
      </c>
      <c r="O225" t="n">
        <v>0</v>
      </c>
      <c r="P225" t="n">
        <v>0</v>
      </c>
      <c r="Q225" t="n">
        <v>0</v>
      </c>
      <c r="R225" s="2" t="inlineStr"/>
    </row>
    <row r="226" ht="15" customHeight="1">
      <c r="A226" t="inlineStr">
        <is>
          <t>A 48557-2020</t>
        </is>
      </c>
      <c r="B226" s="1" t="n">
        <v>44103</v>
      </c>
      <c r="C226" s="1" t="n">
        <v>45852</v>
      </c>
      <c r="D226" t="inlineStr">
        <is>
          <t>DALARNAS LÄN</t>
        </is>
      </c>
      <c r="E226" t="inlineStr">
        <is>
          <t>LUDVIKA</t>
        </is>
      </c>
      <c r="G226" t="n">
        <v>1</v>
      </c>
      <c r="H226" t="n">
        <v>0</v>
      </c>
      <c r="I226" t="n">
        <v>0</v>
      </c>
      <c r="J226" t="n">
        <v>0</v>
      </c>
      <c r="K226" t="n">
        <v>0</v>
      </c>
      <c r="L226" t="n">
        <v>0</v>
      </c>
      <c r="M226" t="n">
        <v>0</v>
      </c>
      <c r="N226" t="n">
        <v>0</v>
      </c>
      <c r="O226" t="n">
        <v>0</v>
      </c>
      <c r="P226" t="n">
        <v>0</v>
      </c>
      <c r="Q226" t="n">
        <v>0</v>
      </c>
      <c r="R226" s="2" t="inlineStr"/>
    </row>
    <row r="227" ht="15" customHeight="1">
      <c r="A227" t="inlineStr">
        <is>
          <t>A 48482-2020</t>
        </is>
      </c>
      <c r="B227" s="1" t="n">
        <v>44103</v>
      </c>
      <c r="C227" s="1" t="n">
        <v>45852</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50146-2020</t>
        </is>
      </c>
      <c r="B228" s="1" t="n">
        <v>44104</v>
      </c>
      <c r="C228" s="1" t="n">
        <v>45852</v>
      </c>
      <c r="D228" t="inlineStr">
        <is>
          <t>DALARNAS LÄN</t>
        </is>
      </c>
      <c r="E228" t="inlineStr">
        <is>
          <t>LUDVIKA</t>
        </is>
      </c>
      <c r="G228" t="n">
        <v>4.7</v>
      </c>
      <c r="H228" t="n">
        <v>0</v>
      </c>
      <c r="I228" t="n">
        <v>0</v>
      </c>
      <c r="J228" t="n">
        <v>0</v>
      </c>
      <c r="K228" t="n">
        <v>0</v>
      </c>
      <c r="L228" t="n">
        <v>0</v>
      </c>
      <c r="M228" t="n">
        <v>0</v>
      </c>
      <c r="N228" t="n">
        <v>0</v>
      </c>
      <c r="O228" t="n">
        <v>0</v>
      </c>
      <c r="P228" t="n">
        <v>0</v>
      </c>
      <c r="Q228" t="n">
        <v>0</v>
      </c>
      <c r="R228" s="2" t="inlineStr"/>
    </row>
    <row r="229" ht="15" customHeight="1">
      <c r="A229" t="inlineStr">
        <is>
          <t>A 51439-2020</t>
        </is>
      </c>
      <c r="B229" s="1" t="n">
        <v>44113</v>
      </c>
      <c r="C229" s="1" t="n">
        <v>45852</v>
      </c>
      <c r="D229" t="inlineStr">
        <is>
          <t>DALARNAS LÄN</t>
        </is>
      </c>
      <c r="E229" t="inlineStr">
        <is>
          <t>LUDVIKA</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51777-2020</t>
        </is>
      </c>
      <c r="B230" s="1" t="n">
        <v>44116</v>
      </c>
      <c r="C230" s="1" t="n">
        <v>45852</v>
      </c>
      <c r="D230" t="inlineStr">
        <is>
          <t>DALARNAS LÄN</t>
        </is>
      </c>
      <c r="E230" t="inlineStr">
        <is>
          <t>LUDVIKA</t>
        </is>
      </c>
      <c r="G230" t="n">
        <v>11.2</v>
      </c>
      <c r="H230" t="n">
        <v>0</v>
      </c>
      <c r="I230" t="n">
        <v>0</v>
      </c>
      <c r="J230" t="n">
        <v>0</v>
      </c>
      <c r="K230" t="n">
        <v>0</v>
      </c>
      <c r="L230" t="n">
        <v>0</v>
      </c>
      <c r="M230" t="n">
        <v>0</v>
      </c>
      <c r="N230" t="n">
        <v>0</v>
      </c>
      <c r="O230" t="n">
        <v>0</v>
      </c>
      <c r="P230" t="n">
        <v>0</v>
      </c>
      <c r="Q230" t="n">
        <v>0</v>
      </c>
      <c r="R230" s="2" t="inlineStr"/>
    </row>
    <row r="231" ht="15" customHeight="1">
      <c r="A231" t="inlineStr">
        <is>
          <t>A 51895-2020</t>
        </is>
      </c>
      <c r="B231" s="1" t="n">
        <v>44116</v>
      </c>
      <c r="C231" s="1" t="n">
        <v>45852</v>
      </c>
      <c r="D231" t="inlineStr">
        <is>
          <t>DALARNAS LÄN</t>
        </is>
      </c>
      <c r="E231" t="inlineStr">
        <is>
          <t>LUDVIKA</t>
        </is>
      </c>
      <c r="F231" t="inlineStr">
        <is>
          <t>Bergvik skog väst AB</t>
        </is>
      </c>
      <c r="G231" t="n">
        <v>2.5</v>
      </c>
      <c r="H231" t="n">
        <v>0</v>
      </c>
      <c r="I231" t="n">
        <v>0</v>
      </c>
      <c r="J231" t="n">
        <v>0</v>
      </c>
      <c r="K231" t="n">
        <v>0</v>
      </c>
      <c r="L231" t="n">
        <v>0</v>
      </c>
      <c r="M231" t="n">
        <v>0</v>
      </c>
      <c r="N231" t="n">
        <v>0</v>
      </c>
      <c r="O231" t="n">
        <v>0</v>
      </c>
      <c r="P231" t="n">
        <v>0</v>
      </c>
      <c r="Q231" t="n">
        <v>0</v>
      </c>
      <c r="R231" s="2" t="inlineStr"/>
    </row>
    <row r="232" ht="15" customHeight="1">
      <c r="A232" t="inlineStr">
        <is>
          <t>A 52425-2020</t>
        </is>
      </c>
      <c r="B232" s="1" t="n">
        <v>44118</v>
      </c>
      <c r="C232" s="1" t="n">
        <v>45852</v>
      </c>
      <c r="D232" t="inlineStr">
        <is>
          <t>DALARNAS LÄN</t>
        </is>
      </c>
      <c r="E232" t="inlineStr">
        <is>
          <t>LUDVIKA</t>
        </is>
      </c>
      <c r="F232" t="inlineStr">
        <is>
          <t>Bergvik skog väst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52748-2020</t>
        </is>
      </c>
      <c r="B233" s="1" t="n">
        <v>44119</v>
      </c>
      <c r="C233" s="1" t="n">
        <v>45852</v>
      </c>
      <c r="D233" t="inlineStr">
        <is>
          <t>DALARNAS LÄN</t>
        </is>
      </c>
      <c r="E233" t="inlineStr">
        <is>
          <t>LUDVIKA</t>
        </is>
      </c>
      <c r="G233" t="n">
        <v>1</v>
      </c>
      <c r="H233" t="n">
        <v>0</v>
      </c>
      <c r="I233" t="n">
        <v>0</v>
      </c>
      <c r="J233" t="n">
        <v>0</v>
      </c>
      <c r="K233" t="n">
        <v>0</v>
      </c>
      <c r="L233" t="n">
        <v>0</v>
      </c>
      <c r="M233" t="n">
        <v>0</v>
      </c>
      <c r="N233" t="n">
        <v>0</v>
      </c>
      <c r="O233" t="n">
        <v>0</v>
      </c>
      <c r="P233" t="n">
        <v>0</v>
      </c>
      <c r="Q233" t="n">
        <v>0</v>
      </c>
      <c r="R233" s="2" t="inlineStr"/>
    </row>
    <row r="234" ht="15" customHeight="1">
      <c r="A234" t="inlineStr">
        <is>
          <t>A 52853-2020</t>
        </is>
      </c>
      <c r="B234" s="1" t="n">
        <v>44119</v>
      </c>
      <c r="C234" s="1" t="n">
        <v>45852</v>
      </c>
      <c r="D234" t="inlineStr">
        <is>
          <t>DALARNAS LÄN</t>
        </is>
      </c>
      <c r="E234" t="inlineStr">
        <is>
          <t>LUDVIKA</t>
        </is>
      </c>
      <c r="G234" t="n">
        <v>28</v>
      </c>
      <c r="H234" t="n">
        <v>0</v>
      </c>
      <c r="I234" t="n">
        <v>0</v>
      </c>
      <c r="J234" t="n">
        <v>0</v>
      </c>
      <c r="K234" t="n">
        <v>0</v>
      </c>
      <c r="L234" t="n">
        <v>0</v>
      </c>
      <c r="M234" t="n">
        <v>0</v>
      </c>
      <c r="N234" t="n">
        <v>0</v>
      </c>
      <c r="O234" t="n">
        <v>0</v>
      </c>
      <c r="P234" t="n">
        <v>0</v>
      </c>
      <c r="Q234" t="n">
        <v>0</v>
      </c>
      <c r="R234" s="2" t="inlineStr"/>
    </row>
    <row r="235" ht="15" customHeight="1">
      <c r="A235" t="inlineStr">
        <is>
          <t>A 52929-2020</t>
        </is>
      </c>
      <c r="B235" s="1" t="n">
        <v>44120</v>
      </c>
      <c r="C235" s="1" t="n">
        <v>45852</v>
      </c>
      <c r="D235" t="inlineStr">
        <is>
          <t>DALARNAS LÄN</t>
        </is>
      </c>
      <c r="E235" t="inlineStr">
        <is>
          <t>LUDVIKA</t>
        </is>
      </c>
      <c r="F235" t="inlineStr">
        <is>
          <t>Bergvik skog väst AB</t>
        </is>
      </c>
      <c r="G235" t="n">
        <v>0.9</v>
      </c>
      <c r="H235" t="n">
        <v>0</v>
      </c>
      <c r="I235" t="n">
        <v>0</v>
      </c>
      <c r="J235" t="n">
        <v>0</v>
      </c>
      <c r="K235" t="n">
        <v>0</v>
      </c>
      <c r="L235" t="n">
        <v>0</v>
      </c>
      <c r="M235" t="n">
        <v>0</v>
      </c>
      <c r="N235" t="n">
        <v>0</v>
      </c>
      <c r="O235" t="n">
        <v>0</v>
      </c>
      <c r="P235" t="n">
        <v>0</v>
      </c>
      <c r="Q235" t="n">
        <v>0</v>
      </c>
      <c r="R235" s="2" t="inlineStr"/>
    </row>
    <row r="236" ht="15" customHeight="1">
      <c r="A236" t="inlineStr">
        <is>
          <t>A 53960-2020</t>
        </is>
      </c>
      <c r="B236" s="1" t="n">
        <v>44123</v>
      </c>
      <c r="C236" s="1" t="n">
        <v>45852</v>
      </c>
      <c r="D236" t="inlineStr">
        <is>
          <t>DALARNAS LÄN</t>
        </is>
      </c>
      <c r="E236" t="inlineStr">
        <is>
          <t>LUDVIKA</t>
        </is>
      </c>
      <c r="G236" t="n">
        <v>3.5</v>
      </c>
      <c r="H236" t="n">
        <v>0</v>
      </c>
      <c r="I236" t="n">
        <v>0</v>
      </c>
      <c r="J236" t="n">
        <v>0</v>
      </c>
      <c r="K236" t="n">
        <v>0</v>
      </c>
      <c r="L236" t="n">
        <v>0</v>
      </c>
      <c r="M236" t="n">
        <v>0</v>
      </c>
      <c r="N236" t="n">
        <v>0</v>
      </c>
      <c r="O236" t="n">
        <v>0</v>
      </c>
      <c r="P236" t="n">
        <v>0</v>
      </c>
      <c r="Q236" t="n">
        <v>0</v>
      </c>
      <c r="R236" s="2" t="inlineStr"/>
    </row>
    <row r="237" ht="15" customHeight="1">
      <c r="A237" t="inlineStr">
        <is>
          <t>A 53756-2020</t>
        </is>
      </c>
      <c r="B237" s="1" t="n">
        <v>44124</v>
      </c>
      <c r="C237" s="1" t="n">
        <v>45852</v>
      </c>
      <c r="D237" t="inlineStr">
        <is>
          <t>DALARNAS LÄN</t>
        </is>
      </c>
      <c r="E237" t="inlineStr">
        <is>
          <t>LUDVIKA</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55646-2020</t>
        </is>
      </c>
      <c r="B238" s="1" t="n">
        <v>44131</v>
      </c>
      <c r="C238" s="1" t="n">
        <v>45852</v>
      </c>
      <c r="D238" t="inlineStr">
        <is>
          <t>DALARNAS LÄN</t>
        </is>
      </c>
      <c r="E238" t="inlineStr">
        <is>
          <t>LUDVIKA</t>
        </is>
      </c>
      <c r="G238" t="n">
        <v>0.5</v>
      </c>
      <c r="H238" t="n">
        <v>0</v>
      </c>
      <c r="I238" t="n">
        <v>0</v>
      </c>
      <c r="J238" t="n">
        <v>0</v>
      </c>
      <c r="K238" t="n">
        <v>0</v>
      </c>
      <c r="L238" t="n">
        <v>0</v>
      </c>
      <c r="M238" t="n">
        <v>0</v>
      </c>
      <c r="N238" t="n">
        <v>0</v>
      </c>
      <c r="O238" t="n">
        <v>0</v>
      </c>
      <c r="P238" t="n">
        <v>0</v>
      </c>
      <c r="Q238" t="n">
        <v>0</v>
      </c>
      <c r="R238" s="2" t="inlineStr"/>
    </row>
    <row r="239" ht="15" customHeight="1">
      <c r="A239" t="inlineStr">
        <is>
          <t>A 61004-2020</t>
        </is>
      </c>
      <c r="B239" s="1" t="n">
        <v>44154</v>
      </c>
      <c r="C239" s="1" t="n">
        <v>45852</v>
      </c>
      <c r="D239" t="inlineStr">
        <is>
          <t>DALARNAS LÄN</t>
        </is>
      </c>
      <c r="E239" t="inlineStr">
        <is>
          <t>LUDVIKA</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60913-2020</t>
        </is>
      </c>
      <c r="B240" s="1" t="n">
        <v>44154</v>
      </c>
      <c r="C240" s="1" t="n">
        <v>45852</v>
      </c>
      <c r="D240" t="inlineStr">
        <is>
          <t>DALARNAS LÄN</t>
        </is>
      </c>
      <c r="E240" t="inlineStr">
        <is>
          <t>LUDVIKA</t>
        </is>
      </c>
      <c r="G240" t="n">
        <v>2.2</v>
      </c>
      <c r="H240" t="n">
        <v>0</v>
      </c>
      <c r="I240" t="n">
        <v>0</v>
      </c>
      <c r="J240" t="n">
        <v>0</v>
      </c>
      <c r="K240" t="n">
        <v>0</v>
      </c>
      <c r="L240" t="n">
        <v>0</v>
      </c>
      <c r="M240" t="n">
        <v>0</v>
      </c>
      <c r="N240" t="n">
        <v>0</v>
      </c>
      <c r="O240" t="n">
        <v>0</v>
      </c>
      <c r="P240" t="n">
        <v>0</v>
      </c>
      <c r="Q240" t="n">
        <v>0</v>
      </c>
      <c r="R240" s="2" t="inlineStr"/>
    </row>
    <row r="241" ht="15" customHeight="1">
      <c r="A241" t="inlineStr">
        <is>
          <t>A 60822-2020</t>
        </is>
      </c>
      <c r="B241" s="1" t="n">
        <v>44154</v>
      </c>
      <c r="C241" s="1" t="n">
        <v>45852</v>
      </c>
      <c r="D241" t="inlineStr">
        <is>
          <t>DALARNAS LÄN</t>
        </is>
      </c>
      <c r="E241" t="inlineStr">
        <is>
          <t>LUDVIKA</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61491-2020</t>
        </is>
      </c>
      <c r="B242" s="1" t="n">
        <v>44154</v>
      </c>
      <c r="C242" s="1" t="n">
        <v>45852</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61501-2020</t>
        </is>
      </c>
      <c r="B243" s="1" t="n">
        <v>44154</v>
      </c>
      <c r="C243" s="1" t="n">
        <v>45852</v>
      </c>
      <c r="D243" t="inlineStr">
        <is>
          <t>DALARNAS LÄN</t>
        </is>
      </c>
      <c r="E243" t="inlineStr">
        <is>
          <t>LUDVIKA</t>
        </is>
      </c>
      <c r="G243" t="n">
        <v>10</v>
      </c>
      <c r="H243" t="n">
        <v>0</v>
      </c>
      <c r="I243" t="n">
        <v>0</v>
      </c>
      <c r="J243" t="n">
        <v>0</v>
      </c>
      <c r="K243" t="n">
        <v>0</v>
      </c>
      <c r="L243" t="n">
        <v>0</v>
      </c>
      <c r="M243" t="n">
        <v>0</v>
      </c>
      <c r="N243" t="n">
        <v>0</v>
      </c>
      <c r="O243" t="n">
        <v>0</v>
      </c>
      <c r="P243" t="n">
        <v>0</v>
      </c>
      <c r="Q243" t="n">
        <v>0</v>
      </c>
      <c r="R243" s="2" t="inlineStr"/>
    </row>
    <row r="244" ht="15" customHeight="1">
      <c r="A244" t="inlineStr">
        <is>
          <t>A 61838-2020</t>
        </is>
      </c>
      <c r="B244" s="1" t="n">
        <v>44159</v>
      </c>
      <c r="C244" s="1" t="n">
        <v>45852</v>
      </c>
      <c r="D244" t="inlineStr">
        <is>
          <t>DALARNAS LÄN</t>
        </is>
      </c>
      <c r="E244" t="inlineStr">
        <is>
          <t>LUDVIKA</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63799-2020</t>
        </is>
      </c>
      <c r="B245" s="1" t="n">
        <v>44165</v>
      </c>
      <c r="C245" s="1" t="n">
        <v>45852</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63767-2020</t>
        </is>
      </c>
      <c r="B246" s="1" t="n">
        <v>44166</v>
      </c>
      <c r="C246" s="1" t="n">
        <v>45852</v>
      </c>
      <c r="D246" t="inlineStr">
        <is>
          <t>DALARNAS LÄN</t>
        </is>
      </c>
      <c r="E246" t="inlineStr">
        <is>
          <t>LUDVIKA</t>
        </is>
      </c>
      <c r="F246" t="inlineStr">
        <is>
          <t>Kommuner</t>
        </is>
      </c>
      <c r="G246" t="n">
        <v>1.9</v>
      </c>
      <c r="H246" t="n">
        <v>0</v>
      </c>
      <c r="I246" t="n">
        <v>0</v>
      </c>
      <c r="J246" t="n">
        <v>0</v>
      </c>
      <c r="K246" t="n">
        <v>0</v>
      </c>
      <c r="L246" t="n">
        <v>0</v>
      </c>
      <c r="M246" t="n">
        <v>0</v>
      </c>
      <c r="N246" t="n">
        <v>0</v>
      </c>
      <c r="O246" t="n">
        <v>0</v>
      </c>
      <c r="P246" t="n">
        <v>0</v>
      </c>
      <c r="Q246" t="n">
        <v>0</v>
      </c>
      <c r="R246" s="2" t="inlineStr"/>
    </row>
    <row r="247" ht="15" customHeight="1">
      <c r="A247" t="inlineStr">
        <is>
          <t>A 65150-2020</t>
        </is>
      </c>
      <c r="B247" s="1" t="n">
        <v>44168</v>
      </c>
      <c r="C247" s="1" t="n">
        <v>45852</v>
      </c>
      <c r="D247" t="inlineStr">
        <is>
          <t>DALARNAS LÄN</t>
        </is>
      </c>
      <c r="E247" t="inlineStr">
        <is>
          <t>LUDVIKA</t>
        </is>
      </c>
      <c r="G247" t="n">
        <v>0.9</v>
      </c>
      <c r="H247" t="n">
        <v>0</v>
      </c>
      <c r="I247" t="n">
        <v>0</v>
      </c>
      <c r="J247" t="n">
        <v>0</v>
      </c>
      <c r="K247" t="n">
        <v>0</v>
      </c>
      <c r="L247" t="n">
        <v>0</v>
      </c>
      <c r="M247" t="n">
        <v>0</v>
      </c>
      <c r="N247" t="n">
        <v>0</v>
      </c>
      <c r="O247" t="n">
        <v>0</v>
      </c>
      <c r="P247" t="n">
        <v>0</v>
      </c>
      <c r="Q247" t="n">
        <v>0</v>
      </c>
      <c r="R247" s="2" t="inlineStr"/>
    </row>
    <row r="248" ht="15" customHeight="1">
      <c r="A248" t="inlineStr">
        <is>
          <t>A 66188-2020</t>
        </is>
      </c>
      <c r="B248" s="1" t="n">
        <v>44174</v>
      </c>
      <c r="C248" s="1" t="n">
        <v>45852</v>
      </c>
      <c r="D248" t="inlineStr">
        <is>
          <t>DALARNAS LÄN</t>
        </is>
      </c>
      <c r="E248" t="inlineStr">
        <is>
          <t>LUDVIKA</t>
        </is>
      </c>
      <c r="G248" t="n">
        <v>3.5</v>
      </c>
      <c r="H248" t="n">
        <v>0</v>
      </c>
      <c r="I248" t="n">
        <v>0</v>
      </c>
      <c r="J248" t="n">
        <v>0</v>
      </c>
      <c r="K248" t="n">
        <v>0</v>
      </c>
      <c r="L248" t="n">
        <v>0</v>
      </c>
      <c r="M248" t="n">
        <v>0</v>
      </c>
      <c r="N248" t="n">
        <v>0</v>
      </c>
      <c r="O248" t="n">
        <v>0</v>
      </c>
      <c r="P248" t="n">
        <v>0</v>
      </c>
      <c r="Q248" t="n">
        <v>0</v>
      </c>
      <c r="R248" s="2" t="inlineStr"/>
    </row>
    <row r="249" ht="15" customHeight="1">
      <c r="A249" t="inlineStr">
        <is>
          <t>A 69094-2020</t>
        </is>
      </c>
      <c r="B249" s="1" t="n">
        <v>44188</v>
      </c>
      <c r="C249" s="1" t="n">
        <v>45852</v>
      </c>
      <c r="D249" t="inlineStr">
        <is>
          <t>DALARNAS LÄN</t>
        </is>
      </c>
      <c r="E249" t="inlineStr">
        <is>
          <t>LUDVIKA</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69157-2020</t>
        </is>
      </c>
      <c r="B250" s="1" t="n">
        <v>44188</v>
      </c>
      <c r="C250" s="1" t="n">
        <v>45852</v>
      </c>
      <c r="D250" t="inlineStr">
        <is>
          <t>DALARNAS LÄN</t>
        </is>
      </c>
      <c r="E250" t="inlineStr">
        <is>
          <t>LUDVIKA</t>
        </is>
      </c>
      <c r="F250" t="inlineStr">
        <is>
          <t>Kommuner</t>
        </is>
      </c>
      <c r="G250" t="n">
        <v>5.2</v>
      </c>
      <c r="H250" t="n">
        <v>0</v>
      </c>
      <c r="I250" t="n">
        <v>0</v>
      </c>
      <c r="J250" t="n">
        <v>0</v>
      </c>
      <c r="K250" t="n">
        <v>0</v>
      </c>
      <c r="L250" t="n">
        <v>0</v>
      </c>
      <c r="M250" t="n">
        <v>0</v>
      </c>
      <c r="N250" t="n">
        <v>0</v>
      </c>
      <c r="O250" t="n">
        <v>0</v>
      </c>
      <c r="P250" t="n">
        <v>0</v>
      </c>
      <c r="Q250" t="n">
        <v>0</v>
      </c>
      <c r="R250" s="2" t="inlineStr"/>
    </row>
    <row r="251" ht="15" customHeight="1">
      <c r="A251" t="inlineStr">
        <is>
          <t>A 69154-2020</t>
        </is>
      </c>
      <c r="B251" s="1" t="n">
        <v>44188</v>
      </c>
      <c r="C251" s="1" t="n">
        <v>45852</v>
      </c>
      <c r="D251" t="inlineStr">
        <is>
          <t>DALARNAS LÄN</t>
        </is>
      </c>
      <c r="E251" t="inlineStr">
        <is>
          <t>LUDVIKA</t>
        </is>
      </c>
      <c r="F251" t="inlineStr">
        <is>
          <t>Kommuner</t>
        </is>
      </c>
      <c r="G251" t="n">
        <v>13.3</v>
      </c>
      <c r="H251" t="n">
        <v>0</v>
      </c>
      <c r="I251" t="n">
        <v>0</v>
      </c>
      <c r="J251" t="n">
        <v>0</v>
      </c>
      <c r="K251" t="n">
        <v>0</v>
      </c>
      <c r="L251" t="n">
        <v>0</v>
      </c>
      <c r="M251" t="n">
        <v>0</v>
      </c>
      <c r="N251" t="n">
        <v>0</v>
      </c>
      <c r="O251" t="n">
        <v>0</v>
      </c>
      <c r="P251" t="n">
        <v>0</v>
      </c>
      <c r="Q251" t="n">
        <v>0</v>
      </c>
      <c r="R251" s="2" t="inlineStr"/>
    </row>
    <row r="252" ht="15" customHeight="1">
      <c r="A252" t="inlineStr">
        <is>
          <t>A 69090-2020</t>
        </is>
      </c>
      <c r="B252" s="1" t="n">
        <v>44188</v>
      </c>
      <c r="C252" s="1" t="n">
        <v>45852</v>
      </c>
      <c r="D252" t="inlineStr">
        <is>
          <t>DALARNAS LÄN</t>
        </is>
      </c>
      <c r="E252" t="inlineStr">
        <is>
          <t>LUDVIKA</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69165-2020</t>
        </is>
      </c>
      <c r="B253" s="1" t="n">
        <v>44188</v>
      </c>
      <c r="C253" s="1" t="n">
        <v>45852</v>
      </c>
      <c r="D253" t="inlineStr">
        <is>
          <t>DALARNAS LÄN</t>
        </is>
      </c>
      <c r="E253" t="inlineStr">
        <is>
          <t>LUDVIKA</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1633-2021</t>
        </is>
      </c>
      <c r="B254" s="1" t="n">
        <v>44209</v>
      </c>
      <c r="C254" s="1" t="n">
        <v>45852</v>
      </c>
      <c r="D254" t="inlineStr">
        <is>
          <t>DALARNAS LÄN</t>
        </is>
      </c>
      <c r="E254" t="inlineStr">
        <is>
          <t>LUDVIKA</t>
        </is>
      </c>
      <c r="G254" t="n">
        <v>0.6</v>
      </c>
      <c r="H254" t="n">
        <v>0</v>
      </c>
      <c r="I254" t="n">
        <v>0</v>
      </c>
      <c r="J254" t="n">
        <v>0</v>
      </c>
      <c r="K254" t="n">
        <v>0</v>
      </c>
      <c r="L254" t="n">
        <v>0</v>
      </c>
      <c r="M254" t="n">
        <v>0</v>
      </c>
      <c r="N254" t="n">
        <v>0</v>
      </c>
      <c r="O254" t="n">
        <v>0</v>
      </c>
      <c r="P254" t="n">
        <v>0</v>
      </c>
      <c r="Q254" t="n">
        <v>0</v>
      </c>
      <c r="R254" s="2" t="inlineStr"/>
    </row>
    <row r="255" ht="15" customHeight="1">
      <c r="A255" t="inlineStr">
        <is>
          <t>A 3104-2021</t>
        </is>
      </c>
      <c r="B255" s="1" t="n">
        <v>44217</v>
      </c>
      <c r="C255" s="1" t="n">
        <v>45852</v>
      </c>
      <c r="D255" t="inlineStr">
        <is>
          <t>DALARNAS LÄN</t>
        </is>
      </c>
      <c r="E255" t="inlineStr">
        <is>
          <t>LUDVIKA</t>
        </is>
      </c>
      <c r="G255" t="n">
        <v>2.1</v>
      </c>
      <c r="H255" t="n">
        <v>0</v>
      </c>
      <c r="I255" t="n">
        <v>0</v>
      </c>
      <c r="J255" t="n">
        <v>0</v>
      </c>
      <c r="K255" t="n">
        <v>0</v>
      </c>
      <c r="L255" t="n">
        <v>0</v>
      </c>
      <c r="M255" t="n">
        <v>0</v>
      </c>
      <c r="N255" t="n">
        <v>0</v>
      </c>
      <c r="O255" t="n">
        <v>0</v>
      </c>
      <c r="P255" t="n">
        <v>0</v>
      </c>
      <c r="Q255" t="n">
        <v>0</v>
      </c>
      <c r="R255" s="2" t="inlineStr"/>
    </row>
    <row r="256" ht="15" customHeight="1">
      <c r="A256" t="inlineStr">
        <is>
          <t>A 3403-2021</t>
        </is>
      </c>
      <c r="B256" s="1" t="n">
        <v>44218</v>
      </c>
      <c r="C256" s="1" t="n">
        <v>45852</v>
      </c>
      <c r="D256" t="inlineStr">
        <is>
          <t>DALARNAS LÄN</t>
        </is>
      </c>
      <c r="E256" t="inlineStr">
        <is>
          <t>LUDVIKA</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4569-2021</t>
        </is>
      </c>
      <c r="B257" s="1" t="n">
        <v>44224</v>
      </c>
      <c r="C257" s="1" t="n">
        <v>45852</v>
      </c>
      <c r="D257" t="inlineStr">
        <is>
          <t>DALARNAS LÄN</t>
        </is>
      </c>
      <c r="E257" t="inlineStr">
        <is>
          <t>LUDVIKA</t>
        </is>
      </c>
      <c r="F257" t="inlineStr">
        <is>
          <t>Kommuner</t>
        </is>
      </c>
      <c r="G257" t="n">
        <v>2.7</v>
      </c>
      <c r="H257" t="n">
        <v>0</v>
      </c>
      <c r="I257" t="n">
        <v>0</v>
      </c>
      <c r="J257" t="n">
        <v>0</v>
      </c>
      <c r="K257" t="n">
        <v>0</v>
      </c>
      <c r="L257" t="n">
        <v>0</v>
      </c>
      <c r="M257" t="n">
        <v>0</v>
      </c>
      <c r="N257" t="n">
        <v>0</v>
      </c>
      <c r="O257" t="n">
        <v>0</v>
      </c>
      <c r="P257" t="n">
        <v>0</v>
      </c>
      <c r="Q257" t="n">
        <v>0</v>
      </c>
      <c r="R257" s="2" t="inlineStr"/>
    </row>
    <row r="258" ht="15" customHeight="1">
      <c r="A258" t="inlineStr">
        <is>
          <t>A 7073-2021</t>
        </is>
      </c>
      <c r="B258" s="1" t="n">
        <v>44237</v>
      </c>
      <c r="C258" s="1" t="n">
        <v>45852</v>
      </c>
      <c r="D258" t="inlineStr">
        <is>
          <t>DALARNAS LÄN</t>
        </is>
      </c>
      <c r="E258" t="inlineStr">
        <is>
          <t>LUDVIKA</t>
        </is>
      </c>
      <c r="G258" t="n">
        <v>0.9</v>
      </c>
      <c r="H258" t="n">
        <v>0</v>
      </c>
      <c r="I258" t="n">
        <v>0</v>
      </c>
      <c r="J258" t="n">
        <v>0</v>
      </c>
      <c r="K258" t="n">
        <v>0</v>
      </c>
      <c r="L258" t="n">
        <v>0</v>
      </c>
      <c r="M258" t="n">
        <v>0</v>
      </c>
      <c r="N258" t="n">
        <v>0</v>
      </c>
      <c r="O258" t="n">
        <v>0</v>
      </c>
      <c r="P258" t="n">
        <v>0</v>
      </c>
      <c r="Q258" t="n">
        <v>0</v>
      </c>
      <c r="R258" s="2" t="inlineStr"/>
    </row>
    <row r="259" ht="15" customHeight="1">
      <c r="A259" t="inlineStr">
        <is>
          <t>A 8321-2021</t>
        </is>
      </c>
      <c r="B259" s="1" t="n">
        <v>44244</v>
      </c>
      <c r="C259" s="1" t="n">
        <v>45852</v>
      </c>
      <c r="D259" t="inlineStr">
        <is>
          <t>DALARNAS LÄN</t>
        </is>
      </c>
      <c r="E259" t="inlineStr">
        <is>
          <t>LUDVIKA</t>
        </is>
      </c>
      <c r="G259" t="n">
        <v>1.9</v>
      </c>
      <c r="H259" t="n">
        <v>0</v>
      </c>
      <c r="I259" t="n">
        <v>0</v>
      </c>
      <c r="J259" t="n">
        <v>0</v>
      </c>
      <c r="K259" t="n">
        <v>0</v>
      </c>
      <c r="L259" t="n">
        <v>0</v>
      </c>
      <c r="M259" t="n">
        <v>0</v>
      </c>
      <c r="N259" t="n">
        <v>0</v>
      </c>
      <c r="O259" t="n">
        <v>0</v>
      </c>
      <c r="P259" t="n">
        <v>0</v>
      </c>
      <c r="Q259" t="n">
        <v>0</v>
      </c>
      <c r="R259" s="2" t="inlineStr"/>
    </row>
    <row r="260" ht="15" customHeight="1">
      <c r="A260" t="inlineStr">
        <is>
          <t>A 8319-2021</t>
        </is>
      </c>
      <c r="B260" s="1" t="n">
        <v>44244</v>
      </c>
      <c r="C260" s="1" t="n">
        <v>45852</v>
      </c>
      <c r="D260" t="inlineStr">
        <is>
          <t>DALARNAS LÄN</t>
        </is>
      </c>
      <c r="E260" t="inlineStr">
        <is>
          <t>LUDVIKA</t>
        </is>
      </c>
      <c r="G260" t="n">
        <v>0.5</v>
      </c>
      <c r="H260" t="n">
        <v>0</v>
      </c>
      <c r="I260" t="n">
        <v>0</v>
      </c>
      <c r="J260" t="n">
        <v>0</v>
      </c>
      <c r="K260" t="n">
        <v>0</v>
      </c>
      <c r="L260" t="n">
        <v>0</v>
      </c>
      <c r="M260" t="n">
        <v>0</v>
      </c>
      <c r="N260" t="n">
        <v>0</v>
      </c>
      <c r="O260" t="n">
        <v>0</v>
      </c>
      <c r="P260" t="n">
        <v>0</v>
      </c>
      <c r="Q260" t="n">
        <v>0</v>
      </c>
      <c r="R260" s="2" t="inlineStr"/>
    </row>
    <row r="261" ht="15" customHeight="1">
      <c r="A261" t="inlineStr">
        <is>
          <t>A 9292-2021</t>
        </is>
      </c>
      <c r="B261" s="1" t="n">
        <v>44249</v>
      </c>
      <c r="C261" s="1" t="n">
        <v>45852</v>
      </c>
      <c r="D261" t="inlineStr">
        <is>
          <t>DALARNAS LÄN</t>
        </is>
      </c>
      <c r="E261" t="inlineStr">
        <is>
          <t>LUDVIKA</t>
        </is>
      </c>
      <c r="G261" t="n">
        <v>5.1</v>
      </c>
      <c r="H261" t="n">
        <v>0</v>
      </c>
      <c r="I261" t="n">
        <v>0</v>
      </c>
      <c r="J261" t="n">
        <v>0</v>
      </c>
      <c r="K261" t="n">
        <v>0</v>
      </c>
      <c r="L261" t="n">
        <v>0</v>
      </c>
      <c r="M261" t="n">
        <v>0</v>
      </c>
      <c r="N261" t="n">
        <v>0</v>
      </c>
      <c r="O261" t="n">
        <v>0</v>
      </c>
      <c r="P261" t="n">
        <v>0</v>
      </c>
      <c r="Q261" t="n">
        <v>0</v>
      </c>
      <c r="R261" s="2" t="inlineStr"/>
    </row>
    <row r="262" ht="15" customHeight="1">
      <c r="A262" t="inlineStr">
        <is>
          <t>A 11611-2021</t>
        </is>
      </c>
      <c r="B262" s="1" t="n">
        <v>44264</v>
      </c>
      <c r="C262" s="1" t="n">
        <v>45852</v>
      </c>
      <c r="D262" t="inlineStr">
        <is>
          <t>DALARNAS LÄN</t>
        </is>
      </c>
      <c r="E262" t="inlineStr">
        <is>
          <t>LUDVIKA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13778-2021</t>
        </is>
      </c>
      <c r="B263" s="1" t="n">
        <v>44274</v>
      </c>
      <c r="C263" s="1" t="n">
        <v>45852</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15020-2021</t>
        </is>
      </c>
      <c r="B264" s="1" t="n">
        <v>44281</v>
      </c>
      <c r="C264" s="1" t="n">
        <v>45852</v>
      </c>
      <c r="D264" t="inlineStr">
        <is>
          <t>DALARNAS LÄN</t>
        </is>
      </c>
      <c r="E264" t="inlineStr">
        <is>
          <t>LUDVIKA</t>
        </is>
      </c>
      <c r="F264" t="inlineStr">
        <is>
          <t>Bergvik skog väst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15700-2021</t>
        </is>
      </c>
      <c r="B265" s="1" t="n">
        <v>44286</v>
      </c>
      <c r="C265" s="1" t="n">
        <v>45852</v>
      </c>
      <c r="D265" t="inlineStr">
        <is>
          <t>DALARNAS LÄN</t>
        </is>
      </c>
      <c r="E265" t="inlineStr">
        <is>
          <t>LUDVIKA</t>
        </is>
      </c>
      <c r="G265" t="n">
        <v>2.2</v>
      </c>
      <c r="H265" t="n">
        <v>0</v>
      </c>
      <c r="I265" t="n">
        <v>0</v>
      </c>
      <c r="J265" t="n">
        <v>0</v>
      </c>
      <c r="K265" t="n">
        <v>0</v>
      </c>
      <c r="L265" t="n">
        <v>0</v>
      </c>
      <c r="M265" t="n">
        <v>0</v>
      </c>
      <c r="N265" t="n">
        <v>0</v>
      </c>
      <c r="O265" t="n">
        <v>0</v>
      </c>
      <c r="P265" t="n">
        <v>0</v>
      </c>
      <c r="Q265" t="n">
        <v>0</v>
      </c>
      <c r="R265" s="2" t="inlineStr"/>
    </row>
    <row r="266" ht="15" customHeight="1">
      <c r="A266" t="inlineStr">
        <is>
          <t>A 16108-2021</t>
        </is>
      </c>
      <c r="B266" s="1" t="n">
        <v>44291</v>
      </c>
      <c r="C266" s="1" t="n">
        <v>45852</v>
      </c>
      <c r="D266" t="inlineStr">
        <is>
          <t>DALARNAS LÄN</t>
        </is>
      </c>
      <c r="E266" t="inlineStr">
        <is>
          <t>LUDVIKA</t>
        </is>
      </c>
      <c r="G266" t="n">
        <v>2.9</v>
      </c>
      <c r="H266" t="n">
        <v>0</v>
      </c>
      <c r="I266" t="n">
        <v>0</v>
      </c>
      <c r="J266" t="n">
        <v>0</v>
      </c>
      <c r="K266" t="n">
        <v>0</v>
      </c>
      <c r="L266" t="n">
        <v>0</v>
      </c>
      <c r="M266" t="n">
        <v>0</v>
      </c>
      <c r="N266" t="n">
        <v>0</v>
      </c>
      <c r="O266" t="n">
        <v>0</v>
      </c>
      <c r="P266" t="n">
        <v>0</v>
      </c>
      <c r="Q266" t="n">
        <v>0</v>
      </c>
      <c r="R266" s="2" t="inlineStr"/>
    </row>
    <row r="267" ht="15" customHeight="1">
      <c r="A267" t="inlineStr">
        <is>
          <t>A 16187-2021</t>
        </is>
      </c>
      <c r="B267" s="1" t="n">
        <v>44292</v>
      </c>
      <c r="C267" s="1" t="n">
        <v>45852</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16203-2021</t>
        </is>
      </c>
      <c r="B268" s="1" t="n">
        <v>44292</v>
      </c>
      <c r="C268" s="1" t="n">
        <v>45852</v>
      </c>
      <c r="D268" t="inlineStr">
        <is>
          <t>DALARNAS LÄN</t>
        </is>
      </c>
      <c r="E268" t="inlineStr">
        <is>
          <t>LUDVIKA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17420-2021</t>
        </is>
      </c>
      <c r="B269" s="1" t="n">
        <v>44299</v>
      </c>
      <c r="C269" s="1" t="n">
        <v>45852</v>
      </c>
      <c r="D269" t="inlineStr">
        <is>
          <t>DALARNAS LÄN</t>
        </is>
      </c>
      <c r="E269" t="inlineStr">
        <is>
          <t>LUDVIKA</t>
        </is>
      </c>
      <c r="G269" t="n">
        <v>5.8</v>
      </c>
      <c r="H269" t="n">
        <v>0</v>
      </c>
      <c r="I269" t="n">
        <v>0</v>
      </c>
      <c r="J269" t="n">
        <v>0</v>
      </c>
      <c r="K269" t="n">
        <v>0</v>
      </c>
      <c r="L269" t="n">
        <v>0</v>
      </c>
      <c r="M269" t="n">
        <v>0</v>
      </c>
      <c r="N269" t="n">
        <v>0</v>
      </c>
      <c r="O269" t="n">
        <v>0</v>
      </c>
      <c r="P269" t="n">
        <v>0</v>
      </c>
      <c r="Q269" t="n">
        <v>0</v>
      </c>
      <c r="R269" s="2" t="inlineStr"/>
    </row>
    <row r="270" ht="15" customHeight="1">
      <c r="A270" t="inlineStr">
        <is>
          <t>A 18025-2021</t>
        </is>
      </c>
      <c r="B270" s="1" t="n">
        <v>44302</v>
      </c>
      <c r="C270" s="1" t="n">
        <v>45852</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20598-2021</t>
        </is>
      </c>
      <c r="B271" s="1" t="n">
        <v>44316</v>
      </c>
      <c r="C271" s="1" t="n">
        <v>45852</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20599-2021</t>
        </is>
      </c>
      <c r="B272" s="1" t="n">
        <v>44316</v>
      </c>
      <c r="C272" s="1" t="n">
        <v>45852</v>
      </c>
      <c r="D272" t="inlineStr">
        <is>
          <t>DALARNAS LÄN</t>
        </is>
      </c>
      <c r="E272" t="inlineStr">
        <is>
          <t>LUDVIKA</t>
        </is>
      </c>
      <c r="F272" t="inlineStr">
        <is>
          <t>Naturvårdsverket</t>
        </is>
      </c>
      <c r="G272" t="n">
        <v>1.2</v>
      </c>
      <c r="H272" t="n">
        <v>0</v>
      </c>
      <c r="I272" t="n">
        <v>0</v>
      </c>
      <c r="J272" t="n">
        <v>0</v>
      </c>
      <c r="K272" t="n">
        <v>0</v>
      </c>
      <c r="L272" t="n">
        <v>0</v>
      </c>
      <c r="M272" t="n">
        <v>0</v>
      </c>
      <c r="N272" t="n">
        <v>0</v>
      </c>
      <c r="O272" t="n">
        <v>0</v>
      </c>
      <c r="P272" t="n">
        <v>0</v>
      </c>
      <c r="Q272" t="n">
        <v>0</v>
      </c>
      <c r="R272" s="2" t="inlineStr"/>
    </row>
    <row r="273" ht="15" customHeight="1">
      <c r="A273" t="inlineStr">
        <is>
          <t>A 20690-2021</t>
        </is>
      </c>
      <c r="B273" s="1" t="n">
        <v>44316</v>
      </c>
      <c r="C273" s="1" t="n">
        <v>45852</v>
      </c>
      <c r="D273" t="inlineStr">
        <is>
          <t>DALARNAS LÄN</t>
        </is>
      </c>
      <c r="E273" t="inlineStr">
        <is>
          <t>LUDVIKA</t>
        </is>
      </c>
      <c r="F273" t="inlineStr">
        <is>
          <t>Naturvårdsverket</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20700-2021</t>
        </is>
      </c>
      <c r="B274" s="1" t="n">
        <v>44316</v>
      </c>
      <c r="C274" s="1" t="n">
        <v>45852</v>
      </c>
      <c r="D274" t="inlineStr">
        <is>
          <t>DALARNAS LÄN</t>
        </is>
      </c>
      <c r="E274" t="inlineStr">
        <is>
          <t>LUDVIKA</t>
        </is>
      </c>
      <c r="F274" t="inlineStr">
        <is>
          <t>Naturvårdsverket</t>
        </is>
      </c>
      <c r="G274" t="n">
        <v>2.5</v>
      </c>
      <c r="H274" t="n">
        <v>0</v>
      </c>
      <c r="I274" t="n">
        <v>0</v>
      </c>
      <c r="J274" t="n">
        <v>0</v>
      </c>
      <c r="K274" t="n">
        <v>0</v>
      </c>
      <c r="L274" t="n">
        <v>0</v>
      </c>
      <c r="M274" t="n">
        <v>0</v>
      </c>
      <c r="N274" t="n">
        <v>0</v>
      </c>
      <c r="O274" t="n">
        <v>0</v>
      </c>
      <c r="P274" t="n">
        <v>0</v>
      </c>
      <c r="Q274" t="n">
        <v>0</v>
      </c>
      <c r="R274" s="2" t="inlineStr"/>
    </row>
    <row r="275" ht="15" customHeight="1">
      <c r="A275" t="inlineStr">
        <is>
          <t>A 20596-2021</t>
        </is>
      </c>
      <c r="B275" s="1" t="n">
        <v>44316</v>
      </c>
      <c r="C275" s="1" t="n">
        <v>45852</v>
      </c>
      <c r="D275" t="inlineStr">
        <is>
          <t>DALARNAS LÄN</t>
        </is>
      </c>
      <c r="E275" t="inlineStr">
        <is>
          <t>LUDVIKA</t>
        </is>
      </c>
      <c r="F275" t="inlineStr">
        <is>
          <t>Naturvårdsverket</t>
        </is>
      </c>
      <c r="G275" t="n">
        <v>2.3</v>
      </c>
      <c r="H275" t="n">
        <v>0</v>
      </c>
      <c r="I275" t="n">
        <v>0</v>
      </c>
      <c r="J275" t="n">
        <v>0</v>
      </c>
      <c r="K275" t="n">
        <v>0</v>
      </c>
      <c r="L275" t="n">
        <v>0</v>
      </c>
      <c r="M275" t="n">
        <v>0</v>
      </c>
      <c r="N275" t="n">
        <v>0</v>
      </c>
      <c r="O275" t="n">
        <v>0</v>
      </c>
      <c r="P275" t="n">
        <v>0</v>
      </c>
      <c r="Q275" t="n">
        <v>0</v>
      </c>
      <c r="R275" s="2" t="inlineStr"/>
    </row>
    <row r="276" ht="15" customHeight="1">
      <c r="A276" t="inlineStr">
        <is>
          <t>A 21712-2021</t>
        </is>
      </c>
      <c r="B276" s="1" t="n">
        <v>44322</v>
      </c>
      <c r="C276" s="1" t="n">
        <v>45852</v>
      </c>
      <c r="D276" t="inlineStr">
        <is>
          <t>DALARNAS LÄN</t>
        </is>
      </c>
      <c r="E276" t="inlineStr">
        <is>
          <t>LUDVIKA</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21716-2021</t>
        </is>
      </c>
      <c r="B277" s="1" t="n">
        <v>44322</v>
      </c>
      <c r="C277" s="1" t="n">
        <v>45852</v>
      </c>
      <c r="D277" t="inlineStr">
        <is>
          <t>DALARNAS LÄN</t>
        </is>
      </c>
      <c r="E277" t="inlineStr">
        <is>
          <t>LUDVIKA</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21887-2021</t>
        </is>
      </c>
      <c r="B278" s="1" t="n">
        <v>44322</v>
      </c>
      <c r="C278" s="1" t="n">
        <v>45852</v>
      </c>
      <c r="D278" t="inlineStr">
        <is>
          <t>DALARNAS LÄN</t>
        </is>
      </c>
      <c r="E278" t="inlineStr">
        <is>
          <t>LUDVIKA</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23101-2021</t>
        </is>
      </c>
      <c r="B279" s="1" t="n">
        <v>44330</v>
      </c>
      <c r="C279" s="1" t="n">
        <v>45852</v>
      </c>
      <c r="D279" t="inlineStr">
        <is>
          <t>DALARNAS LÄN</t>
        </is>
      </c>
      <c r="E279" t="inlineStr">
        <is>
          <t>LUDVIKA</t>
        </is>
      </c>
      <c r="F279" t="inlineStr">
        <is>
          <t>Bergvik skog väst AB</t>
        </is>
      </c>
      <c r="G279" t="n">
        <v>4.6</v>
      </c>
      <c r="H279" t="n">
        <v>0</v>
      </c>
      <c r="I279" t="n">
        <v>0</v>
      </c>
      <c r="J279" t="n">
        <v>0</v>
      </c>
      <c r="K279" t="n">
        <v>0</v>
      </c>
      <c r="L279" t="n">
        <v>0</v>
      </c>
      <c r="M279" t="n">
        <v>0</v>
      </c>
      <c r="N279" t="n">
        <v>0</v>
      </c>
      <c r="O279" t="n">
        <v>0</v>
      </c>
      <c r="P279" t="n">
        <v>0</v>
      </c>
      <c r="Q279" t="n">
        <v>0</v>
      </c>
      <c r="R279" s="2" t="inlineStr"/>
    </row>
    <row r="280" ht="15" customHeight="1">
      <c r="A280" t="inlineStr">
        <is>
          <t>A 23245-2021</t>
        </is>
      </c>
      <c r="B280" s="1" t="n">
        <v>44333</v>
      </c>
      <c r="C280" s="1" t="n">
        <v>45852</v>
      </c>
      <c r="D280" t="inlineStr">
        <is>
          <t>DALARNAS LÄN</t>
        </is>
      </c>
      <c r="E280" t="inlineStr">
        <is>
          <t>LUDVIKA</t>
        </is>
      </c>
      <c r="F280" t="inlineStr">
        <is>
          <t>Kyrkan</t>
        </is>
      </c>
      <c r="G280" t="n">
        <v>3.2</v>
      </c>
      <c r="H280" t="n">
        <v>0</v>
      </c>
      <c r="I280" t="n">
        <v>0</v>
      </c>
      <c r="J280" t="n">
        <v>0</v>
      </c>
      <c r="K280" t="n">
        <v>0</v>
      </c>
      <c r="L280" t="n">
        <v>0</v>
      </c>
      <c r="M280" t="n">
        <v>0</v>
      </c>
      <c r="N280" t="n">
        <v>0</v>
      </c>
      <c r="O280" t="n">
        <v>0</v>
      </c>
      <c r="P280" t="n">
        <v>0</v>
      </c>
      <c r="Q280" t="n">
        <v>0</v>
      </c>
      <c r="R280" s="2" t="inlineStr"/>
    </row>
    <row r="281" ht="15" customHeight="1">
      <c r="A281" t="inlineStr">
        <is>
          <t>A 23271-2021</t>
        </is>
      </c>
      <c r="B281" s="1" t="n">
        <v>44333</v>
      </c>
      <c r="C281" s="1" t="n">
        <v>45852</v>
      </c>
      <c r="D281" t="inlineStr">
        <is>
          <t>DALARNAS LÄN</t>
        </is>
      </c>
      <c r="E281" t="inlineStr">
        <is>
          <t>LUDVIKA</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24033-2021</t>
        </is>
      </c>
      <c r="B282" s="1" t="n">
        <v>44336</v>
      </c>
      <c r="C282" s="1" t="n">
        <v>45852</v>
      </c>
      <c r="D282" t="inlineStr">
        <is>
          <t>DALARNAS LÄN</t>
        </is>
      </c>
      <c r="E282" t="inlineStr">
        <is>
          <t>LUDVIKA</t>
        </is>
      </c>
      <c r="F282" t="inlineStr">
        <is>
          <t>Allmännings- och besparingsskogar</t>
        </is>
      </c>
      <c r="G282" t="n">
        <v>0.9</v>
      </c>
      <c r="H282" t="n">
        <v>0</v>
      </c>
      <c r="I282" t="n">
        <v>0</v>
      </c>
      <c r="J282" t="n">
        <v>0</v>
      </c>
      <c r="K282" t="n">
        <v>0</v>
      </c>
      <c r="L282" t="n">
        <v>0</v>
      </c>
      <c r="M282" t="n">
        <v>0</v>
      </c>
      <c r="N282" t="n">
        <v>0</v>
      </c>
      <c r="O282" t="n">
        <v>0</v>
      </c>
      <c r="P282" t="n">
        <v>0</v>
      </c>
      <c r="Q282" t="n">
        <v>0</v>
      </c>
      <c r="R282" s="2" t="inlineStr"/>
    </row>
    <row r="283" ht="15" customHeight="1">
      <c r="A283" t="inlineStr">
        <is>
          <t>A 24080-2021</t>
        </is>
      </c>
      <c r="B283" s="1" t="n">
        <v>44336</v>
      </c>
      <c r="C283" s="1" t="n">
        <v>45852</v>
      </c>
      <c r="D283" t="inlineStr">
        <is>
          <t>DALARNAS LÄN</t>
        </is>
      </c>
      <c r="E283" t="inlineStr">
        <is>
          <t>LUDVIKA</t>
        </is>
      </c>
      <c r="G283" t="n">
        <v>0.7</v>
      </c>
      <c r="H283" t="n">
        <v>0</v>
      </c>
      <c r="I283" t="n">
        <v>0</v>
      </c>
      <c r="J283" t="n">
        <v>0</v>
      </c>
      <c r="K283" t="n">
        <v>0</v>
      </c>
      <c r="L283" t="n">
        <v>0</v>
      </c>
      <c r="M283" t="n">
        <v>0</v>
      </c>
      <c r="N283" t="n">
        <v>0</v>
      </c>
      <c r="O283" t="n">
        <v>0</v>
      </c>
      <c r="P283" t="n">
        <v>0</v>
      </c>
      <c r="Q283" t="n">
        <v>0</v>
      </c>
      <c r="R283" s="2" t="inlineStr"/>
    </row>
    <row r="284" ht="15" customHeight="1">
      <c r="A284" t="inlineStr">
        <is>
          <t>A 24469-2021</t>
        </is>
      </c>
      <c r="B284" s="1" t="n">
        <v>44337</v>
      </c>
      <c r="C284" s="1" t="n">
        <v>45852</v>
      </c>
      <c r="D284" t="inlineStr">
        <is>
          <t>DALARNAS LÄN</t>
        </is>
      </c>
      <c r="E284" t="inlineStr">
        <is>
          <t>LUDVIKA</t>
        </is>
      </c>
      <c r="F284" t="inlineStr">
        <is>
          <t>Bergvik skog väst AB</t>
        </is>
      </c>
      <c r="G284" t="n">
        <v>6.9</v>
      </c>
      <c r="H284" t="n">
        <v>0</v>
      </c>
      <c r="I284" t="n">
        <v>0</v>
      </c>
      <c r="J284" t="n">
        <v>0</v>
      </c>
      <c r="K284" t="n">
        <v>0</v>
      </c>
      <c r="L284" t="n">
        <v>0</v>
      </c>
      <c r="M284" t="n">
        <v>0</v>
      </c>
      <c r="N284" t="n">
        <v>0</v>
      </c>
      <c r="O284" t="n">
        <v>0</v>
      </c>
      <c r="P284" t="n">
        <v>0</v>
      </c>
      <c r="Q284" t="n">
        <v>0</v>
      </c>
      <c r="R284" s="2" t="inlineStr"/>
    </row>
    <row r="285" ht="15" customHeight="1">
      <c r="A285" t="inlineStr">
        <is>
          <t>A 24906-2021</t>
        </is>
      </c>
      <c r="B285" s="1" t="n">
        <v>44341</v>
      </c>
      <c r="C285" s="1" t="n">
        <v>45852</v>
      </c>
      <c r="D285" t="inlineStr">
        <is>
          <t>DALARNAS LÄN</t>
        </is>
      </c>
      <c r="E285" t="inlineStr">
        <is>
          <t>LUDVIKA</t>
        </is>
      </c>
      <c r="F285" t="inlineStr">
        <is>
          <t>Bergvik skog väst AB</t>
        </is>
      </c>
      <c r="G285" t="n">
        <v>5.6</v>
      </c>
      <c r="H285" t="n">
        <v>0</v>
      </c>
      <c r="I285" t="n">
        <v>0</v>
      </c>
      <c r="J285" t="n">
        <v>0</v>
      </c>
      <c r="K285" t="n">
        <v>0</v>
      </c>
      <c r="L285" t="n">
        <v>0</v>
      </c>
      <c r="M285" t="n">
        <v>0</v>
      </c>
      <c r="N285" t="n">
        <v>0</v>
      </c>
      <c r="O285" t="n">
        <v>0</v>
      </c>
      <c r="P285" t="n">
        <v>0</v>
      </c>
      <c r="Q285" t="n">
        <v>0</v>
      </c>
      <c r="R285" s="2" t="inlineStr"/>
    </row>
    <row r="286" ht="15" customHeight="1">
      <c r="A286" t="inlineStr">
        <is>
          <t>A 26066-2021</t>
        </is>
      </c>
      <c r="B286" s="1" t="n">
        <v>44344</v>
      </c>
      <c r="C286" s="1" t="n">
        <v>45852</v>
      </c>
      <c r="D286" t="inlineStr">
        <is>
          <t>DALARNAS LÄN</t>
        </is>
      </c>
      <c r="E286" t="inlineStr">
        <is>
          <t>LUDVIKA</t>
        </is>
      </c>
      <c r="F286" t="inlineStr">
        <is>
          <t>Bergvik skog väst AB</t>
        </is>
      </c>
      <c r="G286" t="n">
        <v>0.7</v>
      </c>
      <c r="H286" t="n">
        <v>0</v>
      </c>
      <c r="I286" t="n">
        <v>0</v>
      </c>
      <c r="J286" t="n">
        <v>0</v>
      </c>
      <c r="K286" t="n">
        <v>0</v>
      </c>
      <c r="L286" t="n">
        <v>0</v>
      </c>
      <c r="M286" t="n">
        <v>0</v>
      </c>
      <c r="N286" t="n">
        <v>0</v>
      </c>
      <c r="O286" t="n">
        <v>0</v>
      </c>
      <c r="P286" t="n">
        <v>0</v>
      </c>
      <c r="Q286" t="n">
        <v>0</v>
      </c>
      <c r="R286" s="2" t="inlineStr"/>
    </row>
    <row r="287" ht="15" customHeight="1">
      <c r="A287" t="inlineStr">
        <is>
          <t>A 26054-2021</t>
        </is>
      </c>
      <c r="B287" s="1" t="n">
        <v>44344</v>
      </c>
      <c r="C287" s="1" t="n">
        <v>45852</v>
      </c>
      <c r="D287" t="inlineStr">
        <is>
          <t>DALARNAS LÄN</t>
        </is>
      </c>
      <c r="E287" t="inlineStr">
        <is>
          <t>LUDVIKA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29000-2021</t>
        </is>
      </c>
      <c r="B288" s="1" t="n">
        <v>44358</v>
      </c>
      <c r="C288" s="1" t="n">
        <v>45852</v>
      </c>
      <c r="D288" t="inlineStr">
        <is>
          <t>DALARNAS LÄN</t>
        </is>
      </c>
      <c r="E288" t="inlineStr">
        <is>
          <t>LUDVIKA</t>
        </is>
      </c>
      <c r="F288" t="inlineStr">
        <is>
          <t>Bergvik skog väst AB</t>
        </is>
      </c>
      <c r="G288" t="n">
        <v>0.5</v>
      </c>
      <c r="H288" t="n">
        <v>0</v>
      </c>
      <c r="I288" t="n">
        <v>0</v>
      </c>
      <c r="J288" t="n">
        <v>0</v>
      </c>
      <c r="K288" t="n">
        <v>0</v>
      </c>
      <c r="L288" t="n">
        <v>0</v>
      </c>
      <c r="M288" t="n">
        <v>0</v>
      </c>
      <c r="N288" t="n">
        <v>0</v>
      </c>
      <c r="O288" t="n">
        <v>0</v>
      </c>
      <c r="P288" t="n">
        <v>0</v>
      </c>
      <c r="Q288" t="n">
        <v>0</v>
      </c>
      <c r="R288" s="2" t="inlineStr"/>
    </row>
    <row r="289" ht="15" customHeight="1">
      <c r="A289" t="inlineStr">
        <is>
          <t>A 29789-2021</t>
        </is>
      </c>
      <c r="B289" s="1" t="n">
        <v>44362</v>
      </c>
      <c r="C289" s="1" t="n">
        <v>45852</v>
      </c>
      <c r="D289" t="inlineStr">
        <is>
          <t>DALARNAS LÄN</t>
        </is>
      </c>
      <c r="E289" t="inlineStr">
        <is>
          <t>LUDVIKA</t>
        </is>
      </c>
      <c r="F289" t="inlineStr">
        <is>
          <t>Övriga Aktiebolag</t>
        </is>
      </c>
      <c r="G289" t="n">
        <v>0.9</v>
      </c>
      <c r="H289" t="n">
        <v>0</v>
      </c>
      <c r="I289" t="n">
        <v>0</v>
      </c>
      <c r="J289" t="n">
        <v>0</v>
      </c>
      <c r="K289" t="n">
        <v>0</v>
      </c>
      <c r="L289" t="n">
        <v>0</v>
      </c>
      <c r="M289" t="n">
        <v>0</v>
      </c>
      <c r="N289" t="n">
        <v>0</v>
      </c>
      <c r="O289" t="n">
        <v>0</v>
      </c>
      <c r="P289" t="n">
        <v>0</v>
      </c>
      <c r="Q289" t="n">
        <v>0</v>
      </c>
      <c r="R289" s="2" t="inlineStr"/>
    </row>
    <row r="290" ht="15" customHeight="1">
      <c r="A290" t="inlineStr">
        <is>
          <t>A 30502-2021</t>
        </is>
      </c>
      <c r="B290" s="1" t="n">
        <v>44364</v>
      </c>
      <c r="C290" s="1" t="n">
        <v>45852</v>
      </c>
      <c r="D290" t="inlineStr">
        <is>
          <t>DALARNAS LÄN</t>
        </is>
      </c>
      <c r="E290" t="inlineStr">
        <is>
          <t>LUDVIKA</t>
        </is>
      </c>
      <c r="F290" t="inlineStr">
        <is>
          <t>Bergvik skog väst AB</t>
        </is>
      </c>
      <c r="G290" t="n">
        <v>0.9</v>
      </c>
      <c r="H290" t="n">
        <v>0</v>
      </c>
      <c r="I290" t="n">
        <v>0</v>
      </c>
      <c r="J290" t="n">
        <v>0</v>
      </c>
      <c r="K290" t="n">
        <v>0</v>
      </c>
      <c r="L290" t="n">
        <v>0</v>
      </c>
      <c r="M290" t="n">
        <v>0</v>
      </c>
      <c r="N290" t="n">
        <v>0</v>
      </c>
      <c r="O290" t="n">
        <v>0</v>
      </c>
      <c r="P290" t="n">
        <v>0</v>
      </c>
      <c r="Q290" t="n">
        <v>0</v>
      </c>
      <c r="R290" s="2" t="inlineStr"/>
    </row>
    <row r="291" ht="15" customHeight="1">
      <c r="A291" t="inlineStr">
        <is>
          <t>A 31086-2021</t>
        </is>
      </c>
      <c r="B291" s="1" t="n">
        <v>44368</v>
      </c>
      <c r="C291" s="1" t="n">
        <v>45852</v>
      </c>
      <c r="D291" t="inlineStr">
        <is>
          <t>DALARNAS LÄN</t>
        </is>
      </c>
      <c r="E291" t="inlineStr">
        <is>
          <t>LUDVIKA</t>
        </is>
      </c>
      <c r="G291" t="n">
        <v>0.8</v>
      </c>
      <c r="H291" t="n">
        <v>0</v>
      </c>
      <c r="I291" t="n">
        <v>0</v>
      </c>
      <c r="J291" t="n">
        <v>0</v>
      </c>
      <c r="K291" t="n">
        <v>0</v>
      </c>
      <c r="L291" t="n">
        <v>0</v>
      </c>
      <c r="M291" t="n">
        <v>0</v>
      </c>
      <c r="N291" t="n">
        <v>0</v>
      </c>
      <c r="O291" t="n">
        <v>0</v>
      </c>
      <c r="P291" t="n">
        <v>0</v>
      </c>
      <c r="Q291" t="n">
        <v>0</v>
      </c>
      <c r="R291" s="2" t="inlineStr"/>
    </row>
    <row r="292" ht="15" customHeight="1">
      <c r="A292" t="inlineStr">
        <is>
          <t>A 31465-2021</t>
        </is>
      </c>
      <c r="B292" s="1" t="n">
        <v>44369</v>
      </c>
      <c r="C292" s="1" t="n">
        <v>45852</v>
      </c>
      <c r="D292" t="inlineStr">
        <is>
          <t>DALARNAS LÄN</t>
        </is>
      </c>
      <c r="E292" t="inlineStr">
        <is>
          <t>LUDVIKA</t>
        </is>
      </c>
      <c r="F292" t="inlineStr">
        <is>
          <t>Naturvårdsverket</t>
        </is>
      </c>
      <c r="G292" t="n">
        <v>2.4</v>
      </c>
      <c r="H292" t="n">
        <v>0</v>
      </c>
      <c r="I292" t="n">
        <v>0</v>
      </c>
      <c r="J292" t="n">
        <v>0</v>
      </c>
      <c r="K292" t="n">
        <v>0</v>
      </c>
      <c r="L292" t="n">
        <v>0</v>
      </c>
      <c r="M292" t="n">
        <v>0</v>
      </c>
      <c r="N292" t="n">
        <v>0</v>
      </c>
      <c r="O292" t="n">
        <v>0</v>
      </c>
      <c r="P292" t="n">
        <v>0</v>
      </c>
      <c r="Q292" t="n">
        <v>0</v>
      </c>
      <c r="R292" s="2" t="inlineStr"/>
    </row>
    <row r="293" ht="15" customHeight="1">
      <c r="A293" t="inlineStr">
        <is>
          <t>A 31550-2021</t>
        </is>
      </c>
      <c r="B293" s="1" t="n">
        <v>44369</v>
      </c>
      <c r="C293" s="1" t="n">
        <v>45852</v>
      </c>
      <c r="D293" t="inlineStr">
        <is>
          <t>DALARNAS LÄN</t>
        </is>
      </c>
      <c r="E293" t="inlineStr">
        <is>
          <t>LUDVIKA</t>
        </is>
      </c>
      <c r="G293" t="n">
        <v>2.8</v>
      </c>
      <c r="H293" t="n">
        <v>0</v>
      </c>
      <c r="I293" t="n">
        <v>0</v>
      </c>
      <c r="J293" t="n">
        <v>0</v>
      </c>
      <c r="K293" t="n">
        <v>0</v>
      </c>
      <c r="L293" t="n">
        <v>0</v>
      </c>
      <c r="M293" t="n">
        <v>0</v>
      </c>
      <c r="N293" t="n">
        <v>0</v>
      </c>
      <c r="O293" t="n">
        <v>0</v>
      </c>
      <c r="P293" t="n">
        <v>0</v>
      </c>
      <c r="Q293" t="n">
        <v>0</v>
      </c>
      <c r="R293" s="2" t="inlineStr"/>
    </row>
    <row r="294" ht="15" customHeight="1">
      <c r="A294" t="inlineStr">
        <is>
          <t>A 31921-2021</t>
        </is>
      </c>
      <c r="B294" s="1" t="n">
        <v>44370</v>
      </c>
      <c r="C294" s="1" t="n">
        <v>45852</v>
      </c>
      <c r="D294" t="inlineStr">
        <is>
          <t>DALARNAS LÄN</t>
        </is>
      </c>
      <c r="E294" t="inlineStr">
        <is>
          <t>LUDVIKA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31925-2021</t>
        </is>
      </c>
      <c r="B295" s="1" t="n">
        <v>44370</v>
      </c>
      <c r="C295" s="1" t="n">
        <v>45852</v>
      </c>
      <c r="D295" t="inlineStr">
        <is>
          <t>DALARNAS LÄN</t>
        </is>
      </c>
      <c r="E295" t="inlineStr">
        <is>
          <t>LUDVIKA</t>
        </is>
      </c>
      <c r="F295" t="inlineStr">
        <is>
          <t>Övriga Aktiebolag</t>
        </is>
      </c>
      <c r="G295" t="n">
        <v>3.2</v>
      </c>
      <c r="H295" t="n">
        <v>0</v>
      </c>
      <c r="I295" t="n">
        <v>0</v>
      </c>
      <c r="J295" t="n">
        <v>0</v>
      </c>
      <c r="K295" t="n">
        <v>0</v>
      </c>
      <c r="L295" t="n">
        <v>0</v>
      </c>
      <c r="M295" t="n">
        <v>0</v>
      </c>
      <c r="N295" t="n">
        <v>0</v>
      </c>
      <c r="O295" t="n">
        <v>0</v>
      </c>
      <c r="P295" t="n">
        <v>0</v>
      </c>
      <c r="Q295" t="n">
        <v>0</v>
      </c>
      <c r="R295" s="2" t="inlineStr"/>
    </row>
    <row r="296" ht="15" customHeight="1">
      <c r="A296" t="inlineStr">
        <is>
          <t>A 32015-2021</t>
        </is>
      </c>
      <c r="B296" s="1" t="n">
        <v>44370</v>
      </c>
      <c r="C296" s="1" t="n">
        <v>45852</v>
      </c>
      <c r="D296" t="inlineStr">
        <is>
          <t>DALARNAS LÄN</t>
        </is>
      </c>
      <c r="E296" t="inlineStr">
        <is>
          <t>LUDVIKA</t>
        </is>
      </c>
      <c r="G296" t="n">
        <v>1.6</v>
      </c>
      <c r="H296" t="n">
        <v>0</v>
      </c>
      <c r="I296" t="n">
        <v>0</v>
      </c>
      <c r="J296" t="n">
        <v>0</v>
      </c>
      <c r="K296" t="n">
        <v>0</v>
      </c>
      <c r="L296" t="n">
        <v>0</v>
      </c>
      <c r="M296" t="n">
        <v>0</v>
      </c>
      <c r="N296" t="n">
        <v>0</v>
      </c>
      <c r="O296" t="n">
        <v>0</v>
      </c>
      <c r="P296" t="n">
        <v>0</v>
      </c>
      <c r="Q296" t="n">
        <v>0</v>
      </c>
      <c r="R296" s="2" t="inlineStr"/>
    </row>
    <row r="297" ht="15" customHeight="1">
      <c r="A297" t="inlineStr">
        <is>
          <t>A 32054-2021</t>
        </is>
      </c>
      <c r="B297" s="1" t="n">
        <v>44370</v>
      </c>
      <c r="C297" s="1" t="n">
        <v>45852</v>
      </c>
      <c r="D297" t="inlineStr">
        <is>
          <t>DALARNAS LÄN</t>
        </is>
      </c>
      <c r="E297" t="inlineStr">
        <is>
          <t>LUDVIKA</t>
        </is>
      </c>
      <c r="G297" t="n">
        <v>28.7</v>
      </c>
      <c r="H297" t="n">
        <v>0</v>
      </c>
      <c r="I297" t="n">
        <v>0</v>
      </c>
      <c r="J297" t="n">
        <v>0</v>
      </c>
      <c r="K297" t="n">
        <v>0</v>
      </c>
      <c r="L297" t="n">
        <v>0</v>
      </c>
      <c r="M297" t="n">
        <v>0</v>
      </c>
      <c r="N297" t="n">
        <v>0</v>
      </c>
      <c r="O297" t="n">
        <v>0</v>
      </c>
      <c r="P297" t="n">
        <v>0</v>
      </c>
      <c r="Q297" t="n">
        <v>0</v>
      </c>
      <c r="R297" s="2" t="inlineStr"/>
    </row>
    <row r="298" ht="15" customHeight="1">
      <c r="A298" t="inlineStr">
        <is>
          <t>A 33032-2021</t>
        </is>
      </c>
      <c r="B298" s="1" t="n">
        <v>44376</v>
      </c>
      <c r="C298" s="1" t="n">
        <v>45852</v>
      </c>
      <c r="D298" t="inlineStr">
        <is>
          <t>DALARNAS LÄN</t>
        </is>
      </c>
      <c r="E298" t="inlineStr">
        <is>
          <t>LUDVIKA</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33416-2021</t>
        </is>
      </c>
      <c r="B299" s="1" t="n">
        <v>44377</v>
      </c>
      <c r="C299" s="1" t="n">
        <v>45852</v>
      </c>
      <c r="D299" t="inlineStr">
        <is>
          <t>DALARNAS LÄN</t>
        </is>
      </c>
      <c r="E299" t="inlineStr">
        <is>
          <t>LUDVIKA</t>
        </is>
      </c>
      <c r="F299" t="inlineStr">
        <is>
          <t>Bergvik skog väst AB</t>
        </is>
      </c>
      <c r="G299" t="n">
        <v>8</v>
      </c>
      <c r="H299" t="n">
        <v>0</v>
      </c>
      <c r="I299" t="n">
        <v>0</v>
      </c>
      <c r="J299" t="n">
        <v>0</v>
      </c>
      <c r="K299" t="n">
        <v>0</v>
      </c>
      <c r="L299" t="n">
        <v>0</v>
      </c>
      <c r="M299" t="n">
        <v>0</v>
      </c>
      <c r="N299" t="n">
        <v>0</v>
      </c>
      <c r="O299" t="n">
        <v>0</v>
      </c>
      <c r="P299" t="n">
        <v>0</v>
      </c>
      <c r="Q299" t="n">
        <v>0</v>
      </c>
      <c r="R299" s="2" t="inlineStr"/>
    </row>
    <row r="300" ht="15" customHeight="1">
      <c r="A300" t="inlineStr">
        <is>
          <t>A 33505-2021</t>
        </is>
      </c>
      <c r="B300" s="1" t="n">
        <v>44377</v>
      </c>
      <c r="C300" s="1" t="n">
        <v>45852</v>
      </c>
      <c r="D300" t="inlineStr">
        <is>
          <t>DALARNAS LÄN</t>
        </is>
      </c>
      <c r="E300" t="inlineStr">
        <is>
          <t>LUDVIKA</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35731-2021</t>
        </is>
      </c>
      <c r="B301" s="1" t="n">
        <v>44386</v>
      </c>
      <c r="C301" s="1" t="n">
        <v>45852</v>
      </c>
      <c r="D301" t="inlineStr">
        <is>
          <t>DALARNAS LÄN</t>
        </is>
      </c>
      <c r="E301" t="inlineStr">
        <is>
          <t>LUDVIKA</t>
        </is>
      </c>
      <c r="F301" t="inlineStr">
        <is>
          <t>Kyrkan</t>
        </is>
      </c>
      <c r="G301" t="n">
        <v>2.7</v>
      </c>
      <c r="H301" t="n">
        <v>0</v>
      </c>
      <c r="I301" t="n">
        <v>0</v>
      </c>
      <c r="J301" t="n">
        <v>0</v>
      </c>
      <c r="K301" t="n">
        <v>0</v>
      </c>
      <c r="L301" t="n">
        <v>0</v>
      </c>
      <c r="M301" t="n">
        <v>0</v>
      </c>
      <c r="N301" t="n">
        <v>0</v>
      </c>
      <c r="O301" t="n">
        <v>0</v>
      </c>
      <c r="P301" t="n">
        <v>0</v>
      </c>
      <c r="Q301" t="n">
        <v>0</v>
      </c>
      <c r="R301" s="2" t="inlineStr"/>
    </row>
    <row r="302" ht="15" customHeight="1">
      <c r="A302" t="inlineStr">
        <is>
          <t>A 35720-2021</t>
        </is>
      </c>
      <c r="B302" s="1" t="n">
        <v>44386</v>
      </c>
      <c r="C302" s="1" t="n">
        <v>45852</v>
      </c>
      <c r="D302" t="inlineStr">
        <is>
          <t>DALARNAS LÄN</t>
        </is>
      </c>
      <c r="E302" t="inlineStr">
        <is>
          <t>LUDVIKA</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35892-2021</t>
        </is>
      </c>
      <c r="B303" s="1" t="n">
        <v>44387</v>
      </c>
      <c r="C303" s="1" t="n">
        <v>45852</v>
      </c>
      <c r="D303" t="inlineStr">
        <is>
          <t>DALARNAS LÄN</t>
        </is>
      </c>
      <c r="E303" t="inlineStr">
        <is>
          <t>LUDVIKA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36862-2021</t>
        </is>
      </c>
      <c r="B304" s="1" t="n">
        <v>44393</v>
      </c>
      <c r="C304" s="1" t="n">
        <v>45852</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37384-2021</t>
        </is>
      </c>
      <c r="B305" s="1" t="n">
        <v>44397</v>
      </c>
      <c r="C305" s="1" t="n">
        <v>45852</v>
      </c>
      <c r="D305" t="inlineStr">
        <is>
          <t>DALARNAS LÄN</t>
        </is>
      </c>
      <c r="E305" t="inlineStr">
        <is>
          <t>LUDVIKA</t>
        </is>
      </c>
      <c r="F305" t="inlineStr">
        <is>
          <t>Kommuner</t>
        </is>
      </c>
      <c r="G305" t="n">
        <v>5.5</v>
      </c>
      <c r="H305" t="n">
        <v>0</v>
      </c>
      <c r="I305" t="n">
        <v>0</v>
      </c>
      <c r="J305" t="n">
        <v>0</v>
      </c>
      <c r="K305" t="n">
        <v>0</v>
      </c>
      <c r="L305" t="n">
        <v>0</v>
      </c>
      <c r="M305" t="n">
        <v>0</v>
      </c>
      <c r="N305" t="n">
        <v>0</v>
      </c>
      <c r="O305" t="n">
        <v>0</v>
      </c>
      <c r="P305" t="n">
        <v>0</v>
      </c>
      <c r="Q305" t="n">
        <v>0</v>
      </c>
      <c r="R305" s="2" t="inlineStr"/>
    </row>
    <row r="306" ht="15" customHeight="1">
      <c r="A306" t="inlineStr">
        <is>
          <t>A 38084-2021</t>
        </is>
      </c>
      <c r="B306" s="1" t="n">
        <v>44404</v>
      </c>
      <c r="C306" s="1" t="n">
        <v>45852</v>
      </c>
      <c r="D306" t="inlineStr">
        <is>
          <t>DALARNAS LÄN</t>
        </is>
      </c>
      <c r="E306" t="inlineStr">
        <is>
          <t>LUDVIKA</t>
        </is>
      </c>
      <c r="G306" t="n">
        <v>0.3</v>
      </c>
      <c r="H306" t="n">
        <v>0</v>
      </c>
      <c r="I306" t="n">
        <v>0</v>
      </c>
      <c r="J306" t="n">
        <v>0</v>
      </c>
      <c r="K306" t="n">
        <v>0</v>
      </c>
      <c r="L306" t="n">
        <v>0</v>
      </c>
      <c r="M306" t="n">
        <v>0</v>
      </c>
      <c r="N306" t="n">
        <v>0</v>
      </c>
      <c r="O306" t="n">
        <v>0</v>
      </c>
      <c r="P306" t="n">
        <v>0</v>
      </c>
      <c r="Q306" t="n">
        <v>0</v>
      </c>
      <c r="R306" s="2" t="inlineStr"/>
    </row>
    <row r="307" ht="15" customHeight="1">
      <c r="A307" t="inlineStr">
        <is>
          <t>A 38223-2021</t>
        </is>
      </c>
      <c r="B307" s="1" t="n">
        <v>44405</v>
      </c>
      <c r="C307" s="1" t="n">
        <v>45852</v>
      </c>
      <c r="D307" t="inlineStr">
        <is>
          <t>DALARNAS LÄN</t>
        </is>
      </c>
      <c r="E307" t="inlineStr">
        <is>
          <t>LUDVIKA</t>
        </is>
      </c>
      <c r="G307" t="n">
        <v>2.3</v>
      </c>
      <c r="H307" t="n">
        <v>0</v>
      </c>
      <c r="I307" t="n">
        <v>0</v>
      </c>
      <c r="J307" t="n">
        <v>0</v>
      </c>
      <c r="K307" t="n">
        <v>0</v>
      </c>
      <c r="L307" t="n">
        <v>0</v>
      </c>
      <c r="M307" t="n">
        <v>0</v>
      </c>
      <c r="N307" t="n">
        <v>0</v>
      </c>
      <c r="O307" t="n">
        <v>0</v>
      </c>
      <c r="P307" t="n">
        <v>0</v>
      </c>
      <c r="Q307" t="n">
        <v>0</v>
      </c>
      <c r="R307" s="2" t="inlineStr"/>
    </row>
    <row r="308" ht="15" customHeight="1">
      <c r="A308" t="inlineStr">
        <is>
          <t>A 38371-2021</t>
        </is>
      </c>
      <c r="B308" s="1" t="n">
        <v>44406</v>
      </c>
      <c r="C308" s="1" t="n">
        <v>45852</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39247-2021</t>
        </is>
      </c>
      <c r="B309" s="1" t="n">
        <v>44413</v>
      </c>
      <c r="C309" s="1" t="n">
        <v>45852</v>
      </c>
      <c r="D309" t="inlineStr">
        <is>
          <t>DALARNAS LÄN</t>
        </is>
      </c>
      <c r="E309" t="inlineStr">
        <is>
          <t>LUDVIKA</t>
        </is>
      </c>
      <c r="G309" t="n">
        <v>6</v>
      </c>
      <c r="H309" t="n">
        <v>0</v>
      </c>
      <c r="I309" t="n">
        <v>0</v>
      </c>
      <c r="J309" t="n">
        <v>0</v>
      </c>
      <c r="K309" t="n">
        <v>0</v>
      </c>
      <c r="L309" t="n">
        <v>0</v>
      </c>
      <c r="M309" t="n">
        <v>0</v>
      </c>
      <c r="N309" t="n">
        <v>0</v>
      </c>
      <c r="O309" t="n">
        <v>0</v>
      </c>
      <c r="P309" t="n">
        <v>0</v>
      </c>
      <c r="Q309" t="n">
        <v>0</v>
      </c>
      <c r="R309" s="2" t="inlineStr"/>
    </row>
    <row r="310" ht="15" customHeight="1">
      <c r="A310" t="inlineStr">
        <is>
          <t>A 40582-2021</t>
        </is>
      </c>
      <c r="B310" s="1" t="n">
        <v>44420</v>
      </c>
      <c r="C310" s="1" t="n">
        <v>45852</v>
      </c>
      <c r="D310" t="inlineStr">
        <is>
          <t>DALARNAS LÄN</t>
        </is>
      </c>
      <c r="E310" t="inlineStr">
        <is>
          <t>LUDVIKA</t>
        </is>
      </c>
      <c r="G310" t="n">
        <v>2.2</v>
      </c>
      <c r="H310" t="n">
        <v>0</v>
      </c>
      <c r="I310" t="n">
        <v>0</v>
      </c>
      <c r="J310" t="n">
        <v>0</v>
      </c>
      <c r="K310" t="n">
        <v>0</v>
      </c>
      <c r="L310" t="n">
        <v>0</v>
      </c>
      <c r="M310" t="n">
        <v>0</v>
      </c>
      <c r="N310" t="n">
        <v>0</v>
      </c>
      <c r="O310" t="n">
        <v>0</v>
      </c>
      <c r="P310" t="n">
        <v>0</v>
      </c>
      <c r="Q310" t="n">
        <v>0</v>
      </c>
      <c r="R310" s="2" t="inlineStr"/>
    </row>
    <row r="311" ht="15" customHeight="1">
      <c r="A311" t="inlineStr">
        <is>
          <t>A 43115-2021</t>
        </is>
      </c>
      <c r="B311" s="1" t="n">
        <v>44431</v>
      </c>
      <c r="C311" s="1" t="n">
        <v>45852</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43907-2021</t>
        </is>
      </c>
      <c r="B312" s="1" t="n">
        <v>44434</v>
      </c>
      <c r="C312" s="1" t="n">
        <v>45852</v>
      </c>
      <c r="D312" t="inlineStr">
        <is>
          <t>DALARNAS LÄN</t>
        </is>
      </c>
      <c r="E312" t="inlineStr">
        <is>
          <t>LUDVIKA</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44270-2021</t>
        </is>
      </c>
      <c r="B313" s="1" t="n">
        <v>44435</v>
      </c>
      <c r="C313" s="1" t="n">
        <v>45852</v>
      </c>
      <c r="D313" t="inlineStr">
        <is>
          <t>DALARNAS LÄN</t>
        </is>
      </c>
      <c r="E313" t="inlineStr">
        <is>
          <t>LUDVIKA</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44264-2021</t>
        </is>
      </c>
      <c r="B314" s="1" t="n">
        <v>44435</v>
      </c>
      <c r="C314" s="1" t="n">
        <v>45852</v>
      </c>
      <c r="D314" t="inlineStr">
        <is>
          <t>DALARNAS LÄN</t>
        </is>
      </c>
      <c r="E314" t="inlineStr">
        <is>
          <t>LUDVIKA</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45313-2021</t>
        </is>
      </c>
      <c r="B315" s="1" t="n">
        <v>44439</v>
      </c>
      <c r="C315" s="1" t="n">
        <v>45852</v>
      </c>
      <c r="D315" t="inlineStr">
        <is>
          <t>DALARNAS LÄN</t>
        </is>
      </c>
      <c r="E315" t="inlineStr">
        <is>
          <t>LUDVIKA</t>
        </is>
      </c>
      <c r="G315" t="n">
        <v>2.6</v>
      </c>
      <c r="H315" t="n">
        <v>0</v>
      </c>
      <c r="I315" t="n">
        <v>0</v>
      </c>
      <c r="J315" t="n">
        <v>0</v>
      </c>
      <c r="K315" t="n">
        <v>0</v>
      </c>
      <c r="L315" t="n">
        <v>0</v>
      </c>
      <c r="M315" t="n">
        <v>0</v>
      </c>
      <c r="N315" t="n">
        <v>0</v>
      </c>
      <c r="O315" t="n">
        <v>0</v>
      </c>
      <c r="P315" t="n">
        <v>0</v>
      </c>
      <c r="Q315" t="n">
        <v>0</v>
      </c>
      <c r="R315" s="2" t="inlineStr"/>
    </row>
    <row r="316" ht="15" customHeight="1">
      <c r="A316" t="inlineStr">
        <is>
          <t>A 45309-2021</t>
        </is>
      </c>
      <c r="B316" s="1" t="n">
        <v>44439</v>
      </c>
      <c r="C316" s="1" t="n">
        <v>45852</v>
      </c>
      <c r="D316" t="inlineStr">
        <is>
          <t>DALARNAS LÄN</t>
        </is>
      </c>
      <c r="E316" t="inlineStr">
        <is>
          <t>LUDVIKA</t>
        </is>
      </c>
      <c r="G316" t="n">
        <v>1.9</v>
      </c>
      <c r="H316" t="n">
        <v>0</v>
      </c>
      <c r="I316" t="n">
        <v>0</v>
      </c>
      <c r="J316" t="n">
        <v>0</v>
      </c>
      <c r="K316" t="n">
        <v>0</v>
      </c>
      <c r="L316" t="n">
        <v>0</v>
      </c>
      <c r="M316" t="n">
        <v>0</v>
      </c>
      <c r="N316" t="n">
        <v>0</v>
      </c>
      <c r="O316" t="n">
        <v>0</v>
      </c>
      <c r="P316" t="n">
        <v>0</v>
      </c>
      <c r="Q316" t="n">
        <v>0</v>
      </c>
      <c r="R316" s="2" t="inlineStr"/>
    </row>
    <row r="317" ht="15" customHeight="1">
      <c r="A317" t="inlineStr">
        <is>
          <t>A 47216-2021</t>
        </is>
      </c>
      <c r="B317" s="1" t="n">
        <v>44447</v>
      </c>
      <c r="C317" s="1" t="n">
        <v>45852</v>
      </c>
      <c r="D317" t="inlineStr">
        <is>
          <t>DALARNAS LÄN</t>
        </is>
      </c>
      <c r="E317" t="inlineStr">
        <is>
          <t>LUDVIKA</t>
        </is>
      </c>
      <c r="G317" t="n">
        <v>0.5</v>
      </c>
      <c r="H317" t="n">
        <v>0</v>
      </c>
      <c r="I317" t="n">
        <v>0</v>
      </c>
      <c r="J317" t="n">
        <v>0</v>
      </c>
      <c r="K317" t="n">
        <v>0</v>
      </c>
      <c r="L317" t="n">
        <v>0</v>
      </c>
      <c r="M317" t="n">
        <v>0</v>
      </c>
      <c r="N317" t="n">
        <v>0</v>
      </c>
      <c r="O317" t="n">
        <v>0</v>
      </c>
      <c r="P317" t="n">
        <v>0</v>
      </c>
      <c r="Q317" t="n">
        <v>0</v>
      </c>
      <c r="R317" s="2" t="inlineStr"/>
    </row>
    <row r="318" ht="15" customHeight="1">
      <c r="A318" t="inlineStr">
        <is>
          <t>A 48003-2021</t>
        </is>
      </c>
      <c r="B318" s="1" t="n">
        <v>44449</v>
      </c>
      <c r="C318" s="1" t="n">
        <v>45852</v>
      </c>
      <c r="D318" t="inlineStr">
        <is>
          <t>DALARNAS LÄN</t>
        </is>
      </c>
      <c r="E318" t="inlineStr">
        <is>
          <t>LUDVIKA</t>
        </is>
      </c>
      <c r="F318" t="inlineStr">
        <is>
          <t>Naturvårdsverket</t>
        </is>
      </c>
      <c r="G318" t="n">
        <v>0.8</v>
      </c>
      <c r="H318" t="n">
        <v>0</v>
      </c>
      <c r="I318" t="n">
        <v>0</v>
      </c>
      <c r="J318" t="n">
        <v>0</v>
      </c>
      <c r="K318" t="n">
        <v>0</v>
      </c>
      <c r="L318" t="n">
        <v>0</v>
      </c>
      <c r="M318" t="n">
        <v>0</v>
      </c>
      <c r="N318" t="n">
        <v>0</v>
      </c>
      <c r="O318" t="n">
        <v>0</v>
      </c>
      <c r="P318" t="n">
        <v>0</v>
      </c>
      <c r="Q318" t="n">
        <v>0</v>
      </c>
      <c r="R318" s="2" t="inlineStr"/>
    </row>
    <row r="319" ht="15" customHeight="1">
      <c r="A319" t="inlineStr">
        <is>
          <t>A 48580-2021</t>
        </is>
      </c>
      <c r="B319" s="1" t="n">
        <v>44452</v>
      </c>
      <c r="C319" s="1" t="n">
        <v>45852</v>
      </c>
      <c r="D319" t="inlineStr">
        <is>
          <t>DALARNAS LÄN</t>
        </is>
      </c>
      <c r="E319" t="inlineStr">
        <is>
          <t>LUDVIKA</t>
        </is>
      </c>
      <c r="G319" t="n">
        <v>1.3</v>
      </c>
      <c r="H319" t="n">
        <v>0</v>
      </c>
      <c r="I319" t="n">
        <v>0</v>
      </c>
      <c r="J319" t="n">
        <v>0</v>
      </c>
      <c r="K319" t="n">
        <v>0</v>
      </c>
      <c r="L319" t="n">
        <v>0</v>
      </c>
      <c r="M319" t="n">
        <v>0</v>
      </c>
      <c r="N319" t="n">
        <v>0</v>
      </c>
      <c r="O319" t="n">
        <v>0</v>
      </c>
      <c r="P319" t="n">
        <v>0</v>
      </c>
      <c r="Q319" t="n">
        <v>0</v>
      </c>
      <c r="R319" s="2" t="inlineStr"/>
    </row>
    <row r="320" ht="15" customHeight="1">
      <c r="A320" t="inlineStr">
        <is>
          <t>A 48942-2021</t>
        </is>
      </c>
      <c r="B320" s="1" t="n">
        <v>44453</v>
      </c>
      <c r="C320" s="1" t="n">
        <v>45852</v>
      </c>
      <c r="D320" t="inlineStr">
        <is>
          <t>DALARNAS LÄN</t>
        </is>
      </c>
      <c r="E320" t="inlineStr">
        <is>
          <t>LUDVIKA</t>
        </is>
      </c>
      <c r="F320" t="inlineStr">
        <is>
          <t>Naturvårdsverket</t>
        </is>
      </c>
      <c r="G320" t="n">
        <v>1.4</v>
      </c>
      <c r="H320" t="n">
        <v>0</v>
      </c>
      <c r="I320" t="n">
        <v>0</v>
      </c>
      <c r="J320" t="n">
        <v>0</v>
      </c>
      <c r="K320" t="n">
        <v>0</v>
      </c>
      <c r="L320" t="n">
        <v>0</v>
      </c>
      <c r="M320" t="n">
        <v>0</v>
      </c>
      <c r="N320" t="n">
        <v>0</v>
      </c>
      <c r="O320" t="n">
        <v>0</v>
      </c>
      <c r="P320" t="n">
        <v>0</v>
      </c>
      <c r="Q320" t="n">
        <v>0</v>
      </c>
      <c r="R320" s="2" t="inlineStr"/>
    </row>
    <row r="321" ht="15" customHeight="1">
      <c r="A321" t="inlineStr">
        <is>
          <t>A 50004-2021</t>
        </is>
      </c>
      <c r="B321" s="1" t="n">
        <v>44456</v>
      </c>
      <c r="C321" s="1" t="n">
        <v>45852</v>
      </c>
      <c r="D321" t="inlineStr">
        <is>
          <t>DALARNAS LÄN</t>
        </is>
      </c>
      <c r="E321" t="inlineStr">
        <is>
          <t>LUDVIKA</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49977-2021</t>
        </is>
      </c>
      <c r="B322" s="1" t="n">
        <v>44456</v>
      </c>
      <c r="C322" s="1" t="n">
        <v>45852</v>
      </c>
      <c r="D322" t="inlineStr">
        <is>
          <t>DALARNAS LÄN</t>
        </is>
      </c>
      <c r="E322" t="inlineStr">
        <is>
          <t>LUDVIKA</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50273-2021</t>
        </is>
      </c>
      <c r="B323" s="1" t="n">
        <v>44459</v>
      </c>
      <c r="C323" s="1" t="n">
        <v>45852</v>
      </c>
      <c r="D323" t="inlineStr">
        <is>
          <t>DALARNAS LÄN</t>
        </is>
      </c>
      <c r="E323" t="inlineStr">
        <is>
          <t>LUDVIKA</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50347-2021</t>
        </is>
      </c>
      <c r="B324" s="1" t="n">
        <v>44459</v>
      </c>
      <c r="C324" s="1" t="n">
        <v>45852</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50995-2021</t>
        </is>
      </c>
      <c r="B325" s="1" t="n">
        <v>44460</v>
      </c>
      <c r="C325" s="1" t="n">
        <v>45852</v>
      </c>
      <c r="D325" t="inlineStr">
        <is>
          <t>DALARNAS LÄN</t>
        </is>
      </c>
      <c r="E325" t="inlineStr">
        <is>
          <t>LUDVIKA</t>
        </is>
      </c>
      <c r="G325" t="n">
        <v>0.9</v>
      </c>
      <c r="H325" t="n">
        <v>0</v>
      </c>
      <c r="I325" t="n">
        <v>0</v>
      </c>
      <c r="J325" t="n">
        <v>0</v>
      </c>
      <c r="K325" t="n">
        <v>0</v>
      </c>
      <c r="L325" t="n">
        <v>0</v>
      </c>
      <c r="M325" t="n">
        <v>0</v>
      </c>
      <c r="N325" t="n">
        <v>0</v>
      </c>
      <c r="O325" t="n">
        <v>0</v>
      </c>
      <c r="P325" t="n">
        <v>0</v>
      </c>
      <c r="Q325" t="n">
        <v>0</v>
      </c>
      <c r="R325" s="2" t="inlineStr"/>
    </row>
    <row r="326" ht="15" customHeight="1">
      <c r="A326" t="inlineStr">
        <is>
          <t>A 51485-2021</t>
        </is>
      </c>
      <c r="B326" s="1" t="n">
        <v>44462</v>
      </c>
      <c r="C326" s="1" t="n">
        <v>45852</v>
      </c>
      <c r="D326" t="inlineStr">
        <is>
          <t>DALARNAS LÄN</t>
        </is>
      </c>
      <c r="E326" t="inlineStr">
        <is>
          <t>LUDVIKA</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54279-2021</t>
        </is>
      </c>
      <c r="B327" s="1" t="n">
        <v>44470</v>
      </c>
      <c r="C327" s="1" t="n">
        <v>45852</v>
      </c>
      <c r="D327" t="inlineStr">
        <is>
          <t>DALARNAS LÄN</t>
        </is>
      </c>
      <c r="E327" t="inlineStr">
        <is>
          <t>LUDVIKA</t>
        </is>
      </c>
      <c r="G327" t="n">
        <v>1.1</v>
      </c>
      <c r="H327" t="n">
        <v>0</v>
      </c>
      <c r="I327" t="n">
        <v>0</v>
      </c>
      <c r="J327" t="n">
        <v>0</v>
      </c>
      <c r="K327" t="n">
        <v>0</v>
      </c>
      <c r="L327" t="n">
        <v>0</v>
      </c>
      <c r="M327" t="n">
        <v>0</v>
      </c>
      <c r="N327" t="n">
        <v>0</v>
      </c>
      <c r="O327" t="n">
        <v>0</v>
      </c>
      <c r="P327" t="n">
        <v>0</v>
      </c>
      <c r="Q327" t="n">
        <v>0</v>
      </c>
      <c r="R327" s="2" t="inlineStr"/>
    </row>
    <row r="328" ht="15" customHeight="1">
      <c r="A328" t="inlineStr">
        <is>
          <t>A 55633-2021</t>
        </is>
      </c>
      <c r="B328" s="1" t="n">
        <v>44476</v>
      </c>
      <c r="C328" s="1" t="n">
        <v>45852</v>
      </c>
      <c r="D328" t="inlineStr">
        <is>
          <t>DALARNAS LÄN</t>
        </is>
      </c>
      <c r="E328" t="inlineStr">
        <is>
          <t>LUDVIKA</t>
        </is>
      </c>
      <c r="F328" t="inlineStr">
        <is>
          <t>Övriga Aktiebolag</t>
        </is>
      </c>
      <c r="G328" t="n">
        <v>1.4</v>
      </c>
      <c r="H328" t="n">
        <v>0</v>
      </c>
      <c r="I328" t="n">
        <v>0</v>
      </c>
      <c r="J328" t="n">
        <v>0</v>
      </c>
      <c r="K328" t="n">
        <v>0</v>
      </c>
      <c r="L328" t="n">
        <v>0</v>
      </c>
      <c r="M328" t="n">
        <v>0</v>
      </c>
      <c r="N328" t="n">
        <v>0</v>
      </c>
      <c r="O328" t="n">
        <v>0</v>
      </c>
      <c r="P328" t="n">
        <v>0</v>
      </c>
      <c r="Q328" t="n">
        <v>0</v>
      </c>
      <c r="R328" s="2" t="inlineStr"/>
    </row>
    <row r="329" ht="15" customHeight="1">
      <c r="A329" t="inlineStr">
        <is>
          <t>A 56113-2021</t>
        </is>
      </c>
      <c r="B329" s="1" t="n">
        <v>44477</v>
      </c>
      <c r="C329" s="1" t="n">
        <v>45852</v>
      </c>
      <c r="D329" t="inlineStr">
        <is>
          <t>DALARNAS LÄN</t>
        </is>
      </c>
      <c r="E329" t="inlineStr">
        <is>
          <t>LUDVIKA</t>
        </is>
      </c>
      <c r="F329" t="inlineStr">
        <is>
          <t>Bergvik skog väst AB</t>
        </is>
      </c>
      <c r="G329" t="n">
        <v>6.5</v>
      </c>
      <c r="H329" t="n">
        <v>0</v>
      </c>
      <c r="I329" t="n">
        <v>0</v>
      </c>
      <c r="J329" t="n">
        <v>0</v>
      </c>
      <c r="K329" t="n">
        <v>0</v>
      </c>
      <c r="L329" t="n">
        <v>0</v>
      </c>
      <c r="M329" t="n">
        <v>0</v>
      </c>
      <c r="N329" t="n">
        <v>0</v>
      </c>
      <c r="O329" t="n">
        <v>0</v>
      </c>
      <c r="P329" t="n">
        <v>0</v>
      </c>
      <c r="Q329" t="n">
        <v>0</v>
      </c>
      <c r="R329" s="2" t="inlineStr"/>
    </row>
    <row r="330" ht="15" customHeight="1">
      <c r="A330" t="inlineStr">
        <is>
          <t>A 56119-2021</t>
        </is>
      </c>
      <c r="B330" s="1" t="n">
        <v>44477</v>
      </c>
      <c r="C330" s="1" t="n">
        <v>45852</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56996-2021</t>
        </is>
      </c>
      <c r="B331" s="1" t="n">
        <v>44482</v>
      </c>
      <c r="C331" s="1" t="n">
        <v>45852</v>
      </c>
      <c r="D331" t="inlineStr">
        <is>
          <t>DALARNAS LÄN</t>
        </is>
      </c>
      <c r="E331" t="inlineStr">
        <is>
          <t>LUDVIKA</t>
        </is>
      </c>
      <c r="G331" t="n">
        <v>0.9</v>
      </c>
      <c r="H331" t="n">
        <v>0</v>
      </c>
      <c r="I331" t="n">
        <v>0</v>
      </c>
      <c r="J331" t="n">
        <v>0</v>
      </c>
      <c r="K331" t="n">
        <v>0</v>
      </c>
      <c r="L331" t="n">
        <v>0</v>
      </c>
      <c r="M331" t="n">
        <v>0</v>
      </c>
      <c r="N331" t="n">
        <v>0</v>
      </c>
      <c r="O331" t="n">
        <v>0</v>
      </c>
      <c r="P331" t="n">
        <v>0</v>
      </c>
      <c r="Q331" t="n">
        <v>0</v>
      </c>
      <c r="R331" s="2" t="inlineStr"/>
    </row>
    <row r="332" ht="15" customHeight="1">
      <c r="A332" t="inlineStr">
        <is>
          <t>A 57076-2021</t>
        </is>
      </c>
      <c r="B332" s="1" t="n">
        <v>44482</v>
      </c>
      <c r="C332" s="1" t="n">
        <v>45852</v>
      </c>
      <c r="D332" t="inlineStr">
        <is>
          <t>DALARNAS LÄN</t>
        </is>
      </c>
      <c r="E332" t="inlineStr">
        <is>
          <t>LUDVIKA</t>
        </is>
      </c>
      <c r="G332" t="n">
        <v>4.7</v>
      </c>
      <c r="H332" t="n">
        <v>0</v>
      </c>
      <c r="I332" t="n">
        <v>0</v>
      </c>
      <c r="J332" t="n">
        <v>0</v>
      </c>
      <c r="K332" t="n">
        <v>0</v>
      </c>
      <c r="L332" t="n">
        <v>0</v>
      </c>
      <c r="M332" t="n">
        <v>0</v>
      </c>
      <c r="N332" t="n">
        <v>0</v>
      </c>
      <c r="O332" t="n">
        <v>0</v>
      </c>
      <c r="P332" t="n">
        <v>0</v>
      </c>
      <c r="Q332" t="n">
        <v>0</v>
      </c>
      <c r="R332" s="2" t="inlineStr"/>
    </row>
    <row r="333" ht="15" customHeight="1">
      <c r="A333" t="inlineStr">
        <is>
          <t>A 57002-2021</t>
        </is>
      </c>
      <c r="B333" s="1" t="n">
        <v>44482</v>
      </c>
      <c r="C333" s="1" t="n">
        <v>45852</v>
      </c>
      <c r="D333" t="inlineStr">
        <is>
          <t>DALARNAS LÄN</t>
        </is>
      </c>
      <c r="E333" t="inlineStr">
        <is>
          <t>LUDVIKA</t>
        </is>
      </c>
      <c r="G333" t="n">
        <v>3.5</v>
      </c>
      <c r="H333" t="n">
        <v>0</v>
      </c>
      <c r="I333" t="n">
        <v>0</v>
      </c>
      <c r="J333" t="n">
        <v>0</v>
      </c>
      <c r="K333" t="n">
        <v>0</v>
      </c>
      <c r="L333" t="n">
        <v>0</v>
      </c>
      <c r="M333" t="n">
        <v>0</v>
      </c>
      <c r="N333" t="n">
        <v>0</v>
      </c>
      <c r="O333" t="n">
        <v>0</v>
      </c>
      <c r="P333" t="n">
        <v>0</v>
      </c>
      <c r="Q333" t="n">
        <v>0</v>
      </c>
      <c r="R333" s="2" t="inlineStr"/>
    </row>
    <row r="334" ht="15" customHeight="1">
      <c r="A334" t="inlineStr">
        <is>
          <t>A 62152-2021</t>
        </is>
      </c>
      <c r="B334" s="1" t="n">
        <v>44502</v>
      </c>
      <c r="C334" s="1" t="n">
        <v>45852</v>
      </c>
      <c r="D334" t="inlineStr">
        <is>
          <t>DALARNAS LÄN</t>
        </is>
      </c>
      <c r="E334" t="inlineStr">
        <is>
          <t>LUDVIKA</t>
        </is>
      </c>
      <c r="G334" t="n">
        <v>6.1</v>
      </c>
      <c r="H334" t="n">
        <v>0</v>
      </c>
      <c r="I334" t="n">
        <v>0</v>
      </c>
      <c r="J334" t="n">
        <v>0</v>
      </c>
      <c r="K334" t="n">
        <v>0</v>
      </c>
      <c r="L334" t="n">
        <v>0</v>
      </c>
      <c r="M334" t="n">
        <v>0</v>
      </c>
      <c r="N334" t="n">
        <v>0</v>
      </c>
      <c r="O334" t="n">
        <v>0</v>
      </c>
      <c r="P334" t="n">
        <v>0</v>
      </c>
      <c r="Q334" t="n">
        <v>0</v>
      </c>
      <c r="R334" s="2" t="inlineStr"/>
    </row>
    <row r="335" ht="15" customHeight="1">
      <c r="A335" t="inlineStr">
        <is>
          <t>A 62467-2021</t>
        </is>
      </c>
      <c r="B335" s="1" t="n">
        <v>44503</v>
      </c>
      <c r="C335" s="1" t="n">
        <v>45852</v>
      </c>
      <c r="D335" t="inlineStr">
        <is>
          <t>DALARNAS LÄN</t>
        </is>
      </c>
      <c r="E335" t="inlineStr">
        <is>
          <t>LUDVIKA</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63267-2021</t>
        </is>
      </c>
      <c r="B336" s="1" t="n">
        <v>44508</v>
      </c>
      <c r="C336" s="1" t="n">
        <v>45852</v>
      </c>
      <c r="D336" t="inlineStr">
        <is>
          <t>DALARNAS LÄN</t>
        </is>
      </c>
      <c r="E336" t="inlineStr">
        <is>
          <t>LUDVIKA</t>
        </is>
      </c>
      <c r="F336" t="inlineStr">
        <is>
          <t>Bergvik skog väst AB</t>
        </is>
      </c>
      <c r="G336" t="n">
        <v>0.2</v>
      </c>
      <c r="H336" t="n">
        <v>0</v>
      </c>
      <c r="I336" t="n">
        <v>0</v>
      </c>
      <c r="J336" t="n">
        <v>0</v>
      </c>
      <c r="K336" t="n">
        <v>0</v>
      </c>
      <c r="L336" t="n">
        <v>0</v>
      </c>
      <c r="M336" t="n">
        <v>0</v>
      </c>
      <c r="N336" t="n">
        <v>0</v>
      </c>
      <c r="O336" t="n">
        <v>0</v>
      </c>
      <c r="P336" t="n">
        <v>0</v>
      </c>
      <c r="Q336" t="n">
        <v>0</v>
      </c>
      <c r="R336" s="2" t="inlineStr"/>
    </row>
    <row r="337" ht="15" customHeight="1">
      <c r="A337" t="inlineStr">
        <is>
          <t>A 65195-2021</t>
        </is>
      </c>
      <c r="B337" s="1" t="n">
        <v>44515</v>
      </c>
      <c r="C337" s="1" t="n">
        <v>45852</v>
      </c>
      <c r="D337" t="inlineStr">
        <is>
          <t>DALARNAS LÄN</t>
        </is>
      </c>
      <c r="E337" t="inlineStr">
        <is>
          <t>LUDVIKA</t>
        </is>
      </c>
      <c r="F337" t="inlineStr">
        <is>
          <t>Bergvik skog väst AB</t>
        </is>
      </c>
      <c r="G337" t="n">
        <v>0.5</v>
      </c>
      <c r="H337" t="n">
        <v>0</v>
      </c>
      <c r="I337" t="n">
        <v>0</v>
      </c>
      <c r="J337" t="n">
        <v>0</v>
      </c>
      <c r="K337" t="n">
        <v>0</v>
      </c>
      <c r="L337" t="n">
        <v>0</v>
      </c>
      <c r="M337" t="n">
        <v>0</v>
      </c>
      <c r="N337" t="n">
        <v>0</v>
      </c>
      <c r="O337" t="n">
        <v>0</v>
      </c>
      <c r="P337" t="n">
        <v>0</v>
      </c>
      <c r="Q337" t="n">
        <v>0</v>
      </c>
      <c r="R337" s="2" t="inlineStr"/>
    </row>
    <row r="338" ht="15" customHeight="1">
      <c r="A338" t="inlineStr">
        <is>
          <t>A 65699-2021</t>
        </is>
      </c>
      <c r="B338" s="1" t="n">
        <v>44516</v>
      </c>
      <c r="C338" s="1" t="n">
        <v>45852</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65667-2021</t>
        </is>
      </c>
      <c r="B339" s="1" t="n">
        <v>44516</v>
      </c>
      <c r="C339" s="1" t="n">
        <v>45852</v>
      </c>
      <c r="D339" t="inlineStr">
        <is>
          <t>DALARNAS LÄN</t>
        </is>
      </c>
      <c r="E339" t="inlineStr">
        <is>
          <t>LUDVIKA</t>
        </is>
      </c>
      <c r="G339" t="n">
        <v>1.5</v>
      </c>
      <c r="H339" t="n">
        <v>0</v>
      </c>
      <c r="I339" t="n">
        <v>0</v>
      </c>
      <c r="J339" t="n">
        <v>0</v>
      </c>
      <c r="K339" t="n">
        <v>0</v>
      </c>
      <c r="L339" t="n">
        <v>0</v>
      </c>
      <c r="M339" t="n">
        <v>0</v>
      </c>
      <c r="N339" t="n">
        <v>0</v>
      </c>
      <c r="O339" t="n">
        <v>0</v>
      </c>
      <c r="P339" t="n">
        <v>0</v>
      </c>
      <c r="Q339" t="n">
        <v>0</v>
      </c>
      <c r="R339" s="2" t="inlineStr"/>
    </row>
    <row r="340" ht="15" customHeight="1">
      <c r="A340" t="inlineStr">
        <is>
          <t>A 65685-2021</t>
        </is>
      </c>
      <c r="B340" s="1" t="n">
        <v>44516</v>
      </c>
      <c r="C340" s="1" t="n">
        <v>45852</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70046-2021</t>
        </is>
      </c>
      <c r="B341" s="1" t="n">
        <v>44533</v>
      </c>
      <c r="C341" s="1" t="n">
        <v>45852</v>
      </c>
      <c r="D341" t="inlineStr">
        <is>
          <t>DALARNAS LÄN</t>
        </is>
      </c>
      <c r="E341" t="inlineStr">
        <is>
          <t>LUDVIKA</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70291-2021</t>
        </is>
      </c>
      <c r="B342" s="1" t="n">
        <v>44536</v>
      </c>
      <c r="C342" s="1" t="n">
        <v>45852</v>
      </c>
      <c r="D342" t="inlineStr">
        <is>
          <t>DALARNAS LÄN</t>
        </is>
      </c>
      <c r="E342" t="inlineStr">
        <is>
          <t>LUDVIKA</t>
        </is>
      </c>
      <c r="G342" t="n">
        <v>1</v>
      </c>
      <c r="H342" t="n">
        <v>0</v>
      </c>
      <c r="I342" t="n">
        <v>0</v>
      </c>
      <c r="J342" t="n">
        <v>0</v>
      </c>
      <c r="K342" t="n">
        <v>0</v>
      </c>
      <c r="L342" t="n">
        <v>0</v>
      </c>
      <c r="M342" t="n">
        <v>0</v>
      </c>
      <c r="N342" t="n">
        <v>0</v>
      </c>
      <c r="O342" t="n">
        <v>0</v>
      </c>
      <c r="P342" t="n">
        <v>0</v>
      </c>
      <c r="Q342" t="n">
        <v>0</v>
      </c>
      <c r="R342" s="2" t="inlineStr"/>
    </row>
    <row r="343" ht="15" customHeight="1">
      <c r="A343" t="inlineStr">
        <is>
          <t>A 71639-2021</t>
        </is>
      </c>
      <c r="B343" s="1" t="n">
        <v>44543</v>
      </c>
      <c r="C343" s="1" t="n">
        <v>45852</v>
      </c>
      <c r="D343" t="inlineStr">
        <is>
          <t>DALARNAS LÄN</t>
        </is>
      </c>
      <c r="E343" t="inlineStr">
        <is>
          <t>LUDVIKA</t>
        </is>
      </c>
      <c r="F343" t="inlineStr">
        <is>
          <t>Naturvårdsverket</t>
        </is>
      </c>
      <c r="G343" t="n">
        <v>2.2</v>
      </c>
      <c r="H343" t="n">
        <v>0</v>
      </c>
      <c r="I343" t="n">
        <v>0</v>
      </c>
      <c r="J343" t="n">
        <v>0</v>
      </c>
      <c r="K343" t="n">
        <v>0</v>
      </c>
      <c r="L343" t="n">
        <v>0</v>
      </c>
      <c r="M343" t="n">
        <v>0</v>
      </c>
      <c r="N343" t="n">
        <v>0</v>
      </c>
      <c r="O343" t="n">
        <v>0</v>
      </c>
      <c r="P343" t="n">
        <v>0</v>
      </c>
      <c r="Q343" t="n">
        <v>0</v>
      </c>
      <c r="R343" s="2" t="inlineStr"/>
    </row>
    <row r="344" ht="15" customHeight="1">
      <c r="A344" t="inlineStr">
        <is>
          <t>A 73167-2021</t>
        </is>
      </c>
      <c r="B344" s="1" t="n">
        <v>44550</v>
      </c>
      <c r="C344" s="1" t="n">
        <v>45852</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73703-2021</t>
        </is>
      </c>
      <c r="B345" s="1" t="n">
        <v>44552</v>
      </c>
      <c r="C345" s="1" t="n">
        <v>45852</v>
      </c>
      <c r="D345" t="inlineStr">
        <is>
          <t>DALARNAS LÄN</t>
        </is>
      </c>
      <c r="E345" t="inlineStr">
        <is>
          <t>LUDVIKA</t>
        </is>
      </c>
      <c r="G345" t="n">
        <v>0.5</v>
      </c>
      <c r="H345" t="n">
        <v>0</v>
      </c>
      <c r="I345" t="n">
        <v>0</v>
      </c>
      <c r="J345" t="n">
        <v>0</v>
      </c>
      <c r="K345" t="n">
        <v>0</v>
      </c>
      <c r="L345" t="n">
        <v>0</v>
      </c>
      <c r="M345" t="n">
        <v>0</v>
      </c>
      <c r="N345" t="n">
        <v>0</v>
      </c>
      <c r="O345" t="n">
        <v>0</v>
      </c>
      <c r="P345" t="n">
        <v>0</v>
      </c>
      <c r="Q345" t="n">
        <v>0</v>
      </c>
      <c r="R345" s="2" t="inlineStr"/>
    </row>
    <row r="346" ht="15" customHeight="1">
      <c r="A346" t="inlineStr">
        <is>
          <t>A 74427-2021</t>
        </is>
      </c>
      <c r="B346" s="1" t="n">
        <v>44560</v>
      </c>
      <c r="C346" s="1" t="n">
        <v>45852</v>
      </c>
      <c r="D346" t="inlineStr">
        <is>
          <t>DALARNAS LÄN</t>
        </is>
      </c>
      <c r="E346" t="inlineStr">
        <is>
          <t>LUDVIKA</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74432-2021</t>
        </is>
      </c>
      <c r="B347" s="1" t="n">
        <v>44560</v>
      </c>
      <c r="C347" s="1" t="n">
        <v>45852</v>
      </c>
      <c r="D347" t="inlineStr">
        <is>
          <t>DALARNAS LÄN</t>
        </is>
      </c>
      <c r="E347" t="inlineStr">
        <is>
          <t>LUDVIKA</t>
        </is>
      </c>
      <c r="F347" t="inlineStr">
        <is>
          <t>Kommuner</t>
        </is>
      </c>
      <c r="G347" t="n">
        <v>1</v>
      </c>
      <c r="H347" t="n">
        <v>0</v>
      </c>
      <c r="I347" t="n">
        <v>0</v>
      </c>
      <c r="J347" t="n">
        <v>0</v>
      </c>
      <c r="K347" t="n">
        <v>0</v>
      </c>
      <c r="L347" t="n">
        <v>0</v>
      </c>
      <c r="M347" t="n">
        <v>0</v>
      </c>
      <c r="N347" t="n">
        <v>0</v>
      </c>
      <c r="O347" t="n">
        <v>0</v>
      </c>
      <c r="P347" t="n">
        <v>0</v>
      </c>
      <c r="Q347" t="n">
        <v>0</v>
      </c>
      <c r="R347" s="2" t="inlineStr"/>
    </row>
    <row r="348" ht="15" customHeight="1">
      <c r="A348" t="inlineStr">
        <is>
          <t>A 1299-2022</t>
        </is>
      </c>
      <c r="B348" s="1" t="n">
        <v>44572</v>
      </c>
      <c r="C348" s="1" t="n">
        <v>45852</v>
      </c>
      <c r="D348" t="inlineStr">
        <is>
          <t>DALARNAS LÄN</t>
        </is>
      </c>
      <c r="E348" t="inlineStr">
        <is>
          <t>LUDVIKA</t>
        </is>
      </c>
      <c r="G348" t="n">
        <v>0.8</v>
      </c>
      <c r="H348" t="n">
        <v>0</v>
      </c>
      <c r="I348" t="n">
        <v>0</v>
      </c>
      <c r="J348" t="n">
        <v>0</v>
      </c>
      <c r="K348" t="n">
        <v>0</v>
      </c>
      <c r="L348" t="n">
        <v>0</v>
      </c>
      <c r="M348" t="n">
        <v>0</v>
      </c>
      <c r="N348" t="n">
        <v>0</v>
      </c>
      <c r="O348" t="n">
        <v>0</v>
      </c>
      <c r="P348" t="n">
        <v>0</v>
      </c>
      <c r="Q348" t="n">
        <v>0</v>
      </c>
      <c r="R348" s="2" t="inlineStr"/>
    </row>
    <row r="349" ht="15" customHeight="1">
      <c r="A349" t="inlineStr">
        <is>
          <t>A 2422-2022</t>
        </is>
      </c>
      <c r="B349" s="1" t="n">
        <v>44579</v>
      </c>
      <c r="C349" s="1" t="n">
        <v>45852</v>
      </c>
      <c r="D349" t="inlineStr">
        <is>
          <t>DALARNAS LÄN</t>
        </is>
      </c>
      <c r="E349" t="inlineStr">
        <is>
          <t>LUDVIKA</t>
        </is>
      </c>
      <c r="G349" t="n">
        <v>2.3</v>
      </c>
      <c r="H349" t="n">
        <v>0</v>
      </c>
      <c r="I349" t="n">
        <v>0</v>
      </c>
      <c r="J349" t="n">
        <v>0</v>
      </c>
      <c r="K349" t="n">
        <v>0</v>
      </c>
      <c r="L349" t="n">
        <v>0</v>
      </c>
      <c r="M349" t="n">
        <v>0</v>
      </c>
      <c r="N349" t="n">
        <v>0</v>
      </c>
      <c r="O349" t="n">
        <v>0</v>
      </c>
      <c r="P349" t="n">
        <v>0</v>
      </c>
      <c r="Q349" t="n">
        <v>0</v>
      </c>
      <c r="R349" s="2" t="inlineStr"/>
    </row>
    <row r="350" ht="15" customHeight="1">
      <c r="A350" t="inlineStr">
        <is>
          <t>A 2491-2022</t>
        </is>
      </c>
      <c r="B350" s="1" t="n">
        <v>44579</v>
      </c>
      <c r="C350" s="1" t="n">
        <v>45852</v>
      </c>
      <c r="D350" t="inlineStr">
        <is>
          <t>DALARNAS LÄN</t>
        </is>
      </c>
      <c r="E350" t="inlineStr">
        <is>
          <t>LUDVIKA</t>
        </is>
      </c>
      <c r="G350" t="n">
        <v>2.8</v>
      </c>
      <c r="H350" t="n">
        <v>0</v>
      </c>
      <c r="I350" t="n">
        <v>0</v>
      </c>
      <c r="J350" t="n">
        <v>0</v>
      </c>
      <c r="K350" t="n">
        <v>0</v>
      </c>
      <c r="L350" t="n">
        <v>0</v>
      </c>
      <c r="M350" t="n">
        <v>0</v>
      </c>
      <c r="N350" t="n">
        <v>0</v>
      </c>
      <c r="O350" t="n">
        <v>0</v>
      </c>
      <c r="P350" t="n">
        <v>0</v>
      </c>
      <c r="Q350" t="n">
        <v>0</v>
      </c>
      <c r="R350" s="2" t="inlineStr"/>
    </row>
    <row r="351" ht="15" customHeight="1">
      <c r="A351" t="inlineStr">
        <is>
          <t>A 2838-2022</t>
        </is>
      </c>
      <c r="B351" s="1" t="n">
        <v>44581</v>
      </c>
      <c r="C351" s="1" t="n">
        <v>45852</v>
      </c>
      <c r="D351" t="inlineStr">
        <is>
          <t>DALARNAS LÄN</t>
        </is>
      </c>
      <c r="E351" t="inlineStr">
        <is>
          <t>LUDVIKA</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4551-2022</t>
        </is>
      </c>
      <c r="B352" s="1" t="n">
        <v>44590</v>
      </c>
      <c r="C352" s="1" t="n">
        <v>45852</v>
      </c>
      <c r="D352" t="inlineStr">
        <is>
          <t>DALARNAS LÄN</t>
        </is>
      </c>
      <c r="E352" t="inlineStr">
        <is>
          <t>LUDVIKA</t>
        </is>
      </c>
      <c r="G352" t="n">
        <v>1.1</v>
      </c>
      <c r="H352" t="n">
        <v>0</v>
      </c>
      <c r="I352" t="n">
        <v>0</v>
      </c>
      <c r="J352" t="n">
        <v>0</v>
      </c>
      <c r="K352" t="n">
        <v>0</v>
      </c>
      <c r="L352" t="n">
        <v>0</v>
      </c>
      <c r="M352" t="n">
        <v>0</v>
      </c>
      <c r="N352" t="n">
        <v>0</v>
      </c>
      <c r="O352" t="n">
        <v>0</v>
      </c>
      <c r="P352" t="n">
        <v>0</v>
      </c>
      <c r="Q352" t="n">
        <v>0</v>
      </c>
      <c r="R352" s="2" t="inlineStr"/>
    </row>
    <row r="353" ht="15" customHeight="1">
      <c r="A353" t="inlineStr">
        <is>
          <t>A 5970-2022</t>
        </is>
      </c>
      <c r="B353" s="1" t="n">
        <v>44599</v>
      </c>
      <c r="C353" s="1" t="n">
        <v>45852</v>
      </c>
      <c r="D353" t="inlineStr">
        <is>
          <t>DALARNAS LÄN</t>
        </is>
      </c>
      <c r="E353" t="inlineStr">
        <is>
          <t>LUDVIKA</t>
        </is>
      </c>
      <c r="G353" t="n">
        <v>8.4</v>
      </c>
      <c r="H353" t="n">
        <v>0</v>
      </c>
      <c r="I353" t="n">
        <v>0</v>
      </c>
      <c r="J353" t="n">
        <v>0</v>
      </c>
      <c r="K353" t="n">
        <v>0</v>
      </c>
      <c r="L353" t="n">
        <v>0</v>
      </c>
      <c r="M353" t="n">
        <v>0</v>
      </c>
      <c r="N353" t="n">
        <v>0</v>
      </c>
      <c r="O353" t="n">
        <v>0</v>
      </c>
      <c r="P353" t="n">
        <v>0</v>
      </c>
      <c r="Q353" t="n">
        <v>0</v>
      </c>
      <c r="R353" s="2" t="inlineStr"/>
    </row>
    <row r="354" ht="15" customHeight="1">
      <c r="A354" t="inlineStr">
        <is>
          <t>A 6364-2022</t>
        </is>
      </c>
      <c r="B354" s="1" t="n">
        <v>44600</v>
      </c>
      <c r="C354" s="1" t="n">
        <v>45852</v>
      </c>
      <c r="D354" t="inlineStr">
        <is>
          <t>DALARNAS LÄN</t>
        </is>
      </c>
      <c r="E354" t="inlineStr">
        <is>
          <t>LUDVIKA</t>
        </is>
      </c>
      <c r="F354" t="inlineStr">
        <is>
          <t>Övriga Aktiebolag</t>
        </is>
      </c>
      <c r="G354" t="n">
        <v>52.3</v>
      </c>
      <c r="H354" t="n">
        <v>0</v>
      </c>
      <c r="I354" t="n">
        <v>0</v>
      </c>
      <c r="J354" t="n">
        <v>0</v>
      </c>
      <c r="K354" t="n">
        <v>0</v>
      </c>
      <c r="L354" t="n">
        <v>0</v>
      </c>
      <c r="M354" t="n">
        <v>0</v>
      </c>
      <c r="N354" t="n">
        <v>0</v>
      </c>
      <c r="O354" t="n">
        <v>0</v>
      </c>
      <c r="P354" t="n">
        <v>0</v>
      </c>
      <c r="Q354" t="n">
        <v>0</v>
      </c>
      <c r="R354" s="2" t="inlineStr"/>
    </row>
    <row r="355" ht="15" customHeight="1">
      <c r="A355" t="inlineStr">
        <is>
          <t>A 6836-2022</t>
        </is>
      </c>
      <c r="B355" s="1" t="n">
        <v>44602</v>
      </c>
      <c r="C355" s="1" t="n">
        <v>45852</v>
      </c>
      <c r="D355" t="inlineStr">
        <is>
          <t>DALARNAS LÄN</t>
        </is>
      </c>
      <c r="E355" t="inlineStr">
        <is>
          <t>LUDVIKA</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7011-2022</t>
        </is>
      </c>
      <c r="B356" s="1" t="n">
        <v>44603</v>
      </c>
      <c r="C356" s="1" t="n">
        <v>45852</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9464-2022</t>
        </is>
      </c>
      <c r="B357" s="1" t="n">
        <v>44616</v>
      </c>
      <c r="C357" s="1" t="n">
        <v>45852</v>
      </c>
      <c r="D357" t="inlineStr">
        <is>
          <t>DALARNAS LÄN</t>
        </is>
      </c>
      <c r="E357" t="inlineStr">
        <is>
          <t>LUDVIKA</t>
        </is>
      </c>
      <c r="G357" t="n">
        <v>4.1</v>
      </c>
      <c r="H357" t="n">
        <v>0</v>
      </c>
      <c r="I357" t="n">
        <v>0</v>
      </c>
      <c r="J357" t="n">
        <v>0</v>
      </c>
      <c r="K357" t="n">
        <v>0</v>
      </c>
      <c r="L357" t="n">
        <v>0</v>
      </c>
      <c r="M357" t="n">
        <v>0</v>
      </c>
      <c r="N357" t="n">
        <v>0</v>
      </c>
      <c r="O357" t="n">
        <v>0</v>
      </c>
      <c r="P357" t="n">
        <v>0</v>
      </c>
      <c r="Q357" t="n">
        <v>0</v>
      </c>
      <c r="R357" s="2" t="inlineStr"/>
    </row>
    <row r="358" ht="15" customHeight="1">
      <c r="A358" t="inlineStr">
        <is>
          <t>A 13051-2022</t>
        </is>
      </c>
      <c r="B358" s="1" t="n">
        <v>44643</v>
      </c>
      <c r="C358" s="1" t="n">
        <v>45852</v>
      </c>
      <c r="D358" t="inlineStr">
        <is>
          <t>DALARNAS LÄN</t>
        </is>
      </c>
      <c r="E358" t="inlineStr">
        <is>
          <t>LUDVIKA</t>
        </is>
      </c>
      <c r="G358" t="n">
        <v>1.4</v>
      </c>
      <c r="H358" t="n">
        <v>0</v>
      </c>
      <c r="I358" t="n">
        <v>0</v>
      </c>
      <c r="J358" t="n">
        <v>0</v>
      </c>
      <c r="K358" t="n">
        <v>0</v>
      </c>
      <c r="L358" t="n">
        <v>0</v>
      </c>
      <c r="M358" t="n">
        <v>0</v>
      </c>
      <c r="N358" t="n">
        <v>0</v>
      </c>
      <c r="O358" t="n">
        <v>0</v>
      </c>
      <c r="P358" t="n">
        <v>0</v>
      </c>
      <c r="Q358" t="n">
        <v>0</v>
      </c>
      <c r="R358" s="2" t="inlineStr"/>
    </row>
    <row r="359" ht="15" customHeight="1">
      <c r="A359" t="inlineStr">
        <is>
          <t>A 14387-2022</t>
        </is>
      </c>
      <c r="B359" s="1" t="n">
        <v>44652</v>
      </c>
      <c r="C359" s="1" t="n">
        <v>45852</v>
      </c>
      <c r="D359" t="inlineStr">
        <is>
          <t>DALARNAS LÄN</t>
        </is>
      </c>
      <c r="E359" t="inlineStr">
        <is>
          <t>LUDVIKA</t>
        </is>
      </c>
      <c r="F359" t="inlineStr">
        <is>
          <t>Bergvik skog väst AB</t>
        </is>
      </c>
      <c r="G359" t="n">
        <v>0.8</v>
      </c>
      <c r="H359" t="n">
        <v>0</v>
      </c>
      <c r="I359" t="n">
        <v>0</v>
      </c>
      <c r="J359" t="n">
        <v>0</v>
      </c>
      <c r="K359" t="n">
        <v>0</v>
      </c>
      <c r="L359" t="n">
        <v>0</v>
      </c>
      <c r="M359" t="n">
        <v>0</v>
      </c>
      <c r="N359" t="n">
        <v>0</v>
      </c>
      <c r="O359" t="n">
        <v>0</v>
      </c>
      <c r="P359" t="n">
        <v>0</v>
      </c>
      <c r="Q359" t="n">
        <v>0</v>
      </c>
      <c r="R359" s="2" t="inlineStr"/>
    </row>
    <row r="360" ht="15" customHeight="1">
      <c r="A360" t="inlineStr">
        <is>
          <t>A 14872-2022</t>
        </is>
      </c>
      <c r="B360" s="1" t="n">
        <v>44656</v>
      </c>
      <c r="C360" s="1" t="n">
        <v>45852</v>
      </c>
      <c r="D360" t="inlineStr">
        <is>
          <t>DALARNAS LÄN</t>
        </is>
      </c>
      <c r="E360" t="inlineStr">
        <is>
          <t>LUDVIKA</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15145-2022</t>
        </is>
      </c>
      <c r="B361" s="1" t="n">
        <v>44658</v>
      </c>
      <c r="C361" s="1" t="n">
        <v>45852</v>
      </c>
      <c r="D361" t="inlineStr">
        <is>
          <t>DALARNAS LÄN</t>
        </is>
      </c>
      <c r="E361" t="inlineStr">
        <is>
          <t>LUDVIKA</t>
        </is>
      </c>
      <c r="G361" t="n">
        <v>3.7</v>
      </c>
      <c r="H361" t="n">
        <v>0</v>
      </c>
      <c r="I361" t="n">
        <v>0</v>
      </c>
      <c r="J361" t="n">
        <v>0</v>
      </c>
      <c r="K361" t="n">
        <v>0</v>
      </c>
      <c r="L361" t="n">
        <v>0</v>
      </c>
      <c r="M361" t="n">
        <v>0</v>
      </c>
      <c r="N361" t="n">
        <v>0</v>
      </c>
      <c r="O361" t="n">
        <v>0</v>
      </c>
      <c r="P361" t="n">
        <v>0</v>
      </c>
      <c r="Q361" t="n">
        <v>0</v>
      </c>
      <c r="R361" s="2" t="inlineStr"/>
    </row>
    <row r="362" ht="15" customHeight="1">
      <c r="A362" t="inlineStr">
        <is>
          <t>A 15617-2022</t>
        </is>
      </c>
      <c r="B362" s="1" t="n">
        <v>44662</v>
      </c>
      <c r="C362" s="1" t="n">
        <v>45852</v>
      </c>
      <c r="D362" t="inlineStr">
        <is>
          <t>DALARNAS LÄN</t>
        </is>
      </c>
      <c r="E362" t="inlineStr">
        <is>
          <t>LUDVIKA</t>
        </is>
      </c>
      <c r="F362" t="inlineStr">
        <is>
          <t>Bergvik skog väst AB</t>
        </is>
      </c>
      <c r="G362" t="n">
        <v>7.8</v>
      </c>
      <c r="H362" t="n">
        <v>0</v>
      </c>
      <c r="I362" t="n">
        <v>0</v>
      </c>
      <c r="J362" t="n">
        <v>0</v>
      </c>
      <c r="K362" t="n">
        <v>0</v>
      </c>
      <c r="L362" t="n">
        <v>0</v>
      </c>
      <c r="M362" t="n">
        <v>0</v>
      </c>
      <c r="N362" t="n">
        <v>0</v>
      </c>
      <c r="O362" t="n">
        <v>0</v>
      </c>
      <c r="P362" t="n">
        <v>0</v>
      </c>
      <c r="Q362" t="n">
        <v>0</v>
      </c>
      <c r="R362" s="2" t="inlineStr"/>
    </row>
    <row r="363" ht="15" customHeight="1">
      <c r="A363" t="inlineStr">
        <is>
          <t>A 17677-2022</t>
        </is>
      </c>
      <c r="B363" s="1" t="n">
        <v>44680</v>
      </c>
      <c r="C363" s="1" t="n">
        <v>45852</v>
      </c>
      <c r="D363" t="inlineStr">
        <is>
          <t>DALARNAS LÄN</t>
        </is>
      </c>
      <c r="E363" t="inlineStr">
        <is>
          <t>LUDVIKA</t>
        </is>
      </c>
      <c r="F363" t="inlineStr">
        <is>
          <t>Bergvik skog väst AB</t>
        </is>
      </c>
      <c r="G363" t="n">
        <v>5.5</v>
      </c>
      <c r="H363" t="n">
        <v>0</v>
      </c>
      <c r="I363" t="n">
        <v>0</v>
      </c>
      <c r="J363" t="n">
        <v>0</v>
      </c>
      <c r="K363" t="n">
        <v>0</v>
      </c>
      <c r="L363" t="n">
        <v>0</v>
      </c>
      <c r="M363" t="n">
        <v>0</v>
      </c>
      <c r="N363" t="n">
        <v>0</v>
      </c>
      <c r="O363" t="n">
        <v>0</v>
      </c>
      <c r="P363" t="n">
        <v>0</v>
      </c>
      <c r="Q363" t="n">
        <v>0</v>
      </c>
      <c r="R363" s="2" t="inlineStr"/>
    </row>
    <row r="364" ht="15" customHeight="1">
      <c r="A364" t="inlineStr">
        <is>
          <t>A 18289-2022</t>
        </is>
      </c>
      <c r="B364" s="1" t="n">
        <v>44685</v>
      </c>
      <c r="C364" s="1" t="n">
        <v>45852</v>
      </c>
      <c r="D364" t="inlineStr">
        <is>
          <t>DALARNAS LÄN</t>
        </is>
      </c>
      <c r="E364" t="inlineStr">
        <is>
          <t>LUDVIKA</t>
        </is>
      </c>
      <c r="F364" t="inlineStr">
        <is>
          <t>Bergvik skog väst AB</t>
        </is>
      </c>
      <c r="G364" t="n">
        <v>3.5</v>
      </c>
      <c r="H364" t="n">
        <v>0</v>
      </c>
      <c r="I364" t="n">
        <v>0</v>
      </c>
      <c r="J364" t="n">
        <v>0</v>
      </c>
      <c r="K364" t="n">
        <v>0</v>
      </c>
      <c r="L364" t="n">
        <v>0</v>
      </c>
      <c r="M364" t="n">
        <v>0</v>
      </c>
      <c r="N364" t="n">
        <v>0</v>
      </c>
      <c r="O364" t="n">
        <v>0</v>
      </c>
      <c r="P364" t="n">
        <v>0</v>
      </c>
      <c r="Q364" t="n">
        <v>0</v>
      </c>
      <c r="R364" s="2" t="inlineStr"/>
    </row>
    <row r="365" ht="15" customHeight="1">
      <c r="A365" t="inlineStr">
        <is>
          <t>A 18703-2022</t>
        </is>
      </c>
      <c r="B365" s="1" t="n">
        <v>44687</v>
      </c>
      <c r="C365" s="1" t="n">
        <v>45852</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18724-2022</t>
        </is>
      </c>
      <c r="B366" s="1" t="n">
        <v>44687</v>
      </c>
      <c r="C366" s="1" t="n">
        <v>45852</v>
      </c>
      <c r="D366" t="inlineStr">
        <is>
          <t>DALARNAS LÄN</t>
        </is>
      </c>
      <c r="E366" t="inlineStr">
        <is>
          <t>LUDVIKA</t>
        </is>
      </c>
      <c r="G366" t="n">
        <v>4.3</v>
      </c>
      <c r="H366" t="n">
        <v>0</v>
      </c>
      <c r="I366" t="n">
        <v>0</v>
      </c>
      <c r="J366" t="n">
        <v>0</v>
      </c>
      <c r="K366" t="n">
        <v>0</v>
      </c>
      <c r="L366" t="n">
        <v>0</v>
      </c>
      <c r="M366" t="n">
        <v>0</v>
      </c>
      <c r="N366" t="n">
        <v>0</v>
      </c>
      <c r="O366" t="n">
        <v>0</v>
      </c>
      <c r="P366" t="n">
        <v>0</v>
      </c>
      <c r="Q366" t="n">
        <v>0</v>
      </c>
      <c r="R366" s="2" t="inlineStr"/>
    </row>
    <row r="367" ht="15" customHeight="1">
      <c r="A367" t="inlineStr">
        <is>
          <t>A 20656-2022</t>
        </is>
      </c>
      <c r="B367" s="1" t="n">
        <v>44700</v>
      </c>
      <c r="C367" s="1" t="n">
        <v>45852</v>
      </c>
      <c r="D367" t="inlineStr">
        <is>
          <t>DALARNAS LÄN</t>
        </is>
      </c>
      <c r="E367" t="inlineStr">
        <is>
          <t>LUDVIKA</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20852-2022</t>
        </is>
      </c>
      <c r="B368" s="1" t="n">
        <v>44701</v>
      </c>
      <c r="C368" s="1" t="n">
        <v>45852</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21466-2022</t>
        </is>
      </c>
      <c r="B369" s="1" t="n">
        <v>44706</v>
      </c>
      <c r="C369" s="1" t="n">
        <v>45852</v>
      </c>
      <c r="D369" t="inlineStr">
        <is>
          <t>DALARNAS LÄN</t>
        </is>
      </c>
      <c r="E369" t="inlineStr">
        <is>
          <t>LUDVIKA</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21502-2022</t>
        </is>
      </c>
      <c r="B370" s="1" t="n">
        <v>44706</v>
      </c>
      <c r="C370" s="1" t="n">
        <v>45852</v>
      </c>
      <c r="D370" t="inlineStr">
        <is>
          <t>DALARNAS LÄN</t>
        </is>
      </c>
      <c r="E370" t="inlineStr">
        <is>
          <t>LUDVIKA</t>
        </is>
      </c>
      <c r="F370" t="inlineStr">
        <is>
          <t>Bergvik skog väst AB</t>
        </is>
      </c>
      <c r="G370" t="n">
        <v>5.5</v>
      </c>
      <c r="H370" t="n">
        <v>0</v>
      </c>
      <c r="I370" t="n">
        <v>0</v>
      </c>
      <c r="J370" t="n">
        <v>0</v>
      </c>
      <c r="K370" t="n">
        <v>0</v>
      </c>
      <c r="L370" t="n">
        <v>0</v>
      </c>
      <c r="M370" t="n">
        <v>0</v>
      </c>
      <c r="N370" t="n">
        <v>0</v>
      </c>
      <c r="O370" t="n">
        <v>0</v>
      </c>
      <c r="P370" t="n">
        <v>0</v>
      </c>
      <c r="Q370" t="n">
        <v>0</v>
      </c>
      <c r="R370" s="2" t="inlineStr"/>
    </row>
    <row r="371" ht="15" customHeight="1">
      <c r="A371" t="inlineStr">
        <is>
          <t>A 21741-2022</t>
        </is>
      </c>
      <c r="B371" s="1" t="n">
        <v>44708</v>
      </c>
      <c r="C371" s="1" t="n">
        <v>45852</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22000-2022</t>
        </is>
      </c>
      <c r="B372" s="1" t="n">
        <v>44711</v>
      </c>
      <c r="C372" s="1" t="n">
        <v>45852</v>
      </c>
      <c r="D372" t="inlineStr">
        <is>
          <t>DALARNAS LÄN</t>
        </is>
      </c>
      <c r="E372" t="inlineStr">
        <is>
          <t>LUDVIKA</t>
        </is>
      </c>
      <c r="F372" t="inlineStr">
        <is>
          <t>Bergvik skog väst AB</t>
        </is>
      </c>
      <c r="G372" t="n">
        <v>2.1</v>
      </c>
      <c r="H372" t="n">
        <v>0</v>
      </c>
      <c r="I372" t="n">
        <v>0</v>
      </c>
      <c r="J372" t="n">
        <v>0</v>
      </c>
      <c r="K372" t="n">
        <v>0</v>
      </c>
      <c r="L372" t="n">
        <v>0</v>
      </c>
      <c r="M372" t="n">
        <v>0</v>
      </c>
      <c r="N372" t="n">
        <v>0</v>
      </c>
      <c r="O372" t="n">
        <v>0</v>
      </c>
      <c r="P372" t="n">
        <v>0</v>
      </c>
      <c r="Q372" t="n">
        <v>0</v>
      </c>
      <c r="R372" s="2" t="inlineStr"/>
    </row>
    <row r="373" ht="15" customHeight="1">
      <c r="A373" t="inlineStr">
        <is>
          <t>A 22920-2022</t>
        </is>
      </c>
      <c r="B373" s="1" t="n">
        <v>44715</v>
      </c>
      <c r="C373" s="1" t="n">
        <v>45852</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23258-2022</t>
        </is>
      </c>
      <c r="B374" s="1" t="n">
        <v>44720</v>
      </c>
      <c r="C374" s="1" t="n">
        <v>45852</v>
      </c>
      <c r="D374" t="inlineStr">
        <is>
          <t>DALARNAS LÄN</t>
        </is>
      </c>
      <c r="E374" t="inlineStr">
        <is>
          <t>LUDVIKA</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23345-2022</t>
        </is>
      </c>
      <c r="B375" s="1" t="n">
        <v>44720</v>
      </c>
      <c r="C375" s="1" t="n">
        <v>45852</v>
      </c>
      <c r="D375" t="inlineStr">
        <is>
          <t>DALARNAS LÄN</t>
        </is>
      </c>
      <c r="E375" t="inlineStr">
        <is>
          <t>LUDVIKA</t>
        </is>
      </c>
      <c r="G375" t="n">
        <v>0.5</v>
      </c>
      <c r="H375" t="n">
        <v>0</v>
      </c>
      <c r="I375" t="n">
        <v>0</v>
      </c>
      <c r="J375" t="n">
        <v>0</v>
      </c>
      <c r="K375" t="n">
        <v>0</v>
      </c>
      <c r="L375" t="n">
        <v>0</v>
      </c>
      <c r="M375" t="n">
        <v>0</v>
      </c>
      <c r="N375" t="n">
        <v>0</v>
      </c>
      <c r="O375" t="n">
        <v>0</v>
      </c>
      <c r="P375" t="n">
        <v>0</v>
      </c>
      <c r="Q375" t="n">
        <v>0</v>
      </c>
      <c r="R375" s="2" t="inlineStr"/>
    </row>
    <row r="376" ht="15" customHeight="1">
      <c r="A376" t="inlineStr">
        <is>
          <t>A 24160-2022</t>
        </is>
      </c>
      <c r="B376" s="1" t="n">
        <v>44725</v>
      </c>
      <c r="C376" s="1" t="n">
        <v>45852</v>
      </c>
      <c r="D376" t="inlineStr">
        <is>
          <t>DALARNAS LÄN</t>
        </is>
      </c>
      <c r="E376" t="inlineStr">
        <is>
          <t>LUDVIKA</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25095-2022</t>
        </is>
      </c>
      <c r="B377" s="1" t="n">
        <v>44729</v>
      </c>
      <c r="C377" s="1" t="n">
        <v>45852</v>
      </c>
      <c r="D377" t="inlineStr">
        <is>
          <t>DALARNAS LÄN</t>
        </is>
      </c>
      <c r="E377" t="inlineStr">
        <is>
          <t>LUDVIKA</t>
        </is>
      </c>
      <c r="F377" t="inlineStr">
        <is>
          <t>Bergvik skog väst AB</t>
        </is>
      </c>
      <c r="G377" t="n">
        <v>3.9</v>
      </c>
      <c r="H377" t="n">
        <v>0</v>
      </c>
      <c r="I377" t="n">
        <v>0</v>
      </c>
      <c r="J377" t="n">
        <v>0</v>
      </c>
      <c r="K377" t="n">
        <v>0</v>
      </c>
      <c r="L377" t="n">
        <v>0</v>
      </c>
      <c r="M377" t="n">
        <v>0</v>
      </c>
      <c r="N377" t="n">
        <v>0</v>
      </c>
      <c r="O377" t="n">
        <v>0</v>
      </c>
      <c r="P377" t="n">
        <v>0</v>
      </c>
      <c r="Q377" t="n">
        <v>0</v>
      </c>
      <c r="R377" s="2" t="inlineStr"/>
    </row>
    <row r="378" ht="15" customHeight="1">
      <c r="A378" t="inlineStr">
        <is>
          <t>A 25243-2022</t>
        </is>
      </c>
      <c r="B378" s="1" t="n">
        <v>44730</v>
      </c>
      <c r="C378" s="1" t="n">
        <v>45852</v>
      </c>
      <c r="D378" t="inlineStr">
        <is>
          <t>DALARNAS LÄN</t>
        </is>
      </c>
      <c r="E378" t="inlineStr">
        <is>
          <t>LUDVIKA</t>
        </is>
      </c>
      <c r="F378" t="inlineStr">
        <is>
          <t>Bergvik skog väst AB</t>
        </is>
      </c>
      <c r="G378" t="n">
        <v>1.7</v>
      </c>
      <c r="H378" t="n">
        <v>0</v>
      </c>
      <c r="I378" t="n">
        <v>0</v>
      </c>
      <c r="J378" t="n">
        <v>0</v>
      </c>
      <c r="K378" t="n">
        <v>0</v>
      </c>
      <c r="L378" t="n">
        <v>0</v>
      </c>
      <c r="M378" t="n">
        <v>0</v>
      </c>
      <c r="N378" t="n">
        <v>0</v>
      </c>
      <c r="O378" t="n">
        <v>0</v>
      </c>
      <c r="P378" t="n">
        <v>0</v>
      </c>
      <c r="Q378" t="n">
        <v>0</v>
      </c>
      <c r="R378" s="2" t="inlineStr"/>
    </row>
    <row r="379" ht="15" customHeight="1">
      <c r="A379" t="inlineStr">
        <is>
          <t>A 25272-2022</t>
        </is>
      </c>
      <c r="B379" s="1" t="n">
        <v>44730</v>
      </c>
      <c r="C379" s="1" t="n">
        <v>45852</v>
      </c>
      <c r="D379" t="inlineStr">
        <is>
          <t>DALARNAS LÄN</t>
        </is>
      </c>
      <c r="E379" t="inlineStr">
        <is>
          <t>LUDVIKA</t>
        </is>
      </c>
      <c r="F379" t="inlineStr">
        <is>
          <t>Bergvik skog väst AB</t>
        </is>
      </c>
      <c r="G379" t="n">
        <v>9.6</v>
      </c>
      <c r="H379" t="n">
        <v>0</v>
      </c>
      <c r="I379" t="n">
        <v>0</v>
      </c>
      <c r="J379" t="n">
        <v>0</v>
      </c>
      <c r="K379" t="n">
        <v>0</v>
      </c>
      <c r="L379" t="n">
        <v>0</v>
      </c>
      <c r="M379" t="n">
        <v>0</v>
      </c>
      <c r="N379" t="n">
        <v>0</v>
      </c>
      <c r="O379" t="n">
        <v>0</v>
      </c>
      <c r="P379" t="n">
        <v>0</v>
      </c>
      <c r="Q379" t="n">
        <v>0</v>
      </c>
      <c r="R379" s="2" t="inlineStr"/>
    </row>
    <row r="380" ht="15" customHeight="1">
      <c r="A380" t="inlineStr">
        <is>
          <t>A 25274-2022</t>
        </is>
      </c>
      <c r="B380" s="1" t="n">
        <v>44730</v>
      </c>
      <c r="C380" s="1" t="n">
        <v>45852</v>
      </c>
      <c r="D380" t="inlineStr">
        <is>
          <t>DALARNAS LÄN</t>
        </is>
      </c>
      <c r="E380" t="inlineStr">
        <is>
          <t>LUDVIKA</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25273-2022</t>
        </is>
      </c>
      <c r="B381" s="1" t="n">
        <v>44730</v>
      </c>
      <c r="C381" s="1" t="n">
        <v>45852</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25292-2022</t>
        </is>
      </c>
      <c r="B382" s="1" t="n">
        <v>44731</v>
      </c>
      <c r="C382" s="1" t="n">
        <v>45852</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25296-2022</t>
        </is>
      </c>
      <c r="B383" s="1" t="n">
        <v>44731</v>
      </c>
      <c r="C383" s="1" t="n">
        <v>45852</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25300-2022</t>
        </is>
      </c>
      <c r="B384" s="1" t="n">
        <v>44731</v>
      </c>
      <c r="C384" s="1" t="n">
        <v>45852</v>
      </c>
      <c r="D384" t="inlineStr">
        <is>
          <t>DALARNAS LÄN</t>
        </is>
      </c>
      <c r="E384" t="inlineStr">
        <is>
          <t>LUDVIKA</t>
        </is>
      </c>
      <c r="F384" t="inlineStr">
        <is>
          <t>Bergvik skog väst AB</t>
        </is>
      </c>
      <c r="G384" t="n">
        <v>1.2</v>
      </c>
      <c r="H384" t="n">
        <v>0</v>
      </c>
      <c r="I384" t="n">
        <v>0</v>
      </c>
      <c r="J384" t="n">
        <v>0</v>
      </c>
      <c r="K384" t="n">
        <v>0</v>
      </c>
      <c r="L384" t="n">
        <v>0</v>
      </c>
      <c r="M384" t="n">
        <v>0</v>
      </c>
      <c r="N384" t="n">
        <v>0</v>
      </c>
      <c r="O384" t="n">
        <v>0</v>
      </c>
      <c r="P384" t="n">
        <v>0</v>
      </c>
      <c r="Q384" t="n">
        <v>0</v>
      </c>
      <c r="R384" s="2" t="inlineStr"/>
    </row>
    <row r="385" ht="15" customHeight="1">
      <c r="A385" t="inlineStr">
        <is>
          <t>A 25289-2022</t>
        </is>
      </c>
      <c r="B385" s="1" t="n">
        <v>44731</v>
      </c>
      <c r="C385" s="1" t="n">
        <v>45852</v>
      </c>
      <c r="D385" t="inlineStr">
        <is>
          <t>DALARNAS LÄN</t>
        </is>
      </c>
      <c r="E385" t="inlineStr">
        <is>
          <t>LUDVIKA</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25293-2022</t>
        </is>
      </c>
      <c r="B386" s="1" t="n">
        <v>44731</v>
      </c>
      <c r="C386" s="1" t="n">
        <v>45852</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25297-2022</t>
        </is>
      </c>
      <c r="B387" s="1" t="n">
        <v>44731</v>
      </c>
      <c r="C387" s="1" t="n">
        <v>45852</v>
      </c>
      <c r="D387" t="inlineStr">
        <is>
          <t>DALARNAS LÄN</t>
        </is>
      </c>
      <c r="E387" t="inlineStr">
        <is>
          <t>LUDVIKA</t>
        </is>
      </c>
      <c r="F387" t="inlineStr">
        <is>
          <t>Bergvik skog väst AB</t>
        </is>
      </c>
      <c r="G387" t="n">
        <v>0.4</v>
      </c>
      <c r="H387" t="n">
        <v>0</v>
      </c>
      <c r="I387" t="n">
        <v>0</v>
      </c>
      <c r="J387" t="n">
        <v>0</v>
      </c>
      <c r="K387" t="n">
        <v>0</v>
      </c>
      <c r="L387" t="n">
        <v>0</v>
      </c>
      <c r="M387" t="n">
        <v>0</v>
      </c>
      <c r="N387" t="n">
        <v>0</v>
      </c>
      <c r="O387" t="n">
        <v>0</v>
      </c>
      <c r="P387" t="n">
        <v>0</v>
      </c>
      <c r="Q387" t="n">
        <v>0</v>
      </c>
      <c r="R387" s="2" t="inlineStr"/>
    </row>
    <row r="388" ht="15" customHeight="1">
      <c r="A388" t="inlineStr">
        <is>
          <t>A 25301-2022</t>
        </is>
      </c>
      <c r="B388" s="1" t="n">
        <v>44731</v>
      </c>
      <c r="C388" s="1" t="n">
        <v>45852</v>
      </c>
      <c r="D388" t="inlineStr">
        <is>
          <t>DALARNAS LÄN</t>
        </is>
      </c>
      <c r="E388" t="inlineStr">
        <is>
          <t>LUDVIKA</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25290-2022</t>
        </is>
      </c>
      <c r="B389" s="1" t="n">
        <v>44731</v>
      </c>
      <c r="C389" s="1" t="n">
        <v>45852</v>
      </c>
      <c r="D389" t="inlineStr">
        <is>
          <t>DALARNAS LÄN</t>
        </is>
      </c>
      <c r="E389" t="inlineStr">
        <is>
          <t>LUDVIKA</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25294-2022</t>
        </is>
      </c>
      <c r="B390" s="1" t="n">
        <v>44730</v>
      </c>
      <c r="C390" s="1" t="n">
        <v>45852</v>
      </c>
      <c r="D390" t="inlineStr">
        <is>
          <t>DALARNAS LÄN</t>
        </is>
      </c>
      <c r="E390" t="inlineStr">
        <is>
          <t>LUDVIKA</t>
        </is>
      </c>
      <c r="F390" t="inlineStr">
        <is>
          <t>Bergvik skog väst AB</t>
        </is>
      </c>
      <c r="G390" t="n">
        <v>2.4</v>
      </c>
      <c r="H390" t="n">
        <v>0</v>
      </c>
      <c r="I390" t="n">
        <v>0</v>
      </c>
      <c r="J390" t="n">
        <v>0</v>
      </c>
      <c r="K390" t="n">
        <v>0</v>
      </c>
      <c r="L390" t="n">
        <v>0</v>
      </c>
      <c r="M390" t="n">
        <v>0</v>
      </c>
      <c r="N390" t="n">
        <v>0</v>
      </c>
      <c r="O390" t="n">
        <v>0</v>
      </c>
      <c r="P390" t="n">
        <v>0</v>
      </c>
      <c r="Q390" t="n">
        <v>0</v>
      </c>
      <c r="R390" s="2" t="inlineStr"/>
    </row>
    <row r="391" ht="15" customHeight="1">
      <c r="A391" t="inlineStr">
        <is>
          <t>A 25298-2022</t>
        </is>
      </c>
      <c r="B391" s="1" t="n">
        <v>44731</v>
      </c>
      <c r="C391" s="1" t="n">
        <v>45852</v>
      </c>
      <c r="D391" t="inlineStr">
        <is>
          <t>DALARNAS LÄN</t>
        </is>
      </c>
      <c r="E391" t="inlineStr">
        <is>
          <t>LUDVIKA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25291-2022</t>
        </is>
      </c>
      <c r="B392" s="1" t="n">
        <v>44731</v>
      </c>
      <c r="C392" s="1" t="n">
        <v>45852</v>
      </c>
      <c r="D392" t="inlineStr">
        <is>
          <t>DALARNAS LÄN</t>
        </is>
      </c>
      <c r="E392" t="inlineStr">
        <is>
          <t>LUDVIKA</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25299-2022</t>
        </is>
      </c>
      <c r="B393" s="1" t="n">
        <v>44731</v>
      </c>
      <c r="C393" s="1" t="n">
        <v>45852</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25328-2022</t>
        </is>
      </c>
      <c r="B394" s="1" t="n">
        <v>44731</v>
      </c>
      <c r="C394" s="1" t="n">
        <v>45852</v>
      </c>
      <c r="D394" t="inlineStr">
        <is>
          <t>DALARNAS LÄN</t>
        </is>
      </c>
      <c r="E394" t="inlineStr">
        <is>
          <t>LUDVIKA</t>
        </is>
      </c>
      <c r="F394" t="inlineStr">
        <is>
          <t>Bergvik skog väst AB</t>
        </is>
      </c>
      <c r="G394" t="n">
        <v>17.2</v>
      </c>
      <c r="H394" t="n">
        <v>0</v>
      </c>
      <c r="I394" t="n">
        <v>0</v>
      </c>
      <c r="J394" t="n">
        <v>0</v>
      </c>
      <c r="K394" t="n">
        <v>0</v>
      </c>
      <c r="L394" t="n">
        <v>0</v>
      </c>
      <c r="M394" t="n">
        <v>0</v>
      </c>
      <c r="N394" t="n">
        <v>0</v>
      </c>
      <c r="O394" t="n">
        <v>0</v>
      </c>
      <c r="P394" t="n">
        <v>0</v>
      </c>
      <c r="Q394" t="n">
        <v>0</v>
      </c>
      <c r="R394" s="2" t="inlineStr"/>
    </row>
    <row r="395" ht="15" customHeight="1">
      <c r="A395" t="inlineStr">
        <is>
          <t>A 25454-2022</t>
        </is>
      </c>
      <c r="B395" s="1" t="n">
        <v>44732</v>
      </c>
      <c r="C395" s="1" t="n">
        <v>45852</v>
      </c>
      <c r="D395" t="inlineStr">
        <is>
          <t>DALARNAS LÄN</t>
        </is>
      </c>
      <c r="E395" t="inlineStr">
        <is>
          <t>LUDVIKA</t>
        </is>
      </c>
      <c r="G395" t="n">
        <v>1.8</v>
      </c>
      <c r="H395" t="n">
        <v>0</v>
      </c>
      <c r="I395" t="n">
        <v>0</v>
      </c>
      <c r="J395" t="n">
        <v>0</v>
      </c>
      <c r="K395" t="n">
        <v>0</v>
      </c>
      <c r="L395" t="n">
        <v>0</v>
      </c>
      <c r="M395" t="n">
        <v>0</v>
      </c>
      <c r="N395" t="n">
        <v>0</v>
      </c>
      <c r="O395" t="n">
        <v>0</v>
      </c>
      <c r="P395" t="n">
        <v>0</v>
      </c>
      <c r="Q395" t="n">
        <v>0</v>
      </c>
      <c r="R395" s="2" t="inlineStr"/>
    </row>
    <row r="396" ht="15" customHeight="1">
      <c r="A396" t="inlineStr">
        <is>
          <t>A 25755-2022</t>
        </is>
      </c>
      <c r="B396" s="1" t="n">
        <v>44733</v>
      </c>
      <c r="C396" s="1" t="n">
        <v>45852</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27226-2022</t>
        </is>
      </c>
      <c r="B397" s="1" t="n">
        <v>44741</v>
      </c>
      <c r="C397" s="1" t="n">
        <v>45852</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27738-2022</t>
        </is>
      </c>
      <c r="B398" s="1" t="n">
        <v>44743</v>
      </c>
      <c r="C398" s="1" t="n">
        <v>45852</v>
      </c>
      <c r="D398" t="inlineStr">
        <is>
          <t>DALARNAS LÄN</t>
        </is>
      </c>
      <c r="E398" t="inlineStr">
        <is>
          <t>LUDVIKA</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31273-2022</t>
        </is>
      </c>
      <c r="B399" s="1" t="n">
        <v>44771</v>
      </c>
      <c r="C399" s="1" t="n">
        <v>45852</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31270-2022</t>
        </is>
      </c>
      <c r="B400" s="1" t="n">
        <v>44771</v>
      </c>
      <c r="C400" s="1" t="n">
        <v>45852</v>
      </c>
      <c r="D400" t="inlineStr">
        <is>
          <t>DALARNAS LÄN</t>
        </is>
      </c>
      <c r="E400" t="inlineStr">
        <is>
          <t>LUDVIKA</t>
        </is>
      </c>
      <c r="G400" t="n">
        <v>1.2</v>
      </c>
      <c r="H400" t="n">
        <v>0</v>
      </c>
      <c r="I400" t="n">
        <v>0</v>
      </c>
      <c r="J400" t="n">
        <v>0</v>
      </c>
      <c r="K400" t="n">
        <v>0</v>
      </c>
      <c r="L400" t="n">
        <v>0</v>
      </c>
      <c r="M400" t="n">
        <v>0</v>
      </c>
      <c r="N400" t="n">
        <v>0</v>
      </c>
      <c r="O400" t="n">
        <v>0</v>
      </c>
      <c r="P400" t="n">
        <v>0</v>
      </c>
      <c r="Q400" t="n">
        <v>0</v>
      </c>
      <c r="R400" s="2" t="inlineStr"/>
    </row>
    <row r="401" ht="15" customHeight="1">
      <c r="A401" t="inlineStr">
        <is>
          <t>A 31272-2022</t>
        </is>
      </c>
      <c r="B401" s="1" t="n">
        <v>44771</v>
      </c>
      <c r="C401" s="1" t="n">
        <v>45852</v>
      </c>
      <c r="D401" t="inlineStr">
        <is>
          <t>DALARNAS LÄN</t>
        </is>
      </c>
      <c r="E401" t="inlineStr">
        <is>
          <t>LUDVIKA</t>
        </is>
      </c>
      <c r="G401" t="n">
        <v>0.5</v>
      </c>
      <c r="H401" t="n">
        <v>0</v>
      </c>
      <c r="I401" t="n">
        <v>0</v>
      </c>
      <c r="J401" t="n">
        <v>0</v>
      </c>
      <c r="K401" t="n">
        <v>0</v>
      </c>
      <c r="L401" t="n">
        <v>0</v>
      </c>
      <c r="M401" t="n">
        <v>0</v>
      </c>
      <c r="N401" t="n">
        <v>0</v>
      </c>
      <c r="O401" t="n">
        <v>0</v>
      </c>
      <c r="P401" t="n">
        <v>0</v>
      </c>
      <c r="Q401" t="n">
        <v>0</v>
      </c>
      <c r="R401" s="2" t="inlineStr"/>
    </row>
    <row r="402" ht="15" customHeight="1">
      <c r="A402" t="inlineStr">
        <is>
          <t>A 33108-2022</t>
        </is>
      </c>
      <c r="B402" s="1" t="n">
        <v>44785</v>
      </c>
      <c r="C402" s="1" t="n">
        <v>45852</v>
      </c>
      <c r="D402" t="inlineStr">
        <is>
          <t>DALARNAS LÄN</t>
        </is>
      </c>
      <c r="E402" t="inlineStr">
        <is>
          <t>LUDVIKA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33673-2022</t>
        </is>
      </c>
      <c r="B403" s="1" t="n">
        <v>44789</v>
      </c>
      <c r="C403" s="1" t="n">
        <v>45852</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36770-2022</t>
        </is>
      </c>
      <c r="B404" s="1" t="n">
        <v>44805</v>
      </c>
      <c r="C404" s="1" t="n">
        <v>45852</v>
      </c>
      <c r="D404" t="inlineStr">
        <is>
          <t>DALARNAS LÄN</t>
        </is>
      </c>
      <c r="E404" t="inlineStr">
        <is>
          <t>LUDVIKA</t>
        </is>
      </c>
      <c r="F404" t="inlineStr">
        <is>
          <t>Bergvik skog väst AB</t>
        </is>
      </c>
      <c r="G404" t="n">
        <v>4.1</v>
      </c>
      <c r="H404" t="n">
        <v>0</v>
      </c>
      <c r="I404" t="n">
        <v>0</v>
      </c>
      <c r="J404" t="n">
        <v>0</v>
      </c>
      <c r="K404" t="n">
        <v>0</v>
      </c>
      <c r="L404" t="n">
        <v>0</v>
      </c>
      <c r="M404" t="n">
        <v>0</v>
      </c>
      <c r="N404" t="n">
        <v>0</v>
      </c>
      <c r="O404" t="n">
        <v>0</v>
      </c>
      <c r="P404" t="n">
        <v>0</v>
      </c>
      <c r="Q404" t="n">
        <v>0</v>
      </c>
      <c r="R404" s="2" t="inlineStr"/>
    </row>
    <row r="405" ht="15" customHeight="1">
      <c r="A405" t="inlineStr">
        <is>
          <t>A 36852-2022</t>
        </is>
      </c>
      <c r="B405" s="1" t="n">
        <v>44805</v>
      </c>
      <c r="C405" s="1" t="n">
        <v>45852</v>
      </c>
      <c r="D405" t="inlineStr">
        <is>
          <t>DALARNAS LÄN</t>
        </is>
      </c>
      <c r="E405" t="inlineStr">
        <is>
          <t>LUDVIKA</t>
        </is>
      </c>
      <c r="F405" t="inlineStr">
        <is>
          <t>Bergvik skog väst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37495-2022</t>
        </is>
      </c>
      <c r="B406" s="1" t="n">
        <v>44809</v>
      </c>
      <c r="C406" s="1" t="n">
        <v>45852</v>
      </c>
      <c r="D406" t="inlineStr">
        <is>
          <t>DALARNAS LÄN</t>
        </is>
      </c>
      <c r="E406" t="inlineStr">
        <is>
          <t>LUDVIKA</t>
        </is>
      </c>
      <c r="F406" t="inlineStr">
        <is>
          <t>Naturvårdsverket</t>
        </is>
      </c>
      <c r="G406" t="n">
        <v>3.2</v>
      </c>
      <c r="H406" t="n">
        <v>0</v>
      </c>
      <c r="I406" t="n">
        <v>0</v>
      </c>
      <c r="J406" t="n">
        <v>0</v>
      </c>
      <c r="K406" t="n">
        <v>0</v>
      </c>
      <c r="L406" t="n">
        <v>0</v>
      </c>
      <c r="M406" t="n">
        <v>0</v>
      </c>
      <c r="N406" t="n">
        <v>0</v>
      </c>
      <c r="O406" t="n">
        <v>0</v>
      </c>
      <c r="P406" t="n">
        <v>0</v>
      </c>
      <c r="Q406" t="n">
        <v>0</v>
      </c>
      <c r="R406" s="2" t="inlineStr"/>
    </row>
    <row r="407" ht="15" customHeight="1">
      <c r="A407" t="inlineStr">
        <is>
          <t>A 37479-2022</t>
        </is>
      </c>
      <c r="B407" s="1" t="n">
        <v>44809</v>
      </c>
      <c r="C407" s="1" t="n">
        <v>45852</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38014-2022</t>
        </is>
      </c>
      <c r="B408" s="1" t="n">
        <v>44811</v>
      </c>
      <c r="C408" s="1" t="n">
        <v>45852</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38565-2022</t>
        </is>
      </c>
      <c r="B409" s="1" t="n">
        <v>44813</v>
      </c>
      <c r="C409" s="1" t="n">
        <v>45852</v>
      </c>
      <c r="D409" t="inlineStr">
        <is>
          <t>DALARNAS LÄN</t>
        </is>
      </c>
      <c r="E409" t="inlineStr">
        <is>
          <t>LUDVIKA</t>
        </is>
      </c>
      <c r="F409" t="inlineStr">
        <is>
          <t>Bergvik skog väst AB</t>
        </is>
      </c>
      <c r="G409" t="n">
        <v>2.1</v>
      </c>
      <c r="H409" t="n">
        <v>0</v>
      </c>
      <c r="I409" t="n">
        <v>0</v>
      </c>
      <c r="J409" t="n">
        <v>0</v>
      </c>
      <c r="K409" t="n">
        <v>0</v>
      </c>
      <c r="L409" t="n">
        <v>0</v>
      </c>
      <c r="M409" t="n">
        <v>0</v>
      </c>
      <c r="N409" t="n">
        <v>0</v>
      </c>
      <c r="O409" t="n">
        <v>0</v>
      </c>
      <c r="P409" t="n">
        <v>0</v>
      </c>
      <c r="Q409" t="n">
        <v>0</v>
      </c>
      <c r="R409" s="2" t="inlineStr"/>
    </row>
    <row r="410" ht="15" customHeight="1">
      <c r="A410" t="inlineStr">
        <is>
          <t>A 39090-2022</t>
        </is>
      </c>
      <c r="B410" s="1" t="n">
        <v>44817</v>
      </c>
      <c r="C410" s="1" t="n">
        <v>45852</v>
      </c>
      <c r="D410" t="inlineStr">
        <is>
          <t>DALARNAS LÄN</t>
        </is>
      </c>
      <c r="E410" t="inlineStr">
        <is>
          <t>LUDVIKA</t>
        </is>
      </c>
      <c r="F410" t="inlineStr">
        <is>
          <t>Naturvårdsverket</t>
        </is>
      </c>
      <c r="G410" t="n">
        <v>2.4</v>
      </c>
      <c r="H410" t="n">
        <v>0</v>
      </c>
      <c r="I410" t="n">
        <v>0</v>
      </c>
      <c r="J410" t="n">
        <v>0</v>
      </c>
      <c r="K410" t="n">
        <v>0</v>
      </c>
      <c r="L410" t="n">
        <v>0</v>
      </c>
      <c r="M410" t="n">
        <v>0</v>
      </c>
      <c r="N410" t="n">
        <v>0</v>
      </c>
      <c r="O410" t="n">
        <v>0</v>
      </c>
      <c r="P410" t="n">
        <v>0</v>
      </c>
      <c r="Q410" t="n">
        <v>0</v>
      </c>
      <c r="R410" s="2" t="inlineStr"/>
    </row>
    <row r="411" ht="15" customHeight="1">
      <c r="A411" t="inlineStr">
        <is>
          <t>A 39257-2022</t>
        </is>
      </c>
      <c r="B411" s="1" t="n">
        <v>44817</v>
      </c>
      <c r="C411" s="1" t="n">
        <v>45852</v>
      </c>
      <c r="D411" t="inlineStr">
        <is>
          <t>DALARNAS LÄN</t>
        </is>
      </c>
      <c r="E411" t="inlineStr">
        <is>
          <t>LUDVIKA</t>
        </is>
      </c>
      <c r="F411" t="inlineStr">
        <is>
          <t>Bergvik skog väst AB</t>
        </is>
      </c>
      <c r="G411" t="n">
        <v>10</v>
      </c>
      <c r="H411" t="n">
        <v>0</v>
      </c>
      <c r="I411" t="n">
        <v>0</v>
      </c>
      <c r="J411" t="n">
        <v>0</v>
      </c>
      <c r="K411" t="n">
        <v>0</v>
      </c>
      <c r="L411" t="n">
        <v>0</v>
      </c>
      <c r="M411" t="n">
        <v>0</v>
      </c>
      <c r="N411" t="n">
        <v>0</v>
      </c>
      <c r="O411" t="n">
        <v>0</v>
      </c>
      <c r="P411" t="n">
        <v>0</v>
      </c>
      <c r="Q411" t="n">
        <v>0</v>
      </c>
      <c r="R411" s="2" t="inlineStr"/>
    </row>
    <row r="412" ht="15" customHeight="1">
      <c r="A412" t="inlineStr">
        <is>
          <t>A 39761-2022</t>
        </is>
      </c>
      <c r="B412" s="1" t="n">
        <v>44819</v>
      </c>
      <c r="C412" s="1" t="n">
        <v>45852</v>
      </c>
      <c r="D412" t="inlineStr">
        <is>
          <t>DALARNAS LÄN</t>
        </is>
      </c>
      <c r="E412" t="inlineStr">
        <is>
          <t>LUDVIKA</t>
        </is>
      </c>
      <c r="F412" t="inlineStr">
        <is>
          <t>Naturvårdsverket</t>
        </is>
      </c>
      <c r="G412" t="n">
        <v>1</v>
      </c>
      <c r="H412" t="n">
        <v>0</v>
      </c>
      <c r="I412" t="n">
        <v>0</v>
      </c>
      <c r="J412" t="n">
        <v>0</v>
      </c>
      <c r="K412" t="n">
        <v>0</v>
      </c>
      <c r="L412" t="n">
        <v>0</v>
      </c>
      <c r="M412" t="n">
        <v>0</v>
      </c>
      <c r="N412" t="n">
        <v>0</v>
      </c>
      <c r="O412" t="n">
        <v>0</v>
      </c>
      <c r="P412" t="n">
        <v>0</v>
      </c>
      <c r="Q412" t="n">
        <v>0</v>
      </c>
      <c r="R412" s="2" t="inlineStr"/>
    </row>
    <row r="413" ht="15" customHeight="1">
      <c r="A413" t="inlineStr">
        <is>
          <t>A 40151-2022</t>
        </is>
      </c>
      <c r="B413" s="1" t="n">
        <v>44820</v>
      </c>
      <c r="C413" s="1" t="n">
        <v>45852</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40137-2022</t>
        </is>
      </c>
      <c r="B414" s="1" t="n">
        <v>44820</v>
      </c>
      <c r="C414" s="1" t="n">
        <v>45852</v>
      </c>
      <c r="D414" t="inlineStr">
        <is>
          <t>DALARNAS LÄN</t>
        </is>
      </c>
      <c r="E414" t="inlineStr">
        <is>
          <t>LUDVIKA</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40142-2022</t>
        </is>
      </c>
      <c r="B415" s="1" t="n">
        <v>44820</v>
      </c>
      <c r="C415" s="1" t="n">
        <v>45852</v>
      </c>
      <c r="D415" t="inlineStr">
        <is>
          <t>DALARNAS LÄN</t>
        </is>
      </c>
      <c r="E415" t="inlineStr">
        <is>
          <t>LUDVIKA</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41090-2022</t>
        </is>
      </c>
      <c r="B416" s="1" t="n">
        <v>44825</v>
      </c>
      <c r="C416" s="1" t="n">
        <v>45852</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41158-2022</t>
        </is>
      </c>
      <c r="B417" s="1" t="n">
        <v>44825</v>
      </c>
      <c r="C417" s="1" t="n">
        <v>45852</v>
      </c>
      <c r="D417" t="inlineStr">
        <is>
          <t>DALARNAS LÄN</t>
        </is>
      </c>
      <c r="E417" t="inlineStr">
        <is>
          <t>LUDVIKA</t>
        </is>
      </c>
      <c r="G417" t="n">
        <v>2.1</v>
      </c>
      <c r="H417" t="n">
        <v>0</v>
      </c>
      <c r="I417" t="n">
        <v>0</v>
      </c>
      <c r="J417" t="n">
        <v>0</v>
      </c>
      <c r="K417" t="n">
        <v>0</v>
      </c>
      <c r="L417" t="n">
        <v>0</v>
      </c>
      <c r="M417" t="n">
        <v>0</v>
      </c>
      <c r="N417" t="n">
        <v>0</v>
      </c>
      <c r="O417" t="n">
        <v>0</v>
      </c>
      <c r="P417" t="n">
        <v>0</v>
      </c>
      <c r="Q417" t="n">
        <v>0</v>
      </c>
      <c r="R417" s="2" t="inlineStr"/>
    </row>
    <row r="418" ht="15" customHeight="1">
      <c r="A418" t="inlineStr">
        <is>
          <t>A 41123-2022</t>
        </is>
      </c>
      <c r="B418" s="1" t="n">
        <v>44825</v>
      </c>
      <c r="C418" s="1" t="n">
        <v>45852</v>
      </c>
      <c r="D418" t="inlineStr">
        <is>
          <t>DALARNAS LÄN</t>
        </is>
      </c>
      <c r="E418" t="inlineStr">
        <is>
          <t>LUDVIKA</t>
        </is>
      </c>
      <c r="F418" t="inlineStr">
        <is>
          <t>Naturvårdsverket</t>
        </is>
      </c>
      <c r="G418" t="n">
        <v>1</v>
      </c>
      <c r="H418" t="n">
        <v>0</v>
      </c>
      <c r="I418" t="n">
        <v>0</v>
      </c>
      <c r="J418" t="n">
        <v>0</v>
      </c>
      <c r="K418" t="n">
        <v>0</v>
      </c>
      <c r="L418" t="n">
        <v>0</v>
      </c>
      <c r="M418" t="n">
        <v>0</v>
      </c>
      <c r="N418" t="n">
        <v>0</v>
      </c>
      <c r="O418" t="n">
        <v>0</v>
      </c>
      <c r="P418" t="n">
        <v>0</v>
      </c>
      <c r="Q418" t="n">
        <v>0</v>
      </c>
      <c r="R418" s="2" t="inlineStr"/>
    </row>
    <row r="419" ht="15" customHeight="1">
      <c r="A419" t="inlineStr">
        <is>
          <t>A 41400-2022</t>
        </is>
      </c>
      <c r="B419" s="1" t="n">
        <v>44826</v>
      </c>
      <c r="C419" s="1" t="n">
        <v>45852</v>
      </c>
      <c r="D419" t="inlineStr">
        <is>
          <t>DALARNAS LÄN</t>
        </is>
      </c>
      <c r="E419" t="inlineStr">
        <is>
          <t>LUDVIKA</t>
        </is>
      </c>
      <c r="F419" t="inlineStr">
        <is>
          <t>Bergvik skog väst AB</t>
        </is>
      </c>
      <c r="G419" t="n">
        <v>3.5</v>
      </c>
      <c r="H419" t="n">
        <v>0</v>
      </c>
      <c r="I419" t="n">
        <v>0</v>
      </c>
      <c r="J419" t="n">
        <v>0</v>
      </c>
      <c r="K419" t="n">
        <v>0</v>
      </c>
      <c r="L419" t="n">
        <v>0</v>
      </c>
      <c r="M419" t="n">
        <v>0</v>
      </c>
      <c r="N419" t="n">
        <v>0</v>
      </c>
      <c r="O419" t="n">
        <v>0</v>
      </c>
      <c r="P419" t="n">
        <v>0</v>
      </c>
      <c r="Q419" t="n">
        <v>0</v>
      </c>
      <c r="R419" s="2" t="inlineStr"/>
    </row>
    <row r="420" ht="15" customHeight="1">
      <c r="A420" t="inlineStr">
        <is>
          <t>A 41328-2022</t>
        </is>
      </c>
      <c r="B420" s="1" t="n">
        <v>44826</v>
      </c>
      <c r="C420" s="1" t="n">
        <v>45852</v>
      </c>
      <c r="D420" t="inlineStr">
        <is>
          <t>DALARNAS LÄN</t>
        </is>
      </c>
      <c r="E420" t="inlineStr">
        <is>
          <t>LUDVIKA</t>
        </is>
      </c>
      <c r="F420" t="inlineStr">
        <is>
          <t>Bergvik skog väst AB</t>
        </is>
      </c>
      <c r="G420" t="n">
        <v>6.1</v>
      </c>
      <c r="H420" t="n">
        <v>0</v>
      </c>
      <c r="I420" t="n">
        <v>0</v>
      </c>
      <c r="J420" t="n">
        <v>0</v>
      </c>
      <c r="K420" t="n">
        <v>0</v>
      </c>
      <c r="L420" t="n">
        <v>0</v>
      </c>
      <c r="M420" t="n">
        <v>0</v>
      </c>
      <c r="N420" t="n">
        <v>0</v>
      </c>
      <c r="O420" t="n">
        <v>0</v>
      </c>
      <c r="P420" t="n">
        <v>0</v>
      </c>
      <c r="Q420" t="n">
        <v>0</v>
      </c>
      <c r="R420" s="2" t="inlineStr"/>
    </row>
    <row r="421" ht="15" customHeight="1">
      <c r="A421" t="inlineStr">
        <is>
          <t>A 41712-2022</t>
        </is>
      </c>
      <c r="B421" s="1" t="n">
        <v>44827</v>
      </c>
      <c r="C421" s="1" t="n">
        <v>45852</v>
      </c>
      <c r="D421" t="inlineStr">
        <is>
          <t>DALARNAS LÄN</t>
        </is>
      </c>
      <c r="E421" t="inlineStr">
        <is>
          <t>LUDVIKA</t>
        </is>
      </c>
      <c r="G421" t="n">
        <v>1.5</v>
      </c>
      <c r="H421" t="n">
        <v>0</v>
      </c>
      <c r="I421" t="n">
        <v>0</v>
      </c>
      <c r="J421" t="n">
        <v>0</v>
      </c>
      <c r="K421" t="n">
        <v>0</v>
      </c>
      <c r="L421" t="n">
        <v>0</v>
      </c>
      <c r="M421" t="n">
        <v>0</v>
      </c>
      <c r="N421" t="n">
        <v>0</v>
      </c>
      <c r="O421" t="n">
        <v>0</v>
      </c>
      <c r="P421" t="n">
        <v>0</v>
      </c>
      <c r="Q421" t="n">
        <v>0</v>
      </c>
      <c r="R421" s="2" t="inlineStr"/>
    </row>
    <row r="422" ht="15" customHeight="1">
      <c r="A422" t="inlineStr">
        <is>
          <t>A 41594-2022</t>
        </is>
      </c>
      <c r="B422" s="1" t="n">
        <v>44827</v>
      </c>
      <c r="C422" s="1" t="n">
        <v>45852</v>
      </c>
      <c r="D422" t="inlineStr">
        <is>
          <t>DALARNAS LÄN</t>
        </is>
      </c>
      <c r="E422" t="inlineStr">
        <is>
          <t>LUDVIKA</t>
        </is>
      </c>
      <c r="F422" t="inlineStr">
        <is>
          <t>Bergvik skog väst AB</t>
        </is>
      </c>
      <c r="G422" t="n">
        <v>1.3</v>
      </c>
      <c r="H422" t="n">
        <v>0</v>
      </c>
      <c r="I422" t="n">
        <v>0</v>
      </c>
      <c r="J422" t="n">
        <v>0</v>
      </c>
      <c r="K422" t="n">
        <v>0</v>
      </c>
      <c r="L422" t="n">
        <v>0</v>
      </c>
      <c r="M422" t="n">
        <v>0</v>
      </c>
      <c r="N422" t="n">
        <v>0</v>
      </c>
      <c r="O422" t="n">
        <v>0</v>
      </c>
      <c r="P422" t="n">
        <v>0</v>
      </c>
      <c r="Q422" t="n">
        <v>0</v>
      </c>
      <c r="R422" s="2" t="inlineStr"/>
    </row>
    <row r="423" ht="15" customHeight="1">
      <c r="A423" t="inlineStr">
        <is>
          <t>A 41796-2022</t>
        </is>
      </c>
      <c r="B423" s="1" t="n">
        <v>44827</v>
      </c>
      <c r="C423" s="1" t="n">
        <v>45852</v>
      </c>
      <c r="D423" t="inlineStr">
        <is>
          <t>DALARNAS LÄN</t>
        </is>
      </c>
      <c r="E423" t="inlineStr">
        <is>
          <t>LUDVIKA</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41797-2022</t>
        </is>
      </c>
      <c r="B424" s="1" t="n">
        <v>44827</v>
      </c>
      <c r="C424" s="1" t="n">
        <v>45852</v>
      </c>
      <c r="D424" t="inlineStr">
        <is>
          <t>DALARNAS LÄN</t>
        </is>
      </c>
      <c r="E424" t="inlineStr">
        <is>
          <t>LUDVIKA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42140-2022</t>
        </is>
      </c>
      <c r="B425" s="1" t="n">
        <v>44830</v>
      </c>
      <c r="C425" s="1" t="n">
        <v>45852</v>
      </c>
      <c r="D425" t="inlineStr">
        <is>
          <t>DALARNAS LÄN</t>
        </is>
      </c>
      <c r="E425" t="inlineStr">
        <is>
          <t>LUDVIKA</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42329-2022</t>
        </is>
      </c>
      <c r="B426" s="1" t="n">
        <v>44831</v>
      </c>
      <c r="C426" s="1" t="n">
        <v>45852</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42440-2022</t>
        </is>
      </c>
      <c r="B427" s="1" t="n">
        <v>44831</v>
      </c>
      <c r="C427" s="1" t="n">
        <v>45852</v>
      </c>
      <c r="D427" t="inlineStr">
        <is>
          <t>DALARNAS LÄN</t>
        </is>
      </c>
      <c r="E427" t="inlineStr">
        <is>
          <t>LUDVIKA</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42572-2022</t>
        </is>
      </c>
      <c r="B428" s="1" t="n">
        <v>44831</v>
      </c>
      <c r="C428" s="1" t="n">
        <v>45852</v>
      </c>
      <c r="D428" t="inlineStr">
        <is>
          <t>DALARNAS LÄN</t>
        </is>
      </c>
      <c r="E428" t="inlineStr">
        <is>
          <t>LUDVIKA</t>
        </is>
      </c>
      <c r="F428" t="inlineStr">
        <is>
          <t>Bergvik skog väst AB</t>
        </is>
      </c>
      <c r="G428" t="n">
        <v>9.1</v>
      </c>
      <c r="H428" t="n">
        <v>0</v>
      </c>
      <c r="I428" t="n">
        <v>0</v>
      </c>
      <c r="J428" t="n">
        <v>0</v>
      </c>
      <c r="K428" t="n">
        <v>0</v>
      </c>
      <c r="L428" t="n">
        <v>0</v>
      </c>
      <c r="M428" t="n">
        <v>0</v>
      </c>
      <c r="N428" t="n">
        <v>0</v>
      </c>
      <c r="O428" t="n">
        <v>0</v>
      </c>
      <c r="P428" t="n">
        <v>0</v>
      </c>
      <c r="Q428" t="n">
        <v>0</v>
      </c>
      <c r="R428" s="2" t="inlineStr"/>
    </row>
    <row r="429" ht="15" customHeight="1">
      <c r="A429" t="inlineStr">
        <is>
          <t>A 42709-2022</t>
        </is>
      </c>
      <c r="B429" s="1" t="n">
        <v>44832</v>
      </c>
      <c r="C429" s="1" t="n">
        <v>45852</v>
      </c>
      <c r="D429" t="inlineStr">
        <is>
          <t>DALARNAS LÄN</t>
        </is>
      </c>
      <c r="E429" t="inlineStr">
        <is>
          <t>LUDVIKA</t>
        </is>
      </c>
      <c r="F429" t="inlineStr">
        <is>
          <t>Naturvårdsverket</t>
        </is>
      </c>
      <c r="G429" t="n">
        <v>4.5</v>
      </c>
      <c r="H429" t="n">
        <v>0</v>
      </c>
      <c r="I429" t="n">
        <v>0</v>
      </c>
      <c r="J429" t="n">
        <v>0</v>
      </c>
      <c r="K429" t="n">
        <v>0</v>
      </c>
      <c r="L429" t="n">
        <v>0</v>
      </c>
      <c r="M429" t="n">
        <v>0</v>
      </c>
      <c r="N429" t="n">
        <v>0</v>
      </c>
      <c r="O429" t="n">
        <v>0</v>
      </c>
      <c r="P429" t="n">
        <v>0</v>
      </c>
      <c r="Q429" t="n">
        <v>0</v>
      </c>
      <c r="R429" s="2" t="inlineStr"/>
    </row>
    <row r="430" ht="15" customHeight="1">
      <c r="A430" t="inlineStr">
        <is>
          <t>A 43008-2022</t>
        </is>
      </c>
      <c r="B430" s="1" t="n">
        <v>44833</v>
      </c>
      <c r="C430" s="1" t="n">
        <v>45852</v>
      </c>
      <c r="D430" t="inlineStr">
        <is>
          <t>DALARNAS LÄN</t>
        </is>
      </c>
      <c r="E430" t="inlineStr">
        <is>
          <t>LUDVIKA</t>
        </is>
      </c>
      <c r="G430" t="n">
        <v>0.8</v>
      </c>
      <c r="H430" t="n">
        <v>0</v>
      </c>
      <c r="I430" t="n">
        <v>0</v>
      </c>
      <c r="J430" t="n">
        <v>0</v>
      </c>
      <c r="K430" t="n">
        <v>0</v>
      </c>
      <c r="L430" t="n">
        <v>0</v>
      </c>
      <c r="M430" t="n">
        <v>0</v>
      </c>
      <c r="N430" t="n">
        <v>0</v>
      </c>
      <c r="O430" t="n">
        <v>0</v>
      </c>
      <c r="P430" t="n">
        <v>0</v>
      </c>
      <c r="Q430" t="n">
        <v>0</v>
      </c>
      <c r="R430" s="2" t="inlineStr"/>
    </row>
    <row r="431" ht="15" customHeight="1">
      <c r="A431" t="inlineStr">
        <is>
          <t>A 43047-2022</t>
        </is>
      </c>
      <c r="B431" s="1" t="n">
        <v>44833</v>
      </c>
      <c r="C431" s="1" t="n">
        <v>45852</v>
      </c>
      <c r="D431" t="inlineStr">
        <is>
          <t>DALARNAS LÄN</t>
        </is>
      </c>
      <c r="E431" t="inlineStr">
        <is>
          <t>LUDVIKA</t>
        </is>
      </c>
      <c r="F431" t="inlineStr">
        <is>
          <t>Bergvik skog väst AB</t>
        </is>
      </c>
      <c r="G431" t="n">
        <v>9.5</v>
      </c>
      <c r="H431" t="n">
        <v>0</v>
      </c>
      <c r="I431" t="n">
        <v>0</v>
      </c>
      <c r="J431" t="n">
        <v>0</v>
      </c>
      <c r="K431" t="n">
        <v>0</v>
      </c>
      <c r="L431" t="n">
        <v>0</v>
      </c>
      <c r="M431" t="n">
        <v>0</v>
      </c>
      <c r="N431" t="n">
        <v>0</v>
      </c>
      <c r="O431" t="n">
        <v>0</v>
      </c>
      <c r="P431" t="n">
        <v>0</v>
      </c>
      <c r="Q431" t="n">
        <v>0</v>
      </c>
      <c r="R431" s="2" t="inlineStr"/>
    </row>
    <row r="432" ht="15" customHeight="1">
      <c r="A432" t="inlineStr">
        <is>
          <t>A 45060-2022</t>
        </is>
      </c>
      <c r="B432" s="1" t="n">
        <v>44841</v>
      </c>
      <c r="C432" s="1" t="n">
        <v>45852</v>
      </c>
      <c r="D432" t="inlineStr">
        <is>
          <t>DALARNAS LÄN</t>
        </is>
      </c>
      <c r="E432" t="inlineStr">
        <is>
          <t>LUDVIKA</t>
        </is>
      </c>
      <c r="G432" t="n">
        <v>1.1</v>
      </c>
      <c r="H432" t="n">
        <v>0</v>
      </c>
      <c r="I432" t="n">
        <v>0</v>
      </c>
      <c r="J432" t="n">
        <v>0</v>
      </c>
      <c r="K432" t="n">
        <v>0</v>
      </c>
      <c r="L432" t="n">
        <v>0</v>
      </c>
      <c r="M432" t="n">
        <v>0</v>
      </c>
      <c r="N432" t="n">
        <v>0</v>
      </c>
      <c r="O432" t="n">
        <v>0</v>
      </c>
      <c r="P432" t="n">
        <v>0</v>
      </c>
      <c r="Q432" t="n">
        <v>0</v>
      </c>
      <c r="R432" s="2" t="inlineStr"/>
    </row>
    <row r="433" ht="15" customHeight="1">
      <c r="A433" t="inlineStr">
        <is>
          <t>A 45235-2022</t>
        </is>
      </c>
      <c r="B433" s="1" t="n">
        <v>44844</v>
      </c>
      <c r="C433" s="1" t="n">
        <v>45852</v>
      </c>
      <c r="D433" t="inlineStr">
        <is>
          <t>DALARNAS LÄN</t>
        </is>
      </c>
      <c r="E433" t="inlineStr">
        <is>
          <t>LUDVIKA</t>
        </is>
      </c>
      <c r="F433" t="inlineStr">
        <is>
          <t>Naturvårdsverket</t>
        </is>
      </c>
      <c r="G433" t="n">
        <v>4.1</v>
      </c>
      <c r="H433" t="n">
        <v>0</v>
      </c>
      <c r="I433" t="n">
        <v>0</v>
      </c>
      <c r="J433" t="n">
        <v>0</v>
      </c>
      <c r="K433" t="n">
        <v>0</v>
      </c>
      <c r="L433" t="n">
        <v>0</v>
      </c>
      <c r="M433" t="n">
        <v>0</v>
      </c>
      <c r="N433" t="n">
        <v>0</v>
      </c>
      <c r="O433" t="n">
        <v>0</v>
      </c>
      <c r="P433" t="n">
        <v>0</v>
      </c>
      <c r="Q433" t="n">
        <v>0</v>
      </c>
      <c r="R433" s="2" t="inlineStr"/>
    </row>
    <row r="434" ht="15" customHeight="1">
      <c r="A434" t="inlineStr">
        <is>
          <t>A 45179-2022</t>
        </is>
      </c>
      <c r="B434" s="1" t="n">
        <v>44844</v>
      </c>
      <c r="C434" s="1" t="n">
        <v>45852</v>
      </c>
      <c r="D434" t="inlineStr">
        <is>
          <t>DALARNAS LÄN</t>
        </is>
      </c>
      <c r="E434" t="inlineStr">
        <is>
          <t>LUDVIKA</t>
        </is>
      </c>
      <c r="F434" t="inlineStr">
        <is>
          <t>Naturvårdsverket</t>
        </is>
      </c>
      <c r="G434" t="n">
        <v>4.3</v>
      </c>
      <c r="H434" t="n">
        <v>0</v>
      </c>
      <c r="I434" t="n">
        <v>0</v>
      </c>
      <c r="J434" t="n">
        <v>0</v>
      </c>
      <c r="K434" t="n">
        <v>0</v>
      </c>
      <c r="L434" t="n">
        <v>0</v>
      </c>
      <c r="M434" t="n">
        <v>0</v>
      </c>
      <c r="N434" t="n">
        <v>0</v>
      </c>
      <c r="O434" t="n">
        <v>0</v>
      </c>
      <c r="P434" t="n">
        <v>0</v>
      </c>
      <c r="Q434" t="n">
        <v>0</v>
      </c>
      <c r="R434" s="2" t="inlineStr"/>
    </row>
    <row r="435" ht="15" customHeight="1">
      <c r="A435" t="inlineStr">
        <is>
          <t>A 45230-2022</t>
        </is>
      </c>
      <c r="B435" s="1" t="n">
        <v>44844</v>
      </c>
      <c r="C435" s="1" t="n">
        <v>45852</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45361-2022</t>
        </is>
      </c>
      <c r="B436" s="1" t="n">
        <v>44844</v>
      </c>
      <c r="C436" s="1" t="n">
        <v>45852</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45458-2022</t>
        </is>
      </c>
      <c r="B437" s="1" t="n">
        <v>44845</v>
      </c>
      <c r="C437" s="1" t="n">
        <v>45852</v>
      </c>
      <c r="D437" t="inlineStr">
        <is>
          <t>DALARNAS LÄN</t>
        </is>
      </c>
      <c r="E437" t="inlineStr">
        <is>
          <t>LUDVIKA</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46878-2022</t>
        </is>
      </c>
      <c r="B438" s="1" t="n">
        <v>44848</v>
      </c>
      <c r="C438" s="1" t="n">
        <v>45852</v>
      </c>
      <c r="D438" t="inlineStr">
        <is>
          <t>DALARNAS LÄN</t>
        </is>
      </c>
      <c r="E438" t="inlineStr">
        <is>
          <t>LUDVIKA</t>
        </is>
      </c>
      <c r="G438" t="n">
        <v>4</v>
      </c>
      <c r="H438" t="n">
        <v>0</v>
      </c>
      <c r="I438" t="n">
        <v>0</v>
      </c>
      <c r="J438" t="n">
        <v>0</v>
      </c>
      <c r="K438" t="n">
        <v>0</v>
      </c>
      <c r="L438" t="n">
        <v>0</v>
      </c>
      <c r="M438" t="n">
        <v>0</v>
      </c>
      <c r="N438" t="n">
        <v>0</v>
      </c>
      <c r="O438" t="n">
        <v>0</v>
      </c>
      <c r="P438" t="n">
        <v>0</v>
      </c>
      <c r="Q438" t="n">
        <v>0</v>
      </c>
      <c r="R438" s="2" t="inlineStr"/>
    </row>
    <row r="439" ht="15" customHeight="1">
      <c r="A439" t="inlineStr">
        <is>
          <t>A 46680-2022</t>
        </is>
      </c>
      <c r="B439" s="1" t="n">
        <v>44851</v>
      </c>
      <c r="C439" s="1" t="n">
        <v>45852</v>
      </c>
      <c r="D439" t="inlineStr">
        <is>
          <t>DALARNAS LÄN</t>
        </is>
      </c>
      <c r="E439" t="inlineStr">
        <is>
          <t>LUDVIKA</t>
        </is>
      </c>
      <c r="G439" t="n">
        <v>2.6</v>
      </c>
      <c r="H439" t="n">
        <v>0</v>
      </c>
      <c r="I439" t="n">
        <v>0</v>
      </c>
      <c r="J439" t="n">
        <v>0</v>
      </c>
      <c r="K439" t="n">
        <v>0</v>
      </c>
      <c r="L439" t="n">
        <v>0</v>
      </c>
      <c r="M439" t="n">
        <v>0</v>
      </c>
      <c r="N439" t="n">
        <v>0</v>
      </c>
      <c r="O439" t="n">
        <v>0</v>
      </c>
      <c r="P439" t="n">
        <v>0</v>
      </c>
      <c r="Q439" t="n">
        <v>0</v>
      </c>
      <c r="R439" s="2" t="inlineStr"/>
    </row>
    <row r="440" ht="15" customHeight="1">
      <c r="A440" t="inlineStr">
        <is>
          <t>A 46905-2022</t>
        </is>
      </c>
      <c r="B440" s="1" t="n">
        <v>44851</v>
      </c>
      <c r="C440" s="1" t="n">
        <v>45852</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47071-2022</t>
        </is>
      </c>
      <c r="B441" s="1" t="n">
        <v>44852</v>
      </c>
      <c r="C441" s="1" t="n">
        <v>45852</v>
      </c>
      <c r="D441" t="inlineStr">
        <is>
          <t>DALARNAS LÄN</t>
        </is>
      </c>
      <c r="E441" t="inlineStr">
        <is>
          <t>LUDVIKA</t>
        </is>
      </c>
      <c r="G441" t="n">
        <v>1.2</v>
      </c>
      <c r="H441" t="n">
        <v>0</v>
      </c>
      <c r="I441" t="n">
        <v>0</v>
      </c>
      <c r="J441" t="n">
        <v>0</v>
      </c>
      <c r="K441" t="n">
        <v>0</v>
      </c>
      <c r="L441" t="n">
        <v>0</v>
      </c>
      <c r="M441" t="n">
        <v>0</v>
      </c>
      <c r="N441" t="n">
        <v>0</v>
      </c>
      <c r="O441" t="n">
        <v>0</v>
      </c>
      <c r="P441" t="n">
        <v>0</v>
      </c>
      <c r="Q441" t="n">
        <v>0</v>
      </c>
      <c r="R441" s="2" t="inlineStr"/>
    </row>
    <row r="442" ht="15" customHeight="1">
      <c r="A442" t="inlineStr">
        <is>
          <t>A 47496-2022</t>
        </is>
      </c>
      <c r="B442" s="1" t="n">
        <v>44853</v>
      </c>
      <c r="C442" s="1" t="n">
        <v>45852</v>
      </c>
      <c r="D442" t="inlineStr">
        <is>
          <t>DALARNAS LÄN</t>
        </is>
      </c>
      <c r="E442" t="inlineStr">
        <is>
          <t>LUDVIKA</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47731-2022</t>
        </is>
      </c>
      <c r="B443" s="1" t="n">
        <v>44854</v>
      </c>
      <c r="C443" s="1" t="n">
        <v>45852</v>
      </c>
      <c r="D443" t="inlineStr">
        <is>
          <t>DALARNAS LÄN</t>
        </is>
      </c>
      <c r="E443" t="inlineStr">
        <is>
          <t>LUDVIKA</t>
        </is>
      </c>
      <c r="F443" t="inlineStr">
        <is>
          <t>Naturvårdsverket</t>
        </is>
      </c>
      <c r="G443" t="n">
        <v>2.1</v>
      </c>
      <c r="H443" t="n">
        <v>0</v>
      </c>
      <c r="I443" t="n">
        <v>0</v>
      </c>
      <c r="J443" t="n">
        <v>0</v>
      </c>
      <c r="K443" t="n">
        <v>0</v>
      </c>
      <c r="L443" t="n">
        <v>0</v>
      </c>
      <c r="M443" t="n">
        <v>0</v>
      </c>
      <c r="N443" t="n">
        <v>0</v>
      </c>
      <c r="O443" t="n">
        <v>0</v>
      </c>
      <c r="P443" t="n">
        <v>0</v>
      </c>
      <c r="Q443" t="n">
        <v>0</v>
      </c>
      <c r="R443" s="2" t="inlineStr"/>
    </row>
    <row r="444" ht="15" customHeight="1">
      <c r="A444" t="inlineStr">
        <is>
          <t>A 48740-2022</t>
        </is>
      </c>
      <c r="B444" s="1" t="n">
        <v>44859</v>
      </c>
      <c r="C444" s="1" t="n">
        <v>45852</v>
      </c>
      <c r="D444" t="inlineStr">
        <is>
          <t>DALARNAS LÄN</t>
        </is>
      </c>
      <c r="E444" t="inlineStr">
        <is>
          <t>LUDVIKA</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48804-2022</t>
        </is>
      </c>
      <c r="B445" s="1" t="n">
        <v>44859</v>
      </c>
      <c r="C445" s="1" t="n">
        <v>45852</v>
      </c>
      <c r="D445" t="inlineStr">
        <is>
          <t>DALARNAS LÄN</t>
        </is>
      </c>
      <c r="E445" t="inlineStr">
        <is>
          <t>LUDVIKA</t>
        </is>
      </c>
      <c r="F445" t="inlineStr">
        <is>
          <t>Naturvårdsverket</t>
        </is>
      </c>
      <c r="G445" t="n">
        <v>5.1</v>
      </c>
      <c r="H445" t="n">
        <v>0</v>
      </c>
      <c r="I445" t="n">
        <v>0</v>
      </c>
      <c r="J445" t="n">
        <v>0</v>
      </c>
      <c r="K445" t="n">
        <v>0</v>
      </c>
      <c r="L445" t="n">
        <v>0</v>
      </c>
      <c r="M445" t="n">
        <v>0</v>
      </c>
      <c r="N445" t="n">
        <v>0</v>
      </c>
      <c r="O445" t="n">
        <v>0</v>
      </c>
      <c r="P445" t="n">
        <v>0</v>
      </c>
      <c r="Q445" t="n">
        <v>0</v>
      </c>
      <c r="R445" s="2" t="inlineStr"/>
    </row>
    <row r="446" ht="15" customHeight="1">
      <c r="A446" t="inlineStr">
        <is>
          <t>A 48642-2022</t>
        </is>
      </c>
      <c r="B446" s="1" t="n">
        <v>44859</v>
      </c>
      <c r="C446" s="1" t="n">
        <v>45852</v>
      </c>
      <c r="D446" t="inlineStr">
        <is>
          <t>DALARNAS LÄN</t>
        </is>
      </c>
      <c r="E446" t="inlineStr">
        <is>
          <t>LUDVIKA</t>
        </is>
      </c>
      <c r="F446" t="inlineStr">
        <is>
          <t>Naturvårdsverket</t>
        </is>
      </c>
      <c r="G446" t="n">
        <v>1.5</v>
      </c>
      <c r="H446" t="n">
        <v>0</v>
      </c>
      <c r="I446" t="n">
        <v>0</v>
      </c>
      <c r="J446" t="n">
        <v>0</v>
      </c>
      <c r="K446" t="n">
        <v>0</v>
      </c>
      <c r="L446" t="n">
        <v>0</v>
      </c>
      <c r="M446" t="n">
        <v>0</v>
      </c>
      <c r="N446" t="n">
        <v>0</v>
      </c>
      <c r="O446" t="n">
        <v>0</v>
      </c>
      <c r="P446" t="n">
        <v>0</v>
      </c>
      <c r="Q446" t="n">
        <v>0</v>
      </c>
      <c r="R446" s="2" t="inlineStr"/>
    </row>
    <row r="447" ht="15" customHeight="1">
      <c r="A447" t="inlineStr">
        <is>
          <t>A 48715-2022</t>
        </is>
      </c>
      <c r="B447" s="1" t="n">
        <v>44859</v>
      </c>
      <c r="C447" s="1" t="n">
        <v>45852</v>
      </c>
      <c r="D447" t="inlineStr">
        <is>
          <t>DALARNAS LÄN</t>
        </is>
      </c>
      <c r="E447" t="inlineStr">
        <is>
          <t>LUDVIKA</t>
        </is>
      </c>
      <c r="F447" t="inlineStr">
        <is>
          <t>Naturvårdsverket</t>
        </is>
      </c>
      <c r="G447" t="n">
        <v>1.2</v>
      </c>
      <c r="H447" t="n">
        <v>0</v>
      </c>
      <c r="I447" t="n">
        <v>0</v>
      </c>
      <c r="J447" t="n">
        <v>0</v>
      </c>
      <c r="K447" t="n">
        <v>0</v>
      </c>
      <c r="L447" t="n">
        <v>0</v>
      </c>
      <c r="M447" t="n">
        <v>0</v>
      </c>
      <c r="N447" t="n">
        <v>0</v>
      </c>
      <c r="O447" t="n">
        <v>0</v>
      </c>
      <c r="P447" t="n">
        <v>0</v>
      </c>
      <c r="Q447" t="n">
        <v>0</v>
      </c>
      <c r="R447" s="2" t="inlineStr"/>
    </row>
    <row r="448" ht="15" customHeight="1">
      <c r="A448" t="inlineStr">
        <is>
          <t>A 48748-2022</t>
        </is>
      </c>
      <c r="B448" s="1" t="n">
        <v>44859</v>
      </c>
      <c r="C448" s="1" t="n">
        <v>45852</v>
      </c>
      <c r="D448" t="inlineStr">
        <is>
          <t>DALARNAS LÄN</t>
        </is>
      </c>
      <c r="E448" t="inlineStr">
        <is>
          <t>LUDVIKA</t>
        </is>
      </c>
      <c r="F448" t="inlineStr">
        <is>
          <t>Naturvårdsverket</t>
        </is>
      </c>
      <c r="G448" t="n">
        <v>1.2</v>
      </c>
      <c r="H448" t="n">
        <v>0</v>
      </c>
      <c r="I448" t="n">
        <v>0</v>
      </c>
      <c r="J448" t="n">
        <v>0</v>
      </c>
      <c r="K448" t="n">
        <v>0</v>
      </c>
      <c r="L448" t="n">
        <v>0</v>
      </c>
      <c r="M448" t="n">
        <v>0</v>
      </c>
      <c r="N448" t="n">
        <v>0</v>
      </c>
      <c r="O448" t="n">
        <v>0</v>
      </c>
      <c r="P448" t="n">
        <v>0</v>
      </c>
      <c r="Q448" t="n">
        <v>0</v>
      </c>
      <c r="R448" s="2" t="inlineStr"/>
    </row>
    <row r="449" ht="15" customHeight="1">
      <c r="A449" t="inlineStr">
        <is>
          <t>A 48857-2022</t>
        </is>
      </c>
      <c r="B449" s="1" t="n">
        <v>44859</v>
      </c>
      <c r="C449" s="1" t="n">
        <v>45852</v>
      </c>
      <c r="D449" t="inlineStr">
        <is>
          <t>DALARNAS LÄN</t>
        </is>
      </c>
      <c r="E449" t="inlineStr">
        <is>
          <t>LUDVIKA</t>
        </is>
      </c>
      <c r="G449" t="n">
        <v>1.8</v>
      </c>
      <c r="H449" t="n">
        <v>0</v>
      </c>
      <c r="I449" t="n">
        <v>0</v>
      </c>
      <c r="J449" t="n">
        <v>0</v>
      </c>
      <c r="K449" t="n">
        <v>0</v>
      </c>
      <c r="L449" t="n">
        <v>0</v>
      </c>
      <c r="M449" t="n">
        <v>0</v>
      </c>
      <c r="N449" t="n">
        <v>0</v>
      </c>
      <c r="O449" t="n">
        <v>0</v>
      </c>
      <c r="P449" t="n">
        <v>0</v>
      </c>
      <c r="Q449" t="n">
        <v>0</v>
      </c>
      <c r="R449" s="2" t="inlineStr"/>
    </row>
    <row r="450" ht="15" customHeight="1">
      <c r="A450" t="inlineStr">
        <is>
          <t>A 48673-2022</t>
        </is>
      </c>
      <c r="B450" s="1" t="n">
        <v>44859</v>
      </c>
      <c r="C450" s="1" t="n">
        <v>45852</v>
      </c>
      <c r="D450" t="inlineStr">
        <is>
          <t>DALARNAS LÄN</t>
        </is>
      </c>
      <c r="E450" t="inlineStr">
        <is>
          <t>LUDVIKA</t>
        </is>
      </c>
      <c r="F450" t="inlineStr">
        <is>
          <t>Naturvårdsverket</t>
        </is>
      </c>
      <c r="G450" t="n">
        <v>1.4</v>
      </c>
      <c r="H450" t="n">
        <v>0</v>
      </c>
      <c r="I450" t="n">
        <v>0</v>
      </c>
      <c r="J450" t="n">
        <v>0</v>
      </c>
      <c r="K450" t="n">
        <v>0</v>
      </c>
      <c r="L450" t="n">
        <v>0</v>
      </c>
      <c r="M450" t="n">
        <v>0</v>
      </c>
      <c r="N450" t="n">
        <v>0</v>
      </c>
      <c r="O450" t="n">
        <v>0</v>
      </c>
      <c r="P450" t="n">
        <v>0</v>
      </c>
      <c r="Q450" t="n">
        <v>0</v>
      </c>
      <c r="R450" s="2" t="inlineStr"/>
    </row>
    <row r="451" ht="15" customHeight="1">
      <c r="A451" t="inlineStr">
        <is>
          <t>A 48759-2022</t>
        </is>
      </c>
      <c r="B451" s="1" t="n">
        <v>44859</v>
      </c>
      <c r="C451" s="1" t="n">
        <v>45852</v>
      </c>
      <c r="D451" t="inlineStr">
        <is>
          <t>DALARNAS LÄN</t>
        </is>
      </c>
      <c r="E451" t="inlineStr">
        <is>
          <t>LUDVIKA</t>
        </is>
      </c>
      <c r="F451" t="inlineStr">
        <is>
          <t>Naturvårdsverket</t>
        </is>
      </c>
      <c r="G451" t="n">
        <v>4.2</v>
      </c>
      <c r="H451" t="n">
        <v>0</v>
      </c>
      <c r="I451" t="n">
        <v>0</v>
      </c>
      <c r="J451" t="n">
        <v>0</v>
      </c>
      <c r="K451" t="n">
        <v>0</v>
      </c>
      <c r="L451" t="n">
        <v>0</v>
      </c>
      <c r="M451" t="n">
        <v>0</v>
      </c>
      <c r="N451" t="n">
        <v>0</v>
      </c>
      <c r="O451" t="n">
        <v>0</v>
      </c>
      <c r="P451" t="n">
        <v>0</v>
      </c>
      <c r="Q451" t="n">
        <v>0</v>
      </c>
      <c r="R451" s="2" t="inlineStr"/>
    </row>
    <row r="452" ht="15" customHeight="1">
      <c r="A452" t="inlineStr">
        <is>
          <t>A 49371-2022</t>
        </is>
      </c>
      <c r="B452" s="1" t="n">
        <v>44861</v>
      </c>
      <c r="C452" s="1" t="n">
        <v>45852</v>
      </c>
      <c r="D452" t="inlineStr">
        <is>
          <t>DALARNAS LÄN</t>
        </is>
      </c>
      <c r="E452" t="inlineStr">
        <is>
          <t>LUDVIKA</t>
        </is>
      </c>
      <c r="F452" t="inlineStr">
        <is>
          <t>Bergvik skog väst AB</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49564-2022</t>
        </is>
      </c>
      <c r="B453" s="1" t="n">
        <v>44862</v>
      </c>
      <c r="C453" s="1" t="n">
        <v>45852</v>
      </c>
      <c r="D453" t="inlineStr">
        <is>
          <t>DALARNAS LÄN</t>
        </is>
      </c>
      <c r="E453" t="inlineStr">
        <is>
          <t>LUDVIKA</t>
        </is>
      </c>
      <c r="F453" t="inlineStr">
        <is>
          <t>Bergvik skog väst AB</t>
        </is>
      </c>
      <c r="G453" t="n">
        <v>5.1</v>
      </c>
      <c r="H453" t="n">
        <v>0</v>
      </c>
      <c r="I453" t="n">
        <v>0</v>
      </c>
      <c r="J453" t="n">
        <v>0</v>
      </c>
      <c r="K453" t="n">
        <v>0</v>
      </c>
      <c r="L453" t="n">
        <v>0</v>
      </c>
      <c r="M453" t="n">
        <v>0</v>
      </c>
      <c r="N453" t="n">
        <v>0</v>
      </c>
      <c r="O453" t="n">
        <v>0</v>
      </c>
      <c r="P453" t="n">
        <v>0</v>
      </c>
      <c r="Q453" t="n">
        <v>0</v>
      </c>
      <c r="R453" s="2" t="inlineStr"/>
    </row>
    <row r="454" ht="15" customHeight="1">
      <c r="A454" t="inlineStr">
        <is>
          <t>A 50078-2022</t>
        </is>
      </c>
      <c r="B454" s="1" t="n">
        <v>44865</v>
      </c>
      <c r="C454" s="1" t="n">
        <v>45852</v>
      </c>
      <c r="D454" t="inlineStr">
        <is>
          <t>DALARNAS LÄN</t>
        </is>
      </c>
      <c r="E454" t="inlineStr">
        <is>
          <t>LUDVIKA</t>
        </is>
      </c>
      <c r="F454" t="inlineStr">
        <is>
          <t>Naturvårdsverket</t>
        </is>
      </c>
      <c r="G454" t="n">
        <v>0.7</v>
      </c>
      <c r="H454" t="n">
        <v>0</v>
      </c>
      <c r="I454" t="n">
        <v>0</v>
      </c>
      <c r="J454" t="n">
        <v>0</v>
      </c>
      <c r="K454" t="n">
        <v>0</v>
      </c>
      <c r="L454" t="n">
        <v>0</v>
      </c>
      <c r="M454" t="n">
        <v>0</v>
      </c>
      <c r="N454" t="n">
        <v>0</v>
      </c>
      <c r="O454" t="n">
        <v>0</v>
      </c>
      <c r="P454" t="n">
        <v>0</v>
      </c>
      <c r="Q454" t="n">
        <v>0</v>
      </c>
      <c r="R454" s="2" t="inlineStr"/>
    </row>
    <row r="455" ht="15" customHeight="1">
      <c r="A455" t="inlineStr">
        <is>
          <t>A 49951-2022</t>
        </is>
      </c>
      <c r="B455" s="1" t="n">
        <v>44865</v>
      </c>
      <c r="C455" s="1" t="n">
        <v>45852</v>
      </c>
      <c r="D455" t="inlineStr">
        <is>
          <t>DALARNAS LÄN</t>
        </is>
      </c>
      <c r="E455" t="inlineStr">
        <is>
          <t>LUDVIKA</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50057-2022</t>
        </is>
      </c>
      <c r="B456" s="1" t="n">
        <v>44865</v>
      </c>
      <c r="C456" s="1" t="n">
        <v>45852</v>
      </c>
      <c r="D456" t="inlineStr">
        <is>
          <t>DALARNAS LÄN</t>
        </is>
      </c>
      <c r="E456" t="inlineStr">
        <is>
          <t>LUDVIKA</t>
        </is>
      </c>
      <c r="F456" t="inlineStr">
        <is>
          <t>Naturvårdsverket</t>
        </is>
      </c>
      <c r="G456" t="n">
        <v>2.3</v>
      </c>
      <c r="H456" t="n">
        <v>0</v>
      </c>
      <c r="I456" t="n">
        <v>0</v>
      </c>
      <c r="J456" t="n">
        <v>0</v>
      </c>
      <c r="K456" t="n">
        <v>0</v>
      </c>
      <c r="L456" t="n">
        <v>0</v>
      </c>
      <c r="M456" t="n">
        <v>0</v>
      </c>
      <c r="N456" t="n">
        <v>0</v>
      </c>
      <c r="O456" t="n">
        <v>0</v>
      </c>
      <c r="P456" t="n">
        <v>0</v>
      </c>
      <c r="Q456" t="n">
        <v>0</v>
      </c>
      <c r="R456" s="2" t="inlineStr"/>
    </row>
    <row r="457" ht="15" customHeight="1">
      <c r="A457" t="inlineStr">
        <is>
          <t>A 50814-2022</t>
        </is>
      </c>
      <c r="B457" s="1" t="n">
        <v>44867</v>
      </c>
      <c r="C457" s="1" t="n">
        <v>45852</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50862-2022</t>
        </is>
      </c>
      <c r="B458" s="1" t="n">
        <v>44867</v>
      </c>
      <c r="C458" s="1" t="n">
        <v>45852</v>
      </c>
      <c r="D458" t="inlineStr">
        <is>
          <t>DALARNAS LÄN</t>
        </is>
      </c>
      <c r="E458" t="inlineStr">
        <is>
          <t>LUDVIKA</t>
        </is>
      </c>
      <c r="F458" t="inlineStr">
        <is>
          <t>Naturvårdsverket</t>
        </is>
      </c>
      <c r="G458" t="n">
        <v>14</v>
      </c>
      <c r="H458" t="n">
        <v>0</v>
      </c>
      <c r="I458" t="n">
        <v>0</v>
      </c>
      <c r="J458" t="n">
        <v>0</v>
      </c>
      <c r="K458" t="n">
        <v>0</v>
      </c>
      <c r="L458" t="n">
        <v>0</v>
      </c>
      <c r="M458" t="n">
        <v>0</v>
      </c>
      <c r="N458" t="n">
        <v>0</v>
      </c>
      <c r="O458" t="n">
        <v>0</v>
      </c>
      <c r="P458" t="n">
        <v>0</v>
      </c>
      <c r="Q458" t="n">
        <v>0</v>
      </c>
      <c r="R458" s="2" t="inlineStr"/>
    </row>
    <row r="459" ht="15" customHeight="1">
      <c r="A459" t="inlineStr">
        <is>
          <t>A 51386-2022</t>
        </is>
      </c>
      <c r="B459" s="1" t="n">
        <v>44869</v>
      </c>
      <c r="C459" s="1" t="n">
        <v>45852</v>
      </c>
      <c r="D459" t="inlineStr">
        <is>
          <t>DALARNAS LÄN</t>
        </is>
      </c>
      <c r="E459" t="inlineStr">
        <is>
          <t>LUDVIKA</t>
        </is>
      </c>
      <c r="F459" t="inlineStr">
        <is>
          <t>Bergvik skog väst AB</t>
        </is>
      </c>
      <c r="G459" t="n">
        <v>5.2</v>
      </c>
      <c r="H459" t="n">
        <v>0</v>
      </c>
      <c r="I459" t="n">
        <v>0</v>
      </c>
      <c r="J459" t="n">
        <v>0</v>
      </c>
      <c r="K459" t="n">
        <v>0</v>
      </c>
      <c r="L459" t="n">
        <v>0</v>
      </c>
      <c r="M459" t="n">
        <v>0</v>
      </c>
      <c r="N459" t="n">
        <v>0</v>
      </c>
      <c r="O459" t="n">
        <v>0</v>
      </c>
      <c r="P459" t="n">
        <v>0</v>
      </c>
      <c r="Q459" t="n">
        <v>0</v>
      </c>
      <c r="R459" s="2" t="inlineStr"/>
    </row>
    <row r="460" ht="15" customHeight="1">
      <c r="A460" t="inlineStr">
        <is>
          <t>A 51453-2022</t>
        </is>
      </c>
      <c r="B460" s="1" t="n">
        <v>44869</v>
      </c>
      <c r="C460" s="1" t="n">
        <v>45852</v>
      </c>
      <c r="D460" t="inlineStr">
        <is>
          <t>DALARNAS LÄN</t>
        </is>
      </c>
      <c r="E460" t="inlineStr">
        <is>
          <t>LUDVIKA</t>
        </is>
      </c>
      <c r="F460" t="inlineStr">
        <is>
          <t>Bergvik skog väst AB</t>
        </is>
      </c>
      <c r="G460" t="n">
        <v>8</v>
      </c>
      <c r="H460" t="n">
        <v>0</v>
      </c>
      <c r="I460" t="n">
        <v>0</v>
      </c>
      <c r="J460" t="n">
        <v>0</v>
      </c>
      <c r="K460" t="n">
        <v>0</v>
      </c>
      <c r="L460" t="n">
        <v>0</v>
      </c>
      <c r="M460" t="n">
        <v>0</v>
      </c>
      <c r="N460" t="n">
        <v>0</v>
      </c>
      <c r="O460" t="n">
        <v>0</v>
      </c>
      <c r="P460" t="n">
        <v>0</v>
      </c>
      <c r="Q460" t="n">
        <v>0</v>
      </c>
      <c r="R460" s="2" t="inlineStr"/>
    </row>
    <row r="461" ht="15" customHeight="1">
      <c r="A461" t="inlineStr">
        <is>
          <t>A 52303-2022</t>
        </is>
      </c>
      <c r="B461" s="1" t="n">
        <v>44869</v>
      </c>
      <c r="C461" s="1" t="n">
        <v>45852</v>
      </c>
      <c r="D461" t="inlineStr">
        <is>
          <t>DALARNAS LÄN</t>
        </is>
      </c>
      <c r="E461" t="inlineStr">
        <is>
          <t>LUDVIKA</t>
        </is>
      </c>
      <c r="G461" t="n">
        <v>1</v>
      </c>
      <c r="H461" t="n">
        <v>0</v>
      </c>
      <c r="I461" t="n">
        <v>0</v>
      </c>
      <c r="J461" t="n">
        <v>0</v>
      </c>
      <c r="K461" t="n">
        <v>0</v>
      </c>
      <c r="L461" t="n">
        <v>0</v>
      </c>
      <c r="M461" t="n">
        <v>0</v>
      </c>
      <c r="N461" t="n">
        <v>0</v>
      </c>
      <c r="O461" t="n">
        <v>0</v>
      </c>
      <c r="P461" t="n">
        <v>0</v>
      </c>
      <c r="Q461" t="n">
        <v>0</v>
      </c>
      <c r="R461" s="2" t="inlineStr"/>
    </row>
    <row r="462" ht="15" customHeight="1">
      <c r="A462" t="inlineStr">
        <is>
          <t>A 51713-2022</t>
        </is>
      </c>
      <c r="B462" s="1" t="n">
        <v>44872</v>
      </c>
      <c r="C462" s="1" t="n">
        <v>45852</v>
      </c>
      <c r="D462" t="inlineStr">
        <is>
          <t>DALARNAS LÄN</t>
        </is>
      </c>
      <c r="E462" t="inlineStr">
        <is>
          <t>LUDVIKA</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51659-2022</t>
        </is>
      </c>
      <c r="B463" s="1" t="n">
        <v>44872</v>
      </c>
      <c r="C463" s="1" t="n">
        <v>45852</v>
      </c>
      <c r="D463" t="inlineStr">
        <is>
          <t>DALARNAS LÄN</t>
        </is>
      </c>
      <c r="E463" t="inlineStr">
        <is>
          <t>LUDVIKA</t>
        </is>
      </c>
      <c r="G463" t="n">
        <v>0.7</v>
      </c>
      <c r="H463" t="n">
        <v>0</v>
      </c>
      <c r="I463" t="n">
        <v>0</v>
      </c>
      <c r="J463" t="n">
        <v>0</v>
      </c>
      <c r="K463" t="n">
        <v>0</v>
      </c>
      <c r="L463" t="n">
        <v>0</v>
      </c>
      <c r="M463" t="n">
        <v>0</v>
      </c>
      <c r="N463" t="n">
        <v>0</v>
      </c>
      <c r="O463" t="n">
        <v>0</v>
      </c>
      <c r="P463" t="n">
        <v>0</v>
      </c>
      <c r="Q463" t="n">
        <v>0</v>
      </c>
      <c r="R463" s="2" t="inlineStr"/>
    </row>
    <row r="464" ht="15" customHeight="1">
      <c r="A464" t="inlineStr">
        <is>
          <t>A 51709-2022</t>
        </is>
      </c>
      <c r="B464" s="1" t="n">
        <v>44872</v>
      </c>
      <c r="C464" s="1" t="n">
        <v>45852</v>
      </c>
      <c r="D464" t="inlineStr">
        <is>
          <t>DALARNAS LÄN</t>
        </is>
      </c>
      <c r="E464" t="inlineStr">
        <is>
          <t>LUDVIKA</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51886-2022</t>
        </is>
      </c>
      <c r="B465" s="1" t="n">
        <v>44872</v>
      </c>
      <c r="C465" s="1" t="n">
        <v>45852</v>
      </c>
      <c r="D465" t="inlineStr">
        <is>
          <t>DALARNAS LÄN</t>
        </is>
      </c>
      <c r="E465" t="inlineStr">
        <is>
          <t>LUDVIKA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52432-2022</t>
        </is>
      </c>
      <c r="B466" s="1" t="n">
        <v>44874</v>
      </c>
      <c r="C466" s="1" t="n">
        <v>45852</v>
      </c>
      <c r="D466" t="inlineStr">
        <is>
          <t>DALARNAS LÄN</t>
        </is>
      </c>
      <c r="E466" t="inlineStr">
        <is>
          <t>LUDVIKA</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53509-2022</t>
        </is>
      </c>
      <c r="B467" s="1" t="n">
        <v>44879</v>
      </c>
      <c r="C467" s="1" t="n">
        <v>45852</v>
      </c>
      <c r="D467" t="inlineStr">
        <is>
          <t>DALARNAS LÄN</t>
        </is>
      </c>
      <c r="E467" t="inlineStr">
        <is>
          <t>LUDVIKA</t>
        </is>
      </c>
      <c r="F467" t="inlineStr">
        <is>
          <t>Naturvårdsverket</t>
        </is>
      </c>
      <c r="G467" t="n">
        <v>4.9</v>
      </c>
      <c r="H467" t="n">
        <v>0</v>
      </c>
      <c r="I467" t="n">
        <v>0</v>
      </c>
      <c r="J467" t="n">
        <v>0</v>
      </c>
      <c r="K467" t="n">
        <v>0</v>
      </c>
      <c r="L467" t="n">
        <v>0</v>
      </c>
      <c r="M467" t="n">
        <v>0</v>
      </c>
      <c r="N467" t="n">
        <v>0</v>
      </c>
      <c r="O467" t="n">
        <v>0</v>
      </c>
      <c r="P467" t="n">
        <v>0</v>
      </c>
      <c r="Q467" t="n">
        <v>0</v>
      </c>
      <c r="R467" s="2" t="inlineStr"/>
    </row>
    <row r="468" ht="15" customHeight="1">
      <c r="A468" t="inlineStr">
        <is>
          <t>A 53619-2022</t>
        </is>
      </c>
      <c r="B468" s="1" t="n">
        <v>44879</v>
      </c>
      <c r="C468" s="1" t="n">
        <v>45852</v>
      </c>
      <c r="D468" t="inlineStr">
        <is>
          <t>DALARNAS LÄN</t>
        </is>
      </c>
      <c r="E468" t="inlineStr">
        <is>
          <t>LUDVIKA</t>
        </is>
      </c>
      <c r="G468" t="n">
        <v>1</v>
      </c>
      <c r="H468" t="n">
        <v>0</v>
      </c>
      <c r="I468" t="n">
        <v>0</v>
      </c>
      <c r="J468" t="n">
        <v>0</v>
      </c>
      <c r="K468" t="n">
        <v>0</v>
      </c>
      <c r="L468" t="n">
        <v>0</v>
      </c>
      <c r="M468" t="n">
        <v>0</v>
      </c>
      <c r="N468" t="n">
        <v>0</v>
      </c>
      <c r="O468" t="n">
        <v>0</v>
      </c>
      <c r="P468" t="n">
        <v>0</v>
      </c>
      <c r="Q468" t="n">
        <v>0</v>
      </c>
      <c r="R468" s="2" t="inlineStr"/>
    </row>
    <row r="469" ht="15" customHeight="1">
      <c r="A469" t="inlineStr">
        <is>
          <t>A 53620-2022</t>
        </is>
      </c>
      <c r="B469" s="1" t="n">
        <v>44879</v>
      </c>
      <c r="C469" s="1" t="n">
        <v>45852</v>
      </c>
      <c r="D469" t="inlineStr">
        <is>
          <t>DALARNAS LÄN</t>
        </is>
      </c>
      <c r="E469" t="inlineStr">
        <is>
          <t>LUDVIKA</t>
        </is>
      </c>
      <c r="G469" t="n">
        <v>3.7</v>
      </c>
      <c r="H469" t="n">
        <v>0</v>
      </c>
      <c r="I469" t="n">
        <v>0</v>
      </c>
      <c r="J469" t="n">
        <v>0</v>
      </c>
      <c r="K469" t="n">
        <v>0</v>
      </c>
      <c r="L469" t="n">
        <v>0</v>
      </c>
      <c r="M469" t="n">
        <v>0</v>
      </c>
      <c r="N469" t="n">
        <v>0</v>
      </c>
      <c r="O469" t="n">
        <v>0</v>
      </c>
      <c r="P469" t="n">
        <v>0</v>
      </c>
      <c r="Q469" t="n">
        <v>0</v>
      </c>
      <c r="R469" s="2" t="inlineStr"/>
    </row>
    <row r="470" ht="15" customHeight="1">
      <c r="A470" t="inlineStr">
        <is>
          <t>A 53705-2022</t>
        </is>
      </c>
      <c r="B470" s="1" t="n">
        <v>44880</v>
      </c>
      <c r="C470" s="1" t="n">
        <v>45852</v>
      </c>
      <c r="D470" t="inlineStr">
        <is>
          <t>DALARNAS LÄN</t>
        </is>
      </c>
      <c r="E470" t="inlineStr">
        <is>
          <t>LUDVIKA</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54730-2022</t>
        </is>
      </c>
      <c r="B471" s="1" t="n">
        <v>44883</v>
      </c>
      <c r="C471" s="1" t="n">
        <v>45852</v>
      </c>
      <c r="D471" t="inlineStr">
        <is>
          <t>DALARNAS LÄN</t>
        </is>
      </c>
      <c r="E471" t="inlineStr">
        <is>
          <t>LUDVIKA</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54767-2022</t>
        </is>
      </c>
      <c r="B472" s="1" t="n">
        <v>44883</v>
      </c>
      <c r="C472" s="1" t="n">
        <v>45852</v>
      </c>
      <c r="D472" t="inlineStr">
        <is>
          <t>DALARNAS LÄN</t>
        </is>
      </c>
      <c r="E472" t="inlineStr">
        <is>
          <t>LUDVIKA</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54914-2022</t>
        </is>
      </c>
      <c r="B473" s="1" t="n">
        <v>44886</v>
      </c>
      <c r="C473" s="1" t="n">
        <v>45852</v>
      </c>
      <c r="D473" t="inlineStr">
        <is>
          <t>DALARNAS LÄN</t>
        </is>
      </c>
      <c r="E473" t="inlineStr">
        <is>
          <t>LUDVIKA</t>
        </is>
      </c>
      <c r="F473" t="inlineStr">
        <is>
          <t>Naturvårdsverket</t>
        </is>
      </c>
      <c r="G473" t="n">
        <v>0.6</v>
      </c>
      <c r="H473" t="n">
        <v>0</v>
      </c>
      <c r="I473" t="n">
        <v>0</v>
      </c>
      <c r="J473" t="n">
        <v>0</v>
      </c>
      <c r="K473" t="n">
        <v>0</v>
      </c>
      <c r="L473" t="n">
        <v>0</v>
      </c>
      <c r="M473" t="n">
        <v>0</v>
      </c>
      <c r="N473" t="n">
        <v>0</v>
      </c>
      <c r="O473" t="n">
        <v>0</v>
      </c>
      <c r="P473" t="n">
        <v>0</v>
      </c>
      <c r="Q473" t="n">
        <v>0</v>
      </c>
      <c r="R473" s="2" t="inlineStr"/>
    </row>
    <row r="474" ht="15" customHeight="1">
      <c r="A474" t="inlineStr">
        <is>
          <t>A 55262-2022</t>
        </is>
      </c>
      <c r="B474" s="1" t="n">
        <v>44887</v>
      </c>
      <c r="C474" s="1" t="n">
        <v>45852</v>
      </c>
      <c r="D474" t="inlineStr">
        <is>
          <t>DALARNAS LÄN</t>
        </is>
      </c>
      <c r="E474" t="inlineStr">
        <is>
          <t>LUDVIKA</t>
        </is>
      </c>
      <c r="F474" t="inlineStr">
        <is>
          <t>Bergvik skog väst AB</t>
        </is>
      </c>
      <c r="G474" t="n">
        <v>4.4</v>
      </c>
      <c r="H474" t="n">
        <v>0</v>
      </c>
      <c r="I474" t="n">
        <v>0</v>
      </c>
      <c r="J474" t="n">
        <v>0</v>
      </c>
      <c r="K474" t="n">
        <v>0</v>
      </c>
      <c r="L474" t="n">
        <v>0</v>
      </c>
      <c r="M474" t="n">
        <v>0</v>
      </c>
      <c r="N474" t="n">
        <v>0</v>
      </c>
      <c r="O474" t="n">
        <v>0</v>
      </c>
      <c r="P474" t="n">
        <v>0</v>
      </c>
      <c r="Q474" t="n">
        <v>0</v>
      </c>
      <c r="R474" s="2" t="inlineStr"/>
    </row>
    <row r="475" ht="15" customHeight="1">
      <c r="A475" t="inlineStr">
        <is>
          <t>A 56346-2022</t>
        </is>
      </c>
      <c r="B475" s="1" t="n">
        <v>44890</v>
      </c>
      <c r="C475" s="1" t="n">
        <v>45852</v>
      </c>
      <c r="D475" t="inlineStr">
        <is>
          <t>DALARNAS LÄN</t>
        </is>
      </c>
      <c r="E475" t="inlineStr">
        <is>
          <t>LUDVIKA</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56347-2022</t>
        </is>
      </c>
      <c r="B476" s="1" t="n">
        <v>44890</v>
      </c>
      <c r="C476" s="1" t="n">
        <v>45852</v>
      </c>
      <c r="D476" t="inlineStr">
        <is>
          <t>DALARNAS LÄN</t>
        </is>
      </c>
      <c r="E476" t="inlineStr">
        <is>
          <t>LUDVIKA</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56680-2022</t>
        </is>
      </c>
      <c r="B477" s="1" t="n">
        <v>44893</v>
      </c>
      <c r="C477" s="1" t="n">
        <v>45852</v>
      </c>
      <c r="D477" t="inlineStr">
        <is>
          <t>DALARNAS LÄN</t>
        </is>
      </c>
      <c r="E477" t="inlineStr">
        <is>
          <t>LUDVIKA</t>
        </is>
      </c>
      <c r="G477" t="n">
        <v>0.4</v>
      </c>
      <c r="H477" t="n">
        <v>0</v>
      </c>
      <c r="I477" t="n">
        <v>0</v>
      </c>
      <c r="J477" t="n">
        <v>0</v>
      </c>
      <c r="K477" t="n">
        <v>0</v>
      </c>
      <c r="L477" t="n">
        <v>0</v>
      </c>
      <c r="M477" t="n">
        <v>0</v>
      </c>
      <c r="N477" t="n">
        <v>0</v>
      </c>
      <c r="O477" t="n">
        <v>0</v>
      </c>
      <c r="P477" t="n">
        <v>0</v>
      </c>
      <c r="Q477" t="n">
        <v>0</v>
      </c>
      <c r="R477" s="2" t="inlineStr"/>
    </row>
    <row r="478" ht="15" customHeight="1">
      <c r="A478" t="inlineStr">
        <is>
          <t>A 56686-2022</t>
        </is>
      </c>
      <c r="B478" s="1" t="n">
        <v>44893</v>
      </c>
      <c r="C478" s="1" t="n">
        <v>45852</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56685-2022</t>
        </is>
      </c>
      <c r="B479" s="1" t="n">
        <v>44893</v>
      </c>
      <c r="C479" s="1" t="n">
        <v>45852</v>
      </c>
      <c r="D479" t="inlineStr">
        <is>
          <t>DALARNAS LÄN</t>
        </is>
      </c>
      <c r="E479" t="inlineStr">
        <is>
          <t>LUDVIKA</t>
        </is>
      </c>
      <c r="G479" t="n">
        <v>0.6</v>
      </c>
      <c r="H479" t="n">
        <v>0</v>
      </c>
      <c r="I479" t="n">
        <v>0</v>
      </c>
      <c r="J479" t="n">
        <v>0</v>
      </c>
      <c r="K479" t="n">
        <v>0</v>
      </c>
      <c r="L479" t="n">
        <v>0</v>
      </c>
      <c r="M479" t="n">
        <v>0</v>
      </c>
      <c r="N479" t="n">
        <v>0</v>
      </c>
      <c r="O479" t="n">
        <v>0</v>
      </c>
      <c r="P479" t="n">
        <v>0</v>
      </c>
      <c r="Q479" t="n">
        <v>0</v>
      </c>
      <c r="R479" s="2" t="inlineStr"/>
    </row>
    <row r="480" ht="15" customHeight="1">
      <c r="A480" t="inlineStr">
        <is>
          <t>A 57193-2022</t>
        </is>
      </c>
      <c r="B480" s="1" t="n">
        <v>44895</v>
      </c>
      <c r="C480" s="1" t="n">
        <v>45852</v>
      </c>
      <c r="D480" t="inlineStr">
        <is>
          <t>DALARNAS LÄN</t>
        </is>
      </c>
      <c r="E480" t="inlineStr">
        <is>
          <t>LUDVIKA</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58021-2022</t>
        </is>
      </c>
      <c r="B481" s="1" t="n">
        <v>44900</v>
      </c>
      <c r="C481" s="1" t="n">
        <v>45852</v>
      </c>
      <c r="D481" t="inlineStr">
        <is>
          <t>DALARNAS LÄN</t>
        </is>
      </c>
      <c r="E481" t="inlineStr">
        <is>
          <t>LUDVIKA</t>
        </is>
      </c>
      <c r="F481" t="inlineStr">
        <is>
          <t>Bergvik skog väst AB</t>
        </is>
      </c>
      <c r="G481" t="n">
        <v>22.3</v>
      </c>
      <c r="H481" t="n">
        <v>0</v>
      </c>
      <c r="I481" t="n">
        <v>0</v>
      </c>
      <c r="J481" t="n">
        <v>0</v>
      </c>
      <c r="K481" t="n">
        <v>0</v>
      </c>
      <c r="L481" t="n">
        <v>0</v>
      </c>
      <c r="M481" t="n">
        <v>0</v>
      </c>
      <c r="N481" t="n">
        <v>0</v>
      </c>
      <c r="O481" t="n">
        <v>0</v>
      </c>
      <c r="P481" t="n">
        <v>0</v>
      </c>
      <c r="Q481" t="n">
        <v>0</v>
      </c>
      <c r="R481" s="2" t="inlineStr"/>
    </row>
    <row r="482" ht="15" customHeight="1">
      <c r="A482" t="inlineStr">
        <is>
          <t>A 59050-2022</t>
        </is>
      </c>
      <c r="B482" s="1" t="n">
        <v>44903</v>
      </c>
      <c r="C482" s="1" t="n">
        <v>45852</v>
      </c>
      <c r="D482" t="inlineStr">
        <is>
          <t>DALARNAS LÄN</t>
        </is>
      </c>
      <c r="E482" t="inlineStr">
        <is>
          <t>LUDVIKA</t>
        </is>
      </c>
      <c r="G482" t="n">
        <v>2.8</v>
      </c>
      <c r="H482" t="n">
        <v>0</v>
      </c>
      <c r="I482" t="n">
        <v>0</v>
      </c>
      <c r="J482" t="n">
        <v>0</v>
      </c>
      <c r="K482" t="n">
        <v>0</v>
      </c>
      <c r="L482" t="n">
        <v>0</v>
      </c>
      <c r="M482" t="n">
        <v>0</v>
      </c>
      <c r="N482" t="n">
        <v>0</v>
      </c>
      <c r="O482" t="n">
        <v>0</v>
      </c>
      <c r="P482" t="n">
        <v>0</v>
      </c>
      <c r="Q482" t="n">
        <v>0</v>
      </c>
      <c r="R482" s="2" t="inlineStr"/>
    </row>
    <row r="483" ht="15" customHeight="1">
      <c r="A483" t="inlineStr">
        <is>
          <t>A 59415-2022</t>
        </is>
      </c>
      <c r="B483" s="1" t="n">
        <v>44907</v>
      </c>
      <c r="C483" s="1" t="n">
        <v>45852</v>
      </c>
      <c r="D483" t="inlineStr">
        <is>
          <t>DALARNAS LÄN</t>
        </is>
      </c>
      <c r="E483" t="inlineStr">
        <is>
          <t>LUDVIKA</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59413-2022</t>
        </is>
      </c>
      <c r="B484" s="1" t="n">
        <v>44907</v>
      </c>
      <c r="C484" s="1" t="n">
        <v>45852</v>
      </c>
      <c r="D484" t="inlineStr">
        <is>
          <t>DALARNAS LÄN</t>
        </is>
      </c>
      <c r="E484" t="inlineStr">
        <is>
          <t>LUDVIKA</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61050-2022</t>
        </is>
      </c>
      <c r="B485" s="1" t="n">
        <v>44915</v>
      </c>
      <c r="C485" s="1" t="n">
        <v>45852</v>
      </c>
      <c r="D485" t="inlineStr">
        <is>
          <t>DALARNAS LÄN</t>
        </is>
      </c>
      <c r="E485" t="inlineStr">
        <is>
          <t>LUDVIKA</t>
        </is>
      </c>
      <c r="G485" t="n">
        <v>2.4</v>
      </c>
      <c r="H485" t="n">
        <v>0</v>
      </c>
      <c r="I485" t="n">
        <v>0</v>
      </c>
      <c r="J485" t="n">
        <v>0</v>
      </c>
      <c r="K485" t="n">
        <v>0</v>
      </c>
      <c r="L485" t="n">
        <v>0</v>
      </c>
      <c r="M485" t="n">
        <v>0</v>
      </c>
      <c r="N485" t="n">
        <v>0</v>
      </c>
      <c r="O485" t="n">
        <v>0</v>
      </c>
      <c r="P485" t="n">
        <v>0</v>
      </c>
      <c r="Q485" t="n">
        <v>0</v>
      </c>
      <c r="R485" s="2" t="inlineStr"/>
    </row>
    <row r="486" ht="15" customHeight="1">
      <c r="A486" t="inlineStr">
        <is>
          <t>A 61309-2022</t>
        </is>
      </c>
      <c r="B486" s="1" t="n">
        <v>44915</v>
      </c>
      <c r="C486" s="1" t="n">
        <v>45852</v>
      </c>
      <c r="D486" t="inlineStr">
        <is>
          <t>DALARNAS LÄN</t>
        </is>
      </c>
      <c r="E486" t="inlineStr">
        <is>
          <t>LUDVIKA</t>
        </is>
      </c>
      <c r="F486" t="inlineStr">
        <is>
          <t>Bergvik skog väst AB</t>
        </is>
      </c>
      <c r="G486" t="n">
        <v>2.3</v>
      </c>
      <c r="H486" t="n">
        <v>0</v>
      </c>
      <c r="I486" t="n">
        <v>0</v>
      </c>
      <c r="J486" t="n">
        <v>0</v>
      </c>
      <c r="K486" t="n">
        <v>0</v>
      </c>
      <c r="L486" t="n">
        <v>0</v>
      </c>
      <c r="M486" t="n">
        <v>0</v>
      </c>
      <c r="N486" t="n">
        <v>0</v>
      </c>
      <c r="O486" t="n">
        <v>0</v>
      </c>
      <c r="P486" t="n">
        <v>0</v>
      </c>
      <c r="Q486" t="n">
        <v>0</v>
      </c>
      <c r="R486" s="2" t="inlineStr"/>
    </row>
    <row r="487" ht="15" customHeight="1">
      <c r="A487" t="inlineStr">
        <is>
          <t>A 61278-2022</t>
        </is>
      </c>
      <c r="B487" s="1" t="n">
        <v>44915</v>
      </c>
      <c r="C487" s="1" t="n">
        <v>45852</v>
      </c>
      <c r="D487" t="inlineStr">
        <is>
          <t>DALARNAS LÄN</t>
        </is>
      </c>
      <c r="E487" t="inlineStr">
        <is>
          <t>LUDVIKA</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61621-2022</t>
        </is>
      </c>
      <c r="B488" s="1" t="n">
        <v>44916</v>
      </c>
      <c r="C488" s="1" t="n">
        <v>45852</v>
      </c>
      <c r="D488" t="inlineStr">
        <is>
          <t>DALARNAS LÄN</t>
        </is>
      </c>
      <c r="E488" t="inlineStr">
        <is>
          <t>LUDVIKA</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62275-2022</t>
        </is>
      </c>
      <c r="B489" s="1" t="n">
        <v>44923</v>
      </c>
      <c r="C489" s="1" t="n">
        <v>45852</v>
      </c>
      <c r="D489" t="inlineStr">
        <is>
          <t>DALARNAS LÄN</t>
        </is>
      </c>
      <c r="E489" t="inlineStr">
        <is>
          <t>LUDVIKA</t>
        </is>
      </c>
      <c r="G489" t="n">
        <v>4.6</v>
      </c>
      <c r="H489" t="n">
        <v>0</v>
      </c>
      <c r="I489" t="n">
        <v>0</v>
      </c>
      <c r="J489" t="n">
        <v>0</v>
      </c>
      <c r="K489" t="n">
        <v>0</v>
      </c>
      <c r="L489" t="n">
        <v>0</v>
      </c>
      <c r="M489" t="n">
        <v>0</v>
      </c>
      <c r="N489" t="n">
        <v>0</v>
      </c>
      <c r="O489" t="n">
        <v>0</v>
      </c>
      <c r="P489" t="n">
        <v>0</v>
      </c>
      <c r="Q489" t="n">
        <v>0</v>
      </c>
      <c r="R489" s="2" t="inlineStr"/>
    </row>
    <row r="490" ht="15" customHeight="1">
      <c r="A490" t="inlineStr">
        <is>
          <t>A 400-2023</t>
        </is>
      </c>
      <c r="B490" s="1" t="n">
        <v>44929</v>
      </c>
      <c r="C490" s="1" t="n">
        <v>45852</v>
      </c>
      <c r="D490" t="inlineStr">
        <is>
          <t>DALARNAS LÄN</t>
        </is>
      </c>
      <c r="E490" t="inlineStr">
        <is>
          <t>LUDVIKA</t>
        </is>
      </c>
      <c r="G490" t="n">
        <v>3.6</v>
      </c>
      <c r="H490" t="n">
        <v>0</v>
      </c>
      <c r="I490" t="n">
        <v>0</v>
      </c>
      <c r="J490" t="n">
        <v>0</v>
      </c>
      <c r="K490" t="n">
        <v>0</v>
      </c>
      <c r="L490" t="n">
        <v>0</v>
      </c>
      <c r="M490" t="n">
        <v>0</v>
      </c>
      <c r="N490" t="n">
        <v>0</v>
      </c>
      <c r="O490" t="n">
        <v>0</v>
      </c>
      <c r="P490" t="n">
        <v>0</v>
      </c>
      <c r="Q490" t="n">
        <v>0</v>
      </c>
      <c r="R490" s="2" t="inlineStr"/>
    </row>
    <row r="491" ht="15" customHeight="1">
      <c r="A491" t="inlineStr">
        <is>
          <t>A 1047-2023</t>
        </is>
      </c>
      <c r="B491" s="1" t="n">
        <v>44929</v>
      </c>
      <c r="C491" s="1" t="n">
        <v>45852</v>
      </c>
      <c r="D491" t="inlineStr">
        <is>
          <t>DALARNAS LÄN</t>
        </is>
      </c>
      <c r="E491" t="inlineStr">
        <is>
          <t>LUDVIKA</t>
        </is>
      </c>
      <c r="F491" t="inlineStr">
        <is>
          <t>Kommuner</t>
        </is>
      </c>
      <c r="G491" t="n">
        <v>3.2</v>
      </c>
      <c r="H491" t="n">
        <v>0</v>
      </c>
      <c r="I491" t="n">
        <v>0</v>
      </c>
      <c r="J491" t="n">
        <v>0</v>
      </c>
      <c r="K491" t="n">
        <v>0</v>
      </c>
      <c r="L491" t="n">
        <v>0</v>
      </c>
      <c r="M491" t="n">
        <v>0</v>
      </c>
      <c r="N491" t="n">
        <v>0</v>
      </c>
      <c r="O491" t="n">
        <v>0</v>
      </c>
      <c r="P491" t="n">
        <v>0</v>
      </c>
      <c r="Q491" t="n">
        <v>0</v>
      </c>
      <c r="R491" s="2" t="inlineStr"/>
    </row>
    <row r="492" ht="15" customHeight="1">
      <c r="A492" t="inlineStr">
        <is>
          <t>A 1647-2023</t>
        </is>
      </c>
      <c r="B492" s="1" t="n">
        <v>44937</v>
      </c>
      <c r="C492" s="1" t="n">
        <v>45852</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1852-2023</t>
        </is>
      </c>
      <c r="B493" s="1" t="n">
        <v>44938</v>
      </c>
      <c r="C493" s="1" t="n">
        <v>45852</v>
      </c>
      <c r="D493" t="inlineStr">
        <is>
          <t>DALARNAS LÄN</t>
        </is>
      </c>
      <c r="E493" t="inlineStr">
        <is>
          <t>LUDVIKA</t>
        </is>
      </c>
      <c r="G493" t="n">
        <v>4</v>
      </c>
      <c r="H493" t="n">
        <v>0</v>
      </c>
      <c r="I493" t="n">
        <v>0</v>
      </c>
      <c r="J493" t="n">
        <v>0</v>
      </c>
      <c r="K493" t="n">
        <v>0</v>
      </c>
      <c r="L493" t="n">
        <v>0</v>
      </c>
      <c r="M493" t="n">
        <v>0</v>
      </c>
      <c r="N493" t="n">
        <v>0</v>
      </c>
      <c r="O493" t="n">
        <v>0</v>
      </c>
      <c r="P493" t="n">
        <v>0</v>
      </c>
      <c r="Q493" t="n">
        <v>0</v>
      </c>
      <c r="R493" s="2" t="inlineStr"/>
    </row>
    <row r="494" ht="15" customHeight="1">
      <c r="A494" t="inlineStr">
        <is>
          <t>A 1878-2023</t>
        </is>
      </c>
      <c r="B494" s="1" t="n">
        <v>44939</v>
      </c>
      <c r="C494" s="1" t="n">
        <v>45852</v>
      </c>
      <c r="D494" t="inlineStr">
        <is>
          <t>DALARNAS LÄN</t>
        </is>
      </c>
      <c r="E494" t="inlineStr">
        <is>
          <t>LUDVIKA</t>
        </is>
      </c>
      <c r="G494" t="n">
        <v>1.5</v>
      </c>
      <c r="H494" t="n">
        <v>0</v>
      </c>
      <c r="I494" t="n">
        <v>0</v>
      </c>
      <c r="J494" t="n">
        <v>0</v>
      </c>
      <c r="K494" t="n">
        <v>0</v>
      </c>
      <c r="L494" t="n">
        <v>0</v>
      </c>
      <c r="M494" t="n">
        <v>0</v>
      </c>
      <c r="N494" t="n">
        <v>0</v>
      </c>
      <c r="O494" t="n">
        <v>0</v>
      </c>
      <c r="P494" t="n">
        <v>0</v>
      </c>
      <c r="Q494" t="n">
        <v>0</v>
      </c>
      <c r="R494" s="2" t="inlineStr"/>
    </row>
    <row r="495" ht="15" customHeight="1">
      <c r="A495" t="inlineStr">
        <is>
          <t>A 2614-2023</t>
        </is>
      </c>
      <c r="B495" s="1" t="n">
        <v>44942</v>
      </c>
      <c r="C495" s="1" t="n">
        <v>45852</v>
      </c>
      <c r="D495" t="inlineStr">
        <is>
          <t>DALARNAS LÄN</t>
        </is>
      </c>
      <c r="E495" t="inlineStr">
        <is>
          <t>LUDVIKA</t>
        </is>
      </c>
      <c r="G495" t="n">
        <v>13.1</v>
      </c>
      <c r="H495" t="n">
        <v>0</v>
      </c>
      <c r="I495" t="n">
        <v>0</v>
      </c>
      <c r="J495" t="n">
        <v>0</v>
      </c>
      <c r="K495" t="n">
        <v>0</v>
      </c>
      <c r="L495" t="n">
        <v>0</v>
      </c>
      <c r="M495" t="n">
        <v>0</v>
      </c>
      <c r="N495" t="n">
        <v>0</v>
      </c>
      <c r="O495" t="n">
        <v>0</v>
      </c>
      <c r="P495" t="n">
        <v>0</v>
      </c>
      <c r="Q495" t="n">
        <v>0</v>
      </c>
      <c r="R495" s="2" t="inlineStr"/>
    </row>
    <row r="496" ht="15" customHeight="1">
      <c r="A496" t="inlineStr">
        <is>
          <t>A 3509-2023</t>
        </is>
      </c>
      <c r="B496" s="1" t="n">
        <v>44950</v>
      </c>
      <c r="C496" s="1" t="n">
        <v>45852</v>
      </c>
      <c r="D496" t="inlineStr">
        <is>
          <t>DALARNAS LÄN</t>
        </is>
      </c>
      <c r="E496" t="inlineStr">
        <is>
          <t>LUDVIKA</t>
        </is>
      </c>
      <c r="F496" t="inlineStr">
        <is>
          <t>Naturvårdsverket</t>
        </is>
      </c>
      <c r="G496" t="n">
        <v>5.1</v>
      </c>
      <c r="H496" t="n">
        <v>0</v>
      </c>
      <c r="I496" t="n">
        <v>0</v>
      </c>
      <c r="J496" t="n">
        <v>0</v>
      </c>
      <c r="K496" t="n">
        <v>0</v>
      </c>
      <c r="L496" t="n">
        <v>0</v>
      </c>
      <c r="M496" t="n">
        <v>0</v>
      </c>
      <c r="N496" t="n">
        <v>0</v>
      </c>
      <c r="O496" t="n">
        <v>0</v>
      </c>
      <c r="P496" t="n">
        <v>0</v>
      </c>
      <c r="Q496" t="n">
        <v>0</v>
      </c>
      <c r="R496" s="2" t="inlineStr"/>
    </row>
    <row r="497" ht="15" customHeight="1">
      <c r="A497" t="inlineStr">
        <is>
          <t>A 4705-2023</t>
        </is>
      </c>
      <c r="B497" s="1" t="n">
        <v>44957</v>
      </c>
      <c r="C497" s="1" t="n">
        <v>45852</v>
      </c>
      <c r="D497" t="inlineStr">
        <is>
          <t>DALARNAS LÄN</t>
        </is>
      </c>
      <c r="E497" t="inlineStr">
        <is>
          <t>LUDVIKA</t>
        </is>
      </c>
      <c r="F497" t="inlineStr">
        <is>
          <t>Bergvik skog väst AB</t>
        </is>
      </c>
      <c r="G497" t="n">
        <v>2.8</v>
      </c>
      <c r="H497" t="n">
        <v>0</v>
      </c>
      <c r="I497" t="n">
        <v>0</v>
      </c>
      <c r="J497" t="n">
        <v>0</v>
      </c>
      <c r="K497" t="n">
        <v>0</v>
      </c>
      <c r="L497" t="n">
        <v>0</v>
      </c>
      <c r="M497" t="n">
        <v>0</v>
      </c>
      <c r="N497" t="n">
        <v>0</v>
      </c>
      <c r="O497" t="n">
        <v>0</v>
      </c>
      <c r="P497" t="n">
        <v>0</v>
      </c>
      <c r="Q497" t="n">
        <v>0</v>
      </c>
      <c r="R497" s="2" t="inlineStr"/>
    </row>
    <row r="498" ht="15" customHeight="1">
      <c r="A498" t="inlineStr">
        <is>
          <t>A 4703-2023</t>
        </is>
      </c>
      <c r="B498" s="1" t="n">
        <v>44957</v>
      </c>
      <c r="C498" s="1" t="n">
        <v>45852</v>
      </c>
      <c r="D498" t="inlineStr">
        <is>
          <t>DALARNAS LÄN</t>
        </is>
      </c>
      <c r="E498" t="inlineStr">
        <is>
          <t>LUDVIKA</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4903-2023</t>
        </is>
      </c>
      <c r="B499" s="1" t="n">
        <v>44958</v>
      </c>
      <c r="C499" s="1" t="n">
        <v>45852</v>
      </c>
      <c r="D499" t="inlineStr">
        <is>
          <t>DALARNAS LÄN</t>
        </is>
      </c>
      <c r="E499" t="inlineStr">
        <is>
          <t>LUDVIKA</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4890-2023</t>
        </is>
      </c>
      <c r="B500" s="1" t="n">
        <v>44958</v>
      </c>
      <c r="C500" s="1" t="n">
        <v>45852</v>
      </c>
      <c r="D500" t="inlineStr">
        <is>
          <t>DALARNAS LÄN</t>
        </is>
      </c>
      <c r="E500" t="inlineStr">
        <is>
          <t>LUDVIKA</t>
        </is>
      </c>
      <c r="F500" t="inlineStr">
        <is>
          <t>Bergvik skog väst AB</t>
        </is>
      </c>
      <c r="G500" t="n">
        <v>3.9</v>
      </c>
      <c r="H500" t="n">
        <v>0</v>
      </c>
      <c r="I500" t="n">
        <v>0</v>
      </c>
      <c r="J500" t="n">
        <v>0</v>
      </c>
      <c r="K500" t="n">
        <v>0</v>
      </c>
      <c r="L500" t="n">
        <v>0</v>
      </c>
      <c r="M500" t="n">
        <v>0</v>
      </c>
      <c r="N500" t="n">
        <v>0</v>
      </c>
      <c r="O500" t="n">
        <v>0</v>
      </c>
      <c r="P500" t="n">
        <v>0</v>
      </c>
      <c r="Q500" t="n">
        <v>0</v>
      </c>
      <c r="R500" s="2" t="inlineStr"/>
    </row>
    <row r="501" ht="15" customHeight="1">
      <c r="A501" t="inlineStr">
        <is>
          <t>A 5672-2023</t>
        </is>
      </c>
      <c r="B501" s="1" t="n">
        <v>44960</v>
      </c>
      <c r="C501" s="1" t="n">
        <v>45852</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5673-2023</t>
        </is>
      </c>
      <c r="B502" s="1" t="n">
        <v>44960</v>
      </c>
      <c r="C502" s="1" t="n">
        <v>45852</v>
      </c>
      <c r="D502" t="inlineStr">
        <is>
          <t>DALARNAS LÄN</t>
        </is>
      </c>
      <c r="E502" t="inlineStr">
        <is>
          <t>LUDVIKA</t>
        </is>
      </c>
      <c r="F502" t="inlineStr">
        <is>
          <t>Naturvårdsverket</t>
        </is>
      </c>
      <c r="G502" t="n">
        <v>0.7</v>
      </c>
      <c r="H502" t="n">
        <v>0</v>
      </c>
      <c r="I502" t="n">
        <v>0</v>
      </c>
      <c r="J502" t="n">
        <v>0</v>
      </c>
      <c r="K502" t="n">
        <v>0</v>
      </c>
      <c r="L502" t="n">
        <v>0</v>
      </c>
      <c r="M502" t="n">
        <v>0</v>
      </c>
      <c r="N502" t="n">
        <v>0</v>
      </c>
      <c r="O502" t="n">
        <v>0</v>
      </c>
      <c r="P502" t="n">
        <v>0</v>
      </c>
      <c r="Q502" t="n">
        <v>0</v>
      </c>
      <c r="R502" s="2" t="inlineStr"/>
    </row>
    <row r="503" ht="15" customHeight="1">
      <c r="A503" t="inlineStr">
        <is>
          <t>A 6579-2023</t>
        </is>
      </c>
      <c r="B503" s="1" t="n">
        <v>44960</v>
      </c>
      <c r="C503" s="1" t="n">
        <v>45852</v>
      </c>
      <c r="D503" t="inlineStr">
        <is>
          <t>DALARNAS LÄN</t>
        </is>
      </c>
      <c r="E503" t="inlineStr">
        <is>
          <t>LUDVIKA</t>
        </is>
      </c>
      <c r="G503" t="n">
        <v>3.4</v>
      </c>
      <c r="H503" t="n">
        <v>0</v>
      </c>
      <c r="I503" t="n">
        <v>0</v>
      </c>
      <c r="J503" t="n">
        <v>0</v>
      </c>
      <c r="K503" t="n">
        <v>0</v>
      </c>
      <c r="L503" t="n">
        <v>0</v>
      </c>
      <c r="M503" t="n">
        <v>0</v>
      </c>
      <c r="N503" t="n">
        <v>0</v>
      </c>
      <c r="O503" t="n">
        <v>0</v>
      </c>
      <c r="P503" t="n">
        <v>0</v>
      </c>
      <c r="Q503" t="n">
        <v>0</v>
      </c>
      <c r="R503" s="2" t="inlineStr"/>
    </row>
    <row r="504" ht="15" customHeight="1">
      <c r="A504" t="inlineStr">
        <is>
          <t>A 6593-2023</t>
        </is>
      </c>
      <c r="B504" s="1" t="n">
        <v>44960</v>
      </c>
      <c r="C504" s="1" t="n">
        <v>45852</v>
      </c>
      <c r="D504" t="inlineStr">
        <is>
          <t>DALARNAS LÄN</t>
        </is>
      </c>
      <c r="E504" t="inlineStr">
        <is>
          <t>LUDVIKA</t>
        </is>
      </c>
      <c r="G504" t="n">
        <v>3.8</v>
      </c>
      <c r="H504" t="n">
        <v>0</v>
      </c>
      <c r="I504" t="n">
        <v>0</v>
      </c>
      <c r="J504" t="n">
        <v>0</v>
      </c>
      <c r="K504" t="n">
        <v>0</v>
      </c>
      <c r="L504" t="n">
        <v>0</v>
      </c>
      <c r="M504" t="n">
        <v>0</v>
      </c>
      <c r="N504" t="n">
        <v>0</v>
      </c>
      <c r="O504" t="n">
        <v>0</v>
      </c>
      <c r="P504" t="n">
        <v>0</v>
      </c>
      <c r="Q504" t="n">
        <v>0</v>
      </c>
      <c r="R504" s="2" t="inlineStr"/>
    </row>
    <row r="505" ht="15" customHeight="1">
      <c r="A505" t="inlineStr">
        <is>
          <t>A 5599-2023</t>
        </is>
      </c>
      <c r="B505" s="1" t="n">
        <v>44960</v>
      </c>
      <c r="C505" s="1" t="n">
        <v>45852</v>
      </c>
      <c r="D505" t="inlineStr">
        <is>
          <t>DALARNAS LÄN</t>
        </is>
      </c>
      <c r="E505" t="inlineStr">
        <is>
          <t>LUDVIKA</t>
        </is>
      </c>
      <c r="F505" t="inlineStr">
        <is>
          <t>Bergvik skog väst AB</t>
        </is>
      </c>
      <c r="G505" t="n">
        <v>3.5</v>
      </c>
      <c r="H505" t="n">
        <v>0</v>
      </c>
      <c r="I505" t="n">
        <v>0</v>
      </c>
      <c r="J505" t="n">
        <v>0</v>
      </c>
      <c r="K505" t="n">
        <v>0</v>
      </c>
      <c r="L505" t="n">
        <v>0</v>
      </c>
      <c r="M505" t="n">
        <v>0</v>
      </c>
      <c r="N505" t="n">
        <v>0</v>
      </c>
      <c r="O505" t="n">
        <v>0</v>
      </c>
      <c r="P505" t="n">
        <v>0</v>
      </c>
      <c r="Q505" t="n">
        <v>0</v>
      </c>
      <c r="R505" s="2" t="inlineStr"/>
    </row>
    <row r="506" ht="15" customHeight="1">
      <c r="A506" t="inlineStr">
        <is>
          <t>A 5752-2023</t>
        </is>
      </c>
      <c r="B506" s="1" t="n">
        <v>44963</v>
      </c>
      <c r="C506" s="1" t="n">
        <v>45852</v>
      </c>
      <c r="D506" t="inlineStr">
        <is>
          <t>DALARNAS LÄN</t>
        </is>
      </c>
      <c r="E506" t="inlineStr">
        <is>
          <t>LUDVIKA</t>
        </is>
      </c>
      <c r="F506" t="inlineStr">
        <is>
          <t>Bergvik skog väst AB</t>
        </is>
      </c>
      <c r="G506" t="n">
        <v>7.7</v>
      </c>
      <c r="H506" t="n">
        <v>0</v>
      </c>
      <c r="I506" t="n">
        <v>0</v>
      </c>
      <c r="J506" t="n">
        <v>0</v>
      </c>
      <c r="K506" t="n">
        <v>0</v>
      </c>
      <c r="L506" t="n">
        <v>0</v>
      </c>
      <c r="M506" t="n">
        <v>0</v>
      </c>
      <c r="N506" t="n">
        <v>0</v>
      </c>
      <c r="O506" t="n">
        <v>0</v>
      </c>
      <c r="P506" t="n">
        <v>0</v>
      </c>
      <c r="Q506" t="n">
        <v>0</v>
      </c>
      <c r="R506" s="2" t="inlineStr"/>
    </row>
    <row r="507" ht="15" customHeight="1">
      <c r="A507" t="inlineStr">
        <is>
          <t>A 6010-2023</t>
        </is>
      </c>
      <c r="B507" s="1" t="n">
        <v>44964</v>
      </c>
      <c r="C507" s="1" t="n">
        <v>45852</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6281-2023</t>
        </is>
      </c>
      <c r="B508" s="1" t="n">
        <v>44965</v>
      </c>
      <c r="C508" s="1" t="n">
        <v>45852</v>
      </c>
      <c r="D508" t="inlineStr">
        <is>
          <t>DALARNAS LÄN</t>
        </is>
      </c>
      <c r="E508" t="inlineStr">
        <is>
          <t>LUDVIKA</t>
        </is>
      </c>
      <c r="G508" t="n">
        <v>7.7</v>
      </c>
      <c r="H508" t="n">
        <v>0</v>
      </c>
      <c r="I508" t="n">
        <v>0</v>
      </c>
      <c r="J508" t="n">
        <v>0</v>
      </c>
      <c r="K508" t="n">
        <v>0</v>
      </c>
      <c r="L508" t="n">
        <v>0</v>
      </c>
      <c r="M508" t="n">
        <v>0</v>
      </c>
      <c r="N508" t="n">
        <v>0</v>
      </c>
      <c r="O508" t="n">
        <v>0</v>
      </c>
      <c r="P508" t="n">
        <v>0</v>
      </c>
      <c r="Q508" t="n">
        <v>0</v>
      </c>
      <c r="R508" s="2" t="inlineStr"/>
    </row>
    <row r="509" ht="15" customHeight="1">
      <c r="A509" t="inlineStr">
        <is>
          <t>A 6564-2023</t>
        </is>
      </c>
      <c r="B509" s="1" t="n">
        <v>44966</v>
      </c>
      <c r="C509" s="1" t="n">
        <v>45852</v>
      </c>
      <c r="D509" t="inlineStr">
        <is>
          <t>DALARNAS LÄN</t>
        </is>
      </c>
      <c r="E509" t="inlineStr">
        <is>
          <t>LUDVIKA</t>
        </is>
      </c>
      <c r="F509" t="inlineStr">
        <is>
          <t>Naturvårdsverket</t>
        </is>
      </c>
      <c r="G509" t="n">
        <v>2.3</v>
      </c>
      <c r="H509" t="n">
        <v>0</v>
      </c>
      <c r="I509" t="n">
        <v>0</v>
      </c>
      <c r="J509" t="n">
        <v>0</v>
      </c>
      <c r="K509" t="n">
        <v>0</v>
      </c>
      <c r="L509" t="n">
        <v>0</v>
      </c>
      <c r="M509" t="n">
        <v>0</v>
      </c>
      <c r="N509" t="n">
        <v>0</v>
      </c>
      <c r="O509" t="n">
        <v>0</v>
      </c>
      <c r="P509" t="n">
        <v>0</v>
      </c>
      <c r="Q509" t="n">
        <v>0</v>
      </c>
      <c r="R509" s="2" t="inlineStr"/>
    </row>
    <row r="510" ht="15" customHeight="1">
      <c r="A510" t="inlineStr">
        <is>
          <t>A 6975-2023</t>
        </is>
      </c>
      <c r="B510" s="1" t="n">
        <v>44967</v>
      </c>
      <c r="C510" s="1" t="n">
        <v>45852</v>
      </c>
      <c r="D510" t="inlineStr">
        <is>
          <t>DALARNAS LÄN</t>
        </is>
      </c>
      <c r="E510" t="inlineStr">
        <is>
          <t>LUDVIKA</t>
        </is>
      </c>
      <c r="G510" t="n">
        <v>2.1</v>
      </c>
      <c r="H510" t="n">
        <v>0</v>
      </c>
      <c r="I510" t="n">
        <v>0</v>
      </c>
      <c r="J510" t="n">
        <v>0</v>
      </c>
      <c r="K510" t="n">
        <v>0</v>
      </c>
      <c r="L510" t="n">
        <v>0</v>
      </c>
      <c r="M510" t="n">
        <v>0</v>
      </c>
      <c r="N510" t="n">
        <v>0</v>
      </c>
      <c r="O510" t="n">
        <v>0</v>
      </c>
      <c r="P510" t="n">
        <v>0</v>
      </c>
      <c r="Q510" t="n">
        <v>0</v>
      </c>
      <c r="R510" s="2" t="inlineStr"/>
    </row>
    <row r="511" ht="15" customHeight="1">
      <c r="A511" t="inlineStr">
        <is>
          <t>A 7243-2023</t>
        </is>
      </c>
      <c r="B511" s="1" t="n">
        <v>44970</v>
      </c>
      <c r="C511" s="1" t="n">
        <v>45852</v>
      </c>
      <c r="D511" t="inlineStr">
        <is>
          <t>DALARNAS LÄN</t>
        </is>
      </c>
      <c r="E511" t="inlineStr">
        <is>
          <t>LUDVIKA</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7238-2023</t>
        </is>
      </c>
      <c r="B512" s="1" t="n">
        <v>44970</v>
      </c>
      <c r="C512" s="1" t="n">
        <v>45852</v>
      </c>
      <c r="D512" t="inlineStr">
        <is>
          <t>DALARNAS LÄN</t>
        </is>
      </c>
      <c r="E512" t="inlineStr">
        <is>
          <t>LUDVIKA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7173-2023</t>
        </is>
      </c>
      <c r="B513" s="1" t="n">
        <v>44970</v>
      </c>
      <c r="C513" s="1" t="n">
        <v>45852</v>
      </c>
      <c r="D513" t="inlineStr">
        <is>
          <t>DALARNAS LÄN</t>
        </is>
      </c>
      <c r="E513" t="inlineStr">
        <is>
          <t>LUDVIKA</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7435-2023</t>
        </is>
      </c>
      <c r="B514" s="1" t="n">
        <v>44971</v>
      </c>
      <c r="C514" s="1" t="n">
        <v>45852</v>
      </c>
      <c r="D514" t="inlineStr">
        <is>
          <t>DALARNAS LÄN</t>
        </is>
      </c>
      <c r="E514" t="inlineStr">
        <is>
          <t>LUDVIKA</t>
        </is>
      </c>
      <c r="F514" t="inlineStr">
        <is>
          <t>Naturvårdsverket</t>
        </is>
      </c>
      <c r="G514" t="n">
        <v>0.8</v>
      </c>
      <c r="H514" t="n">
        <v>0</v>
      </c>
      <c r="I514" t="n">
        <v>0</v>
      </c>
      <c r="J514" t="n">
        <v>0</v>
      </c>
      <c r="K514" t="n">
        <v>0</v>
      </c>
      <c r="L514" t="n">
        <v>0</v>
      </c>
      <c r="M514" t="n">
        <v>0</v>
      </c>
      <c r="N514" t="n">
        <v>0</v>
      </c>
      <c r="O514" t="n">
        <v>0</v>
      </c>
      <c r="P514" t="n">
        <v>0</v>
      </c>
      <c r="Q514" t="n">
        <v>0</v>
      </c>
      <c r="R514" s="2" t="inlineStr"/>
    </row>
    <row r="515" ht="15" customHeight="1">
      <c r="A515" t="inlineStr">
        <is>
          <t>A 7539-2023</t>
        </is>
      </c>
      <c r="B515" s="1" t="n">
        <v>44972</v>
      </c>
      <c r="C515" s="1" t="n">
        <v>45852</v>
      </c>
      <c r="D515" t="inlineStr">
        <is>
          <t>DALARNAS LÄN</t>
        </is>
      </c>
      <c r="E515" t="inlineStr">
        <is>
          <t>LUDVIKA</t>
        </is>
      </c>
      <c r="G515" t="n">
        <v>0.6</v>
      </c>
      <c r="H515" t="n">
        <v>0</v>
      </c>
      <c r="I515" t="n">
        <v>0</v>
      </c>
      <c r="J515" t="n">
        <v>0</v>
      </c>
      <c r="K515" t="n">
        <v>0</v>
      </c>
      <c r="L515" t="n">
        <v>0</v>
      </c>
      <c r="M515" t="n">
        <v>0</v>
      </c>
      <c r="N515" t="n">
        <v>0</v>
      </c>
      <c r="O515" t="n">
        <v>0</v>
      </c>
      <c r="P515" t="n">
        <v>0</v>
      </c>
      <c r="Q515" t="n">
        <v>0</v>
      </c>
      <c r="R515" s="2" t="inlineStr"/>
    </row>
    <row r="516" ht="15" customHeight="1">
      <c r="A516" t="inlineStr">
        <is>
          <t>A 8076-2023</t>
        </is>
      </c>
      <c r="B516" s="1" t="n">
        <v>44974</v>
      </c>
      <c r="C516" s="1" t="n">
        <v>45852</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8703-2023</t>
        </is>
      </c>
      <c r="B517" s="1" t="n">
        <v>44978</v>
      </c>
      <c r="C517" s="1" t="n">
        <v>45852</v>
      </c>
      <c r="D517" t="inlineStr">
        <is>
          <t>DALARNAS LÄN</t>
        </is>
      </c>
      <c r="E517" t="inlineStr">
        <is>
          <t>LUDVIKA</t>
        </is>
      </c>
      <c r="G517" t="n">
        <v>0.5</v>
      </c>
      <c r="H517" t="n">
        <v>0</v>
      </c>
      <c r="I517" t="n">
        <v>0</v>
      </c>
      <c r="J517" t="n">
        <v>0</v>
      </c>
      <c r="K517" t="n">
        <v>0</v>
      </c>
      <c r="L517" t="n">
        <v>0</v>
      </c>
      <c r="M517" t="n">
        <v>0</v>
      </c>
      <c r="N517" t="n">
        <v>0</v>
      </c>
      <c r="O517" t="n">
        <v>0</v>
      </c>
      <c r="P517" t="n">
        <v>0</v>
      </c>
      <c r="Q517" t="n">
        <v>0</v>
      </c>
      <c r="R517" s="2" t="inlineStr"/>
    </row>
    <row r="518" ht="15" customHeight="1">
      <c r="A518" t="inlineStr">
        <is>
          <t>A 9386-2023</t>
        </is>
      </c>
      <c r="B518" s="1" t="n">
        <v>44981</v>
      </c>
      <c r="C518" s="1" t="n">
        <v>45852</v>
      </c>
      <c r="D518" t="inlineStr">
        <is>
          <t>DALARNAS LÄN</t>
        </is>
      </c>
      <c r="E518" t="inlineStr">
        <is>
          <t>LUDVIKA</t>
        </is>
      </c>
      <c r="G518" t="n">
        <v>6.2</v>
      </c>
      <c r="H518" t="n">
        <v>0</v>
      </c>
      <c r="I518" t="n">
        <v>0</v>
      </c>
      <c r="J518" t="n">
        <v>0</v>
      </c>
      <c r="K518" t="n">
        <v>0</v>
      </c>
      <c r="L518" t="n">
        <v>0</v>
      </c>
      <c r="M518" t="n">
        <v>0</v>
      </c>
      <c r="N518" t="n">
        <v>0</v>
      </c>
      <c r="O518" t="n">
        <v>0</v>
      </c>
      <c r="P518" t="n">
        <v>0</v>
      </c>
      <c r="Q518" t="n">
        <v>0</v>
      </c>
      <c r="R518" s="2" t="inlineStr"/>
    </row>
    <row r="519" ht="15" customHeight="1">
      <c r="A519" t="inlineStr">
        <is>
          <t>A 11797-2023</t>
        </is>
      </c>
      <c r="B519" s="1" t="n">
        <v>44994</v>
      </c>
      <c r="C519" s="1" t="n">
        <v>45852</v>
      </c>
      <c r="D519" t="inlineStr">
        <is>
          <t>DALARNAS LÄN</t>
        </is>
      </c>
      <c r="E519" t="inlineStr">
        <is>
          <t>LUDVIKA</t>
        </is>
      </c>
      <c r="G519" t="n">
        <v>0.7</v>
      </c>
      <c r="H519" t="n">
        <v>0</v>
      </c>
      <c r="I519" t="n">
        <v>0</v>
      </c>
      <c r="J519" t="n">
        <v>0</v>
      </c>
      <c r="K519" t="n">
        <v>0</v>
      </c>
      <c r="L519" t="n">
        <v>0</v>
      </c>
      <c r="M519" t="n">
        <v>0</v>
      </c>
      <c r="N519" t="n">
        <v>0</v>
      </c>
      <c r="O519" t="n">
        <v>0</v>
      </c>
      <c r="P519" t="n">
        <v>0</v>
      </c>
      <c r="Q519" t="n">
        <v>0</v>
      </c>
      <c r="R519" s="2" t="inlineStr"/>
    </row>
    <row r="520" ht="15" customHeight="1">
      <c r="A520" t="inlineStr">
        <is>
          <t>A 11755-2023</t>
        </is>
      </c>
      <c r="B520" s="1" t="n">
        <v>44994</v>
      </c>
      <c r="C520" s="1" t="n">
        <v>45852</v>
      </c>
      <c r="D520" t="inlineStr">
        <is>
          <t>DALARNAS LÄN</t>
        </is>
      </c>
      <c r="E520" t="inlineStr">
        <is>
          <t>LUDVIKA</t>
        </is>
      </c>
      <c r="F520" t="inlineStr">
        <is>
          <t>Övriga Aktiebolag</t>
        </is>
      </c>
      <c r="G520" t="n">
        <v>7</v>
      </c>
      <c r="H520" t="n">
        <v>0</v>
      </c>
      <c r="I520" t="n">
        <v>0</v>
      </c>
      <c r="J520" t="n">
        <v>0</v>
      </c>
      <c r="K520" t="n">
        <v>0</v>
      </c>
      <c r="L520" t="n">
        <v>0</v>
      </c>
      <c r="M520" t="n">
        <v>0</v>
      </c>
      <c r="N520" t="n">
        <v>0</v>
      </c>
      <c r="O520" t="n">
        <v>0</v>
      </c>
      <c r="P520" t="n">
        <v>0</v>
      </c>
      <c r="Q520" t="n">
        <v>0</v>
      </c>
      <c r="R520" s="2" t="inlineStr"/>
    </row>
    <row r="521" ht="15" customHeight="1">
      <c r="A521" t="inlineStr">
        <is>
          <t>A 12096-2023</t>
        </is>
      </c>
      <c r="B521" s="1" t="n">
        <v>44998</v>
      </c>
      <c r="C521" s="1" t="n">
        <v>45852</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13180-2023</t>
        </is>
      </c>
      <c r="B522" s="1" t="n">
        <v>45002</v>
      </c>
      <c r="C522" s="1" t="n">
        <v>45852</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13215-2023</t>
        </is>
      </c>
      <c r="B523" s="1" t="n">
        <v>45002</v>
      </c>
      <c r="C523" s="1" t="n">
        <v>45852</v>
      </c>
      <c r="D523" t="inlineStr">
        <is>
          <t>DALARNAS LÄN</t>
        </is>
      </c>
      <c r="E523" t="inlineStr">
        <is>
          <t>LUDVIKA</t>
        </is>
      </c>
      <c r="G523" t="n">
        <v>1.2</v>
      </c>
      <c r="H523" t="n">
        <v>0</v>
      </c>
      <c r="I523" t="n">
        <v>0</v>
      </c>
      <c r="J523" t="n">
        <v>0</v>
      </c>
      <c r="K523" t="n">
        <v>0</v>
      </c>
      <c r="L523" t="n">
        <v>0</v>
      </c>
      <c r="M523" t="n">
        <v>0</v>
      </c>
      <c r="N523" t="n">
        <v>0</v>
      </c>
      <c r="O523" t="n">
        <v>0</v>
      </c>
      <c r="P523" t="n">
        <v>0</v>
      </c>
      <c r="Q523" t="n">
        <v>0</v>
      </c>
      <c r="R523" s="2" t="inlineStr"/>
    </row>
    <row r="524" ht="15" customHeight="1">
      <c r="A524" t="inlineStr">
        <is>
          <t>A 13217-2023</t>
        </is>
      </c>
      <c r="B524" s="1" t="n">
        <v>45002</v>
      </c>
      <c r="C524" s="1" t="n">
        <v>45852</v>
      </c>
      <c r="D524" t="inlineStr">
        <is>
          <t>DALARNAS LÄN</t>
        </is>
      </c>
      <c r="E524" t="inlineStr">
        <is>
          <t>LUDVIKA</t>
        </is>
      </c>
      <c r="G524" t="n">
        <v>0.8</v>
      </c>
      <c r="H524" t="n">
        <v>0</v>
      </c>
      <c r="I524" t="n">
        <v>0</v>
      </c>
      <c r="J524" t="n">
        <v>0</v>
      </c>
      <c r="K524" t="n">
        <v>0</v>
      </c>
      <c r="L524" t="n">
        <v>0</v>
      </c>
      <c r="M524" t="n">
        <v>0</v>
      </c>
      <c r="N524" t="n">
        <v>0</v>
      </c>
      <c r="O524" t="n">
        <v>0</v>
      </c>
      <c r="P524" t="n">
        <v>0</v>
      </c>
      <c r="Q524" t="n">
        <v>0</v>
      </c>
      <c r="R524" s="2" t="inlineStr"/>
    </row>
    <row r="525" ht="15" customHeight="1">
      <c r="A525" t="inlineStr">
        <is>
          <t>A 14632-2023</t>
        </is>
      </c>
      <c r="B525" s="1" t="n">
        <v>45013</v>
      </c>
      <c r="C525" s="1" t="n">
        <v>45852</v>
      </c>
      <c r="D525" t="inlineStr">
        <is>
          <t>DALARNAS LÄN</t>
        </is>
      </c>
      <c r="E525" t="inlineStr">
        <is>
          <t>LUDVIKA</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15754-2023</t>
        </is>
      </c>
      <c r="B526" s="1" t="n">
        <v>45021</v>
      </c>
      <c r="C526" s="1" t="n">
        <v>45852</v>
      </c>
      <c r="D526" t="inlineStr">
        <is>
          <t>DALARNAS LÄN</t>
        </is>
      </c>
      <c r="E526" t="inlineStr">
        <is>
          <t>LUDVIKA</t>
        </is>
      </c>
      <c r="F526" t="inlineStr">
        <is>
          <t>Naturvårdsverket</t>
        </is>
      </c>
      <c r="G526" t="n">
        <v>1.2</v>
      </c>
      <c r="H526" t="n">
        <v>0</v>
      </c>
      <c r="I526" t="n">
        <v>0</v>
      </c>
      <c r="J526" t="n">
        <v>0</v>
      </c>
      <c r="K526" t="n">
        <v>0</v>
      </c>
      <c r="L526" t="n">
        <v>0</v>
      </c>
      <c r="M526" t="n">
        <v>0</v>
      </c>
      <c r="N526" t="n">
        <v>0</v>
      </c>
      <c r="O526" t="n">
        <v>0</v>
      </c>
      <c r="P526" t="n">
        <v>0</v>
      </c>
      <c r="Q526" t="n">
        <v>0</v>
      </c>
      <c r="R526" s="2" t="inlineStr"/>
    </row>
    <row r="527" ht="15" customHeight="1">
      <c r="A527" t="inlineStr">
        <is>
          <t>A 16630-2023</t>
        </is>
      </c>
      <c r="B527" s="1" t="n">
        <v>45030</v>
      </c>
      <c r="C527" s="1" t="n">
        <v>45852</v>
      </c>
      <c r="D527" t="inlineStr">
        <is>
          <t>DALARNAS LÄN</t>
        </is>
      </c>
      <c r="E527" t="inlineStr">
        <is>
          <t>LUDVIKA</t>
        </is>
      </c>
      <c r="F527" t="inlineStr">
        <is>
          <t>Bergvik skog väst AB</t>
        </is>
      </c>
      <c r="G527" t="n">
        <v>3.9</v>
      </c>
      <c r="H527" t="n">
        <v>0</v>
      </c>
      <c r="I527" t="n">
        <v>0</v>
      </c>
      <c r="J527" t="n">
        <v>0</v>
      </c>
      <c r="K527" t="n">
        <v>0</v>
      </c>
      <c r="L527" t="n">
        <v>0</v>
      </c>
      <c r="M527" t="n">
        <v>0</v>
      </c>
      <c r="N527" t="n">
        <v>0</v>
      </c>
      <c r="O527" t="n">
        <v>0</v>
      </c>
      <c r="P527" t="n">
        <v>0</v>
      </c>
      <c r="Q527" t="n">
        <v>0</v>
      </c>
      <c r="R527" s="2" t="inlineStr"/>
    </row>
    <row r="528" ht="15" customHeight="1">
      <c r="A528" t="inlineStr">
        <is>
          <t>A 17032-2023</t>
        </is>
      </c>
      <c r="B528" s="1" t="n">
        <v>45034</v>
      </c>
      <c r="C528" s="1" t="n">
        <v>45852</v>
      </c>
      <c r="D528" t="inlineStr">
        <is>
          <t>DALARNAS LÄN</t>
        </is>
      </c>
      <c r="E528" t="inlineStr">
        <is>
          <t>LUDVIKA</t>
        </is>
      </c>
      <c r="F528" t="inlineStr">
        <is>
          <t>Naturvårdsverket</t>
        </is>
      </c>
      <c r="G528" t="n">
        <v>1</v>
      </c>
      <c r="H528" t="n">
        <v>0</v>
      </c>
      <c r="I528" t="n">
        <v>0</v>
      </c>
      <c r="J528" t="n">
        <v>0</v>
      </c>
      <c r="K528" t="n">
        <v>0</v>
      </c>
      <c r="L528" t="n">
        <v>0</v>
      </c>
      <c r="M528" t="n">
        <v>0</v>
      </c>
      <c r="N528" t="n">
        <v>0</v>
      </c>
      <c r="O528" t="n">
        <v>0</v>
      </c>
      <c r="P528" t="n">
        <v>0</v>
      </c>
      <c r="Q528" t="n">
        <v>0</v>
      </c>
      <c r="R528" s="2" t="inlineStr"/>
    </row>
    <row r="529" ht="15" customHeight="1">
      <c r="A529" t="inlineStr">
        <is>
          <t>A 17037-2023</t>
        </is>
      </c>
      <c r="B529" s="1" t="n">
        <v>45034</v>
      </c>
      <c r="C529" s="1" t="n">
        <v>45852</v>
      </c>
      <c r="D529" t="inlineStr">
        <is>
          <t>DALARNAS LÄN</t>
        </is>
      </c>
      <c r="E529" t="inlineStr">
        <is>
          <t>LUDVIKA</t>
        </is>
      </c>
      <c r="F529" t="inlineStr">
        <is>
          <t>Naturvårdsverket</t>
        </is>
      </c>
      <c r="G529" t="n">
        <v>1.4</v>
      </c>
      <c r="H529" t="n">
        <v>0</v>
      </c>
      <c r="I529" t="n">
        <v>0</v>
      </c>
      <c r="J529" t="n">
        <v>0</v>
      </c>
      <c r="K529" t="n">
        <v>0</v>
      </c>
      <c r="L529" t="n">
        <v>0</v>
      </c>
      <c r="M529" t="n">
        <v>0</v>
      </c>
      <c r="N529" t="n">
        <v>0</v>
      </c>
      <c r="O529" t="n">
        <v>0</v>
      </c>
      <c r="P529" t="n">
        <v>0</v>
      </c>
      <c r="Q529" t="n">
        <v>0</v>
      </c>
      <c r="R529" s="2" t="inlineStr"/>
    </row>
    <row r="530" ht="15" customHeight="1">
      <c r="A530" t="inlineStr">
        <is>
          <t>A 17035-2023</t>
        </is>
      </c>
      <c r="B530" s="1" t="n">
        <v>45034</v>
      </c>
      <c r="C530" s="1" t="n">
        <v>45852</v>
      </c>
      <c r="D530" t="inlineStr">
        <is>
          <t>DALARNAS LÄN</t>
        </is>
      </c>
      <c r="E530" t="inlineStr">
        <is>
          <t>LUDVIKA</t>
        </is>
      </c>
      <c r="F530" t="inlineStr">
        <is>
          <t>Naturvårdsverket</t>
        </is>
      </c>
      <c r="G530" t="n">
        <v>1.7</v>
      </c>
      <c r="H530" t="n">
        <v>0</v>
      </c>
      <c r="I530" t="n">
        <v>0</v>
      </c>
      <c r="J530" t="n">
        <v>0</v>
      </c>
      <c r="K530" t="n">
        <v>0</v>
      </c>
      <c r="L530" t="n">
        <v>0</v>
      </c>
      <c r="M530" t="n">
        <v>0</v>
      </c>
      <c r="N530" t="n">
        <v>0</v>
      </c>
      <c r="O530" t="n">
        <v>0</v>
      </c>
      <c r="P530" t="n">
        <v>0</v>
      </c>
      <c r="Q530" t="n">
        <v>0</v>
      </c>
      <c r="R530" s="2" t="inlineStr"/>
    </row>
    <row r="531" ht="15" customHeight="1">
      <c r="A531" t="inlineStr">
        <is>
          <t>A 17138-2023</t>
        </is>
      </c>
      <c r="B531" s="1" t="n">
        <v>45034</v>
      </c>
      <c r="C531" s="1" t="n">
        <v>45852</v>
      </c>
      <c r="D531" t="inlineStr">
        <is>
          <t>DALARNAS LÄN</t>
        </is>
      </c>
      <c r="E531" t="inlineStr">
        <is>
          <t>LUDVIKA</t>
        </is>
      </c>
      <c r="F531" t="inlineStr">
        <is>
          <t>Naturvårdsverket</t>
        </is>
      </c>
      <c r="G531" t="n">
        <v>2.7</v>
      </c>
      <c r="H531" t="n">
        <v>0</v>
      </c>
      <c r="I531" t="n">
        <v>0</v>
      </c>
      <c r="J531" t="n">
        <v>0</v>
      </c>
      <c r="K531" t="n">
        <v>0</v>
      </c>
      <c r="L531" t="n">
        <v>0</v>
      </c>
      <c r="M531" t="n">
        <v>0</v>
      </c>
      <c r="N531" t="n">
        <v>0</v>
      </c>
      <c r="O531" t="n">
        <v>0</v>
      </c>
      <c r="P531" t="n">
        <v>0</v>
      </c>
      <c r="Q531" t="n">
        <v>0</v>
      </c>
      <c r="R531" s="2" t="inlineStr"/>
    </row>
    <row r="532" ht="15" customHeight="1">
      <c r="A532" t="inlineStr">
        <is>
          <t>A 18585-2023</t>
        </is>
      </c>
      <c r="B532" s="1" t="n">
        <v>45043</v>
      </c>
      <c r="C532" s="1" t="n">
        <v>45852</v>
      </c>
      <c r="D532" t="inlineStr">
        <is>
          <t>DALARNAS LÄN</t>
        </is>
      </c>
      <c r="E532" t="inlineStr">
        <is>
          <t>LUDVIKA</t>
        </is>
      </c>
      <c r="F532" t="inlineStr">
        <is>
          <t>Bergvik skog väst AB</t>
        </is>
      </c>
      <c r="G532" t="n">
        <v>4.8</v>
      </c>
      <c r="H532" t="n">
        <v>0</v>
      </c>
      <c r="I532" t="n">
        <v>0</v>
      </c>
      <c r="J532" t="n">
        <v>0</v>
      </c>
      <c r="K532" t="n">
        <v>0</v>
      </c>
      <c r="L532" t="n">
        <v>0</v>
      </c>
      <c r="M532" t="n">
        <v>0</v>
      </c>
      <c r="N532" t="n">
        <v>0</v>
      </c>
      <c r="O532" t="n">
        <v>0</v>
      </c>
      <c r="P532" t="n">
        <v>0</v>
      </c>
      <c r="Q532" t="n">
        <v>0</v>
      </c>
      <c r="R532" s="2" t="inlineStr"/>
    </row>
    <row r="533" ht="15" customHeight="1">
      <c r="A533" t="inlineStr">
        <is>
          <t>A 18708-2023</t>
        </is>
      </c>
      <c r="B533" s="1" t="n">
        <v>45043</v>
      </c>
      <c r="C533" s="1" t="n">
        <v>45852</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18660-2023</t>
        </is>
      </c>
      <c r="B534" s="1" t="n">
        <v>45043</v>
      </c>
      <c r="C534" s="1" t="n">
        <v>45852</v>
      </c>
      <c r="D534" t="inlineStr">
        <is>
          <t>DALARNAS LÄN</t>
        </is>
      </c>
      <c r="E534" t="inlineStr">
        <is>
          <t>LUDVIKA</t>
        </is>
      </c>
      <c r="F534" t="inlineStr">
        <is>
          <t>Bergvik skog väst AB</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18936-2023</t>
        </is>
      </c>
      <c r="B535" s="1" t="n">
        <v>45044</v>
      </c>
      <c r="C535" s="1" t="n">
        <v>45852</v>
      </c>
      <c r="D535" t="inlineStr">
        <is>
          <t>DALARNAS LÄN</t>
        </is>
      </c>
      <c r="E535" t="inlineStr">
        <is>
          <t>LUDVIKA</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18850-2023</t>
        </is>
      </c>
      <c r="B536" s="1" t="n">
        <v>45044</v>
      </c>
      <c r="C536" s="1" t="n">
        <v>45852</v>
      </c>
      <c r="D536" t="inlineStr">
        <is>
          <t>DALARNAS LÄN</t>
        </is>
      </c>
      <c r="E536" t="inlineStr">
        <is>
          <t>LUDVIKA</t>
        </is>
      </c>
      <c r="F536" t="inlineStr">
        <is>
          <t>Naturvårdsverket</t>
        </is>
      </c>
      <c r="G536" t="n">
        <v>1.2</v>
      </c>
      <c r="H536" t="n">
        <v>0</v>
      </c>
      <c r="I536" t="n">
        <v>0</v>
      </c>
      <c r="J536" t="n">
        <v>0</v>
      </c>
      <c r="K536" t="n">
        <v>0</v>
      </c>
      <c r="L536" t="n">
        <v>0</v>
      </c>
      <c r="M536" t="n">
        <v>0</v>
      </c>
      <c r="N536" t="n">
        <v>0</v>
      </c>
      <c r="O536" t="n">
        <v>0</v>
      </c>
      <c r="P536" t="n">
        <v>0</v>
      </c>
      <c r="Q536" t="n">
        <v>0</v>
      </c>
      <c r="R536" s="2" t="inlineStr"/>
    </row>
    <row r="537" ht="15" customHeight="1">
      <c r="A537" t="inlineStr">
        <is>
          <t>A 18864-2023</t>
        </is>
      </c>
      <c r="B537" s="1" t="n">
        <v>45044</v>
      </c>
      <c r="C537" s="1" t="n">
        <v>45852</v>
      </c>
      <c r="D537" t="inlineStr">
        <is>
          <t>DALARNAS LÄN</t>
        </is>
      </c>
      <c r="E537" t="inlineStr">
        <is>
          <t>LUDVIKA</t>
        </is>
      </c>
      <c r="F537" t="inlineStr">
        <is>
          <t>Naturvårdsverket</t>
        </is>
      </c>
      <c r="G537" t="n">
        <v>0.5</v>
      </c>
      <c r="H537" t="n">
        <v>0</v>
      </c>
      <c r="I537" t="n">
        <v>0</v>
      </c>
      <c r="J537" t="n">
        <v>0</v>
      </c>
      <c r="K537" t="n">
        <v>0</v>
      </c>
      <c r="L537" t="n">
        <v>0</v>
      </c>
      <c r="M537" t="n">
        <v>0</v>
      </c>
      <c r="N537" t="n">
        <v>0</v>
      </c>
      <c r="O537" t="n">
        <v>0</v>
      </c>
      <c r="P537" t="n">
        <v>0</v>
      </c>
      <c r="Q537" t="n">
        <v>0</v>
      </c>
      <c r="R537" s="2" t="inlineStr"/>
    </row>
    <row r="538" ht="15" customHeight="1">
      <c r="A538" t="inlineStr">
        <is>
          <t>A 19449-2023</t>
        </is>
      </c>
      <c r="B538" s="1" t="n">
        <v>45050</v>
      </c>
      <c r="C538" s="1" t="n">
        <v>45852</v>
      </c>
      <c r="D538" t="inlineStr">
        <is>
          <t>DALARNAS LÄN</t>
        </is>
      </c>
      <c r="E538" t="inlineStr">
        <is>
          <t>LUDVIKA</t>
        </is>
      </c>
      <c r="F538" t="inlineStr">
        <is>
          <t>Bergvik skog väst AB</t>
        </is>
      </c>
      <c r="G538" t="n">
        <v>5.6</v>
      </c>
      <c r="H538" t="n">
        <v>0</v>
      </c>
      <c r="I538" t="n">
        <v>0</v>
      </c>
      <c r="J538" t="n">
        <v>0</v>
      </c>
      <c r="K538" t="n">
        <v>0</v>
      </c>
      <c r="L538" t="n">
        <v>0</v>
      </c>
      <c r="M538" t="n">
        <v>0</v>
      </c>
      <c r="N538" t="n">
        <v>0</v>
      </c>
      <c r="O538" t="n">
        <v>0</v>
      </c>
      <c r="P538" t="n">
        <v>0</v>
      </c>
      <c r="Q538" t="n">
        <v>0</v>
      </c>
      <c r="R538" s="2" t="inlineStr"/>
    </row>
    <row r="539" ht="15" customHeight="1">
      <c r="A539" t="inlineStr">
        <is>
          <t>A 19643-2023</t>
        </is>
      </c>
      <c r="B539" s="1" t="n">
        <v>45051</v>
      </c>
      <c r="C539" s="1" t="n">
        <v>45852</v>
      </c>
      <c r="D539" t="inlineStr">
        <is>
          <t>DALARNAS LÄN</t>
        </is>
      </c>
      <c r="E539" t="inlineStr">
        <is>
          <t>LUDVIKA</t>
        </is>
      </c>
      <c r="F539" t="inlineStr">
        <is>
          <t>Naturvårdsverket</t>
        </is>
      </c>
      <c r="G539" t="n">
        <v>25</v>
      </c>
      <c r="H539" t="n">
        <v>0</v>
      </c>
      <c r="I539" t="n">
        <v>0</v>
      </c>
      <c r="J539" t="n">
        <v>0</v>
      </c>
      <c r="K539" t="n">
        <v>0</v>
      </c>
      <c r="L539" t="n">
        <v>0</v>
      </c>
      <c r="M539" t="n">
        <v>0</v>
      </c>
      <c r="N539" t="n">
        <v>0</v>
      </c>
      <c r="O539" t="n">
        <v>0</v>
      </c>
      <c r="P539" t="n">
        <v>0</v>
      </c>
      <c r="Q539" t="n">
        <v>0</v>
      </c>
      <c r="R539" s="2" t="inlineStr"/>
    </row>
    <row r="540" ht="15" customHeight="1">
      <c r="A540" t="inlineStr">
        <is>
          <t>A 19651-2023</t>
        </is>
      </c>
      <c r="B540" s="1" t="n">
        <v>45051</v>
      </c>
      <c r="C540" s="1" t="n">
        <v>45852</v>
      </c>
      <c r="D540" t="inlineStr">
        <is>
          <t>DALARNAS LÄN</t>
        </is>
      </c>
      <c r="E540" t="inlineStr">
        <is>
          <t>LUDVIKA</t>
        </is>
      </c>
      <c r="F540" t="inlineStr">
        <is>
          <t>Bergvik skog väst AB</t>
        </is>
      </c>
      <c r="G540" t="n">
        <v>7.4</v>
      </c>
      <c r="H540" t="n">
        <v>0</v>
      </c>
      <c r="I540" t="n">
        <v>0</v>
      </c>
      <c r="J540" t="n">
        <v>0</v>
      </c>
      <c r="K540" t="n">
        <v>0</v>
      </c>
      <c r="L540" t="n">
        <v>0</v>
      </c>
      <c r="M540" t="n">
        <v>0</v>
      </c>
      <c r="N540" t="n">
        <v>0</v>
      </c>
      <c r="O540" t="n">
        <v>0</v>
      </c>
      <c r="P540" t="n">
        <v>0</v>
      </c>
      <c r="Q540" t="n">
        <v>0</v>
      </c>
      <c r="R540" s="2" t="inlineStr"/>
    </row>
    <row r="541" ht="15" customHeight="1">
      <c r="A541" t="inlineStr">
        <is>
          <t>A 20225-2023</t>
        </is>
      </c>
      <c r="B541" s="1" t="n">
        <v>45054</v>
      </c>
      <c r="C541" s="1" t="n">
        <v>45852</v>
      </c>
      <c r="D541" t="inlineStr">
        <is>
          <t>DALARNAS LÄN</t>
        </is>
      </c>
      <c r="E541" t="inlineStr">
        <is>
          <t>LUDVIKA</t>
        </is>
      </c>
      <c r="G541" t="n">
        <v>4.7</v>
      </c>
      <c r="H541" t="n">
        <v>0</v>
      </c>
      <c r="I541" t="n">
        <v>0</v>
      </c>
      <c r="J541" t="n">
        <v>0</v>
      </c>
      <c r="K541" t="n">
        <v>0</v>
      </c>
      <c r="L541" t="n">
        <v>0</v>
      </c>
      <c r="M541" t="n">
        <v>0</v>
      </c>
      <c r="N541" t="n">
        <v>0</v>
      </c>
      <c r="O541" t="n">
        <v>0</v>
      </c>
      <c r="P541" t="n">
        <v>0</v>
      </c>
      <c r="Q541" t="n">
        <v>0</v>
      </c>
      <c r="R541" s="2" t="inlineStr"/>
    </row>
    <row r="542" ht="15" customHeight="1">
      <c r="A542" t="inlineStr">
        <is>
          <t>A 20202-2023</t>
        </is>
      </c>
      <c r="B542" s="1" t="n">
        <v>45055</v>
      </c>
      <c r="C542" s="1" t="n">
        <v>45852</v>
      </c>
      <c r="D542" t="inlineStr">
        <is>
          <t>DALARNAS LÄN</t>
        </is>
      </c>
      <c r="E542" t="inlineStr">
        <is>
          <t>LUDVIKA</t>
        </is>
      </c>
      <c r="G542" t="n">
        <v>2.2</v>
      </c>
      <c r="H542" t="n">
        <v>0</v>
      </c>
      <c r="I542" t="n">
        <v>0</v>
      </c>
      <c r="J542" t="n">
        <v>0</v>
      </c>
      <c r="K542" t="n">
        <v>0</v>
      </c>
      <c r="L542" t="n">
        <v>0</v>
      </c>
      <c r="M542" t="n">
        <v>0</v>
      </c>
      <c r="N542" t="n">
        <v>0</v>
      </c>
      <c r="O542" t="n">
        <v>0</v>
      </c>
      <c r="P542" t="n">
        <v>0</v>
      </c>
      <c r="Q542" t="n">
        <v>0</v>
      </c>
      <c r="R542" s="2" t="inlineStr"/>
    </row>
    <row r="543" ht="15" customHeight="1">
      <c r="A543" t="inlineStr">
        <is>
          <t>A 20559-2023</t>
        </is>
      </c>
      <c r="B543" s="1" t="n">
        <v>45055</v>
      </c>
      <c r="C543" s="1" t="n">
        <v>45852</v>
      </c>
      <c r="D543" t="inlineStr">
        <is>
          <t>DALARNAS LÄN</t>
        </is>
      </c>
      <c r="E543" t="inlineStr">
        <is>
          <t>LUDVIKA</t>
        </is>
      </c>
      <c r="G543" t="n">
        <v>3.8</v>
      </c>
      <c r="H543" t="n">
        <v>0</v>
      </c>
      <c r="I543" t="n">
        <v>0</v>
      </c>
      <c r="J543" t="n">
        <v>0</v>
      </c>
      <c r="K543" t="n">
        <v>0</v>
      </c>
      <c r="L543" t="n">
        <v>0</v>
      </c>
      <c r="M543" t="n">
        <v>0</v>
      </c>
      <c r="N543" t="n">
        <v>0</v>
      </c>
      <c r="O543" t="n">
        <v>0</v>
      </c>
      <c r="P543" t="n">
        <v>0</v>
      </c>
      <c r="Q543" t="n">
        <v>0</v>
      </c>
      <c r="R543" s="2" t="inlineStr"/>
    </row>
    <row r="544" ht="15" customHeight="1">
      <c r="A544" t="inlineStr">
        <is>
          <t>A 20411-2023</t>
        </is>
      </c>
      <c r="B544" s="1" t="n">
        <v>45056</v>
      </c>
      <c r="C544" s="1" t="n">
        <v>45852</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20688-2023</t>
        </is>
      </c>
      <c r="B545" s="1" t="n">
        <v>45058</v>
      </c>
      <c r="C545" s="1" t="n">
        <v>45852</v>
      </c>
      <c r="D545" t="inlineStr">
        <is>
          <t>DALARNAS LÄN</t>
        </is>
      </c>
      <c r="E545" t="inlineStr">
        <is>
          <t>LUDVIKA</t>
        </is>
      </c>
      <c r="F545" t="inlineStr">
        <is>
          <t>Bergvik skog väst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20826-2023</t>
        </is>
      </c>
      <c r="B546" s="1" t="n">
        <v>45058</v>
      </c>
      <c r="C546" s="1" t="n">
        <v>45852</v>
      </c>
      <c r="D546" t="inlineStr">
        <is>
          <t>DALARNAS LÄN</t>
        </is>
      </c>
      <c r="E546" t="inlineStr">
        <is>
          <t>LUDVIKA</t>
        </is>
      </c>
      <c r="F546" t="inlineStr">
        <is>
          <t>Bergvik skog väst AB</t>
        </is>
      </c>
      <c r="G546" t="n">
        <v>10</v>
      </c>
      <c r="H546" t="n">
        <v>0</v>
      </c>
      <c r="I546" t="n">
        <v>0</v>
      </c>
      <c r="J546" t="n">
        <v>0</v>
      </c>
      <c r="K546" t="n">
        <v>0</v>
      </c>
      <c r="L546" t="n">
        <v>0</v>
      </c>
      <c r="M546" t="n">
        <v>0</v>
      </c>
      <c r="N546" t="n">
        <v>0</v>
      </c>
      <c r="O546" t="n">
        <v>0</v>
      </c>
      <c r="P546" t="n">
        <v>0</v>
      </c>
      <c r="Q546" t="n">
        <v>0</v>
      </c>
      <c r="R546" s="2" t="inlineStr"/>
    </row>
    <row r="547" ht="15" customHeight="1">
      <c r="A547" t="inlineStr">
        <is>
          <t>A 20764-2023</t>
        </is>
      </c>
      <c r="B547" s="1" t="n">
        <v>45058</v>
      </c>
      <c r="C547" s="1" t="n">
        <v>45852</v>
      </c>
      <c r="D547" t="inlineStr">
        <is>
          <t>DALARNAS LÄN</t>
        </is>
      </c>
      <c r="E547" t="inlineStr">
        <is>
          <t>LUDVIKA</t>
        </is>
      </c>
      <c r="F547" t="inlineStr">
        <is>
          <t>Bergvik skog väst AB</t>
        </is>
      </c>
      <c r="G547" t="n">
        <v>3.3</v>
      </c>
      <c r="H547" t="n">
        <v>0</v>
      </c>
      <c r="I547" t="n">
        <v>0</v>
      </c>
      <c r="J547" t="n">
        <v>0</v>
      </c>
      <c r="K547" t="n">
        <v>0</v>
      </c>
      <c r="L547" t="n">
        <v>0</v>
      </c>
      <c r="M547" t="n">
        <v>0</v>
      </c>
      <c r="N547" t="n">
        <v>0</v>
      </c>
      <c r="O547" t="n">
        <v>0</v>
      </c>
      <c r="P547" t="n">
        <v>0</v>
      </c>
      <c r="Q547" t="n">
        <v>0</v>
      </c>
      <c r="R547" s="2" t="inlineStr"/>
    </row>
    <row r="548" ht="15" customHeight="1">
      <c r="A548" t="inlineStr">
        <is>
          <t>A 21145-2023</t>
        </is>
      </c>
      <c r="B548" s="1" t="n">
        <v>45062</v>
      </c>
      <c r="C548" s="1" t="n">
        <v>45852</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21152-2023</t>
        </is>
      </c>
      <c r="B549" s="1" t="n">
        <v>45062</v>
      </c>
      <c r="C549" s="1" t="n">
        <v>45852</v>
      </c>
      <c r="D549" t="inlineStr">
        <is>
          <t>DALARNAS LÄN</t>
        </is>
      </c>
      <c r="E549" t="inlineStr">
        <is>
          <t>LUDVIKA</t>
        </is>
      </c>
      <c r="F549" t="inlineStr">
        <is>
          <t>Bergvik skog väst AB</t>
        </is>
      </c>
      <c r="G549" t="n">
        <v>13.6</v>
      </c>
      <c r="H549" t="n">
        <v>0</v>
      </c>
      <c r="I549" t="n">
        <v>0</v>
      </c>
      <c r="J549" t="n">
        <v>0</v>
      </c>
      <c r="K549" t="n">
        <v>0</v>
      </c>
      <c r="L549" t="n">
        <v>0</v>
      </c>
      <c r="M549" t="n">
        <v>0</v>
      </c>
      <c r="N549" t="n">
        <v>0</v>
      </c>
      <c r="O549" t="n">
        <v>0</v>
      </c>
      <c r="P549" t="n">
        <v>0</v>
      </c>
      <c r="Q549" t="n">
        <v>0</v>
      </c>
      <c r="R549" s="2" t="inlineStr"/>
    </row>
    <row r="550" ht="15" customHeight="1">
      <c r="A550" t="inlineStr">
        <is>
          <t>A 21297-2023</t>
        </is>
      </c>
      <c r="B550" s="1" t="n">
        <v>45062</v>
      </c>
      <c r="C550" s="1" t="n">
        <v>45852</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21247-2023</t>
        </is>
      </c>
      <c r="B551" s="1" t="n">
        <v>45062</v>
      </c>
      <c r="C551" s="1" t="n">
        <v>45852</v>
      </c>
      <c r="D551" t="inlineStr">
        <is>
          <t>DALARNAS LÄN</t>
        </is>
      </c>
      <c r="E551" t="inlineStr">
        <is>
          <t>LUDVIKA</t>
        </is>
      </c>
      <c r="F551" t="inlineStr">
        <is>
          <t>Bergvik skog väst AB</t>
        </is>
      </c>
      <c r="G551" t="n">
        <v>2.4</v>
      </c>
      <c r="H551" t="n">
        <v>0</v>
      </c>
      <c r="I551" t="n">
        <v>0</v>
      </c>
      <c r="J551" t="n">
        <v>0</v>
      </c>
      <c r="K551" t="n">
        <v>0</v>
      </c>
      <c r="L551" t="n">
        <v>0</v>
      </c>
      <c r="M551" t="n">
        <v>0</v>
      </c>
      <c r="N551" t="n">
        <v>0</v>
      </c>
      <c r="O551" t="n">
        <v>0</v>
      </c>
      <c r="P551" t="n">
        <v>0</v>
      </c>
      <c r="Q551" t="n">
        <v>0</v>
      </c>
      <c r="R551" s="2" t="inlineStr"/>
    </row>
    <row r="552" ht="15" customHeight="1">
      <c r="A552" t="inlineStr">
        <is>
          <t>A 21539-2023</t>
        </is>
      </c>
      <c r="B552" s="1" t="n">
        <v>45063</v>
      </c>
      <c r="C552" s="1" t="n">
        <v>45852</v>
      </c>
      <c r="D552" t="inlineStr">
        <is>
          <t>DALARNAS LÄN</t>
        </is>
      </c>
      <c r="E552" t="inlineStr">
        <is>
          <t>LUDVIKA</t>
        </is>
      </c>
      <c r="F552" t="inlineStr">
        <is>
          <t>Bergvik skog väst AB</t>
        </is>
      </c>
      <c r="G552" t="n">
        <v>7.4</v>
      </c>
      <c r="H552" t="n">
        <v>0</v>
      </c>
      <c r="I552" t="n">
        <v>0</v>
      </c>
      <c r="J552" t="n">
        <v>0</v>
      </c>
      <c r="K552" t="n">
        <v>0</v>
      </c>
      <c r="L552" t="n">
        <v>0</v>
      </c>
      <c r="M552" t="n">
        <v>0</v>
      </c>
      <c r="N552" t="n">
        <v>0</v>
      </c>
      <c r="O552" t="n">
        <v>0</v>
      </c>
      <c r="P552" t="n">
        <v>0</v>
      </c>
      <c r="Q552" t="n">
        <v>0</v>
      </c>
      <c r="R552" s="2" t="inlineStr"/>
    </row>
    <row r="553" ht="15" customHeight="1">
      <c r="A553" t="inlineStr">
        <is>
          <t>A 21370-2023</t>
        </is>
      </c>
      <c r="B553" s="1" t="n">
        <v>45063</v>
      </c>
      <c r="C553" s="1" t="n">
        <v>45852</v>
      </c>
      <c r="D553" t="inlineStr">
        <is>
          <t>DALARNAS LÄN</t>
        </is>
      </c>
      <c r="E553" t="inlineStr">
        <is>
          <t>LUDVIKA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21369-2023</t>
        </is>
      </c>
      <c r="B554" s="1" t="n">
        <v>45063</v>
      </c>
      <c r="C554" s="1" t="n">
        <v>45852</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21554-2023</t>
        </is>
      </c>
      <c r="B555" s="1" t="n">
        <v>45063</v>
      </c>
      <c r="C555" s="1" t="n">
        <v>45852</v>
      </c>
      <c r="D555" t="inlineStr">
        <is>
          <t>DALARNAS LÄN</t>
        </is>
      </c>
      <c r="E555" t="inlineStr">
        <is>
          <t>LUDVIKA</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21548-2023</t>
        </is>
      </c>
      <c r="B556" s="1" t="n">
        <v>45063</v>
      </c>
      <c r="C556" s="1" t="n">
        <v>45852</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21551-2023</t>
        </is>
      </c>
      <c r="B557" s="1" t="n">
        <v>45063</v>
      </c>
      <c r="C557" s="1" t="n">
        <v>45852</v>
      </c>
      <c r="D557" t="inlineStr">
        <is>
          <t>DALARNAS LÄN</t>
        </is>
      </c>
      <c r="E557" t="inlineStr">
        <is>
          <t>LUDVIKA</t>
        </is>
      </c>
      <c r="G557" t="n">
        <v>8.4</v>
      </c>
      <c r="H557" t="n">
        <v>0</v>
      </c>
      <c r="I557" t="n">
        <v>0</v>
      </c>
      <c r="J557" t="n">
        <v>0</v>
      </c>
      <c r="K557" t="n">
        <v>0</v>
      </c>
      <c r="L557" t="n">
        <v>0</v>
      </c>
      <c r="M557" t="n">
        <v>0</v>
      </c>
      <c r="N557" t="n">
        <v>0</v>
      </c>
      <c r="O557" t="n">
        <v>0</v>
      </c>
      <c r="P557" t="n">
        <v>0</v>
      </c>
      <c r="Q557" t="n">
        <v>0</v>
      </c>
      <c r="R557" s="2" t="inlineStr"/>
    </row>
    <row r="558" ht="15" customHeight="1">
      <c r="A558" t="inlineStr">
        <is>
          <t>A 21598-2023</t>
        </is>
      </c>
      <c r="B558" s="1" t="n">
        <v>45063</v>
      </c>
      <c r="C558" s="1" t="n">
        <v>45852</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21649-2023</t>
        </is>
      </c>
      <c r="B559" s="1" t="n">
        <v>45063</v>
      </c>
      <c r="C559" s="1" t="n">
        <v>45852</v>
      </c>
      <c r="D559" t="inlineStr">
        <is>
          <t>DALARNAS LÄN</t>
        </is>
      </c>
      <c r="E559" t="inlineStr">
        <is>
          <t>LUDVIKA</t>
        </is>
      </c>
      <c r="F559" t="inlineStr">
        <is>
          <t>Bergvik skog väst AB</t>
        </is>
      </c>
      <c r="G559" t="n">
        <v>10.3</v>
      </c>
      <c r="H559" t="n">
        <v>0</v>
      </c>
      <c r="I559" t="n">
        <v>0</v>
      </c>
      <c r="J559" t="n">
        <v>0</v>
      </c>
      <c r="K559" t="n">
        <v>0</v>
      </c>
      <c r="L559" t="n">
        <v>0</v>
      </c>
      <c r="M559" t="n">
        <v>0</v>
      </c>
      <c r="N559" t="n">
        <v>0</v>
      </c>
      <c r="O559" t="n">
        <v>0</v>
      </c>
      <c r="P559" t="n">
        <v>0</v>
      </c>
      <c r="Q559" t="n">
        <v>0</v>
      </c>
      <c r="R559" s="2" t="inlineStr"/>
    </row>
    <row r="560" ht="15" customHeight="1">
      <c r="A560" t="inlineStr">
        <is>
          <t>A 21843-2023</t>
        </is>
      </c>
      <c r="B560" s="1" t="n">
        <v>45068</v>
      </c>
      <c r="C560" s="1" t="n">
        <v>45852</v>
      </c>
      <c r="D560" t="inlineStr">
        <is>
          <t>DALARNAS LÄN</t>
        </is>
      </c>
      <c r="E560" t="inlineStr">
        <is>
          <t>LUDVIKA</t>
        </is>
      </c>
      <c r="G560" t="n">
        <v>4.3</v>
      </c>
      <c r="H560" t="n">
        <v>0</v>
      </c>
      <c r="I560" t="n">
        <v>0</v>
      </c>
      <c r="J560" t="n">
        <v>0</v>
      </c>
      <c r="K560" t="n">
        <v>0</v>
      </c>
      <c r="L560" t="n">
        <v>0</v>
      </c>
      <c r="M560" t="n">
        <v>0</v>
      </c>
      <c r="N560" t="n">
        <v>0</v>
      </c>
      <c r="O560" t="n">
        <v>0</v>
      </c>
      <c r="P560" t="n">
        <v>0</v>
      </c>
      <c r="Q560" t="n">
        <v>0</v>
      </c>
      <c r="R560" s="2" t="inlineStr"/>
    </row>
    <row r="561" ht="15" customHeight="1">
      <c r="A561" t="inlineStr">
        <is>
          <t>A 21842-2023</t>
        </is>
      </c>
      <c r="B561" s="1" t="n">
        <v>45068</v>
      </c>
      <c r="C561" s="1" t="n">
        <v>45852</v>
      </c>
      <c r="D561" t="inlineStr">
        <is>
          <t>DALARNAS LÄN</t>
        </is>
      </c>
      <c r="E561" t="inlineStr">
        <is>
          <t>LUDVIKA</t>
        </is>
      </c>
      <c r="G561" t="n">
        <v>3.5</v>
      </c>
      <c r="H561" t="n">
        <v>0</v>
      </c>
      <c r="I561" t="n">
        <v>0</v>
      </c>
      <c r="J561" t="n">
        <v>0</v>
      </c>
      <c r="K561" t="n">
        <v>0</v>
      </c>
      <c r="L561" t="n">
        <v>0</v>
      </c>
      <c r="M561" t="n">
        <v>0</v>
      </c>
      <c r="N561" t="n">
        <v>0</v>
      </c>
      <c r="O561" t="n">
        <v>0</v>
      </c>
      <c r="P561" t="n">
        <v>0</v>
      </c>
      <c r="Q561" t="n">
        <v>0</v>
      </c>
      <c r="R561" s="2" t="inlineStr"/>
    </row>
    <row r="562" ht="15" customHeight="1">
      <c r="A562" t="inlineStr">
        <is>
          <t>A 21870-2023</t>
        </is>
      </c>
      <c r="B562" s="1" t="n">
        <v>45068</v>
      </c>
      <c r="C562" s="1" t="n">
        <v>45852</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21841-2023</t>
        </is>
      </c>
      <c r="B563" s="1" t="n">
        <v>45068</v>
      </c>
      <c r="C563" s="1" t="n">
        <v>45852</v>
      </c>
      <c r="D563" t="inlineStr">
        <is>
          <t>DALARNAS LÄN</t>
        </is>
      </c>
      <c r="E563" t="inlineStr">
        <is>
          <t>LUDVIKA</t>
        </is>
      </c>
      <c r="G563" t="n">
        <v>4.5</v>
      </c>
      <c r="H563" t="n">
        <v>0</v>
      </c>
      <c r="I563" t="n">
        <v>0</v>
      </c>
      <c r="J563" t="n">
        <v>0</v>
      </c>
      <c r="K563" t="n">
        <v>0</v>
      </c>
      <c r="L563" t="n">
        <v>0</v>
      </c>
      <c r="M563" t="n">
        <v>0</v>
      </c>
      <c r="N563" t="n">
        <v>0</v>
      </c>
      <c r="O563" t="n">
        <v>0</v>
      </c>
      <c r="P563" t="n">
        <v>0</v>
      </c>
      <c r="Q563" t="n">
        <v>0</v>
      </c>
      <c r="R563" s="2" t="inlineStr"/>
    </row>
    <row r="564" ht="15" customHeight="1">
      <c r="A564" t="inlineStr">
        <is>
          <t>A 21933-2023</t>
        </is>
      </c>
      <c r="B564" s="1" t="n">
        <v>45068</v>
      </c>
      <c r="C564" s="1" t="n">
        <v>45852</v>
      </c>
      <c r="D564" t="inlineStr">
        <is>
          <t>DALARNAS LÄN</t>
        </is>
      </c>
      <c r="E564" t="inlineStr">
        <is>
          <t>LUDVIKA</t>
        </is>
      </c>
      <c r="F564" t="inlineStr">
        <is>
          <t>Bergvik skog väst AB</t>
        </is>
      </c>
      <c r="G564" t="n">
        <v>12.5</v>
      </c>
      <c r="H564" t="n">
        <v>0</v>
      </c>
      <c r="I564" t="n">
        <v>0</v>
      </c>
      <c r="J564" t="n">
        <v>0</v>
      </c>
      <c r="K564" t="n">
        <v>0</v>
      </c>
      <c r="L564" t="n">
        <v>0</v>
      </c>
      <c r="M564" t="n">
        <v>0</v>
      </c>
      <c r="N564" t="n">
        <v>0</v>
      </c>
      <c r="O564" t="n">
        <v>0</v>
      </c>
      <c r="P564" t="n">
        <v>0</v>
      </c>
      <c r="Q564" t="n">
        <v>0</v>
      </c>
      <c r="R564" s="2" t="inlineStr"/>
    </row>
    <row r="565" ht="15" customHeight="1">
      <c r="A565" t="inlineStr">
        <is>
          <t>A 22149-2023</t>
        </is>
      </c>
      <c r="B565" s="1" t="n">
        <v>45069</v>
      </c>
      <c r="C565" s="1" t="n">
        <v>45852</v>
      </c>
      <c r="D565" t="inlineStr">
        <is>
          <t>DALARNAS LÄN</t>
        </is>
      </c>
      <c r="E565" t="inlineStr">
        <is>
          <t>LUDVIKA</t>
        </is>
      </c>
      <c r="F565" t="inlineStr">
        <is>
          <t>Bergvik skog väst AB</t>
        </is>
      </c>
      <c r="G565" t="n">
        <v>12.9</v>
      </c>
      <c r="H565" t="n">
        <v>0</v>
      </c>
      <c r="I565" t="n">
        <v>0</v>
      </c>
      <c r="J565" t="n">
        <v>0</v>
      </c>
      <c r="K565" t="n">
        <v>0</v>
      </c>
      <c r="L565" t="n">
        <v>0</v>
      </c>
      <c r="M565" t="n">
        <v>0</v>
      </c>
      <c r="N565" t="n">
        <v>0</v>
      </c>
      <c r="O565" t="n">
        <v>0</v>
      </c>
      <c r="P565" t="n">
        <v>0</v>
      </c>
      <c r="Q565" t="n">
        <v>0</v>
      </c>
      <c r="R565" s="2" t="inlineStr"/>
    </row>
    <row r="566" ht="15" customHeight="1">
      <c r="A566" t="inlineStr">
        <is>
          <t>A 22151-2023</t>
        </is>
      </c>
      <c r="B566" s="1" t="n">
        <v>45069</v>
      </c>
      <c r="C566" s="1" t="n">
        <v>45852</v>
      </c>
      <c r="D566" t="inlineStr">
        <is>
          <t>DALARNAS LÄN</t>
        </is>
      </c>
      <c r="E566" t="inlineStr">
        <is>
          <t>LUDVIKA</t>
        </is>
      </c>
      <c r="F566" t="inlineStr">
        <is>
          <t>Bergvik skog väst AB</t>
        </is>
      </c>
      <c r="G566" t="n">
        <v>1.1</v>
      </c>
      <c r="H566" t="n">
        <v>0</v>
      </c>
      <c r="I566" t="n">
        <v>0</v>
      </c>
      <c r="J566" t="n">
        <v>0</v>
      </c>
      <c r="K566" t="n">
        <v>0</v>
      </c>
      <c r="L566" t="n">
        <v>0</v>
      </c>
      <c r="M566" t="n">
        <v>0</v>
      </c>
      <c r="N566" t="n">
        <v>0</v>
      </c>
      <c r="O566" t="n">
        <v>0</v>
      </c>
      <c r="P566" t="n">
        <v>0</v>
      </c>
      <c r="Q566" t="n">
        <v>0</v>
      </c>
      <c r="R566" s="2" t="inlineStr"/>
    </row>
    <row r="567" ht="15" customHeight="1">
      <c r="A567" t="inlineStr">
        <is>
          <t>A 22286-2023</t>
        </is>
      </c>
      <c r="B567" s="1" t="n">
        <v>45070</v>
      </c>
      <c r="C567" s="1" t="n">
        <v>45852</v>
      </c>
      <c r="D567" t="inlineStr">
        <is>
          <t>DALARNAS LÄN</t>
        </is>
      </c>
      <c r="E567" t="inlineStr">
        <is>
          <t>LUDVIKA</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22306-2023</t>
        </is>
      </c>
      <c r="B568" s="1" t="n">
        <v>45070</v>
      </c>
      <c r="C568" s="1" t="n">
        <v>45852</v>
      </c>
      <c r="D568" t="inlineStr">
        <is>
          <t>DALARNAS LÄN</t>
        </is>
      </c>
      <c r="E568" t="inlineStr">
        <is>
          <t>LUDVIKA</t>
        </is>
      </c>
      <c r="F568" t="inlineStr">
        <is>
          <t>Bergvik skog väst AB</t>
        </is>
      </c>
      <c r="G568" t="n">
        <v>2.4</v>
      </c>
      <c r="H568" t="n">
        <v>0</v>
      </c>
      <c r="I568" t="n">
        <v>0</v>
      </c>
      <c r="J568" t="n">
        <v>0</v>
      </c>
      <c r="K568" t="n">
        <v>0</v>
      </c>
      <c r="L568" t="n">
        <v>0</v>
      </c>
      <c r="M568" t="n">
        <v>0</v>
      </c>
      <c r="N568" t="n">
        <v>0</v>
      </c>
      <c r="O568" t="n">
        <v>0</v>
      </c>
      <c r="P568" t="n">
        <v>0</v>
      </c>
      <c r="Q568" t="n">
        <v>0</v>
      </c>
      <c r="R568" s="2" t="inlineStr"/>
    </row>
    <row r="569" ht="15" customHeight="1">
      <c r="A569" t="inlineStr">
        <is>
          <t>A 22375-2023</t>
        </is>
      </c>
      <c r="B569" s="1" t="n">
        <v>45070</v>
      </c>
      <c r="C569" s="1" t="n">
        <v>45852</v>
      </c>
      <c r="D569" t="inlineStr">
        <is>
          <t>DALARNAS LÄN</t>
        </is>
      </c>
      <c r="E569" t="inlineStr">
        <is>
          <t>LUDVIKA</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22420-2023</t>
        </is>
      </c>
      <c r="B570" s="1" t="n">
        <v>45070</v>
      </c>
      <c r="C570" s="1" t="n">
        <v>45852</v>
      </c>
      <c r="D570" t="inlineStr">
        <is>
          <t>DALARNAS LÄN</t>
        </is>
      </c>
      <c r="E570" t="inlineStr">
        <is>
          <t>LUDVIKA</t>
        </is>
      </c>
      <c r="F570" t="inlineStr">
        <is>
          <t>Bergvik skog väst AB</t>
        </is>
      </c>
      <c r="G570" t="n">
        <v>6.5</v>
      </c>
      <c r="H570" t="n">
        <v>0</v>
      </c>
      <c r="I570" t="n">
        <v>0</v>
      </c>
      <c r="J570" t="n">
        <v>0</v>
      </c>
      <c r="K570" t="n">
        <v>0</v>
      </c>
      <c r="L570" t="n">
        <v>0</v>
      </c>
      <c r="M570" t="n">
        <v>0</v>
      </c>
      <c r="N570" t="n">
        <v>0</v>
      </c>
      <c r="O570" t="n">
        <v>0</v>
      </c>
      <c r="P570" t="n">
        <v>0</v>
      </c>
      <c r="Q570" t="n">
        <v>0</v>
      </c>
      <c r="R570" s="2" t="inlineStr"/>
    </row>
    <row r="571" ht="15" customHeight="1">
      <c r="A571" t="inlineStr">
        <is>
          <t>A 22555-2023</t>
        </is>
      </c>
      <c r="B571" s="1" t="n">
        <v>45071</v>
      </c>
      <c r="C571" s="1" t="n">
        <v>45852</v>
      </c>
      <c r="D571" t="inlineStr">
        <is>
          <t>DALARNAS LÄN</t>
        </is>
      </c>
      <c r="E571" t="inlineStr">
        <is>
          <t>LUDVIKA</t>
        </is>
      </c>
      <c r="F571" t="inlineStr">
        <is>
          <t>Bergvik skog väst AB</t>
        </is>
      </c>
      <c r="G571" t="n">
        <v>6</v>
      </c>
      <c r="H571" t="n">
        <v>0</v>
      </c>
      <c r="I571" t="n">
        <v>0</v>
      </c>
      <c r="J571" t="n">
        <v>0</v>
      </c>
      <c r="K571" t="n">
        <v>0</v>
      </c>
      <c r="L571" t="n">
        <v>0</v>
      </c>
      <c r="M571" t="n">
        <v>0</v>
      </c>
      <c r="N571" t="n">
        <v>0</v>
      </c>
      <c r="O571" t="n">
        <v>0</v>
      </c>
      <c r="P571" t="n">
        <v>0</v>
      </c>
      <c r="Q571" t="n">
        <v>0</v>
      </c>
      <c r="R571" s="2" t="inlineStr"/>
    </row>
    <row r="572" ht="15" customHeight="1">
      <c r="A572" t="inlineStr">
        <is>
          <t>A 23999-2023</t>
        </is>
      </c>
      <c r="B572" s="1" t="n">
        <v>45078</v>
      </c>
      <c r="C572" s="1" t="n">
        <v>45852</v>
      </c>
      <c r="D572" t="inlineStr">
        <is>
          <t>DALARNAS LÄN</t>
        </is>
      </c>
      <c r="E572" t="inlineStr">
        <is>
          <t>LUDVIKA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24224-2023</t>
        </is>
      </c>
      <c r="B573" s="1" t="n">
        <v>45079</v>
      </c>
      <c r="C573" s="1" t="n">
        <v>45852</v>
      </c>
      <c r="D573" t="inlineStr">
        <is>
          <t>DALARNAS LÄN</t>
        </is>
      </c>
      <c r="E573" t="inlineStr">
        <is>
          <t>LUDVIKA</t>
        </is>
      </c>
      <c r="F573" t="inlineStr">
        <is>
          <t>Bergvik skog väst AB</t>
        </is>
      </c>
      <c r="G573" t="n">
        <v>12.1</v>
      </c>
      <c r="H573" t="n">
        <v>0</v>
      </c>
      <c r="I573" t="n">
        <v>0</v>
      </c>
      <c r="J573" t="n">
        <v>0</v>
      </c>
      <c r="K573" t="n">
        <v>0</v>
      </c>
      <c r="L573" t="n">
        <v>0</v>
      </c>
      <c r="M573" t="n">
        <v>0</v>
      </c>
      <c r="N573" t="n">
        <v>0</v>
      </c>
      <c r="O573" t="n">
        <v>0</v>
      </c>
      <c r="P573" t="n">
        <v>0</v>
      </c>
      <c r="Q573" t="n">
        <v>0</v>
      </c>
      <c r="R573" s="2" t="inlineStr"/>
    </row>
    <row r="574" ht="15" customHeight="1">
      <c r="A574" t="inlineStr">
        <is>
          <t>A 24256-2023</t>
        </is>
      </c>
      <c r="B574" s="1" t="n">
        <v>45079</v>
      </c>
      <c r="C574" s="1" t="n">
        <v>45852</v>
      </c>
      <c r="D574" t="inlineStr">
        <is>
          <t>DALARNAS LÄN</t>
        </is>
      </c>
      <c r="E574" t="inlineStr">
        <is>
          <t>LUDVIKA</t>
        </is>
      </c>
      <c r="F574" t="inlineStr">
        <is>
          <t>Bergvik skog väst AB</t>
        </is>
      </c>
      <c r="G574" t="n">
        <v>10.9</v>
      </c>
      <c r="H574" t="n">
        <v>0</v>
      </c>
      <c r="I574" t="n">
        <v>0</v>
      </c>
      <c r="J574" t="n">
        <v>0</v>
      </c>
      <c r="K574" t="n">
        <v>0</v>
      </c>
      <c r="L574" t="n">
        <v>0</v>
      </c>
      <c r="M574" t="n">
        <v>0</v>
      </c>
      <c r="N574" t="n">
        <v>0</v>
      </c>
      <c r="O574" t="n">
        <v>0</v>
      </c>
      <c r="P574" t="n">
        <v>0</v>
      </c>
      <c r="Q574" t="n">
        <v>0</v>
      </c>
      <c r="R574" s="2" t="inlineStr"/>
    </row>
    <row r="575" ht="15" customHeight="1">
      <c r="A575" t="inlineStr">
        <is>
          <t>A 24379-2023</t>
        </is>
      </c>
      <c r="B575" s="1" t="n">
        <v>45082</v>
      </c>
      <c r="C575" s="1" t="n">
        <v>45852</v>
      </c>
      <c r="D575" t="inlineStr">
        <is>
          <t>DALARNAS LÄN</t>
        </is>
      </c>
      <c r="E575" t="inlineStr">
        <is>
          <t>LUDVIKA</t>
        </is>
      </c>
      <c r="F575" t="inlineStr">
        <is>
          <t>Naturvårdsverket</t>
        </is>
      </c>
      <c r="G575" t="n">
        <v>2.1</v>
      </c>
      <c r="H575" t="n">
        <v>0</v>
      </c>
      <c r="I575" t="n">
        <v>0</v>
      </c>
      <c r="J575" t="n">
        <v>0</v>
      </c>
      <c r="K575" t="n">
        <v>0</v>
      </c>
      <c r="L575" t="n">
        <v>0</v>
      </c>
      <c r="M575" t="n">
        <v>0</v>
      </c>
      <c r="N575" t="n">
        <v>0</v>
      </c>
      <c r="O575" t="n">
        <v>0</v>
      </c>
      <c r="P575" t="n">
        <v>0</v>
      </c>
      <c r="Q575" t="n">
        <v>0</v>
      </c>
      <c r="R575" s="2" t="inlineStr"/>
    </row>
    <row r="576" ht="15" customHeight="1">
      <c r="A576" t="inlineStr">
        <is>
          <t>A 24469-2023</t>
        </is>
      </c>
      <c r="B576" s="1" t="n">
        <v>45082</v>
      </c>
      <c r="C576" s="1" t="n">
        <v>45852</v>
      </c>
      <c r="D576" t="inlineStr">
        <is>
          <t>DALARNAS LÄN</t>
        </is>
      </c>
      <c r="E576" t="inlineStr">
        <is>
          <t>LUDVIKA</t>
        </is>
      </c>
      <c r="F576" t="inlineStr">
        <is>
          <t>Naturvårdsverket</t>
        </is>
      </c>
      <c r="G576" t="n">
        <v>4</v>
      </c>
      <c r="H576" t="n">
        <v>0</v>
      </c>
      <c r="I576" t="n">
        <v>0</v>
      </c>
      <c r="J576" t="n">
        <v>0</v>
      </c>
      <c r="K576" t="n">
        <v>0</v>
      </c>
      <c r="L576" t="n">
        <v>0</v>
      </c>
      <c r="M576" t="n">
        <v>0</v>
      </c>
      <c r="N576" t="n">
        <v>0</v>
      </c>
      <c r="O576" t="n">
        <v>0</v>
      </c>
      <c r="P576" t="n">
        <v>0</v>
      </c>
      <c r="Q576" t="n">
        <v>0</v>
      </c>
      <c r="R576" s="2" t="inlineStr"/>
    </row>
    <row r="577" ht="15" customHeight="1">
      <c r="A577" t="inlineStr">
        <is>
          <t>A 24612-2023</t>
        </is>
      </c>
      <c r="B577" s="1" t="n">
        <v>45084</v>
      </c>
      <c r="C577" s="1" t="n">
        <v>45852</v>
      </c>
      <c r="D577" t="inlineStr">
        <is>
          <t>DALARNAS LÄN</t>
        </is>
      </c>
      <c r="E577" t="inlineStr">
        <is>
          <t>LUDVIKA</t>
        </is>
      </c>
      <c r="F577" t="inlineStr">
        <is>
          <t>Bergvik skog väst AB</t>
        </is>
      </c>
      <c r="G577" t="n">
        <v>11.7</v>
      </c>
      <c r="H577" t="n">
        <v>0</v>
      </c>
      <c r="I577" t="n">
        <v>0</v>
      </c>
      <c r="J577" t="n">
        <v>0</v>
      </c>
      <c r="K577" t="n">
        <v>0</v>
      </c>
      <c r="L577" t="n">
        <v>0</v>
      </c>
      <c r="M577" t="n">
        <v>0</v>
      </c>
      <c r="N577" t="n">
        <v>0</v>
      </c>
      <c r="O577" t="n">
        <v>0</v>
      </c>
      <c r="P577" t="n">
        <v>0</v>
      </c>
      <c r="Q577" t="n">
        <v>0</v>
      </c>
      <c r="R577" s="2" t="inlineStr"/>
    </row>
    <row r="578" ht="15" customHeight="1">
      <c r="A578" t="inlineStr">
        <is>
          <t>A 25077-2023</t>
        </is>
      </c>
      <c r="B578" s="1" t="n">
        <v>45086</v>
      </c>
      <c r="C578" s="1" t="n">
        <v>45852</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25099-2023</t>
        </is>
      </c>
      <c r="B579" s="1" t="n">
        <v>45086</v>
      </c>
      <c r="C579" s="1" t="n">
        <v>45852</v>
      </c>
      <c r="D579" t="inlineStr">
        <is>
          <t>DALARNAS LÄN</t>
        </is>
      </c>
      <c r="E579" t="inlineStr">
        <is>
          <t>LUDVIKA</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25624-2023</t>
        </is>
      </c>
      <c r="B580" s="1" t="n">
        <v>45089</v>
      </c>
      <c r="C580" s="1" t="n">
        <v>45852</v>
      </c>
      <c r="D580" t="inlineStr">
        <is>
          <t>DALARNAS LÄN</t>
        </is>
      </c>
      <c r="E580" t="inlineStr">
        <is>
          <t>LUDVIKA</t>
        </is>
      </c>
      <c r="F580" t="inlineStr">
        <is>
          <t>Bergvik skog väst AB</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26147-2023</t>
        </is>
      </c>
      <c r="B581" s="1" t="n">
        <v>45091</v>
      </c>
      <c r="C581" s="1" t="n">
        <v>45852</v>
      </c>
      <c r="D581" t="inlineStr">
        <is>
          <t>DALARNAS LÄN</t>
        </is>
      </c>
      <c r="E581" t="inlineStr">
        <is>
          <t>LUDVIKA</t>
        </is>
      </c>
      <c r="F581" t="inlineStr">
        <is>
          <t>Naturvårdsverket</t>
        </is>
      </c>
      <c r="G581" t="n">
        <v>4.1</v>
      </c>
      <c r="H581" t="n">
        <v>0</v>
      </c>
      <c r="I581" t="n">
        <v>0</v>
      </c>
      <c r="J581" t="n">
        <v>0</v>
      </c>
      <c r="K581" t="n">
        <v>0</v>
      </c>
      <c r="L581" t="n">
        <v>0</v>
      </c>
      <c r="M581" t="n">
        <v>0</v>
      </c>
      <c r="N581" t="n">
        <v>0</v>
      </c>
      <c r="O581" t="n">
        <v>0</v>
      </c>
      <c r="P581" t="n">
        <v>0</v>
      </c>
      <c r="Q581" t="n">
        <v>0</v>
      </c>
      <c r="R581" s="2" t="inlineStr"/>
    </row>
    <row r="582" ht="15" customHeight="1">
      <c r="A582" t="inlineStr">
        <is>
          <t>A 26766-2023</t>
        </is>
      </c>
      <c r="B582" s="1" t="n">
        <v>45093</v>
      </c>
      <c r="C582" s="1" t="n">
        <v>45852</v>
      </c>
      <c r="D582" t="inlineStr">
        <is>
          <t>DALARNAS LÄN</t>
        </is>
      </c>
      <c r="E582" t="inlineStr">
        <is>
          <t>LUDVIKA</t>
        </is>
      </c>
      <c r="F582" t="inlineStr">
        <is>
          <t>Naturvårdsverket</t>
        </is>
      </c>
      <c r="G582" t="n">
        <v>1.6</v>
      </c>
      <c r="H582" t="n">
        <v>0</v>
      </c>
      <c r="I582" t="n">
        <v>0</v>
      </c>
      <c r="J582" t="n">
        <v>0</v>
      </c>
      <c r="K582" t="n">
        <v>0</v>
      </c>
      <c r="L582" t="n">
        <v>0</v>
      </c>
      <c r="M582" t="n">
        <v>0</v>
      </c>
      <c r="N582" t="n">
        <v>0</v>
      </c>
      <c r="O582" t="n">
        <v>0</v>
      </c>
      <c r="P582" t="n">
        <v>0</v>
      </c>
      <c r="Q582" t="n">
        <v>0</v>
      </c>
      <c r="R582" s="2" t="inlineStr"/>
    </row>
    <row r="583" ht="15" customHeight="1">
      <c r="A583" t="inlineStr">
        <is>
          <t>A 26884-2023</t>
        </is>
      </c>
      <c r="B583" s="1" t="n">
        <v>45093</v>
      </c>
      <c r="C583" s="1" t="n">
        <v>45852</v>
      </c>
      <c r="D583" t="inlineStr">
        <is>
          <t>DALARNAS LÄN</t>
        </is>
      </c>
      <c r="E583" t="inlineStr">
        <is>
          <t>LUDVIKA</t>
        </is>
      </c>
      <c r="F583" t="inlineStr">
        <is>
          <t>Naturvårdsverket</t>
        </is>
      </c>
      <c r="G583" t="n">
        <v>3.5</v>
      </c>
      <c r="H583" t="n">
        <v>0</v>
      </c>
      <c r="I583" t="n">
        <v>0</v>
      </c>
      <c r="J583" t="n">
        <v>0</v>
      </c>
      <c r="K583" t="n">
        <v>0</v>
      </c>
      <c r="L583" t="n">
        <v>0</v>
      </c>
      <c r="M583" t="n">
        <v>0</v>
      </c>
      <c r="N583" t="n">
        <v>0</v>
      </c>
      <c r="O583" t="n">
        <v>0</v>
      </c>
      <c r="P583" t="n">
        <v>0</v>
      </c>
      <c r="Q583" t="n">
        <v>0</v>
      </c>
      <c r="R583" s="2" t="inlineStr"/>
    </row>
    <row r="584" ht="15" customHeight="1">
      <c r="A584" t="inlineStr">
        <is>
          <t>A 26789-2023</t>
        </is>
      </c>
      <c r="B584" s="1" t="n">
        <v>45093</v>
      </c>
      <c r="C584" s="1" t="n">
        <v>45852</v>
      </c>
      <c r="D584" t="inlineStr">
        <is>
          <t>DALARNAS LÄN</t>
        </is>
      </c>
      <c r="E584" t="inlineStr">
        <is>
          <t>LUDVIKA</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27870-2023</t>
        </is>
      </c>
      <c r="B585" s="1" t="n">
        <v>45098</v>
      </c>
      <c r="C585" s="1" t="n">
        <v>45852</v>
      </c>
      <c r="D585" t="inlineStr">
        <is>
          <t>DALARNAS LÄN</t>
        </is>
      </c>
      <c r="E585" t="inlineStr">
        <is>
          <t>LUDVIKA</t>
        </is>
      </c>
      <c r="F585" t="inlineStr">
        <is>
          <t>Bergvik skog väst AB</t>
        </is>
      </c>
      <c r="G585" t="n">
        <v>24.7</v>
      </c>
      <c r="H585" t="n">
        <v>0</v>
      </c>
      <c r="I585" t="n">
        <v>0</v>
      </c>
      <c r="J585" t="n">
        <v>0</v>
      </c>
      <c r="K585" t="n">
        <v>0</v>
      </c>
      <c r="L585" t="n">
        <v>0</v>
      </c>
      <c r="M585" t="n">
        <v>0</v>
      </c>
      <c r="N585" t="n">
        <v>0</v>
      </c>
      <c r="O585" t="n">
        <v>0</v>
      </c>
      <c r="P585" t="n">
        <v>0</v>
      </c>
      <c r="Q585" t="n">
        <v>0</v>
      </c>
      <c r="R585" s="2" t="inlineStr"/>
    </row>
    <row r="586" ht="15" customHeight="1">
      <c r="A586" t="inlineStr">
        <is>
          <t>A 27917-2023</t>
        </is>
      </c>
      <c r="B586" s="1" t="n">
        <v>45098</v>
      </c>
      <c r="C586" s="1" t="n">
        <v>45852</v>
      </c>
      <c r="D586" t="inlineStr">
        <is>
          <t>DALARNAS LÄN</t>
        </is>
      </c>
      <c r="E586" t="inlineStr">
        <is>
          <t>LUDVIKA</t>
        </is>
      </c>
      <c r="F586" t="inlineStr">
        <is>
          <t>Bergvik skog väst AB</t>
        </is>
      </c>
      <c r="G586" t="n">
        <v>10.4</v>
      </c>
      <c r="H586" t="n">
        <v>0</v>
      </c>
      <c r="I586" t="n">
        <v>0</v>
      </c>
      <c r="J586" t="n">
        <v>0</v>
      </c>
      <c r="K586" t="n">
        <v>0</v>
      </c>
      <c r="L586" t="n">
        <v>0</v>
      </c>
      <c r="M586" t="n">
        <v>0</v>
      </c>
      <c r="N586" t="n">
        <v>0</v>
      </c>
      <c r="O586" t="n">
        <v>0</v>
      </c>
      <c r="P586" t="n">
        <v>0</v>
      </c>
      <c r="Q586" t="n">
        <v>0</v>
      </c>
      <c r="R586" s="2" t="inlineStr"/>
    </row>
    <row r="587" ht="15" customHeight="1">
      <c r="A587" t="inlineStr">
        <is>
          <t>A 27954-2023</t>
        </is>
      </c>
      <c r="B587" s="1" t="n">
        <v>45098</v>
      </c>
      <c r="C587" s="1" t="n">
        <v>45852</v>
      </c>
      <c r="D587" t="inlineStr">
        <is>
          <t>DALARNAS LÄN</t>
        </is>
      </c>
      <c r="E587" t="inlineStr">
        <is>
          <t>LUDVIKA</t>
        </is>
      </c>
      <c r="F587" t="inlineStr">
        <is>
          <t>Bergvik skog väst AB</t>
        </is>
      </c>
      <c r="G587" t="n">
        <v>6.2</v>
      </c>
      <c r="H587" t="n">
        <v>0</v>
      </c>
      <c r="I587" t="n">
        <v>0</v>
      </c>
      <c r="J587" t="n">
        <v>0</v>
      </c>
      <c r="K587" t="n">
        <v>0</v>
      </c>
      <c r="L587" t="n">
        <v>0</v>
      </c>
      <c r="M587" t="n">
        <v>0</v>
      </c>
      <c r="N587" t="n">
        <v>0</v>
      </c>
      <c r="O587" t="n">
        <v>0</v>
      </c>
      <c r="P587" t="n">
        <v>0</v>
      </c>
      <c r="Q587" t="n">
        <v>0</v>
      </c>
      <c r="R587" s="2" t="inlineStr"/>
    </row>
    <row r="588" ht="15" customHeight="1">
      <c r="A588" t="inlineStr">
        <is>
          <t>A 27929-2023</t>
        </is>
      </c>
      <c r="B588" s="1" t="n">
        <v>45098</v>
      </c>
      <c r="C588" s="1" t="n">
        <v>45852</v>
      </c>
      <c r="D588" t="inlineStr">
        <is>
          <t>DALARNAS LÄN</t>
        </is>
      </c>
      <c r="E588" t="inlineStr">
        <is>
          <t>LUDVIKA</t>
        </is>
      </c>
      <c r="F588" t="inlineStr">
        <is>
          <t>Bergvik skog väst AB</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28144-2023</t>
        </is>
      </c>
      <c r="B589" s="1" t="n">
        <v>45099</v>
      </c>
      <c r="C589" s="1" t="n">
        <v>45852</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28134-2023</t>
        </is>
      </c>
      <c r="B590" s="1" t="n">
        <v>45099</v>
      </c>
      <c r="C590" s="1" t="n">
        <v>45852</v>
      </c>
      <c r="D590" t="inlineStr">
        <is>
          <t>DALARNAS LÄN</t>
        </is>
      </c>
      <c r="E590" t="inlineStr">
        <is>
          <t>LUDVIKA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28125-2023</t>
        </is>
      </c>
      <c r="B591" s="1" t="n">
        <v>45099</v>
      </c>
      <c r="C591" s="1" t="n">
        <v>45852</v>
      </c>
      <c r="D591" t="inlineStr">
        <is>
          <t>DALARNAS LÄN</t>
        </is>
      </c>
      <c r="E591" t="inlineStr">
        <is>
          <t>LUDVIKA</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28138-2023</t>
        </is>
      </c>
      <c r="B592" s="1" t="n">
        <v>45099</v>
      </c>
      <c r="C592" s="1" t="n">
        <v>45852</v>
      </c>
      <c r="D592" t="inlineStr">
        <is>
          <t>DALARNAS LÄN</t>
        </is>
      </c>
      <c r="E592" t="inlineStr">
        <is>
          <t>LUDVIKA</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28157-2023</t>
        </is>
      </c>
      <c r="B593" s="1" t="n">
        <v>45099</v>
      </c>
      <c r="C593" s="1" t="n">
        <v>45852</v>
      </c>
      <c r="D593" t="inlineStr">
        <is>
          <t>DALARNAS LÄN</t>
        </is>
      </c>
      <c r="E593" t="inlineStr">
        <is>
          <t>LUDVIKA</t>
        </is>
      </c>
      <c r="F593" t="inlineStr">
        <is>
          <t>Bergvik skog väst AB</t>
        </is>
      </c>
      <c r="G593" t="n">
        <v>0.8</v>
      </c>
      <c r="H593" t="n">
        <v>0</v>
      </c>
      <c r="I593" t="n">
        <v>0</v>
      </c>
      <c r="J593" t="n">
        <v>0</v>
      </c>
      <c r="K593" t="n">
        <v>0</v>
      </c>
      <c r="L593" t="n">
        <v>0</v>
      </c>
      <c r="M593" t="n">
        <v>0</v>
      </c>
      <c r="N593" t="n">
        <v>0</v>
      </c>
      <c r="O593" t="n">
        <v>0</v>
      </c>
      <c r="P593" t="n">
        <v>0</v>
      </c>
      <c r="Q593" t="n">
        <v>0</v>
      </c>
      <c r="R593" s="2" t="inlineStr"/>
    </row>
    <row r="594" ht="15" customHeight="1">
      <c r="A594" t="inlineStr">
        <is>
          <t>A 28141-2023</t>
        </is>
      </c>
      <c r="B594" s="1" t="n">
        <v>45099</v>
      </c>
      <c r="C594" s="1" t="n">
        <v>45852</v>
      </c>
      <c r="D594" t="inlineStr">
        <is>
          <t>DALARNAS LÄN</t>
        </is>
      </c>
      <c r="E594" t="inlineStr">
        <is>
          <t>LUDVIKA</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28150-2023</t>
        </is>
      </c>
      <c r="B595" s="1" t="n">
        <v>45099</v>
      </c>
      <c r="C595" s="1" t="n">
        <v>45852</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28507-2023</t>
        </is>
      </c>
      <c r="B596" s="1" t="n">
        <v>45103</v>
      </c>
      <c r="C596" s="1" t="n">
        <v>45852</v>
      </c>
      <c r="D596" t="inlineStr">
        <is>
          <t>DALARNAS LÄN</t>
        </is>
      </c>
      <c r="E596" t="inlineStr">
        <is>
          <t>LUDVIKA</t>
        </is>
      </c>
      <c r="G596" t="n">
        <v>2.4</v>
      </c>
      <c r="H596" t="n">
        <v>0</v>
      </c>
      <c r="I596" t="n">
        <v>0</v>
      </c>
      <c r="J596" t="n">
        <v>0</v>
      </c>
      <c r="K596" t="n">
        <v>0</v>
      </c>
      <c r="L596" t="n">
        <v>0</v>
      </c>
      <c r="M596" t="n">
        <v>0</v>
      </c>
      <c r="N596" t="n">
        <v>0</v>
      </c>
      <c r="O596" t="n">
        <v>0</v>
      </c>
      <c r="P596" t="n">
        <v>0</v>
      </c>
      <c r="Q596" t="n">
        <v>0</v>
      </c>
      <c r="R596" s="2" t="inlineStr"/>
    </row>
    <row r="597" ht="15" customHeight="1">
      <c r="A597" t="inlineStr">
        <is>
          <t>A 29242-2023</t>
        </is>
      </c>
      <c r="B597" s="1" t="n">
        <v>45105</v>
      </c>
      <c r="C597" s="1" t="n">
        <v>45852</v>
      </c>
      <c r="D597" t="inlineStr">
        <is>
          <t>DALARNAS LÄN</t>
        </is>
      </c>
      <c r="E597" t="inlineStr">
        <is>
          <t>LUDVIKA</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31702-2023</t>
        </is>
      </c>
      <c r="B598" s="1" t="n">
        <v>45105</v>
      </c>
      <c r="C598" s="1" t="n">
        <v>45852</v>
      </c>
      <c r="D598" t="inlineStr">
        <is>
          <t>DALARNAS LÄN</t>
        </is>
      </c>
      <c r="E598" t="inlineStr">
        <is>
          <t>LUDVIKA</t>
        </is>
      </c>
      <c r="G598" t="n">
        <v>2.3</v>
      </c>
      <c r="H598" t="n">
        <v>0</v>
      </c>
      <c r="I598" t="n">
        <v>0</v>
      </c>
      <c r="J598" t="n">
        <v>0</v>
      </c>
      <c r="K598" t="n">
        <v>0</v>
      </c>
      <c r="L598" t="n">
        <v>0</v>
      </c>
      <c r="M598" t="n">
        <v>0</v>
      </c>
      <c r="N598" t="n">
        <v>0</v>
      </c>
      <c r="O598" t="n">
        <v>0</v>
      </c>
      <c r="P598" t="n">
        <v>0</v>
      </c>
      <c r="Q598" t="n">
        <v>0</v>
      </c>
      <c r="R598" s="2" t="inlineStr"/>
    </row>
    <row r="599" ht="15" customHeight="1">
      <c r="A599" t="inlineStr">
        <is>
          <t>A 29535-2023</t>
        </is>
      </c>
      <c r="B599" s="1" t="n">
        <v>45106</v>
      </c>
      <c r="C599" s="1" t="n">
        <v>45852</v>
      </c>
      <c r="D599" t="inlineStr">
        <is>
          <t>DALARNAS LÄN</t>
        </is>
      </c>
      <c r="E599" t="inlineStr">
        <is>
          <t>LUDVIKA</t>
        </is>
      </c>
      <c r="G599" t="n">
        <v>2.8</v>
      </c>
      <c r="H599" t="n">
        <v>0</v>
      </c>
      <c r="I599" t="n">
        <v>0</v>
      </c>
      <c r="J599" t="n">
        <v>0</v>
      </c>
      <c r="K599" t="n">
        <v>0</v>
      </c>
      <c r="L599" t="n">
        <v>0</v>
      </c>
      <c r="M599" t="n">
        <v>0</v>
      </c>
      <c r="N599" t="n">
        <v>0</v>
      </c>
      <c r="O599" t="n">
        <v>0</v>
      </c>
      <c r="P599" t="n">
        <v>0</v>
      </c>
      <c r="Q599" t="n">
        <v>0</v>
      </c>
      <c r="R599" s="2" t="inlineStr"/>
    </row>
    <row r="600" ht="15" customHeight="1">
      <c r="A600" t="inlineStr">
        <is>
          <t>A 29666-2023</t>
        </is>
      </c>
      <c r="B600" s="1" t="n">
        <v>45107</v>
      </c>
      <c r="C600" s="1" t="n">
        <v>45852</v>
      </c>
      <c r="D600" t="inlineStr">
        <is>
          <t>DALARNAS LÄN</t>
        </is>
      </c>
      <c r="E600" t="inlineStr">
        <is>
          <t>LUDVIKA</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29698-2023</t>
        </is>
      </c>
      <c r="B601" s="1" t="n">
        <v>45107</v>
      </c>
      <c r="C601" s="1" t="n">
        <v>45852</v>
      </c>
      <c r="D601" t="inlineStr">
        <is>
          <t>DALARNAS LÄN</t>
        </is>
      </c>
      <c r="E601" t="inlineStr">
        <is>
          <t>LUDVIKA</t>
        </is>
      </c>
      <c r="G601" t="n">
        <v>2.7</v>
      </c>
      <c r="H601" t="n">
        <v>0</v>
      </c>
      <c r="I601" t="n">
        <v>0</v>
      </c>
      <c r="J601" t="n">
        <v>0</v>
      </c>
      <c r="K601" t="n">
        <v>0</v>
      </c>
      <c r="L601" t="n">
        <v>0</v>
      </c>
      <c r="M601" t="n">
        <v>0</v>
      </c>
      <c r="N601" t="n">
        <v>0</v>
      </c>
      <c r="O601" t="n">
        <v>0</v>
      </c>
      <c r="P601" t="n">
        <v>0</v>
      </c>
      <c r="Q601" t="n">
        <v>0</v>
      </c>
      <c r="R601" s="2" t="inlineStr"/>
    </row>
    <row r="602" ht="15" customHeight="1">
      <c r="A602" t="inlineStr">
        <is>
          <t>A 30113-2023</t>
        </is>
      </c>
      <c r="B602" s="1" t="n">
        <v>45110</v>
      </c>
      <c r="C602" s="1" t="n">
        <v>45852</v>
      </c>
      <c r="D602" t="inlineStr">
        <is>
          <t>DALARNAS LÄN</t>
        </is>
      </c>
      <c r="E602" t="inlineStr">
        <is>
          <t>LUDVIKA</t>
        </is>
      </c>
      <c r="G602" t="n">
        <v>3.3</v>
      </c>
      <c r="H602" t="n">
        <v>0</v>
      </c>
      <c r="I602" t="n">
        <v>0</v>
      </c>
      <c r="J602" t="n">
        <v>0</v>
      </c>
      <c r="K602" t="n">
        <v>0</v>
      </c>
      <c r="L602" t="n">
        <v>0</v>
      </c>
      <c r="M602" t="n">
        <v>0</v>
      </c>
      <c r="N602" t="n">
        <v>0</v>
      </c>
      <c r="O602" t="n">
        <v>0</v>
      </c>
      <c r="P602" t="n">
        <v>0</v>
      </c>
      <c r="Q602" t="n">
        <v>0</v>
      </c>
      <c r="R602" s="2" t="inlineStr"/>
    </row>
    <row r="603" ht="15" customHeight="1">
      <c r="A603" t="inlineStr">
        <is>
          <t>A 30123-2023</t>
        </is>
      </c>
      <c r="B603" s="1" t="n">
        <v>45110</v>
      </c>
      <c r="C603" s="1" t="n">
        <v>45852</v>
      </c>
      <c r="D603" t="inlineStr">
        <is>
          <t>DALARNAS LÄN</t>
        </is>
      </c>
      <c r="E603" t="inlineStr">
        <is>
          <t>LUDVIKA</t>
        </is>
      </c>
      <c r="G603" t="n">
        <v>1.9</v>
      </c>
      <c r="H603" t="n">
        <v>0</v>
      </c>
      <c r="I603" t="n">
        <v>0</v>
      </c>
      <c r="J603" t="n">
        <v>0</v>
      </c>
      <c r="K603" t="n">
        <v>0</v>
      </c>
      <c r="L603" t="n">
        <v>0</v>
      </c>
      <c r="M603" t="n">
        <v>0</v>
      </c>
      <c r="N603" t="n">
        <v>0</v>
      </c>
      <c r="O603" t="n">
        <v>0</v>
      </c>
      <c r="P603" t="n">
        <v>0</v>
      </c>
      <c r="Q603" t="n">
        <v>0</v>
      </c>
      <c r="R603" s="2" t="inlineStr"/>
    </row>
    <row r="604" ht="15" customHeight="1">
      <c r="A604" t="inlineStr">
        <is>
          <t>A 30127-2023</t>
        </is>
      </c>
      <c r="B604" s="1" t="n">
        <v>45110</v>
      </c>
      <c r="C604" s="1" t="n">
        <v>45852</v>
      </c>
      <c r="D604" t="inlineStr">
        <is>
          <t>DALARNAS LÄN</t>
        </is>
      </c>
      <c r="E604" t="inlineStr">
        <is>
          <t>LUDVIKA</t>
        </is>
      </c>
      <c r="G604" t="n">
        <v>1.1</v>
      </c>
      <c r="H604" t="n">
        <v>0</v>
      </c>
      <c r="I604" t="n">
        <v>0</v>
      </c>
      <c r="J604" t="n">
        <v>0</v>
      </c>
      <c r="K604" t="n">
        <v>0</v>
      </c>
      <c r="L604" t="n">
        <v>0</v>
      </c>
      <c r="M604" t="n">
        <v>0</v>
      </c>
      <c r="N604" t="n">
        <v>0</v>
      </c>
      <c r="O604" t="n">
        <v>0</v>
      </c>
      <c r="P604" t="n">
        <v>0</v>
      </c>
      <c r="Q604" t="n">
        <v>0</v>
      </c>
      <c r="R604" s="2" t="inlineStr"/>
    </row>
    <row r="605" ht="15" customHeight="1">
      <c r="A605" t="inlineStr">
        <is>
          <t>A 30581-2023</t>
        </is>
      </c>
      <c r="B605" s="1" t="n">
        <v>45112</v>
      </c>
      <c r="C605" s="1" t="n">
        <v>45852</v>
      </c>
      <c r="D605" t="inlineStr">
        <is>
          <t>DALARNAS LÄN</t>
        </is>
      </c>
      <c r="E605" t="inlineStr">
        <is>
          <t>LUDVIKA</t>
        </is>
      </c>
      <c r="F605" t="inlineStr">
        <is>
          <t>Bergvik skog väst AB</t>
        </is>
      </c>
      <c r="G605" t="n">
        <v>14.4</v>
      </c>
      <c r="H605" t="n">
        <v>0</v>
      </c>
      <c r="I605" t="n">
        <v>0</v>
      </c>
      <c r="J605" t="n">
        <v>0</v>
      </c>
      <c r="K605" t="n">
        <v>0</v>
      </c>
      <c r="L605" t="n">
        <v>0</v>
      </c>
      <c r="M605" t="n">
        <v>0</v>
      </c>
      <c r="N605" t="n">
        <v>0</v>
      </c>
      <c r="O605" t="n">
        <v>0</v>
      </c>
      <c r="P605" t="n">
        <v>0</v>
      </c>
      <c r="Q605" t="n">
        <v>0</v>
      </c>
      <c r="R605" s="2" t="inlineStr"/>
    </row>
    <row r="606" ht="15" customHeight="1">
      <c r="A606" t="inlineStr">
        <is>
          <t>A 32852-2023</t>
        </is>
      </c>
      <c r="B606" s="1" t="n">
        <v>45112</v>
      </c>
      <c r="C606" s="1" t="n">
        <v>45852</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32854-2023</t>
        </is>
      </c>
      <c r="B607" s="1" t="n">
        <v>45112</v>
      </c>
      <c r="C607" s="1" t="n">
        <v>45852</v>
      </c>
      <c r="D607" t="inlineStr">
        <is>
          <t>DALARNAS LÄN</t>
        </is>
      </c>
      <c r="E607" t="inlineStr">
        <is>
          <t>LUDVIKA</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30892-2023</t>
        </is>
      </c>
      <c r="B608" s="1" t="n">
        <v>45113</v>
      </c>
      <c r="C608" s="1" t="n">
        <v>45852</v>
      </c>
      <c r="D608" t="inlineStr">
        <is>
          <t>DALARNAS LÄN</t>
        </is>
      </c>
      <c r="E608" t="inlineStr">
        <is>
          <t>LUDVIKA</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32995-2023</t>
        </is>
      </c>
      <c r="B609" s="1" t="n">
        <v>45113</v>
      </c>
      <c r="C609" s="1" t="n">
        <v>45852</v>
      </c>
      <c r="D609" t="inlineStr">
        <is>
          <t>DALARNAS LÄN</t>
        </is>
      </c>
      <c r="E609" t="inlineStr">
        <is>
          <t>LUDVIKA</t>
        </is>
      </c>
      <c r="F609" t="inlineStr">
        <is>
          <t>Kommuner</t>
        </is>
      </c>
      <c r="G609" t="n">
        <v>5.8</v>
      </c>
      <c r="H609" t="n">
        <v>0</v>
      </c>
      <c r="I609" t="n">
        <v>0</v>
      </c>
      <c r="J609" t="n">
        <v>0</v>
      </c>
      <c r="K609" t="n">
        <v>0</v>
      </c>
      <c r="L609" t="n">
        <v>0</v>
      </c>
      <c r="M609" t="n">
        <v>0</v>
      </c>
      <c r="N609" t="n">
        <v>0</v>
      </c>
      <c r="O609" t="n">
        <v>0</v>
      </c>
      <c r="P609" t="n">
        <v>0</v>
      </c>
      <c r="Q609" t="n">
        <v>0</v>
      </c>
      <c r="R609" s="2" t="inlineStr"/>
    </row>
    <row r="610" ht="15" customHeight="1">
      <c r="A610" t="inlineStr">
        <is>
          <t>A 31353-2023</t>
        </is>
      </c>
      <c r="B610" s="1" t="n">
        <v>45114</v>
      </c>
      <c r="C610" s="1" t="n">
        <v>45852</v>
      </c>
      <c r="D610" t="inlineStr">
        <is>
          <t>DALARNAS LÄN</t>
        </is>
      </c>
      <c r="E610" t="inlineStr">
        <is>
          <t>LUDVIKA</t>
        </is>
      </c>
      <c r="F610" t="inlineStr">
        <is>
          <t>Naturvårdsverket</t>
        </is>
      </c>
      <c r="G610" t="n">
        <v>2.5</v>
      </c>
      <c r="H610" t="n">
        <v>0</v>
      </c>
      <c r="I610" t="n">
        <v>0</v>
      </c>
      <c r="J610" t="n">
        <v>0</v>
      </c>
      <c r="K610" t="n">
        <v>0</v>
      </c>
      <c r="L610" t="n">
        <v>0</v>
      </c>
      <c r="M610" t="n">
        <v>0</v>
      </c>
      <c r="N610" t="n">
        <v>0</v>
      </c>
      <c r="O610" t="n">
        <v>0</v>
      </c>
      <c r="P610" t="n">
        <v>0</v>
      </c>
      <c r="Q610" t="n">
        <v>0</v>
      </c>
      <c r="R610" s="2" t="inlineStr"/>
    </row>
    <row r="611" ht="15" customHeight="1">
      <c r="A611" t="inlineStr">
        <is>
          <t>A 31478-2023</t>
        </is>
      </c>
      <c r="B611" s="1" t="n">
        <v>45114</v>
      </c>
      <c r="C611" s="1" t="n">
        <v>45852</v>
      </c>
      <c r="D611" t="inlineStr">
        <is>
          <t>DALARNAS LÄN</t>
        </is>
      </c>
      <c r="E611" t="inlineStr">
        <is>
          <t>LUDVIKA</t>
        </is>
      </c>
      <c r="G611" t="n">
        <v>6.2</v>
      </c>
      <c r="H611" t="n">
        <v>0</v>
      </c>
      <c r="I611" t="n">
        <v>0</v>
      </c>
      <c r="J611" t="n">
        <v>0</v>
      </c>
      <c r="K611" t="n">
        <v>0</v>
      </c>
      <c r="L611" t="n">
        <v>0</v>
      </c>
      <c r="M611" t="n">
        <v>0</v>
      </c>
      <c r="N611" t="n">
        <v>0</v>
      </c>
      <c r="O611" t="n">
        <v>0</v>
      </c>
      <c r="P611" t="n">
        <v>0</v>
      </c>
      <c r="Q611" t="n">
        <v>0</v>
      </c>
      <c r="R611" s="2" t="inlineStr"/>
    </row>
    <row r="612" ht="15" customHeight="1">
      <c r="A612" t="inlineStr">
        <is>
          <t>A 31341-2023</t>
        </is>
      </c>
      <c r="B612" s="1" t="n">
        <v>45114</v>
      </c>
      <c r="C612" s="1" t="n">
        <v>45852</v>
      </c>
      <c r="D612" t="inlineStr">
        <is>
          <t>DALARNAS LÄN</t>
        </is>
      </c>
      <c r="E612" t="inlineStr">
        <is>
          <t>LUDVIKA</t>
        </is>
      </c>
      <c r="F612" t="inlineStr">
        <is>
          <t>Naturvårdsverket</t>
        </is>
      </c>
      <c r="G612" t="n">
        <v>2.4</v>
      </c>
      <c r="H612" t="n">
        <v>0</v>
      </c>
      <c r="I612" t="n">
        <v>0</v>
      </c>
      <c r="J612" t="n">
        <v>0</v>
      </c>
      <c r="K612" t="n">
        <v>0</v>
      </c>
      <c r="L612" t="n">
        <v>0</v>
      </c>
      <c r="M612" t="n">
        <v>0</v>
      </c>
      <c r="N612" t="n">
        <v>0</v>
      </c>
      <c r="O612" t="n">
        <v>0</v>
      </c>
      <c r="P612" t="n">
        <v>0</v>
      </c>
      <c r="Q612" t="n">
        <v>0</v>
      </c>
      <c r="R612" s="2" t="inlineStr"/>
    </row>
    <row r="613" ht="15" customHeight="1">
      <c r="A613" t="inlineStr">
        <is>
          <t>A 31477-2023</t>
        </is>
      </c>
      <c r="B613" s="1" t="n">
        <v>45114</v>
      </c>
      <c r="C613" s="1" t="n">
        <v>45852</v>
      </c>
      <c r="D613" t="inlineStr">
        <is>
          <t>DALARNAS LÄN</t>
        </is>
      </c>
      <c r="E613" t="inlineStr">
        <is>
          <t>LUDVIKA</t>
        </is>
      </c>
      <c r="G613" t="n">
        <v>3.4</v>
      </c>
      <c r="H613" t="n">
        <v>0</v>
      </c>
      <c r="I613" t="n">
        <v>0</v>
      </c>
      <c r="J613" t="n">
        <v>0</v>
      </c>
      <c r="K613" t="n">
        <v>0</v>
      </c>
      <c r="L613" t="n">
        <v>0</v>
      </c>
      <c r="M613" t="n">
        <v>0</v>
      </c>
      <c r="N613" t="n">
        <v>0</v>
      </c>
      <c r="O613" t="n">
        <v>0</v>
      </c>
      <c r="P613" t="n">
        <v>0</v>
      </c>
      <c r="Q613" t="n">
        <v>0</v>
      </c>
      <c r="R613" s="2" t="inlineStr"/>
    </row>
    <row r="614" ht="15" customHeight="1">
      <c r="A614" t="inlineStr">
        <is>
          <t>A 31625-2023</t>
        </is>
      </c>
      <c r="B614" s="1" t="n">
        <v>45117</v>
      </c>
      <c r="C614" s="1" t="n">
        <v>45852</v>
      </c>
      <c r="D614" t="inlineStr">
        <is>
          <t>DALARNAS LÄN</t>
        </is>
      </c>
      <c r="E614" t="inlineStr">
        <is>
          <t>LUDVIKA</t>
        </is>
      </c>
      <c r="G614" t="n">
        <v>4.1</v>
      </c>
      <c r="H614" t="n">
        <v>0</v>
      </c>
      <c r="I614" t="n">
        <v>0</v>
      </c>
      <c r="J614" t="n">
        <v>0</v>
      </c>
      <c r="K614" t="n">
        <v>0</v>
      </c>
      <c r="L614" t="n">
        <v>0</v>
      </c>
      <c r="M614" t="n">
        <v>0</v>
      </c>
      <c r="N614" t="n">
        <v>0</v>
      </c>
      <c r="O614" t="n">
        <v>0</v>
      </c>
      <c r="P614" t="n">
        <v>0</v>
      </c>
      <c r="Q614" t="n">
        <v>0</v>
      </c>
      <c r="R614" s="2" t="inlineStr"/>
    </row>
    <row r="615" ht="15" customHeight="1">
      <c r="A615" t="inlineStr">
        <is>
          <t>A 33535-2023</t>
        </is>
      </c>
      <c r="B615" s="1" t="n">
        <v>45118</v>
      </c>
      <c r="C615" s="1" t="n">
        <v>45852</v>
      </c>
      <c r="D615" t="inlineStr">
        <is>
          <t>DALARNAS LÄN</t>
        </is>
      </c>
      <c r="E615" t="inlineStr">
        <is>
          <t>LUDVIKA</t>
        </is>
      </c>
      <c r="F615" t="inlineStr">
        <is>
          <t>Kommuner</t>
        </is>
      </c>
      <c r="G615" t="n">
        <v>0.6</v>
      </c>
      <c r="H615" t="n">
        <v>0</v>
      </c>
      <c r="I615" t="n">
        <v>0</v>
      </c>
      <c r="J615" t="n">
        <v>0</v>
      </c>
      <c r="K615" t="n">
        <v>0</v>
      </c>
      <c r="L615" t="n">
        <v>0</v>
      </c>
      <c r="M615" t="n">
        <v>0</v>
      </c>
      <c r="N615" t="n">
        <v>0</v>
      </c>
      <c r="O615" t="n">
        <v>0</v>
      </c>
      <c r="P615" t="n">
        <v>0</v>
      </c>
      <c r="Q615" t="n">
        <v>0</v>
      </c>
      <c r="R615" s="2" t="inlineStr"/>
    </row>
    <row r="616" ht="15" customHeight="1">
      <c r="A616" t="inlineStr">
        <is>
          <t>A 32119-2023</t>
        </is>
      </c>
      <c r="B616" s="1" t="n">
        <v>45119</v>
      </c>
      <c r="C616" s="1" t="n">
        <v>45852</v>
      </c>
      <c r="D616" t="inlineStr">
        <is>
          <t>DALARNAS LÄN</t>
        </is>
      </c>
      <c r="E616" t="inlineStr">
        <is>
          <t>LUDVIKA</t>
        </is>
      </c>
      <c r="F616" t="inlineStr">
        <is>
          <t>Naturvårdsverket</t>
        </is>
      </c>
      <c r="G616" t="n">
        <v>1</v>
      </c>
      <c r="H616" t="n">
        <v>0</v>
      </c>
      <c r="I616" t="n">
        <v>0</v>
      </c>
      <c r="J616" t="n">
        <v>0</v>
      </c>
      <c r="K616" t="n">
        <v>0</v>
      </c>
      <c r="L616" t="n">
        <v>0</v>
      </c>
      <c r="M616" t="n">
        <v>0</v>
      </c>
      <c r="N616" t="n">
        <v>0</v>
      </c>
      <c r="O616" t="n">
        <v>0</v>
      </c>
      <c r="P616" t="n">
        <v>0</v>
      </c>
      <c r="Q616" t="n">
        <v>0</v>
      </c>
      <c r="R616" s="2" t="inlineStr"/>
    </row>
    <row r="617" ht="15" customHeight="1">
      <c r="A617" t="inlineStr">
        <is>
          <t>A 32091-2023</t>
        </is>
      </c>
      <c r="B617" s="1" t="n">
        <v>45119</v>
      </c>
      <c r="C617" s="1" t="n">
        <v>45852</v>
      </c>
      <c r="D617" t="inlineStr">
        <is>
          <t>DALARNAS LÄN</t>
        </is>
      </c>
      <c r="E617" t="inlineStr">
        <is>
          <t>LUDVIKA</t>
        </is>
      </c>
      <c r="F617" t="inlineStr">
        <is>
          <t>Bergvik skog väst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32124-2023</t>
        </is>
      </c>
      <c r="B618" s="1" t="n">
        <v>45119</v>
      </c>
      <c r="C618" s="1" t="n">
        <v>45852</v>
      </c>
      <c r="D618" t="inlineStr">
        <is>
          <t>DALARNAS LÄN</t>
        </is>
      </c>
      <c r="E618" t="inlineStr">
        <is>
          <t>LUDVIKA</t>
        </is>
      </c>
      <c r="F618" t="inlineStr">
        <is>
          <t>Naturvårdsverket</t>
        </is>
      </c>
      <c r="G618" t="n">
        <v>1.5</v>
      </c>
      <c r="H618" t="n">
        <v>0</v>
      </c>
      <c r="I618" t="n">
        <v>0</v>
      </c>
      <c r="J618" t="n">
        <v>0</v>
      </c>
      <c r="K618" t="n">
        <v>0</v>
      </c>
      <c r="L618" t="n">
        <v>0</v>
      </c>
      <c r="M618" t="n">
        <v>0</v>
      </c>
      <c r="N618" t="n">
        <v>0</v>
      </c>
      <c r="O618" t="n">
        <v>0</v>
      </c>
      <c r="P618" t="n">
        <v>0</v>
      </c>
      <c r="Q618" t="n">
        <v>0</v>
      </c>
      <c r="R618" s="2" t="inlineStr"/>
    </row>
    <row r="619" ht="15" customHeight="1">
      <c r="A619" t="inlineStr">
        <is>
          <t>A 32526-2023</t>
        </is>
      </c>
      <c r="B619" s="1" t="n">
        <v>45121</v>
      </c>
      <c r="C619" s="1" t="n">
        <v>45852</v>
      </c>
      <c r="D619" t="inlineStr">
        <is>
          <t>DALARNAS LÄN</t>
        </is>
      </c>
      <c r="E619" t="inlineStr">
        <is>
          <t>LUDVIKA</t>
        </is>
      </c>
      <c r="F619" t="inlineStr">
        <is>
          <t>Bergvik skog väst AB</t>
        </is>
      </c>
      <c r="G619" t="n">
        <v>5.1</v>
      </c>
      <c r="H619" t="n">
        <v>0</v>
      </c>
      <c r="I619" t="n">
        <v>0</v>
      </c>
      <c r="J619" t="n">
        <v>0</v>
      </c>
      <c r="K619" t="n">
        <v>0</v>
      </c>
      <c r="L619" t="n">
        <v>0</v>
      </c>
      <c r="M619" t="n">
        <v>0</v>
      </c>
      <c r="N619" t="n">
        <v>0</v>
      </c>
      <c r="O619" t="n">
        <v>0</v>
      </c>
      <c r="P619" t="n">
        <v>0</v>
      </c>
      <c r="Q619" t="n">
        <v>0</v>
      </c>
      <c r="R619" s="2" t="inlineStr"/>
    </row>
    <row r="620" ht="15" customHeight="1">
      <c r="A620" t="inlineStr">
        <is>
          <t>A 32527-2023</t>
        </is>
      </c>
      <c r="B620" s="1" t="n">
        <v>45121</v>
      </c>
      <c r="C620" s="1" t="n">
        <v>45852</v>
      </c>
      <c r="D620" t="inlineStr">
        <is>
          <t>DALARNAS LÄN</t>
        </is>
      </c>
      <c r="E620" t="inlineStr">
        <is>
          <t>LUDVIKA</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32927-2023</t>
        </is>
      </c>
      <c r="B621" s="1" t="n">
        <v>45125</v>
      </c>
      <c r="C621" s="1" t="n">
        <v>45852</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32930-2023</t>
        </is>
      </c>
      <c r="B622" s="1" t="n">
        <v>45125</v>
      </c>
      <c r="C622" s="1" t="n">
        <v>45852</v>
      </c>
      <c r="D622" t="inlineStr">
        <is>
          <t>DALARNAS LÄN</t>
        </is>
      </c>
      <c r="E622" t="inlineStr">
        <is>
          <t>LUDVIKA</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34041-2023</t>
        </is>
      </c>
      <c r="B623" s="1" t="n">
        <v>45125</v>
      </c>
      <c r="C623" s="1" t="n">
        <v>45852</v>
      </c>
      <c r="D623" t="inlineStr">
        <is>
          <t>DALARNAS LÄN</t>
        </is>
      </c>
      <c r="E623" t="inlineStr">
        <is>
          <t>LUDVIKA</t>
        </is>
      </c>
      <c r="G623" t="n">
        <v>4.2</v>
      </c>
      <c r="H623" t="n">
        <v>0</v>
      </c>
      <c r="I623" t="n">
        <v>0</v>
      </c>
      <c r="J623" t="n">
        <v>0</v>
      </c>
      <c r="K623" t="n">
        <v>0</v>
      </c>
      <c r="L623" t="n">
        <v>0</v>
      </c>
      <c r="M623" t="n">
        <v>0</v>
      </c>
      <c r="N623" t="n">
        <v>0</v>
      </c>
      <c r="O623" t="n">
        <v>0</v>
      </c>
      <c r="P623" t="n">
        <v>0</v>
      </c>
      <c r="Q623" t="n">
        <v>0</v>
      </c>
      <c r="R623" s="2" t="inlineStr"/>
    </row>
    <row r="624" ht="15" customHeight="1">
      <c r="A624" t="inlineStr">
        <is>
          <t>A 33063-2023</t>
        </is>
      </c>
      <c r="B624" s="1" t="n">
        <v>45126</v>
      </c>
      <c r="C624" s="1" t="n">
        <v>45852</v>
      </c>
      <c r="D624" t="inlineStr">
        <is>
          <t>DALARNAS LÄN</t>
        </is>
      </c>
      <c r="E624" t="inlineStr">
        <is>
          <t>LUDVIKA</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33275-2023</t>
        </is>
      </c>
      <c r="B625" s="1" t="n">
        <v>45127</v>
      </c>
      <c r="C625" s="1" t="n">
        <v>45852</v>
      </c>
      <c r="D625" t="inlineStr">
        <is>
          <t>DALARNAS LÄN</t>
        </is>
      </c>
      <c r="E625" t="inlineStr">
        <is>
          <t>LUDVIKA</t>
        </is>
      </c>
      <c r="F625" t="inlineStr">
        <is>
          <t>Naturvårdsverket</t>
        </is>
      </c>
      <c r="G625" t="n">
        <v>3.2</v>
      </c>
      <c r="H625" t="n">
        <v>0</v>
      </c>
      <c r="I625" t="n">
        <v>0</v>
      </c>
      <c r="J625" t="n">
        <v>0</v>
      </c>
      <c r="K625" t="n">
        <v>0</v>
      </c>
      <c r="L625" t="n">
        <v>0</v>
      </c>
      <c r="M625" t="n">
        <v>0</v>
      </c>
      <c r="N625" t="n">
        <v>0</v>
      </c>
      <c r="O625" t="n">
        <v>0</v>
      </c>
      <c r="P625" t="n">
        <v>0</v>
      </c>
      <c r="Q625" t="n">
        <v>0</v>
      </c>
      <c r="R625" s="2" t="inlineStr"/>
    </row>
    <row r="626" ht="15" customHeight="1">
      <c r="A626" t="inlineStr">
        <is>
          <t>A 33347-2023</t>
        </is>
      </c>
      <c r="B626" s="1" t="n">
        <v>45128</v>
      </c>
      <c r="C626" s="1" t="n">
        <v>45852</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33344-2023</t>
        </is>
      </c>
      <c r="B627" s="1" t="n">
        <v>45128</v>
      </c>
      <c r="C627" s="1" t="n">
        <v>45852</v>
      </c>
      <c r="D627" t="inlineStr">
        <is>
          <t>DALARNAS LÄN</t>
        </is>
      </c>
      <c r="E627" t="inlineStr">
        <is>
          <t>LUDVIKA</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33361-2023</t>
        </is>
      </c>
      <c r="B628" s="1" t="n">
        <v>45128</v>
      </c>
      <c r="C628" s="1" t="n">
        <v>45852</v>
      </c>
      <c r="D628" t="inlineStr">
        <is>
          <t>DALARNAS LÄN</t>
        </is>
      </c>
      <c r="E628" t="inlineStr">
        <is>
          <t>LUDVIKA</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33560-2023</t>
        </is>
      </c>
      <c r="B629" s="1" t="n">
        <v>45131</v>
      </c>
      <c r="C629" s="1" t="n">
        <v>45852</v>
      </c>
      <c r="D629" t="inlineStr">
        <is>
          <t>DALARNAS LÄN</t>
        </is>
      </c>
      <c r="E629" t="inlineStr">
        <is>
          <t>LUDVIKA</t>
        </is>
      </c>
      <c r="G629" t="n">
        <v>7</v>
      </c>
      <c r="H629" t="n">
        <v>0</v>
      </c>
      <c r="I629" t="n">
        <v>0</v>
      </c>
      <c r="J629" t="n">
        <v>0</v>
      </c>
      <c r="K629" t="n">
        <v>0</v>
      </c>
      <c r="L629" t="n">
        <v>0</v>
      </c>
      <c r="M629" t="n">
        <v>0</v>
      </c>
      <c r="N629" t="n">
        <v>0</v>
      </c>
      <c r="O629" t="n">
        <v>0</v>
      </c>
      <c r="P629" t="n">
        <v>0</v>
      </c>
      <c r="Q629" t="n">
        <v>0</v>
      </c>
      <c r="R629" s="2" t="inlineStr"/>
    </row>
    <row r="630" ht="15" customHeight="1">
      <c r="A630" t="inlineStr">
        <is>
          <t>A 34341-2023</t>
        </is>
      </c>
      <c r="B630" s="1" t="n">
        <v>45131</v>
      </c>
      <c r="C630" s="1" t="n">
        <v>45852</v>
      </c>
      <c r="D630" t="inlineStr">
        <is>
          <t>DALARNAS LÄN</t>
        </is>
      </c>
      <c r="E630" t="inlineStr">
        <is>
          <t>LUDVIKA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33620-2023</t>
        </is>
      </c>
      <c r="B631" s="1" t="n">
        <v>45132</v>
      </c>
      <c r="C631" s="1" t="n">
        <v>45852</v>
      </c>
      <c r="D631" t="inlineStr">
        <is>
          <t>DALARNAS LÄN</t>
        </is>
      </c>
      <c r="E631" t="inlineStr">
        <is>
          <t>LUDVIKA</t>
        </is>
      </c>
      <c r="F631" t="inlineStr">
        <is>
          <t>Bergvik skog väst AB</t>
        </is>
      </c>
      <c r="G631" t="n">
        <v>7.4</v>
      </c>
      <c r="H631" t="n">
        <v>0</v>
      </c>
      <c r="I631" t="n">
        <v>0</v>
      </c>
      <c r="J631" t="n">
        <v>0</v>
      </c>
      <c r="K631" t="n">
        <v>0</v>
      </c>
      <c r="L631" t="n">
        <v>0</v>
      </c>
      <c r="M631" t="n">
        <v>0</v>
      </c>
      <c r="N631" t="n">
        <v>0</v>
      </c>
      <c r="O631" t="n">
        <v>0</v>
      </c>
      <c r="P631" t="n">
        <v>0</v>
      </c>
      <c r="Q631" t="n">
        <v>0</v>
      </c>
      <c r="R631" s="2" t="inlineStr"/>
    </row>
    <row r="632" ht="15" customHeight="1">
      <c r="A632" t="inlineStr">
        <is>
          <t>A 33914-2023</t>
        </is>
      </c>
      <c r="B632" s="1" t="n">
        <v>45134</v>
      </c>
      <c r="C632" s="1" t="n">
        <v>45852</v>
      </c>
      <c r="D632" t="inlineStr">
        <is>
          <t>DALARNAS LÄN</t>
        </is>
      </c>
      <c r="E632" t="inlineStr">
        <is>
          <t>LUDVIKA</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33933-2023</t>
        </is>
      </c>
      <c r="B633" s="1" t="n">
        <v>45134</v>
      </c>
      <c r="C633" s="1" t="n">
        <v>45852</v>
      </c>
      <c r="D633" t="inlineStr">
        <is>
          <t>DALARNAS LÄN</t>
        </is>
      </c>
      <c r="E633" t="inlineStr">
        <is>
          <t>LUDVIKA</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33916-2023</t>
        </is>
      </c>
      <c r="B634" s="1" t="n">
        <v>45134</v>
      </c>
      <c r="C634" s="1" t="n">
        <v>45852</v>
      </c>
      <c r="D634" t="inlineStr">
        <is>
          <t>DALARNAS LÄN</t>
        </is>
      </c>
      <c r="E634" t="inlineStr">
        <is>
          <t>LUDVIKA</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33917-2023</t>
        </is>
      </c>
      <c r="B635" s="1" t="n">
        <v>45134</v>
      </c>
      <c r="C635" s="1" t="n">
        <v>45852</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33947-2023</t>
        </is>
      </c>
      <c r="B636" s="1" t="n">
        <v>45134</v>
      </c>
      <c r="C636" s="1" t="n">
        <v>45852</v>
      </c>
      <c r="D636" t="inlineStr">
        <is>
          <t>DALARNAS LÄN</t>
        </is>
      </c>
      <c r="E636" t="inlineStr">
        <is>
          <t>LUDVIKA</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34024-2023</t>
        </is>
      </c>
      <c r="B637" s="1" t="n">
        <v>45135</v>
      </c>
      <c r="C637" s="1" t="n">
        <v>45852</v>
      </c>
      <c r="D637" t="inlineStr">
        <is>
          <t>DALARNAS LÄN</t>
        </is>
      </c>
      <c r="E637" t="inlineStr">
        <is>
          <t>LUDVIKA</t>
        </is>
      </c>
      <c r="F637" t="inlineStr">
        <is>
          <t>Bergvik skog väst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34503-2023</t>
        </is>
      </c>
      <c r="B638" s="1" t="n">
        <v>45140</v>
      </c>
      <c r="C638" s="1" t="n">
        <v>45852</v>
      </c>
      <c r="D638" t="inlineStr">
        <is>
          <t>DALARNAS LÄN</t>
        </is>
      </c>
      <c r="E638" t="inlineStr">
        <is>
          <t>LUDVIKA</t>
        </is>
      </c>
      <c r="F638" t="inlineStr">
        <is>
          <t>Bergvik skog väst AB</t>
        </is>
      </c>
      <c r="G638" t="n">
        <v>7.4</v>
      </c>
      <c r="H638" t="n">
        <v>0</v>
      </c>
      <c r="I638" t="n">
        <v>0</v>
      </c>
      <c r="J638" t="n">
        <v>0</v>
      </c>
      <c r="K638" t="n">
        <v>0</v>
      </c>
      <c r="L638" t="n">
        <v>0</v>
      </c>
      <c r="M638" t="n">
        <v>0</v>
      </c>
      <c r="N638" t="n">
        <v>0</v>
      </c>
      <c r="O638" t="n">
        <v>0</v>
      </c>
      <c r="P638" t="n">
        <v>0</v>
      </c>
      <c r="Q638" t="n">
        <v>0</v>
      </c>
      <c r="R638" s="2" t="inlineStr"/>
    </row>
    <row r="639" ht="15" customHeight="1">
      <c r="A639" t="inlineStr">
        <is>
          <t>A 34555-2023</t>
        </is>
      </c>
      <c r="B639" s="1" t="n">
        <v>45140</v>
      </c>
      <c r="C639" s="1" t="n">
        <v>45852</v>
      </c>
      <c r="D639" t="inlineStr">
        <is>
          <t>DALARNAS LÄN</t>
        </is>
      </c>
      <c r="E639" t="inlineStr">
        <is>
          <t>LUDVIKA</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34895-2023</t>
        </is>
      </c>
      <c r="B640" s="1" t="n">
        <v>45142</v>
      </c>
      <c r="C640" s="1" t="n">
        <v>45852</v>
      </c>
      <c r="D640" t="inlineStr">
        <is>
          <t>DALARNAS LÄN</t>
        </is>
      </c>
      <c r="E640" t="inlineStr">
        <is>
          <t>LUDVIKA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35791-2023</t>
        </is>
      </c>
      <c r="B641" s="1" t="n">
        <v>45148</v>
      </c>
      <c r="C641" s="1" t="n">
        <v>45852</v>
      </c>
      <c r="D641" t="inlineStr">
        <is>
          <t>DALARNAS LÄN</t>
        </is>
      </c>
      <c r="E641" t="inlineStr">
        <is>
          <t>LUDVIKA</t>
        </is>
      </c>
      <c r="F641" t="inlineStr">
        <is>
          <t>Bergvik skog väst AB</t>
        </is>
      </c>
      <c r="G641" t="n">
        <v>9.4</v>
      </c>
      <c r="H641" t="n">
        <v>0</v>
      </c>
      <c r="I641" t="n">
        <v>0</v>
      </c>
      <c r="J641" t="n">
        <v>0</v>
      </c>
      <c r="K641" t="n">
        <v>0</v>
      </c>
      <c r="L641" t="n">
        <v>0</v>
      </c>
      <c r="M641" t="n">
        <v>0</v>
      </c>
      <c r="N641" t="n">
        <v>0</v>
      </c>
      <c r="O641" t="n">
        <v>0</v>
      </c>
      <c r="P641" t="n">
        <v>0</v>
      </c>
      <c r="Q641" t="n">
        <v>0</v>
      </c>
      <c r="R641" s="2" t="inlineStr"/>
    </row>
    <row r="642" ht="15" customHeight="1">
      <c r="A642" t="inlineStr">
        <is>
          <t>A 35789-2023</t>
        </is>
      </c>
      <c r="B642" s="1" t="n">
        <v>45148</v>
      </c>
      <c r="C642" s="1" t="n">
        <v>45852</v>
      </c>
      <c r="D642" t="inlineStr">
        <is>
          <t>DALARNAS LÄN</t>
        </is>
      </c>
      <c r="E642" t="inlineStr">
        <is>
          <t>LUDVIKA</t>
        </is>
      </c>
      <c r="G642" t="n">
        <v>2.1</v>
      </c>
      <c r="H642" t="n">
        <v>0</v>
      </c>
      <c r="I642" t="n">
        <v>0</v>
      </c>
      <c r="J642" t="n">
        <v>0</v>
      </c>
      <c r="K642" t="n">
        <v>0</v>
      </c>
      <c r="L642" t="n">
        <v>0</v>
      </c>
      <c r="M642" t="n">
        <v>0</v>
      </c>
      <c r="N642" t="n">
        <v>0</v>
      </c>
      <c r="O642" t="n">
        <v>0</v>
      </c>
      <c r="P642" t="n">
        <v>0</v>
      </c>
      <c r="Q642" t="n">
        <v>0</v>
      </c>
      <c r="R642" s="2" t="inlineStr"/>
    </row>
    <row r="643" ht="15" customHeight="1">
      <c r="A643" t="inlineStr">
        <is>
          <t>A 36079-2023</t>
        </is>
      </c>
      <c r="B643" s="1" t="n">
        <v>45149</v>
      </c>
      <c r="C643" s="1" t="n">
        <v>45852</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36083-2023</t>
        </is>
      </c>
      <c r="B644" s="1" t="n">
        <v>45149</v>
      </c>
      <c r="C644" s="1" t="n">
        <v>45852</v>
      </c>
      <c r="D644" t="inlineStr">
        <is>
          <t>DALARNAS LÄN</t>
        </is>
      </c>
      <c r="E644" t="inlineStr">
        <is>
          <t>LUDVIKA</t>
        </is>
      </c>
      <c r="F644" t="inlineStr">
        <is>
          <t>Bergvik skog väst AB</t>
        </is>
      </c>
      <c r="G644" t="n">
        <v>12.1</v>
      </c>
      <c r="H644" t="n">
        <v>0</v>
      </c>
      <c r="I644" t="n">
        <v>0</v>
      </c>
      <c r="J644" t="n">
        <v>0</v>
      </c>
      <c r="K644" t="n">
        <v>0</v>
      </c>
      <c r="L644" t="n">
        <v>0</v>
      </c>
      <c r="M644" t="n">
        <v>0</v>
      </c>
      <c r="N644" t="n">
        <v>0</v>
      </c>
      <c r="O644" t="n">
        <v>0</v>
      </c>
      <c r="P644" t="n">
        <v>0</v>
      </c>
      <c r="Q644" t="n">
        <v>0</v>
      </c>
      <c r="R644" s="2" t="inlineStr"/>
    </row>
    <row r="645" ht="15" customHeight="1">
      <c r="A645" t="inlineStr">
        <is>
          <t>A 36073-2023</t>
        </is>
      </c>
      <c r="B645" s="1" t="n">
        <v>45149</v>
      </c>
      <c r="C645" s="1" t="n">
        <v>45852</v>
      </c>
      <c r="D645" t="inlineStr">
        <is>
          <t>DALARNAS LÄN</t>
        </is>
      </c>
      <c r="E645" t="inlineStr">
        <is>
          <t>LUDVIKA</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36296-2023</t>
        </is>
      </c>
      <c r="B646" s="1" t="n">
        <v>45152</v>
      </c>
      <c r="C646" s="1" t="n">
        <v>45852</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36294-2023</t>
        </is>
      </c>
      <c r="B647" s="1" t="n">
        <v>45152</v>
      </c>
      <c r="C647" s="1" t="n">
        <v>45852</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36297-2023</t>
        </is>
      </c>
      <c r="B648" s="1" t="n">
        <v>45152</v>
      </c>
      <c r="C648" s="1" t="n">
        <v>45852</v>
      </c>
      <c r="D648" t="inlineStr">
        <is>
          <t>DALARNAS LÄN</t>
        </is>
      </c>
      <c r="E648" t="inlineStr">
        <is>
          <t>LUDVIKA</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37008-2023</t>
        </is>
      </c>
      <c r="B649" s="1" t="n">
        <v>45155</v>
      </c>
      <c r="C649" s="1" t="n">
        <v>45852</v>
      </c>
      <c r="D649" t="inlineStr">
        <is>
          <t>DALARNAS LÄN</t>
        </is>
      </c>
      <c r="E649" t="inlineStr">
        <is>
          <t>LUDVIKA</t>
        </is>
      </c>
      <c r="G649" t="n">
        <v>3</v>
      </c>
      <c r="H649" t="n">
        <v>0</v>
      </c>
      <c r="I649" t="n">
        <v>0</v>
      </c>
      <c r="J649" t="n">
        <v>0</v>
      </c>
      <c r="K649" t="n">
        <v>0</v>
      </c>
      <c r="L649" t="n">
        <v>0</v>
      </c>
      <c r="M649" t="n">
        <v>0</v>
      </c>
      <c r="N649" t="n">
        <v>0</v>
      </c>
      <c r="O649" t="n">
        <v>0</v>
      </c>
      <c r="P649" t="n">
        <v>0</v>
      </c>
      <c r="Q649" t="n">
        <v>0</v>
      </c>
      <c r="R649" s="2" t="inlineStr"/>
    </row>
    <row r="650" ht="15" customHeight="1">
      <c r="A650" t="inlineStr">
        <is>
          <t>A 37273-2023</t>
        </is>
      </c>
      <c r="B650" s="1" t="n">
        <v>45156</v>
      </c>
      <c r="C650" s="1" t="n">
        <v>45852</v>
      </c>
      <c r="D650" t="inlineStr">
        <is>
          <t>DALARNAS LÄN</t>
        </is>
      </c>
      <c r="E650" t="inlineStr">
        <is>
          <t>LUDVIKA</t>
        </is>
      </c>
      <c r="G650" t="n">
        <v>4</v>
      </c>
      <c r="H650" t="n">
        <v>0</v>
      </c>
      <c r="I650" t="n">
        <v>0</v>
      </c>
      <c r="J650" t="n">
        <v>0</v>
      </c>
      <c r="K650" t="n">
        <v>0</v>
      </c>
      <c r="L650" t="n">
        <v>0</v>
      </c>
      <c r="M650" t="n">
        <v>0</v>
      </c>
      <c r="N650" t="n">
        <v>0</v>
      </c>
      <c r="O650" t="n">
        <v>0</v>
      </c>
      <c r="P650" t="n">
        <v>0</v>
      </c>
      <c r="Q650" t="n">
        <v>0</v>
      </c>
      <c r="R650" s="2" t="inlineStr"/>
    </row>
    <row r="651" ht="15" customHeight="1">
      <c r="A651" t="inlineStr">
        <is>
          <t>A 37272-2023</t>
        </is>
      </c>
      <c r="B651" s="1" t="n">
        <v>45156</v>
      </c>
      <c r="C651" s="1" t="n">
        <v>45852</v>
      </c>
      <c r="D651" t="inlineStr">
        <is>
          <t>DALARNAS LÄN</t>
        </is>
      </c>
      <c r="E651" t="inlineStr">
        <is>
          <t>LUDVIKA</t>
        </is>
      </c>
      <c r="G651" t="n">
        <v>6</v>
      </c>
      <c r="H651" t="n">
        <v>0</v>
      </c>
      <c r="I651" t="n">
        <v>0</v>
      </c>
      <c r="J651" t="n">
        <v>0</v>
      </c>
      <c r="K651" t="n">
        <v>0</v>
      </c>
      <c r="L651" t="n">
        <v>0</v>
      </c>
      <c r="M651" t="n">
        <v>0</v>
      </c>
      <c r="N651" t="n">
        <v>0</v>
      </c>
      <c r="O651" t="n">
        <v>0</v>
      </c>
      <c r="P651" t="n">
        <v>0</v>
      </c>
      <c r="Q651" t="n">
        <v>0</v>
      </c>
      <c r="R651" s="2" t="inlineStr"/>
    </row>
    <row r="652" ht="15" customHeight="1">
      <c r="A652" t="inlineStr">
        <is>
          <t>A 37333-2023</t>
        </is>
      </c>
      <c r="B652" s="1" t="n">
        <v>45156</v>
      </c>
      <c r="C652" s="1" t="n">
        <v>45852</v>
      </c>
      <c r="D652" t="inlineStr">
        <is>
          <t>DALARNAS LÄN</t>
        </is>
      </c>
      <c r="E652" t="inlineStr">
        <is>
          <t>LUDVIKA</t>
        </is>
      </c>
      <c r="F652" t="inlineStr">
        <is>
          <t>Bergvik skog väst AB</t>
        </is>
      </c>
      <c r="G652" t="n">
        <v>5</v>
      </c>
      <c r="H652" t="n">
        <v>0</v>
      </c>
      <c r="I652" t="n">
        <v>0</v>
      </c>
      <c r="J652" t="n">
        <v>0</v>
      </c>
      <c r="K652" t="n">
        <v>0</v>
      </c>
      <c r="L652" t="n">
        <v>0</v>
      </c>
      <c r="M652" t="n">
        <v>0</v>
      </c>
      <c r="N652" t="n">
        <v>0</v>
      </c>
      <c r="O652" t="n">
        <v>0</v>
      </c>
      <c r="P652" t="n">
        <v>0</v>
      </c>
      <c r="Q652" t="n">
        <v>0</v>
      </c>
      <c r="R652" s="2" t="inlineStr"/>
    </row>
    <row r="653" ht="15" customHeight="1">
      <c r="A653" t="inlineStr">
        <is>
          <t>A 37366-2023</t>
        </is>
      </c>
      <c r="B653" s="1" t="n">
        <v>45156</v>
      </c>
      <c r="C653" s="1" t="n">
        <v>45852</v>
      </c>
      <c r="D653" t="inlineStr">
        <is>
          <t>DALARNAS LÄN</t>
        </is>
      </c>
      <c r="E653" t="inlineStr">
        <is>
          <t>LUDVIKA</t>
        </is>
      </c>
      <c r="F653" t="inlineStr">
        <is>
          <t>Bergvik skog väst AB</t>
        </is>
      </c>
      <c r="G653" t="n">
        <v>6.7</v>
      </c>
      <c r="H653" t="n">
        <v>0</v>
      </c>
      <c r="I653" t="n">
        <v>0</v>
      </c>
      <c r="J653" t="n">
        <v>0</v>
      </c>
      <c r="K653" t="n">
        <v>0</v>
      </c>
      <c r="L653" t="n">
        <v>0</v>
      </c>
      <c r="M653" t="n">
        <v>0</v>
      </c>
      <c r="N653" t="n">
        <v>0</v>
      </c>
      <c r="O653" t="n">
        <v>0</v>
      </c>
      <c r="P653" t="n">
        <v>0</v>
      </c>
      <c r="Q653" t="n">
        <v>0</v>
      </c>
      <c r="R653" s="2" t="inlineStr"/>
    </row>
    <row r="654" ht="15" customHeight="1">
      <c r="A654" t="inlineStr">
        <is>
          <t>A 37392-2023</t>
        </is>
      </c>
      <c r="B654" s="1" t="n">
        <v>45156</v>
      </c>
      <c r="C654" s="1" t="n">
        <v>45852</v>
      </c>
      <c r="D654" t="inlineStr">
        <is>
          <t>DALARNAS LÄN</t>
        </is>
      </c>
      <c r="E654" t="inlineStr">
        <is>
          <t>LUDVIKA</t>
        </is>
      </c>
      <c r="G654" t="n">
        <v>0.5</v>
      </c>
      <c r="H654" t="n">
        <v>0</v>
      </c>
      <c r="I654" t="n">
        <v>0</v>
      </c>
      <c r="J654" t="n">
        <v>0</v>
      </c>
      <c r="K654" t="n">
        <v>0</v>
      </c>
      <c r="L654" t="n">
        <v>0</v>
      </c>
      <c r="M654" t="n">
        <v>0</v>
      </c>
      <c r="N654" t="n">
        <v>0</v>
      </c>
      <c r="O654" t="n">
        <v>0</v>
      </c>
      <c r="P654" t="n">
        <v>0</v>
      </c>
      <c r="Q654" t="n">
        <v>0</v>
      </c>
      <c r="R654" s="2" t="inlineStr"/>
    </row>
    <row r="655" ht="15" customHeight="1">
      <c r="A655" t="inlineStr">
        <is>
          <t>A 38170-2023</t>
        </is>
      </c>
      <c r="B655" s="1" t="n">
        <v>45161</v>
      </c>
      <c r="C655" s="1" t="n">
        <v>45852</v>
      </c>
      <c r="D655" t="inlineStr">
        <is>
          <t>DALARNAS LÄN</t>
        </is>
      </c>
      <c r="E655" t="inlineStr">
        <is>
          <t>LUDVIKA</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38138-2023</t>
        </is>
      </c>
      <c r="B656" s="1" t="n">
        <v>45161</v>
      </c>
      <c r="C656" s="1" t="n">
        <v>45852</v>
      </c>
      <c r="D656" t="inlineStr">
        <is>
          <t>DALARNAS LÄN</t>
        </is>
      </c>
      <c r="E656" t="inlineStr">
        <is>
          <t>LUDVIKA</t>
        </is>
      </c>
      <c r="G656" t="n">
        <v>2.5</v>
      </c>
      <c r="H656" t="n">
        <v>0</v>
      </c>
      <c r="I656" t="n">
        <v>0</v>
      </c>
      <c r="J656" t="n">
        <v>0</v>
      </c>
      <c r="K656" t="n">
        <v>0</v>
      </c>
      <c r="L656" t="n">
        <v>0</v>
      </c>
      <c r="M656" t="n">
        <v>0</v>
      </c>
      <c r="N656" t="n">
        <v>0</v>
      </c>
      <c r="O656" t="n">
        <v>0</v>
      </c>
      <c r="P656" t="n">
        <v>0</v>
      </c>
      <c r="Q656" t="n">
        <v>0</v>
      </c>
      <c r="R656" s="2" t="inlineStr"/>
    </row>
    <row r="657" ht="15" customHeight="1">
      <c r="A657" t="inlineStr">
        <is>
          <t>A 38279-2023</t>
        </is>
      </c>
      <c r="B657" s="1" t="n">
        <v>45161</v>
      </c>
      <c r="C657" s="1" t="n">
        <v>45852</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38168-2023</t>
        </is>
      </c>
      <c r="B658" s="1" t="n">
        <v>45161</v>
      </c>
      <c r="C658" s="1" t="n">
        <v>45852</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38197-2023</t>
        </is>
      </c>
      <c r="B659" s="1" t="n">
        <v>45161</v>
      </c>
      <c r="C659" s="1" t="n">
        <v>45852</v>
      </c>
      <c r="D659" t="inlineStr">
        <is>
          <t>DALARNAS LÄN</t>
        </is>
      </c>
      <c r="E659" t="inlineStr">
        <is>
          <t>LUDVIKA</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38243-2023</t>
        </is>
      </c>
      <c r="B660" s="1" t="n">
        <v>45161</v>
      </c>
      <c r="C660" s="1" t="n">
        <v>45852</v>
      </c>
      <c r="D660" t="inlineStr">
        <is>
          <t>DALARNAS LÄN</t>
        </is>
      </c>
      <c r="E660" t="inlineStr">
        <is>
          <t>LUDVIKA</t>
        </is>
      </c>
      <c r="G660" t="n">
        <v>1.2</v>
      </c>
      <c r="H660" t="n">
        <v>0</v>
      </c>
      <c r="I660" t="n">
        <v>0</v>
      </c>
      <c r="J660" t="n">
        <v>0</v>
      </c>
      <c r="K660" t="n">
        <v>0</v>
      </c>
      <c r="L660" t="n">
        <v>0</v>
      </c>
      <c r="M660" t="n">
        <v>0</v>
      </c>
      <c r="N660" t="n">
        <v>0</v>
      </c>
      <c r="O660" t="n">
        <v>0</v>
      </c>
      <c r="P660" t="n">
        <v>0</v>
      </c>
      <c r="Q660" t="n">
        <v>0</v>
      </c>
      <c r="R660" s="2" t="inlineStr"/>
    </row>
    <row r="661" ht="15" customHeight="1">
      <c r="A661" t="inlineStr">
        <is>
          <t>A 38280-2023</t>
        </is>
      </c>
      <c r="B661" s="1" t="n">
        <v>45161</v>
      </c>
      <c r="C661" s="1" t="n">
        <v>45852</v>
      </c>
      <c r="D661" t="inlineStr">
        <is>
          <t>DALARNAS LÄN</t>
        </is>
      </c>
      <c r="E661" t="inlineStr">
        <is>
          <t>LUDVIKA</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38963-2023</t>
        </is>
      </c>
      <c r="B662" s="1" t="n">
        <v>45163</v>
      </c>
      <c r="C662" s="1" t="n">
        <v>45852</v>
      </c>
      <c r="D662" t="inlineStr">
        <is>
          <t>DALARNAS LÄN</t>
        </is>
      </c>
      <c r="E662" t="inlineStr">
        <is>
          <t>LUDVIKA</t>
        </is>
      </c>
      <c r="F662" t="inlineStr">
        <is>
          <t>Bergvik skog väst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38925-2023</t>
        </is>
      </c>
      <c r="B663" s="1" t="n">
        <v>45163</v>
      </c>
      <c r="C663" s="1" t="n">
        <v>45852</v>
      </c>
      <c r="D663" t="inlineStr">
        <is>
          <t>DALARNAS LÄN</t>
        </is>
      </c>
      <c r="E663" t="inlineStr">
        <is>
          <t>LUDVIKA</t>
        </is>
      </c>
      <c r="G663" t="n">
        <v>3</v>
      </c>
      <c r="H663" t="n">
        <v>0</v>
      </c>
      <c r="I663" t="n">
        <v>0</v>
      </c>
      <c r="J663" t="n">
        <v>0</v>
      </c>
      <c r="K663" t="n">
        <v>0</v>
      </c>
      <c r="L663" t="n">
        <v>0</v>
      </c>
      <c r="M663" t="n">
        <v>0</v>
      </c>
      <c r="N663" t="n">
        <v>0</v>
      </c>
      <c r="O663" t="n">
        <v>0</v>
      </c>
      <c r="P663" t="n">
        <v>0</v>
      </c>
      <c r="Q663" t="n">
        <v>0</v>
      </c>
      <c r="R663" s="2" t="inlineStr"/>
    </row>
    <row r="664" ht="15" customHeight="1">
      <c r="A664" t="inlineStr">
        <is>
          <t>A 39400-2023</t>
        </is>
      </c>
      <c r="B664" s="1" t="n">
        <v>45166</v>
      </c>
      <c r="C664" s="1" t="n">
        <v>45852</v>
      </c>
      <c r="D664" t="inlineStr">
        <is>
          <t>DALARNAS LÄN</t>
        </is>
      </c>
      <c r="E664" t="inlineStr">
        <is>
          <t>LUDVIKA</t>
        </is>
      </c>
      <c r="F664" t="inlineStr">
        <is>
          <t>Bergvik skog väst AB</t>
        </is>
      </c>
      <c r="G664" t="n">
        <v>1.1</v>
      </c>
      <c r="H664" t="n">
        <v>0</v>
      </c>
      <c r="I664" t="n">
        <v>0</v>
      </c>
      <c r="J664" t="n">
        <v>0</v>
      </c>
      <c r="K664" t="n">
        <v>0</v>
      </c>
      <c r="L664" t="n">
        <v>0</v>
      </c>
      <c r="M664" t="n">
        <v>0</v>
      </c>
      <c r="N664" t="n">
        <v>0</v>
      </c>
      <c r="O664" t="n">
        <v>0</v>
      </c>
      <c r="P664" t="n">
        <v>0</v>
      </c>
      <c r="Q664" t="n">
        <v>0</v>
      </c>
      <c r="R664" s="2" t="inlineStr"/>
    </row>
    <row r="665" ht="15" customHeight="1">
      <c r="A665" t="inlineStr">
        <is>
          <t>A 39437-2023</t>
        </is>
      </c>
      <c r="B665" s="1" t="n">
        <v>45166</v>
      </c>
      <c r="C665" s="1" t="n">
        <v>45852</v>
      </c>
      <c r="D665" t="inlineStr">
        <is>
          <t>DALARNAS LÄN</t>
        </is>
      </c>
      <c r="E665" t="inlineStr">
        <is>
          <t>LUDVIKA</t>
        </is>
      </c>
      <c r="F665" t="inlineStr">
        <is>
          <t>Bergvik skog väst AB</t>
        </is>
      </c>
      <c r="G665" t="n">
        <v>2</v>
      </c>
      <c r="H665" t="n">
        <v>0</v>
      </c>
      <c r="I665" t="n">
        <v>0</v>
      </c>
      <c r="J665" t="n">
        <v>0</v>
      </c>
      <c r="K665" t="n">
        <v>0</v>
      </c>
      <c r="L665" t="n">
        <v>0</v>
      </c>
      <c r="M665" t="n">
        <v>0</v>
      </c>
      <c r="N665" t="n">
        <v>0</v>
      </c>
      <c r="O665" t="n">
        <v>0</v>
      </c>
      <c r="P665" t="n">
        <v>0</v>
      </c>
      <c r="Q665" t="n">
        <v>0</v>
      </c>
      <c r="R665" s="2" t="inlineStr"/>
    </row>
    <row r="666" ht="15" customHeight="1">
      <c r="A666" t="inlineStr">
        <is>
          <t>A 39405-2023</t>
        </is>
      </c>
      <c r="B666" s="1" t="n">
        <v>45166</v>
      </c>
      <c r="C666" s="1" t="n">
        <v>45852</v>
      </c>
      <c r="D666" t="inlineStr">
        <is>
          <t>DALARNAS LÄN</t>
        </is>
      </c>
      <c r="E666" t="inlineStr">
        <is>
          <t>LUDVIKA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39417-2023</t>
        </is>
      </c>
      <c r="B667" s="1" t="n">
        <v>45166</v>
      </c>
      <c r="C667" s="1" t="n">
        <v>45852</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39438-2023</t>
        </is>
      </c>
      <c r="B668" s="1" t="n">
        <v>45166</v>
      </c>
      <c r="C668" s="1" t="n">
        <v>45852</v>
      </c>
      <c r="D668" t="inlineStr">
        <is>
          <t>DALARNAS LÄN</t>
        </is>
      </c>
      <c r="E668" t="inlineStr">
        <is>
          <t>LUDVIKA</t>
        </is>
      </c>
      <c r="F668" t="inlineStr">
        <is>
          <t>Bergvik skog väst AB</t>
        </is>
      </c>
      <c r="G668" t="n">
        <v>3.2</v>
      </c>
      <c r="H668" t="n">
        <v>0</v>
      </c>
      <c r="I668" t="n">
        <v>0</v>
      </c>
      <c r="J668" t="n">
        <v>0</v>
      </c>
      <c r="K668" t="n">
        <v>0</v>
      </c>
      <c r="L668" t="n">
        <v>0</v>
      </c>
      <c r="M668" t="n">
        <v>0</v>
      </c>
      <c r="N668" t="n">
        <v>0</v>
      </c>
      <c r="O668" t="n">
        <v>0</v>
      </c>
      <c r="P668" t="n">
        <v>0</v>
      </c>
      <c r="Q668" t="n">
        <v>0</v>
      </c>
      <c r="R668" s="2" t="inlineStr"/>
    </row>
    <row r="669" ht="15" customHeight="1">
      <c r="A669" t="inlineStr">
        <is>
          <t>A 39441-2023</t>
        </is>
      </c>
      <c r="B669" s="1" t="n">
        <v>45166</v>
      </c>
      <c r="C669" s="1" t="n">
        <v>45852</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39447-2023</t>
        </is>
      </c>
      <c r="B670" s="1" t="n">
        <v>45166</v>
      </c>
      <c r="C670" s="1" t="n">
        <v>45852</v>
      </c>
      <c r="D670" t="inlineStr">
        <is>
          <t>DALARNAS LÄN</t>
        </is>
      </c>
      <c r="E670" t="inlineStr">
        <is>
          <t>LUDVIKA</t>
        </is>
      </c>
      <c r="F670" t="inlineStr">
        <is>
          <t>Bergvik skog väst AB</t>
        </is>
      </c>
      <c r="G670" t="n">
        <v>4.4</v>
      </c>
      <c r="H670" t="n">
        <v>0</v>
      </c>
      <c r="I670" t="n">
        <v>0</v>
      </c>
      <c r="J670" t="n">
        <v>0</v>
      </c>
      <c r="K670" t="n">
        <v>0</v>
      </c>
      <c r="L670" t="n">
        <v>0</v>
      </c>
      <c r="M670" t="n">
        <v>0</v>
      </c>
      <c r="N670" t="n">
        <v>0</v>
      </c>
      <c r="O670" t="n">
        <v>0</v>
      </c>
      <c r="P670" t="n">
        <v>0</v>
      </c>
      <c r="Q670" t="n">
        <v>0</v>
      </c>
      <c r="R670" s="2" t="inlineStr"/>
    </row>
    <row r="671" ht="15" customHeight="1">
      <c r="A671" t="inlineStr">
        <is>
          <t>A 39675-2023</t>
        </is>
      </c>
      <c r="B671" s="1" t="n">
        <v>45167</v>
      </c>
      <c r="C671" s="1" t="n">
        <v>45852</v>
      </c>
      <c r="D671" t="inlineStr">
        <is>
          <t>DALARNAS LÄN</t>
        </is>
      </c>
      <c r="E671" t="inlineStr">
        <is>
          <t>LUDVIKA</t>
        </is>
      </c>
      <c r="F671" t="inlineStr">
        <is>
          <t>Naturvårdsverket</t>
        </is>
      </c>
      <c r="G671" t="n">
        <v>0.9</v>
      </c>
      <c r="H671" t="n">
        <v>0</v>
      </c>
      <c r="I671" t="n">
        <v>0</v>
      </c>
      <c r="J671" t="n">
        <v>0</v>
      </c>
      <c r="K671" t="n">
        <v>0</v>
      </c>
      <c r="L671" t="n">
        <v>0</v>
      </c>
      <c r="M671" t="n">
        <v>0</v>
      </c>
      <c r="N671" t="n">
        <v>0</v>
      </c>
      <c r="O671" t="n">
        <v>0</v>
      </c>
      <c r="P671" t="n">
        <v>0</v>
      </c>
      <c r="Q671" t="n">
        <v>0</v>
      </c>
      <c r="R671" s="2" t="inlineStr"/>
    </row>
    <row r="672" ht="15" customHeight="1">
      <c r="A672" t="inlineStr">
        <is>
          <t>A 39673-2023</t>
        </is>
      </c>
      <c r="B672" s="1" t="n">
        <v>45167</v>
      </c>
      <c r="C672" s="1" t="n">
        <v>45852</v>
      </c>
      <c r="D672" t="inlineStr">
        <is>
          <t>DALARNAS LÄN</t>
        </is>
      </c>
      <c r="E672" t="inlineStr">
        <is>
          <t>LUDVIKA</t>
        </is>
      </c>
      <c r="F672" t="inlineStr">
        <is>
          <t>Naturvårdsverket</t>
        </is>
      </c>
      <c r="G672" t="n">
        <v>1.1</v>
      </c>
      <c r="H672" t="n">
        <v>0</v>
      </c>
      <c r="I672" t="n">
        <v>0</v>
      </c>
      <c r="J672" t="n">
        <v>0</v>
      </c>
      <c r="K672" t="n">
        <v>0</v>
      </c>
      <c r="L672" t="n">
        <v>0</v>
      </c>
      <c r="M672" t="n">
        <v>0</v>
      </c>
      <c r="N672" t="n">
        <v>0</v>
      </c>
      <c r="O672" t="n">
        <v>0</v>
      </c>
      <c r="P672" t="n">
        <v>0</v>
      </c>
      <c r="Q672" t="n">
        <v>0</v>
      </c>
      <c r="R672" s="2" t="inlineStr"/>
    </row>
    <row r="673" ht="15" customHeight="1">
      <c r="A673" t="inlineStr">
        <is>
          <t>A 39678-2023</t>
        </is>
      </c>
      <c r="B673" s="1" t="n">
        <v>45167</v>
      </c>
      <c r="C673" s="1" t="n">
        <v>45852</v>
      </c>
      <c r="D673" t="inlineStr">
        <is>
          <t>DALARNAS LÄN</t>
        </is>
      </c>
      <c r="E673" t="inlineStr">
        <is>
          <t>LUDVIKA</t>
        </is>
      </c>
      <c r="F673" t="inlineStr">
        <is>
          <t>Naturvårdsverket</t>
        </is>
      </c>
      <c r="G673" t="n">
        <v>1</v>
      </c>
      <c r="H673" t="n">
        <v>0</v>
      </c>
      <c r="I673" t="n">
        <v>0</v>
      </c>
      <c r="J673" t="n">
        <v>0</v>
      </c>
      <c r="K673" t="n">
        <v>0</v>
      </c>
      <c r="L673" t="n">
        <v>0</v>
      </c>
      <c r="M673" t="n">
        <v>0</v>
      </c>
      <c r="N673" t="n">
        <v>0</v>
      </c>
      <c r="O673" t="n">
        <v>0</v>
      </c>
      <c r="P673" t="n">
        <v>0</v>
      </c>
      <c r="Q673" t="n">
        <v>0</v>
      </c>
      <c r="R673" s="2" t="inlineStr"/>
    </row>
    <row r="674" ht="15" customHeight="1">
      <c r="A674" t="inlineStr">
        <is>
          <t>A 39670-2023</t>
        </is>
      </c>
      <c r="B674" s="1" t="n">
        <v>45167</v>
      </c>
      <c r="C674" s="1" t="n">
        <v>45852</v>
      </c>
      <c r="D674" t="inlineStr">
        <is>
          <t>DALARNAS LÄN</t>
        </is>
      </c>
      <c r="E674" t="inlineStr">
        <is>
          <t>LUDVIKA</t>
        </is>
      </c>
      <c r="F674" t="inlineStr">
        <is>
          <t>Naturvårdsverket</t>
        </is>
      </c>
      <c r="G674" t="n">
        <v>3.9</v>
      </c>
      <c r="H674" t="n">
        <v>0</v>
      </c>
      <c r="I674" t="n">
        <v>0</v>
      </c>
      <c r="J674" t="n">
        <v>0</v>
      </c>
      <c r="K674" t="n">
        <v>0</v>
      </c>
      <c r="L674" t="n">
        <v>0</v>
      </c>
      <c r="M674" t="n">
        <v>0</v>
      </c>
      <c r="N674" t="n">
        <v>0</v>
      </c>
      <c r="O674" t="n">
        <v>0</v>
      </c>
      <c r="P674" t="n">
        <v>0</v>
      </c>
      <c r="Q674" t="n">
        <v>0</v>
      </c>
      <c r="R674" s="2" t="inlineStr"/>
    </row>
    <row r="675" ht="15" customHeight="1">
      <c r="A675" t="inlineStr">
        <is>
          <t>A 39849-2023</t>
        </is>
      </c>
      <c r="B675" s="1" t="n">
        <v>45168</v>
      </c>
      <c r="C675" s="1" t="n">
        <v>45852</v>
      </c>
      <c r="D675" t="inlineStr">
        <is>
          <t>DALARNAS LÄN</t>
        </is>
      </c>
      <c r="E675" t="inlineStr">
        <is>
          <t>LUDVIKA</t>
        </is>
      </c>
      <c r="F675" t="inlineStr">
        <is>
          <t>Bergvik skog väst AB</t>
        </is>
      </c>
      <c r="G675" t="n">
        <v>0.7</v>
      </c>
      <c r="H675" t="n">
        <v>0</v>
      </c>
      <c r="I675" t="n">
        <v>0</v>
      </c>
      <c r="J675" t="n">
        <v>0</v>
      </c>
      <c r="K675" t="n">
        <v>0</v>
      </c>
      <c r="L675" t="n">
        <v>0</v>
      </c>
      <c r="M675" t="n">
        <v>0</v>
      </c>
      <c r="N675" t="n">
        <v>0</v>
      </c>
      <c r="O675" t="n">
        <v>0</v>
      </c>
      <c r="P675" t="n">
        <v>0</v>
      </c>
      <c r="Q675" t="n">
        <v>0</v>
      </c>
      <c r="R675" s="2" t="inlineStr"/>
    </row>
    <row r="676" ht="15" customHeight="1">
      <c r="A676" t="inlineStr">
        <is>
          <t>A 39878-2023</t>
        </is>
      </c>
      <c r="B676" s="1" t="n">
        <v>45168</v>
      </c>
      <c r="C676" s="1" t="n">
        <v>45852</v>
      </c>
      <c r="D676" t="inlineStr">
        <is>
          <t>DALARNAS LÄN</t>
        </is>
      </c>
      <c r="E676" t="inlineStr">
        <is>
          <t>LUDVIKA</t>
        </is>
      </c>
      <c r="F676" t="inlineStr">
        <is>
          <t>Bergvik skog väst AB</t>
        </is>
      </c>
      <c r="G676" t="n">
        <v>2.7</v>
      </c>
      <c r="H676" t="n">
        <v>0</v>
      </c>
      <c r="I676" t="n">
        <v>0</v>
      </c>
      <c r="J676" t="n">
        <v>0</v>
      </c>
      <c r="K676" t="n">
        <v>0</v>
      </c>
      <c r="L676" t="n">
        <v>0</v>
      </c>
      <c r="M676" t="n">
        <v>0</v>
      </c>
      <c r="N676" t="n">
        <v>0</v>
      </c>
      <c r="O676" t="n">
        <v>0</v>
      </c>
      <c r="P676" t="n">
        <v>0</v>
      </c>
      <c r="Q676" t="n">
        <v>0</v>
      </c>
      <c r="R676" s="2" t="inlineStr"/>
    </row>
    <row r="677" ht="15" customHeight="1">
      <c r="A677" t="inlineStr">
        <is>
          <t>A 40016-2023</t>
        </is>
      </c>
      <c r="B677" s="1" t="n">
        <v>45168</v>
      </c>
      <c r="C677" s="1" t="n">
        <v>45852</v>
      </c>
      <c r="D677" t="inlineStr">
        <is>
          <t>DALARNAS LÄN</t>
        </is>
      </c>
      <c r="E677" t="inlineStr">
        <is>
          <t>LUDVIKA</t>
        </is>
      </c>
      <c r="F677" t="inlineStr">
        <is>
          <t>Bergvik skog väst AB</t>
        </is>
      </c>
      <c r="G677" t="n">
        <v>7.6</v>
      </c>
      <c r="H677" t="n">
        <v>0</v>
      </c>
      <c r="I677" t="n">
        <v>0</v>
      </c>
      <c r="J677" t="n">
        <v>0</v>
      </c>
      <c r="K677" t="n">
        <v>0</v>
      </c>
      <c r="L677" t="n">
        <v>0</v>
      </c>
      <c r="M677" t="n">
        <v>0</v>
      </c>
      <c r="N677" t="n">
        <v>0</v>
      </c>
      <c r="O677" t="n">
        <v>0</v>
      </c>
      <c r="P677" t="n">
        <v>0</v>
      </c>
      <c r="Q677" t="n">
        <v>0</v>
      </c>
      <c r="R677" s="2" t="inlineStr"/>
    </row>
    <row r="678" ht="15" customHeight="1">
      <c r="A678" t="inlineStr">
        <is>
          <t>A 39971-2023</t>
        </is>
      </c>
      <c r="B678" s="1" t="n">
        <v>45168</v>
      </c>
      <c r="C678" s="1" t="n">
        <v>45852</v>
      </c>
      <c r="D678" t="inlineStr">
        <is>
          <t>DALARNAS LÄN</t>
        </is>
      </c>
      <c r="E678" t="inlineStr">
        <is>
          <t>LUDVIKA</t>
        </is>
      </c>
      <c r="F678" t="inlineStr">
        <is>
          <t>Bergvik skog väst AB</t>
        </is>
      </c>
      <c r="G678" t="n">
        <v>4.4</v>
      </c>
      <c r="H678" t="n">
        <v>0</v>
      </c>
      <c r="I678" t="n">
        <v>0</v>
      </c>
      <c r="J678" t="n">
        <v>0</v>
      </c>
      <c r="K678" t="n">
        <v>0</v>
      </c>
      <c r="L678" t="n">
        <v>0</v>
      </c>
      <c r="M678" t="n">
        <v>0</v>
      </c>
      <c r="N678" t="n">
        <v>0</v>
      </c>
      <c r="O678" t="n">
        <v>0</v>
      </c>
      <c r="P678" t="n">
        <v>0</v>
      </c>
      <c r="Q678" t="n">
        <v>0</v>
      </c>
      <c r="R678" s="2" t="inlineStr"/>
    </row>
    <row r="679" ht="15" customHeight="1">
      <c r="A679" t="inlineStr">
        <is>
          <t>A 39886-2023</t>
        </is>
      </c>
      <c r="B679" s="1" t="n">
        <v>45168</v>
      </c>
      <c r="C679" s="1" t="n">
        <v>45852</v>
      </c>
      <c r="D679" t="inlineStr">
        <is>
          <t>DALARNAS LÄN</t>
        </is>
      </c>
      <c r="E679" t="inlineStr">
        <is>
          <t>LUDVIKA</t>
        </is>
      </c>
      <c r="F679" t="inlineStr">
        <is>
          <t>Bergvik skog väst AB</t>
        </is>
      </c>
      <c r="G679" t="n">
        <v>28.4</v>
      </c>
      <c r="H679" t="n">
        <v>0</v>
      </c>
      <c r="I679" t="n">
        <v>0</v>
      </c>
      <c r="J679" t="n">
        <v>0</v>
      </c>
      <c r="K679" t="n">
        <v>0</v>
      </c>
      <c r="L679" t="n">
        <v>0</v>
      </c>
      <c r="M679" t="n">
        <v>0</v>
      </c>
      <c r="N679" t="n">
        <v>0</v>
      </c>
      <c r="O679" t="n">
        <v>0</v>
      </c>
      <c r="P679" t="n">
        <v>0</v>
      </c>
      <c r="Q679" t="n">
        <v>0</v>
      </c>
      <c r="R679" s="2" t="inlineStr"/>
    </row>
    <row r="680" ht="15" customHeight="1">
      <c r="A680" t="inlineStr">
        <is>
          <t>A 40020-2023</t>
        </is>
      </c>
      <c r="B680" s="1" t="n">
        <v>45168</v>
      </c>
      <c r="C680" s="1" t="n">
        <v>45852</v>
      </c>
      <c r="D680" t="inlineStr">
        <is>
          <t>DALARNAS LÄN</t>
        </is>
      </c>
      <c r="E680" t="inlineStr">
        <is>
          <t>LUDVIKA</t>
        </is>
      </c>
      <c r="F680" t="inlineStr">
        <is>
          <t>Bergvik skog väst AB</t>
        </is>
      </c>
      <c r="G680" t="n">
        <v>8.4</v>
      </c>
      <c r="H680" t="n">
        <v>0</v>
      </c>
      <c r="I680" t="n">
        <v>0</v>
      </c>
      <c r="J680" t="n">
        <v>0</v>
      </c>
      <c r="K680" t="n">
        <v>0</v>
      </c>
      <c r="L680" t="n">
        <v>0</v>
      </c>
      <c r="M680" t="n">
        <v>0</v>
      </c>
      <c r="N680" t="n">
        <v>0</v>
      </c>
      <c r="O680" t="n">
        <v>0</v>
      </c>
      <c r="P680" t="n">
        <v>0</v>
      </c>
      <c r="Q680" t="n">
        <v>0</v>
      </c>
      <c r="R680" s="2" t="inlineStr"/>
    </row>
    <row r="681" ht="15" customHeight="1">
      <c r="A681" t="inlineStr">
        <is>
          <t>A 40489-2023</t>
        </is>
      </c>
      <c r="B681" s="1" t="n">
        <v>45170</v>
      </c>
      <c r="C681" s="1" t="n">
        <v>45852</v>
      </c>
      <c r="D681" t="inlineStr">
        <is>
          <t>DALARNAS LÄN</t>
        </is>
      </c>
      <c r="E681" t="inlineStr">
        <is>
          <t>LUDVIKA</t>
        </is>
      </c>
      <c r="F681" t="inlineStr">
        <is>
          <t>Sveaskog</t>
        </is>
      </c>
      <c r="G681" t="n">
        <v>22.5</v>
      </c>
      <c r="H681" t="n">
        <v>0</v>
      </c>
      <c r="I681" t="n">
        <v>0</v>
      </c>
      <c r="J681" t="n">
        <v>0</v>
      </c>
      <c r="K681" t="n">
        <v>0</v>
      </c>
      <c r="L681" t="n">
        <v>0</v>
      </c>
      <c r="M681" t="n">
        <v>0</v>
      </c>
      <c r="N681" t="n">
        <v>0</v>
      </c>
      <c r="O681" t="n">
        <v>0</v>
      </c>
      <c r="P681" t="n">
        <v>0</v>
      </c>
      <c r="Q681" t="n">
        <v>0</v>
      </c>
      <c r="R681" s="2" t="inlineStr"/>
    </row>
    <row r="682" ht="15" customHeight="1">
      <c r="A682" t="inlineStr">
        <is>
          <t>A 40499-2023</t>
        </is>
      </c>
      <c r="B682" s="1" t="n">
        <v>45170</v>
      </c>
      <c r="C682" s="1" t="n">
        <v>45852</v>
      </c>
      <c r="D682" t="inlineStr">
        <is>
          <t>DALARNAS LÄN</t>
        </is>
      </c>
      <c r="E682" t="inlineStr">
        <is>
          <t>LUDVIKA</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40672-2023</t>
        </is>
      </c>
      <c r="B683" s="1" t="n">
        <v>45170</v>
      </c>
      <c r="C683" s="1" t="n">
        <v>45852</v>
      </c>
      <c r="D683" t="inlineStr">
        <is>
          <t>DALARNAS LÄN</t>
        </is>
      </c>
      <c r="E683" t="inlineStr">
        <is>
          <t>LUDVIKA</t>
        </is>
      </c>
      <c r="F683" t="inlineStr">
        <is>
          <t>Bergvik skog väst AB</t>
        </is>
      </c>
      <c r="G683" t="n">
        <v>1.5</v>
      </c>
      <c r="H683" t="n">
        <v>0</v>
      </c>
      <c r="I683" t="n">
        <v>0</v>
      </c>
      <c r="J683" t="n">
        <v>0</v>
      </c>
      <c r="K683" t="n">
        <v>0</v>
      </c>
      <c r="L683" t="n">
        <v>0</v>
      </c>
      <c r="M683" t="n">
        <v>0</v>
      </c>
      <c r="N683" t="n">
        <v>0</v>
      </c>
      <c r="O683" t="n">
        <v>0</v>
      </c>
      <c r="P683" t="n">
        <v>0</v>
      </c>
      <c r="Q683" t="n">
        <v>0</v>
      </c>
      <c r="R683" s="2" t="inlineStr"/>
    </row>
    <row r="684" ht="15" customHeight="1">
      <c r="A684" t="inlineStr">
        <is>
          <t>A 40646-2023</t>
        </is>
      </c>
      <c r="B684" s="1" t="n">
        <v>45170</v>
      </c>
      <c r="C684" s="1" t="n">
        <v>45852</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40473-2023</t>
        </is>
      </c>
      <c r="B685" s="1" t="n">
        <v>45170</v>
      </c>
      <c r="C685" s="1" t="n">
        <v>45852</v>
      </c>
      <c r="D685" t="inlineStr">
        <is>
          <t>DALARNAS LÄN</t>
        </is>
      </c>
      <c r="E685" t="inlineStr">
        <is>
          <t>LUDVIKA</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40687-2023</t>
        </is>
      </c>
      <c r="B686" s="1" t="n">
        <v>45170</v>
      </c>
      <c r="C686" s="1" t="n">
        <v>45852</v>
      </c>
      <c r="D686" t="inlineStr">
        <is>
          <t>DALARNAS LÄN</t>
        </is>
      </c>
      <c r="E686" t="inlineStr">
        <is>
          <t>LUDVIKA</t>
        </is>
      </c>
      <c r="F686" t="inlineStr">
        <is>
          <t>Bergvik skog väst AB</t>
        </is>
      </c>
      <c r="G686" t="n">
        <v>0.7</v>
      </c>
      <c r="H686" t="n">
        <v>0</v>
      </c>
      <c r="I686" t="n">
        <v>0</v>
      </c>
      <c r="J686" t="n">
        <v>0</v>
      </c>
      <c r="K686" t="n">
        <v>0</v>
      </c>
      <c r="L686" t="n">
        <v>0</v>
      </c>
      <c r="M686" t="n">
        <v>0</v>
      </c>
      <c r="N686" t="n">
        <v>0</v>
      </c>
      <c r="O686" t="n">
        <v>0</v>
      </c>
      <c r="P686" t="n">
        <v>0</v>
      </c>
      <c r="Q686" t="n">
        <v>0</v>
      </c>
      <c r="R686" s="2" t="inlineStr"/>
    </row>
    <row r="687" ht="15" customHeight="1">
      <c r="A687" t="inlineStr">
        <is>
          <t>A 40869-2023</t>
        </is>
      </c>
      <c r="B687" s="1" t="n">
        <v>45173</v>
      </c>
      <c r="C687" s="1" t="n">
        <v>45852</v>
      </c>
      <c r="D687" t="inlineStr">
        <is>
          <t>DALARNAS LÄN</t>
        </is>
      </c>
      <c r="E687" t="inlineStr">
        <is>
          <t>LUDVIKA</t>
        </is>
      </c>
      <c r="F687" t="inlineStr">
        <is>
          <t>Bergvik skog väst AB</t>
        </is>
      </c>
      <c r="G687" t="n">
        <v>1</v>
      </c>
      <c r="H687" t="n">
        <v>0</v>
      </c>
      <c r="I687" t="n">
        <v>0</v>
      </c>
      <c r="J687" t="n">
        <v>0</v>
      </c>
      <c r="K687" t="n">
        <v>0</v>
      </c>
      <c r="L687" t="n">
        <v>0</v>
      </c>
      <c r="M687" t="n">
        <v>0</v>
      </c>
      <c r="N687" t="n">
        <v>0</v>
      </c>
      <c r="O687" t="n">
        <v>0</v>
      </c>
      <c r="P687" t="n">
        <v>0</v>
      </c>
      <c r="Q687" t="n">
        <v>0</v>
      </c>
      <c r="R687" s="2" t="inlineStr"/>
    </row>
    <row r="688" ht="15" customHeight="1">
      <c r="A688" t="inlineStr">
        <is>
          <t>A 41177-2023</t>
        </is>
      </c>
      <c r="B688" s="1" t="n">
        <v>45174</v>
      </c>
      <c r="C688" s="1" t="n">
        <v>45852</v>
      </c>
      <c r="D688" t="inlineStr">
        <is>
          <t>DALARNAS LÄN</t>
        </is>
      </c>
      <c r="E688" t="inlineStr">
        <is>
          <t>LUDVIKA</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41628-2023</t>
        </is>
      </c>
      <c r="B689" s="1" t="n">
        <v>45175</v>
      </c>
      <c r="C689" s="1" t="n">
        <v>45852</v>
      </c>
      <c r="D689" t="inlineStr">
        <is>
          <t>DALARNAS LÄN</t>
        </is>
      </c>
      <c r="E689" t="inlineStr">
        <is>
          <t>LUDVIKA</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41627-2023</t>
        </is>
      </c>
      <c r="B690" s="1" t="n">
        <v>45175</v>
      </c>
      <c r="C690" s="1" t="n">
        <v>45852</v>
      </c>
      <c r="D690" t="inlineStr">
        <is>
          <t>DALARNAS LÄN</t>
        </is>
      </c>
      <c r="E690" t="inlineStr">
        <is>
          <t>LUDVIKA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41631-2023</t>
        </is>
      </c>
      <c r="B691" s="1" t="n">
        <v>45175</v>
      </c>
      <c r="C691" s="1" t="n">
        <v>45852</v>
      </c>
      <c r="D691" t="inlineStr">
        <is>
          <t>DALARNAS LÄN</t>
        </is>
      </c>
      <c r="E691" t="inlineStr">
        <is>
          <t>LUDVIKA</t>
        </is>
      </c>
      <c r="F691" t="inlineStr">
        <is>
          <t>Bergvik skog väst AB</t>
        </is>
      </c>
      <c r="G691" t="n">
        <v>3.8</v>
      </c>
      <c r="H691" t="n">
        <v>0</v>
      </c>
      <c r="I691" t="n">
        <v>0</v>
      </c>
      <c r="J691" t="n">
        <v>0</v>
      </c>
      <c r="K691" t="n">
        <v>0</v>
      </c>
      <c r="L691" t="n">
        <v>0</v>
      </c>
      <c r="M691" t="n">
        <v>0</v>
      </c>
      <c r="N691" t="n">
        <v>0</v>
      </c>
      <c r="O691" t="n">
        <v>0</v>
      </c>
      <c r="P691" t="n">
        <v>0</v>
      </c>
      <c r="Q691" t="n">
        <v>0</v>
      </c>
      <c r="R691" s="2" t="inlineStr"/>
    </row>
    <row r="692" ht="15" customHeight="1">
      <c r="A692" t="inlineStr">
        <is>
          <t>A 41668-2023</t>
        </is>
      </c>
      <c r="B692" s="1" t="n">
        <v>45176</v>
      </c>
      <c r="C692" s="1" t="n">
        <v>45852</v>
      </c>
      <c r="D692" t="inlineStr">
        <is>
          <t>DALARNAS LÄN</t>
        </is>
      </c>
      <c r="E692" t="inlineStr">
        <is>
          <t>LUDVIKA</t>
        </is>
      </c>
      <c r="G692" t="n">
        <v>1.4</v>
      </c>
      <c r="H692" t="n">
        <v>0</v>
      </c>
      <c r="I692" t="n">
        <v>0</v>
      </c>
      <c r="J692" t="n">
        <v>0</v>
      </c>
      <c r="K692" t="n">
        <v>0</v>
      </c>
      <c r="L692" t="n">
        <v>0</v>
      </c>
      <c r="M692" t="n">
        <v>0</v>
      </c>
      <c r="N692" t="n">
        <v>0</v>
      </c>
      <c r="O692" t="n">
        <v>0</v>
      </c>
      <c r="P692" t="n">
        <v>0</v>
      </c>
      <c r="Q692" t="n">
        <v>0</v>
      </c>
      <c r="R692" s="2" t="inlineStr"/>
    </row>
    <row r="693" ht="15" customHeight="1">
      <c r="A693" t="inlineStr">
        <is>
          <t>A 41993-2023</t>
        </is>
      </c>
      <c r="B693" s="1" t="n">
        <v>45177</v>
      </c>
      <c r="C693" s="1" t="n">
        <v>45852</v>
      </c>
      <c r="D693" t="inlineStr">
        <is>
          <t>DALARNAS LÄN</t>
        </is>
      </c>
      <c r="E693" t="inlineStr">
        <is>
          <t>LUDVIKA</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41988-2023</t>
        </is>
      </c>
      <c r="B694" s="1" t="n">
        <v>45177</v>
      </c>
      <c r="C694" s="1" t="n">
        <v>45852</v>
      </c>
      <c r="D694" t="inlineStr">
        <is>
          <t>DALARNAS LÄN</t>
        </is>
      </c>
      <c r="E694" t="inlineStr">
        <is>
          <t>LUDVIKA</t>
        </is>
      </c>
      <c r="F694" t="inlineStr">
        <is>
          <t>Sveaskog</t>
        </is>
      </c>
      <c r="G694" t="n">
        <v>22.2</v>
      </c>
      <c r="H694" t="n">
        <v>0</v>
      </c>
      <c r="I694" t="n">
        <v>0</v>
      </c>
      <c r="J694" t="n">
        <v>0</v>
      </c>
      <c r="K694" t="n">
        <v>0</v>
      </c>
      <c r="L694" t="n">
        <v>0</v>
      </c>
      <c r="M694" t="n">
        <v>0</v>
      </c>
      <c r="N694" t="n">
        <v>0</v>
      </c>
      <c r="O694" t="n">
        <v>0</v>
      </c>
      <c r="P694" t="n">
        <v>0</v>
      </c>
      <c r="Q694" t="n">
        <v>0</v>
      </c>
      <c r="R694" s="2" t="inlineStr"/>
    </row>
    <row r="695" ht="15" customHeight="1">
      <c r="A695" t="inlineStr">
        <is>
          <t>A 42022-2023</t>
        </is>
      </c>
      <c r="B695" s="1" t="n">
        <v>45177</v>
      </c>
      <c r="C695" s="1" t="n">
        <v>45852</v>
      </c>
      <c r="D695" t="inlineStr">
        <is>
          <t>DALARNAS LÄN</t>
        </is>
      </c>
      <c r="E695" t="inlineStr">
        <is>
          <t>LUDVIKA</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41991-2023</t>
        </is>
      </c>
      <c r="B696" s="1" t="n">
        <v>45177</v>
      </c>
      <c r="C696" s="1" t="n">
        <v>45852</v>
      </c>
      <c r="D696" t="inlineStr">
        <is>
          <t>DALARNAS LÄN</t>
        </is>
      </c>
      <c r="E696" t="inlineStr">
        <is>
          <t>LUDVIKA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42268-2023</t>
        </is>
      </c>
      <c r="B697" s="1" t="n">
        <v>45180</v>
      </c>
      <c r="C697" s="1" t="n">
        <v>45852</v>
      </c>
      <c r="D697" t="inlineStr">
        <is>
          <t>DALARNAS LÄN</t>
        </is>
      </c>
      <c r="E697" t="inlineStr">
        <is>
          <t>LUDVIKA</t>
        </is>
      </c>
      <c r="F697" t="inlineStr">
        <is>
          <t>Bergvik skog väst AB</t>
        </is>
      </c>
      <c r="G697" t="n">
        <v>10.6</v>
      </c>
      <c r="H697" t="n">
        <v>0</v>
      </c>
      <c r="I697" t="n">
        <v>0</v>
      </c>
      <c r="J697" t="n">
        <v>0</v>
      </c>
      <c r="K697" t="n">
        <v>0</v>
      </c>
      <c r="L697" t="n">
        <v>0</v>
      </c>
      <c r="M697" t="n">
        <v>0</v>
      </c>
      <c r="N697" t="n">
        <v>0</v>
      </c>
      <c r="O697" t="n">
        <v>0</v>
      </c>
      <c r="P697" t="n">
        <v>0</v>
      </c>
      <c r="Q697" t="n">
        <v>0</v>
      </c>
      <c r="R697" s="2" t="inlineStr"/>
    </row>
    <row r="698" ht="15" customHeight="1">
      <c r="A698" t="inlineStr">
        <is>
          <t>A 42367-2023</t>
        </is>
      </c>
      <c r="B698" s="1" t="n">
        <v>45180</v>
      </c>
      <c r="C698" s="1" t="n">
        <v>45852</v>
      </c>
      <c r="D698" t="inlineStr">
        <is>
          <t>DALARNAS LÄN</t>
        </is>
      </c>
      <c r="E698" t="inlineStr">
        <is>
          <t>LUDVIKA</t>
        </is>
      </c>
      <c r="F698" t="inlineStr">
        <is>
          <t>Övriga Aktiebolag</t>
        </is>
      </c>
      <c r="G698" t="n">
        <v>17.9</v>
      </c>
      <c r="H698" t="n">
        <v>0</v>
      </c>
      <c r="I698" t="n">
        <v>0</v>
      </c>
      <c r="J698" t="n">
        <v>0</v>
      </c>
      <c r="K698" t="n">
        <v>0</v>
      </c>
      <c r="L698" t="n">
        <v>0</v>
      </c>
      <c r="M698" t="n">
        <v>0</v>
      </c>
      <c r="N698" t="n">
        <v>0</v>
      </c>
      <c r="O698" t="n">
        <v>0</v>
      </c>
      <c r="P698" t="n">
        <v>0</v>
      </c>
      <c r="Q698" t="n">
        <v>0</v>
      </c>
      <c r="R698" s="2" t="inlineStr"/>
    </row>
    <row r="699" ht="15" customHeight="1">
      <c r="A699" t="inlineStr">
        <is>
          <t>A 42860-2023</t>
        </is>
      </c>
      <c r="B699" s="1" t="n">
        <v>45182</v>
      </c>
      <c r="C699" s="1" t="n">
        <v>45852</v>
      </c>
      <c r="D699" t="inlineStr">
        <is>
          <t>DALARNAS LÄN</t>
        </is>
      </c>
      <c r="E699" t="inlineStr">
        <is>
          <t>LUDVIKA</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42843-2023</t>
        </is>
      </c>
      <c r="B700" s="1" t="n">
        <v>45182</v>
      </c>
      <c r="C700" s="1" t="n">
        <v>45852</v>
      </c>
      <c r="D700" t="inlineStr">
        <is>
          <t>DALARNAS LÄN</t>
        </is>
      </c>
      <c r="E700" t="inlineStr">
        <is>
          <t>LUDVIKA</t>
        </is>
      </c>
      <c r="F700" t="inlineStr">
        <is>
          <t>Bergvik skog väst AB</t>
        </is>
      </c>
      <c r="G700" t="n">
        <v>15.6</v>
      </c>
      <c r="H700" t="n">
        <v>0</v>
      </c>
      <c r="I700" t="n">
        <v>0</v>
      </c>
      <c r="J700" t="n">
        <v>0</v>
      </c>
      <c r="K700" t="n">
        <v>0</v>
      </c>
      <c r="L700" t="n">
        <v>0</v>
      </c>
      <c r="M700" t="n">
        <v>0</v>
      </c>
      <c r="N700" t="n">
        <v>0</v>
      </c>
      <c r="O700" t="n">
        <v>0</v>
      </c>
      <c r="P700" t="n">
        <v>0</v>
      </c>
      <c r="Q700" t="n">
        <v>0</v>
      </c>
      <c r="R700" s="2" t="inlineStr"/>
    </row>
    <row r="701" ht="15" customHeight="1">
      <c r="A701" t="inlineStr">
        <is>
          <t>A 42857-2023</t>
        </is>
      </c>
      <c r="B701" s="1" t="n">
        <v>45182</v>
      </c>
      <c r="C701" s="1" t="n">
        <v>45852</v>
      </c>
      <c r="D701" t="inlineStr">
        <is>
          <t>DALARNAS LÄN</t>
        </is>
      </c>
      <c r="E701" t="inlineStr">
        <is>
          <t>LUDVIKA</t>
        </is>
      </c>
      <c r="F701" t="inlineStr">
        <is>
          <t>Bergvik skog väst AB</t>
        </is>
      </c>
      <c r="G701" t="n">
        <v>6.7</v>
      </c>
      <c r="H701" t="n">
        <v>0</v>
      </c>
      <c r="I701" t="n">
        <v>0</v>
      </c>
      <c r="J701" t="n">
        <v>0</v>
      </c>
      <c r="K701" t="n">
        <v>0</v>
      </c>
      <c r="L701" t="n">
        <v>0</v>
      </c>
      <c r="M701" t="n">
        <v>0</v>
      </c>
      <c r="N701" t="n">
        <v>0</v>
      </c>
      <c r="O701" t="n">
        <v>0</v>
      </c>
      <c r="P701" t="n">
        <v>0</v>
      </c>
      <c r="Q701" t="n">
        <v>0</v>
      </c>
      <c r="R701" s="2" t="inlineStr"/>
    </row>
    <row r="702" ht="15" customHeight="1">
      <c r="A702" t="inlineStr">
        <is>
          <t>A 43214-2023</t>
        </is>
      </c>
      <c r="B702" s="1" t="n">
        <v>45183</v>
      </c>
      <c r="C702" s="1" t="n">
        <v>45852</v>
      </c>
      <c r="D702" t="inlineStr">
        <is>
          <t>DALARNAS LÄN</t>
        </is>
      </c>
      <c r="E702" t="inlineStr">
        <is>
          <t>LUDVIKA</t>
        </is>
      </c>
      <c r="F702" t="inlineStr">
        <is>
          <t>Bergvik skog väst AB</t>
        </is>
      </c>
      <c r="G702" t="n">
        <v>4.3</v>
      </c>
      <c r="H702" t="n">
        <v>0</v>
      </c>
      <c r="I702" t="n">
        <v>0</v>
      </c>
      <c r="J702" t="n">
        <v>0</v>
      </c>
      <c r="K702" t="n">
        <v>0</v>
      </c>
      <c r="L702" t="n">
        <v>0</v>
      </c>
      <c r="M702" t="n">
        <v>0</v>
      </c>
      <c r="N702" t="n">
        <v>0</v>
      </c>
      <c r="O702" t="n">
        <v>0</v>
      </c>
      <c r="P702" t="n">
        <v>0</v>
      </c>
      <c r="Q702" t="n">
        <v>0</v>
      </c>
      <c r="R702" s="2" t="inlineStr"/>
    </row>
    <row r="703" ht="15" customHeight="1">
      <c r="A703" t="inlineStr">
        <is>
          <t>A 43470-2023</t>
        </is>
      </c>
      <c r="B703" s="1" t="n">
        <v>45184</v>
      </c>
      <c r="C703" s="1" t="n">
        <v>45852</v>
      </c>
      <c r="D703" t="inlineStr">
        <is>
          <t>DALARNAS LÄN</t>
        </is>
      </c>
      <c r="E703" t="inlineStr">
        <is>
          <t>LUDVIKA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43586-2023</t>
        </is>
      </c>
      <c r="B704" s="1" t="n">
        <v>45184</v>
      </c>
      <c r="C704" s="1" t="n">
        <v>45852</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43589-2023</t>
        </is>
      </c>
      <c r="B705" s="1" t="n">
        <v>45184</v>
      </c>
      <c r="C705" s="1" t="n">
        <v>45852</v>
      </c>
      <c r="D705" t="inlineStr">
        <is>
          <t>DALARNAS LÄN</t>
        </is>
      </c>
      <c r="E705" t="inlineStr">
        <is>
          <t>LUDVIKA</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43681-2023</t>
        </is>
      </c>
      <c r="B706" s="1" t="n">
        <v>45187</v>
      </c>
      <c r="C706" s="1" t="n">
        <v>45852</v>
      </c>
      <c r="D706" t="inlineStr">
        <is>
          <t>DALARNAS LÄN</t>
        </is>
      </c>
      <c r="E706" t="inlineStr">
        <is>
          <t>LUDVIKA</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43679-2023</t>
        </is>
      </c>
      <c r="B707" s="1" t="n">
        <v>45187</v>
      </c>
      <c r="C707" s="1" t="n">
        <v>45852</v>
      </c>
      <c r="D707" t="inlineStr">
        <is>
          <t>DALARNAS LÄN</t>
        </is>
      </c>
      <c r="E707" t="inlineStr">
        <is>
          <t>LUDVIKA</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43674-2023</t>
        </is>
      </c>
      <c r="B708" s="1" t="n">
        <v>45187</v>
      </c>
      <c r="C708" s="1" t="n">
        <v>45852</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43797-2023</t>
        </is>
      </c>
      <c r="B709" s="1" t="n">
        <v>45187</v>
      </c>
      <c r="C709" s="1" t="n">
        <v>45852</v>
      </c>
      <c r="D709" t="inlineStr">
        <is>
          <t>DALARNAS LÄN</t>
        </is>
      </c>
      <c r="E709" t="inlineStr">
        <is>
          <t>LUDVIKA</t>
        </is>
      </c>
      <c r="F709" t="inlineStr">
        <is>
          <t>Bergvik skog väst AB</t>
        </is>
      </c>
      <c r="G709" t="n">
        <v>5.7</v>
      </c>
      <c r="H709" t="n">
        <v>0</v>
      </c>
      <c r="I709" t="n">
        <v>0</v>
      </c>
      <c r="J709" t="n">
        <v>0</v>
      </c>
      <c r="K709" t="n">
        <v>0</v>
      </c>
      <c r="L709" t="n">
        <v>0</v>
      </c>
      <c r="M709" t="n">
        <v>0</v>
      </c>
      <c r="N709" t="n">
        <v>0</v>
      </c>
      <c r="O709" t="n">
        <v>0</v>
      </c>
      <c r="P709" t="n">
        <v>0</v>
      </c>
      <c r="Q709" t="n">
        <v>0</v>
      </c>
      <c r="R709" s="2" t="inlineStr"/>
    </row>
    <row r="710" ht="15" customHeight="1">
      <c r="A710" t="inlineStr">
        <is>
          <t>A 43839-2023</t>
        </is>
      </c>
      <c r="B710" s="1" t="n">
        <v>45187</v>
      </c>
      <c r="C710" s="1" t="n">
        <v>45852</v>
      </c>
      <c r="D710" t="inlineStr">
        <is>
          <t>DALARNAS LÄN</t>
        </is>
      </c>
      <c r="E710" t="inlineStr">
        <is>
          <t>LUDVIKA</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43867-2023</t>
        </is>
      </c>
      <c r="B711" s="1" t="n">
        <v>45187</v>
      </c>
      <c r="C711" s="1" t="n">
        <v>45852</v>
      </c>
      <c r="D711" t="inlineStr">
        <is>
          <t>DALARNAS LÄN</t>
        </is>
      </c>
      <c r="E711" t="inlineStr">
        <is>
          <t>LUDVIKA</t>
        </is>
      </c>
      <c r="F711" t="inlineStr">
        <is>
          <t>Bergvik skog väst AB</t>
        </is>
      </c>
      <c r="G711" t="n">
        <v>3.4</v>
      </c>
      <c r="H711" t="n">
        <v>0</v>
      </c>
      <c r="I711" t="n">
        <v>0</v>
      </c>
      <c r="J711" t="n">
        <v>0</v>
      </c>
      <c r="K711" t="n">
        <v>0</v>
      </c>
      <c r="L711" t="n">
        <v>0</v>
      </c>
      <c r="M711" t="n">
        <v>0</v>
      </c>
      <c r="N711" t="n">
        <v>0</v>
      </c>
      <c r="O711" t="n">
        <v>0</v>
      </c>
      <c r="P711" t="n">
        <v>0</v>
      </c>
      <c r="Q711" t="n">
        <v>0</v>
      </c>
      <c r="R711" s="2" t="inlineStr"/>
    </row>
    <row r="712" ht="15" customHeight="1">
      <c r="A712" t="inlineStr">
        <is>
          <t>A 44088-2023</t>
        </is>
      </c>
      <c r="B712" s="1" t="n">
        <v>45188</v>
      </c>
      <c r="C712" s="1" t="n">
        <v>45852</v>
      </c>
      <c r="D712" t="inlineStr">
        <is>
          <t>DALARNAS LÄN</t>
        </is>
      </c>
      <c r="E712" t="inlineStr">
        <is>
          <t>LUDVIKA</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44099-2023</t>
        </is>
      </c>
      <c r="B713" s="1" t="n">
        <v>45188</v>
      </c>
      <c r="C713" s="1" t="n">
        <v>45852</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44103-2023</t>
        </is>
      </c>
      <c r="B714" s="1" t="n">
        <v>45188</v>
      </c>
      <c r="C714" s="1" t="n">
        <v>45852</v>
      </c>
      <c r="D714" t="inlineStr">
        <is>
          <t>DALARNAS LÄN</t>
        </is>
      </c>
      <c r="E714" t="inlineStr">
        <is>
          <t>LUDVIKA</t>
        </is>
      </c>
      <c r="F714" t="inlineStr">
        <is>
          <t>Bergvik skog väst AB</t>
        </is>
      </c>
      <c r="G714" t="n">
        <v>2.3</v>
      </c>
      <c r="H714" t="n">
        <v>0</v>
      </c>
      <c r="I714" t="n">
        <v>0</v>
      </c>
      <c r="J714" t="n">
        <v>0</v>
      </c>
      <c r="K714" t="n">
        <v>0</v>
      </c>
      <c r="L714" t="n">
        <v>0</v>
      </c>
      <c r="M714" t="n">
        <v>0</v>
      </c>
      <c r="N714" t="n">
        <v>0</v>
      </c>
      <c r="O714" t="n">
        <v>0</v>
      </c>
      <c r="P714" t="n">
        <v>0</v>
      </c>
      <c r="Q714" t="n">
        <v>0</v>
      </c>
      <c r="R714" s="2" t="inlineStr"/>
    </row>
    <row r="715" ht="15" customHeight="1">
      <c r="A715" t="inlineStr">
        <is>
          <t>A 44312-2023</t>
        </is>
      </c>
      <c r="B715" s="1" t="n">
        <v>45188</v>
      </c>
      <c r="C715" s="1" t="n">
        <v>45852</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44093-2023</t>
        </is>
      </c>
      <c r="B716" s="1" t="n">
        <v>45188</v>
      </c>
      <c r="C716" s="1" t="n">
        <v>45852</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44110-2023</t>
        </is>
      </c>
      <c r="B717" s="1" t="n">
        <v>45188</v>
      </c>
      <c r="C717" s="1" t="n">
        <v>45852</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44520-2023</t>
        </is>
      </c>
      <c r="B718" s="1" t="n">
        <v>45189</v>
      </c>
      <c r="C718" s="1" t="n">
        <v>45852</v>
      </c>
      <c r="D718" t="inlineStr">
        <is>
          <t>DALARNAS LÄN</t>
        </is>
      </c>
      <c r="E718" t="inlineStr">
        <is>
          <t>LUDVIKA</t>
        </is>
      </c>
      <c r="G718" t="n">
        <v>0.7</v>
      </c>
      <c r="H718" t="n">
        <v>0</v>
      </c>
      <c r="I718" t="n">
        <v>0</v>
      </c>
      <c r="J718" t="n">
        <v>0</v>
      </c>
      <c r="K718" t="n">
        <v>0</v>
      </c>
      <c r="L718" t="n">
        <v>0</v>
      </c>
      <c r="M718" t="n">
        <v>0</v>
      </c>
      <c r="N718" t="n">
        <v>0</v>
      </c>
      <c r="O718" t="n">
        <v>0</v>
      </c>
      <c r="P718" t="n">
        <v>0</v>
      </c>
      <c r="Q718" t="n">
        <v>0</v>
      </c>
      <c r="R718" s="2" t="inlineStr"/>
    </row>
    <row r="719" ht="15" customHeight="1">
      <c r="A719" t="inlineStr">
        <is>
          <t>A 45094-2023</t>
        </is>
      </c>
      <c r="B719" s="1" t="n">
        <v>45191</v>
      </c>
      <c r="C719" s="1" t="n">
        <v>45852</v>
      </c>
      <c r="D719" t="inlineStr">
        <is>
          <t>DALARNAS LÄN</t>
        </is>
      </c>
      <c r="E719" t="inlineStr">
        <is>
          <t>LUDVIKA</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45045-2023</t>
        </is>
      </c>
      <c r="B720" s="1" t="n">
        <v>45191</v>
      </c>
      <c r="C720" s="1" t="n">
        <v>45852</v>
      </c>
      <c r="D720" t="inlineStr">
        <is>
          <t>DALARNAS LÄN</t>
        </is>
      </c>
      <c r="E720" t="inlineStr">
        <is>
          <t>LUDVIKA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45046-2023</t>
        </is>
      </c>
      <c r="B721" s="1" t="n">
        <v>45191</v>
      </c>
      <c r="C721" s="1" t="n">
        <v>45852</v>
      </c>
      <c r="D721" t="inlineStr">
        <is>
          <t>DALARNAS LÄN</t>
        </is>
      </c>
      <c r="E721" t="inlineStr">
        <is>
          <t>LUDVIKA</t>
        </is>
      </c>
      <c r="F721" t="inlineStr">
        <is>
          <t>Sveaskog</t>
        </is>
      </c>
      <c r="G721" t="n">
        <v>3.3</v>
      </c>
      <c r="H721" t="n">
        <v>0</v>
      </c>
      <c r="I721" t="n">
        <v>0</v>
      </c>
      <c r="J721" t="n">
        <v>0</v>
      </c>
      <c r="K721" t="n">
        <v>0</v>
      </c>
      <c r="L721" t="n">
        <v>0</v>
      </c>
      <c r="M721" t="n">
        <v>0</v>
      </c>
      <c r="N721" t="n">
        <v>0</v>
      </c>
      <c r="O721" t="n">
        <v>0</v>
      </c>
      <c r="P721" t="n">
        <v>0</v>
      </c>
      <c r="Q721" t="n">
        <v>0</v>
      </c>
      <c r="R721" s="2" t="inlineStr"/>
    </row>
    <row r="722" ht="15" customHeight="1">
      <c r="A722" t="inlineStr">
        <is>
          <t>A 45083-2023</t>
        </is>
      </c>
      <c r="B722" s="1" t="n">
        <v>45191</v>
      </c>
      <c r="C722" s="1" t="n">
        <v>45852</v>
      </c>
      <c r="D722" t="inlineStr">
        <is>
          <t>DALARNAS LÄN</t>
        </is>
      </c>
      <c r="E722" t="inlineStr">
        <is>
          <t>LUDVIKA</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45128-2023</t>
        </is>
      </c>
      <c r="B723" s="1" t="n">
        <v>45191</v>
      </c>
      <c r="C723" s="1" t="n">
        <v>45852</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45140-2023</t>
        </is>
      </c>
      <c r="B724" s="1" t="n">
        <v>45191</v>
      </c>
      <c r="C724" s="1" t="n">
        <v>45852</v>
      </c>
      <c r="D724" t="inlineStr">
        <is>
          <t>DALARNAS LÄN</t>
        </is>
      </c>
      <c r="E724" t="inlineStr">
        <is>
          <t>LUDVIKA</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45127-2023</t>
        </is>
      </c>
      <c r="B725" s="1" t="n">
        <v>45191</v>
      </c>
      <c r="C725" s="1" t="n">
        <v>45852</v>
      </c>
      <c r="D725" t="inlineStr">
        <is>
          <t>DALARNAS LÄN</t>
        </is>
      </c>
      <c r="E725" t="inlineStr">
        <is>
          <t>LUDVIKA</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45124-2023</t>
        </is>
      </c>
      <c r="B726" s="1" t="n">
        <v>45191</v>
      </c>
      <c r="C726" s="1" t="n">
        <v>45852</v>
      </c>
      <c r="D726" t="inlineStr">
        <is>
          <t>DALARNAS LÄN</t>
        </is>
      </c>
      <c r="E726" t="inlineStr">
        <is>
          <t>LUDVIKA</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45541-2023</t>
        </is>
      </c>
      <c r="B727" s="1" t="n">
        <v>45194</v>
      </c>
      <c r="C727" s="1" t="n">
        <v>45852</v>
      </c>
      <c r="D727" t="inlineStr">
        <is>
          <t>DALARNAS LÄN</t>
        </is>
      </c>
      <c r="E727" t="inlineStr">
        <is>
          <t>LUDVIKA</t>
        </is>
      </c>
      <c r="G727" t="n">
        <v>2.8</v>
      </c>
      <c r="H727" t="n">
        <v>0</v>
      </c>
      <c r="I727" t="n">
        <v>0</v>
      </c>
      <c r="J727" t="n">
        <v>0</v>
      </c>
      <c r="K727" t="n">
        <v>0</v>
      </c>
      <c r="L727" t="n">
        <v>0</v>
      </c>
      <c r="M727" t="n">
        <v>0</v>
      </c>
      <c r="N727" t="n">
        <v>0</v>
      </c>
      <c r="O727" t="n">
        <v>0</v>
      </c>
      <c r="P727" t="n">
        <v>0</v>
      </c>
      <c r="Q727" t="n">
        <v>0</v>
      </c>
      <c r="R727" s="2" t="inlineStr"/>
    </row>
    <row r="728" ht="15" customHeight="1">
      <c r="A728" t="inlineStr">
        <is>
          <t>A 45853-2023</t>
        </is>
      </c>
      <c r="B728" s="1" t="n">
        <v>45195</v>
      </c>
      <c r="C728" s="1" t="n">
        <v>45852</v>
      </c>
      <c r="D728" t="inlineStr">
        <is>
          <t>DALARNAS LÄN</t>
        </is>
      </c>
      <c r="E728" t="inlineStr">
        <is>
          <t>LUDVIKA</t>
        </is>
      </c>
      <c r="G728" t="n">
        <v>3.8</v>
      </c>
      <c r="H728" t="n">
        <v>0</v>
      </c>
      <c r="I728" t="n">
        <v>0</v>
      </c>
      <c r="J728" t="n">
        <v>0</v>
      </c>
      <c r="K728" t="n">
        <v>0</v>
      </c>
      <c r="L728" t="n">
        <v>0</v>
      </c>
      <c r="M728" t="n">
        <v>0</v>
      </c>
      <c r="N728" t="n">
        <v>0</v>
      </c>
      <c r="O728" t="n">
        <v>0</v>
      </c>
      <c r="P728" t="n">
        <v>0</v>
      </c>
      <c r="Q728" t="n">
        <v>0</v>
      </c>
      <c r="R728" s="2" t="inlineStr"/>
    </row>
    <row r="729" ht="15" customHeight="1">
      <c r="A729" t="inlineStr">
        <is>
          <t>A 46074-2023</t>
        </is>
      </c>
      <c r="B729" s="1" t="n">
        <v>45196</v>
      </c>
      <c r="C729" s="1" t="n">
        <v>45852</v>
      </c>
      <c r="D729" t="inlineStr">
        <is>
          <t>DALARNAS LÄN</t>
        </is>
      </c>
      <c r="E729" t="inlineStr">
        <is>
          <t>LUDVIKA</t>
        </is>
      </c>
      <c r="F729" t="inlineStr">
        <is>
          <t>Bergvik skog väst AB</t>
        </is>
      </c>
      <c r="G729" t="n">
        <v>0.6</v>
      </c>
      <c r="H729" t="n">
        <v>0</v>
      </c>
      <c r="I729" t="n">
        <v>0</v>
      </c>
      <c r="J729" t="n">
        <v>0</v>
      </c>
      <c r="K729" t="n">
        <v>0</v>
      </c>
      <c r="L729" t="n">
        <v>0</v>
      </c>
      <c r="M729" t="n">
        <v>0</v>
      </c>
      <c r="N729" t="n">
        <v>0</v>
      </c>
      <c r="O729" t="n">
        <v>0</v>
      </c>
      <c r="P729" t="n">
        <v>0</v>
      </c>
      <c r="Q729" t="n">
        <v>0</v>
      </c>
      <c r="R729" s="2" t="inlineStr"/>
    </row>
    <row r="730" ht="15" customHeight="1">
      <c r="A730" t="inlineStr">
        <is>
          <t>A 46140-2023</t>
        </is>
      </c>
      <c r="B730" s="1" t="n">
        <v>45196</v>
      </c>
      <c r="C730" s="1" t="n">
        <v>45852</v>
      </c>
      <c r="D730" t="inlineStr">
        <is>
          <t>DALARNAS LÄN</t>
        </is>
      </c>
      <c r="E730" t="inlineStr">
        <is>
          <t>LUDVIKA</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46571-2023</t>
        </is>
      </c>
      <c r="B731" s="1" t="n">
        <v>45198</v>
      </c>
      <c r="C731" s="1" t="n">
        <v>45852</v>
      </c>
      <c r="D731" t="inlineStr">
        <is>
          <t>DALARNAS LÄN</t>
        </is>
      </c>
      <c r="E731" t="inlineStr">
        <is>
          <t>LUDVIKA</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46570-2023</t>
        </is>
      </c>
      <c r="B732" s="1" t="n">
        <v>45198</v>
      </c>
      <c r="C732" s="1" t="n">
        <v>45852</v>
      </c>
      <c r="D732" t="inlineStr">
        <is>
          <t>DALARNAS LÄN</t>
        </is>
      </c>
      <c r="E732" t="inlineStr">
        <is>
          <t>LUDVIKA</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46622-2023</t>
        </is>
      </c>
      <c r="B733" s="1" t="n">
        <v>45198</v>
      </c>
      <c r="C733" s="1" t="n">
        <v>45852</v>
      </c>
      <c r="D733" t="inlineStr">
        <is>
          <t>DALARNAS LÄN</t>
        </is>
      </c>
      <c r="E733" t="inlineStr">
        <is>
          <t>LUDVIKA</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46654-2023</t>
        </is>
      </c>
      <c r="B734" s="1" t="n">
        <v>45198</v>
      </c>
      <c r="C734" s="1" t="n">
        <v>45852</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46647-2023</t>
        </is>
      </c>
      <c r="B735" s="1" t="n">
        <v>45198</v>
      </c>
      <c r="C735" s="1" t="n">
        <v>45852</v>
      </c>
      <c r="D735" t="inlineStr">
        <is>
          <t>DALARNAS LÄN</t>
        </is>
      </c>
      <c r="E735" t="inlineStr">
        <is>
          <t>LUDVIKA</t>
        </is>
      </c>
      <c r="F735" t="inlineStr">
        <is>
          <t>Bergvik skog väst AB</t>
        </is>
      </c>
      <c r="G735" t="n">
        <v>0.8</v>
      </c>
      <c r="H735" t="n">
        <v>0</v>
      </c>
      <c r="I735" t="n">
        <v>0</v>
      </c>
      <c r="J735" t="n">
        <v>0</v>
      </c>
      <c r="K735" t="n">
        <v>0</v>
      </c>
      <c r="L735" t="n">
        <v>0</v>
      </c>
      <c r="M735" t="n">
        <v>0</v>
      </c>
      <c r="N735" t="n">
        <v>0</v>
      </c>
      <c r="O735" t="n">
        <v>0</v>
      </c>
      <c r="P735" t="n">
        <v>0</v>
      </c>
      <c r="Q735" t="n">
        <v>0</v>
      </c>
      <c r="R735" s="2" t="inlineStr"/>
    </row>
    <row r="736" ht="15" customHeight="1">
      <c r="A736" t="inlineStr">
        <is>
          <t>A 46656-2023</t>
        </is>
      </c>
      <c r="B736" s="1" t="n">
        <v>45198</v>
      </c>
      <c r="C736" s="1" t="n">
        <v>45852</v>
      </c>
      <c r="D736" t="inlineStr">
        <is>
          <t>DALARNAS LÄN</t>
        </is>
      </c>
      <c r="E736" t="inlineStr">
        <is>
          <t>LUDVIKA</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46660-2023</t>
        </is>
      </c>
      <c r="B737" s="1" t="n">
        <v>45198</v>
      </c>
      <c r="C737" s="1" t="n">
        <v>45852</v>
      </c>
      <c r="D737" t="inlineStr">
        <is>
          <t>DALARNAS LÄN</t>
        </is>
      </c>
      <c r="E737" t="inlineStr">
        <is>
          <t>LUDVIKA</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46620-2023</t>
        </is>
      </c>
      <c r="B738" s="1" t="n">
        <v>45198</v>
      </c>
      <c r="C738" s="1" t="n">
        <v>45852</v>
      </c>
      <c r="D738" t="inlineStr">
        <is>
          <t>DALARNAS LÄN</t>
        </is>
      </c>
      <c r="E738" t="inlineStr">
        <is>
          <t>LUDVIKA</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46657-2023</t>
        </is>
      </c>
      <c r="B739" s="1" t="n">
        <v>45198</v>
      </c>
      <c r="C739" s="1" t="n">
        <v>45852</v>
      </c>
      <c r="D739" t="inlineStr">
        <is>
          <t>DALARNAS LÄN</t>
        </is>
      </c>
      <c r="E739" t="inlineStr">
        <is>
          <t>LUDVIKA</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47269-2023</t>
        </is>
      </c>
      <c r="B740" s="1" t="n">
        <v>45202</v>
      </c>
      <c r="C740" s="1" t="n">
        <v>45852</v>
      </c>
      <c r="D740" t="inlineStr">
        <is>
          <t>DALARNAS LÄN</t>
        </is>
      </c>
      <c r="E740" t="inlineStr">
        <is>
          <t>LUDVIKA</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47349-2023</t>
        </is>
      </c>
      <c r="B741" s="1" t="n">
        <v>45202</v>
      </c>
      <c r="C741" s="1" t="n">
        <v>45852</v>
      </c>
      <c r="D741" t="inlineStr">
        <is>
          <t>DALARNAS LÄN</t>
        </is>
      </c>
      <c r="E741" t="inlineStr">
        <is>
          <t>LUDVIKA</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47281-2023</t>
        </is>
      </c>
      <c r="B742" s="1" t="n">
        <v>45202</v>
      </c>
      <c r="C742" s="1" t="n">
        <v>45852</v>
      </c>
      <c r="D742" t="inlineStr">
        <is>
          <t>DALARNAS LÄN</t>
        </is>
      </c>
      <c r="E742" t="inlineStr">
        <is>
          <t>LUDVIKA</t>
        </is>
      </c>
      <c r="G742" t="n">
        <v>2.6</v>
      </c>
      <c r="H742" t="n">
        <v>0</v>
      </c>
      <c r="I742" t="n">
        <v>0</v>
      </c>
      <c r="J742" t="n">
        <v>0</v>
      </c>
      <c r="K742" t="n">
        <v>0</v>
      </c>
      <c r="L742" t="n">
        <v>0</v>
      </c>
      <c r="M742" t="n">
        <v>0</v>
      </c>
      <c r="N742" t="n">
        <v>0</v>
      </c>
      <c r="O742" t="n">
        <v>0</v>
      </c>
      <c r="P742" t="n">
        <v>0</v>
      </c>
      <c r="Q742" t="n">
        <v>0</v>
      </c>
      <c r="R742" s="2" t="inlineStr"/>
    </row>
    <row r="743" ht="15" customHeight="1">
      <c r="A743" t="inlineStr">
        <is>
          <t>A 47366-2023</t>
        </is>
      </c>
      <c r="B743" s="1" t="n">
        <v>45202</v>
      </c>
      <c r="C743" s="1" t="n">
        <v>45852</v>
      </c>
      <c r="D743" t="inlineStr">
        <is>
          <t>DALARNAS LÄN</t>
        </is>
      </c>
      <c r="E743" t="inlineStr">
        <is>
          <t>LUDVIKA</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45852</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45852</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45852</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45852</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45852</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45852</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45852</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45852</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45852</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45852</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45852</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45852</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45852</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45852</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45852</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45852</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45852</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45852</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45852</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45852</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45852</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45852</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45852</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45852</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45852</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45852</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45852</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45852</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45852</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45852</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45852</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45852</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45852</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45852</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45852</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45852</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45852</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45852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45852</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45852</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45852</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45852</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45852</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45852</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45852</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45852</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45852</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45852</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45852</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45852</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45852</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45852</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45852</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45852</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45852</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45852</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45852</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45852</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45852</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45852</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45852</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60180-2023</t>
        </is>
      </c>
      <c r="B805" s="1" t="n">
        <v>45257</v>
      </c>
      <c r="C805" s="1" t="n">
        <v>45852</v>
      </c>
      <c r="D805" t="inlineStr">
        <is>
          <t>DALARNAS LÄN</t>
        </is>
      </c>
      <c r="E805" t="inlineStr">
        <is>
          <t>LUDVIKA</t>
        </is>
      </c>
      <c r="G805" t="n">
        <v>2.4</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45852</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59918-2023</t>
        </is>
      </c>
      <c r="B807" s="1" t="n">
        <v>45257</v>
      </c>
      <c r="C807" s="1" t="n">
        <v>45852</v>
      </c>
      <c r="D807" t="inlineStr">
        <is>
          <t>DALARNAS LÄN</t>
        </is>
      </c>
      <c r="E807" t="inlineStr">
        <is>
          <t>LUDVIKA</t>
        </is>
      </c>
      <c r="F807" t="inlineStr">
        <is>
          <t>Bergvik skog väst AB</t>
        </is>
      </c>
      <c r="G807" t="n">
        <v>5.9</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45852</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45852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45852</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45852</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45852</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64450-2023</t>
        </is>
      </c>
      <c r="B813" s="1" t="n">
        <v>45280</v>
      </c>
      <c r="C813" s="1" t="n">
        <v>45852</v>
      </c>
      <c r="D813" t="inlineStr">
        <is>
          <t>DALARNAS LÄN</t>
        </is>
      </c>
      <c r="E813" t="inlineStr">
        <is>
          <t>LUDVIKA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64447-2023</t>
        </is>
      </c>
      <c r="B814" s="1" t="n">
        <v>45280</v>
      </c>
      <c r="C814" s="1" t="n">
        <v>45852</v>
      </c>
      <c r="D814" t="inlineStr">
        <is>
          <t>DALARNAS LÄN</t>
        </is>
      </c>
      <c r="E814" t="inlineStr">
        <is>
          <t>LUDVIKA</t>
        </is>
      </c>
      <c r="G814" t="n">
        <v>2</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45852</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45852</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45852</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45852</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923-2024</t>
        </is>
      </c>
      <c r="B819" s="1" t="n">
        <v>45301</v>
      </c>
      <c r="C819" s="1" t="n">
        <v>45852</v>
      </c>
      <c r="D819" t="inlineStr">
        <is>
          <t>DALARNAS LÄN</t>
        </is>
      </c>
      <c r="E819" t="inlineStr">
        <is>
          <t>LUDVIKA</t>
        </is>
      </c>
      <c r="G819" t="n">
        <v>0.3</v>
      </c>
      <c r="H819" t="n">
        <v>0</v>
      </c>
      <c r="I819" t="n">
        <v>0</v>
      </c>
      <c r="J819" t="n">
        <v>0</v>
      </c>
      <c r="K819" t="n">
        <v>0</v>
      </c>
      <c r="L819" t="n">
        <v>0</v>
      </c>
      <c r="M819" t="n">
        <v>0</v>
      </c>
      <c r="N819" t="n">
        <v>0</v>
      </c>
      <c r="O819" t="n">
        <v>0</v>
      </c>
      <c r="P819" t="n">
        <v>0</v>
      </c>
      <c r="Q819" t="n">
        <v>0</v>
      </c>
      <c r="R819" s="2" t="inlineStr"/>
    </row>
    <row r="820" ht="15" customHeight="1">
      <c r="A820" t="inlineStr">
        <is>
          <t>A 918-2024</t>
        </is>
      </c>
      <c r="B820" s="1" t="n">
        <v>45301</v>
      </c>
      <c r="C820" s="1" t="n">
        <v>45852</v>
      </c>
      <c r="D820" t="inlineStr">
        <is>
          <t>DALARNAS LÄN</t>
        </is>
      </c>
      <c r="E820" t="inlineStr">
        <is>
          <t>LUDVIKA</t>
        </is>
      </c>
      <c r="G820" t="n">
        <v>6</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45852</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45852</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45852</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45852</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2481-2024</t>
        </is>
      </c>
      <c r="B825" s="1" t="n">
        <v>45313</v>
      </c>
      <c r="C825" s="1" t="n">
        <v>45852</v>
      </c>
      <c r="D825" t="inlineStr">
        <is>
          <t>DALARNAS LÄN</t>
        </is>
      </c>
      <c r="E825" t="inlineStr">
        <is>
          <t>LUDVIKA</t>
        </is>
      </c>
      <c r="G825" t="n">
        <v>4.8</v>
      </c>
      <c r="H825" t="n">
        <v>0</v>
      </c>
      <c r="I825" t="n">
        <v>0</v>
      </c>
      <c r="J825" t="n">
        <v>0</v>
      </c>
      <c r="K825" t="n">
        <v>0</v>
      </c>
      <c r="L825" t="n">
        <v>0</v>
      </c>
      <c r="M825" t="n">
        <v>0</v>
      </c>
      <c r="N825" t="n">
        <v>0</v>
      </c>
      <c r="O825" t="n">
        <v>0</v>
      </c>
      <c r="P825" t="n">
        <v>0</v>
      </c>
      <c r="Q825" t="n">
        <v>0</v>
      </c>
      <c r="R825" s="2" t="inlineStr"/>
      <c r="U825">
        <f>HYPERLINK("https://klasma.github.io/Logging_2085/knärot/A 2481-2024 karta knärot.png", "A 2481-2024")</f>
        <v/>
      </c>
      <c r="V825">
        <f>HYPERLINK("https://klasma.github.io/Logging_2085/klagomål/A 2481-2024 FSC-klagomål.docx", "A 2481-2024")</f>
        <v/>
      </c>
      <c r="W825">
        <f>HYPERLINK("https://klasma.github.io/Logging_2085/klagomålsmail/A 2481-2024 FSC-klagomål mail.docx", "A 2481-2024")</f>
        <v/>
      </c>
      <c r="X825">
        <f>HYPERLINK("https://klasma.github.io/Logging_2085/tillsyn/A 2481-2024 tillsynsbegäran.docx", "A 2481-2024")</f>
        <v/>
      </c>
      <c r="Y825">
        <f>HYPERLINK("https://klasma.github.io/Logging_2085/tillsynsmail/A 2481-2024 tillsynsbegäran mail.docx", "A 2481-2024")</f>
        <v/>
      </c>
    </row>
    <row r="826" ht="15" customHeight="1">
      <c r="A826" t="inlineStr">
        <is>
          <t>A 2485-2024</t>
        </is>
      </c>
      <c r="B826" s="1" t="n">
        <v>45313</v>
      </c>
      <c r="C826" s="1" t="n">
        <v>45852</v>
      </c>
      <c r="D826" t="inlineStr">
        <is>
          <t>DALARNAS LÄN</t>
        </is>
      </c>
      <c r="E826" t="inlineStr">
        <is>
          <t>LUDVIKA</t>
        </is>
      </c>
      <c r="G826" t="n">
        <v>2</v>
      </c>
      <c r="H826" t="n">
        <v>0</v>
      </c>
      <c r="I826" t="n">
        <v>0</v>
      </c>
      <c r="J826" t="n">
        <v>0</v>
      </c>
      <c r="K826" t="n">
        <v>0</v>
      </c>
      <c r="L826" t="n">
        <v>0</v>
      </c>
      <c r="M826" t="n">
        <v>0</v>
      </c>
      <c r="N826" t="n">
        <v>0</v>
      </c>
      <c r="O826" t="n">
        <v>0</v>
      </c>
      <c r="P826" t="n">
        <v>0</v>
      </c>
      <c r="Q826" t="n">
        <v>0</v>
      </c>
      <c r="R826" s="2" t="inlineStr"/>
    </row>
    <row r="827" ht="15" customHeight="1">
      <c r="A827" t="inlineStr">
        <is>
          <t>A 2484-2024</t>
        </is>
      </c>
      <c r="B827" s="1" t="n">
        <v>45313</v>
      </c>
      <c r="C827" s="1" t="n">
        <v>45852</v>
      </c>
      <c r="D827" t="inlineStr">
        <is>
          <t>DALARNAS LÄN</t>
        </is>
      </c>
      <c r="E827" t="inlineStr">
        <is>
          <t>LUDVIKA</t>
        </is>
      </c>
      <c r="G827" t="n">
        <v>1</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45852</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45852</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45852</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45852</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45852</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5576-2024</t>
        </is>
      </c>
      <c r="B833" s="1" t="n">
        <v>45334</v>
      </c>
      <c r="C833" s="1" t="n">
        <v>45852</v>
      </c>
      <c r="D833" t="inlineStr">
        <is>
          <t>DALARNAS LÄN</t>
        </is>
      </c>
      <c r="E833" t="inlineStr">
        <is>
          <t>LUDVIKA</t>
        </is>
      </c>
      <c r="G833" t="n">
        <v>7</v>
      </c>
      <c r="H833" t="n">
        <v>0</v>
      </c>
      <c r="I833" t="n">
        <v>0</v>
      </c>
      <c r="J833" t="n">
        <v>0</v>
      </c>
      <c r="K833" t="n">
        <v>0</v>
      </c>
      <c r="L833" t="n">
        <v>0</v>
      </c>
      <c r="M833" t="n">
        <v>0</v>
      </c>
      <c r="N833" t="n">
        <v>0</v>
      </c>
      <c r="O833" t="n">
        <v>0</v>
      </c>
      <c r="P833" t="n">
        <v>0</v>
      </c>
      <c r="Q833" t="n">
        <v>0</v>
      </c>
      <c r="R833" s="2" t="inlineStr"/>
    </row>
    <row r="834" ht="15" customHeight="1">
      <c r="A834" t="inlineStr">
        <is>
          <t>A 5841-2024</t>
        </is>
      </c>
      <c r="B834" s="1" t="n">
        <v>45335</v>
      </c>
      <c r="C834" s="1" t="n">
        <v>45852</v>
      </c>
      <c r="D834" t="inlineStr">
        <is>
          <t>DALARNAS LÄN</t>
        </is>
      </c>
      <c r="E834" t="inlineStr">
        <is>
          <t>LUDVIKA</t>
        </is>
      </c>
      <c r="G834" t="n">
        <v>1.6</v>
      </c>
      <c r="H834" t="n">
        <v>0</v>
      </c>
      <c r="I834" t="n">
        <v>0</v>
      </c>
      <c r="J834" t="n">
        <v>0</v>
      </c>
      <c r="K834" t="n">
        <v>0</v>
      </c>
      <c r="L834" t="n">
        <v>0</v>
      </c>
      <c r="M834" t="n">
        <v>0</v>
      </c>
      <c r="N834" t="n">
        <v>0</v>
      </c>
      <c r="O834" t="n">
        <v>0</v>
      </c>
      <c r="P834" t="n">
        <v>0</v>
      </c>
      <c r="Q834" t="n">
        <v>0</v>
      </c>
      <c r="R834" s="2" t="inlineStr"/>
    </row>
    <row r="835" ht="15" customHeight="1">
      <c r="A835" t="inlineStr">
        <is>
          <t>A 5947-2024</t>
        </is>
      </c>
      <c r="B835" s="1" t="n">
        <v>45335</v>
      </c>
      <c r="C835" s="1" t="n">
        <v>45852</v>
      </c>
      <c r="D835" t="inlineStr">
        <is>
          <t>DALARNAS LÄN</t>
        </is>
      </c>
      <c r="E835" t="inlineStr">
        <is>
          <t>LUDVIKA</t>
        </is>
      </c>
      <c r="G835" t="n">
        <v>5</v>
      </c>
      <c r="H835" t="n">
        <v>0</v>
      </c>
      <c r="I835" t="n">
        <v>0</v>
      </c>
      <c r="J835" t="n">
        <v>0</v>
      </c>
      <c r="K835" t="n">
        <v>0</v>
      </c>
      <c r="L835" t="n">
        <v>0</v>
      </c>
      <c r="M835" t="n">
        <v>0</v>
      </c>
      <c r="N835" t="n">
        <v>0</v>
      </c>
      <c r="O835" t="n">
        <v>0</v>
      </c>
      <c r="P835" t="n">
        <v>0</v>
      </c>
      <c r="Q835" t="n">
        <v>0</v>
      </c>
      <c r="R835" s="2" t="inlineStr"/>
    </row>
    <row r="836" ht="15" customHeight="1">
      <c r="A836" t="inlineStr">
        <is>
          <t>A 6151-2024</t>
        </is>
      </c>
      <c r="B836" s="1" t="n">
        <v>45337</v>
      </c>
      <c r="C836" s="1" t="n">
        <v>45852</v>
      </c>
      <c r="D836" t="inlineStr">
        <is>
          <t>DALARNAS LÄN</t>
        </is>
      </c>
      <c r="E836" t="inlineStr">
        <is>
          <t>LUDVIKA</t>
        </is>
      </c>
      <c r="G836" t="n">
        <v>1.7</v>
      </c>
      <c r="H836" t="n">
        <v>0</v>
      </c>
      <c r="I836" t="n">
        <v>0</v>
      </c>
      <c r="J836" t="n">
        <v>0</v>
      </c>
      <c r="K836" t="n">
        <v>0</v>
      </c>
      <c r="L836" t="n">
        <v>0</v>
      </c>
      <c r="M836" t="n">
        <v>0</v>
      </c>
      <c r="N836" t="n">
        <v>0</v>
      </c>
      <c r="O836" t="n">
        <v>0</v>
      </c>
      <c r="P836" t="n">
        <v>0</v>
      </c>
      <c r="Q836" t="n">
        <v>0</v>
      </c>
      <c r="R836" s="2" t="inlineStr"/>
    </row>
    <row r="837" ht="15" customHeight="1">
      <c r="A837" t="inlineStr">
        <is>
          <t>A 7317-2024</t>
        </is>
      </c>
      <c r="B837" s="1" t="n">
        <v>45345</v>
      </c>
      <c r="C837" s="1" t="n">
        <v>45852</v>
      </c>
      <c r="D837" t="inlineStr">
        <is>
          <t>DALARNAS LÄN</t>
        </is>
      </c>
      <c r="E837" t="inlineStr">
        <is>
          <t>LUDVIKA</t>
        </is>
      </c>
      <c r="G837" t="n">
        <v>3.9</v>
      </c>
      <c r="H837" t="n">
        <v>0</v>
      </c>
      <c r="I837" t="n">
        <v>0</v>
      </c>
      <c r="J837" t="n">
        <v>0</v>
      </c>
      <c r="K837" t="n">
        <v>0</v>
      </c>
      <c r="L837" t="n">
        <v>0</v>
      </c>
      <c r="M837" t="n">
        <v>0</v>
      </c>
      <c r="N837" t="n">
        <v>0</v>
      </c>
      <c r="O837" t="n">
        <v>0</v>
      </c>
      <c r="P837" t="n">
        <v>0</v>
      </c>
      <c r="Q837" t="n">
        <v>0</v>
      </c>
      <c r="R837" s="2" t="inlineStr"/>
    </row>
    <row r="838" ht="15" customHeight="1">
      <c r="A838" t="inlineStr">
        <is>
          <t>A 8162-2024</t>
        </is>
      </c>
      <c r="B838" s="1" t="n">
        <v>45349</v>
      </c>
      <c r="C838" s="1" t="n">
        <v>45852</v>
      </c>
      <c r="D838" t="inlineStr">
        <is>
          <t>DALARNAS LÄN</t>
        </is>
      </c>
      <c r="E838" t="inlineStr">
        <is>
          <t>LUDVIKA</t>
        </is>
      </c>
      <c r="F838" t="inlineStr">
        <is>
          <t>Allmännings- och besparingsskogar</t>
        </is>
      </c>
      <c r="G838" t="n">
        <v>6.9</v>
      </c>
      <c r="H838" t="n">
        <v>0</v>
      </c>
      <c r="I838" t="n">
        <v>0</v>
      </c>
      <c r="J838" t="n">
        <v>0</v>
      </c>
      <c r="K838" t="n">
        <v>0</v>
      </c>
      <c r="L838" t="n">
        <v>0</v>
      </c>
      <c r="M838" t="n">
        <v>0</v>
      </c>
      <c r="N838" t="n">
        <v>0</v>
      </c>
      <c r="O838" t="n">
        <v>0</v>
      </c>
      <c r="P838" t="n">
        <v>0</v>
      </c>
      <c r="Q838" t="n">
        <v>0</v>
      </c>
      <c r="R838" s="2" t="inlineStr"/>
      <c r="U838">
        <f>HYPERLINK("https://klasma.github.io/Logging_2085/knärot/A 8162-2024 karta knärot.png", "A 8162-2024")</f>
        <v/>
      </c>
      <c r="V838">
        <f>HYPERLINK("https://klasma.github.io/Logging_2085/klagomål/A 8162-2024 FSC-klagomål.docx", "A 8162-2024")</f>
        <v/>
      </c>
      <c r="W838">
        <f>HYPERLINK("https://klasma.github.io/Logging_2085/klagomålsmail/A 8162-2024 FSC-klagomål mail.docx", "A 8162-2024")</f>
        <v/>
      </c>
      <c r="X838">
        <f>HYPERLINK("https://klasma.github.io/Logging_2085/tillsyn/A 8162-2024 tillsynsbegäran.docx", "A 8162-2024")</f>
        <v/>
      </c>
      <c r="Y838">
        <f>HYPERLINK("https://klasma.github.io/Logging_2085/tillsynsmail/A 8162-2024 tillsynsbegäran mail.docx", "A 8162-2024")</f>
        <v/>
      </c>
    </row>
    <row r="839" ht="15" customHeight="1">
      <c r="A839" t="inlineStr">
        <is>
          <t>A 8172-2024</t>
        </is>
      </c>
      <c r="B839" s="1" t="n">
        <v>45349</v>
      </c>
      <c r="C839" s="1" t="n">
        <v>45852</v>
      </c>
      <c r="D839" t="inlineStr">
        <is>
          <t>DALARNAS LÄN</t>
        </is>
      </c>
      <c r="E839" t="inlineStr">
        <is>
          <t>LUDVIKA</t>
        </is>
      </c>
      <c r="F839" t="inlineStr">
        <is>
          <t>Allmännings- och besparingsskogar</t>
        </is>
      </c>
      <c r="G839" t="n">
        <v>2</v>
      </c>
      <c r="H839" t="n">
        <v>0</v>
      </c>
      <c r="I839" t="n">
        <v>0</v>
      </c>
      <c r="J839" t="n">
        <v>0</v>
      </c>
      <c r="K839" t="n">
        <v>0</v>
      </c>
      <c r="L839" t="n">
        <v>0</v>
      </c>
      <c r="M839" t="n">
        <v>0</v>
      </c>
      <c r="N839" t="n">
        <v>0</v>
      </c>
      <c r="O839" t="n">
        <v>0</v>
      </c>
      <c r="P839" t="n">
        <v>0</v>
      </c>
      <c r="Q839" t="n">
        <v>0</v>
      </c>
      <c r="R839" s="2" t="inlineStr"/>
    </row>
    <row r="840" ht="15" customHeight="1">
      <c r="A840" t="inlineStr">
        <is>
          <t>A 8170-2024</t>
        </is>
      </c>
      <c r="B840" s="1" t="n">
        <v>45349</v>
      </c>
      <c r="C840" s="1" t="n">
        <v>45852</v>
      </c>
      <c r="D840" t="inlineStr">
        <is>
          <t>DALARNAS LÄN</t>
        </is>
      </c>
      <c r="E840" t="inlineStr">
        <is>
          <t>LUDVIKA</t>
        </is>
      </c>
      <c r="F840" t="inlineStr">
        <is>
          <t>Allmännings- och besparingsskogar</t>
        </is>
      </c>
      <c r="G840" t="n">
        <v>5.7</v>
      </c>
      <c r="H840" t="n">
        <v>0</v>
      </c>
      <c r="I840" t="n">
        <v>0</v>
      </c>
      <c r="J840" t="n">
        <v>0</v>
      </c>
      <c r="K840" t="n">
        <v>0</v>
      </c>
      <c r="L840" t="n">
        <v>0</v>
      </c>
      <c r="M840" t="n">
        <v>0</v>
      </c>
      <c r="N840" t="n">
        <v>0</v>
      </c>
      <c r="O840" t="n">
        <v>0</v>
      </c>
      <c r="P840" t="n">
        <v>0</v>
      </c>
      <c r="Q840" t="n">
        <v>0</v>
      </c>
      <c r="R840" s="2" t="inlineStr"/>
    </row>
    <row r="841" ht="15" customHeight="1">
      <c r="A841" t="inlineStr">
        <is>
          <t>A 8175-2024</t>
        </is>
      </c>
      <c r="B841" s="1" t="n">
        <v>45349</v>
      </c>
      <c r="C841" s="1" t="n">
        <v>45852</v>
      </c>
      <c r="D841" t="inlineStr">
        <is>
          <t>DALARNAS LÄN</t>
        </is>
      </c>
      <c r="E841" t="inlineStr">
        <is>
          <t>LUDVIKA</t>
        </is>
      </c>
      <c r="F841" t="inlineStr">
        <is>
          <t>Allmännings- och besparingsskogar</t>
        </is>
      </c>
      <c r="G841" t="n">
        <v>3.8</v>
      </c>
      <c r="H841" t="n">
        <v>0</v>
      </c>
      <c r="I841" t="n">
        <v>0</v>
      </c>
      <c r="J841" t="n">
        <v>0</v>
      </c>
      <c r="K841" t="n">
        <v>0</v>
      </c>
      <c r="L841" t="n">
        <v>0</v>
      </c>
      <c r="M841" t="n">
        <v>0</v>
      </c>
      <c r="N841" t="n">
        <v>0</v>
      </c>
      <c r="O841" t="n">
        <v>0</v>
      </c>
      <c r="P841" t="n">
        <v>0</v>
      </c>
      <c r="Q841" t="n">
        <v>0</v>
      </c>
      <c r="R841" s="2" t="inlineStr"/>
    </row>
    <row r="842" ht="15" customHeight="1">
      <c r="A842" t="inlineStr">
        <is>
          <t>A 7996-2024</t>
        </is>
      </c>
      <c r="B842" s="1" t="n">
        <v>45350</v>
      </c>
      <c r="C842" s="1" t="n">
        <v>45852</v>
      </c>
      <c r="D842" t="inlineStr">
        <is>
          <t>DALARNAS LÄN</t>
        </is>
      </c>
      <c r="E842" t="inlineStr">
        <is>
          <t>LUDVIKA</t>
        </is>
      </c>
      <c r="G842" t="n">
        <v>1</v>
      </c>
      <c r="H842" t="n">
        <v>0</v>
      </c>
      <c r="I842" t="n">
        <v>0</v>
      </c>
      <c r="J842" t="n">
        <v>0</v>
      </c>
      <c r="K842" t="n">
        <v>0</v>
      </c>
      <c r="L842" t="n">
        <v>0</v>
      </c>
      <c r="M842" t="n">
        <v>0</v>
      </c>
      <c r="N842" t="n">
        <v>0</v>
      </c>
      <c r="O842" t="n">
        <v>0</v>
      </c>
      <c r="P842" t="n">
        <v>0</v>
      </c>
      <c r="Q842" t="n">
        <v>0</v>
      </c>
      <c r="R842" s="2" t="inlineStr"/>
    </row>
    <row r="843" ht="15" customHeight="1">
      <c r="A843" t="inlineStr">
        <is>
          <t>A 11237-2024</t>
        </is>
      </c>
      <c r="B843" s="1" t="n">
        <v>45371</v>
      </c>
      <c r="C843" s="1" t="n">
        <v>45852</v>
      </c>
      <c r="D843" t="inlineStr">
        <is>
          <t>DALARNAS LÄN</t>
        </is>
      </c>
      <c r="E843" t="inlineStr">
        <is>
          <t>LUDVIKA</t>
        </is>
      </c>
      <c r="G843" t="n">
        <v>20.8</v>
      </c>
      <c r="H843" t="n">
        <v>0</v>
      </c>
      <c r="I843" t="n">
        <v>0</v>
      </c>
      <c r="J843" t="n">
        <v>0</v>
      </c>
      <c r="K843" t="n">
        <v>0</v>
      </c>
      <c r="L843" t="n">
        <v>0</v>
      </c>
      <c r="M843" t="n">
        <v>0</v>
      </c>
      <c r="N843" t="n">
        <v>0</v>
      </c>
      <c r="O843" t="n">
        <v>0</v>
      </c>
      <c r="P843" t="n">
        <v>0</v>
      </c>
      <c r="Q843" t="n">
        <v>0</v>
      </c>
      <c r="R843" s="2" t="inlineStr"/>
    </row>
    <row r="844" ht="15" customHeight="1">
      <c r="A844" t="inlineStr">
        <is>
          <t>A 11436-2024</t>
        </is>
      </c>
      <c r="B844" s="1" t="n">
        <v>45372</v>
      </c>
      <c r="C844" s="1" t="n">
        <v>45852</v>
      </c>
      <c r="D844" t="inlineStr">
        <is>
          <t>DALARNAS LÄN</t>
        </is>
      </c>
      <c r="E844" t="inlineStr">
        <is>
          <t>LUDVIKA</t>
        </is>
      </c>
      <c r="G844" t="n">
        <v>0.5</v>
      </c>
      <c r="H844" t="n">
        <v>0</v>
      </c>
      <c r="I844" t="n">
        <v>0</v>
      </c>
      <c r="J844" t="n">
        <v>0</v>
      </c>
      <c r="K844" t="n">
        <v>0</v>
      </c>
      <c r="L844" t="n">
        <v>0</v>
      </c>
      <c r="M844" t="n">
        <v>0</v>
      </c>
      <c r="N844" t="n">
        <v>0</v>
      </c>
      <c r="O844" t="n">
        <v>0</v>
      </c>
      <c r="P844" t="n">
        <v>0</v>
      </c>
      <c r="Q844" t="n">
        <v>0</v>
      </c>
      <c r="R844" s="2" t="inlineStr"/>
    </row>
    <row r="845" ht="15" customHeight="1">
      <c r="A845" t="inlineStr">
        <is>
          <t>A 11491-2024</t>
        </is>
      </c>
      <c r="B845" s="1" t="n">
        <v>45372</v>
      </c>
      <c r="C845" s="1" t="n">
        <v>45852</v>
      </c>
      <c r="D845" t="inlineStr">
        <is>
          <t>DALARNAS LÄN</t>
        </is>
      </c>
      <c r="E845" t="inlineStr">
        <is>
          <t>LUDVIKA</t>
        </is>
      </c>
      <c r="F845" t="inlineStr">
        <is>
          <t>Kommuner</t>
        </is>
      </c>
      <c r="G845" t="n">
        <v>3.2</v>
      </c>
      <c r="H845" t="n">
        <v>0</v>
      </c>
      <c r="I845" t="n">
        <v>0</v>
      </c>
      <c r="J845" t="n">
        <v>0</v>
      </c>
      <c r="K845" t="n">
        <v>0</v>
      </c>
      <c r="L845" t="n">
        <v>0</v>
      </c>
      <c r="M845" t="n">
        <v>0</v>
      </c>
      <c r="N845" t="n">
        <v>0</v>
      </c>
      <c r="O845" t="n">
        <v>0</v>
      </c>
      <c r="P845" t="n">
        <v>0</v>
      </c>
      <c r="Q845" t="n">
        <v>0</v>
      </c>
      <c r="R845" s="2" t="inlineStr"/>
    </row>
    <row r="846" ht="15" customHeight="1">
      <c r="A846" t="inlineStr">
        <is>
          <t>A 11632-2024</t>
        </is>
      </c>
      <c r="B846" s="1" t="n">
        <v>45373</v>
      </c>
      <c r="C846" s="1" t="n">
        <v>45852</v>
      </c>
      <c r="D846" t="inlineStr">
        <is>
          <t>DALARNAS LÄN</t>
        </is>
      </c>
      <c r="E846" t="inlineStr">
        <is>
          <t>LUDVIKA</t>
        </is>
      </c>
      <c r="G846" t="n">
        <v>5.1</v>
      </c>
      <c r="H846" t="n">
        <v>0</v>
      </c>
      <c r="I846" t="n">
        <v>0</v>
      </c>
      <c r="J846" t="n">
        <v>0</v>
      </c>
      <c r="K846" t="n">
        <v>0</v>
      </c>
      <c r="L846" t="n">
        <v>0</v>
      </c>
      <c r="M846" t="n">
        <v>0</v>
      </c>
      <c r="N846" t="n">
        <v>0</v>
      </c>
      <c r="O846" t="n">
        <v>0</v>
      </c>
      <c r="P846" t="n">
        <v>0</v>
      </c>
      <c r="Q846" t="n">
        <v>0</v>
      </c>
      <c r="R846" s="2" t="inlineStr"/>
    </row>
    <row r="847" ht="15" customHeight="1">
      <c r="A847" t="inlineStr">
        <is>
          <t>A 11829-2024</t>
        </is>
      </c>
      <c r="B847" s="1" t="n">
        <v>45376</v>
      </c>
      <c r="C847" s="1" t="n">
        <v>45852</v>
      </c>
      <c r="D847" t="inlineStr">
        <is>
          <t>DALARNAS LÄN</t>
        </is>
      </c>
      <c r="E847" t="inlineStr">
        <is>
          <t>LUDVIKA</t>
        </is>
      </c>
      <c r="G847" t="n">
        <v>0.6</v>
      </c>
      <c r="H847" t="n">
        <v>0</v>
      </c>
      <c r="I847" t="n">
        <v>0</v>
      </c>
      <c r="J847" t="n">
        <v>0</v>
      </c>
      <c r="K847" t="n">
        <v>0</v>
      </c>
      <c r="L847" t="n">
        <v>0</v>
      </c>
      <c r="M847" t="n">
        <v>0</v>
      </c>
      <c r="N847" t="n">
        <v>0</v>
      </c>
      <c r="O847" t="n">
        <v>0</v>
      </c>
      <c r="P847" t="n">
        <v>0</v>
      </c>
      <c r="Q847" t="n">
        <v>0</v>
      </c>
      <c r="R847" s="2" t="inlineStr"/>
    </row>
    <row r="848" ht="15" customHeight="1">
      <c r="A848" t="inlineStr">
        <is>
          <t>A 12497-2024</t>
        </is>
      </c>
      <c r="B848" s="1" t="n">
        <v>45379</v>
      </c>
      <c r="C848" s="1" t="n">
        <v>45852</v>
      </c>
      <c r="D848" t="inlineStr">
        <is>
          <t>DALARNAS LÄN</t>
        </is>
      </c>
      <c r="E848" t="inlineStr">
        <is>
          <t>LUDVIKA</t>
        </is>
      </c>
      <c r="F848" t="inlineStr">
        <is>
          <t>Naturvårdsverket</t>
        </is>
      </c>
      <c r="G848" t="n">
        <v>0.4</v>
      </c>
      <c r="H848" t="n">
        <v>0</v>
      </c>
      <c r="I848" t="n">
        <v>0</v>
      </c>
      <c r="J848" t="n">
        <v>0</v>
      </c>
      <c r="K848" t="n">
        <v>0</v>
      </c>
      <c r="L848" t="n">
        <v>0</v>
      </c>
      <c r="M848" t="n">
        <v>0</v>
      </c>
      <c r="N848" t="n">
        <v>0</v>
      </c>
      <c r="O848" t="n">
        <v>0</v>
      </c>
      <c r="P848" t="n">
        <v>0</v>
      </c>
      <c r="Q848" t="n">
        <v>0</v>
      </c>
      <c r="R848" s="2" t="inlineStr"/>
    </row>
    <row r="849" ht="15" customHeight="1">
      <c r="A849" t="inlineStr">
        <is>
          <t>A 13861-2024</t>
        </is>
      </c>
      <c r="B849" s="1" t="n">
        <v>45390</v>
      </c>
      <c r="C849" s="1" t="n">
        <v>45852</v>
      </c>
      <c r="D849" t="inlineStr">
        <is>
          <t>DALARNAS LÄN</t>
        </is>
      </c>
      <c r="E849" t="inlineStr">
        <is>
          <t>LUDVIKA</t>
        </is>
      </c>
      <c r="G849" t="n">
        <v>2.5</v>
      </c>
      <c r="H849" t="n">
        <v>0</v>
      </c>
      <c r="I849" t="n">
        <v>0</v>
      </c>
      <c r="J849" t="n">
        <v>0</v>
      </c>
      <c r="K849" t="n">
        <v>0</v>
      </c>
      <c r="L849" t="n">
        <v>0</v>
      </c>
      <c r="M849" t="n">
        <v>0</v>
      </c>
      <c r="N849" t="n">
        <v>0</v>
      </c>
      <c r="O849" t="n">
        <v>0</v>
      </c>
      <c r="P849" t="n">
        <v>0</v>
      </c>
      <c r="Q849" t="n">
        <v>0</v>
      </c>
      <c r="R849" s="2" t="inlineStr"/>
    </row>
    <row r="850" ht="15" customHeight="1">
      <c r="A850" t="inlineStr">
        <is>
          <t>A 14997-2024</t>
        </is>
      </c>
      <c r="B850" s="1" t="n">
        <v>45399</v>
      </c>
      <c r="C850" s="1" t="n">
        <v>45852</v>
      </c>
      <c r="D850" t="inlineStr">
        <is>
          <t>DALARNAS LÄN</t>
        </is>
      </c>
      <c r="E850" t="inlineStr">
        <is>
          <t>LUDVIKA</t>
        </is>
      </c>
      <c r="F850" t="inlineStr">
        <is>
          <t>Bergvik skog väst AB</t>
        </is>
      </c>
      <c r="G850" t="n">
        <v>0.8</v>
      </c>
      <c r="H850" t="n">
        <v>0</v>
      </c>
      <c r="I850" t="n">
        <v>0</v>
      </c>
      <c r="J850" t="n">
        <v>0</v>
      </c>
      <c r="K850" t="n">
        <v>0</v>
      </c>
      <c r="L850" t="n">
        <v>0</v>
      </c>
      <c r="M850" t="n">
        <v>0</v>
      </c>
      <c r="N850" t="n">
        <v>0</v>
      </c>
      <c r="O850" t="n">
        <v>0</v>
      </c>
      <c r="P850" t="n">
        <v>0</v>
      </c>
      <c r="Q850" t="n">
        <v>0</v>
      </c>
      <c r="R850" s="2" t="inlineStr"/>
    </row>
    <row r="851" ht="15" customHeight="1">
      <c r="A851" t="inlineStr">
        <is>
          <t>A 15100-2024</t>
        </is>
      </c>
      <c r="B851" s="1" t="n">
        <v>45399</v>
      </c>
      <c r="C851" s="1" t="n">
        <v>45852</v>
      </c>
      <c r="D851" t="inlineStr">
        <is>
          <t>DALARNAS LÄN</t>
        </is>
      </c>
      <c r="E851" t="inlineStr">
        <is>
          <t>LUDVIKA</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14986-2024</t>
        </is>
      </c>
      <c r="B852" s="1" t="n">
        <v>45399</v>
      </c>
      <c r="C852" s="1" t="n">
        <v>45852</v>
      </c>
      <c r="D852" t="inlineStr">
        <is>
          <t>DALARNAS LÄN</t>
        </is>
      </c>
      <c r="E852" t="inlineStr">
        <is>
          <t>LUDVIKA</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15014-2024</t>
        </is>
      </c>
      <c r="B853" s="1" t="n">
        <v>45399</v>
      </c>
      <c r="C853" s="1" t="n">
        <v>45852</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14996-2024</t>
        </is>
      </c>
      <c r="B854" s="1" t="n">
        <v>45399</v>
      </c>
      <c r="C854" s="1" t="n">
        <v>45852</v>
      </c>
      <c r="D854" t="inlineStr">
        <is>
          <t>DALARNAS LÄN</t>
        </is>
      </c>
      <c r="E854" t="inlineStr">
        <is>
          <t>LUDVIKA</t>
        </is>
      </c>
      <c r="F854" t="inlineStr">
        <is>
          <t>Bergvik skog väst AB</t>
        </is>
      </c>
      <c r="G854" t="n">
        <v>0.6</v>
      </c>
      <c r="H854" t="n">
        <v>0</v>
      </c>
      <c r="I854" t="n">
        <v>0</v>
      </c>
      <c r="J854" t="n">
        <v>0</v>
      </c>
      <c r="K854" t="n">
        <v>0</v>
      </c>
      <c r="L854" t="n">
        <v>0</v>
      </c>
      <c r="M854" t="n">
        <v>0</v>
      </c>
      <c r="N854" t="n">
        <v>0</v>
      </c>
      <c r="O854" t="n">
        <v>0</v>
      </c>
      <c r="P854" t="n">
        <v>0</v>
      </c>
      <c r="Q854" t="n">
        <v>0</v>
      </c>
      <c r="R854" s="2" t="inlineStr"/>
    </row>
    <row r="855" ht="15" customHeight="1">
      <c r="A855" t="inlineStr">
        <is>
          <t>A 15008-2024</t>
        </is>
      </c>
      <c r="B855" s="1" t="n">
        <v>45399</v>
      </c>
      <c r="C855" s="1" t="n">
        <v>45852</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row>
    <row r="856" ht="15" customHeight="1">
      <c r="A856" t="inlineStr">
        <is>
          <t>A 15016-2024</t>
        </is>
      </c>
      <c r="B856" s="1" t="n">
        <v>45399</v>
      </c>
      <c r="C856" s="1" t="n">
        <v>45852</v>
      </c>
      <c r="D856" t="inlineStr">
        <is>
          <t>DALARNAS LÄN</t>
        </is>
      </c>
      <c r="E856" t="inlineStr">
        <is>
          <t>LUDVIKA</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15718-2024</t>
        </is>
      </c>
      <c r="B857" s="1" t="n">
        <v>45404</v>
      </c>
      <c r="C857" s="1" t="n">
        <v>45852</v>
      </c>
      <c r="D857" t="inlineStr">
        <is>
          <t>DALARNAS LÄN</t>
        </is>
      </c>
      <c r="E857" t="inlineStr">
        <is>
          <t>LUDVIKA</t>
        </is>
      </c>
      <c r="F857" t="inlineStr">
        <is>
          <t>Bergvik skog väst AB</t>
        </is>
      </c>
      <c r="G857" t="n">
        <v>4.8</v>
      </c>
      <c r="H857" t="n">
        <v>0</v>
      </c>
      <c r="I857" t="n">
        <v>0</v>
      </c>
      <c r="J857" t="n">
        <v>0</v>
      </c>
      <c r="K857" t="n">
        <v>0</v>
      </c>
      <c r="L857" t="n">
        <v>0</v>
      </c>
      <c r="M857" t="n">
        <v>0</v>
      </c>
      <c r="N857" t="n">
        <v>0</v>
      </c>
      <c r="O857" t="n">
        <v>0</v>
      </c>
      <c r="P857" t="n">
        <v>0</v>
      </c>
      <c r="Q857" t="n">
        <v>0</v>
      </c>
      <c r="R857" s="2" t="inlineStr"/>
    </row>
    <row r="858" ht="15" customHeight="1">
      <c r="A858" t="inlineStr">
        <is>
          <t>A 15851-2024</t>
        </is>
      </c>
      <c r="B858" s="1" t="n">
        <v>45404</v>
      </c>
      <c r="C858" s="1" t="n">
        <v>45852</v>
      </c>
      <c r="D858" t="inlineStr">
        <is>
          <t>DALARNAS LÄN</t>
        </is>
      </c>
      <c r="E858" t="inlineStr">
        <is>
          <t>LUDVIKA</t>
        </is>
      </c>
      <c r="G858" t="n">
        <v>5.2</v>
      </c>
      <c r="H858" t="n">
        <v>0</v>
      </c>
      <c r="I858" t="n">
        <v>0</v>
      </c>
      <c r="J858" t="n">
        <v>0</v>
      </c>
      <c r="K858" t="n">
        <v>0</v>
      </c>
      <c r="L858" t="n">
        <v>0</v>
      </c>
      <c r="M858" t="n">
        <v>0</v>
      </c>
      <c r="N858" t="n">
        <v>0</v>
      </c>
      <c r="O858" t="n">
        <v>0</v>
      </c>
      <c r="P858" t="n">
        <v>0</v>
      </c>
      <c r="Q858" t="n">
        <v>0</v>
      </c>
      <c r="R858" s="2" t="inlineStr"/>
    </row>
    <row r="859" ht="15" customHeight="1">
      <c r="A859" t="inlineStr">
        <is>
          <t>A 15876-2024</t>
        </is>
      </c>
      <c r="B859" s="1" t="n">
        <v>45405</v>
      </c>
      <c r="C859" s="1" t="n">
        <v>45852</v>
      </c>
      <c r="D859" t="inlineStr">
        <is>
          <t>DALARNAS LÄN</t>
        </is>
      </c>
      <c r="E859" t="inlineStr">
        <is>
          <t>LUDVIKA</t>
        </is>
      </c>
      <c r="F859" t="inlineStr">
        <is>
          <t>Bergvik skog väst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15939-2024</t>
        </is>
      </c>
      <c r="B860" s="1" t="n">
        <v>45405</v>
      </c>
      <c r="C860" s="1" t="n">
        <v>45852</v>
      </c>
      <c r="D860" t="inlineStr">
        <is>
          <t>DALARNAS LÄN</t>
        </is>
      </c>
      <c r="E860" t="inlineStr">
        <is>
          <t>LUDVIKA</t>
        </is>
      </c>
      <c r="G860" t="n">
        <v>1.3</v>
      </c>
      <c r="H860" t="n">
        <v>0</v>
      </c>
      <c r="I860" t="n">
        <v>0</v>
      </c>
      <c r="J860" t="n">
        <v>0</v>
      </c>
      <c r="K860" t="n">
        <v>0</v>
      </c>
      <c r="L860" t="n">
        <v>0</v>
      </c>
      <c r="M860" t="n">
        <v>0</v>
      </c>
      <c r="N860" t="n">
        <v>0</v>
      </c>
      <c r="O860" t="n">
        <v>0</v>
      </c>
      <c r="P860" t="n">
        <v>0</v>
      </c>
      <c r="Q860" t="n">
        <v>0</v>
      </c>
      <c r="R860" s="2" t="inlineStr"/>
      <c r="U860">
        <f>HYPERLINK("https://klasma.github.io/Logging_2085/knärot/A 15939-2024 karta knärot.png", "A 15939-2024")</f>
        <v/>
      </c>
      <c r="V860">
        <f>HYPERLINK("https://klasma.github.io/Logging_2085/klagomål/A 15939-2024 FSC-klagomål.docx", "A 15939-2024")</f>
        <v/>
      </c>
      <c r="W860">
        <f>HYPERLINK("https://klasma.github.io/Logging_2085/klagomålsmail/A 15939-2024 FSC-klagomål mail.docx", "A 15939-2024")</f>
        <v/>
      </c>
      <c r="X860">
        <f>HYPERLINK("https://klasma.github.io/Logging_2085/tillsyn/A 15939-2024 tillsynsbegäran.docx", "A 15939-2024")</f>
        <v/>
      </c>
      <c r="Y860">
        <f>HYPERLINK("https://klasma.github.io/Logging_2085/tillsynsmail/A 15939-2024 tillsynsbegäran mail.docx", "A 15939-2024")</f>
        <v/>
      </c>
    </row>
    <row r="861" ht="15" customHeight="1">
      <c r="A861" t="inlineStr">
        <is>
          <t>A 16494-2024</t>
        </is>
      </c>
      <c r="B861" s="1" t="n">
        <v>45408</v>
      </c>
      <c r="C861" s="1" t="n">
        <v>45852</v>
      </c>
      <c r="D861" t="inlineStr">
        <is>
          <t>DALARNAS LÄN</t>
        </is>
      </c>
      <c r="E861" t="inlineStr">
        <is>
          <t>LUDVIKA</t>
        </is>
      </c>
      <c r="F861" t="inlineStr">
        <is>
          <t>Bergvik skog väst AB</t>
        </is>
      </c>
      <c r="G861" t="n">
        <v>6.8</v>
      </c>
      <c r="H861" t="n">
        <v>0</v>
      </c>
      <c r="I861" t="n">
        <v>0</v>
      </c>
      <c r="J861" t="n">
        <v>0</v>
      </c>
      <c r="K861" t="n">
        <v>0</v>
      </c>
      <c r="L861" t="n">
        <v>0</v>
      </c>
      <c r="M861" t="n">
        <v>0</v>
      </c>
      <c r="N861" t="n">
        <v>0</v>
      </c>
      <c r="O861" t="n">
        <v>0</v>
      </c>
      <c r="P861" t="n">
        <v>0</v>
      </c>
      <c r="Q861" t="n">
        <v>0</v>
      </c>
      <c r="R861" s="2" t="inlineStr"/>
    </row>
    <row r="862" ht="15" customHeight="1">
      <c r="A862" t="inlineStr">
        <is>
          <t>A 16926-2024</t>
        </is>
      </c>
      <c r="B862" s="1" t="n">
        <v>45411</v>
      </c>
      <c r="C862" s="1" t="n">
        <v>45852</v>
      </c>
      <c r="D862" t="inlineStr">
        <is>
          <t>DALARNAS LÄN</t>
        </is>
      </c>
      <c r="E862" t="inlineStr">
        <is>
          <t>LUDVIKA</t>
        </is>
      </c>
      <c r="F862" t="inlineStr">
        <is>
          <t>Bergvik skog väst AB</t>
        </is>
      </c>
      <c r="G862" t="n">
        <v>0.7</v>
      </c>
      <c r="H862" t="n">
        <v>0</v>
      </c>
      <c r="I862" t="n">
        <v>0</v>
      </c>
      <c r="J862" t="n">
        <v>0</v>
      </c>
      <c r="K862" t="n">
        <v>0</v>
      </c>
      <c r="L862" t="n">
        <v>0</v>
      </c>
      <c r="M862" t="n">
        <v>0</v>
      </c>
      <c r="N862" t="n">
        <v>0</v>
      </c>
      <c r="O862" t="n">
        <v>0</v>
      </c>
      <c r="P862" t="n">
        <v>0</v>
      </c>
      <c r="Q862" t="n">
        <v>0</v>
      </c>
      <c r="R862" s="2" t="inlineStr"/>
    </row>
    <row r="863" ht="15" customHeight="1">
      <c r="A863" t="inlineStr">
        <is>
          <t>A 16814-2024</t>
        </is>
      </c>
      <c r="B863" s="1" t="n">
        <v>45411</v>
      </c>
      <c r="C863" s="1" t="n">
        <v>45852</v>
      </c>
      <c r="D863" t="inlineStr">
        <is>
          <t>DALARNAS LÄN</t>
        </is>
      </c>
      <c r="E863" t="inlineStr">
        <is>
          <t>LUDVIKA</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16928-2024</t>
        </is>
      </c>
      <c r="B864" s="1" t="n">
        <v>45411</v>
      </c>
      <c r="C864" s="1" t="n">
        <v>45852</v>
      </c>
      <c r="D864" t="inlineStr">
        <is>
          <t>DALARNAS LÄN</t>
        </is>
      </c>
      <c r="E864" t="inlineStr">
        <is>
          <t>LUDVIKA</t>
        </is>
      </c>
      <c r="F864" t="inlineStr">
        <is>
          <t>Bergvik skog väst AB</t>
        </is>
      </c>
      <c r="G864" t="n">
        <v>1.4</v>
      </c>
      <c r="H864" t="n">
        <v>0</v>
      </c>
      <c r="I864" t="n">
        <v>0</v>
      </c>
      <c r="J864" t="n">
        <v>0</v>
      </c>
      <c r="K864" t="n">
        <v>0</v>
      </c>
      <c r="L864" t="n">
        <v>0</v>
      </c>
      <c r="M864" t="n">
        <v>0</v>
      </c>
      <c r="N864" t="n">
        <v>0</v>
      </c>
      <c r="O864" t="n">
        <v>0</v>
      </c>
      <c r="P864" t="n">
        <v>0</v>
      </c>
      <c r="Q864" t="n">
        <v>0</v>
      </c>
      <c r="R864" s="2" t="inlineStr"/>
    </row>
    <row r="865" ht="15" customHeight="1">
      <c r="A865" t="inlineStr">
        <is>
          <t>A 16924-2024</t>
        </is>
      </c>
      <c r="B865" s="1" t="n">
        <v>45411</v>
      </c>
      <c r="C865" s="1" t="n">
        <v>45852</v>
      </c>
      <c r="D865" t="inlineStr">
        <is>
          <t>DALARNAS LÄN</t>
        </is>
      </c>
      <c r="E865" t="inlineStr">
        <is>
          <t>LUDVIKA</t>
        </is>
      </c>
      <c r="F865" t="inlineStr">
        <is>
          <t>Bergvik skog väst AB</t>
        </is>
      </c>
      <c r="G865" t="n">
        <v>1</v>
      </c>
      <c r="H865" t="n">
        <v>0</v>
      </c>
      <c r="I865" t="n">
        <v>0</v>
      </c>
      <c r="J865" t="n">
        <v>0</v>
      </c>
      <c r="K865" t="n">
        <v>0</v>
      </c>
      <c r="L865" t="n">
        <v>0</v>
      </c>
      <c r="M865" t="n">
        <v>0</v>
      </c>
      <c r="N865" t="n">
        <v>0</v>
      </c>
      <c r="O865" t="n">
        <v>0</v>
      </c>
      <c r="P865" t="n">
        <v>0</v>
      </c>
      <c r="Q865" t="n">
        <v>0</v>
      </c>
      <c r="R865" s="2" t="inlineStr"/>
    </row>
    <row r="866" ht="15" customHeight="1">
      <c r="A866" t="inlineStr">
        <is>
          <t>A 17054-2024</t>
        </is>
      </c>
      <c r="B866" s="1" t="n">
        <v>45412</v>
      </c>
      <c r="C866" s="1" t="n">
        <v>45852</v>
      </c>
      <c r="D866" t="inlineStr">
        <is>
          <t>DALARNAS LÄN</t>
        </is>
      </c>
      <c r="E866" t="inlineStr">
        <is>
          <t>LUDVIKA</t>
        </is>
      </c>
      <c r="F866" t="inlineStr">
        <is>
          <t>Bergvik skog väst AB</t>
        </is>
      </c>
      <c r="G866" t="n">
        <v>2.4</v>
      </c>
      <c r="H866" t="n">
        <v>0</v>
      </c>
      <c r="I866" t="n">
        <v>0</v>
      </c>
      <c r="J866" t="n">
        <v>0</v>
      </c>
      <c r="K866" t="n">
        <v>0</v>
      </c>
      <c r="L866" t="n">
        <v>0</v>
      </c>
      <c r="M866" t="n">
        <v>0</v>
      </c>
      <c r="N866" t="n">
        <v>0</v>
      </c>
      <c r="O866" t="n">
        <v>0</v>
      </c>
      <c r="P866" t="n">
        <v>0</v>
      </c>
      <c r="Q866" t="n">
        <v>0</v>
      </c>
      <c r="R866" s="2" t="inlineStr"/>
    </row>
    <row r="867" ht="15" customHeight="1">
      <c r="A867" t="inlineStr">
        <is>
          <t>A 17638-2024</t>
        </is>
      </c>
      <c r="B867" s="1" t="n">
        <v>45418</v>
      </c>
      <c r="C867" s="1" t="n">
        <v>45852</v>
      </c>
      <c r="D867" t="inlineStr">
        <is>
          <t>DALARNAS LÄN</t>
        </is>
      </c>
      <c r="E867" t="inlineStr">
        <is>
          <t>LUDVIKA</t>
        </is>
      </c>
      <c r="F867" t="inlineStr">
        <is>
          <t>Bergvik skog väst AB</t>
        </is>
      </c>
      <c r="G867" t="n">
        <v>8.1</v>
      </c>
      <c r="H867" t="n">
        <v>0</v>
      </c>
      <c r="I867" t="n">
        <v>0</v>
      </c>
      <c r="J867" t="n">
        <v>0</v>
      </c>
      <c r="K867" t="n">
        <v>0</v>
      </c>
      <c r="L867" t="n">
        <v>0</v>
      </c>
      <c r="M867" t="n">
        <v>0</v>
      </c>
      <c r="N867" t="n">
        <v>0</v>
      </c>
      <c r="O867" t="n">
        <v>0</v>
      </c>
      <c r="P867" t="n">
        <v>0</v>
      </c>
      <c r="Q867" t="n">
        <v>0</v>
      </c>
      <c r="R867" s="2" t="inlineStr"/>
    </row>
    <row r="868" ht="15" customHeight="1">
      <c r="A868" t="inlineStr">
        <is>
          <t>A 18102-2024</t>
        </is>
      </c>
      <c r="B868" s="1" t="n">
        <v>45420</v>
      </c>
      <c r="C868" s="1" t="n">
        <v>45852</v>
      </c>
      <c r="D868" t="inlineStr">
        <is>
          <t>DALARNAS LÄN</t>
        </is>
      </c>
      <c r="E868" t="inlineStr">
        <is>
          <t>LUDVIKA</t>
        </is>
      </c>
      <c r="F868" t="inlineStr">
        <is>
          <t>Bergvik skog väst AB</t>
        </is>
      </c>
      <c r="G868" t="n">
        <v>3.4</v>
      </c>
      <c r="H868" t="n">
        <v>0</v>
      </c>
      <c r="I868" t="n">
        <v>0</v>
      </c>
      <c r="J868" t="n">
        <v>0</v>
      </c>
      <c r="K868" t="n">
        <v>0</v>
      </c>
      <c r="L868" t="n">
        <v>0</v>
      </c>
      <c r="M868" t="n">
        <v>0</v>
      </c>
      <c r="N868" t="n">
        <v>0</v>
      </c>
      <c r="O868" t="n">
        <v>0</v>
      </c>
      <c r="P868" t="n">
        <v>0</v>
      </c>
      <c r="Q868" t="n">
        <v>0</v>
      </c>
      <c r="R868" s="2" t="inlineStr"/>
    </row>
    <row r="869" ht="15" customHeight="1">
      <c r="A869" t="inlineStr">
        <is>
          <t>A 19030-2024</t>
        </is>
      </c>
      <c r="B869" s="1" t="n">
        <v>45427</v>
      </c>
      <c r="C869" s="1" t="n">
        <v>45852</v>
      </c>
      <c r="D869" t="inlineStr">
        <is>
          <t>DALARNAS LÄN</t>
        </is>
      </c>
      <c r="E869" t="inlineStr">
        <is>
          <t>LUDVIKA</t>
        </is>
      </c>
      <c r="F869" t="inlineStr">
        <is>
          <t>Bergvik skog väst AB</t>
        </is>
      </c>
      <c r="G869" t="n">
        <v>1.6</v>
      </c>
      <c r="H869" t="n">
        <v>0</v>
      </c>
      <c r="I869" t="n">
        <v>0</v>
      </c>
      <c r="J869" t="n">
        <v>0</v>
      </c>
      <c r="K869" t="n">
        <v>0</v>
      </c>
      <c r="L869" t="n">
        <v>0</v>
      </c>
      <c r="M869" t="n">
        <v>0</v>
      </c>
      <c r="N869" t="n">
        <v>0</v>
      </c>
      <c r="O869" t="n">
        <v>0</v>
      </c>
      <c r="P869" t="n">
        <v>0</v>
      </c>
      <c r="Q869" t="n">
        <v>0</v>
      </c>
      <c r="R869" s="2" t="inlineStr"/>
    </row>
    <row r="870" ht="15" customHeight="1">
      <c r="A870" t="inlineStr">
        <is>
          <t>A 19277-2024</t>
        </is>
      </c>
      <c r="B870" s="1" t="n">
        <v>45428</v>
      </c>
      <c r="C870" s="1" t="n">
        <v>45852</v>
      </c>
      <c r="D870" t="inlineStr">
        <is>
          <t>DALARNAS LÄN</t>
        </is>
      </c>
      <c r="E870" t="inlineStr">
        <is>
          <t>LUDVIKA</t>
        </is>
      </c>
      <c r="G870" t="n">
        <v>1.8</v>
      </c>
      <c r="H870" t="n">
        <v>0</v>
      </c>
      <c r="I870" t="n">
        <v>0</v>
      </c>
      <c r="J870" t="n">
        <v>0</v>
      </c>
      <c r="K870" t="n">
        <v>0</v>
      </c>
      <c r="L870" t="n">
        <v>0</v>
      </c>
      <c r="M870" t="n">
        <v>0</v>
      </c>
      <c r="N870" t="n">
        <v>0</v>
      </c>
      <c r="O870" t="n">
        <v>0</v>
      </c>
      <c r="P870" t="n">
        <v>0</v>
      </c>
      <c r="Q870" t="n">
        <v>0</v>
      </c>
      <c r="R870" s="2" t="inlineStr"/>
    </row>
    <row r="871" ht="15" customHeight="1">
      <c r="A871" t="inlineStr">
        <is>
          <t>A 19276-2024</t>
        </is>
      </c>
      <c r="B871" s="1" t="n">
        <v>45428</v>
      </c>
      <c r="C871" s="1" t="n">
        <v>45852</v>
      </c>
      <c r="D871" t="inlineStr">
        <is>
          <t>DALARNAS LÄN</t>
        </is>
      </c>
      <c r="E871" t="inlineStr">
        <is>
          <t>LUDVIKA</t>
        </is>
      </c>
      <c r="G871" t="n">
        <v>2.8</v>
      </c>
      <c r="H871" t="n">
        <v>0</v>
      </c>
      <c r="I871" t="n">
        <v>0</v>
      </c>
      <c r="J871" t="n">
        <v>0</v>
      </c>
      <c r="K871" t="n">
        <v>0</v>
      </c>
      <c r="L871" t="n">
        <v>0</v>
      </c>
      <c r="M871" t="n">
        <v>0</v>
      </c>
      <c r="N871" t="n">
        <v>0</v>
      </c>
      <c r="O871" t="n">
        <v>0</v>
      </c>
      <c r="P871" t="n">
        <v>0</v>
      </c>
      <c r="Q871" t="n">
        <v>0</v>
      </c>
      <c r="R871" s="2" t="inlineStr"/>
    </row>
    <row r="872" ht="15" customHeight="1">
      <c r="A872" t="inlineStr">
        <is>
          <t>A 19463-2024</t>
        </is>
      </c>
      <c r="B872" s="1" t="n">
        <v>45429</v>
      </c>
      <c r="C872" s="1" t="n">
        <v>45852</v>
      </c>
      <c r="D872" t="inlineStr">
        <is>
          <t>DALARNAS LÄN</t>
        </is>
      </c>
      <c r="E872" t="inlineStr">
        <is>
          <t>LUDVIKA</t>
        </is>
      </c>
      <c r="F872" t="inlineStr">
        <is>
          <t>Bergvik skog väst AB</t>
        </is>
      </c>
      <c r="G872" t="n">
        <v>0.8</v>
      </c>
      <c r="H872" t="n">
        <v>0</v>
      </c>
      <c r="I872" t="n">
        <v>0</v>
      </c>
      <c r="J872" t="n">
        <v>0</v>
      </c>
      <c r="K872" t="n">
        <v>0</v>
      </c>
      <c r="L872" t="n">
        <v>0</v>
      </c>
      <c r="M872" t="n">
        <v>0</v>
      </c>
      <c r="N872" t="n">
        <v>0</v>
      </c>
      <c r="O872" t="n">
        <v>0</v>
      </c>
      <c r="P872" t="n">
        <v>0</v>
      </c>
      <c r="Q872" t="n">
        <v>0</v>
      </c>
      <c r="R872" s="2" t="inlineStr"/>
    </row>
    <row r="873" ht="15" customHeight="1">
      <c r="A873" t="inlineStr">
        <is>
          <t>A 19389-2024</t>
        </is>
      </c>
      <c r="B873" s="1" t="n">
        <v>45429</v>
      </c>
      <c r="C873" s="1" t="n">
        <v>45852</v>
      </c>
      <c r="D873" t="inlineStr">
        <is>
          <t>DALARNAS LÄN</t>
        </is>
      </c>
      <c r="E873" t="inlineStr">
        <is>
          <t>LUDVIKA</t>
        </is>
      </c>
      <c r="F873" t="inlineStr">
        <is>
          <t>Bergvik skog väst AB</t>
        </is>
      </c>
      <c r="G873" t="n">
        <v>5.3</v>
      </c>
      <c r="H873" t="n">
        <v>0</v>
      </c>
      <c r="I873" t="n">
        <v>0</v>
      </c>
      <c r="J873" t="n">
        <v>0</v>
      </c>
      <c r="K873" t="n">
        <v>0</v>
      </c>
      <c r="L873" t="n">
        <v>0</v>
      </c>
      <c r="M873" t="n">
        <v>0</v>
      </c>
      <c r="N873" t="n">
        <v>0</v>
      </c>
      <c r="O873" t="n">
        <v>0</v>
      </c>
      <c r="P873" t="n">
        <v>0</v>
      </c>
      <c r="Q873" t="n">
        <v>0</v>
      </c>
      <c r="R873" s="2" t="inlineStr"/>
    </row>
    <row r="874" ht="15" customHeight="1">
      <c r="A874" t="inlineStr">
        <is>
          <t>A 19445-2024</t>
        </is>
      </c>
      <c r="B874" s="1" t="n">
        <v>45429</v>
      </c>
      <c r="C874" s="1" t="n">
        <v>45852</v>
      </c>
      <c r="D874" t="inlineStr">
        <is>
          <t>DALARNAS LÄN</t>
        </is>
      </c>
      <c r="E874" t="inlineStr">
        <is>
          <t>LUDVIKA</t>
        </is>
      </c>
      <c r="F874" t="inlineStr">
        <is>
          <t>Bergvik skog väst AB</t>
        </is>
      </c>
      <c r="G874" t="n">
        <v>7.9</v>
      </c>
      <c r="H874" t="n">
        <v>0</v>
      </c>
      <c r="I874" t="n">
        <v>0</v>
      </c>
      <c r="J874" t="n">
        <v>0</v>
      </c>
      <c r="K874" t="n">
        <v>0</v>
      </c>
      <c r="L874" t="n">
        <v>0</v>
      </c>
      <c r="M874" t="n">
        <v>0</v>
      </c>
      <c r="N874" t="n">
        <v>0</v>
      </c>
      <c r="O874" t="n">
        <v>0</v>
      </c>
      <c r="P874" t="n">
        <v>0</v>
      </c>
      <c r="Q874" t="n">
        <v>0</v>
      </c>
      <c r="R874" s="2" t="inlineStr"/>
    </row>
    <row r="875" ht="15" customHeight="1">
      <c r="A875" t="inlineStr">
        <is>
          <t>A 19651-2024</t>
        </is>
      </c>
      <c r="B875" s="1" t="n">
        <v>45432</v>
      </c>
      <c r="C875" s="1" t="n">
        <v>45852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19684-2024</t>
        </is>
      </c>
      <c r="B876" s="1" t="n">
        <v>45432</v>
      </c>
      <c r="C876" s="1" t="n">
        <v>45852</v>
      </c>
      <c r="D876" t="inlineStr">
        <is>
          <t>DALARNAS LÄN</t>
        </is>
      </c>
      <c r="E876" t="inlineStr">
        <is>
          <t>LUDVIKA</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19688-2024</t>
        </is>
      </c>
      <c r="B877" s="1" t="n">
        <v>45432</v>
      </c>
      <c r="C877" s="1" t="n">
        <v>45852</v>
      </c>
      <c r="D877" t="inlineStr">
        <is>
          <t>DALARNAS LÄN</t>
        </is>
      </c>
      <c r="E877" t="inlineStr">
        <is>
          <t>LUDVIKA</t>
        </is>
      </c>
      <c r="F877" t="inlineStr">
        <is>
          <t>Bergvik skog väst AB</t>
        </is>
      </c>
      <c r="G877" t="n">
        <v>10</v>
      </c>
      <c r="H877" t="n">
        <v>0</v>
      </c>
      <c r="I877" t="n">
        <v>0</v>
      </c>
      <c r="J877" t="n">
        <v>0</v>
      </c>
      <c r="K877" t="n">
        <v>0</v>
      </c>
      <c r="L877" t="n">
        <v>0</v>
      </c>
      <c r="M877" t="n">
        <v>0</v>
      </c>
      <c r="N877" t="n">
        <v>0</v>
      </c>
      <c r="O877" t="n">
        <v>0</v>
      </c>
      <c r="P877" t="n">
        <v>0</v>
      </c>
      <c r="Q877" t="n">
        <v>0</v>
      </c>
      <c r="R877" s="2" t="inlineStr"/>
    </row>
    <row r="878" ht="15" customHeight="1">
      <c r="A878" t="inlineStr">
        <is>
          <t>A 20692-2024</t>
        </is>
      </c>
      <c r="B878" s="1" t="n">
        <v>45436</v>
      </c>
      <c r="C878" s="1" t="n">
        <v>45852</v>
      </c>
      <c r="D878" t="inlineStr">
        <is>
          <t>DALARNAS LÄN</t>
        </is>
      </c>
      <c r="E878" t="inlineStr">
        <is>
          <t>LUDVIKA</t>
        </is>
      </c>
      <c r="F878" t="inlineStr">
        <is>
          <t>Bergvik skog väst AB</t>
        </is>
      </c>
      <c r="G878" t="n">
        <v>12.8</v>
      </c>
      <c r="H878" t="n">
        <v>0</v>
      </c>
      <c r="I878" t="n">
        <v>0</v>
      </c>
      <c r="J878" t="n">
        <v>0</v>
      </c>
      <c r="K878" t="n">
        <v>0</v>
      </c>
      <c r="L878" t="n">
        <v>0</v>
      </c>
      <c r="M878" t="n">
        <v>0</v>
      </c>
      <c r="N878" t="n">
        <v>0</v>
      </c>
      <c r="O878" t="n">
        <v>0</v>
      </c>
      <c r="P878" t="n">
        <v>0</v>
      </c>
      <c r="Q878" t="n">
        <v>0</v>
      </c>
      <c r="R878" s="2" t="inlineStr"/>
    </row>
    <row r="879" ht="15" customHeight="1">
      <c r="A879" t="inlineStr">
        <is>
          <t>A 23103-2024</t>
        </is>
      </c>
      <c r="B879" s="1" t="n">
        <v>45450</v>
      </c>
      <c r="C879" s="1" t="n">
        <v>45852</v>
      </c>
      <c r="D879" t="inlineStr">
        <is>
          <t>DALARNAS LÄN</t>
        </is>
      </c>
      <c r="E879" t="inlineStr">
        <is>
          <t>LUDVIKA</t>
        </is>
      </c>
      <c r="G879" t="n">
        <v>0.6</v>
      </c>
      <c r="H879" t="n">
        <v>0</v>
      </c>
      <c r="I879" t="n">
        <v>0</v>
      </c>
      <c r="J879" t="n">
        <v>0</v>
      </c>
      <c r="K879" t="n">
        <v>0</v>
      </c>
      <c r="L879" t="n">
        <v>0</v>
      </c>
      <c r="M879" t="n">
        <v>0</v>
      </c>
      <c r="N879" t="n">
        <v>0</v>
      </c>
      <c r="O879" t="n">
        <v>0</v>
      </c>
      <c r="P879" t="n">
        <v>0</v>
      </c>
      <c r="Q879" t="n">
        <v>0</v>
      </c>
      <c r="R879" s="2" t="inlineStr"/>
    </row>
    <row r="880" ht="15" customHeight="1">
      <c r="A880" t="inlineStr">
        <is>
          <t>A 23443-2024</t>
        </is>
      </c>
      <c r="B880" s="1" t="n">
        <v>45453</v>
      </c>
      <c r="C880" s="1" t="n">
        <v>45852</v>
      </c>
      <c r="D880" t="inlineStr">
        <is>
          <t>DALARNAS LÄN</t>
        </is>
      </c>
      <c r="E880" t="inlineStr">
        <is>
          <t>LUDVIKA</t>
        </is>
      </c>
      <c r="F880" t="inlineStr">
        <is>
          <t>Bergvik skog väst AB</t>
        </is>
      </c>
      <c r="G880" t="n">
        <v>3.2</v>
      </c>
      <c r="H880" t="n">
        <v>0</v>
      </c>
      <c r="I880" t="n">
        <v>0</v>
      </c>
      <c r="J880" t="n">
        <v>0</v>
      </c>
      <c r="K880" t="n">
        <v>0</v>
      </c>
      <c r="L880" t="n">
        <v>0</v>
      </c>
      <c r="M880" t="n">
        <v>0</v>
      </c>
      <c r="N880" t="n">
        <v>0</v>
      </c>
      <c r="O880" t="n">
        <v>0</v>
      </c>
      <c r="P880" t="n">
        <v>0</v>
      </c>
      <c r="Q880" t="n">
        <v>0</v>
      </c>
      <c r="R880" s="2" t="inlineStr"/>
    </row>
    <row r="881" ht="15" customHeight="1">
      <c r="A881" t="inlineStr">
        <is>
          <t>A 23392-2024</t>
        </is>
      </c>
      <c r="B881" s="1" t="n">
        <v>45453</v>
      </c>
      <c r="C881" s="1" t="n">
        <v>45852</v>
      </c>
      <c r="D881" t="inlineStr">
        <is>
          <t>DALARNAS LÄN</t>
        </is>
      </c>
      <c r="E881" t="inlineStr">
        <is>
          <t>LUDVIKA</t>
        </is>
      </c>
      <c r="G881" t="n">
        <v>5.2</v>
      </c>
      <c r="H881" t="n">
        <v>0</v>
      </c>
      <c r="I881" t="n">
        <v>0</v>
      </c>
      <c r="J881" t="n">
        <v>0</v>
      </c>
      <c r="K881" t="n">
        <v>0</v>
      </c>
      <c r="L881" t="n">
        <v>0</v>
      </c>
      <c r="M881" t="n">
        <v>0</v>
      </c>
      <c r="N881" t="n">
        <v>0</v>
      </c>
      <c r="O881" t="n">
        <v>0</v>
      </c>
      <c r="P881" t="n">
        <v>0</v>
      </c>
      <c r="Q881" t="n">
        <v>0</v>
      </c>
      <c r="R881" s="2" t="inlineStr"/>
    </row>
    <row r="882" ht="15" customHeight="1">
      <c r="A882" t="inlineStr">
        <is>
          <t>A 23383-2024</t>
        </is>
      </c>
      <c r="B882" s="1" t="n">
        <v>45453</v>
      </c>
      <c r="C882" s="1" t="n">
        <v>45852</v>
      </c>
      <c r="D882" t="inlineStr">
        <is>
          <t>DALARNAS LÄN</t>
        </is>
      </c>
      <c r="E882" t="inlineStr">
        <is>
          <t>LUDVIKA</t>
        </is>
      </c>
      <c r="G882" t="n">
        <v>1.6</v>
      </c>
      <c r="H882" t="n">
        <v>0</v>
      </c>
      <c r="I882" t="n">
        <v>0</v>
      </c>
      <c r="J882" t="n">
        <v>0</v>
      </c>
      <c r="K882" t="n">
        <v>0</v>
      </c>
      <c r="L882" t="n">
        <v>0</v>
      </c>
      <c r="M882" t="n">
        <v>0</v>
      </c>
      <c r="N882" t="n">
        <v>0</v>
      </c>
      <c r="O882" t="n">
        <v>0</v>
      </c>
      <c r="P882" t="n">
        <v>0</v>
      </c>
      <c r="Q882" t="n">
        <v>0</v>
      </c>
      <c r="R882" s="2" t="inlineStr"/>
    </row>
    <row r="883" ht="15" customHeight="1">
      <c r="A883" t="inlineStr">
        <is>
          <t>A 23363-2024</t>
        </is>
      </c>
      <c r="B883" s="1" t="n">
        <v>45453</v>
      </c>
      <c r="C883" s="1" t="n">
        <v>45852</v>
      </c>
      <c r="D883" t="inlineStr">
        <is>
          <t>DALARNAS LÄN</t>
        </is>
      </c>
      <c r="E883" t="inlineStr">
        <is>
          <t>LUDVIKA</t>
        </is>
      </c>
      <c r="G883" t="n">
        <v>6.4</v>
      </c>
      <c r="H883" t="n">
        <v>0</v>
      </c>
      <c r="I883" t="n">
        <v>0</v>
      </c>
      <c r="J883" t="n">
        <v>0</v>
      </c>
      <c r="K883" t="n">
        <v>0</v>
      </c>
      <c r="L883" t="n">
        <v>0</v>
      </c>
      <c r="M883" t="n">
        <v>0</v>
      </c>
      <c r="N883" t="n">
        <v>0</v>
      </c>
      <c r="O883" t="n">
        <v>0</v>
      </c>
      <c r="P883" t="n">
        <v>0</v>
      </c>
      <c r="Q883" t="n">
        <v>0</v>
      </c>
      <c r="R883" s="2" t="inlineStr"/>
    </row>
    <row r="884" ht="15" customHeight="1">
      <c r="A884" t="inlineStr">
        <is>
          <t>A 23689-2024</t>
        </is>
      </c>
      <c r="B884" s="1" t="n">
        <v>45454</v>
      </c>
      <c r="C884" s="1" t="n">
        <v>45852</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23867-2024</t>
        </is>
      </c>
      <c r="B885" s="1" t="n">
        <v>45455</v>
      </c>
      <c r="C885" s="1" t="n">
        <v>45852</v>
      </c>
      <c r="D885" t="inlineStr">
        <is>
          <t>DALARNAS LÄN</t>
        </is>
      </c>
      <c r="E885" t="inlineStr">
        <is>
          <t>LUDVIKA</t>
        </is>
      </c>
      <c r="G885" t="n">
        <v>2.4</v>
      </c>
      <c r="H885" t="n">
        <v>0</v>
      </c>
      <c r="I885" t="n">
        <v>0</v>
      </c>
      <c r="J885" t="n">
        <v>0</v>
      </c>
      <c r="K885" t="n">
        <v>0</v>
      </c>
      <c r="L885" t="n">
        <v>0</v>
      </c>
      <c r="M885" t="n">
        <v>0</v>
      </c>
      <c r="N885" t="n">
        <v>0</v>
      </c>
      <c r="O885" t="n">
        <v>0</v>
      </c>
      <c r="P885" t="n">
        <v>0</v>
      </c>
      <c r="Q885" t="n">
        <v>0</v>
      </c>
      <c r="R885" s="2" t="inlineStr"/>
    </row>
    <row r="886" ht="15" customHeight="1">
      <c r="A886" t="inlineStr">
        <is>
          <t>A 24712-2024</t>
        </is>
      </c>
      <c r="B886" s="1" t="n">
        <v>45460</v>
      </c>
      <c r="C886" s="1" t="n">
        <v>45852</v>
      </c>
      <c r="D886" t="inlineStr">
        <is>
          <t>DALARNAS LÄN</t>
        </is>
      </c>
      <c r="E886" t="inlineStr">
        <is>
          <t>LUDVIKA</t>
        </is>
      </c>
      <c r="G886" t="n">
        <v>4.2</v>
      </c>
      <c r="H886" t="n">
        <v>0</v>
      </c>
      <c r="I886" t="n">
        <v>0</v>
      </c>
      <c r="J886" t="n">
        <v>0</v>
      </c>
      <c r="K886" t="n">
        <v>0</v>
      </c>
      <c r="L886" t="n">
        <v>0</v>
      </c>
      <c r="M886" t="n">
        <v>0</v>
      </c>
      <c r="N886" t="n">
        <v>0</v>
      </c>
      <c r="O886" t="n">
        <v>0</v>
      </c>
      <c r="P886" t="n">
        <v>0</v>
      </c>
      <c r="Q886" t="n">
        <v>0</v>
      </c>
      <c r="R886" s="2" t="inlineStr"/>
    </row>
    <row r="887" ht="15" customHeight="1">
      <c r="A887" t="inlineStr">
        <is>
          <t>A 24977-2024</t>
        </is>
      </c>
      <c r="B887" s="1" t="n">
        <v>45461</v>
      </c>
      <c r="C887" s="1" t="n">
        <v>45852</v>
      </c>
      <c r="D887" t="inlineStr">
        <is>
          <t>DALARNAS LÄN</t>
        </is>
      </c>
      <c r="E887" t="inlineStr">
        <is>
          <t>LUDVIKA</t>
        </is>
      </c>
      <c r="F887" t="inlineStr">
        <is>
          <t>Bergvik skog väst AB</t>
        </is>
      </c>
      <c r="G887" t="n">
        <v>15.4</v>
      </c>
      <c r="H887" t="n">
        <v>0</v>
      </c>
      <c r="I887" t="n">
        <v>0</v>
      </c>
      <c r="J887" t="n">
        <v>0</v>
      </c>
      <c r="K887" t="n">
        <v>0</v>
      </c>
      <c r="L887" t="n">
        <v>0</v>
      </c>
      <c r="M887" t="n">
        <v>0</v>
      </c>
      <c r="N887" t="n">
        <v>0</v>
      </c>
      <c r="O887" t="n">
        <v>0</v>
      </c>
      <c r="P887" t="n">
        <v>0</v>
      </c>
      <c r="Q887" t="n">
        <v>0</v>
      </c>
      <c r="R887" s="2" t="inlineStr"/>
    </row>
    <row r="888" ht="15" customHeight="1">
      <c r="A888" t="inlineStr">
        <is>
          <t>A 25281-2024</t>
        </is>
      </c>
      <c r="B888" s="1" t="n">
        <v>45462</v>
      </c>
      <c r="C888" s="1" t="n">
        <v>45852</v>
      </c>
      <c r="D888" t="inlineStr">
        <is>
          <t>DALARNAS LÄN</t>
        </is>
      </c>
      <c r="E888" t="inlineStr">
        <is>
          <t>LUDVIKA</t>
        </is>
      </c>
      <c r="F888" t="inlineStr">
        <is>
          <t>Bergvik skog väst AB</t>
        </is>
      </c>
      <c r="G888" t="n">
        <v>14.8</v>
      </c>
      <c r="H888" t="n">
        <v>0</v>
      </c>
      <c r="I888" t="n">
        <v>0</v>
      </c>
      <c r="J888" t="n">
        <v>0</v>
      </c>
      <c r="K888" t="n">
        <v>0</v>
      </c>
      <c r="L888" t="n">
        <v>0</v>
      </c>
      <c r="M888" t="n">
        <v>0</v>
      </c>
      <c r="N888" t="n">
        <v>0</v>
      </c>
      <c r="O888" t="n">
        <v>0</v>
      </c>
      <c r="P888" t="n">
        <v>0</v>
      </c>
      <c r="Q888" t="n">
        <v>0</v>
      </c>
      <c r="R888" s="2" t="inlineStr"/>
    </row>
    <row r="889" ht="15" customHeight="1">
      <c r="A889" t="inlineStr">
        <is>
          <t>A 26856-2024</t>
        </is>
      </c>
      <c r="B889" s="1" t="n">
        <v>45470</v>
      </c>
      <c r="C889" s="1" t="n">
        <v>45852</v>
      </c>
      <c r="D889" t="inlineStr">
        <is>
          <t>DALARNAS LÄN</t>
        </is>
      </c>
      <c r="E889" t="inlineStr">
        <is>
          <t>LUDVIKA</t>
        </is>
      </c>
      <c r="G889" t="n">
        <v>3.2</v>
      </c>
      <c r="H889" t="n">
        <v>0</v>
      </c>
      <c r="I889" t="n">
        <v>0</v>
      </c>
      <c r="J889" t="n">
        <v>0</v>
      </c>
      <c r="K889" t="n">
        <v>0</v>
      </c>
      <c r="L889" t="n">
        <v>0</v>
      </c>
      <c r="M889" t="n">
        <v>0</v>
      </c>
      <c r="N889" t="n">
        <v>0</v>
      </c>
      <c r="O889" t="n">
        <v>0</v>
      </c>
      <c r="P889" t="n">
        <v>0</v>
      </c>
      <c r="Q889" t="n">
        <v>0</v>
      </c>
      <c r="R889" s="2" t="inlineStr"/>
    </row>
    <row r="890" ht="15" customHeight="1">
      <c r="A890" t="inlineStr">
        <is>
          <t>A 27044-2024</t>
        </is>
      </c>
      <c r="B890" s="1" t="n">
        <v>45471</v>
      </c>
      <c r="C890" s="1" t="n">
        <v>45852</v>
      </c>
      <c r="D890" t="inlineStr">
        <is>
          <t>DALARNAS LÄN</t>
        </is>
      </c>
      <c r="E890" t="inlineStr">
        <is>
          <t>LUDVIKA</t>
        </is>
      </c>
      <c r="G890" t="n">
        <v>0.7</v>
      </c>
      <c r="H890" t="n">
        <v>0</v>
      </c>
      <c r="I890" t="n">
        <v>0</v>
      </c>
      <c r="J890" t="n">
        <v>0</v>
      </c>
      <c r="K890" t="n">
        <v>0</v>
      </c>
      <c r="L890" t="n">
        <v>0</v>
      </c>
      <c r="M890" t="n">
        <v>0</v>
      </c>
      <c r="N890" t="n">
        <v>0</v>
      </c>
      <c r="O890" t="n">
        <v>0</v>
      </c>
      <c r="P890" t="n">
        <v>0</v>
      </c>
      <c r="Q890" t="n">
        <v>0</v>
      </c>
      <c r="R890" s="2" t="inlineStr"/>
    </row>
    <row r="891" ht="15" customHeight="1">
      <c r="A891" t="inlineStr">
        <is>
          <t>A 27389-2024</t>
        </is>
      </c>
      <c r="B891" s="1" t="n">
        <v>45474</v>
      </c>
      <c r="C891" s="1" t="n">
        <v>45852</v>
      </c>
      <c r="D891" t="inlineStr">
        <is>
          <t>DALARNAS LÄN</t>
        </is>
      </c>
      <c r="E891" t="inlineStr">
        <is>
          <t>LUDVIKA</t>
        </is>
      </c>
      <c r="G891" t="n">
        <v>0.6</v>
      </c>
      <c r="H891" t="n">
        <v>0</v>
      </c>
      <c r="I891" t="n">
        <v>0</v>
      </c>
      <c r="J891" t="n">
        <v>0</v>
      </c>
      <c r="K891" t="n">
        <v>0</v>
      </c>
      <c r="L891" t="n">
        <v>0</v>
      </c>
      <c r="M891" t="n">
        <v>0</v>
      </c>
      <c r="N891" t="n">
        <v>0</v>
      </c>
      <c r="O891" t="n">
        <v>0</v>
      </c>
      <c r="P891" t="n">
        <v>0</v>
      </c>
      <c r="Q891" t="n">
        <v>0</v>
      </c>
      <c r="R891" s="2" t="inlineStr"/>
    </row>
    <row r="892" ht="15" customHeight="1">
      <c r="A892" t="inlineStr">
        <is>
          <t>A 27425-2024</t>
        </is>
      </c>
      <c r="B892" s="1" t="n">
        <v>45474</v>
      </c>
      <c r="C892" s="1" t="n">
        <v>45852</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27429-2024</t>
        </is>
      </c>
      <c r="B893" s="1" t="n">
        <v>45474</v>
      </c>
      <c r="C893" s="1" t="n">
        <v>45852</v>
      </c>
      <c r="D893" t="inlineStr">
        <is>
          <t>DALARNAS LÄN</t>
        </is>
      </c>
      <c r="E893" t="inlineStr">
        <is>
          <t>LUDVIKA</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28085-2024</t>
        </is>
      </c>
      <c r="B894" s="1" t="n">
        <v>45476</v>
      </c>
      <c r="C894" s="1" t="n">
        <v>45852</v>
      </c>
      <c r="D894" t="inlineStr">
        <is>
          <t>DALARNAS LÄN</t>
        </is>
      </c>
      <c r="E894" t="inlineStr">
        <is>
          <t>LUDVIKA</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28124-2024</t>
        </is>
      </c>
      <c r="B895" s="1" t="n">
        <v>45476</v>
      </c>
      <c r="C895" s="1" t="n">
        <v>45852</v>
      </c>
      <c r="D895" t="inlineStr">
        <is>
          <t>DALARNAS LÄN</t>
        </is>
      </c>
      <c r="E895" t="inlineStr">
        <is>
          <t>LUDVIKA</t>
        </is>
      </c>
      <c r="F895" t="inlineStr">
        <is>
          <t>Bergvik skog väst AB</t>
        </is>
      </c>
      <c r="G895" t="n">
        <v>2.9</v>
      </c>
      <c r="H895" t="n">
        <v>0</v>
      </c>
      <c r="I895" t="n">
        <v>0</v>
      </c>
      <c r="J895" t="n">
        <v>0</v>
      </c>
      <c r="K895" t="n">
        <v>0</v>
      </c>
      <c r="L895" t="n">
        <v>0</v>
      </c>
      <c r="M895" t="n">
        <v>0</v>
      </c>
      <c r="N895" t="n">
        <v>0</v>
      </c>
      <c r="O895" t="n">
        <v>0</v>
      </c>
      <c r="P895" t="n">
        <v>0</v>
      </c>
      <c r="Q895" t="n">
        <v>0</v>
      </c>
      <c r="R895" s="2" t="inlineStr"/>
    </row>
    <row r="896" ht="15" customHeight="1">
      <c r="A896" t="inlineStr">
        <is>
          <t>A 28698-2024</t>
        </is>
      </c>
      <c r="B896" s="1" t="n">
        <v>45478</v>
      </c>
      <c r="C896" s="1" t="n">
        <v>45852</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29114-2024</t>
        </is>
      </c>
      <c r="B897" s="1" t="n">
        <v>45482</v>
      </c>
      <c r="C897" s="1" t="n">
        <v>45852</v>
      </c>
      <c r="D897" t="inlineStr">
        <is>
          <t>DALARNAS LÄN</t>
        </is>
      </c>
      <c r="E897" t="inlineStr">
        <is>
          <t>LUDVIKA</t>
        </is>
      </c>
      <c r="G897" t="n">
        <v>1</v>
      </c>
      <c r="H897" t="n">
        <v>0</v>
      </c>
      <c r="I897" t="n">
        <v>0</v>
      </c>
      <c r="J897" t="n">
        <v>0</v>
      </c>
      <c r="K897" t="n">
        <v>0</v>
      </c>
      <c r="L897" t="n">
        <v>0</v>
      </c>
      <c r="M897" t="n">
        <v>0</v>
      </c>
      <c r="N897" t="n">
        <v>0</v>
      </c>
      <c r="O897" t="n">
        <v>0</v>
      </c>
      <c r="P897" t="n">
        <v>0</v>
      </c>
      <c r="Q897" t="n">
        <v>0</v>
      </c>
      <c r="R897" s="2" t="inlineStr"/>
    </row>
    <row r="898" ht="15" customHeight="1">
      <c r="A898" t="inlineStr">
        <is>
          <t>A 29007-2024</t>
        </is>
      </c>
      <c r="B898" s="1" t="n">
        <v>45481</v>
      </c>
      <c r="C898" s="1" t="n">
        <v>45852</v>
      </c>
      <c r="D898" t="inlineStr">
        <is>
          <t>DALARNAS LÄN</t>
        </is>
      </c>
      <c r="E898" t="inlineStr">
        <is>
          <t>LUDVIKA</t>
        </is>
      </c>
      <c r="G898" t="n">
        <v>2.4</v>
      </c>
      <c r="H898" t="n">
        <v>0</v>
      </c>
      <c r="I898" t="n">
        <v>0</v>
      </c>
      <c r="J898" t="n">
        <v>0</v>
      </c>
      <c r="K898" t="n">
        <v>0</v>
      </c>
      <c r="L898" t="n">
        <v>0</v>
      </c>
      <c r="M898" t="n">
        <v>0</v>
      </c>
      <c r="N898" t="n">
        <v>0</v>
      </c>
      <c r="O898" t="n">
        <v>0</v>
      </c>
      <c r="P898" t="n">
        <v>0</v>
      </c>
      <c r="Q898" t="n">
        <v>0</v>
      </c>
      <c r="R898" s="2" t="inlineStr"/>
    </row>
    <row r="899" ht="15" customHeight="1">
      <c r="A899" t="inlineStr">
        <is>
          <t>A 28921-2024</t>
        </is>
      </c>
      <c r="B899" s="1" t="n">
        <v>45481</v>
      </c>
      <c r="C899" s="1" t="n">
        <v>45852</v>
      </c>
      <c r="D899" t="inlineStr">
        <is>
          <t>DALARNAS LÄN</t>
        </is>
      </c>
      <c r="E899" t="inlineStr">
        <is>
          <t>LUDVIKA</t>
        </is>
      </c>
      <c r="G899" t="n">
        <v>4.2</v>
      </c>
      <c r="H899" t="n">
        <v>0</v>
      </c>
      <c r="I899" t="n">
        <v>0</v>
      </c>
      <c r="J899" t="n">
        <v>0</v>
      </c>
      <c r="K899" t="n">
        <v>0</v>
      </c>
      <c r="L899" t="n">
        <v>0</v>
      </c>
      <c r="M899" t="n">
        <v>0</v>
      </c>
      <c r="N899" t="n">
        <v>0</v>
      </c>
      <c r="O899" t="n">
        <v>0</v>
      </c>
      <c r="P899" t="n">
        <v>0</v>
      </c>
      <c r="Q899" t="n">
        <v>0</v>
      </c>
      <c r="R899" s="2" t="inlineStr"/>
    </row>
    <row r="900" ht="15" customHeight="1">
      <c r="A900" t="inlineStr">
        <is>
          <t>A 29320-2024</t>
        </is>
      </c>
      <c r="B900" s="1" t="n">
        <v>45483</v>
      </c>
      <c r="C900" s="1" t="n">
        <v>45852</v>
      </c>
      <c r="D900" t="inlineStr">
        <is>
          <t>DALARNAS LÄN</t>
        </is>
      </c>
      <c r="E900" t="inlineStr">
        <is>
          <t>LUDVIKA</t>
        </is>
      </c>
      <c r="G900" t="n">
        <v>4.6</v>
      </c>
      <c r="H900" t="n">
        <v>0</v>
      </c>
      <c r="I900" t="n">
        <v>0</v>
      </c>
      <c r="J900" t="n">
        <v>0</v>
      </c>
      <c r="K900" t="n">
        <v>0</v>
      </c>
      <c r="L900" t="n">
        <v>0</v>
      </c>
      <c r="M900" t="n">
        <v>0</v>
      </c>
      <c r="N900" t="n">
        <v>0</v>
      </c>
      <c r="O900" t="n">
        <v>0</v>
      </c>
      <c r="P900" t="n">
        <v>0</v>
      </c>
      <c r="Q900" t="n">
        <v>0</v>
      </c>
      <c r="R900" s="2" t="inlineStr"/>
    </row>
    <row r="901" ht="15" customHeight="1">
      <c r="A901" t="inlineStr">
        <is>
          <t>A 29453-2024</t>
        </is>
      </c>
      <c r="B901" s="1" t="n">
        <v>45484</v>
      </c>
      <c r="C901" s="1" t="n">
        <v>45852</v>
      </c>
      <c r="D901" t="inlineStr">
        <is>
          <t>DALARNAS LÄN</t>
        </is>
      </c>
      <c r="E901" t="inlineStr">
        <is>
          <t>LUDVIKA</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29965-2024</t>
        </is>
      </c>
      <c r="B902" s="1" t="n">
        <v>45485</v>
      </c>
      <c r="C902" s="1" t="n">
        <v>45852</v>
      </c>
      <c r="D902" t="inlineStr">
        <is>
          <t>DALARNAS LÄN</t>
        </is>
      </c>
      <c r="E902" t="inlineStr">
        <is>
          <t>LUDVIKA</t>
        </is>
      </c>
      <c r="G902" t="n">
        <v>11.4</v>
      </c>
      <c r="H902" t="n">
        <v>0</v>
      </c>
      <c r="I902" t="n">
        <v>0</v>
      </c>
      <c r="J902" t="n">
        <v>0</v>
      </c>
      <c r="K902" t="n">
        <v>0</v>
      </c>
      <c r="L902" t="n">
        <v>0</v>
      </c>
      <c r="M902" t="n">
        <v>0</v>
      </c>
      <c r="N902" t="n">
        <v>0</v>
      </c>
      <c r="O902" t="n">
        <v>0</v>
      </c>
      <c r="P902" t="n">
        <v>0</v>
      </c>
      <c r="Q902" t="n">
        <v>0</v>
      </c>
      <c r="R902" s="2" t="inlineStr"/>
    </row>
    <row r="903" ht="15" customHeight="1">
      <c r="A903" t="inlineStr">
        <is>
          <t>A 29743-2024</t>
        </is>
      </c>
      <c r="B903" s="1" t="n">
        <v>45485</v>
      </c>
      <c r="C903" s="1" t="n">
        <v>45852</v>
      </c>
      <c r="D903" t="inlineStr">
        <is>
          <t>DALARNAS LÄN</t>
        </is>
      </c>
      <c r="E903" t="inlineStr">
        <is>
          <t>LUDVIKA</t>
        </is>
      </c>
      <c r="G903" t="n">
        <v>0.7</v>
      </c>
      <c r="H903" t="n">
        <v>0</v>
      </c>
      <c r="I903" t="n">
        <v>0</v>
      </c>
      <c r="J903" t="n">
        <v>0</v>
      </c>
      <c r="K903" t="n">
        <v>0</v>
      </c>
      <c r="L903" t="n">
        <v>0</v>
      </c>
      <c r="M903" t="n">
        <v>0</v>
      </c>
      <c r="N903" t="n">
        <v>0</v>
      </c>
      <c r="O903" t="n">
        <v>0</v>
      </c>
      <c r="P903" t="n">
        <v>0</v>
      </c>
      <c r="Q903" t="n">
        <v>0</v>
      </c>
      <c r="R903" s="2" t="inlineStr"/>
    </row>
    <row r="904" ht="15" customHeight="1">
      <c r="A904" t="inlineStr">
        <is>
          <t>A 29709-2024</t>
        </is>
      </c>
      <c r="B904" s="1" t="n">
        <v>45485</v>
      </c>
      <c r="C904" s="1" t="n">
        <v>45852</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29780-2024</t>
        </is>
      </c>
      <c r="B905" s="1" t="n">
        <v>45485</v>
      </c>
      <c r="C905" s="1" t="n">
        <v>45852</v>
      </c>
      <c r="D905" t="inlineStr">
        <is>
          <t>DALARNAS LÄN</t>
        </is>
      </c>
      <c r="E905" t="inlineStr">
        <is>
          <t>LUDVIKA</t>
        </is>
      </c>
      <c r="F905" t="inlineStr">
        <is>
          <t>Bergvik skog väst AB</t>
        </is>
      </c>
      <c r="G905" t="n">
        <v>1.2</v>
      </c>
      <c r="H905" t="n">
        <v>0</v>
      </c>
      <c r="I905" t="n">
        <v>0</v>
      </c>
      <c r="J905" t="n">
        <v>0</v>
      </c>
      <c r="K905" t="n">
        <v>0</v>
      </c>
      <c r="L905" t="n">
        <v>0</v>
      </c>
      <c r="M905" t="n">
        <v>0</v>
      </c>
      <c r="N905" t="n">
        <v>0</v>
      </c>
      <c r="O905" t="n">
        <v>0</v>
      </c>
      <c r="P905" t="n">
        <v>0</v>
      </c>
      <c r="Q905" t="n">
        <v>0</v>
      </c>
      <c r="R905" s="2" t="inlineStr"/>
    </row>
    <row r="906" ht="15" customHeight="1">
      <c r="A906" t="inlineStr">
        <is>
          <t>A 29757-2024</t>
        </is>
      </c>
      <c r="B906" s="1" t="n">
        <v>45485</v>
      </c>
      <c r="C906" s="1" t="n">
        <v>45852</v>
      </c>
      <c r="D906" t="inlineStr">
        <is>
          <t>DALARNAS LÄN</t>
        </is>
      </c>
      <c r="E906" t="inlineStr">
        <is>
          <t>LUDVIKA</t>
        </is>
      </c>
      <c r="F906" t="inlineStr">
        <is>
          <t>Bergvik skog väst AB</t>
        </is>
      </c>
      <c r="G906" t="n">
        <v>2.5</v>
      </c>
      <c r="H906" t="n">
        <v>0</v>
      </c>
      <c r="I906" t="n">
        <v>0</v>
      </c>
      <c r="J906" t="n">
        <v>0</v>
      </c>
      <c r="K906" t="n">
        <v>0</v>
      </c>
      <c r="L906" t="n">
        <v>0</v>
      </c>
      <c r="M906" t="n">
        <v>0</v>
      </c>
      <c r="N906" t="n">
        <v>0</v>
      </c>
      <c r="O906" t="n">
        <v>0</v>
      </c>
      <c r="P906" t="n">
        <v>0</v>
      </c>
      <c r="Q906" t="n">
        <v>0</v>
      </c>
      <c r="R906" s="2" t="inlineStr"/>
    </row>
    <row r="907" ht="15" customHeight="1">
      <c r="A907" t="inlineStr">
        <is>
          <t>A 29882-2024</t>
        </is>
      </c>
      <c r="B907" s="1" t="n">
        <v>45486</v>
      </c>
      <c r="C907" s="1" t="n">
        <v>45852</v>
      </c>
      <c r="D907" t="inlineStr">
        <is>
          <t>DALARNAS LÄN</t>
        </is>
      </c>
      <c r="E907" t="inlineStr">
        <is>
          <t>LUDVIKA</t>
        </is>
      </c>
      <c r="G907" t="n">
        <v>1.3</v>
      </c>
      <c r="H907" t="n">
        <v>0</v>
      </c>
      <c r="I907" t="n">
        <v>0</v>
      </c>
      <c r="J907" t="n">
        <v>0</v>
      </c>
      <c r="K907" t="n">
        <v>0</v>
      </c>
      <c r="L907" t="n">
        <v>0</v>
      </c>
      <c r="M907" t="n">
        <v>0</v>
      </c>
      <c r="N907" t="n">
        <v>0</v>
      </c>
      <c r="O907" t="n">
        <v>0</v>
      </c>
      <c r="P907" t="n">
        <v>0</v>
      </c>
      <c r="Q907" t="n">
        <v>0</v>
      </c>
      <c r="R907" s="2" t="inlineStr"/>
    </row>
    <row r="908" ht="15" customHeight="1">
      <c r="A908" t="inlineStr">
        <is>
          <t>A 30039-2024</t>
        </is>
      </c>
      <c r="B908" s="1" t="n">
        <v>45488</v>
      </c>
      <c r="C908" s="1" t="n">
        <v>45852</v>
      </c>
      <c r="D908" t="inlineStr">
        <is>
          <t>DALARNAS LÄN</t>
        </is>
      </c>
      <c r="E908" t="inlineStr">
        <is>
          <t>LUDVIKA</t>
        </is>
      </c>
      <c r="G908" t="n">
        <v>1.3</v>
      </c>
      <c r="H908" t="n">
        <v>0</v>
      </c>
      <c r="I908" t="n">
        <v>0</v>
      </c>
      <c r="J908" t="n">
        <v>0</v>
      </c>
      <c r="K908" t="n">
        <v>0</v>
      </c>
      <c r="L908" t="n">
        <v>0</v>
      </c>
      <c r="M908" t="n">
        <v>0</v>
      </c>
      <c r="N908" t="n">
        <v>0</v>
      </c>
      <c r="O908" t="n">
        <v>0</v>
      </c>
      <c r="P908" t="n">
        <v>0</v>
      </c>
      <c r="Q908" t="n">
        <v>0</v>
      </c>
      <c r="R908" s="2" t="inlineStr"/>
    </row>
    <row r="909" ht="15" customHeight="1">
      <c r="A909" t="inlineStr">
        <is>
          <t>A 30844-2024</t>
        </is>
      </c>
      <c r="B909" s="1" t="n">
        <v>45497</v>
      </c>
      <c r="C909" s="1" t="n">
        <v>45852</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30977-2024</t>
        </is>
      </c>
      <c r="B910" s="1" t="n">
        <v>45499</v>
      </c>
      <c r="C910" s="1" t="n">
        <v>45852</v>
      </c>
      <c r="D910" t="inlineStr">
        <is>
          <t>DALARNAS LÄN</t>
        </is>
      </c>
      <c r="E910" t="inlineStr">
        <is>
          <t>LUDVIKA</t>
        </is>
      </c>
      <c r="G910" t="n">
        <v>3.3</v>
      </c>
      <c r="H910" t="n">
        <v>0</v>
      </c>
      <c r="I910" t="n">
        <v>0</v>
      </c>
      <c r="J910" t="n">
        <v>0</v>
      </c>
      <c r="K910" t="n">
        <v>0</v>
      </c>
      <c r="L910" t="n">
        <v>0</v>
      </c>
      <c r="M910" t="n">
        <v>0</v>
      </c>
      <c r="N910" t="n">
        <v>0</v>
      </c>
      <c r="O910" t="n">
        <v>0</v>
      </c>
      <c r="P910" t="n">
        <v>0</v>
      </c>
      <c r="Q910" t="n">
        <v>0</v>
      </c>
      <c r="R910" s="2" t="inlineStr"/>
    </row>
    <row r="911" ht="15" customHeight="1">
      <c r="A911" t="inlineStr">
        <is>
          <t>A 31043-2024</t>
        </is>
      </c>
      <c r="B911" s="1" t="n">
        <v>45502</v>
      </c>
      <c r="C911" s="1" t="n">
        <v>45852</v>
      </c>
      <c r="D911" t="inlineStr">
        <is>
          <t>DALARNAS LÄN</t>
        </is>
      </c>
      <c r="E911" t="inlineStr">
        <is>
          <t>LUDVIKA</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31100-2024</t>
        </is>
      </c>
      <c r="B912" s="1" t="n">
        <v>45502</v>
      </c>
      <c r="C912" s="1" t="n">
        <v>45852</v>
      </c>
      <c r="D912" t="inlineStr">
        <is>
          <t>DALARNAS LÄN</t>
        </is>
      </c>
      <c r="E912" t="inlineStr">
        <is>
          <t>LUDVIKA</t>
        </is>
      </c>
      <c r="G912" t="n">
        <v>1.7</v>
      </c>
      <c r="H912" t="n">
        <v>0</v>
      </c>
      <c r="I912" t="n">
        <v>0</v>
      </c>
      <c r="J912" t="n">
        <v>0</v>
      </c>
      <c r="K912" t="n">
        <v>0</v>
      </c>
      <c r="L912" t="n">
        <v>0</v>
      </c>
      <c r="M912" t="n">
        <v>0</v>
      </c>
      <c r="N912" t="n">
        <v>0</v>
      </c>
      <c r="O912" t="n">
        <v>0</v>
      </c>
      <c r="P912" t="n">
        <v>0</v>
      </c>
      <c r="Q912" t="n">
        <v>0</v>
      </c>
      <c r="R912" s="2" t="inlineStr"/>
    </row>
    <row r="913" ht="15" customHeight="1">
      <c r="A913" t="inlineStr">
        <is>
          <t>A 31041-2024</t>
        </is>
      </c>
      <c r="B913" s="1" t="n">
        <v>45502</v>
      </c>
      <c r="C913" s="1" t="n">
        <v>45852</v>
      </c>
      <c r="D913" t="inlineStr">
        <is>
          <t>DALARNAS LÄN</t>
        </is>
      </c>
      <c r="E913" t="inlineStr">
        <is>
          <t>LUDVIKA</t>
        </is>
      </c>
      <c r="F913" t="inlineStr">
        <is>
          <t>Bergvik skog väst AB</t>
        </is>
      </c>
      <c r="G913" t="n">
        <v>4.6</v>
      </c>
      <c r="H913" t="n">
        <v>0</v>
      </c>
      <c r="I913" t="n">
        <v>0</v>
      </c>
      <c r="J913" t="n">
        <v>0</v>
      </c>
      <c r="K913" t="n">
        <v>0</v>
      </c>
      <c r="L913" t="n">
        <v>0</v>
      </c>
      <c r="M913" t="n">
        <v>0</v>
      </c>
      <c r="N913" t="n">
        <v>0</v>
      </c>
      <c r="O913" t="n">
        <v>0</v>
      </c>
      <c r="P913" t="n">
        <v>0</v>
      </c>
      <c r="Q913" t="n">
        <v>0</v>
      </c>
      <c r="R913" s="2" t="inlineStr"/>
    </row>
    <row r="914" ht="15" customHeight="1">
      <c r="A914" t="inlineStr">
        <is>
          <t>A 31188-2024</t>
        </is>
      </c>
      <c r="B914" s="1" t="n">
        <v>45503</v>
      </c>
      <c r="C914" s="1" t="n">
        <v>45852</v>
      </c>
      <c r="D914" t="inlineStr">
        <is>
          <t>DALARNAS LÄN</t>
        </is>
      </c>
      <c r="E914" t="inlineStr">
        <is>
          <t>LUDVIKA</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31219-2024</t>
        </is>
      </c>
      <c r="B915" s="1" t="n">
        <v>45503</v>
      </c>
      <c r="C915" s="1" t="n">
        <v>45852</v>
      </c>
      <c r="D915" t="inlineStr">
        <is>
          <t>DALARNAS LÄN</t>
        </is>
      </c>
      <c r="E915" t="inlineStr">
        <is>
          <t>LUDVIKA</t>
        </is>
      </c>
      <c r="F915" t="inlineStr">
        <is>
          <t>Bergvik skog väst AB</t>
        </is>
      </c>
      <c r="G915" t="n">
        <v>1.3</v>
      </c>
      <c r="H915" t="n">
        <v>0</v>
      </c>
      <c r="I915" t="n">
        <v>0</v>
      </c>
      <c r="J915" t="n">
        <v>0</v>
      </c>
      <c r="K915" t="n">
        <v>0</v>
      </c>
      <c r="L915" t="n">
        <v>0</v>
      </c>
      <c r="M915" t="n">
        <v>0</v>
      </c>
      <c r="N915" t="n">
        <v>0</v>
      </c>
      <c r="O915" t="n">
        <v>0</v>
      </c>
      <c r="P915" t="n">
        <v>0</v>
      </c>
      <c r="Q915" t="n">
        <v>0</v>
      </c>
      <c r="R915" s="2" t="inlineStr"/>
    </row>
    <row r="916" ht="15" customHeight="1">
      <c r="A916" t="inlineStr">
        <is>
          <t>A 31208-2024</t>
        </is>
      </c>
      <c r="B916" s="1" t="n">
        <v>45503</v>
      </c>
      <c r="C916" s="1" t="n">
        <v>45852</v>
      </c>
      <c r="D916" t="inlineStr">
        <is>
          <t>DALARNAS LÄN</t>
        </is>
      </c>
      <c r="E916" t="inlineStr">
        <is>
          <t>LUDVIKA</t>
        </is>
      </c>
      <c r="F916" t="inlineStr">
        <is>
          <t>Bergvik skog väst AB</t>
        </is>
      </c>
      <c r="G916" t="n">
        <v>0.6</v>
      </c>
      <c r="H916" t="n">
        <v>0</v>
      </c>
      <c r="I916" t="n">
        <v>0</v>
      </c>
      <c r="J916" t="n">
        <v>0</v>
      </c>
      <c r="K916" t="n">
        <v>0</v>
      </c>
      <c r="L916" t="n">
        <v>0</v>
      </c>
      <c r="M916" t="n">
        <v>0</v>
      </c>
      <c r="N916" t="n">
        <v>0</v>
      </c>
      <c r="O916" t="n">
        <v>0</v>
      </c>
      <c r="P916" t="n">
        <v>0</v>
      </c>
      <c r="Q916" t="n">
        <v>0</v>
      </c>
      <c r="R916" s="2" t="inlineStr"/>
    </row>
    <row r="917" ht="15" customHeight="1">
      <c r="A917" t="inlineStr">
        <is>
          <t>A 31181-2024</t>
        </is>
      </c>
      <c r="B917" s="1" t="n">
        <v>45503</v>
      </c>
      <c r="C917" s="1" t="n">
        <v>45852</v>
      </c>
      <c r="D917" t="inlineStr">
        <is>
          <t>DALARNAS LÄN</t>
        </is>
      </c>
      <c r="E917" t="inlineStr">
        <is>
          <t>LUDVIKA</t>
        </is>
      </c>
      <c r="F917" t="inlineStr">
        <is>
          <t>Bergvik skog väst AB</t>
        </is>
      </c>
      <c r="G917" t="n">
        <v>1</v>
      </c>
      <c r="H917" t="n">
        <v>0</v>
      </c>
      <c r="I917" t="n">
        <v>0</v>
      </c>
      <c r="J917" t="n">
        <v>0</v>
      </c>
      <c r="K917" t="n">
        <v>0</v>
      </c>
      <c r="L917" t="n">
        <v>0</v>
      </c>
      <c r="M917" t="n">
        <v>0</v>
      </c>
      <c r="N917" t="n">
        <v>0</v>
      </c>
      <c r="O917" t="n">
        <v>0</v>
      </c>
      <c r="P917" t="n">
        <v>0</v>
      </c>
      <c r="Q917" t="n">
        <v>0</v>
      </c>
      <c r="R917" s="2" t="inlineStr"/>
    </row>
    <row r="918" ht="15" customHeight="1">
      <c r="A918" t="inlineStr">
        <is>
          <t>A 31214-2024</t>
        </is>
      </c>
      <c r="B918" s="1" t="n">
        <v>45503</v>
      </c>
      <c r="C918" s="1" t="n">
        <v>45852</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31236-2024</t>
        </is>
      </c>
      <c r="B919" s="1" t="n">
        <v>45503</v>
      </c>
      <c r="C919" s="1" t="n">
        <v>45852</v>
      </c>
      <c r="D919" t="inlineStr">
        <is>
          <t>DALARNAS LÄN</t>
        </is>
      </c>
      <c r="E919" t="inlineStr">
        <is>
          <t>LUDVIKA</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31249-2024</t>
        </is>
      </c>
      <c r="B920" s="1" t="n">
        <v>45503</v>
      </c>
      <c r="C920" s="1" t="n">
        <v>45852</v>
      </c>
      <c r="D920" t="inlineStr">
        <is>
          <t>DALARNAS LÄN</t>
        </is>
      </c>
      <c r="E920" t="inlineStr">
        <is>
          <t>LUDVIKA</t>
        </is>
      </c>
      <c r="F920" t="inlineStr">
        <is>
          <t>Bergvik skog väst AB</t>
        </is>
      </c>
      <c r="G920" t="n">
        <v>2.7</v>
      </c>
      <c r="H920" t="n">
        <v>0</v>
      </c>
      <c r="I920" t="n">
        <v>0</v>
      </c>
      <c r="J920" t="n">
        <v>0</v>
      </c>
      <c r="K920" t="n">
        <v>0</v>
      </c>
      <c r="L920" t="n">
        <v>0</v>
      </c>
      <c r="M920" t="n">
        <v>0</v>
      </c>
      <c r="N920" t="n">
        <v>0</v>
      </c>
      <c r="O920" t="n">
        <v>0</v>
      </c>
      <c r="P920" t="n">
        <v>0</v>
      </c>
      <c r="Q920" t="n">
        <v>0</v>
      </c>
      <c r="R920" s="2" t="inlineStr"/>
    </row>
    <row r="921" ht="15" customHeight="1">
      <c r="A921" t="inlineStr">
        <is>
          <t>A 31222-2024</t>
        </is>
      </c>
      <c r="B921" s="1" t="n">
        <v>45503</v>
      </c>
      <c r="C921" s="1" t="n">
        <v>45852</v>
      </c>
      <c r="D921" t="inlineStr">
        <is>
          <t>DALARNAS LÄN</t>
        </is>
      </c>
      <c r="E921" t="inlineStr">
        <is>
          <t>LUDVIKA</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31331-2024</t>
        </is>
      </c>
      <c r="B922" s="1" t="n">
        <v>45504</v>
      </c>
      <c r="C922" s="1" t="n">
        <v>45852</v>
      </c>
      <c r="D922" t="inlineStr">
        <is>
          <t>DALARNAS LÄN</t>
        </is>
      </c>
      <c r="E922" t="inlineStr">
        <is>
          <t>LUDVIKA</t>
        </is>
      </c>
      <c r="F922" t="inlineStr">
        <is>
          <t>Bergvik skog väst AB</t>
        </is>
      </c>
      <c r="G922" t="n">
        <v>2.1</v>
      </c>
      <c r="H922" t="n">
        <v>0</v>
      </c>
      <c r="I922" t="n">
        <v>0</v>
      </c>
      <c r="J922" t="n">
        <v>0</v>
      </c>
      <c r="K922" t="n">
        <v>0</v>
      </c>
      <c r="L922" t="n">
        <v>0</v>
      </c>
      <c r="M922" t="n">
        <v>0</v>
      </c>
      <c r="N922" t="n">
        <v>0</v>
      </c>
      <c r="O922" t="n">
        <v>0</v>
      </c>
      <c r="P922" t="n">
        <v>0</v>
      </c>
      <c r="Q922" t="n">
        <v>0</v>
      </c>
      <c r="R922" s="2" t="inlineStr"/>
    </row>
    <row r="923" ht="15" customHeight="1">
      <c r="A923" t="inlineStr">
        <is>
          <t>A 31328-2024</t>
        </is>
      </c>
      <c r="B923" s="1" t="n">
        <v>45504</v>
      </c>
      <c r="C923" s="1" t="n">
        <v>45852</v>
      </c>
      <c r="D923" t="inlineStr">
        <is>
          <t>DALARNAS LÄN</t>
        </is>
      </c>
      <c r="E923" t="inlineStr">
        <is>
          <t>LUDVIKA</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31602-2024</t>
        </is>
      </c>
      <c r="B924" s="1" t="n">
        <v>45506</v>
      </c>
      <c r="C924" s="1" t="n">
        <v>45852</v>
      </c>
      <c r="D924" t="inlineStr">
        <is>
          <t>DALARNAS LÄN</t>
        </is>
      </c>
      <c r="E924" t="inlineStr">
        <is>
          <t>LUDVIKA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31761-2024</t>
        </is>
      </c>
      <c r="B925" s="1" t="n">
        <v>45509</v>
      </c>
      <c r="C925" s="1" t="n">
        <v>45852</v>
      </c>
      <c r="D925" t="inlineStr">
        <is>
          <t>DALARNAS LÄN</t>
        </is>
      </c>
      <c r="E925" t="inlineStr">
        <is>
          <t>LUDVIKA</t>
        </is>
      </c>
      <c r="F925" t="inlineStr">
        <is>
          <t>Bergvik skog väst AB</t>
        </is>
      </c>
      <c r="G925" t="n">
        <v>4.6</v>
      </c>
      <c r="H925" t="n">
        <v>0</v>
      </c>
      <c r="I925" t="n">
        <v>0</v>
      </c>
      <c r="J925" t="n">
        <v>0</v>
      </c>
      <c r="K925" t="n">
        <v>0</v>
      </c>
      <c r="L925" t="n">
        <v>0</v>
      </c>
      <c r="M925" t="n">
        <v>0</v>
      </c>
      <c r="N925" t="n">
        <v>0</v>
      </c>
      <c r="O925" t="n">
        <v>0</v>
      </c>
      <c r="P925" t="n">
        <v>0</v>
      </c>
      <c r="Q925" t="n">
        <v>0</v>
      </c>
      <c r="R925" s="2" t="inlineStr"/>
    </row>
    <row r="926" ht="15" customHeight="1">
      <c r="A926" t="inlineStr">
        <is>
          <t>A 31985-2024</t>
        </is>
      </c>
      <c r="B926" s="1" t="n">
        <v>45510</v>
      </c>
      <c r="C926" s="1" t="n">
        <v>45852</v>
      </c>
      <c r="D926" t="inlineStr">
        <is>
          <t>DALARNAS LÄN</t>
        </is>
      </c>
      <c r="E926" t="inlineStr">
        <is>
          <t>LUDVIKA</t>
        </is>
      </c>
      <c r="F926" t="inlineStr">
        <is>
          <t>Bergvik skog väst AB</t>
        </is>
      </c>
      <c r="G926" t="n">
        <v>10.7</v>
      </c>
      <c r="H926" t="n">
        <v>0</v>
      </c>
      <c r="I926" t="n">
        <v>0</v>
      </c>
      <c r="J926" t="n">
        <v>0</v>
      </c>
      <c r="K926" t="n">
        <v>0</v>
      </c>
      <c r="L926" t="n">
        <v>0</v>
      </c>
      <c r="M926" t="n">
        <v>0</v>
      </c>
      <c r="N926" t="n">
        <v>0</v>
      </c>
      <c r="O926" t="n">
        <v>0</v>
      </c>
      <c r="P926" t="n">
        <v>0</v>
      </c>
      <c r="Q926" t="n">
        <v>0</v>
      </c>
      <c r="R926" s="2" t="inlineStr"/>
    </row>
    <row r="927" ht="15" customHeight="1">
      <c r="A927" t="inlineStr">
        <is>
          <t>A 31958-2024</t>
        </is>
      </c>
      <c r="B927" s="1" t="n">
        <v>45510</v>
      </c>
      <c r="C927" s="1" t="n">
        <v>45852</v>
      </c>
      <c r="D927" t="inlineStr">
        <is>
          <t>DALARNAS LÄN</t>
        </is>
      </c>
      <c r="E927" t="inlineStr">
        <is>
          <t>LUDVIKA</t>
        </is>
      </c>
      <c r="G927" t="n">
        <v>1.1</v>
      </c>
      <c r="H927" t="n">
        <v>0</v>
      </c>
      <c r="I927" t="n">
        <v>0</v>
      </c>
      <c r="J927" t="n">
        <v>0</v>
      </c>
      <c r="K927" t="n">
        <v>0</v>
      </c>
      <c r="L927" t="n">
        <v>0</v>
      </c>
      <c r="M927" t="n">
        <v>0</v>
      </c>
      <c r="N927" t="n">
        <v>0</v>
      </c>
      <c r="O927" t="n">
        <v>0</v>
      </c>
      <c r="P927" t="n">
        <v>0</v>
      </c>
      <c r="Q927" t="n">
        <v>0</v>
      </c>
      <c r="R927" s="2" t="inlineStr"/>
    </row>
    <row r="928" ht="15" customHeight="1">
      <c r="A928" t="inlineStr">
        <is>
          <t>A 32022-2024</t>
        </is>
      </c>
      <c r="B928" s="1" t="n">
        <v>45510</v>
      </c>
      <c r="C928" s="1" t="n">
        <v>45852</v>
      </c>
      <c r="D928" t="inlineStr">
        <is>
          <t>DALARNAS LÄN</t>
        </is>
      </c>
      <c r="E928" t="inlineStr">
        <is>
          <t>LUDVIKA</t>
        </is>
      </c>
      <c r="F928" t="inlineStr">
        <is>
          <t>Bergvik skog väst AB</t>
        </is>
      </c>
      <c r="G928" t="n">
        <v>5.7</v>
      </c>
      <c r="H928" t="n">
        <v>0</v>
      </c>
      <c r="I928" t="n">
        <v>0</v>
      </c>
      <c r="J928" t="n">
        <v>0</v>
      </c>
      <c r="K928" t="n">
        <v>0</v>
      </c>
      <c r="L928" t="n">
        <v>0</v>
      </c>
      <c r="M928" t="n">
        <v>0</v>
      </c>
      <c r="N928" t="n">
        <v>0</v>
      </c>
      <c r="O928" t="n">
        <v>0</v>
      </c>
      <c r="P928" t="n">
        <v>0</v>
      </c>
      <c r="Q928" t="n">
        <v>0</v>
      </c>
      <c r="R928" s="2" t="inlineStr"/>
    </row>
    <row r="929" ht="15" customHeight="1">
      <c r="A929" t="inlineStr">
        <is>
          <t>A 31982-2024</t>
        </is>
      </c>
      <c r="B929" s="1" t="n">
        <v>45510</v>
      </c>
      <c r="C929" s="1" t="n">
        <v>45852</v>
      </c>
      <c r="D929" t="inlineStr">
        <is>
          <t>DALARNAS LÄN</t>
        </is>
      </c>
      <c r="E929" t="inlineStr">
        <is>
          <t>LUDVIKA</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32163-2024</t>
        </is>
      </c>
      <c r="B930" s="1" t="n">
        <v>45511</v>
      </c>
      <c r="C930" s="1" t="n">
        <v>45852</v>
      </c>
      <c r="D930" t="inlineStr">
        <is>
          <t>DALARNAS LÄN</t>
        </is>
      </c>
      <c r="E930" t="inlineStr">
        <is>
          <t>LUDVIKA</t>
        </is>
      </c>
      <c r="F930" t="inlineStr">
        <is>
          <t>Bergvik skog väst AB</t>
        </is>
      </c>
      <c r="G930" t="n">
        <v>2.7</v>
      </c>
      <c r="H930" t="n">
        <v>0</v>
      </c>
      <c r="I930" t="n">
        <v>0</v>
      </c>
      <c r="J930" t="n">
        <v>0</v>
      </c>
      <c r="K930" t="n">
        <v>0</v>
      </c>
      <c r="L930" t="n">
        <v>0</v>
      </c>
      <c r="M930" t="n">
        <v>0</v>
      </c>
      <c r="N930" t="n">
        <v>0</v>
      </c>
      <c r="O930" t="n">
        <v>0</v>
      </c>
      <c r="P930" t="n">
        <v>0</v>
      </c>
      <c r="Q930" t="n">
        <v>0</v>
      </c>
      <c r="R930" s="2" t="inlineStr"/>
    </row>
    <row r="931" ht="15" customHeight="1">
      <c r="A931" t="inlineStr">
        <is>
          <t>A 32305-2024</t>
        </is>
      </c>
      <c r="B931" s="1" t="n">
        <v>45512</v>
      </c>
      <c r="C931" s="1" t="n">
        <v>45852</v>
      </c>
      <c r="D931" t="inlineStr">
        <is>
          <t>DALARNAS LÄN</t>
        </is>
      </c>
      <c r="E931" t="inlineStr">
        <is>
          <t>LUDVIKA</t>
        </is>
      </c>
      <c r="F931" t="inlineStr">
        <is>
          <t>Bergvik skog väst AB</t>
        </is>
      </c>
      <c r="G931" t="n">
        <v>1.4</v>
      </c>
      <c r="H931" t="n">
        <v>0</v>
      </c>
      <c r="I931" t="n">
        <v>0</v>
      </c>
      <c r="J931" t="n">
        <v>0</v>
      </c>
      <c r="K931" t="n">
        <v>0</v>
      </c>
      <c r="L931" t="n">
        <v>0</v>
      </c>
      <c r="M931" t="n">
        <v>0</v>
      </c>
      <c r="N931" t="n">
        <v>0</v>
      </c>
      <c r="O931" t="n">
        <v>0</v>
      </c>
      <c r="P931" t="n">
        <v>0</v>
      </c>
      <c r="Q931" t="n">
        <v>0</v>
      </c>
      <c r="R931" s="2" t="inlineStr"/>
    </row>
    <row r="932" ht="15" customHeight="1">
      <c r="A932" t="inlineStr">
        <is>
          <t>A 32301-2024</t>
        </is>
      </c>
      <c r="B932" s="1" t="n">
        <v>45512</v>
      </c>
      <c r="C932" s="1" t="n">
        <v>45852</v>
      </c>
      <c r="D932" t="inlineStr">
        <is>
          <t>DALARNAS LÄN</t>
        </is>
      </c>
      <c r="E932" t="inlineStr">
        <is>
          <t>LUDVIKA</t>
        </is>
      </c>
      <c r="F932" t="inlineStr">
        <is>
          <t>Bergvik skog väst AB</t>
        </is>
      </c>
      <c r="G932" t="n">
        <v>2.8</v>
      </c>
      <c r="H932" t="n">
        <v>0</v>
      </c>
      <c r="I932" t="n">
        <v>0</v>
      </c>
      <c r="J932" t="n">
        <v>0</v>
      </c>
      <c r="K932" t="n">
        <v>0</v>
      </c>
      <c r="L932" t="n">
        <v>0</v>
      </c>
      <c r="M932" t="n">
        <v>0</v>
      </c>
      <c r="N932" t="n">
        <v>0</v>
      </c>
      <c r="O932" t="n">
        <v>0</v>
      </c>
      <c r="P932" t="n">
        <v>0</v>
      </c>
      <c r="Q932" t="n">
        <v>0</v>
      </c>
      <c r="R932" s="2" t="inlineStr"/>
    </row>
    <row r="933" ht="15" customHeight="1">
      <c r="A933" t="inlineStr">
        <is>
          <t>A 32277-2024</t>
        </is>
      </c>
      <c r="B933" s="1" t="n">
        <v>45512</v>
      </c>
      <c r="C933" s="1" t="n">
        <v>45852</v>
      </c>
      <c r="D933" t="inlineStr">
        <is>
          <t>DALARNAS LÄN</t>
        </is>
      </c>
      <c r="E933" t="inlineStr">
        <is>
          <t>LUDVIKA</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32273-2024</t>
        </is>
      </c>
      <c r="B934" s="1" t="n">
        <v>45512</v>
      </c>
      <c r="C934" s="1" t="n">
        <v>45852</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32265-2024</t>
        </is>
      </c>
      <c r="B935" s="1" t="n">
        <v>45512</v>
      </c>
      <c r="C935" s="1" t="n">
        <v>45852</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32329-2024</t>
        </is>
      </c>
      <c r="B936" s="1" t="n">
        <v>45512</v>
      </c>
      <c r="C936" s="1" t="n">
        <v>45852</v>
      </c>
      <c r="D936" t="inlineStr">
        <is>
          <t>DALARNAS LÄN</t>
        </is>
      </c>
      <c r="E936" t="inlineStr">
        <is>
          <t>LUDVIKA</t>
        </is>
      </c>
      <c r="F936" t="inlineStr">
        <is>
          <t>Bergvik skog väst AB</t>
        </is>
      </c>
      <c r="G936" t="n">
        <v>6</v>
      </c>
      <c r="H936" t="n">
        <v>0</v>
      </c>
      <c r="I936" t="n">
        <v>0</v>
      </c>
      <c r="J936" t="n">
        <v>0</v>
      </c>
      <c r="K936" t="n">
        <v>0</v>
      </c>
      <c r="L936" t="n">
        <v>0</v>
      </c>
      <c r="M936" t="n">
        <v>0</v>
      </c>
      <c r="N936" t="n">
        <v>0</v>
      </c>
      <c r="O936" t="n">
        <v>0</v>
      </c>
      <c r="P936" t="n">
        <v>0</v>
      </c>
      <c r="Q936" t="n">
        <v>0</v>
      </c>
      <c r="R936" s="2" t="inlineStr"/>
    </row>
    <row r="937" ht="15" customHeight="1">
      <c r="A937" t="inlineStr">
        <is>
          <t>A 32332-2024</t>
        </is>
      </c>
      <c r="B937" s="1" t="n">
        <v>45512</v>
      </c>
      <c r="C937" s="1" t="n">
        <v>45852</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32486-2024</t>
        </is>
      </c>
      <c r="B938" s="1" t="n">
        <v>45513</v>
      </c>
      <c r="C938" s="1" t="n">
        <v>45852</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32493-2024</t>
        </is>
      </c>
      <c r="B939" s="1" t="n">
        <v>45513</v>
      </c>
      <c r="C939" s="1" t="n">
        <v>45852</v>
      </c>
      <c r="D939" t="inlineStr">
        <is>
          <t>DALARNAS LÄN</t>
        </is>
      </c>
      <c r="E939" t="inlineStr">
        <is>
          <t>LUDVIKA</t>
        </is>
      </c>
      <c r="F939" t="inlineStr">
        <is>
          <t>Bergvik skog väst AB</t>
        </is>
      </c>
      <c r="G939" t="n">
        <v>6.3</v>
      </c>
      <c r="H939" t="n">
        <v>0</v>
      </c>
      <c r="I939" t="n">
        <v>0</v>
      </c>
      <c r="J939" t="n">
        <v>0</v>
      </c>
      <c r="K939" t="n">
        <v>0</v>
      </c>
      <c r="L939" t="n">
        <v>0</v>
      </c>
      <c r="M939" t="n">
        <v>0</v>
      </c>
      <c r="N939" t="n">
        <v>0</v>
      </c>
      <c r="O939" t="n">
        <v>0</v>
      </c>
      <c r="P939" t="n">
        <v>0</v>
      </c>
      <c r="Q939" t="n">
        <v>0</v>
      </c>
      <c r="R939" s="2" t="inlineStr"/>
    </row>
    <row r="940" ht="15" customHeight="1">
      <c r="A940" t="inlineStr">
        <is>
          <t>A 33060-2024</t>
        </is>
      </c>
      <c r="B940" s="1" t="n">
        <v>45517</v>
      </c>
      <c r="C940" s="1" t="n">
        <v>45852</v>
      </c>
      <c r="D940" t="inlineStr">
        <is>
          <t>DALARNAS LÄN</t>
        </is>
      </c>
      <c r="E940" t="inlineStr">
        <is>
          <t>LUDVIKA</t>
        </is>
      </c>
      <c r="F940" t="inlineStr">
        <is>
          <t>Bergvik skog väst AB</t>
        </is>
      </c>
      <c r="G940" t="n">
        <v>1.5</v>
      </c>
      <c r="H940" t="n">
        <v>0</v>
      </c>
      <c r="I940" t="n">
        <v>0</v>
      </c>
      <c r="J940" t="n">
        <v>0</v>
      </c>
      <c r="K940" t="n">
        <v>0</v>
      </c>
      <c r="L940" t="n">
        <v>0</v>
      </c>
      <c r="M940" t="n">
        <v>0</v>
      </c>
      <c r="N940" t="n">
        <v>0</v>
      </c>
      <c r="O940" t="n">
        <v>0</v>
      </c>
      <c r="P940" t="n">
        <v>0</v>
      </c>
      <c r="Q940" t="n">
        <v>0</v>
      </c>
      <c r="R940" s="2" t="inlineStr"/>
    </row>
    <row r="941" ht="15" customHeight="1">
      <c r="A941" t="inlineStr">
        <is>
          <t>A 33063-2024</t>
        </is>
      </c>
      <c r="B941" s="1" t="n">
        <v>45517</v>
      </c>
      <c r="C941" s="1" t="n">
        <v>45852</v>
      </c>
      <c r="D941" t="inlineStr">
        <is>
          <t>DALARNAS LÄN</t>
        </is>
      </c>
      <c r="E941" t="inlineStr">
        <is>
          <t>LUDVIKA</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33242-2024</t>
        </is>
      </c>
      <c r="B942" s="1" t="n">
        <v>45518</v>
      </c>
      <c r="C942" s="1" t="n">
        <v>45852</v>
      </c>
      <c r="D942" t="inlineStr">
        <is>
          <t>DALARNAS LÄN</t>
        </is>
      </c>
      <c r="E942" t="inlineStr">
        <is>
          <t>LUDVIKA</t>
        </is>
      </c>
      <c r="G942" t="n">
        <v>4.2</v>
      </c>
      <c r="H942" t="n">
        <v>0</v>
      </c>
      <c r="I942" t="n">
        <v>0</v>
      </c>
      <c r="J942" t="n">
        <v>0</v>
      </c>
      <c r="K942" t="n">
        <v>0</v>
      </c>
      <c r="L942" t="n">
        <v>0</v>
      </c>
      <c r="M942" t="n">
        <v>0</v>
      </c>
      <c r="N942" t="n">
        <v>0</v>
      </c>
      <c r="O942" t="n">
        <v>0</v>
      </c>
      <c r="P942" t="n">
        <v>0</v>
      </c>
      <c r="Q942" t="n">
        <v>0</v>
      </c>
      <c r="R942" s="2" t="inlineStr"/>
    </row>
    <row r="943" ht="15" customHeight="1">
      <c r="A943" t="inlineStr">
        <is>
          <t>A 33330-2024</t>
        </is>
      </c>
      <c r="B943" s="1" t="n">
        <v>45519</v>
      </c>
      <c r="C943" s="1" t="n">
        <v>45852</v>
      </c>
      <c r="D943" t="inlineStr">
        <is>
          <t>DALARNAS LÄN</t>
        </is>
      </c>
      <c r="E943" t="inlineStr">
        <is>
          <t>LUDVIKA</t>
        </is>
      </c>
      <c r="G943" t="n">
        <v>4.9</v>
      </c>
      <c r="H943" t="n">
        <v>0</v>
      </c>
      <c r="I943" t="n">
        <v>0</v>
      </c>
      <c r="J943" t="n">
        <v>0</v>
      </c>
      <c r="K943" t="n">
        <v>0</v>
      </c>
      <c r="L943" t="n">
        <v>0</v>
      </c>
      <c r="M943" t="n">
        <v>0</v>
      </c>
      <c r="N943" t="n">
        <v>0</v>
      </c>
      <c r="O943" t="n">
        <v>0</v>
      </c>
      <c r="P943" t="n">
        <v>0</v>
      </c>
      <c r="Q943" t="n">
        <v>0</v>
      </c>
      <c r="R943" s="2" t="inlineStr"/>
    </row>
    <row r="944" ht="15" customHeight="1">
      <c r="A944" t="inlineStr">
        <is>
          <t>A 33403-2024</t>
        </is>
      </c>
      <c r="B944" s="1" t="n">
        <v>45519</v>
      </c>
      <c r="C944" s="1" t="n">
        <v>45852</v>
      </c>
      <c r="D944" t="inlineStr">
        <is>
          <t>DALARNAS LÄN</t>
        </is>
      </c>
      <c r="E944" t="inlineStr">
        <is>
          <t>LUDVIKA</t>
        </is>
      </c>
      <c r="F944" t="inlineStr">
        <is>
          <t>Bergvik skog väst AB</t>
        </is>
      </c>
      <c r="G944" t="n">
        <v>5</v>
      </c>
      <c r="H944" t="n">
        <v>0</v>
      </c>
      <c r="I944" t="n">
        <v>0</v>
      </c>
      <c r="J944" t="n">
        <v>0</v>
      </c>
      <c r="K944" t="n">
        <v>0</v>
      </c>
      <c r="L944" t="n">
        <v>0</v>
      </c>
      <c r="M944" t="n">
        <v>0</v>
      </c>
      <c r="N944" t="n">
        <v>0</v>
      </c>
      <c r="O944" t="n">
        <v>0</v>
      </c>
      <c r="P944" t="n">
        <v>0</v>
      </c>
      <c r="Q944" t="n">
        <v>0</v>
      </c>
      <c r="R944" s="2" t="inlineStr"/>
    </row>
    <row r="945" ht="15" customHeight="1">
      <c r="A945" t="inlineStr">
        <is>
          <t>A 33345-2024</t>
        </is>
      </c>
      <c r="B945" s="1" t="n">
        <v>45519</v>
      </c>
      <c r="C945" s="1" t="n">
        <v>45852</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33413-2024</t>
        </is>
      </c>
      <c r="B946" s="1" t="n">
        <v>45519</v>
      </c>
      <c r="C946" s="1" t="n">
        <v>45852</v>
      </c>
      <c r="D946" t="inlineStr">
        <is>
          <t>DALARNAS LÄN</t>
        </is>
      </c>
      <c r="E946" t="inlineStr">
        <is>
          <t>LUDVIKA</t>
        </is>
      </c>
      <c r="F946" t="inlineStr">
        <is>
          <t>Bergvik skog väst AB</t>
        </is>
      </c>
      <c r="G946" t="n">
        <v>4.9</v>
      </c>
      <c r="H946" t="n">
        <v>0</v>
      </c>
      <c r="I946" t="n">
        <v>0</v>
      </c>
      <c r="J946" t="n">
        <v>0</v>
      </c>
      <c r="K946" t="n">
        <v>0</v>
      </c>
      <c r="L946" t="n">
        <v>0</v>
      </c>
      <c r="M946" t="n">
        <v>0</v>
      </c>
      <c r="N946" t="n">
        <v>0</v>
      </c>
      <c r="O946" t="n">
        <v>0</v>
      </c>
      <c r="P946" t="n">
        <v>0</v>
      </c>
      <c r="Q946" t="n">
        <v>0</v>
      </c>
      <c r="R946" s="2" t="inlineStr"/>
    </row>
    <row r="947" ht="15" customHeight="1">
      <c r="A947" t="inlineStr">
        <is>
          <t>A 33723-2024</t>
        </is>
      </c>
      <c r="B947" s="1" t="n">
        <v>45520</v>
      </c>
      <c r="C947" s="1" t="n">
        <v>45852</v>
      </c>
      <c r="D947" t="inlineStr">
        <is>
          <t>DALARNAS LÄN</t>
        </is>
      </c>
      <c r="E947" t="inlineStr">
        <is>
          <t>LUDVIKA</t>
        </is>
      </c>
      <c r="F947" t="inlineStr">
        <is>
          <t>Bergvik skog väst AB</t>
        </is>
      </c>
      <c r="G947" t="n">
        <v>2.7</v>
      </c>
      <c r="H947" t="n">
        <v>0</v>
      </c>
      <c r="I947" t="n">
        <v>0</v>
      </c>
      <c r="J947" t="n">
        <v>0</v>
      </c>
      <c r="K947" t="n">
        <v>0</v>
      </c>
      <c r="L947" t="n">
        <v>0</v>
      </c>
      <c r="M947" t="n">
        <v>0</v>
      </c>
      <c r="N947" t="n">
        <v>0</v>
      </c>
      <c r="O947" t="n">
        <v>0</v>
      </c>
      <c r="P947" t="n">
        <v>0</v>
      </c>
      <c r="Q947" t="n">
        <v>0</v>
      </c>
      <c r="R947" s="2" t="inlineStr"/>
    </row>
    <row r="948" ht="15" customHeight="1">
      <c r="A948" t="inlineStr">
        <is>
          <t>A 33839-2024</t>
        </is>
      </c>
      <c r="B948" s="1" t="n">
        <v>45520</v>
      </c>
      <c r="C948" s="1" t="n">
        <v>45852</v>
      </c>
      <c r="D948" t="inlineStr">
        <is>
          <t>DALARNAS LÄN</t>
        </is>
      </c>
      <c r="E948" t="inlineStr">
        <is>
          <t>LUDVIKA</t>
        </is>
      </c>
      <c r="G948" t="n">
        <v>0.5</v>
      </c>
      <c r="H948" t="n">
        <v>0</v>
      </c>
      <c r="I948" t="n">
        <v>0</v>
      </c>
      <c r="J948" t="n">
        <v>0</v>
      </c>
      <c r="K948" t="n">
        <v>0</v>
      </c>
      <c r="L948" t="n">
        <v>0</v>
      </c>
      <c r="M948" t="n">
        <v>0</v>
      </c>
      <c r="N948" t="n">
        <v>0</v>
      </c>
      <c r="O948" t="n">
        <v>0</v>
      </c>
      <c r="P948" t="n">
        <v>0</v>
      </c>
      <c r="Q948" t="n">
        <v>0</v>
      </c>
      <c r="R948" s="2" t="inlineStr"/>
    </row>
    <row r="949" ht="15" customHeight="1">
      <c r="A949" t="inlineStr">
        <is>
          <t>A 34274-2024</t>
        </is>
      </c>
      <c r="B949" s="1" t="n">
        <v>45524</v>
      </c>
      <c r="C949" s="1" t="n">
        <v>45852</v>
      </c>
      <c r="D949" t="inlineStr">
        <is>
          <t>DALARNAS LÄN</t>
        </is>
      </c>
      <c r="E949" t="inlineStr">
        <is>
          <t>LUDVIKA</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34271-2024</t>
        </is>
      </c>
      <c r="B950" s="1" t="n">
        <v>45524</v>
      </c>
      <c r="C950" s="1" t="n">
        <v>45852</v>
      </c>
      <c r="D950" t="inlineStr">
        <is>
          <t>DALARNAS LÄN</t>
        </is>
      </c>
      <c r="E950" t="inlineStr">
        <is>
          <t>LUDVIKA</t>
        </is>
      </c>
      <c r="F950" t="inlineStr">
        <is>
          <t>Bergvik skog väst AB</t>
        </is>
      </c>
      <c r="G950" t="n">
        <v>1</v>
      </c>
      <c r="H950" t="n">
        <v>0</v>
      </c>
      <c r="I950" t="n">
        <v>0</v>
      </c>
      <c r="J950" t="n">
        <v>0</v>
      </c>
      <c r="K950" t="n">
        <v>0</v>
      </c>
      <c r="L950" t="n">
        <v>0</v>
      </c>
      <c r="M950" t="n">
        <v>0</v>
      </c>
      <c r="N950" t="n">
        <v>0</v>
      </c>
      <c r="O950" t="n">
        <v>0</v>
      </c>
      <c r="P950" t="n">
        <v>0</v>
      </c>
      <c r="Q950" t="n">
        <v>0</v>
      </c>
      <c r="R950" s="2" t="inlineStr"/>
    </row>
    <row r="951" ht="15" customHeight="1">
      <c r="A951" t="inlineStr">
        <is>
          <t>A 34280-2024</t>
        </is>
      </c>
      <c r="B951" s="1" t="n">
        <v>45524</v>
      </c>
      <c r="C951" s="1" t="n">
        <v>45852</v>
      </c>
      <c r="D951" t="inlineStr">
        <is>
          <t>DALARNAS LÄN</t>
        </is>
      </c>
      <c r="E951" t="inlineStr">
        <is>
          <t>LUDVIKA</t>
        </is>
      </c>
      <c r="F951" t="inlineStr">
        <is>
          <t>Bergvik skog väst AB</t>
        </is>
      </c>
      <c r="G951" t="n">
        <v>2.3</v>
      </c>
      <c r="H951" t="n">
        <v>0</v>
      </c>
      <c r="I951" t="n">
        <v>0</v>
      </c>
      <c r="J951" t="n">
        <v>0</v>
      </c>
      <c r="K951" t="n">
        <v>0</v>
      </c>
      <c r="L951" t="n">
        <v>0</v>
      </c>
      <c r="M951" t="n">
        <v>0</v>
      </c>
      <c r="N951" t="n">
        <v>0</v>
      </c>
      <c r="O951" t="n">
        <v>0</v>
      </c>
      <c r="P951" t="n">
        <v>0</v>
      </c>
      <c r="Q951" t="n">
        <v>0</v>
      </c>
      <c r="R951" s="2" t="inlineStr"/>
    </row>
    <row r="952" ht="15" customHeight="1">
      <c r="A952" t="inlineStr">
        <is>
          <t>A 34455-2024</t>
        </is>
      </c>
      <c r="B952" s="1" t="n">
        <v>45525</v>
      </c>
      <c r="C952" s="1" t="n">
        <v>45852</v>
      </c>
      <c r="D952" t="inlineStr">
        <is>
          <t>DALARNAS LÄN</t>
        </is>
      </c>
      <c r="E952" t="inlineStr">
        <is>
          <t>LUDVIKA</t>
        </is>
      </c>
      <c r="G952" t="n">
        <v>0.9</v>
      </c>
      <c r="H952" t="n">
        <v>0</v>
      </c>
      <c r="I952" t="n">
        <v>0</v>
      </c>
      <c r="J952" t="n">
        <v>0</v>
      </c>
      <c r="K952" t="n">
        <v>0</v>
      </c>
      <c r="L952" t="n">
        <v>0</v>
      </c>
      <c r="M952" t="n">
        <v>0</v>
      </c>
      <c r="N952" t="n">
        <v>0</v>
      </c>
      <c r="O952" t="n">
        <v>0</v>
      </c>
      <c r="P952" t="n">
        <v>0</v>
      </c>
      <c r="Q952" t="n">
        <v>0</v>
      </c>
      <c r="R952" s="2" t="inlineStr"/>
    </row>
    <row r="953" ht="15" customHeight="1">
      <c r="A953" t="inlineStr">
        <is>
          <t>A 34545-2024</t>
        </is>
      </c>
      <c r="B953" s="1" t="n">
        <v>45525</v>
      </c>
      <c r="C953" s="1" t="n">
        <v>45852</v>
      </c>
      <c r="D953" t="inlineStr">
        <is>
          <t>DALARNAS LÄN</t>
        </is>
      </c>
      <c r="E953" t="inlineStr">
        <is>
          <t>LUDVIKA</t>
        </is>
      </c>
      <c r="G953" t="n">
        <v>1</v>
      </c>
      <c r="H953" t="n">
        <v>0</v>
      </c>
      <c r="I953" t="n">
        <v>0</v>
      </c>
      <c r="J953" t="n">
        <v>0</v>
      </c>
      <c r="K953" t="n">
        <v>0</v>
      </c>
      <c r="L953" t="n">
        <v>0</v>
      </c>
      <c r="M953" t="n">
        <v>0</v>
      </c>
      <c r="N953" t="n">
        <v>0</v>
      </c>
      <c r="O953" t="n">
        <v>0</v>
      </c>
      <c r="P953" t="n">
        <v>0</v>
      </c>
      <c r="Q953" t="n">
        <v>0</v>
      </c>
      <c r="R953" s="2" t="inlineStr"/>
    </row>
    <row r="954" ht="15" customHeight="1">
      <c r="A954" t="inlineStr">
        <is>
          <t>A 34845-2024</t>
        </is>
      </c>
      <c r="B954" s="1" t="n">
        <v>45527</v>
      </c>
      <c r="C954" s="1" t="n">
        <v>45852</v>
      </c>
      <c r="D954" t="inlineStr">
        <is>
          <t>DALARNAS LÄN</t>
        </is>
      </c>
      <c r="E954" t="inlineStr">
        <is>
          <t>LUDVIKA</t>
        </is>
      </c>
      <c r="G954" t="n">
        <v>0.5</v>
      </c>
      <c r="H954" t="n">
        <v>0</v>
      </c>
      <c r="I954" t="n">
        <v>0</v>
      </c>
      <c r="J954" t="n">
        <v>0</v>
      </c>
      <c r="K954" t="n">
        <v>0</v>
      </c>
      <c r="L954" t="n">
        <v>0</v>
      </c>
      <c r="M954" t="n">
        <v>0</v>
      </c>
      <c r="N954" t="n">
        <v>0</v>
      </c>
      <c r="O954" t="n">
        <v>0</v>
      </c>
      <c r="P954" t="n">
        <v>0</v>
      </c>
      <c r="Q954" t="n">
        <v>0</v>
      </c>
      <c r="R954" s="2" t="inlineStr"/>
    </row>
    <row r="955" ht="15" customHeight="1">
      <c r="A955" t="inlineStr">
        <is>
          <t>A 34894-2024</t>
        </is>
      </c>
      <c r="B955" s="1" t="n">
        <v>45527</v>
      </c>
      <c r="C955" s="1" t="n">
        <v>45852</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34911-2024</t>
        </is>
      </c>
      <c r="B956" s="1" t="n">
        <v>45527</v>
      </c>
      <c r="C956" s="1" t="n">
        <v>45852</v>
      </c>
      <c r="D956" t="inlineStr">
        <is>
          <t>DALARNAS LÄN</t>
        </is>
      </c>
      <c r="E956" t="inlineStr">
        <is>
          <t>LUDVIKA</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34887-2024</t>
        </is>
      </c>
      <c r="B957" s="1" t="n">
        <v>45527</v>
      </c>
      <c r="C957" s="1" t="n">
        <v>45852</v>
      </c>
      <c r="D957" t="inlineStr">
        <is>
          <t>DALARNAS LÄN</t>
        </is>
      </c>
      <c r="E957" t="inlineStr">
        <is>
          <t>LUDVIKA</t>
        </is>
      </c>
      <c r="F957" t="inlineStr">
        <is>
          <t>Bergvik skog väst AB</t>
        </is>
      </c>
      <c r="G957" t="n">
        <v>0.9</v>
      </c>
      <c r="H957" t="n">
        <v>0</v>
      </c>
      <c r="I957" t="n">
        <v>0</v>
      </c>
      <c r="J957" t="n">
        <v>0</v>
      </c>
      <c r="K957" t="n">
        <v>0</v>
      </c>
      <c r="L957" t="n">
        <v>0</v>
      </c>
      <c r="M957" t="n">
        <v>0</v>
      </c>
      <c r="N957" t="n">
        <v>0</v>
      </c>
      <c r="O957" t="n">
        <v>0</v>
      </c>
      <c r="P957" t="n">
        <v>0</v>
      </c>
      <c r="Q957" t="n">
        <v>0</v>
      </c>
      <c r="R957" s="2" t="inlineStr"/>
    </row>
    <row r="958" ht="15" customHeight="1">
      <c r="A958" t="inlineStr">
        <is>
          <t>A 35354-2024</t>
        </is>
      </c>
      <c r="B958" s="1" t="n">
        <v>45531</v>
      </c>
      <c r="C958" s="1" t="n">
        <v>45852</v>
      </c>
      <c r="D958" t="inlineStr">
        <is>
          <t>DALARNAS LÄN</t>
        </is>
      </c>
      <c r="E958" t="inlineStr">
        <is>
          <t>LUDVIKA</t>
        </is>
      </c>
      <c r="F958" t="inlineStr">
        <is>
          <t>Bergvik skog väst AB</t>
        </is>
      </c>
      <c r="G958" t="n">
        <v>2</v>
      </c>
      <c r="H958" t="n">
        <v>0</v>
      </c>
      <c r="I958" t="n">
        <v>0</v>
      </c>
      <c r="J958" t="n">
        <v>0</v>
      </c>
      <c r="K958" t="n">
        <v>0</v>
      </c>
      <c r="L958" t="n">
        <v>0</v>
      </c>
      <c r="M958" t="n">
        <v>0</v>
      </c>
      <c r="N958" t="n">
        <v>0</v>
      </c>
      <c r="O958" t="n">
        <v>0</v>
      </c>
      <c r="P958" t="n">
        <v>0</v>
      </c>
      <c r="Q958" t="n">
        <v>0</v>
      </c>
      <c r="R958" s="2" t="inlineStr"/>
    </row>
    <row r="959" ht="15" customHeight="1">
      <c r="A959" t="inlineStr">
        <is>
          <t>A 35353-2024</t>
        </is>
      </c>
      <c r="B959" s="1" t="n">
        <v>45531</v>
      </c>
      <c r="C959" s="1" t="n">
        <v>45852</v>
      </c>
      <c r="D959" t="inlineStr">
        <is>
          <t>DALARNAS LÄN</t>
        </is>
      </c>
      <c r="E959" t="inlineStr">
        <is>
          <t>LUDVIKA</t>
        </is>
      </c>
      <c r="F959" t="inlineStr">
        <is>
          <t>Bergvik skog väst AB</t>
        </is>
      </c>
      <c r="G959" t="n">
        <v>2</v>
      </c>
      <c r="H959" t="n">
        <v>0</v>
      </c>
      <c r="I959" t="n">
        <v>0</v>
      </c>
      <c r="J959" t="n">
        <v>0</v>
      </c>
      <c r="K959" t="n">
        <v>0</v>
      </c>
      <c r="L959" t="n">
        <v>0</v>
      </c>
      <c r="M959" t="n">
        <v>0</v>
      </c>
      <c r="N959" t="n">
        <v>0</v>
      </c>
      <c r="O959" t="n">
        <v>0</v>
      </c>
      <c r="P959" t="n">
        <v>0</v>
      </c>
      <c r="Q959" t="n">
        <v>0</v>
      </c>
      <c r="R959" s="2" t="inlineStr"/>
    </row>
    <row r="960" ht="15" customHeight="1">
      <c r="A960" t="inlineStr">
        <is>
          <t>A 35812-2024</t>
        </is>
      </c>
      <c r="B960" s="1" t="n">
        <v>45532</v>
      </c>
      <c r="C960" s="1" t="n">
        <v>45852</v>
      </c>
      <c r="D960" t="inlineStr">
        <is>
          <t>DALARNAS LÄN</t>
        </is>
      </c>
      <c r="E960" t="inlineStr">
        <is>
          <t>LUDVIKA</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35818-2024</t>
        </is>
      </c>
      <c r="B961" s="1" t="n">
        <v>45532</v>
      </c>
      <c r="C961" s="1" t="n">
        <v>45852</v>
      </c>
      <c r="D961" t="inlineStr">
        <is>
          <t>DALARNAS LÄN</t>
        </is>
      </c>
      <c r="E961" t="inlineStr">
        <is>
          <t>LUDVIKA</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35846-2024</t>
        </is>
      </c>
      <c r="B962" s="1" t="n">
        <v>45532</v>
      </c>
      <c r="C962" s="1" t="n">
        <v>45852</v>
      </c>
      <c r="D962" t="inlineStr">
        <is>
          <t>DALARNAS LÄN</t>
        </is>
      </c>
      <c r="E962" t="inlineStr">
        <is>
          <t>LUDVIKA</t>
        </is>
      </c>
      <c r="G962" t="n">
        <v>2.9</v>
      </c>
      <c r="H962" t="n">
        <v>0</v>
      </c>
      <c r="I962" t="n">
        <v>0</v>
      </c>
      <c r="J962" t="n">
        <v>0</v>
      </c>
      <c r="K962" t="n">
        <v>0</v>
      </c>
      <c r="L962" t="n">
        <v>0</v>
      </c>
      <c r="M962" t="n">
        <v>0</v>
      </c>
      <c r="N962" t="n">
        <v>0</v>
      </c>
      <c r="O962" t="n">
        <v>0</v>
      </c>
      <c r="P962" t="n">
        <v>0</v>
      </c>
      <c r="Q962" t="n">
        <v>0</v>
      </c>
      <c r="R962" s="2" t="inlineStr"/>
    </row>
    <row r="963" ht="15" customHeight="1">
      <c r="A963" t="inlineStr">
        <is>
          <t>A 36066-2024</t>
        </is>
      </c>
      <c r="B963" s="1" t="n">
        <v>45533</v>
      </c>
      <c r="C963" s="1" t="n">
        <v>45852</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36068-2024</t>
        </is>
      </c>
      <c r="B964" s="1" t="n">
        <v>45533</v>
      </c>
      <c r="C964" s="1" t="n">
        <v>45852</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36527-2024</t>
        </is>
      </c>
      <c r="B965" s="1" t="n">
        <v>45537</v>
      </c>
      <c r="C965" s="1" t="n">
        <v>45852</v>
      </c>
      <c r="D965" t="inlineStr">
        <is>
          <t>DALARNAS LÄN</t>
        </is>
      </c>
      <c r="E965" t="inlineStr">
        <is>
          <t>LUDVIKA</t>
        </is>
      </c>
      <c r="F965" t="inlineStr">
        <is>
          <t>Övriga Aktiebolag</t>
        </is>
      </c>
      <c r="G965" t="n">
        <v>3.3</v>
      </c>
      <c r="H965" t="n">
        <v>0</v>
      </c>
      <c r="I965" t="n">
        <v>0</v>
      </c>
      <c r="J965" t="n">
        <v>0</v>
      </c>
      <c r="K965" t="n">
        <v>0</v>
      </c>
      <c r="L965" t="n">
        <v>0</v>
      </c>
      <c r="M965" t="n">
        <v>0</v>
      </c>
      <c r="N965" t="n">
        <v>0</v>
      </c>
      <c r="O965" t="n">
        <v>0</v>
      </c>
      <c r="P965" t="n">
        <v>0</v>
      </c>
      <c r="Q965" t="n">
        <v>0</v>
      </c>
      <c r="R965" s="2" t="inlineStr"/>
    </row>
    <row r="966" ht="15" customHeight="1">
      <c r="A966" t="inlineStr">
        <is>
          <t>A 37394-2024</t>
        </is>
      </c>
      <c r="B966" s="1" t="n">
        <v>45540</v>
      </c>
      <c r="C966" s="1" t="n">
        <v>45852</v>
      </c>
      <c r="D966" t="inlineStr">
        <is>
          <t>DALARNAS LÄN</t>
        </is>
      </c>
      <c r="E966" t="inlineStr">
        <is>
          <t>LUDVIKA</t>
        </is>
      </c>
      <c r="G966" t="n">
        <v>4.5</v>
      </c>
      <c r="H966" t="n">
        <v>0</v>
      </c>
      <c r="I966" t="n">
        <v>0</v>
      </c>
      <c r="J966" t="n">
        <v>0</v>
      </c>
      <c r="K966" t="n">
        <v>0</v>
      </c>
      <c r="L966" t="n">
        <v>0</v>
      </c>
      <c r="M966" t="n">
        <v>0</v>
      </c>
      <c r="N966" t="n">
        <v>0</v>
      </c>
      <c r="O966" t="n">
        <v>0</v>
      </c>
      <c r="P966" t="n">
        <v>0</v>
      </c>
      <c r="Q966" t="n">
        <v>0</v>
      </c>
      <c r="R966" s="2" t="inlineStr"/>
    </row>
    <row r="967" ht="15" customHeight="1">
      <c r="A967" t="inlineStr">
        <is>
          <t>A 37535-2024</t>
        </is>
      </c>
      <c r="B967" s="1" t="n">
        <v>45541</v>
      </c>
      <c r="C967" s="1" t="n">
        <v>45852</v>
      </c>
      <c r="D967" t="inlineStr">
        <is>
          <t>DALARNAS LÄN</t>
        </is>
      </c>
      <c r="E967" t="inlineStr">
        <is>
          <t>LUDVIKA</t>
        </is>
      </c>
      <c r="F967" t="inlineStr">
        <is>
          <t>Bergvik skog väst AB</t>
        </is>
      </c>
      <c r="G967" t="n">
        <v>2.1</v>
      </c>
      <c r="H967" t="n">
        <v>0</v>
      </c>
      <c r="I967" t="n">
        <v>0</v>
      </c>
      <c r="J967" t="n">
        <v>0</v>
      </c>
      <c r="K967" t="n">
        <v>0</v>
      </c>
      <c r="L967" t="n">
        <v>0</v>
      </c>
      <c r="M967" t="n">
        <v>0</v>
      </c>
      <c r="N967" t="n">
        <v>0</v>
      </c>
      <c r="O967" t="n">
        <v>0</v>
      </c>
      <c r="P967" t="n">
        <v>0</v>
      </c>
      <c r="Q967" t="n">
        <v>0</v>
      </c>
      <c r="R967" s="2" t="inlineStr"/>
    </row>
    <row r="968" ht="15" customHeight="1">
      <c r="A968" t="inlineStr">
        <is>
          <t>A 37650-2024</t>
        </is>
      </c>
      <c r="B968" s="1" t="n">
        <v>45541</v>
      </c>
      <c r="C968" s="1" t="n">
        <v>45852</v>
      </c>
      <c r="D968" t="inlineStr">
        <is>
          <t>DALARNAS LÄN</t>
        </is>
      </c>
      <c r="E968" t="inlineStr">
        <is>
          <t>LUDVIKA</t>
        </is>
      </c>
      <c r="F968" t="inlineStr">
        <is>
          <t>Bergvik skog väst AB</t>
        </is>
      </c>
      <c r="G968" t="n">
        <v>2.6</v>
      </c>
      <c r="H968" t="n">
        <v>0</v>
      </c>
      <c r="I968" t="n">
        <v>0</v>
      </c>
      <c r="J968" t="n">
        <v>0</v>
      </c>
      <c r="K968" t="n">
        <v>0</v>
      </c>
      <c r="L968" t="n">
        <v>0</v>
      </c>
      <c r="M968" t="n">
        <v>0</v>
      </c>
      <c r="N968" t="n">
        <v>0</v>
      </c>
      <c r="O968" t="n">
        <v>0</v>
      </c>
      <c r="P968" t="n">
        <v>0</v>
      </c>
      <c r="Q968" t="n">
        <v>0</v>
      </c>
      <c r="R968" s="2" t="inlineStr"/>
    </row>
    <row r="969" ht="15" customHeight="1">
      <c r="A969" t="inlineStr">
        <is>
          <t>A 37538-2024</t>
        </is>
      </c>
      <c r="B969" s="1" t="n">
        <v>45541</v>
      </c>
      <c r="C969" s="1" t="n">
        <v>45852</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37644-2024</t>
        </is>
      </c>
      <c r="B970" s="1" t="n">
        <v>45541</v>
      </c>
      <c r="C970" s="1" t="n">
        <v>45852</v>
      </c>
      <c r="D970" t="inlineStr">
        <is>
          <t>DALARNAS LÄN</t>
        </is>
      </c>
      <c r="E970" t="inlineStr">
        <is>
          <t>LUDVIKA</t>
        </is>
      </c>
      <c r="F970" t="inlineStr">
        <is>
          <t>Bergvik skog väst AB</t>
        </is>
      </c>
      <c r="G970" t="n">
        <v>4.5</v>
      </c>
      <c r="H970" t="n">
        <v>0</v>
      </c>
      <c r="I970" t="n">
        <v>0</v>
      </c>
      <c r="J970" t="n">
        <v>0</v>
      </c>
      <c r="K970" t="n">
        <v>0</v>
      </c>
      <c r="L970" t="n">
        <v>0</v>
      </c>
      <c r="M970" t="n">
        <v>0</v>
      </c>
      <c r="N970" t="n">
        <v>0</v>
      </c>
      <c r="O970" t="n">
        <v>0</v>
      </c>
      <c r="P970" t="n">
        <v>0</v>
      </c>
      <c r="Q970" t="n">
        <v>0</v>
      </c>
      <c r="R970" s="2" t="inlineStr"/>
    </row>
    <row r="971" ht="15" customHeight="1">
      <c r="A971" t="inlineStr">
        <is>
          <t>A 37549-2024</t>
        </is>
      </c>
      <c r="B971" s="1" t="n">
        <v>45541</v>
      </c>
      <c r="C971" s="1" t="n">
        <v>45852</v>
      </c>
      <c r="D971" t="inlineStr">
        <is>
          <t>DALARNAS LÄN</t>
        </is>
      </c>
      <c r="E971" t="inlineStr">
        <is>
          <t>LUDVIKA</t>
        </is>
      </c>
      <c r="F971" t="inlineStr">
        <is>
          <t>Bergvik skog väst AB</t>
        </is>
      </c>
      <c r="G971" t="n">
        <v>3.1</v>
      </c>
      <c r="H971" t="n">
        <v>0</v>
      </c>
      <c r="I971" t="n">
        <v>0</v>
      </c>
      <c r="J971" t="n">
        <v>0</v>
      </c>
      <c r="K971" t="n">
        <v>0</v>
      </c>
      <c r="L971" t="n">
        <v>0</v>
      </c>
      <c r="M971" t="n">
        <v>0</v>
      </c>
      <c r="N971" t="n">
        <v>0</v>
      </c>
      <c r="O971" t="n">
        <v>0</v>
      </c>
      <c r="P971" t="n">
        <v>0</v>
      </c>
      <c r="Q971" t="n">
        <v>0</v>
      </c>
      <c r="R971" s="2" t="inlineStr"/>
    </row>
    <row r="972" ht="15" customHeight="1">
      <c r="A972" t="inlineStr">
        <is>
          <t>A 37586-2024</t>
        </is>
      </c>
      <c r="B972" s="1" t="n">
        <v>45541</v>
      </c>
      <c r="C972" s="1" t="n">
        <v>45852</v>
      </c>
      <c r="D972" t="inlineStr">
        <is>
          <t>DALARNAS LÄN</t>
        </is>
      </c>
      <c r="E972" t="inlineStr">
        <is>
          <t>LUDVIKA</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38359-2024</t>
        </is>
      </c>
      <c r="B973" s="1" t="n">
        <v>45545</v>
      </c>
      <c r="C973" s="1" t="n">
        <v>45852</v>
      </c>
      <c r="D973" t="inlineStr">
        <is>
          <t>DALARNAS LÄN</t>
        </is>
      </c>
      <c r="E973" t="inlineStr">
        <is>
          <t>LUDVIKA</t>
        </is>
      </c>
      <c r="G973" t="n">
        <v>2.4</v>
      </c>
      <c r="H973" t="n">
        <v>0</v>
      </c>
      <c r="I973" t="n">
        <v>0</v>
      </c>
      <c r="J973" t="n">
        <v>0</v>
      </c>
      <c r="K973" t="n">
        <v>0</v>
      </c>
      <c r="L973" t="n">
        <v>0</v>
      </c>
      <c r="M973" t="n">
        <v>0</v>
      </c>
      <c r="N973" t="n">
        <v>0</v>
      </c>
      <c r="O973" t="n">
        <v>0</v>
      </c>
      <c r="P973" t="n">
        <v>0</v>
      </c>
      <c r="Q973" t="n">
        <v>0</v>
      </c>
      <c r="R973" s="2" t="inlineStr"/>
    </row>
    <row r="974" ht="15" customHeight="1">
      <c r="A974" t="inlineStr">
        <is>
          <t>A 38374-2024</t>
        </is>
      </c>
      <c r="B974" s="1" t="n">
        <v>45545</v>
      </c>
      <c r="C974" s="1" t="n">
        <v>45852</v>
      </c>
      <c r="D974" t="inlineStr">
        <is>
          <t>DALARNAS LÄN</t>
        </is>
      </c>
      <c r="E974" t="inlineStr">
        <is>
          <t>LUDVIKA</t>
        </is>
      </c>
      <c r="G974" t="n">
        <v>0.9</v>
      </c>
      <c r="H974" t="n">
        <v>0</v>
      </c>
      <c r="I974" t="n">
        <v>0</v>
      </c>
      <c r="J974" t="n">
        <v>0</v>
      </c>
      <c r="K974" t="n">
        <v>0</v>
      </c>
      <c r="L974" t="n">
        <v>0</v>
      </c>
      <c r="M974" t="n">
        <v>0</v>
      </c>
      <c r="N974" t="n">
        <v>0</v>
      </c>
      <c r="O974" t="n">
        <v>0</v>
      </c>
      <c r="P974" t="n">
        <v>0</v>
      </c>
      <c r="Q974" t="n">
        <v>0</v>
      </c>
      <c r="R974" s="2" t="inlineStr"/>
    </row>
    <row r="975" ht="15" customHeight="1">
      <c r="A975" t="inlineStr">
        <is>
          <t>A 38952-2024</t>
        </is>
      </c>
      <c r="B975" s="1" t="n">
        <v>45548</v>
      </c>
      <c r="C975" s="1" t="n">
        <v>45852</v>
      </c>
      <c r="D975" t="inlineStr">
        <is>
          <t>DALARNAS LÄN</t>
        </is>
      </c>
      <c r="E975" t="inlineStr">
        <is>
          <t>LUDVIKA</t>
        </is>
      </c>
      <c r="F975" t="inlineStr">
        <is>
          <t>Bergvik skog väst AB</t>
        </is>
      </c>
      <c r="G975" t="n">
        <v>3.3</v>
      </c>
      <c r="H975" t="n">
        <v>0</v>
      </c>
      <c r="I975" t="n">
        <v>0</v>
      </c>
      <c r="J975" t="n">
        <v>0</v>
      </c>
      <c r="K975" t="n">
        <v>0</v>
      </c>
      <c r="L975" t="n">
        <v>0</v>
      </c>
      <c r="M975" t="n">
        <v>0</v>
      </c>
      <c r="N975" t="n">
        <v>0</v>
      </c>
      <c r="O975" t="n">
        <v>0</v>
      </c>
      <c r="P975" t="n">
        <v>0</v>
      </c>
      <c r="Q975" t="n">
        <v>0</v>
      </c>
      <c r="R975" s="2" t="inlineStr"/>
    </row>
    <row r="976" ht="15" customHeight="1">
      <c r="A976" t="inlineStr">
        <is>
          <t>A 38955-2024</t>
        </is>
      </c>
      <c r="B976" s="1" t="n">
        <v>45548</v>
      </c>
      <c r="C976" s="1" t="n">
        <v>45852</v>
      </c>
      <c r="D976" t="inlineStr">
        <is>
          <t>DALARNAS LÄN</t>
        </is>
      </c>
      <c r="E976" t="inlineStr">
        <is>
          <t>LUDVIKA</t>
        </is>
      </c>
      <c r="F976" t="inlineStr">
        <is>
          <t>Bergvik skog väst AB</t>
        </is>
      </c>
      <c r="G976" t="n">
        <v>3.7</v>
      </c>
      <c r="H976" t="n">
        <v>0</v>
      </c>
      <c r="I976" t="n">
        <v>0</v>
      </c>
      <c r="J976" t="n">
        <v>0</v>
      </c>
      <c r="K976" t="n">
        <v>0</v>
      </c>
      <c r="L976" t="n">
        <v>0</v>
      </c>
      <c r="M976" t="n">
        <v>0</v>
      </c>
      <c r="N976" t="n">
        <v>0</v>
      </c>
      <c r="O976" t="n">
        <v>0</v>
      </c>
      <c r="P976" t="n">
        <v>0</v>
      </c>
      <c r="Q976" t="n">
        <v>0</v>
      </c>
      <c r="R976" s="2" t="inlineStr"/>
    </row>
    <row r="977" ht="15" customHeight="1">
      <c r="A977" t="inlineStr">
        <is>
          <t>A 39008-2024</t>
        </is>
      </c>
      <c r="B977" s="1" t="n">
        <v>45548</v>
      </c>
      <c r="C977" s="1" t="n">
        <v>45852</v>
      </c>
      <c r="D977" t="inlineStr">
        <is>
          <t>DALARNAS LÄN</t>
        </is>
      </c>
      <c r="E977" t="inlineStr">
        <is>
          <t>LUDVIKA</t>
        </is>
      </c>
      <c r="F977" t="inlineStr">
        <is>
          <t>Bergvik skog väst AB</t>
        </is>
      </c>
      <c r="G977" t="n">
        <v>5.1</v>
      </c>
      <c r="H977" t="n">
        <v>0</v>
      </c>
      <c r="I977" t="n">
        <v>0</v>
      </c>
      <c r="J977" t="n">
        <v>0</v>
      </c>
      <c r="K977" t="n">
        <v>0</v>
      </c>
      <c r="L977" t="n">
        <v>0</v>
      </c>
      <c r="M977" t="n">
        <v>0</v>
      </c>
      <c r="N977" t="n">
        <v>0</v>
      </c>
      <c r="O977" t="n">
        <v>0</v>
      </c>
      <c r="P977" t="n">
        <v>0</v>
      </c>
      <c r="Q977" t="n">
        <v>0</v>
      </c>
      <c r="R977" s="2" t="inlineStr"/>
    </row>
    <row r="978" ht="15" customHeight="1">
      <c r="A978" t="inlineStr">
        <is>
          <t>A 39036-2024</t>
        </is>
      </c>
      <c r="B978" s="1" t="n">
        <v>45548</v>
      </c>
      <c r="C978" s="1" t="n">
        <v>45852</v>
      </c>
      <c r="D978" t="inlineStr">
        <is>
          <t>DALARNAS LÄN</t>
        </is>
      </c>
      <c r="E978" t="inlineStr">
        <is>
          <t>LUDVIKA</t>
        </is>
      </c>
      <c r="F978" t="inlineStr">
        <is>
          <t>Bergvik skog väst AB</t>
        </is>
      </c>
      <c r="G978" t="n">
        <v>2.6</v>
      </c>
      <c r="H978" t="n">
        <v>0</v>
      </c>
      <c r="I978" t="n">
        <v>0</v>
      </c>
      <c r="J978" t="n">
        <v>0</v>
      </c>
      <c r="K978" t="n">
        <v>0</v>
      </c>
      <c r="L978" t="n">
        <v>0</v>
      </c>
      <c r="M978" t="n">
        <v>0</v>
      </c>
      <c r="N978" t="n">
        <v>0</v>
      </c>
      <c r="O978" t="n">
        <v>0</v>
      </c>
      <c r="P978" t="n">
        <v>0</v>
      </c>
      <c r="Q978" t="n">
        <v>0</v>
      </c>
      <c r="R978" s="2" t="inlineStr"/>
    </row>
    <row r="979" ht="15" customHeight="1">
      <c r="A979" t="inlineStr">
        <is>
          <t>A 39052-2024</t>
        </is>
      </c>
      <c r="B979" s="1" t="n">
        <v>45548</v>
      </c>
      <c r="C979" s="1" t="n">
        <v>45852</v>
      </c>
      <c r="D979" t="inlineStr">
        <is>
          <t>DALARNAS LÄN</t>
        </is>
      </c>
      <c r="E979" t="inlineStr">
        <is>
          <t>LUDVIKA</t>
        </is>
      </c>
      <c r="F979" t="inlineStr">
        <is>
          <t>Bergvik skog väst AB</t>
        </is>
      </c>
      <c r="G979" t="n">
        <v>7.1</v>
      </c>
      <c r="H979" t="n">
        <v>0</v>
      </c>
      <c r="I979" t="n">
        <v>0</v>
      </c>
      <c r="J979" t="n">
        <v>0</v>
      </c>
      <c r="K979" t="n">
        <v>0</v>
      </c>
      <c r="L979" t="n">
        <v>0</v>
      </c>
      <c r="M979" t="n">
        <v>0</v>
      </c>
      <c r="N979" t="n">
        <v>0</v>
      </c>
      <c r="O979" t="n">
        <v>0</v>
      </c>
      <c r="P979" t="n">
        <v>0</v>
      </c>
      <c r="Q979" t="n">
        <v>0</v>
      </c>
      <c r="R979" s="2" t="inlineStr"/>
    </row>
    <row r="980" ht="15" customHeight="1">
      <c r="A980" t="inlineStr">
        <is>
          <t>A 39172-2024</t>
        </is>
      </c>
      <c r="B980" s="1" t="n">
        <v>45548</v>
      </c>
      <c r="C980" s="1" t="n">
        <v>45852</v>
      </c>
      <c r="D980" t="inlineStr">
        <is>
          <t>DALARNAS LÄN</t>
        </is>
      </c>
      <c r="E980" t="inlineStr">
        <is>
          <t>LUDVIKA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39167-2024</t>
        </is>
      </c>
      <c r="B981" s="1" t="n">
        <v>45548</v>
      </c>
      <c r="C981" s="1" t="n">
        <v>45852</v>
      </c>
      <c r="D981" t="inlineStr">
        <is>
          <t>DALARNAS LÄN</t>
        </is>
      </c>
      <c r="E981" t="inlineStr">
        <is>
          <t>LUDVIKA</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39519-2024</t>
        </is>
      </c>
      <c r="B982" s="1" t="n">
        <v>45551</v>
      </c>
      <c r="C982" s="1" t="n">
        <v>45852</v>
      </c>
      <c r="D982" t="inlineStr">
        <is>
          <t>DALARNAS LÄN</t>
        </is>
      </c>
      <c r="E982" t="inlineStr">
        <is>
          <t>LUDVIKA</t>
        </is>
      </c>
      <c r="G982" t="n">
        <v>0.5</v>
      </c>
      <c r="H982" t="n">
        <v>0</v>
      </c>
      <c r="I982" t="n">
        <v>0</v>
      </c>
      <c r="J982" t="n">
        <v>0</v>
      </c>
      <c r="K982" t="n">
        <v>0</v>
      </c>
      <c r="L982" t="n">
        <v>0</v>
      </c>
      <c r="M982" t="n">
        <v>0</v>
      </c>
      <c r="N982" t="n">
        <v>0</v>
      </c>
      <c r="O982" t="n">
        <v>0</v>
      </c>
      <c r="P982" t="n">
        <v>0</v>
      </c>
      <c r="Q982" t="n">
        <v>0</v>
      </c>
      <c r="R982" s="2" t="inlineStr"/>
    </row>
    <row r="983" ht="15" customHeight="1">
      <c r="A983" t="inlineStr">
        <is>
          <t>A 39611-2024</t>
        </is>
      </c>
      <c r="B983" s="1" t="n">
        <v>45552</v>
      </c>
      <c r="C983" s="1" t="n">
        <v>45852</v>
      </c>
      <c r="D983" t="inlineStr">
        <is>
          <t>DALARNAS LÄN</t>
        </is>
      </c>
      <c r="E983" t="inlineStr">
        <is>
          <t>LUDVIKA</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40125-2024</t>
        </is>
      </c>
      <c r="B984" s="1" t="n">
        <v>45554</v>
      </c>
      <c r="C984" s="1" t="n">
        <v>45852</v>
      </c>
      <c r="D984" t="inlineStr">
        <is>
          <t>DALARNAS LÄN</t>
        </is>
      </c>
      <c r="E984" t="inlineStr">
        <is>
          <t>LUDVIKA</t>
        </is>
      </c>
      <c r="G984" t="n">
        <v>1</v>
      </c>
      <c r="H984" t="n">
        <v>0</v>
      </c>
      <c r="I984" t="n">
        <v>0</v>
      </c>
      <c r="J984" t="n">
        <v>0</v>
      </c>
      <c r="K984" t="n">
        <v>0</v>
      </c>
      <c r="L984" t="n">
        <v>0</v>
      </c>
      <c r="M984" t="n">
        <v>0</v>
      </c>
      <c r="N984" t="n">
        <v>0</v>
      </c>
      <c r="O984" t="n">
        <v>0</v>
      </c>
      <c r="P984" t="n">
        <v>0</v>
      </c>
      <c r="Q984" t="n">
        <v>0</v>
      </c>
      <c r="R984" s="2" t="inlineStr"/>
    </row>
    <row r="985" ht="15" customHeight="1">
      <c r="A985" t="inlineStr">
        <is>
          <t>A 40439-2024</t>
        </is>
      </c>
      <c r="B985" s="1" t="n">
        <v>45555</v>
      </c>
      <c r="C985" s="1" t="n">
        <v>45852</v>
      </c>
      <c r="D985" t="inlineStr">
        <is>
          <t>DALARNAS LÄN</t>
        </is>
      </c>
      <c r="E985" t="inlineStr">
        <is>
          <t>LUDVIKA</t>
        </is>
      </c>
      <c r="F985" t="inlineStr">
        <is>
          <t>Bergvik skog väst AB</t>
        </is>
      </c>
      <c r="G985" t="n">
        <v>2.5</v>
      </c>
      <c r="H985" t="n">
        <v>0</v>
      </c>
      <c r="I985" t="n">
        <v>0</v>
      </c>
      <c r="J985" t="n">
        <v>0</v>
      </c>
      <c r="K985" t="n">
        <v>0</v>
      </c>
      <c r="L985" t="n">
        <v>0</v>
      </c>
      <c r="M985" t="n">
        <v>0</v>
      </c>
      <c r="N985" t="n">
        <v>0</v>
      </c>
      <c r="O985" t="n">
        <v>0</v>
      </c>
      <c r="P985" t="n">
        <v>0</v>
      </c>
      <c r="Q985" t="n">
        <v>0</v>
      </c>
      <c r="R985" s="2" t="inlineStr"/>
    </row>
    <row r="986" ht="15" customHeight="1">
      <c r="A986" t="inlineStr">
        <is>
          <t>A 41495-2024</t>
        </is>
      </c>
      <c r="B986" s="1" t="n">
        <v>45560</v>
      </c>
      <c r="C986" s="1" t="n">
        <v>45852</v>
      </c>
      <c r="D986" t="inlineStr">
        <is>
          <t>DALARNAS LÄN</t>
        </is>
      </c>
      <c r="E986" t="inlineStr">
        <is>
          <t>LUDVIKA</t>
        </is>
      </c>
      <c r="F986" t="inlineStr">
        <is>
          <t>Bergvik skog väst AB</t>
        </is>
      </c>
      <c r="G986" t="n">
        <v>5.8</v>
      </c>
      <c r="H986" t="n">
        <v>0</v>
      </c>
      <c r="I986" t="n">
        <v>0</v>
      </c>
      <c r="J986" t="n">
        <v>0</v>
      </c>
      <c r="K986" t="n">
        <v>0</v>
      </c>
      <c r="L986" t="n">
        <v>0</v>
      </c>
      <c r="M986" t="n">
        <v>0</v>
      </c>
      <c r="N986" t="n">
        <v>0</v>
      </c>
      <c r="O986" t="n">
        <v>0</v>
      </c>
      <c r="P986" t="n">
        <v>0</v>
      </c>
      <c r="Q986" t="n">
        <v>0</v>
      </c>
      <c r="R986" s="2" t="inlineStr"/>
    </row>
    <row r="987" ht="15" customHeight="1">
      <c r="A987" t="inlineStr">
        <is>
          <t>A 41449-2024</t>
        </is>
      </c>
      <c r="B987" s="1" t="n">
        <v>45560</v>
      </c>
      <c r="C987" s="1" t="n">
        <v>45852</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41616-2024</t>
        </is>
      </c>
      <c r="B988" s="1" t="n">
        <v>45560</v>
      </c>
      <c r="C988" s="1" t="n">
        <v>45852</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41509-2024</t>
        </is>
      </c>
      <c r="B989" s="1" t="n">
        <v>45560</v>
      </c>
      <c r="C989" s="1" t="n">
        <v>45852</v>
      </c>
      <c r="D989" t="inlineStr">
        <is>
          <t>DALARNAS LÄN</t>
        </is>
      </c>
      <c r="E989" t="inlineStr">
        <is>
          <t>LUDVIKA</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41473-2024</t>
        </is>
      </c>
      <c r="B990" s="1" t="n">
        <v>45560</v>
      </c>
      <c r="C990" s="1" t="n">
        <v>45852</v>
      </c>
      <c r="D990" t="inlineStr">
        <is>
          <t>DALARNAS LÄN</t>
        </is>
      </c>
      <c r="E990" t="inlineStr">
        <is>
          <t>LUDVIKA</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41459-2024</t>
        </is>
      </c>
      <c r="B991" s="1" t="n">
        <v>45560</v>
      </c>
      <c r="C991" s="1" t="n">
        <v>45852</v>
      </c>
      <c r="D991" t="inlineStr">
        <is>
          <t>DALARNAS LÄN</t>
        </is>
      </c>
      <c r="E991" t="inlineStr">
        <is>
          <t>LUDVIKA</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41426-2024</t>
        </is>
      </c>
      <c r="B992" s="1" t="n">
        <v>45560</v>
      </c>
      <c r="C992" s="1" t="n">
        <v>45852</v>
      </c>
      <c r="D992" t="inlineStr">
        <is>
          <t>DALARNAS LÄN</t>
        </is>
      </c>
      <c r="E992" t="inlineStr">
        <is>
          <t>LUDVIKA</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41539-2024</t>
        </is>
      </c>
      <c r="B993" s="1" t="n">
        <v>45560</v>
      </c>
      <c r="C993" s="1" t="n">
        <v>45852</v>
      </c>
      <c r="D993" t="inlineStr">
        <is>
          <t>DALARNAS LÄN</t>
        </is>
      </c>
      <c r="E993" t="inlineStr">
        <is>
          <t>LUDVIKA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41883-2024</t>
        </is>
      </c>
      <c r="B994" s="1" t="n">
        <v>45561</v>
      </c>
      <c r="C994" s="1" t="n">
        <v>45852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42108-2024</t>
        </is>
      </c>
      <c r="B995" s="1" t="n">
        <v>45562</v>
      </c>
      <c r="C995" s="1" t="n">
        <v>45852</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42128-2024</t>
        </is>
      </c>
      <c r="B996" s="1" t="n">
        <v>45562</v>
      </c>
      <c r="C996" s="1" t="n">
        <v>45852</v>
      </c>
      <c r="D996" t="inlineStr">
        <is>
          <t>DALARNAS LÄN</t>
        </is>
      </c>
      <c r="E996" t="inlineStr">
        <is>
          <t>LUDVIKA</t>
        </is>
      </c>
      <c r="G996" t="n">
        <v>3.1</v>
      </c>
      <c r="H996" t="n">
        <v>0</v>
      </c>
      <c r="I996" t="n">
        <v>0</v>
      </c>
      <c r="J996" t="n">
        <v>0</v>
      </c>
      <c r="K996" t="n">
        <v>0</v>
      </c>
      <c r="L996" t="n">
        <v>0</v>
      </c>
      <c r="M996" t="n">
        <v>0</v>
      </c>
      <c r="N996" t="n">
        <v>0</v>
      </c>
      <c r="O996" t="n">
        <v>0</v>
      </c>
      <c r="P996" t="n">
        <v>0</v>
      </c>
      <c r="Q996" t="n">
        <v>0</v>
      </c>
      <c r="R996" s="2" t="inlineStr"/>
    </row>
    <row r="997" ht="15" customHeight="1">
      <c r="A997" t="inlineStr">
        <is>
          <t>A 42213-2024</t>
        </is>
      </c>
      <c r="B997" s="1" t="n">
        <v>45562</v>
      </c>
      <c r="C997" s="1" t="n">
        <v>45852</v>
      </c>
      <c r="D997" t="inlineStr">
        <is>
          <t>DALARNAS LÄN</t>
        </is>
      </c>
      <c r="E997" t="inlineStr">
        <is>
          <t>LUDVIKA</t>
        </is>
      </c>
      <c r="F997" t="inlineStr">
        <is>
          <t>Bergvik skog väst AB</t>
        </is>
      </c>
      <c r="G997" t="n">
        <v>3.6</v>
      </c>
      <c r="H997" t="n">
        <v>0</v>
      </c>
      <c r="I997" t="n">
        <v>0</v>
      </c>
      <c r="J997" t="n">
        <v>0</v>
      </c>
      <c r="K997" t="n">
        <v>0</v>
      </c>
      <c r="L997" t="n">
        <v>0</v>
      </c>
      <c r="M997" t="n">
        <v>0</v>
      </c>
      <c r="N997" t="n">
        <v>0</v>
      </c>
      <c r="O997" t="n">
        <v>0</v>
      </c>
      <c r="P997" t="n">
        <v>0</v>
      </c>
      <c r="Q997" t="n">
        <v>0</v>
      </c>
      <c r="R997" s="2" t="inlineStr"/>
    </row>
    <row r="998" ht="15" customHeight="1">
      <c r="A998" t="inlineStr">
        <is>
          <t>A 42254-2024</t>
        </is>
      </c>
      <c r="B998" s="1" t="n">
        <v>45562</v>
      </c>
      <c r="C998" s="1" t="n">
        <v>45852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42106-2024</t>
        </is>
      </c>
      <c r="B999" s="1" t="n">
        <v>45562</v>
      </c>
      <c r="C999" s="1" t="n">
        <v>45852</v>
      </c>
      <c r="D999" t="inlineStr">
        <is>
          <t>DALARNAS LÄN</t>
        </is>
      </c>
      <c r="E999" t="inlineStr">
        <is>
          <t>LUDVIKA</t>
        </is>
      </c>
      <c r="F999" t="inlineStr">
        <is>
          <t>Bergvik skog väst AB</t>
        </is>
      </c>
      <c r="G999" t="n">
        <v>6</v>
      </c>
      <c r="H999" t="n">
        <v>0</v>
      </c>
      <c r="I999" t="n">
        <v>0</v>
      </c>
      <c r="J999" t="n">
        <v>0</v>
      </c>
      <c r="K999" t="n">
        <v>0</v>
      </c>
      <c r="L999" t="n">
        <v>0</v>
      </c>
      <c r="M999" t="n">
        <v>0</v>
      </c>
      <c r="N999" t="n">
        <v>0</v>
      </c>
      <c r="O999" t="n">
        <v>0</v>
      </c>
      <c r="P999" t="n">
        <v>0</v>
      </c>
      <c r="Q999" t="n">
        <v>0</v>
      </c>
      <c r="R999" s="2" t="inlineStr"/>
    </row>
    <row r="1000" ht="15" customHeight="1">
      <c r="A1000" t="inlineStr">
        <is>
          <t>A 42215-2024</t>
        </is>
      </c>
      <c r="B1000" s="1" t="n">
        <v>45562</v>
      </c>
      <c r="C1000" s="1" t="n">
        <v>45852</v>
      </c>
      <c r="D1000" t="inlineStr">
        <is>
          <t>DALARNAS LÄN</t>
        </is>
      </c>
      <c r="E1000" t="inlineStr">
        <is>
          <t>LUDVIKA</t>
        </is>
      </c>
      <c r="F1000" t="inlineStr">
        <is>
          <t>Bergvik skog väst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42341-2024</t>
        </is>
      </c>
      <c r="B1001" s="1" t="n">
        <v>45562</v>
      </c>
      <c r="C1001" s="1" t="n">
        <v>45852</v>
      </c>
      <c r="D1001" t="inlineStr">
        <is>
          <t>DALARNAS LÄN</t>
        </is>
      </c>
      <c r="E1001" t="inlineStr">
        <is>
          <t>LUDVIKA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42421-2024</t>
        </is>
      </c>
      <c r="B1002" s="1" t="n">
        <v>45565</v>
      </c>
      <c r="C1002" s="1" t="n">
        <v>45852</v>
      </c>
      <c r="D1002" t="inlineStr">
        <is>
          <t>DALARNAS LÄN</t>
        </is>
      </c>
      <c r="E1002" t="inlineStr">
        <is>
          <t>LUDVIKA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42829-2024</t>
        </is>
      </c>
      <c r="B1003" s="1" t="n">
        <v>45566</v>
      </c>
      <c r="C1003" s="1" t="n">
        <v>45852</v>
      </c>
      <c r="D1003" t="inlineStr">
        <is>
          <t>DALARNAS LÄN</t>
        </is>
      </c>
      <c r="E1003" t="inlineStr">
        <is>
          <t>LUDVIKA</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42827-2024</t>
        </is>
      </c>
      <c r="B1004" s="1" t="n">
        <v>45566</v>
      </c>
      <c r="C1004" s="1" t="n">
        <v>45852</v>
      </c>
      <c r="D1004" t="inlineStr">
        <is>
          <t>DALARNAS LÄN</t>
        </is>
      </c>
      <c r="E1004" t="inlineStr">
        <is>
          <t>LUDVIKA</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43057-2024</t>
        </is>
      </c>
      <c r="B1005" s="1" t="n">
        <v>45567</v>
      </c>
      <c r="C1005" s="1" t="n">
        <v>45852</v>
      </c>
      <c r="D1005" t="inlineStr">
        <is>
          <t>DALARNAS LÄN</t>
        </is>
      </c>
      <c r="E1005" t="inlineStr">
        <is>
          <t>LUDVIKA</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43111-2024</t>
        </is>
      </c>
      <c r="B1006" s="1" t="n">
        <v>45567</v>
      </c>
      <c r="C1006" s="1" t="n">
        <v>45852</v>
      </c>
      <c r="D1006" t="inlineStr">
        <is>
          <t>DALARNAS LÄN</t>
        </is>
      </c>
      <c r="E1006" t="inlineStr">
        <is>
          <t>LUDVIKA</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43033-2024</t>
        </is>
      </c>
      <c r="B1007" s="1" t="n">
        <v>45567</v>
      </c>
      <c r="C1007" s="1" t="n">
        <v>45852</v>
      </c>
      <c r="D1007" t="inlineStr">
        <is>
          <t>DALARNAS LÄN</t>
        </is>
      </c>
      <c r="E1007" t="inlineStr">
        <is>
          <t>LUDVIKA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43116-2024</t>
        </is>
      </c>
      <c r="B1008" s="1" t="n">
        <v>45567</v>
      </c>
      <c r="C1008" s="1" t="n">
        <v>45852</v>
      </c>
      <c r="D1008" t="inlineStr">
        <is>
          <t>DALARNAS LÄN</t>
        </is>
      </c>
      <c r="E1008" t="inlineStr">
        <is>
          <t>LUDVIKA</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43055-2024</t>
        </is>
      </c>
      <c r="B1009" s="1" t="n">
        <v>45567</v>
      </c>
      <c r="C1009" s="1" t="n">
        <v>45852</v>
      </c>
      <c r="D1009" t="inlineStr">
        <is>
          <t>DALARNAS LÄN</t>
        </is>
      </c>
      <c r="E1009" t="inlineStr">
        <is>
          <t>LUDVIKA</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43015-2024</t>
        </is>
      </c>
      <c r="B1010" s="1" t="n">
        <v>45567</v>
      </c>
      <c r="C1010" s="1" t="n">
        <v>45852</v>
      </c>
      <c r="D1010" t="inlineStr">
        <is>
          <t>DALARNAS LÄN</t>
        </is>
      </c>
      <c r="E1010" t="inlineStr">
        <is>
          <t>LUDVIKA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43240-2024</t>
        </is>
      </c>
      <c r="B1011" s="1" t="n">
        <v>45568</v>
      </c>
      <c r="C1011" s="1" t="n">
        <v>45852</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43330-2024</t>
        </is>
      </c>
      <c r="B1012" s="1" t="n">
        <v>45568</v>
      </c>
      <c r="C1012" s="1" t="n">
        <v>45852</v>
      </c>
      <c r="D1012" t="inlineStr">
        <is>
          <t>DALARNAS LÄN</t>
        </is>
      </c>
      <c r="E1012" t="inlineStr">
        <is>
          <t>LUDVIKA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43706-2024</t>
        </is>
      </c>
      <c r="B1013" s="1" t="n">
        <v>45569</v>
      </c>
      <c r="C1013" s="1" t="n">
        <v>45852</v>
      </c>
      <c r="D1013" t="inlineStr">
        <is>
          <t>DALARNAS LÄN</t>
        </is>
      </c>
      <c r="E1013" t="inlineStr">
        <is>
          <t>LUDVIKA</t>
        </is>
      </c>
      <c r="F1013" t="inlineStr">
        <is>
          <t>Naturvårdsverket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43704-2024</t>
        </is>
      </c>
      <c r="B1014" s="1" t="n">
        <v>45569</v>
      </c>
      <c r="C1014" s="1" t="n">
        <v>45852</v>
      </c>
      <c r="D1014" t="inlineStr">
        <is>
          <t>DALARNAS LÄN</t>
        </is>
      </c>
      <c r="E1014" t="inlineStr">
        <is>
          <t>LUDVIKA</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43700-2024</t>
        </is>
      </c>
      <c r="B1015" s="1" t="n">
        <v>45569</v>
      </c>
      <c r="C1015" s="1" t="n">
        <v>45852</v>
      </c>
      <c r="D1015" t="inlineStr">
        <is>
          <t>DALARNAS LÄN</t>
        </is>
      </c>
      <c r="E1015" t="inlineStr">
        <is>
          <t>LUDVIKA</t>
        </is>
      </c>
      <c r="F1015" t="inlineStr">
        <is>
          <t>Bergvik skog väst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43702-2024</t>
        </is>
      </c>
      <c r="B1016" s="1" t="n">
        <v>45569</v>
      </c>
      <c r="C1016" s="1" t="n">
        <v>45852</v>
      </c>
      <c r="D1016" t="inlineStr">
        <is>
          <t>DALARNAS LÄN</t>
        </is>
      </c>
      <c r="E1016" t="inlineStr">
        <is>
          <t>LUDVIKA</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43694-2024</t>
        </is>
      </c>
      <c r="B1017" s="1" t="n">
        <v>45569</v>
      </c>
      <c r="C1017" s="1" t="n">
        <v>45852</v>
      </c>
      <c r="D1017" t="inlineStr">
        <is>
          <t>DALARNAS LÄN</t>
        </is>
      </c>
      <c r="E1017" t="inlineStr">
        <is>
          <t>LUDVIKA</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43981-2024</t>
        </is>
      </c>
      <c r="B1018" s="1" t="n">
        <v>45572</v>
      </c>
      <c r="C1018" s="1" t="n">
        <v>45852</v>
      </c>
      <c r="D1018" t="inlineStr">
        <is>
          <t>DALARNAS LÄN</t>
        </is>
      </c>
      <c r="E1018" t="inlineStr">
        <is>
          <t>LUDVIKA</t>
        </is>
      </c>
      <c r="F1018" t="inlineStr">
        <is>
          <t>Bergvik skog väst AB</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44217-2024</t>
        </is>
      </c>
      <c r="B1019" s="1" t="n">
        <v>45573</v>
      </c>
      <c r="C1019" s="1" t="n">
        <v>45852</v>
      </c>
      <c r="D1019" t="inlineStr">
        <is>
          <t>DALARNAS LÄN</t>
        </is>
      </c>
      <c r="E1019" t="inlineStr">
        <is>
          <t>LUDVIKA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44248-2024</t>
        </is>
      </c>
      <c r="B1020" s="1" t="n">
        <v>45573</v>
      </c>
      <c r="C1020" s="1" t="n">
        <v>45852</v>
      </c>
      <c r="D1020" t="inlineStr">
        <is>
          <t>DALARNAS LÄN</t>
        </is>
      </c>
      <c r="E1020" t="inlineStr">
        <is>
          <t>LUDVIKA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44537-2024</t>
        </is>
      </c>
      <c r="B1021" s="1" t="n">
        <v>45574</v>
      </c>
      <c r="C1021" s="1" t="n">
        <v>45852</v>
      </c>
      <c r="D1021" t="inlineStr">
        <is>
          <t>DALARNAS LÄN</t>
        </is>
      </c>
      <c r="E1021" t="inlineStr">
        <is>
          <t>LUDVIKA</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44534-2024</t>
        </is>
      </c>
      <c r="B1022" s="1" t="n">
        <v>45574</v>
      </c>
      <c r="C1022" s="1" t="n">
        <v>45852</v>
      </c>
      <c r="D1022" t="inlineStr">
        <is>
          <t>DALARNAS LÄN</t>
        </is>
      </c>
      <c r="E1022" t="inlineStr">
        <is>
          <t>LUDVIKA</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44732-2024</t>
        </is>
      </c>
      <c r="B1023" s="1" t="n">
        <v>45574</v>
      </c>
      <c r="C1023" s="1" t="n">
        <v>45852</v>
      </c>
      <c r="D1023" t="inlineStr">
        <is>
          <t>DALARNAS LÄN</t>
        </is>
      </c>
      <c r="E1023" t="inlineStr">
        <is>
          <t>LUDVIKA</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44880-2024</t>
        </is>
      </c>
      <c r="B1024" s="1" t="n">
        <v>45575</v>
      </c>
      <c r="C1024" s="1" t="n">
        <v>45852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45184-2024</t>
        </is>
      </c>
      <c r="B1025" s="1" t="n">
        <v>45575</v>
      </c>
      <c r="C1025" s="1" t="n">
        <v>45852</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45188-2024</t>
        </is>
      </c>
      <c r="B1026" s="1" t="n">
        <v>45575</v>
      </c>
      <c r="C1026" s="1" t="n">
        <v>45852</v>
      </c>
      <c r="D1026" t="inlineStr">
        <is>
          <t>DALARNAS LÄN</t>
        </is>
      </c>
      <c r="E1026" t="inlineStr">
        <is>
          <t>LUDVIKA</t>
        </is>
      </c>
      <c r="F1026" t="inlineStr">
        <is>
          <t>Bergvik skog väst AB</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44885-2024</t>
        </is>
      </c>
      <c r="B1027" s="1" t="n">
        <v>45575</v>
      </c>
      <c r="C1027" s="1" t="n">
        <v>45852</v>
      </c>
      <c r="D1027" t="inlineStr">
        <is>
          <t>DALARNAS LÄN</t>
        </is>
      </c>
      <c r="E1027" t="inlineStr">
        <is>
          <t>LUDVIKA</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44881-2024</t>
        </is>
      </c>
      <c r="B1028" s="1" t="n">
        <v>45575</v>
      </c>
      <c r="C1028" s="1" t="n">
        <v>45852</v>
      </c>
      <c r="D1028" t="inlineStr">
        <is>
          <t>DALARNAS LÄN</t>
        </is>
      </c>
      <c r="E1028" t="inlineStr">
        <is>
          <t>LUDVIKA</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45405-2024</t>
        </is>
      </c>
      <c r="B1029" s="1" t="n">
        <v>45576</v>
      </c>
      <c r="C1029" s="1" t="n">
        <v>45852</v>
      </c>
      <c r="D1029" t="inlineStr">
        <is>
          <t>DALARNAS LÄN</t>
        </is>
      </c>
      <c r="E1029" t="inlineStr">
        <is>
          <t>LUDVIKA</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45445-2024</t>
        </is>
      </c>
      <c r="B1030" s="1" t="n">
        <v>45576</v>
      </c>
      <c r="C1030" s="1" t="n">
        <v>45852</v>
      </c>
      <c r="D1030" t="inlineStr">
        <is>
          <t>DALARNAS LÄN</t>
        </is>
      </c>
      <c r="E1030" t="inlineStr">
        <is>
          <t>LUDVIKA</t>
        </is>
      </c>
      <c r="F1030" t="inlineStr">
        <is>
          <t>Bergvik skog väst AB</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45443-2024</t>
        </is>
      </c>
      <c r="B1031" s="1" t="n">
        <v>45576</v>
      </c>
      <c r="C1031" s="1" t="n">
        <v>45852</v>
      </c>
      <c r="D1031" t="inlineStr">
        <is>
          <t>DALARNAS LÄN</t>
        </is>
      </c>
      <c r="E1031" t="inlineStr">
        <is>
          <t>LUDVIKA</t>
        </is>
      </c>
      <c r="F1031" t="inlineStr">
        <is>
          <t>Bergvik skog väst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45400-2024</t>
        </is>
      </c>
      <c r="B1032" s="1" t="n">
        <v>45576</v>
      </c>
      <c r="C1032" s="1" t="n">
        <v>45852</v>
      </c>
      <c r="D1032" t="inlineStr">
        <is>
          <t>DALARNAS LÄN</t>
        </is>
      </c>
      <c r="E1032" t="inlineStr">
        <is>
          <t>LUDVIKA</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45402-2024</t>
        </is>
      </c>
      <c r="B1033" s="1" t="n">
        <v>45576</v>
      </c>
      <c r="C1033" s="1" t="n">
        <v>45852</v>
      </c>
      <c r="D1033" t="inlineStr">
        <is>
          <t>DALARNAS LÄN</t>
        </is>
      </c>
      <c r="E1033" t="inlineStr">
        <is>
          <t>LUDVIKA</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45559-2024</t>
        </is>
      </c>
      <c r="B1034" s="1" t="n">
        <v>45579</v>
      </c>
      <c r="C1034" s="1" t="n">
        <v>45852</v>
      </c>
      <c r="D1034" t="inlineStr">
        <is>
          <t>DALARNAS LÄN</t>
        </is>
      </c>
      <c r="E1034" t="inlineStr">
        <is>
          <t>LUDVIKA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45544-2024</t>
        </is>
      </c>
      <c r="B1035" s="1" t="n">
        <v>45579</v>
      </c>
      <c r="C1035" s="1" t="n">
        <v>45852</v>
      </c>
      <c r="D1035" t="inlineStr">
        <is>
          <t>DALARNAS LÄN</t>
        </is>
      </c>
      <c r="E1035" t="inlineStr">
        <is>
          <t>LUDVIKA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45547-2024</t>
        </is>
      </c>
      <c r="B1036" s="1" t="n">
        <v>45579</v>
      </c>
      <c r="C1036" s="1" t="n">
        <v>45852</v>
      </c>
      <c r="D1036" t="inlineStr">
        <is>
          <t>DALARNAS LÄN</t>
        </is>
      </c>
      <c r="E1036" t="inlineStr">
        <is>
          <t>LUDVIKA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45543-2024</t>
        </is>
      </c>
      <c r="B1037" s="1" t="n">
        <v>45579</v>
      </c>
      <c r="C1037" s="1" t="n">
        <v>45852</v>
      </c>
      <c r="D1037" t="inlineStr">
        <is>
          <t>DALARNAS LÄN</t>
        </is>
      </c>
      <c r="E1037" t="inlineStr">
        <is>
          <t>LUDVIKA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46102-2024</t>
        </is>
      </c>
      <c r="B1038" s="1" t="n">
        <v>45581</v>
      </c>
      <c r="C1038" s="1" t="n">
        <v>45852</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46093-2024</t>
        </is>
      </c>
      <c r="B1039" s="1" t="n">
        <v>45581</v>
      </c>
      <c r="C1039" s="1" t="n">
        <v>45852</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46097-2024</t>
        </is>
      </c>
      <c r="B1040" s="1" t="n">
        <v>45581</v>
      </c>
      <c r="C1040" s="1" t="n">
        <v>45852</v>
      </c>
      <c r="D1040" t="inlineStr">
        <is>
          <t>DALARNAS LÄN</t>
        </is>
      </c>
      <c r="E1040" t="inlineStr">
        <is>
          <t>LUDVIKA</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46183-2024</t>
        </is>
      </c>
      <c r="B1041" s="1" t="n">
        <v>45581</v>
      </c>
      <c r="C1041" s="1" t="n">
        <v>45852</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46107-2024</t>
        </is>
      </c>
      <c r="B1042" s="1" t="n">
        <v>45581</v>
      </c>
      <c r="C1042" s="1" t="n">
        <v>45852</v>
      </c>
      <c r="D1042" t="inlineStr">
        <is>
          <t>DALARNAS LÄN</t>
        </is>
      </c>
      <c r="E1042" t="inlineStr">
        <is>
          <t>LUDVIKA</t>
        </is>
      </c>
      <c r="F1042" t="inlineStr">
        <is>
          <t>Bergvik skog väst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46095-2024</t>
        </is>
      </c>
      <c r="B1043" s="1" t="n">
        <v>45581</v>
      </c>
      <c r="C1043" s="1" t="n">
        <v>45852</v>
      </c>
      <c r="D1043" t="inlineStr">
        <is>
          <t>DALARNAS LÄN</t>
        </is>
      </c>
      <c r="E1043" t="inlineStr">
        <is>
          <t>LUDVIKA</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46092-2024</t>
        </is>
      </c>
      <c r="B1044" s="1" t="n">
        <v>45581</v>
      </c>
      <c r="C1044" s="1" t="n">
        <v>45852</v>
      </c>
      <c r="D1044" t="inlineStr">
        <is>
          <t>DALARNAS LÄN</t>
        </is>
      </c>
      <c r="E1044" t="inlineStr">
        <is>
          <t>LUDVIKA</t>
        </is>
      </c>
      <c r="F1044" t="inlineStr">
        <is>
          <t>Bergvik skog väst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46185-2024</t>
        </is>
      </c>
      <c r="B1045" s="1" t="n">
        <v>45581</v>
      </c>
      <c r="C1045" s="1" t="n">
        <v>45852</v>
      </c>
      <c r="D1045" t="inlineStr">
        <is>
          <t>DALARNAS LÄN</t>
        </is>
      </c>
      <c r="E1045" t="inlineStr">
        <is>
          <t>LUDVIKA</t>
        </is>
      </c>
      <c r="F1045" t="inlineStr">
        <is>
          <t>Bergvik skog väst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46358-2024</t>
        </is>
      </c>
      <c r="B1046" s="1" t="n">
        <v>45582</v>
      </c>
      <c r="C1046" s="1" t="n">
        <v>45852</v>
      </c>
      <c r="D1046" t="inlineStr">
        <is>
          <t>DALARNAS LÄN</t>
        </is>
      </c>
      <c r="E1046" t="inlineStr">
        <is>
          <t>LUDVIKA</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46351-2024</t>
        </is>
      </c>
      <c r="B1047" s="1" t="n">
        <v>45582</v>
      </c>
      <c r="C1047" s="1" t="n">
        <v>45852</v>
      </c>
      <c r="D1047" t="inlineStr">
        <is>
          <t>DALARNAS LÄN</t>
        </is>
      </c>
      <c r="E1047" t="inlineStr">
        <is>
          <t>LUDVIKA</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47233-2024</t>
        </is>
      </c>
      <c r="B1048" s="1" t="n">
        <v>45586</v>
      </c>
      <c r="C1048" s="1" t="n">
        <v>45852</v>
      </c>
      <c r="D1048" t="inlineStr">
        <is>
          <t>DALARNAS LÄN</t>
        </is>
      </c>
      <c r="E1048" t="inlineStr">
        <is>
          <t>LUDVIKA</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47239-2024</t>
        </is>
      </c>
      <c r="B1049" s="1" t="n">
        <v>45586</v>
      </c>
      <c r="C1049" s="1" t="n">
        <v>45852</v>
      </c>
      <c r="D1049" t="inlineStr">
        <is>
          <t>DALARNAS LÄN</t>
        </is>
      </c>
      <c r="E1049" t="inlineStr">
        <is>
          <t>LUDVIKA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47229-2024</t>
        </is>
      </c>
      <c r="B1050" s="1" t="n">
        <v>45586</v>
      </c>
      <c r="C1050" s="1" t="n">
        <v>45852</v>
      </c>
      <c r="D1050" t="inlineStr">
        <is>
          <t>DALARNAS LÄN</t>
        </is>
      </c>
      <c r="E1050" t="inlineStr">
        <is>
          <t>LUDVIKA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47671-2024</t>
        </is>
      </c>
      <c r="B1051" s="1" t="n">
        <v>45588</v>
      </c>
      <c r="C1051" s="1" t="n">
        <v>45852</v>
      </c>
      <c r="D1051" t="inlineStr">
        <is>
          <t>DALARNAS LÄN</t>
        </is>
      </c>
      <c r="E1051" t="inlineStr">
        <is>
          <t>LUDVIKA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47999-2024</t>
        </is>
      </c>
      <c r="B1052" s="1" t="n">
        <v>45589</v>
      </c>
      <c r="C1052" s="1" t="n">
        <v>45852</v>
      </c>
      <c r="D1052" t="inlineStr">
        <is>
          <t>DALARNAS LÄN</t>
        </is>
      </c>
      <c r="E1052" t="inlineStr">
        <is>
          <t>LUDVIKA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48003-2024</t>
        </is>
      </c>
      <c r="B1053" s="1" t="n">
        <v>45589</v>
      </c>
      <c r="C1053" s="1" t="n">
        <v>45852</v>
      </c>
      <c r="D1053" t="inlineStr">
        <is>
          <t>DALARNAS LÄN</t>
        </is>
      </c>
      <c r="E1053" t="inlineStr">
        <is>
          <t>LUDVIKA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47901-2024</t>
        </is>
      </c>
      <c r="B1054" s="1" t="n">
        <v>45589</v>
      </c>
      <c r="C1054" s="1" t="n">
        <v>45852</v>
      </c>
      <c r="D1054" t="inlineStr">
        <is>
          <t>DALARNAS LÄN</t>
        </is>
      </c>
      <c r="E1054" t="inlineStr">
        <is>
          <t>LUDVIKA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48164-2024</t>
        </is>
      </c>
      <c r="B1055" s="1" t="n">
        <v>45589</v>
      </c>
      <c r="C1055" s="1" t="n">
        <v>45852</v>
      </c>
      <c r="D1055" t="inlineStr">
        <is>
          <t>DALARNAS LÄN</t>
        </is>
      </c>
      <c r="E1055" t="inlineStr">
        <is>
          <t>LUDVIKA</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48774-2024</t>
        </is>
      </c>
      <c r="B1056" s="1" t="n">
        <v>45593</v>
      </c>
      <c r="C1056" s="1" t="n">
        <v>45852</v>
      </c>
      <c r="D1056" t="inlineStr">
        <is>
          <t>DALARNAS LÄN</t>
        </is>
      </c>
      <c r="E1056" t="inlineStr">
        <is>
          <t>LUDVIKA</t>
        </is>
      </c>
      <c r="F1056" t="inlineStr">
        <is>
          <t>Bergvik skog väst AB</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48726-2024</t>
        </is>
      </c>
      <c r="B1057" s="1" t="n">
        <v>45593</v>
      </c>
      <c r="C1057" s="1" t="n">
        <v>45852</v>
      </c>
      <c r="D1057" t="inlineStr">
        <is>
          <t>DALARNAS LÄN</t>
        </is>
      </c>
      <c r="E1057" t="inlineStr">
        <is>
          <t>LUDVIKA</t>
        </is>
      </c>
      <c r="F1057" t="inlineStr">
        <is>
          <t>Bergvik skog väst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48760-2024</t>
        </is>
      </c>
      <c r="B1058" s="1" t="n">
        <v>45593</v>
      </c>
      <c r="C1058" s="1" t="n">
        <v>45852</v>
      </c>
      <c r="D1058" t="inlineStr">
        <is>
          <t>DALARNAS LÄN</t>
        </is>
      </c>
      <c r="E1058" t="inlineStr">
        <is>
          <t>LUDVIKA</t>
        </is>
      </c>
      <c r="F1058" t="inlineStr">
        <is>
          <t>Naturvårdsverket</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48991-2024</t>
        </is>
      </c>
      <c r="B1059" s="1" t="n">
        <v>45594</v>
      </c>
      <c r="C1059" s="1" t="n">
        <v>45852</v>
      </c>
      <c r="D1059" t="inlineStr">
        <is>
          <t>DALARNAS LÄN</t>
        </is>
      </c>
      <c r="E1059" t="inlineStr">
        <is>
          <t>LUDVIKA</t>
        </is>
      </c>
      <c r="F1059" t="inlineStr">
        <is>
          <t>Naturvårdsverket</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49035-2024</t>
        </is>
      </c>
      <c r="B1060" s="1" t="n">
        <v>45594</v>
      </c>
      <c r="C1060" s="1" t="n">
        <v>45852</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49043-2024</t>
        </is>
      </c>
      <c r="B1061" s="1" t="n">
        <v>45594</v>
      </c>
      <c r="C1061" s="1" t="n">
        <v>45852</v>
      </c>
      <c r="D1061" t="inlineStr">
        <is>
          <t>DALARNAS LÄN</t>
        </is>
      </c>
      <c r="E1061" t="inlineStr">
        <is>
          <t>LUDVIKA</t>
        </is>
      </c>
      <c r="F1061" t="inlineStr">
        <is>
          <t>Naturvårdsverket</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49051-2024</t>
        </is>
      </c>
      <c r="B1062" s="1" t="n">
        <v>45594</v>
      </c>
      <c r="C1062" s="1" t="n">
        <v>45852</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48922-2024</t>
        </is>
      </c>
      <c r="B1063" s="1" t="n">
        <v>45594</v>
      </c>
      <c r="C1063" s="1" t="n">
        <v>45852</v>
      </c>
      <c r="D1063" t="inlineStr">
        <is>
          <t>DALARNAS LÄN</t>
        </is>
      </c>
      <c r="E1063" t="inlineStr">
        <is>
          <t>LUDVIKA</t>
        </is>
      </c>
      <c r="F1063" t="inlineStr">
        <is>
          <t>Bergvik skog väst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49045-2024</t>
        </is>
      </c>
      <c r="B1064" s="1" t="n">
        <v>45594</v>
      </c>
      <c r="C1064" s="1" t="n">
        <v>45852</v>
      </c>
      <c r="D1064" t="inlineStr">
        <is>
          <t>DALARNAS LÄN</t>
        </is>
      </c>
      <c r="E1064" t="inlineStr">
        <is>
          <t>LUDVIKA</t>
        </is>
      </c>
      <c r="F1064" t="inlineStr">
        <is>
          <t>Naturvårdsverket</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48925-2024</t>
        </is>
      </c>
      <c r="B1065" s="1" t="n">
        <v>45594</v>
      </c>
      <c r="C1065" s="1" t="n">
        <v>45852</v>
      </c>
      <c r="D1065" t="inlineStr">
        <is>
          <t>DALARNAS LÄN</t>
        </is>
      </c>
      <c r="E1065" t="inlineStr">
        <is>
          <t>LUDVIKA</t>
        </is>
      </c>
      <c r="F1065" t="inlineStr">
        <is>
          <t>Bergvik skog väst AB</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48927-2024</t>
        </is>
      </c>
      <c r="B1066" s="1" t="n">
        <v>45594</v>
      </c>
      <c r="C1066" s="1" t="n">
        <v>45852</v>
      </c>
      <c r="D1066" t="inlineStr">
        <is>
          <t>DALARNAS LÄN</t>
        </is>
      </c>
      <c r="E1066" t="inlineStr">
        <is>
          <t>LUDVIKA</t>
        </is>
      </c>
      <c r="F1066" t="inlineStr">
        <is>
          <t>Bergvik skog väst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49177-2024</t>
        </is>
      </c>
      <c r="B1067" s="1" t="n">
        <v>45595</v>
      </c>
      <c r="C1067" s="1" t="n">
        <v>45852</v>
      </c>
      <c r="D1067" t="inlineStr">
        <is>
          <t>DALARNAS LÄN</t>
        </is>
      </c>
      <c r="E1067" t="inlineStr">
        <is>
          <t>LUDVIKA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49669-2024</t>
        </is>
      </c>
      <c r="B1068" s="1" t="n">
        <v>45596</v>
      </c>
      <c r="C1068" s="1" t="n">
        <v>45852</v>
      </c>
      <c r="D1068" t="inlineStr">
        <is>
          <t>DALARNAS LÄN</t>
        </is>
      </c>
      <c r="E1068" t="inlineStr">
        <is>
          <t>LUDVIKA</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49676-2024</t>
        </is>
      </c>
      <c r="B1069" s="1" t="n">
        <v>45596</v>
      </c>
      <c r="C1069" s="1" t="n">
        <v>45852</v>
      </c>
      <c r="D1069" t="inlineStr">
        <is>
          <t>DALARNAS LÄN</t>
        </is>
      </c>
      <c r="E1069" t="inlineStr">
        <is>
          <t>LUDVIKA</t>
        </is>
      </c>
      <c r="F1069" t="inlineStr">
        <is>
          <t>Bergvik skog väst AB</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49480-2024</t>
        </is>
      </c>
      <c r="B1070" s="1" t="n">
        <v>45596</v>
      </c>
      <c r="C1070" s="1" t="n">
        <v>45852</v>
      </c>
      <c r="D1070" t="inlineStr">
        <is>
          <t>DALARNAS LÄN</t>
        </is>
      </c>
      <c r="E1070" t="inlineStr">
        <is>
          <t>LUDVIKA</t>
        </is>
      </c>
      <c r="F1070" t="inlineStr">
        <is>
          <t>Bergvik skog väst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49484-2024</t>
        </is>
      </c>
      <c r="B1071" s="1" t="n">
        <v>45596</v>
      </c>
      <c r="C1071" s="1" t="n">
        <v>45852</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50240-2024</t>
        </is>
      </c>
      <c r="B1072" s="1" t="n">
        <v>45600</v>
      </c>
      <c r="C1072" s="1" t="n">
        <v>45852</v>
      </c>
      <c r="D1072" t="inlineStr">
        <is>
          <t>DALARNAS LÄN</t>
        </is>
      </c>
      <c r="E1072" t="inlineStr">
        <is>
          <t>LUDVIKA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50199-2024</t>
        </is>
      </c>
      <c r="B1073" s="1" t="n">
        <v>45600</v>
      </c>
      <c r="C1073" s="1" t="n">
        <v>45852</v>
      </c>
      <c r="D1073" t="inlineStr">
        <is>
          <t>DALARNAS LÄN</t>
        </is>
      </c>
      <c r="E1073" t="inlineStr">
        <is>
          <t>LUDVIKA</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50529-2024</t>
        </is>
      </c>
      <c r="B1074" s="1" t="n">
        <v>45601</v>
      </c>
      <c r="C1074" s="1" t="n">
        <v>45852</v>
      </c>
      <c r="D1074" t="inlineStr">
        <is>
          <t>DALARNAS LÄN</t>
        </is>
      </c>
      <c r="E1074" t="inlineStr">
        <is>
          <t>LUDVIKA</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50384-2024</t>
        </is>
      </c>
      <c r="B1075" s="1" t="n">
        <v>45601</v>
      </c>
      <c r="C1075" s="1" t="n">
        <v>45852</v>
      </c>
      <c r="D1075" t="inlineStr">
        <is>
          <t>DALARNAS LÄN</t>
        </is>
      </c>
      <c r="E1075" t="inlineStr">
        <is>
          <t>LUDVIKA</t>
        </is>
      </c>
      <c r="F1075" t="inlineStr">
        <is>
          <t>Bergvik skog väst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50528-2024</t>
        </is>
      </c>
      <c r="B1076" s="1" t="n">
        <v>45601</v>
      </c>
      <c r="C1076" s="1" t="n">
        <v>45852</v>
      </c>
      <c r="D1076" t="inlineStr">
        <is>
          <t>DALARNAS LÄN</t>
        </is>
      </c>
      <c r="E1076" t="inlineStr">
        <is>
          <t>LUDVIKA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50714-2024</t>
        </is>
      </c>
      <c r="B1077" s="1" t="n">
        <v>45602</v>
      </c>
      <c r="C1077" s="1" t="n">
        <v>45852</v>
      </c>
      <c r="D1077" t="inlineStr">
        <is>
          <t>DALARNAS LÄN</t>
        </is>
      </c>
      <c r="E1077" t="inlineStr">
        <is>
          <t>LUDVIKA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50777-2024</t>
        </is>
      </c>
      <c r="B1078" s="1" t="n">
        <v>45602</v>
      </c>
      <c r="C1078" s="1" t="n">
        <v>45852</v>
      </c>
      <c r="D1078" t="inlineStr">
        <is>
          <t>DALARNAS LÄN</t>
        </is>
      </c>
      <c r="E1078" t="inlineStr">
        <is>
          <t>LUDVIKA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50871-2024</t>
        </is>
      </c>
      <c r="B1079" s="1" t="n">
        <v>45602</v>
      </c>
      <c r="C1079" s="1" t="n">
        <v>45852</v>
      </c>
      <c r="D1079" t="inlineStr">
        <is>
          <t>DALARNAS LÄN</t>
        </is>
      </c>
      <c r="E1079" t="inlineStr">
        <is>
          <t>LUDVIKA</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50868-2024</t>
        </is>
      </c>
      <c r="B1080" s="1" t="n">
        <v>45602</v>
      </c>
      <c r="C1080" s="1" t="n">
        <v>45852</v>
      </c>
      <c r="D1080" t="inlineStr">
        <is>
          <t>DALARNAS LÄN</t>
        </is>
      </c>
      <c r="E1080" t="inlineStr">
        <is>
          <t>LUDVIKA</t>
        </is>
      </c>
      <c r="F1080" t="inlineStr">
        <is>
          <t>Bergvik skog väst AB</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51080-2024</t>
        </is>
      </c>
      <c r="B1081" s="1" t="n">
        <v>45603</v>
      </c>
      <c r="C1081" s="1" t="n">
        <v>45852</v>
      </c>
      <c r="D1081" t="inlineStr">
        <is>
          <t>DALARNAS LÄN</t>
        </is>
      </c>
      <c r="E1081" t="inlineStr">
        <is>
          <t>LUDVIKA</t>
        </is>
      </c>
      <c r="F1081" t="inlineStr">
        <is>
          <t>Naturvårdsverket</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51043-2024</t>
        </is>
      </c>
      <c r="B1082" s="1" t="n">
        <v>45603</v>
      </c>
      <c r="C1082" s="1" t="n">
        <v>45852</v>
      </c>
      <c r="D1082" t="inlineStr">
        <is>
          <t>DALARNAS LÄN</t>
        </is>
      </c>
      <c r="E1082" t="inlineStr">
        <is>
          <t>LUDVIKA</t>
        </is>
      </c>
      <c r="F1082" t="inlineStr">
        <is>
          <t>Bergvik skog väst AB</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51029-2024</t>
        </is>
      </c>
      <c r="B1083" s="1" t="n">
        <v>45603</v>
      </c>
      <c r="C1083" s="1" t="n">
        <v>45852</v>
      </c>
      <c r="D1083" t="inlineStr">
        <is>
          <t>DALARNAS LÄN</t>
        </is>
      </c>
      <c r="E1083" t="inlineStr">
        <is>
          <t>LUDVIKA</t>
        </is>
      </c>
      <c r="F1083" t="inlineStr">
        <is>
          <t>Bergvik skog väst AB</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51410-2024</t>
        </is>
      </c>
      <c r="B1084" s="1" t="n">
        <v>45604</v>
      </c>
      <c r="C1084" s="1" t="n">
        <v>45852</v>
      </c>
      <c r="D1084" t="inlineStr">
        <is>
          <t>DALARNAS LÄN</t>
        </is>
      </c>
      <c r="E1084" t="inlineStr">
        <is>
          <t>LUDVIKA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51429-2024</t>
        </is>
      </c>
      <c r="B1085" s="1" t="n">
        <v>45604</v>
      </c>
      <c r="C1085" s="1" t="n">
        <v>45852</v>
      </c>
      <c r="D1085" t="inlineStr">
        <is>
          <t>DALARNAS LÄN</t>
        </is>
      </c>
      <c r="E1085" t="inlineStr">
        <is>
          <t>LUDVIKA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51956-2024</t>
        </is>
      </c>
      <c r="B1086" s="1" t="n">
        <v>45607</v>
      </c>
      <c r="C1086" s="1" t="n">
        <v>45852</v>
      </c>
      <c r="D1086" t="inlineStr">
        <is>
          <t>DALARNAS LÄN</t>
        </is>
      </c>
      <c r="E1086" t="inlineStr">
        <is>
          <t>LUDVIKA</t>
        </is>
      </c>
      <c r="F1086" t="inlineStr">
        <is>
          <t>Bergvik skog väst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51972-2024</t>
        </is>
      </c>
      <c r="B1087" s="1" t="n">
        <v>45607</v>
      </c>
      <c r="C1087" s="1" t="n">
        <v>45852</v>
      </c>
      <c r="D1087" t="inlineStr">
        <is>
          <t>DALARNAS LÄN</t>
        </is>
      </c>
      <c r="E1087" t="inlineStr">
        <is>
          <t>LUDVIKA</t>
        </is>
      </c>
      <c r="F1087" t="inlineStr">
        <is>
          <t>Bergvik skog väst AB</t>
        </is>
      </c>
      <c r="G1087" t="n">
        <v>11.4</v>
      </c>
      <c r="H1087" t="n">
        <v>0</v>
      </c>
      <c r="I1087" t="n">
        <v>0</v>
      </c>
      <c r="J1087" t="n">
        <v>0</v>
      </c>
      <c r="K1087" t="n">
        <v>0</v>
      </c>
      <c r="L1087" t="n">
        <v>0</v>
      </c>
      <c r="M1087" t="n">
        <v>0</v>
      </c>
      <c r="N1087" t="n">
        <v>0</v>
      </c>
      <c r="O1087" t="n">
        <v>0</v>
      </c>
      <c r="P1087" t="n">
        <v>0</v>
      </c>
      <c r="Q1087" t="n">
        <v>0</v>
      </c>
      <c r="R1087" s="2" t="inlineStr"/>
    </row>
    <row r="1088" ht="15" customHeight="1">
      <c r="A1088" t="inlineStr">
        <is>
          <t>A 51702-2024</t>
        </is>
      </c>
      <c r="B1088" s="1" t="n">
        <v>45607</v>
      </c>
      <c r="C1088" s="1" t="n">
        <v>45852</v>
      </c>
      <c r="D1088" t="inlineStr">
        <is>
          <t>DALARNAS LÄN</t>
        </is>
      </c>
      <c r="E1088" t="inlineStr">
        <is>
          <t>LUDVIKA</t>
        </is>
      </c>
      <c r="F1088" t="inlineStr">
        <is>
          <t>Bergvik skog väst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51704-2024</t>
        </is>
      </c>
      <c r="B1089" s="1" t="n">
        <v>45607</v>
      </c>
      <c r="C1089" s="1" t="n">
        <v>45852</v>
      </c>
      <c r="D1089" t="inlineStr">
        <is>
          <t>DALARNAS LÄN</t>
        </is>
      </c>
      <c r="E1089" t="inlineStr">
        <is>
          <t>LUDVIKA</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52347-2024</t>
        </is>
      </c>
      <c r="B1090" s="1" t="n">
        <v>45609</v>
      </c>
      <c r="C1090" s="1" t="n">
        <v>45852</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52351-2024</t>
        </is>
      </c>
      <c r="B1091" s="1" t="n">
        <v>45609</v>
      </c>
      <c r="C1091" s="1" t="n">
        <v>45852</v>
      </c>
      <c r="D1091" t="inlineStr">
        <is>
          <t>DALARNAS LÄN</t>
        </is>
      </c>
      <c r="E1091" t="inlineStr">
        <is>
          <t>LUDVIKA</t>
        </is>
      </c>
      <c r="F1091" t="inlineStr">
        <is>
          <t>Bergvik skog väst AB</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52359-2024</t>
        </is>
      </c>
      <c r="B1092" s="1" t="n">
        <v>45609</v>
      </c>
      <c r="C1092" s="1" t="n">
        <v>45852</v>
      </c>
      <c r="D1092" t="inlineStr">
        <is>
          <t>DALARNAS LÄN</t>
        </is>
      </c>
      <c r="E1092" t="inlineStr">
        <is>
          <t>LUDVIKA</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52792-2024</t>
        </is>
      </c>
      <c r="B1093" s="1" t="n">
        <v>45610</v>
      </c>
      <c r="C1093" s="1" t="n">
        <v>45852</v>
      </c>
      <c r="D1093" t="inlineStr">
        <is>
          <t>DALARNAS LÄN</t>
        </is>
      </c>
      <c r="E1093" t="inlineStr">
        <is>
          <t>LUDVIKA</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52766-2024</t>
        </is>
      </c>
      <c r="B1094" s="1" t="n">
        <v>45610</v>
      </c>
      <c r="C1094" s="1" t="n">
        <v>45852</v>
      </c>
      <c r="D1094" t="inlineStr">
        <is>
          <t>DALARNAS LÄN</t>
        </is>
      </c>
      <c r="E1094" t="inlineStr">
        <is>
          <t>LUDVIKA</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52782-2024</t>
        </is>
      </c>
      <c r="B1095" s="1" t="n">
        <v>45610</v>
      </c>
      <c r="C1095" s="1" t="n">
        <v>45852</v>
      </c>
      <c r="D1095" t="inlineStr">
        <is>
          <t>DALARNAS LÄN</t>
        </is>
      </c>
      <c r="E1095" t="inlineStr">
        <is>
          <t>LUDVIKA</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53057-2024</t>
        </is>
      </c>
      <c r="B1096" s="1" t="n">
        <v>45611</v>
      </c>
      <c r="C1096" s="1" t="n">
        <v>45852</v>
      </c>
      <c r="D1096" t="inlineStr">
        <is>
          <t>DALARNAS LÄN</t>
        </is>
      </c>
      <c r="E1096" t="inlineStr">
        <is>
          <t>LUDVIKA</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53183-2024</t>
        </is>
      </c>
      <c r="B1097" s="1" t="n">
        <v>45611</v>
      </c>
      <c r="C1097" s="1" t="n">
        <v>45852</v>
      </c>
      <c r="D1097" t="inlineStr">
        <is>
          <t>DALARNAS LÄN</t>
        </is>
      </c>
      <c r="E1097" t="inlineStr">
        <is>
          <t>LUDVIKA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53106-2024</t>
        </is>
      </c>
      <c r="B1098" s="1" t="n">
        <v>45611</v>
      </c>
      <c r="C1098" s="1" t="n">
        <v>45852</v>
      </c>
      <c r="D1098" t="inlineStr">
        <is>
          <t>DALARNAS LÄN</t>
        </is>
      </c>
      <c r="E1098" t="inlineStr">
        <is>
          <t>LUDVIKA</t>
        </is>
      </c>
      <c r="F1098" t="inlineStr">
        <is>
          <t>Bergvik skog väst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53048-2024</t>
        </is>
      </c>
      <c r="B1099" s="1" t="n">
        <v>45611</v>
      </c>
      <c r="C1099" s="1" t="n">
        <v>45852</v>
      </c>
      <c r="D1099" t="inlineStr">
        <is>
          <t>DALARNAS LÄN</t>
        </is>
      </c>
      <c r="E1099" t="inlineStr">
        <is>
          <t>LUDVIKA</t>
        </is>
      </c>
      <c r="F1099" t="inlineStr">
        <is>
          <t>Bergvik skog väst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53104-2024</t>
        </is>
      </c>
      <c r="B1100" s="1" t="n">
        <v>45611</v>
      </c>
      <c r="C1100" s="1" t="n">
        <v>45852</v>
      </c>
      <c r="D1100" t="inlineStr">
        <is>
          <t>DALARNAS LÄN</t>
        </is>
      </c>
      <c r="E1100" t="inlineStr">
        <is>
          <t>LUDVIKA</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53054-2024</t>
        </is>
      </c>
      <c r="B1101" s="1" t="n">
        <v>45611</v>
      </c>
      <c r="C1101" s="1" t="n">
        <v>45852</v>
      </c>
      <c r="D1101" t="inlineStr">
        <is>
          <t>DALARNAS LÄN</t>
        </is>
      </c>
      <c r="E1101" t="inlineStr">
        <is>
          <t>LUDVIKA</t>
        </is>
      </c>
      <c r="F1101" t="inlineStr">
        <is>
          <t>Bergvik skog väst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53632-2024</t>
        </is>
      </c>
      <c r="B1102" s="1" t="n">
        <v>45614</v>
      </c>
      <c r="C1102" s="1" t="n">
        <v>45852</v>
      </c>
      <c r="D1102" t="inlineStr">
        <is>
          <t>DALARNAS LÄN</t>
        </is>
      </c>
      <c r="E1102" t="inlineStr">
        <is>
          <t>LUDVIKA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54137-2024</t>
        </is>
      </c>
      <c r="B1103" s="1" t="n">
        <v>45616</v>
      </c>
      <c r="C1103" s="1" t="n">
        <v>45852</v>
      </c>
      <c r="D1103" t="inlineStr">
        <is>
          <t>DALARNAS LÄN</t>
        </is>
      </c>
      <c r="E1103" t="inlineStr">
        <is>
          <t>LUDVIKA</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54154-2024</t>
        </is>
      </c>
      <c r="B1104" s="1" t="n">
        <v>45616</v>
      </c>
      <c r="C1104" s="1" t="n">
        <v>45852</v>
      </c>
      <c r="D1104" t="inlineStr">
        <is>
          <t>DALARNAS LÄN</t>
        </is>
      </c>
      <c r="E1104" t="inlineStr">
        <is>
          <t>LUDVIKA</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54222-2024</t>
        </is>
      </c>
      <c r="B1105" s="1" t="n">
        <v>45616</v>
      </c>
      <c r="C1105" s="1" t="n">
        <v>45852</v>
      </c>
      <c r="D1105" t="inlineStr">
        <is>
          <t>DALARNAS LÄN</t>
        </is>
      </c>
      <c r="E1105" t="inlineStr">
        <is>
          <t>LUDVIKA</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53996-2024</t>
        </is>
      </c>
      <c r="B1106" s="1" t="n">
        <v>45616</v>
      </c>
      <c r="C1106" s="1" t="n">
        <v>45852</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54096-2024</t>
        </is>
      </c>
      <c r="B1107" s="1" t="n">
        <v>45616</v>
      </c>
      <c r="C1107" s="1" t="n">
        <v>45852</v>
      </c>
      <c r="D1107" t="inlineStr">
        <is>
          <t>DALARNAS LÄN</t>
        </is>
      </c>
      <c r="E1107" t="inlineStr">
        <is>
          <t>LUDVIKA</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54089-2024</t>
        </is>
      </c>
      <c r="B1108" s="1" t="n">
        <v>45616</v>
      </c>
      <c r="C1108" s="1" t="n">
        <v>45852</v>
      </c>
      <c r="D1108" t="inlineStr">
        <is>
          <t>DALARNAS LÄN</t>
        </is>
      </c>
      <c r="E1108" t="inlineStr">
        <is>
          <t>LUDVIKA</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54353-2024</t>
        </is>
      </c>
      <c r="B1109" s="1" t="n">
        <v>45617</v>
      </c>
      <c r="C1109" s="1" t="n">
        <v>45852</v>
      </c>
      <c r="D1109" t="inlineStr">
        <is>
          <t>DALARNAS LÄN</t>
        </is>
      </c>
      <c r="E1109" t="inlineStr">
        <is>
          <t>LUDVIKA</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54373-2024</t>
        </is>
      </c>
      <c r="B1110" s="1" t="n">
        <v>45617</v>
      </c>
      <c r="C1110" s="1" t="n">
        <v>45852</v>
      </c>
      <c r="D1110" t="inlineStr">
        <is>
          <t>DALARNAS LÄN</t>
        </is>
      </c>
      <c r="E1110" t="inlineStr">
        <is>
          <t>LUDVIKA</t>
        </is>
      </c>
      <c r="F1110" t="inlineStr">
        <is>
          <t>Bergvik skog väst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54551-2024</t>
        </is>
      </c>
      <c r="B1111" s="1" t="n">
        <v>45617</v>
      </c>
      <c r="C1111" s="1" t="n">
        <v>45852</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54556-2024</t>
        </is>
      </c>
      <c r="B1112" s="1" t="n">
        <v>45617</v>
      </c>
      <c r="C1112" s="1" t="n">
        <v>45852</v>
      </c>
      <c r="D1112" t="inlineStr">
        <is>
          <t>DALARNAS LÄN</t>
        </is>
      </c>
      <c r="E1112" t="inlineStr">
        <is>
          <t>LUDVIKA</t>
        </is>
      </c>
      <c r="F1112" t="inlineStr">
        <is>
          <t>Bergvik skog väst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54754-2024</t>
        </is>
      </c>
      <c r="B1113" s="1" t="n">
        <v>45618</v>
      </c>
      <c r="C1113" s="1" t="n">
        <v>45852</v>
      </c>
      <c r="D1113" t="inlineStr">
        <is>
          <t>DALARNAS LÄN</t>
        </is>
      </c>
      <c r="E1113" t="inlineStr">
        <is>
          <t>LUDVIKA</t>
        </is>
      </c>
      <c r="F1113" t="inlineStr">
        <is>
          <t>Bergvik skog väst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54666-2024</t>
        </is>
      </c>
      <c r="B1114" s="1" t="n">
        <v>45618</v>
      </c>
      <c r="C1114" s="1" t="n">
        <v>45852</v>
      </c>
      <c r="D1114" t="inlineStr">
        <is>
          <t>DALARNAS LÄN</t>
        </is>
      </c>
      <c r="E1114" t="inlineStr">
        <is>
          <t>LUDVIKA</t>
        </is>
      </c>
      <c r="F1114" t="inlineStr">
        <is>
          <t>Bergvik skog väst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54708-2024</t>
        </is>
      </c>
      <c r="B1115" s="1" t="n">
        <v>45618</v>
      </c>
      <c r="C1115" s="1" t="n">
        <v>45852</v>
      </c>
      <c r="D1115" t="inlineStr">
        <is>
          <t>DALARNAS LÄN</t>
        </is>
      </c>
      <c r="E1115" t="inlineStr">
        <is>
          <t>LUDVIKA</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55281-2024</t>
        </is>
      </c>
      <c r="B1116" s="1" t="n">
        <v>45621</v>
      </c>
      <c r="C1116" s="1" t="n">
        <v>45852</v>
      </c>
      <c r="D1116" t="inlineStr">
        <is>
          <t>DALARNAS LÄN</t>
        </is>
      </c>
      <c r="E1116" t="inlineStr">
        <is>
          <t>LUDVIKA</t>
        </is>
      </c>
      <c r="F1116" t="inlineStr">
        <is>
          <t>Naturvårdsverket</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55034-2024</t>
        </is>
      </c>
      <c r="B1117" s="1" t="n">
        <v>45621</v>
      </c>
      <c r="C1117" s="1" t="n">
        <v>45852</v>
      </c>
      <c r="D1117" t="inlineStr">
        <is>
          <t>DALARNAS LÄN</t>
        </is>
      </c>
      <c r="E1117" t="inlineStr">
        <is>
          <t>LUDVIKA</t>
        </is>
      </c>
      <c r="F1117" t="inlineStr">
        <is>
          <t>Naturvårdsverket</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55126-2024</t>
        </is>
      </c>
      <c r="B1118" s="1" t="n">
        <v>45621</v>
      </c>
      <c r="C1118" s="1" t="n">
        <v>45852</v>
      </c>
      <c r="D1118" t="inlineStr">
        <is>
          <t>DALARNAS LÄN</t>
        </is>
      </c>
      <c r="E1118" t="inlineStr">
        <is>
          <t>LUDVIKA</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55218-2024</t>
        </is>
      </c>
      <c r="B1119" s="1" t="n">
        <v>45621</v>
      </c>
      <c r="C1119" s="1" t="n">
        <v>45852</v>
      </c>
      <c r="D1119" t="inlineStr">
        <is>
          <t>DALARNAS LÄN</t>
        </is>
      </c>
      <c r="E1119" t="inlineStr">
        <is>
          <t>LUDVIKA</t>
        </is>
      </c>
      <c r="F1119" t="inlineStr">
        <is>
          <t>Naturvårdsverket</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55485-2024</t>
        </is>
      </c>
      <c r="B1120" s="1" t="n">
        <v>45622</v>
      </c>
      <c r="C1120" s="1" t="n">
        <v>45852</v>
      </c>
      <c r="D1120" t="inlineStr">
        <is>
          <t>DALARNAS LÄN</t>
        </is>
      </c>
      <c r="E1120" t="inlineStr">
        <is>
          <t>LUDVIKA</t>
        </is>
      </c>
      <c r="F1120" t="inlineStr">
        <is>
          <t>Naturvårdsverket</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55510-2024</t>
        </is>
      </c>
      <c r="B1121" s="1" t="n">
        <v>45622</v>
      </c>
      <c r="C1121" s="1" t="n">
        <v>45852</v>
      </c>
      <c r="D1121" t="inlineStr">
        <is>
          <t>DALARNAS LÄN</t>
        </is>
      </c>
      <c r="E1121" t="inlineStr">
        <is>
          <t>LUDVIKA</t>
        </is>
      </c>
      <c r="F1121" t="inlineStr">
        <is>
          <t>Naturvårdsverket</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55462-2024</t>
        </is>
      </c>
      <c r="B1122" s="1" t="n">
        <v>45622</v>
      </c>
      <c r="C1122" s="1" t="n">
        <v>45852</v>
      </c>
      <c r="D1122" t="inlineStr">
        <is>
          <t>DALARNAS LÄN</t>
        </is>
      </c>
      <c r="E1122" t="inlineStr">
        <is>
          <t>LUDVIKA</t>
        </is>
      </c>
      <c r="F1122" t="inlineStr">
        <is>
          <t>Naturvårdsverket</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55474-2024</t>
        </is>
      </c>
      <c r="B1123" s="1" t="n">
        <v>45622</v>
      </c>
      <c r="C1123" s="1" t="n">
        <v>45852</v>
      </c>
      <c r="D1123" t="inlineStr">
        <is>
          <t>DALARNAS LÄN</t>
        </is>
      </c>
      <c r="E1123" t="inlineStr">
        <is>
          <t>LUDVIKA</t>
        </is>
      </c>
      <c r="F1123" t="inlineStr">
        <is>
          <t>Naturvårdsverket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55551-2024</t>
        </is>
      </c>
      <c r="B1124" s="1" t="n">
        <v>45622</v>
      </c>
      <c r="C1124" s="1" t="n">
        <v>45852</v>
      </c>
      <c r="D1124" t="inlineStr">
        <is>
          <t>DALARNAS LÄN</t>
        </is>
      </c>
      <c r="E1124" t="inlineStr">
        <is>
          <t>LUDVIKA</t>
        </is>
      </c>
      <c r="F1124" t="inlineStr">
        <is>
          <t>Bergvik skog väst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55662-2024</t>
        </is>
      </c>
      <c r="B1125" s="1" t="n">
        <v>45622</v>
      </c>
      <c r="C1125" s="1" t="n">
        <v>45852</v>
      </c>
      <c r="D1125" t="inlineStr">
        <is>
          <t>DALARNAS LÄN</t>
        </is>
      </c>
      <c r="E1125" t="inlineStr">
        <is>
          <t>LUDVIKA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55472-2024</t>
        </is>
      </c>
      <c r="B1126" s="1" t="n">
        <v>45622</v>
      </c>
      <c r="C1126" s="1" t="n">
        <v>45852</v>
      </c>
      <c r="D1126" t="inlineStr">
        <is>
          <t>DALARNAS LÄN</t>
        </is>
      </c>
      <c r="E1126" t="inlineStr">
        <is>
          <t>LUDVIKA</t>
        </is>
      </c>
      <c r="F1126" t="inlineStr">
        <is>
          <t>Naturvårdsverket</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55488-2024</t>
        </is>
      </c>
      <c r="B1127" s="1" t="n">
        <v>45622</v>
      </c>
      <c r="C1127" s="1" t="n">
        <v>45852</v>
      </c>
      <c r="D1127" t="inlineStr">
        <is>
          <t>DALARNAS LÄN</t>
        </is>
      </c>
      <c r="E1127" t="inlineStr">
        <is>
          <t>LUDVIKA</t>
        </is>
      </c>
      <c r="F1127" t="inlineStr">
        <is>
          <t>Naturvårdsverket</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55772-2024</t>
        </is>
      </c>
      <c r="B1128" s="1" t="n">
        <v>45622</v>
      </c>
      <c r="C1128" s="1" t="n">
        <v>45852</v>
      </c>
      <c r="D1128" t="inlineStr">
        <is>
          <t>DALARNAS LÄN</t>
        </is>
      </c>
      <c r="E1128" t="inlineStr">
        <is>
          <t>LUDVIKA</t>
        </is>
      </c>
      <c r="F1128" t="inlineStr">
        <is>
          <t>Kommuner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55880-2024</t>
        </is>
      </c>
      <c r="B1129" s="1" t="n">
        <v>45623</v>
      </c>
      <c r="C1129" s="1" t="n">
        <v>45852</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55971-2024</t>
        </is>
      </c>
      <c r="B1130" s="1" t="n">
        <v>45623</v>
      </c>
      <c r="C1130" s="1" t="n">
        <v>45852</v>
      </c>
      <c r="D1130" t="inlineStr">
        <is>
          <t>DALARNAS LÄN</t>
        </is>
      </c>
      <c r="E1130" t="inlineStr">
        <is>
          <t>LUDVIKA</t>
        </is>
      </c>
      <c r="F1130" t="inlineStr">
        <is>
          <t>Bergvik skog väst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55961-2024</t>
        </is>
      </c>
      <c r="B1131" s="1" t="n">
        <v>45623</v>
      </c>
      <c r="C1131" s="1" t="n">
        <v>45852</v>
      </c>
      <c r="D1131" t="inlineStr">
        <is>
          <t>DALARNAS LÄN</t>
        </is>
      </c>
      <c r="E1131" t="inlineStr">
        <is>
          <t>LUDVIKA</t>
        </is>
      </c>
      <c r="F1131" t="inlineStr">
        <is>
          <t>Bergvik skog väst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55964-2024</t>
        </is>
      </c>
      <c r="B1132" s="1" t="n">
        <v>45623</v>
      </c>
      <c r="C1132" s="1" t="n">
        <v>45852</v>
      </c>
      <c r="D1132" t="inlineStr">
        <is>
          <t>DALARNAS LÄN</t>
        </is>
      </c>
      <c r="E1132" t="inlineStr">
        <is>
          <t>LUDVIKA</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55982-2024</t>
        </is>
      </c>
      <c r="B1133" s="1" t="n">
        <v>45623</v>
      </c>
      <c r="C1133" s="1" t="n">
        <v>45852</v>
      </c>
      <c r="D1133" t="inlineStr">
        <is>
          <t>DALARNAS LÄN</t>
        </is>
      </c>
      <c r="E1133" t="inlineStr">
        <is>
          <t>LUDVIKA</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56203-2024</t>
        </is>
      </c>
      <c r="B1134" s="1" t="n">
        <v>45624</v>
      </c>
      <c r="C1134" s="1" t="n">
        <v>45852</v>
      </c>
      <c r="D1134" t="inlineStr">
        <is>
          <t>DALARNAS LÄN</t>
        </is>
      </c>
      <c r="E1134" t="inlineStr">
        <is>
          <t>LUDVIKA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56570-2024</t>
        </is>
      </c>
      <c r="B1135" s="1" t="n">
        <v>45625</v>
      </c>
      <c r="C1135" s="1" t="n">
        <v>45852</v>
      </c>
      <c r="D1135" t="inlineStr">
        <is>
          <t>DALARNAS LÄN</t>
        </is>
      </c>
      <c r="E1135" t="inlineStr">
        <is>
          <t>LUDVIKA</t>
        </is>
      </c>
      <c r="G1135" t="n">
        <v>22.4</v>
      </c>
      <c r="H1135" t="n">
        <v>0</v>
      </c>
      <c r="I1135" t="n">
        <v>0</v>
      </c>
      <c r="J1135" t="n">
        <v>0</v>
      </c>
      <c r="K1135" t="n">
        <v>0</v>
      </c>
      <c r="L1135" t="n">
        <v>0</v>
      </c>
      <c r="M1135" t="n">
        <v>0</v>
      </c>
      <c r="N1135" t="n">
        <v>0</v>
      </c>
      <c r="O1135" t="n">
        <v>0</v>
      </c>
      <c r="P1135" t="n">
        <v>0</v>
      </c>
      <c r="Q1135" t="n">
        <v>0</v>
      </c>
      <c r="R1135" s="2" t="inlineStr"/>
    </row>
    <row r="1136" ht="15" customHeight="1">
      <c r="A1136" t="inlineStr">
        <is>
          <t>A 56445-2024</t>
        </is>
      </c>
      <c r="B1136" s="1" t="n">
        <v>45625</v>
      </c>
      <c r="C1136" s="1" t="n">
        <v>45852</v>
      </c>
      <c r="D1136" t="inlineStr">
        <is>
          <t>DALARNAS LÄN</t>
        </is>
      </c>
      <c r="E1136" t="inlineStr">
        <is>
          <t>LUDVIKA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56573-2024</t>
        </is>
      </c>
      <c r="B1137" s="1" t="n">
        <v>45625</v>
      </c>
      <c r="C1137" s="1" t="n">
        <v>45852</v>
      </c>
      <c r="D1137" t="inlineStr">
        <is>
          <t>DALARNAS LÄN</t>
        </is>
      </c>
      <c r="E1137" t="inlineStr">
        <is>
          <t>LUDVIKA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56580-2024</t>
        </is>
      </c>
      <c r="B1138" s="1" t="n">
        <v>45625</v>
      </c>
      <c r="C1138" s="1" t="n">
        <v>45852</v>
      </c>
      <c r="D1138" t="inlineStr">
        <is>
          <t>DALARNAS LÄN</t>
        </is>
      </c>
      <c r="E1138" t="inlineStr">
        <is>
          <t>LUDVIKA</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56563-2024</t>
        </is>
      </c>
      <c r="B1139" s="1" t="n">
        <v>45625</v>
      </c>
      <c r="C1139" s="1" t="n">
        <v>45852</v>
      </c>
      <c r="D1139" t="inlineStr">
        <is>
          <t>DALARNAS LÄN</t>
        </is>
      </c>
      <c r="E1139" t="inlineStr">
        <is>
          <t>LUDVIKA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56737-2024</t>
        </is>
      </c>
      <c r="B1140" s="1" t="n">
        <v>45628</v>
      </c>
      <c r="C1140" s="1" t="n">
        <v>45852</v>
      </c>
      <c r="D1140" t="inlineStr">
        <is>
          <t>DALARNAS LÄN</t>
        </is>
      </c>
      <c r="E1140" t="inlineStr">
        <is>
          <t>LUDVIKA</t>
        </is>
      </c>
      <c r="F1140" t="inlineStr">
        <is>
          <t>Naturvårdsverket</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57217-2024</t>
        </is>
      </c>
      <c r="B1141" s="1" t="n">
        <v>45629</v>
      </c>
      <c r="C1141" s="1" t="n">
        <v>45852</v>
      </c>
      <c r="D1141" t="inlineStr">
        <is>
          <t>DALARNAS LÄN</t>
        </is>
      </c>
      <c r="E1141" t="inlineStr">
        <is>
          <t>LUDVIKA</t>
        </is>
      </c>
      <c r="F1141" t="inlineStr">
        <is>
          <t>Bergvik skog väst AB</t>
        </is>
      </c>
      <c r="G1141" t="n">
        <v>17.3</v>
      </c>
      <c r="H1141" t="n">
        <v>0</v>
      </c>
      <c r="I1141" t="n">
        <v>0</v>
      </c>
      <c r="J1141" t="n">
        <v>0</v>
      </c>
      <c r="K1141" t="n">
        <v>0</v>
      </c>
      <c r="L1141" t="n">
        <v>0</v>
      </c>
      <c r="M1141" t="n">
        <v>0</v>
      </c>
      <c r="N1141" t="n">
        <v>0</v>
      </c>
      <c r="O1141" t="n">
        <v>0</v>
      </c>
      <c r="P1141" t="n">
        <v>0</v>
      </c>
      <c r="Q1141" t="n">
        <v>0</v>
      </c>
      <c r="R1141" s="2" t="inlineStr"/>
    </row>
    <row r="1142" ht="15" customHeight="1">
      <c r="A1142" t="inlineStr">
        <is>
          <t>A 57247-2024</t>
        </is>
      </c>
      <c r="B1142" s="1" t="n">
        <v>45629</v>
      </c>
      <c r="C1142" s="1" t="n">
        <v>45852</v>
      </c>
      <c r="D1142" t="inlineStr">
        <is>
          <t>DALARNAS LÄN</t>
        </is>
      </c>
      <c r="E1142" t="inlineStr">
        <is>
          <t>LUDVIKA</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57310-2024</t>
        </is>
      </c>
      <c r="B1143" s="1" t="n">
        <v>45629</v>
      </c>
      <c r="C1143" s="1" t="n">
        <v>45852</v>
      </c>
      <c r="D1143" t="inlineStr">
        <is>
          <t>DALARNAS LÄN</t>
        </is>
      </c>
      <c r="E1143" t="inlineStr">
        <is>
          <t>LUDVIKA</t>
        </is>
      </c>
      <c r="F1143" t="inlineStr">
        <is>
          <t>Naturvårdsverket</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57230-2024</t>
        </is>
      </c>
      <c r="B1144" s="1" t="n">
        <v>45629</v>
      </c>
      <c r="C1144" s="1" t="n">
        <v>45852</v>
      </c>
      <c r="D1144" t="inlineStr">
        <is>
          <t>DALARNAS LÄN</t>
        </is>
      </c>
      <c r="E1144" t="inlineStr">
        <is>
          <t>LUDVIKA</t>
        </is>
      </c>
      <c r="F1144" t="inlineStr">
        <is>
          <t>Bergvik skog väst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57307-2024</t>
        </is>
      </c>
      <c r="B1145" s="1" t="n">
        <v>45629</v>
      </c>
      <c r="C1145" s="1" t="n">
        <v>45852</v>
      </c>
      <c r="D1145" t="inlineStr">
        <is>
          <t>DALARNAS LÄN</t>
        </is>
      </c>
      <c r="E1145" t="inlineStr">
        <is>
          <t>LUDVIKA</t>
        </is>
      </c>
      <c r="F1145" t="inlineStr">
        <is>
          <t>Naturvårdsverket</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57776-2024</t>
        </is>
      </c>
      <c r="B1146" s="1" t="n">
        <v>45631</v>
      </c>
      <c r="C1146" s="1" t="n">
        <v>45852</v>
      </c>
      <c r="D1146" t="inlineStr">
        <is>
          <t>DALARNAS LÄN</t>
        </is>
      </c>
      <c r="E1146" t="inlineStr">
        <is>
          <t>LUDVIKA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57969-2024</t>
        </is>
      </c>
      <c r="B1147" s="1" t="n">
        <v>45631</v>
      </c>
      <c r="C1147" s="1" t="n">
        <v>45852</v>
      </c>
      <c r="D1147" t="inlineStr">
        <is>
          <t>DALARNAS LÄN</t>
        </is>
      </c>
      <c r="E1147" t="inlineStr">
        <is>
          <t>LUDVIKA</t>
        </is>
      </c>
      <c r="F1147" t="inlineStr">
        <is>
          <t>Bergvik skog väst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58044-2024</t>
        </is>
      </c>
      <c r="B1148" s="1" t="n">
        <v>45631</v>
      </c>
      <c r="C1148" s="1" t="n">
        <v>45852</v>
      </c>
      <c r="D1148" t="inlineStr">
        <is>
          <t>DALARNAS LÄN</t>
        </is>
      </c>
      <c r="E1148" t="inlineStr">
        <is>
          <t>LUDVIKA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58071-2024</t>
        </is>
      </c>
      <c r="B1149" s="1" t="n">
        <v>45632</v>
      </c>
      <c r="C1149" s="1" t="n">
        <v>45852</v>
      </c>
      <c r="D1149" t="inlineStr">
        <is>
          <t>DALARNAS LÄN</t>
        </is>
      </c>
      <c r="E1149" t="inlineStr">
        <is>
          <t>LUDVIKA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58090-2024</t>
        </is>
      </c>
      <c r="B1150" s="1" t="n">
        <v>45632</v>
      </c>
      <c r="C1150" s="1" t="n">
        <v>45852</v>
      </c>
      <c r="D1150" t="inlineStr">
        <is>
          <t>DALARNAS LÄN</t>
        </is>
      </c>
      <c r="E1150" t="inlineStr">
        <is>
          <t>LUDVIKA</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58072-2024</t>
        </is>
      </c>
      <c r="B1151" s="1" t="n">
        <v>45632</v>
      </c>
      <c r="C1151" s="1" t="n">
        <v>45852</v>
      </c>
      <c r="D1151" t="inlineStr">
        <is>
          <t>DALARNAS LÄN</t>
        </is>
      </c>
      <c r="E1151" t="inlineStr">
        <is>
          <t>LUDVIKA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58997-2024</t>
        </is>
      </c>
      <c r="B1152" s="1" t="n">
        <v>45636</v>
      </c>
      <c r="C1152" s="1" t="n">
        <v>45852</v>
      </c>
      <c r="D1152" t="inlineStr">
        <is>
          <t>DALARNAS LÄN</t>
        </is>
      </c>
      <c r="E1152" t="inlineStr">
        <is>
          <t>LUDVIKA</t>
        </is>
      </c>
      <c r="F1152" t="inlineStr">
        <is>
          <t>Bergvik skog väst AB</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59346-2024</t>
        </is>
      </c>
      <c r="B1153" s="1" t="n">
        <v>45638</v>
      </c>
      <c r="C1153" s="1" t="n">
        <v>45852</v>
      </c>
      <c r="D1153" t="inlineStr">
        <is>
          <t>DALARNAS LÄN</t>
        </is>
      </c>
      <c r="E1153" t="inlineStr">
        <is>
          <t>LUDVIKA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59634-2024</t>
        </is>
      </c>
      <c r="B1154" s="1" t="n">
        <v>45639</v>
      </c>
      <c r="C1154" s="1" t="n">
        <v>45852</v>
      </c>
      <c r="D1154" t="inlineStr">
        <is>
          <t>DALARNAS LÄN</t>
        </is>
      </c>
      <c r="E1154" t="inlineStr">
        <is>
          <t>LUDVIKA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59448-2024</t>
        </is>
      </c>
      <c r="B1155" s="1" t="n">
        <v>45638</v>
      </c>
      <c r="C1155" s="1" t="n">
        <v>45852</v>
      </c>
      <c r="D1155" t="inlineStr">
        <is>
          <t>DALARNAS LÄN</t>
        </is>
      </c>
      <c r="E1155" t="inlineStr">
        <is>
          <t>LUDVIKA</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59347-2024</t>
        </is>
      </c>
      <c r="B1156" s="1" t="n">
        <v>45638</v>
      </c>
      <c r="C1156" s="1" t="n">
        <v>45852</v>
      </c>
      <c r="D1156" t="inlineStr">
        <is>
          <t>DALARNAS LÄN</t>
        </is>
      </c>
      <c r="E1156" t="inlineStr">
        <is>
          <t>LUDVIKA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59398-2024</t>
        </is>
      </c>
      <c r="B1157" s="1" t="n">
        <v>45638</v>
      </c>
      <c r="C1157" s="1" t="n">
        <v>45852</v>
      </c>
      <c r="D1157" t="inlineStr">
        <is>
          <t>DALARNAS LÄN</t>
        </is>
      </c>
      <c r="E1157" t="inlineStr">
        <is>
          <t>LUDVIKA</t>
        </is>
      </c>
      <c r="F1157" t="inlineStr">
        <is>
          <t>Naturvårdsverket</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59356-2024</t>
        </is>
      </c>
      <c r="B1158" s="1" t="n">
        <v>45638</v>
      </c>
      <c r="C1158" s="1" t="n">
        <v>45852</v>
      </c>
      <c r="D1158" t="inlineStr">
        <is>
          <t>DALARNAS LÄN</t>
        </is>
      </c>
      <c r="E1158" t="inlineStr">
        <is>
          <t>LUDVIKA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59667-2024</t>
        </is>
      </c>
      <c r="B1159" s="1" t="n">
        <v>45639</v>
      </c>
      <c r="C1159" s="1" t="n">
        <v>45852</v>
      </c>
      <c r="D1159" t="inlineStr">
        <is>
          <t>DALARNAS LÄN</t>
        </is>
      </c>
      <c r="E1159" t="inlineStr">
        <is>
          <t>LUDVIKA</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59842-2024</t>
        </is>
      </c>
      <c r="B1160" s="1" t="n">
        <v>45639</v>
      </c>
      <c r="C1160" s="1" t="n">
        <v>45852</v>
      </c>
      <c r="D1160" t="inlineStr">
        <is>
          <t>DALARNAS LÄN</t>
        </is>
      </c>
      <c r="E1160" t="inlineStr">
        <is>
          <t>LUDVIKA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60787-2024</t>
        </is>
      </c>
      <c r="B1161" s="1" t="n">
        <v>45644</v>
      </c>
      <c r="C1161" s="1" t="n">
        <v>45852</v>
      </c>
      <c r="D1161" t="inlineStr">
        <is>
          <t>DALARNAS LÄN</t>
        </is>
      </c>
      <c r="E1161" t="inlineStr">
        <is>
          <t>LUDVIKA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60668-2024</t>
        </is>
      </c>
      <c r="B1162" s="1" t="n">
        <v>45644</v>
      </c>
      <c r="C1162" s="1" t="n">
        <v>45852</v>
      </c>
      <c r="D1162" t="inlineStr">
        <is>
          <t>DALARNAS LÄN</t>
        </is>
      </c>
      <c r="E1162" t="inlineStr">
        <is>
          <t>LUDVIKA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60660-2024</t>
        </is>
      </c>
      <c r="B1163" s="1" t="n">
        <v>45644</v>
      </c>
      <c r="C1163" s="1" t="n">
        <v>45852</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60788-2024</t>
        </is>
      </c>
      <c r="B1164" s="1" t="n">
        <v>45644</v>
      </c>
      <c r="C1164" s="1" t="n">
        <v>45852</v>
      </c>
      <c r="D1164" t="inlineStr">
        <is>
          <t>DALARNAS LÄN</t>
        </is>
      </c>
      <c r="E1164" t="inlineStr">
        <is>
          <t>LUDVIKA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60843-2024</t>
        </is>
      </c>
      <c r="B1165" s="1" t="n">
        <v>45644</v>
      </c>
      <c r="C1165" s="1" t="n">
        <v>45852</v>
      </c>
      <c r="D1165" t="inlineStr">
        <is>
          <t>DALARNAS LÄN</t>
        </is>
      </c>
      <c r="E1165" t="inlineStr">
        <is>
          <t>LUDVIKA</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61054-2024</t>
        </is>
      </c>
      <c r="B1166" s="1" t="n">
        <v>45645</v>
      </c>
      <c r="C1166" s="1" t="n">
        <v>45852</v>
      </c>
      <c r="D1166" t="inlineStr">
        <is>
          <t>DALARNAS LÄN</t>
        </is>
      </c>
      <c r="E1166" t="inlineStr">
        <is>
          <t>LUDVIKA</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61231-2024</t>
        </is>
      </c>
      <c r="B1167" s="1" t="n">
        <v>45645</v>
      </c>
      <c r="C1167" s="1" t="n">
        <v>45852</v>
      </c>
      <c r="D1167" t="inlineStr">
        <is>
          <t>DALARNAS LÄN</t>
        </is>
      </c>
      <c r="E1167" t="inlineStr">
        <is>
          <t>LUDVIKA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61384-2024</t>
        </is>
      </c>
      <c r="B1168" s="1" t="n">
        <v>45646</v>
      </c>
      <c r="C1168" s="1" t="n">
        <v>45852</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3170-2025</t>
        </is>
      </c>
      <c r="B1169" s="1" t="n">
        <v>45679</v>
      </c>
      <c r="C1169" s="1" t="n">
        <v>45852</v>
      </c>
      <c r="D1169" t="inlineStr">
        <is>
          <t>DALARNAS LÄN</t>
        </is>
      </c>
      <c r="E1169" t="inlineStr">
        <is>
          <t>LUDVIKA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3468-2025</t>
        </is>
      </c>
      <c r="B1170" s="1" t="n">
        <v>45680</v>
      </c>
      <c r="C1170" s="1" t="n">
        <v>45852</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3391-2025</t>
        </is>
      </c>
      <c r="B1171" s="1" t="n">
        <v>45680</v>
      </c>
      <c r="C1171" s="1" t="n">
        <v>45852</v>
      </c>
      <c r="D1171" t="inlineStr">
        <is>
          <t>DALARNAS LÄN</t>
        </is>
      </c>
      <c r="E1171" t="inlineStr">
        <is>
          <t>LUDVIKA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3470-2025</t>
        </is>
      </c>
      <c r="B1172" s="1" t="n">
        <v>45680</v>
      </c>
      <c r="C1172" s="1" t="n">
        <v>45852</v>
      </c>
      <c r="D1172" t="inlineStr">
        <is>
          <t>DALARNAS LÄN</t>
        </is>
      </c>
      <c r="E1172" t="inlineStr">
        <is>
          <t>LUDVIKA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3380-2025</t>
        </is>
      </c>
      <c r="B1173" s="1" t="n">
        <v>45680</v>
      </c>
      <c r="C1173" s="1" t="n">
        <v>45852</v>
      </c>
      <c r="D1173" t="inlineStr">
        <is>
          <t>DALARNAS LÄN</t>
        </is>
      </c>
      <c r="E1173" t="inlineStr">
        <is>
          <t>LUDVIKA</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4170-2025</t>
        </is>
      </c>
      <c r="B1174" s="1" t="n">
        <v>45685</v>
      </c>
      <c r="C1174" s="1" t="n">
        <v>45852</v>
      </c>
      <c r="D1174" t="inlineStr">
        <is>
          <t>DALARNAS LÄN</t>
        </is>
      </c>
      <c r="E1174" t="inlineStr">
        <is>
          <t>LUDVIKA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4173-2025</t>
        </is>
      </c>
      <c r="B1175" s="1" t="n">
        <v>45685</v>
      </c>
      <c r="C1175" s="1" t="n">
        <v>45852</v>
      </c>
      <c r="D1175" t="inlineStr">
        <is>
          <t>DALARNAS LÄN</t>
        </is>
      </c>
      <c r="E1175" t="inlineStr">
        <is>
          <t>LUDVIKA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4544-2025</t>
        </is>
      </c>
      <c r="B1176" s="1" t="n">
        <v>45687</v>
      </c>
      <c r="C1176" s="1" t="n">
        <v>45852</v>
      </c>
      <c r="D1176" t="inlineStr">
        <is>
          <t>DALARNAS LÄN</t>
        </is>
      </c>
      <c r="E1176" t="inlineStr">
        <is>
          <t>LUDVIKA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4550-2025</t>
        </is>
      </c>
      <c r="B1177" s="1" t="n">
        <v>45687</v>
      </c>
      <c r="C1177" s="1" t="n">
        <v>45852</v>
      </c>
      <c r="D1177" t="inlineStr">
        <is>
          <t>DALARNAS LÄN</t>
        </is>
      </c>
      <c r="E1177" t="inlineStr">
        <is>
          <t>LUDVIKA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4782-2025</t>
        </is>
      </c>
      <c r="B1178" s="1" t="n">
        <v>45688</v>
      </c>
      <c r="C1178" s="1" t="n">
        <v>45852</v>
      </c>
      <c r="D1178" t="inlineStr">
        <is>
          <t>DALARNAS LÄN</t>
        </is>
      </c>
      <c r="E1178" t="inlineStr">
        <is>
          <t>LUDVIKA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4772-2025</t>
        </is>
      </c>
      <c r="B1179" s="1" t="n">
        <v>45688</v>
      </c>
      <c r="C1179" s="1" t="n">
        <v>45852</v>
      </c>
      <c r="D1179" t="inlineStr">
        <is>
          <t>DALARNAS LÄN</t>
        </is>
      </c>
      <c r="E1179" t="inlineStr">
        <is>
          <t>LUDVIKA</t>
        </is>
      </c>
      <c r="G1179" t="n">
        <v>15.9</v>
      </c>
      <c r="H1179" t="n">
        <v>0</v>
      </c>
      <c r="I1179" t="n">
        <v>0</v>
      </c>
      <c r="J1179" t="n">
        <v>0</v>
      </c>
      <c r="K1179" t="n">
        <v>0</v>
      </c>
      <c r="L1179" t="n">
        <v>0</v>
      </c>
      <c r="M1179" t="n">
        <v>0</v>
      </c>
      <c r="N1179" t="n">
        <v>0</v>
      </c>
      <c r="O1179" t="n">
        <v>0</v>
      </c>
      <c r="P1179" t="n">
        <v>0</v>
      </c>
      <c r="Q1179" t="n">
        <v>0</v>
      </c>
      <c r="R1179" s="2" t="inlineStr"/>
    </row>
    <row r="1180" ht="15" customHeight="1">
      <c r="A1180" t="inlineStr">
        <is>
          <t>A 7526-2025</t>
        </is>
      </c>
      <c r="B1180" s="1" t="n">
        <v>45705</v>
      </c>
      <c r="C1180" s="1" t="n">
        <v>45852</v>
      </c>
      <c r="D1180" t="inlineStr">
        <is>
          <t>DALARNAS LÄN</t>
        </is>
      </c>
      <c r="E1180" t="inlineStr">
        <is>
          <t>LUDVIKA</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8202-2025</t>
        </is>
      </c>
      <c r="B1181" s="1" t="n">
        <v>45708</v>
      </c>
      <c r="C1181" s="1" t="n">
        <v>45852</v>
      </c>
      <c r="D1181" t="inlineStr">
        <is>
          <t>DALARNAS LÄN</t>
        </is>
      </c>
      <c r="E1181" t="inlineStr">
        <is>
          <t>LUDVIKA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9725-2025</t>
        </is>
      </c>
      <c r="B1182" s="1" t="n">
        <v>45716</v>
      </c>
      <c r="C1182" s="1" t="n">
        <v>45852</v>
      </c>
      <c r="D1182" t="inlineStr">
        <is>
          <t>DALARNAS LÄN</t>
        </is>
      </c>
      <c r="E1182" t="inlineStr">
        <is>
          <t>LUDVIKA</t>
        </is>
      </c>
      <c r="F1182" t="inlineStr">
        <is>
          <t>Bergvik skog väst AB</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10514-2025</t>
        </is>
      </c>
      <c r="B1183" s="1" t="n">
        <v>45721</v>
      </c>
      <c r="C1183" s="1" t="n">
        <v>45852</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12435-2025</t>
        </is>
      </c>
      <c r="B1184" s="1" t="n">
        <v>45730</v>
      </c>
      <c r="C1184" s="1" t="n">
        <v>45852</v>
      </c>
      <c r="D1184" t="inlineStr">
        <is>
          <t>DALARNAS LÄN</t>
        </is>
      </c>
      <c r="E1184" t="inlineStr">
        <is>
          <t>LUDVIKA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12836-2025</t>
        </is>
      </c>
      <c r="B1185" s="1" t="n">
        <v>45733</v>
      </c>
      <c r="C1185" s="1" t="n">
        <v>45852</v>
      </c>
      <c r="D1185" t="inlineStr">
        <is>
          <t>DALARNAS LÄN</t>
        </is>
      </c>
      <c r="E1185" t="inlineStr">
        <is>
          <t>LUDVIKA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13080-2025</t>
        </is>
      </c>
      <c r="B1186" s="1" t="n">
        <v>45734</v>
      </c>
      <c r="C1186" s="1" t="n">
        <v>45852</v>
      </c>
      <c r="D1186" t="inlineStr">
        <is>
          <t>DALARNAS LÄN</t>
        </is>
      </c>
      <c r="E1186" t="inlineStr">
        <is>
          <t>LUDVIKA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13809-2025</t>
        </is>
      </c>
      <c r="B1187" s="1" t="n">
        <v>45737</v>
      </c>
      <c r="C1187" s="1" t="n">
        <v>45852</v>
      </c>
      <c r="D1187" t="inlineStr">
        <is>
          <t>DALARNAS LÄN</t>
        </is>
      </c>
      <c r="E1187" t="inlineStr">
        <is>
          <t>LUDVIKA</t>
        </is>
      </c>
      <c r="F1187" t="inlineStr">
        <is>
          <t>Bergvik skog väst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14046-2025</t>
        </is>
      </c>
      <c r="B1188" s="1" t="n">
        <v>45740</v>
      </c>
      <c r="C1188" s="1" t="n">
        <v>45852</v>
      </c>
      <c r="D1188" t="inlineStr">
        <is>
          <t>DALARNAS LÄN</t>
        </is>
      </c>
      <c r="E1188" t="inlineStr">
        <is>
          <t>LUDVIKA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14764-2025</t>
        </is>
      </c>
      <c r="B1189" s="1" t="n">
        <v>45742</v>
      </c>
      <c r="C1189" s="1" t="n">
        <v>45852</v>
      </c>
      <c r="D1189" t="inlineStr">
        <is>
          <t>DALARNAS LÄN</t>
        </is>
      </c>
      <c r="E1189" t="inlineStr">
        <is>
          <t>LUDVIKA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14881-2025</t>
        </is>
      </c>
      <c r="B1190" s="1" t="n">
        <v>45743</v>
      </c>
      <c r="C1190" s="1" t="n">
        <v>45852</v>
      </c>
      <c r="D1190" t="inlineStr">
        <is>
          <t>DALARNAS LÄN</t>
        </is>
      </c>
      <c r="E1190" t="inlineStr">
        <is>
          <t>LUDVIKA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15127-2025</t>
        </is>
      </c>
      <c r="B1191" s="1" t="n">
        <v>45744</v>
      </c>
      <c r="C1191" s="1" t="n">
        <v>45852</v>
      </c>
      <c r="D1191" t="inlineStr">
        <is>
          <t>DALARNAS LÄN</t>
        </is>
      </c>
      <c r="E1191" t="inlineStr">
        <is>
          <t>LUDVIKA</t>
        </is>
      </c>
      <c r="F1191" t="inlineStr">
        <is>
          <t>Bergvik skog väst AB</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15128-2025</t>
        </is>
      </c>
      <c r="B1192" s="1" t="n">
        <v>45744</v>
      </c>
      <c r="C1192" s="1" t="n">
        <v>45852</v>
      </c>
      <c r="D1192" t="inlineStr">
        <is>
          <t>DALARNAS LÄN</t>
        </is>
      </c>
      <c r="E1192" t="inlineStr">
        <is>
          <t>LUDVIKA</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15421-2025</t>
        </is>
      </c>
      <c r="B1193" s="1" t="n">
        <v>45747</v>
      </c>
      <c r="C1193" s="1" t="n">
        <v>45852</v>
      </c>
      <c r="D1193" t="inlineStr">
        <is>
          <t>DALARNAS LÄN</t>
        </is>
      </c>
      <c r="E1193" t="inlineStr">
        <is>
          <t>LUDVIKA</t>
        </is>
      </c>
      <c r="F1193" t="inlineStr">
        <is>
          <t>Övriga Aktiebolag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16768-2025</t>
        </is>
      </c>
      <c r="B1194" s="1" t="n">
        <v>45754</v>
      </c>
      <c r="C1194" s="1" t="n">
        <v>45852</v>
      </c>
      <c r="D1194" t="inlineStr">
        <is>
          <t>DALARNAS LÄN</t>
        </is>
      </c>
      <c r="E1194" t="inlineStr">
        <is>
          <t>LUDVIKA</t>
        </is>
      </c>
      <c r="F1194" t="inlineStr">
        <is>
          <t>Naturvårdsverket</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16807-2025</t>
        </is>
      </c>
      <c r="B1195" s="1" t="n">
        <v>45754</v>
      </c>
      <c r="C1195" s="1" t="n">
        <v>45852</v>
      </c>
      <c r="D1195" t="inlineStr">
        <is>
          <t>DALARNAS LÄN</t>
        </is>
      </c>
      <c r="E1195" t="inlineStr">
        <is>
          <t>LUDVIKA</t>
        </is>
      </c>
      <c r="F1195" t="inlineStr">
        <is>
          <t>Naturvårdsverket</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18180-2025</t>
        </is>
      </c>
      <c r="B1196" s="1" t="n">
        <v>45761</v>
      </c>
      <c r="C1196" s="1" t="n">
        <v>45852</v>
      </c>
      <c r="D1196" t="inlineStr">
        <is>
          <t>DALARNAS LÄN</t>
        </is>
      </c>
      <c r="E1196" t="inlineStr">
        <is>
          <t>LUDVIKA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18237-2025</t>
        </is>
      </c>
      <c r="B1197" s="1" t="n">
        <v>45762</v>
      </c>
      <c r="C1197" s="1" t="n">
        <v>45852</v>
      </c>
      <c r="D1197" t="inlineStr">
        <is>
          <t>DALARNAS LÄN</t>
        </is>
      </c>
      <c r="E1197" t="inlineStr">
        <is>
          <t>LUDVIKA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17998-2025</t>
        </is>
      </c>
      <c r="B1198" s="1" t="n">
        <v>45761</v>
      </c>
      <c r="C1198" s="1" t="n">
        <v>45852</v>
      </c>
      <c r="D1198" t="inlineStr">
        <is>
          <t>DALARNAS LÄN</t>
        </is>
      </c>
      <c r="E1198" t="inlineStr">
        <is>
          <t>LUDVIKA</t>
        </is>
      </c>
      <c r="F1198" t="inlineStr">
        <is>
          <t>Naturvårdsverket</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17986-2025</t>
        </is>
      </c>
      <c r="B1199" s="1" t="n">
        <v>45761</v>
      </c>
      <c r="C1199" s="1" t="n">
        <v>45852</v>
      </c>
      <c r="D1199" t="inlineStr">
        <is>
          <t>DALARNAS LÄN</t>
        </is>
      </c>
      <c r="E1199" t="inlineStr">
        <is>
          <t>LUDVIKA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18187-2025</t>
        </is>
      </c>
      <c r="B1200" s="1" t="n">
        <v>45761</v>
      </c>
      <c r="C1200" s="1" t="n">
        <v>45852</v>
      </c>
      <c r="D1200" t="inlineStr">
        <is>
          <t>DALARNAS LÄN</t>
        </is>
      </c>
      <c r="E1200" t="inlineStr">
        <is>
          <t>LUDVIKA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18189-2025</t>
        </is>
      </c>
      <c r="B1201" s="1" t="n">
        <v>45761</v>
      </c>
      <c r="C1201" s="1" t="n">
        <v>45852</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17999-2025</t>
        </is>
      </c>
      <c r="B1202" s="1" t="n">
        <v>45761</v>
      </c>
      <c r="C1202" s="1" t="n">
        <v>45852</v>
      </c>
      <c r="D1202" t="inlineStr">
        <is>
          <t>DALARNAS LÄN</t>
        </is>
      </c>
      <c r="E1202" t="inlineStr">
        <is>
          <t>LUDVIKA</t>
        </is>
      </c>
      <c r="F1202" t="inlineStr">
        <is>
          <t>Naturvårdsverket</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18421-2025</t>
        </is>
      </c>
      <c r="B1203" s="1" t="n">
        <v>45762</v>
      </c>
      <c r="C1203" s="1" t="n">
        <v>45852</v>
      </c>
      <c r="D1203" t="inlineStr">
        <is>
          <t>DALARNAS LÄN</t>
        </is>
      </c>
      <c r="E1203" t="inlineStr">
        <is>
          <t>LUDVIKA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18435-2025</t>
        </is>
      </c>
      <c r="B1204" s="1" t="n">
        <v>45762</v>
      </c>
      <c r="C1204" s="1" t="n">
        <v>45852</v>
      </c>
      <c r="D1204" t="inlineStr">
        <is>
          <t>DALARNAS LÄN</t>
        </is>
      </c>
      <c r="E1204" t="inlineStr">
        <is>
          <t>LUDVIKA</t>
        </is>
      </c>
      <c r="F1204" t="inlineStr">
        <is>
          <t>Bergvik skog väst AB</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18372-2025</t>
        </is>
      </c>
      <c r="B1205" s="1" t="n">
        <v>45762</v>
      </c>
      <c r="C1205" s="1" t="n">
        <v>45852</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19071-2025</t>
        </is>
      </c>
      <c r="B1206" s="1" t="n">
        <v>45765</v>
      </c>
      <c r="C1206" s="1" t="n">
        <v>45852</v>
      </c>
      <c r="D1206" t="inlineStr">
        <is>
          <t>DALARNAS LÄN</t>
        </is>
      </c>
      <c r="E1206" t="inlineStr">
        <is>
          <t>LUDVIKA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19226-2025</t>
        </is>
      </c>
      <c r="B1207" s="1" t="n">
        <v>45769</v>
      </c>
      <c r="C1207" s="1" t="n">
        <v>45852</v>
      </c>
      <c r="D1207" t="inlineStr">
        <is>
          <t>DALARNAS LÄN</t>
        </is>
      </c>
      <c r="E1207" t="inlineStr">
        <is>
          <t>LUDVIKA</t>
        </is>
      </c>
      <c r="F1207" t="inlineStr">
        <is>
          <t>Bergvik skog väst AB</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19677-2025</t>
        </is>
      </c>
      <c r="B1208" s="1" t="n">
        <v>45770</v>
      </c>
      <c r="C1208" s="1" t="n">
        <v>45852</v>
      </c>
      <c r="D1208" t="inlineStr">
        <is>
          <t>DALARNAS LÄN</t>
        </is>
      </c>
      <c r="E1208" t="inlineStr">
        <is>
          <t>LUDVIKA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20368-2025</t>
        </is>
      </c>
      <c r="B1209" s="1" t="n">
        <v>45775</v>
      </c>
      <c r="C1209" s="1" t="n">
        <v>45852</v>
      </c>
      <c r="D1209" t="inlineStr">
        <is>
          <t>DALARNAS LÄN</t>
        </is>
      </c>
      <c r="E1209" t="inlineStr">
        <is>
          <t>LUDVIKA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20449-2025</t>
        </is>
      </c>
      <c r="B1210" s="1" t="n">
        <v>45775</v>
      </c>
      <c r="C1210" s="1" t="n">
        <v>45852</v>
      </c>
      <c r="D1210" t="inlineStr">
        <is>
          <t>DALARNAS LÄN</t>
        </is>
      </c>
      <c r="E1210" t="inlineStr">
        <is>
          <t>LUDVIKA</t>
        </is>
      </c>
      <c r="F1210" t="inlineStr">
        <is>
          <t>Bergvik skog väst AB</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20427-2025</t>
        </is>
      </c>
      <c r="B1211" s="1" t="n">
        <v>45775</v>
      </c>
      <c r="C1211" s="1" t="n">
        <v>45852</v>
      </c>
      <c r="D1211" t="inlineStr">
        <is>
          <t>DALARNAS LÄN</t>
        </is>
      </c>
      <c r="E1211" t="inlineStr">
        <is>
          <t>LUDVIKA</t>
        </is>
      </c>
      <c r="F1211" t="inlineStr">
        <is>
          <t>Bergvik skog väst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20642-2025</t>
        </is>
      </c>
      <c r="B1212" s="1" t="n">
        <v>45776</v>
      </c>
      <c r="C1212" s="1" t="n">
        <v>45852</v>
      </c>
      <c r="D1212" t="inlineStr">
        <is>
          <t>DALARNAS LÄN</t>
        </is>
      </c>
      <c r="E1212" t="inlineStr">
        <is>
          <t>LUDVIKA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20994-2025</t>
        </is>
      </c>
      <c r="B1213" s="1" t="n">
        <v>45777</v>
      </c>
      <c r="C1213" s="1" t="n">
        <v>45852</v>
      </c>
      <c r="D1213" t="inlineStr">
        <is>
          <t>DALARNAS LÄN</t>
        </is>
      </c>
      <c r="E1213" t="inlineStr">
        <is>
          <t>LUDVIKA</t>
        </is>
      </c>
      <c r="F1213" t="inlineStr">
        <is>
          <t>Bergvik skog väst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21021-2025</t>
        </is>
      </c>
      <c r="B1214" s="1" t="n">
        <v>45777</v>
      </c>
      <c r="C1214" s="1" t="n">
        <v>45852</v>
      </c>
      <c r="D1214" t="inlineStr">
        <is>
          <t>DALARNAS LÄN</t>
        </is>
      </c>
      <c r="E1214" t="inlineStr">
        <is>
          <t>LUDVIKA</t>
        </is>
      </c>
      <c r="F1214" t="inlineStr">
        <is>
          <t>Bergvik skog väst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21891-2025</t>
        </is>
      </c>
      <c r="B1215" s="1" t="n">
        <v>45784</v>
      </c>
      <c r="C1215" s="1" t="n">
        <v>45852</v>
      </c>
      <c r="D1215" t="inlineStr">
        <is>
          <t>DALARNAS LÄN</t>
        </is>
      </c>
      <c r="E1215" t="inlineStr">
        <is>
          <t>LUDVIKA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21893-2025</t>
        </is>
      </c>
      <c r="B1216" s="1" t="n">
        <v>45784</v>
      </c>
      <c r="C1216" s="1" t="n">
        <v>45852</v>
      </c>
      <c r="D1216" t="inlineStr">
        <is>
          <t>DALARNAS LÄN</t>
        </is>
      </c>
      <c r="E1216" t="inlineStr">
        <is>
          <t>LUDVIKA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22195-2025</t>
        </is>
      </c>
      <c r="B1217" s="1" t="n">
        <v>45785</v>
      </c>
      <c r="C1217" s="1" t="n">
        <v>45852</v>
      </c>
      <c r="D1217" t="inlineStr">
        <is>
          <t>DALARNAS LÄN</t>
        </is>
      </c>
      <c r="E1217" t="inlineStr">
        <is>
          <t>LUDVIKA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22330-2025</t>
        </is>
      </c>
      <c r="B1218" s="1" t="n">
        <v>45786</v>
      </c>
      <c r="C1218" s="1" t="n">
        <v>45852</v>
      </c>
      <c r="D1218" t="inlineStr">
        <is>
          <t>DALARNAS LÄN</t>
        </is>
      </c>
      <c r="E1218" t="inlineStr">
        <is>
          <t>LUDVIKA</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22325-2025</t>
        </is>
      </c>
      <c r="B1219" s="1" t="n">
        <v>45786</v>
      </c>
      <c r="C1219" s="1" t="n">
        <v>45852</v>
      </c>
      <c r="D1219" t="inlineStr">
        <is>
          <t>DALARNAS LÄN</t>
        </is>
      </c>
      <c r="E1219" t="inlineStr">
        <is>
          <t>LUDVIKA</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22328-2025</t>
        </is>
      </c>
      <c r="B1220" s="1" t="n">
        <v>45786</v>
      </c>
      <c r="C1220" s="1" t="n">
        <v>45852</v>
      </c>
      <c r="D1220" t="inlineStr">
        <is>
          <t>DALARNAS LÄN</t>
        </is>
      </c>
      <c r="E1220" t="inlineStr">
        <is>
          <t>LUDVIKA</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22324-2025</t>
        </is>
      </c>
      <c r="B1221" s="1" t="n">
        <v>45786</v>
      </c>
      <c r="C1221" s="1" t="n">
        <v>45852</v>
      </c>
      <c r="D1221" t="inlineStr">
        <is>
          <t>DALARNAS LÄN</t>
        </is>
      </c>
      <c r="E1221" t="inlineStr">
        <is>
          <t>LUDVIKA</t>
        </is>
      </c>
      <c r="F1221" t="inlineStr">
        <is>
          <t>Bergvik skog väst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22686-2025</t>
        </is>
      </c>
      <c r="B1222" s="1" t="n">
        <v>45786</v>
      </c>
      <c r="C1222" s="1" t="n">
        <v>45852</v>
      </c>
      <c r="D1222" t="inlineStr">
        <is>
          <t>DALARNAS LÄN</t>
        </is>
      </c>
      <c r="E1222" t="inlineStr">
        <is>
          <t>LUDVIKA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22801-2025</t>
        </is>
      </c>
      <c r="B1223" s="1" t="n">
        <v>45789</v>
      </c>
      <c r="C1223" s="1" t="n">
        <v>45852</v>
      </c>
      <c r="D1223" t="inlineStr">
        <is>
          <t>DALARNAS LÄN</t>
        </is>
      </c>
      <c r="E1223" t="inlineStr">
        <is>
          <t>LUDVIKA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22807-2025</t>
        </is>
      </c>
      <c r="B1224" s="1" t="n">
        <v>45789</v>
      </c>
      <c r="C1224" s="1" t="n">
        <v>45852</v>
      </c>
      <c r="D1224" t="inlineStr">
        <is>
          <t>DALARNAS LÄN</t>
        </is>
      </c>
      <c r="E1224" t="inlineStr">
        <is>
          <t>LUDVIKA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22606-2025</t>
        </is>
      </c>
      <c r="B1225" s="1" t="n">
        <v>45789</v>
      </c>
      <c r="C1225" s="1" t="n">
        <v>45852</v>
      </c>
      <c r="D1225" t="inlineStr">
        <is>
          <t>DALARNAS LÄN</t>
        </is>
      </c>
      <c r="E1225" t="inlineStr">
        <is>
          <t>LUDVIKA</t>
        </is>
      </c>
      <c r="F1225" t="inlineStr">
        <is>
          <t>Bergvik skog väst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22610-2025</t>
        </is>
      </c>
      <c r="B1226" s="1" t="n">
        <v>45789</v>
      </c>
      <c r="C1226" s="1" t="n">
        <v>45852</v>
      </c>
      <c r="D1226" t="inlineStr">
        <is>
          <t>DALARNAS LÄN</t>
        </is>
      </c>
      <c r="E1226" t="inlineStr">
        <is>
          <t>LUDVIKA</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22599-2025</t>
        </is>
      </c>
      <c r="B1227" s="1" t="n">
        <v>45789</v>
      </c>
      <c r="C1227" s="1" t="n">
        <v>45852</v>
      </c>
      <c r="D1227" t="inlineStr">
        <is>
          <t>DALARNAS LÄN</t>
        </is>
      </c>
      <c r="E1227" t="inlineStr">
        <is>
          <t>LUDVIKA</t>
        </is>
      </c>
      <c r="F1227" t="inlineStr">
        <is>
          <t>Bergvik skog väst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22594-2025</t>
        </is>
      </c>
      <c r="B1228" s="1" t="n">
        <v>45789</v>
      </c>
      <c r="C1228" s="1" t="n">
        <v>45852</v>
      </c>
      <c r="D1228" t="inlineStr">
        <is>
          <t>DALARNAS LÄN</t>
        </is>
      </c>
      <c r="E1228" t="inlineStr">
        <is>
          <t>LUDVIKA</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22850-2025</t>
        </is>
      </c>
      <c r="B1229" s="1" t="n">
        <v>45790</v>
      </c>
      <c r="C1229" s="1" t="n">
        <v>45852</v>
      </c>
      <c r="D1229" t="inlineStr">
        <is>
          <t>DALARNAS LÄN</t>
        </is>
      </c>
      <c r="E1229" t="inlineStr">
        <is>
          <t>LUDVIKA</t>
        </is>
      </c>
      <c r="F1229" t="inlineStr">
        <is>
          <t>Övriga Aktiebolag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23137-2025</t>
        </is>
      </c>
      <c r="B1230" s="1" t="n">
        <v>45791</v>
      </c>
      <c r="C1230" s="1" t="n">
        <v>45852</v>
      </c>
      <c r="D1230" t="inlineStr">
        <is>
          <t>DALARNAS LÄN</t>
        </is>
      </c>
      <c r="E1230" t="inlineStr">
        <is>
          <t>LUDVIKA</t>
        </is>
      </c>
      <c r="F1230" t="inlineStr">
        <is>
          <t>Bergvik skog väst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23086-2025</t>
        </is>
      </c>
      <c r="B1231" s="1" t="n">
        <v>45791</v>
      </c>
      <c r="C1231" s="1" t="n">
        <v>45852</v>
      </c>
      <c r="D1231" t="inlineStr">
        <is>
          <t>DALARNAS LÄN</t>
        </is>
      </c>
      <c r="E1231" t="inlineStr">
        <is>
          <t>LUDVIKA</t>
        </is>
      </c>
      <c r="F1231" t="inlineStr">
        <is>
          <t>Bergvik skog väst AB</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23082-2025</t>
        </is>
      </c>
      <c r="B1232" s="1" t="n">
        <v>45791</v>
      </c>
      <c r="C1232" s="1" t="n">
        <v>45852</v>
      </c>
      <c r="D1232" t="inlineStr">
        <is>
          <t>DALARNAS LÄN</t>
        </is>
      </c>
      <c r="E1232" t="inlineStr">
        <is>
          <t>LUDVIKA</t>
        </is>
      </c>
      <c r="F1232" t="inlineStr">
        <is>
          <t>Bergvik skog väst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23088-2025</t>
        </is>
      </c>
      <c r="B1233" s="1" t="n">
        <v>45791</v>
      </c>
      <c r="C1233" s="1" t="n">
        <v>45852</v>
      </c>
      <c r="D1233" t="inlineStr">
        <is>
          <t>DALARNAS LÄN</t>
        </is>
      </c>
      <c r="E1233" t="inlineStr">
        <is>
          <t>LUDVIKA</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23087-2025</t>
        </is>
      </c>
      <c r="B1234" s="1" t="n">
        <v>45791</v>
      </c>
      <c r="C1234" s="1" t="n">
        <v>45852</v>
      </c>
      <c r="D1234" t="inlineStr">
        <is>
          <t>DALARNAS LÄN</t>
        </is>
      </c>
      <c r="E1234" t="inlineStr">
        <is>
          <t>LUDVIKA</t>
        </is>
      </c>
      <c r="F1234" t="inlineStr">
        <is>
          <t>Bergvik skog väst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23097-2025</t>
        </is>
      </c>
      <c r="B1235" s="1" t="n">
        <v>45791</v>
      </c>
      <c r="C1235" s="1" t="n">
        <v>45852</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23103-2025</t>
        </is>
      </c>
      <c r="B1236" s="1" t="n">
        <v>45791</v>
      </c>
      <c r="C1236" s="1" t="n">
        <v>45852</v>
      </c>
      <c r="D1236" t="inlineStr">
        <is>
          <t>DALARNAS LÄN</t>
        </is>
      </c>
      <c r="E1236" t="inlineStr">
        <is>
          <t>LUDVIKA</t>
        </is>
      </c>
      <c r="F1236" t="inlineStr">
        <is>
          <t>Bergvik skog väst AB</t>
        </is>
      </c>
      <c r="G1236" t="n">
        <v>15.9</v>
      </c>
      <c r="H1236" t="n">
        <v>0</v>
      </c>
      <c r="I1236" t="n">
        <v>0</v>
      </c>
      <c r="J1236" t="n">
        <v>0</v>
      </c>
      <c r="K1236" t="n">
        <v>0</v>
      </c>
      <c r="L1236" t="n">
        <v>0</v>
      </c>
      <c r="M1236" t="n">
        <v>0</v>
      </c>
      <c r="N1236" t="n">
        <v>0</v>
      </c>
      <c r="O1236" t="n">
        <v>0</v>
      </c>
      <c r="P1236" t="n">
        <v>0</v>
      </c>
      <c r="Q1236" t="n">
        <v>0</v>
      </c>
      <c r="R1236" s="2" t="inlineStr"/>
    </row>
    <row r="1237" ht="15" customHeight="1">
      <c r="A1237" t="inlineStr">
        <is>
          <t>A 23105-2025</t>
        </is>
      </c>
      <c r="B1237" s="1" t="n">
        <v>45791</v>
      </c>
      <c r="C1237" s="1" t="n">
        <v>45852</v>
      </c>
      <c r="D1237" t="inlineStr">
        <is>
          <t>DALARNAS LÄN</t>
        </is>
      </c>
      <c r="E1237" t="inlineStr">
        <is>
          <t>LUDVIKA</t>
        </is>
      </c>
      <c r="F1237" t="inlineStr">
        <is>
          <t>Bergvik skog väst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23139-2025</t>
        </is>
      </c>
      <c r="B1238" s="1" t="n">
        <v>45791</v>
      </c>
      <c r="C1238" s="1" t="n">
        <v>45852</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23117-2025</t>
        </is>
      </c>
      <c r="B1239" s="1" t="n">
        <v>45791</v>
      </c>
      <c r="C1239" s="1" t="n">
        <v>45852</v>
      </c>
      <c r="D1239" t="inlineStr">
        <is>
          <t>DALARNAS LÄN</t>
        </is>
      </c>
      <c r="E1239" t="inlineStr">
        <is>
          <t>LUDVIKA</t>
        </is>
      </c>
      <c r="F1239" t="inlineStr">
        <is>
          <t>Bergvik skog väst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23111-2025</t>
        </is>
      </c>
      <c r="B1240" s="1" t="n">
        <v>45791</v>
      </c>
      <c r="C1240" s="1" t="n">
        <v>45852</v>
      </c>
      <c r="D1240" t="inlineStr">
        <is>
          <t>DALARNAS LÄN</t>
        </is>
      </c>
      <c r="E1240" t="inlineStr">
        <is>
          <t>LUDVIKA</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23521-2025</t>
        </is>
      </c>
      <c r="B1241" s="1" t="n">
        <v>45792</v>
      </c>
      <c r="C1241" s="1" t="n">
        <v>45852</v>
      </c>
      <c r="D1241" t="inlineStr">
        <is>
          <t>DALARNAS LÄN</t>
        </is>
      </c>
      <c r="E1241" t="inlineStr">
        <is>
          <t>LUDVIKA</t>
        </is>
      </c>
      <c r="F1241" t="inlineStr">
        <is>
          <t>Bergvik skog väst AB</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24081-2025</t>
        </is>
      </c>
      <c r="B1242" s="1" t="n">
        <v>45796</v>
      </c>
      <c r="C1242" s="1" t="n">
        <v>45852</v>
      </c>
      <c r="D1242" t="inlineStr">
        <is>
          <t>DALARNAS LÄN</t>
        </is>
      </c>
      <c r="E1242" t="inlineStr">
        <is>
          <t>LUDVIKA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24027-2025</t>
        </is>
      </c>
      <c r="B1243" s="1" t="n">
        <v>45796</v>
      </c>
      <c r="C1243" s="1" t="n">
        <v>45852</v>
      </c>
      <c r="D1243" t="inlineStr">
        <is>
          <t>DALARNAS LÄN</t>
        </is>
      </c>
      <c r="E1243" t="inlineStr">
        <is>
          <t>LUDVIKA</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24696-2025</t>
        </is>
      </c>
      <c r="B1244" s="1" t="n">
        <v>45798</v>
      </c>
      <c r="C1244" s="1" t="n">
        <v>45852</v>
      </c>
      <c r="D1244" t="inlineStr">
        <is>
          <t>DALARNAS LÄN</t>
        </is>
      </c>
      <c r="E1244" t="inlineStr">
        <is>
          <t>LUDVIKA</t>
        </is>
      </c>
      <c r="F1244" t="inlineStr">
        <is>
          <t>Bergvik skog väst AB</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24628-2025</t>
        </is>
      </c>
      <c r="B1245" s="1" t="n">
        <v>45798</v>
      </c>
      <c r="C1245" s="1" t="n">
        <v>45852</v>
      </c>
      <c r="D1245" t="inlineStr">
        <is>
          <t>DALARNAS LÄN</t>
        </is>
      </c>
      <c r="E1245" t="inlineStr">
        <is>
          <t>LUDVIKA</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24697-2025</t>
        </is>
      </c>
      <c r="B1246" s="1" t="n">
        <v>45798</v>
      </c>
      <c r="C1246" s="1" t="n">
        <v>45852</v>
      </c>
      <c r="D1246" t="inlineStr">
        <is>
          <t>DALARNAS LÄN</t>
        </is>
      </c>
      <c r="E1246" t="inlineStr">
        <is>
          <t>LUDVIKA</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24928-2025</t>
        </is>
      </c>
      <c r="B1247" s="1" t="n">
        <v>45799</v>
      </c>
      <c r="C1247" s="1" t="n">
        <v>45852</v>
      </c>
      <c r="D1247" t="inlineStr">
        <is>
          <t>DALARNAS LÄN</t>
        </is>
      </c>
      <c r="E1247" t="inlineStr">
        <is>
          <t>LUDVIKA</t>
        </is>
      </c>
      <c r="F1247" t="inlineStr">
        <is>
          <t>Bergvik skog väst AB</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24814-2025</t>
        </is>
      </c>
      <c r="B1248" s="1" t="n">
        <v>45799</v>
      </c>
      <c r="C1248" s="1" t="n">
        <v>45852</v>
      </c>
      <c r="D1248" t="inlineStr">
        <is>
          <t>DALARNAS LÄN</t>
        </is>
      </c>
      <c r="E1248" t="inlineStr">
        <is>
          <t>LUDVIKA</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24848-2025</t>
        </is>
      </c>
      <c r="B1249" s="1" t="n">
        <v>45799</v>
      </c>
      <c r="C1249" s="1" t="n">
        <v>45852</v>
      </c>
      <c r="D1249" t="inlineStr">
        <is>
          <t>DALARNAS LÄN</t>
        </is>
      </c>
      <c r="E1249" t="inlineStr">
        <is>
          <t>LUDVIKA</t>
        </is>
      </c>
      <c r="F1249" t="inlineStr">
        <is>
          <t>Bergvik skog väst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24783-2025</t>
        </is>
      </c>
      <c r="B1250" s="1" t="n">
        <v>45799</v>
      </c>
      <c r="C1250" s="1" t="n">
        <v>45852</v>
      </c>
      <c r="D1250" t="inlineStr">
        <is>
          <t>DALARNAS LÄN</t>
        </is>
      </c>
      <c r="E1250" t="inlineStr">
        <is>
          <t>LUDVIKA</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24893-2025</t>
        </is>
      </c>
      <c r="B1251" s="1" t="n">
        <v>45799</v>
      </c>
      <c r="C1251" s="1" t="n">
        <v>45852</v>
      </c>
      <c r="D1251" t="inlineStr">
        <is>
          <t>DALARNAS LÄN</t>
        </is>
      </c>
      <c r="E1251" t="inlineStr">
        <is>
          <t>LUDVIKA</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24939-2025</t>
        </is>
      </c>
      <c r="B1252" s="1" t="n">
        <v>45799</v>
      </c>
      <c r="C1252" s="1" t="n">
        <v>45852</v>
      </c>
      <c r="D1252" t="inlineStr">
        <is>
          <t>DALARNAS LÄN</t>
        </is>
      </c>
      <c r="E1252" t="inlineStr">
        <is>
          <t>LUDVIKA</t>
        </is>
      </c>
      <c r="F1252" t="inlineStr">
        <is>
          <t>Bergvik skog väst AB</t>
        </is>
      </c>
      <c r="G1252" t="n">
        <v>15.6</v>
      </c>
      <c r="H1252" t="n">
        <v>0</v>
      </c>
      <c r="I1252" t="n">
        <v>0</v>
      </c>
      <c r="J1252" t="n">
        <v>0</v>
      </c>
      <c r="K1252" t="n">
        <v>0</v>
      </c>
      <c r="L1252" t="n">
        <v>0</v>
      </c>
      <c r="M1252" t="n">
        <v>0</v>
      </c>
      <c r="N1252" t="n">
        <v>0</v>
      </c>
      <c r="O1252" t="n">
        <v>0</v>
      </c>
      <c r="P1252" t="n">
        <v>0</v>
      </c>
      <c r="Q1252" t="n">
        <v>0</v>
      </c>
      <c r="R1252" s="2" t="inlineStr"/>
    </row>
    <row r="1253" ht="15" customHeight="1">
      <c r="A1253" t="inlineStr">
        <is>
          <t>A 24974-2025</t>
        </is>
      </c>
      <c r="B1253" s="1" t="n">
        <v>45799</v>
      </c>
      <c r="C1253" s="1" t="n">
        <v>45852</v>
      </c>
      <c r="D1253" t="inlineStr">
        <is>
          <t>DALARNAS LÄN</t>
        </is>
      </c>
      <c r="E1253" t="inlineStr">
        <is>
          <t>LUDVIKA</t>
        </is>
      </c>
      <c r="F1253" t="inlineStr">
        <is>
          <t>Bergvik skog väst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24875-2025</t>
        </is>
      </c>
      <c r="B1254" s="1" t="n">
        <v>45799</v>
      </c>
      <c r="C1254" s="1" t="n">
        <v>45852</v>
      </c>
      <c r="D1254" t="inlineStr">
        <is>
          <t>DALARNAS LÄN</t>
        </is>
      </c>
      <c r="E1254" t="inlineStr">
        <is>
          <t>LUDVIKA</t>
        </is>
      </c>
      <c r="F1254" t="inlineStr">
        <is>
          <t>Bergvik skog väst AB</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24789-2025</t>
        </is>
      </c>
      <c r="B1255" s="1" t="n">
        <v>45799</v>
      </c>
      <c r="C1255" s="1" t="n">
        <v>45852</v>
      </c>
      <c r="D1255" t="inlineStr">
        <is>
          <t>DALARNAS LÄN</t>
        </is>
      </c>
      <c r="E1255" t="inlineStr">
        <is>
          <t>LUDVIKA</t>
        </is>
      </c>
      <c r="F1255" t="inlineStr">
        <is>
          <t>Bergvik skog väst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25006-2025</t>
        </is>
      </c>
      <c r="B1256" s="1" t="n">
        <v>45799</v>
      </c>
      <c r="C1256" s="1" t="n">
        <v>45852</v>
      </c>
      <c r="D1256" t="inlineStr">
        <is>
          <t>DALARNAS LÄN</t>
        </is>
      </c>
      <c r="E1256" t="inlineStr">
        <is>
          <t>LUDVIKA</t>
        </is>
      </c>
      <c r="F1256" t="inlineStr">
        <is>
          <t>Bergvik skog väst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25004-2025</t>
        </is>
      </c>
      <c r="B1257" s="1" t="n">
        <v>45799</v>
      </c>
      <c r="C1257" s="1" t="n">
        <v>45852</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45852</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25235-2025</t>
        </is>
      </c>
      <c r="B1259" s="1" t="n">
        <v>45800</v>
      </c>
      <c r="C1259" s="1" t="n">
        <v>45852</v>
      </c>
      <c r="D1259" t="inlineStr">
        <is>
          <t>DALARNAS LÄN</t>
        </is>
      </c>
      <c r="E1259" t="inlineStr">
        <is>
          <t>LUDVIKA</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25113-2025</t>
        </is>
      </c>
      <c r="B1260" s="1" t="n">
        <v>45800</v>
      </c>
      <c r="C1260" s="1" t="n">
        <v>45852</v>
      </c>
      <c r="D1260" t="inlineStr">
        <is>
          <t>DALARNAS LÄN</t>
        </is>
      </c>
      <c r="E1260" t="inlineStr">
        <is>
          <t>LUDVIKA</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25150-2025</t>
        </is>
      </c>
      <c r="B1261" s="1" t="n">
        <v>45800</v>
      </c>
      <c r="C1261" s="1" t="n">
        <v>45852</v>
      </c>
      <c r="D1261" t="inlineStr">
        <is>
          <t>DALARNAS LÄN</t>
        </is>
      </c>
      <c r="E1261" t="inlineStr">
        <is>
          <t>LUDVIKA</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25133-2025</t>
        </is>
      </c>
      <c r="B1262" s="1" t="n">
        <v>45800</v>
      </c>
      <c r="C1262" s="1" t="n">
        <v>45852</v>
      </c>
      <c r="D1262" t="inlineStr">
        <is>
          <t>DALARNAS LÄN</t>
        </is>
      </c>
      <c r="E1262" t="inlineStr">
        <is>
          <t>LUDVIKA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25157-2025</t>
        </is>
      </c>
      <c r="B1263" s="1" t="n">
        <v>45800</v>
      </c>
      <c r="C1263" s="1" t="n">
        <v>45852</v>
      </c>
      <c r="D1263" t="inlineStr">
        <is>
          <t>DALARNAS LÄN</t>
        </is>
      </c>
      <c r="E1263" t="inlineStr">
        <is>
          <t>LUDVIKA</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25140-2025</t>
        </is>
      </c>
      <c r="B1264" s="1" t="n">
        <v>45800</v>
      </c>
      <c r="C1264" s="1" t="n">
        <v>45852</v>
      </c>
      <c r="D1264" t="inlineStr">
        <is>
          <t>DALARNAS LÄN</t>
        </is>
      </c>
      <c r="E1264" t="inlineStr">
        <is>
          <t>LUDVIKA</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25619-2025</t>
        </is>
      </c>
      <c r="B1265" s="1" t="n">
        <v>45803</v>
      </c>
      <c r="C1265" s="1" t="n">
        <v>45852</v>
      </c>
      <c r="D1265" t="inlineStr">
        <is>
          <t>DALARNAS LÄN</t>
        </is>
      </c>
      <c r="E1265" t="inlineStr">
        <is>
          <t>LUDVIKA</t>
        </is>
      </c>
      <c r="F1265" t="inlineStr">
        <is>
          <t>Bergvik skog väst AB</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25627-2025</t>
        </is>
      </c>
      <c r="B1266" s="1" t="n">
        <v>45803</v>
      </c>
      <c r="C1266" s="1" t="n">
        <v>45852</v>
      </c>
      <c r="D1266" t="inlineStr">
        <is>
          <t>DALARNAS LÄN</t>
        </is>
      </c>
      <c r="E1266" t="inlineStr">
        <is>
          <t>LUDVIKA</t>
        </is>
      </c>
      <c r="F1266" t="inlineStr">
        <is>
          <t>Bergvik skog väst AB</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25644-2025</t>
        </is>
      </c>
      <c r="B1267" s="1" t="n">
        <v>45803</v>
      </c>
      <c r="C1267" s="1" t="n">
        <v>45852</v>
      </c>
      <c r="D1267" t="inlineStr">
        <is>
          <t>DALARNAS LÄN</t>
        </is>
      </c>
      <c r="E1267" t="inlineStr">
        <is>
          <t>LUDVIKA</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25920-2025</t>
        </is>
      </c>
      <c r="B1268" s="1" t="n">
        <v>45804</v>
      </c>
      <c r="C1268" s="1" t="n">
        <v>45852</v>
      </c>
      <c r="D1268" t="inlineStr">
        <is>
          <t>DALARNAS LÄN</t>
        </is>
      </c>
      <c r="E1268" t="inlineStr">
        <is>
          <t>LUDVIKA</t>
        </is>
      </c>
      <c r="F1268" t="inlineStr">
        <is>
          <t>Bergvik skog väst AB</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26320-2025</t>
        </is>
      </c>
      <c r="B1269" s="1" t="n">
        <v>45805</v>
      </c>
      <c r="C1269" s="1" t="n">
        <v>45852</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26150-2025</t>
        </is>
      </c>
      <c r="B1270" s="1" t="n">
        <v>45805</v>
      </c>
      <c r="C1270" s="1" t="n">
        <v>45852</v>
      </c>
      <c r="D1270" t="inlineStr">
        <is>
          <t>DALARNAS LÄN</t>
        </is>
      </c>
      <c r="E1270" t="inlineStr">
        <is>
          <t>LUDVIKA</t>
        </is>
      </c>
      <c r="F1270" t="inlineStr">
        <is>
          <t>Bergvik skog väst AB</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26433-2025</t>
        </is>
      </c>
      <c r="B1271" s="1" t="n">
        <v>45807</v>
      </c>
      <c r="C1271" s="1" t="n">
        <v>45852</v>
      </c>
      <c r="D1271" t="inlineStr">
        <is>
          <t>DALARNAS LÄN</t>
        </is>
      </c>
      <c r="E1271" t="inlineStr">
        <is>
          <t>LUDVIKA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26779-2025</t>
        </is>
      </c>
      <c r="B1272" s="1" t="n">
        <v>45810</v>
      </c>
      <c r="C1272" s="1" t="n">
        <v>45852</v>
      </c>
      <c r="D1272" t="inlineStr">
        <is>
          <t>DALARNAS LÄN</t>
        </is>
      </c>
      <c r="E1272" t="inlineStr">
        <is>
          <t>LUDVIKA</t>
        </is>
      </c>
      <c r="F1272" t="inlineStr">
        <is>
          <t>Bergvik skog väst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45852</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26719-2025</t>
        </is>
      </c>
      <c r="B1274" s="1" t="n">
        <v>45810</v>
      </c>
      <c r="C1274" s="1" t="n">
        <v>45852</v>
      </c>
      <c r="D1274" t="inlineStr">
        <is>
          <t>DALARNAS LÄN</t>
        </is>
      </c>
      <c r="E1274" t="inlineStr">
        <is>
          <t>LUDVIKA</t>
        </is>
      </c>
      <c r="F1274" t="inlineStr">
        <is>
          <t>Bergvik skog väst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26628-2025</t>
        </is>
      </c>
      <c r="B1275" s="1" t="n">
        <v>45810</v>
      </c>
      <c r="C1275" s="1" t="n">
        <v>45852</v>
      </c>
      <c r="D1275" t="inlineStr">
        <is>
          <t>DALARNAS LÄN</t>
        </is>
      </c>
      <c r="E1275" t="inlineStr">
        <is>
          <t>LUDVIKA</t>
        </is>
      </c>
      <c r="F1275" t="inlineStr">
        <is>
          <t>Bergvik skog väst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26823-2025</t>
        </is>
      </c>
      <c r="B1276" s="1" t="n">
        <v>45810</v>
      </c>
      <c r="C1276" s="1" t="n">
        <v>45852</v>
      </c>
      <c r="D1276" t="inlineStr">
        <is>
          <t>DALARNAS LÄN</t>
        </is>
      </c>
      <c r="E1276" t="inlineStr">
        <is>
          <t>LUDVIKA</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26826-2025</t>
        </is>
      </c>
      <c r="B1277" s="1" t="n">
        <v>45810</v>
      </c>
      <c r="C1277" s="1" t="n">
        <v>45852</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26794-2025</t>
        </is>
      </c>
      <c r="B1278" s="1" t="n">
        <v>45810</v>
      </c>
      <c r="C1278" s="1" t="n">
        <v>45852</v>
      </c>
      <c r="D1278" t="inlineStr">
        <is>
          <t>DALARNAS LÄN</t>
        </is>
      </c>
      <c r="E1278" t="inlineStr">
        <is>
          <t>LUDVIKA</t>
        </is>
      </c>
      <c r="F1278" t="inlineStr">
        <is>
          <t>Kommuner</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26942-2025</t>
        </is>
      </c>
      <c r="B1279" s="1" t="n">
        <v>45811</v>
      </c>
      <c r="C1279" s="1" t="n">
        <v>45852</v>
      </c>
      <c r="D1279" t="inlineStr">
        <is>
          <t>DALARNAS LÄN</t>
        </is>
      </c>
      <c r="E1279" t="inlineStr">
        <is>
          <t>LUDVIKA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27021-2025</t>
        </is>
      </c>
      <c r="B1280" s="1" t="n">
        <v>45811</v>
      </c>
      <c r="C1280" s="1" t="n">
        <v>45852</v>
      </c>
      <c r="D1280" t="inlineStr">
        <is>
          <t>DALARNAS LÄN</t>
        </is>
      </c>
      <c r="E1280" t="inlineStr">
        <is>
          <t>LUDVIKA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27644-2025</t>
        </is>
      </c>
      <c r="B1281" s="1" t="n">
        <v>45813</v>
      </c>
      <c r="C1281" s="1" t="n">
        <v>45852</v>
      </c>
      <c r="D1281" t="inlineStr">
        <is>
          <t>DALARNAS LÄN</t>
        </is>
      </c>
      <c r="E1281" t="inlineStr">
        <is>
          <t>LUDVIKA</t>
        </is>
      </c>
      <c r="F1281" t="inlineStr">
        <is>
          <t>Bergvik skog väst AB</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27532-2025</t>
        </is>
      </c>
      <c r="B1282" s="1" t="n">
        <v>45813</v>
      </c>
      <c r="C1282" s="1" t="n">
        <v>45852</v>
      </c>
      <c r="D1282" t="inlineStr">
        <is>
          <t>DALARNAS LÄN</t>
        </is>
      </c>
      <c r="E1282" t="inlineStr">
        <is>
          <t>LUDVIKA</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27435-2025</t>
        </is>
      </c>
      <c r="B1283" s="1" t="n">
        <v>45813</v>
      </c>
      <c r="C1283" s="1" t="n">
        <v>45852</v>
      </c>
      <c r="D1283" t="inlineStr">
        <is>
          <t>DALARNAS LÄN</t>
        </is>
      </c>
      <c r="E1283" t="inlineStr">
        <is>
          <t>LUDVIKA</t>
        </is>
      </c>
      <c r="F1283" t="inlineStr">
        <is>
          <t>Bergvik skog väst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27528-2025</t>
        </is>
      </c>
      <c r="B1284" s="1" t="n">
        <v>45813</v>
      </c>
      <c r="C1284" s="1" t="n">
        <v>45852</v>
      </c>
      <c r="D1284" t="inlineStr">
        <is>
          <t>DALARNAS LÄN</t>
        </is>
      </c>
      <c r="E1284" t="inlineStr">
        <is>
          <t>LUDVIKA</t>
        </is>
      </c>
      <c r="F1284" t="inlineStr">
        <is>
          <t>Bergvik skog väst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27506-2025</t>
        </is>
      </c>
      <c r="B1285" s="1" t="n">
        <v>45813</v>
      </c>
      <c r="C1285" s="1" t="n">
        <v>45852</v>
      </c>
      <c r="D1285" t="inlineStr">
        <is>
          <t>DALARNAS LÄN</t>
        </is>
      </c>
      <c r="E1285" t="inlineStr">
        <is>
          <t>LUDVIKA</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27525-2025</t>
        </is>
      </c>
      <c r="B1286" s="1" t="n">
        <v>45813</v>
      </c>
      <c r="C1286" s="1" t="n">
        <v>45852</v>
      </c>
      <c r="D1286" t="inlineStr">
        <is>
          <t>DALARNAS LÄN</t>
        </is>
      </c>
      <c r="E1286" t="inlineStr">
        <is>
          <t>LUDVIKA</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27616-2025</t>
        </is>
      </c>
      <c r="B1287" s="1" t="n">
        <v>45813</v>
      </c>
      <c r="C1287" s="1" t="n">
        <v>45852</v>
      </c>
      <c r="D1287" t="inlineStr">
        <is>
          <t>DALARNAS LÄN</t>
        </is>
      </c>
      <c r="E1287" t="inlineStr">
        <is>
          <t>LUDVIKA</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27448-2025</t>
        </is>
      </c>
      <c r="B1288" s="1" t="n">
        <v>45813</v>
      </c>
      <c r="C1288" s="1" t="n">
        <v>45852</v>
      </c>
      <c r="D1288" t="inlineStr">
        <is>
          <t>DALARNAS LÄN</t>
        </is>
      </c>
      <c r="E1288" t="inlineStr">
        <is>
          <t>LUDVIKA</t>
        </is>
      </c>
      <c r="F1288" t="inlineStr">
        <is>
          <t>Bergvik skog väst AB</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28435-2025</t>
        </is>
      </c>
      <c r="B1289" s="1" t="n">
        <v>45819</v>
      </c>
      <c r="C1289" s="1" t="n">
        <v>45852</v>
      </c>
      <c r="D1289" t="inlineStr">
        <is>
          <t>DALARNAS LÄN</t>
        </is>
      </c>
      <c r="E1289" t="inlineStr">
        <is>
          <t>LUDVIKA</t>
        </is>
      </c>
      <c r="F1289" t="inlineStr">
        <is>
          <t>Bergvik skog väst AB</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28737-2025</t>
        </is>
      </c>
      <c r="B1290" s="1" t="n">
        <v>45820</v>
      </c>
      <c r="C1290" s="1" t="n">
        <v>45852</v>
      </c>
      <c r="D1290" t="inlineStr">
        <is>
          <t>DALARNAS LÄN</t>
        </is>
      </c>
      <c r="E1290" t="inlineStr">
        <is>
          <t>LUDVIKA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29443-2025</t>
        </is>
      </c>
      <c r="B1291" s="1" t="n">
        <v>45824</v>
      </c>
      <c r="C1291" s="1" t="n">
        <v>45852</v>
      </c>
      <c r="D1291" t="inlineStr">
        <is>
          <t>DALARNAS LÄN</t>
        </is>
      </c>
      <c r="E1291" t="inlineStr">
        <is>
          <t>LUDVIKA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29578-2025</t>
        </is>
      </c>
      <c r="B1292" s="1" t="n">
        <v>45825</v>
      </c>
      <c r="C1292" s="1" t="n">
        <v>45852</v>
      </c>
      <c r="D1292" t="inlineStr">
        <is>
          <t>DALARNAS LÄN</t>
        </is>
      </c>
      <c r="E1292" t="inlineStr">
        <is>
          <t>LUDVIKA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29654-2025</t>
        </is>
      </c>
      <c r="B1293" s="1" t="n">
        <v>45825</v>
      </c>
      <c r="C1293" s="1" t="n">
        <v>45852</v>
      </c>
      <c r="D1293" t="inlineStr">
        <is>
          <t>DALARNAS LÄN</t>
        </is>
      </c>
      <c r="E1293" t="inlineStr">
        <is>
          <t>LUDVIKA</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29966-2025</t>
        </is>
      </c>
      <c r="B1294" s="1" t="n">
        <v>45826</v>
      </c>
      <c r="C1294" s="1" t="n">
        <v>45852</v>
      </c>
      <c r="D1294" t="inlineStr">
        <is>
          <t>DALARNAS LÄN</t>
        </is>
      </c>
      <c r="E1294" t="inlineStr">
        <is>
          <t>LUDVIKA</t>
        </is>
      </c>
      <c r="F1294" t="inlineStr">
        <is>
          <t>Bergvik skog väst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29918-2025</t>
        </is>
      </c>
      <c r="B1295" s="1" t="n">
        <v>45826</v>
      </c>
      <c r="C1295" s="1" t="n">
        <v>45852</v>
      </c>
      <c r="D1295" t="inlineStr">
        <is>
          <t>DALARNAS LÄN</t>
        </is>
      </c>
      <c r="E1295" t="inlineStr">
        <is>
          <t>LUDVIKA</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30283-2025</t>
        </is>
      </c>
      <c r="B1296" s="1" t="n">
        <v>45827</v>
      </c>
      <c r="C1296" s="1" t="n">
        <v>45852</v>
      </c>
      <c r="D1296" t="inlineStr">
        <is>
          <t>DALARNAS LÄN</t>
        </is>
      </c>
      <c r="E1296" t="inlineStr">
        <is>
          <t>LUDVIKA</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30288-2025</t>
        </is>
      </c>
      <c r="B1297" s="1" t="n">
        <v>45827</v>
      </c>
      <c r="C1297" s="1" t="n">
        <v>45852</v>
      </c>
      <c r="D1297" t="inlineStr">
        <is>
          <t>DALARNAS LÄN</t>
        </is>
      </c>
      <c r="E1297" t="inlineStr">
        <is>
          <t>LUDVIKA</t>
        </is>
      </c>
      <c r="F1297" t="inlineStr">
        <is>
          <t>Bergvik skog väst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30417-2025</t>
        </is>
      </c>
      <c r="B1298" s="1" t="n">
        <v>45827</v>
      </c>
      <c r="C1298" s="1" t="n">
        <v>45852</v>
      </c>
      <c r="D1298" t="inlineStr">
        <is>
          <t>DALARNAS LÄN</t>
        </is>
      </c>
      <c r="E1298" t="inlineStr">
        <is>
          <t>LUDVIKA</t>
        </is>
      </c>
      <c r="F1298" t="inlineStr">
        <is>
          <t>Bergvik skog väst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30324-2025</t>
        </is>
      </c>
      <c r="B1299" s="1" t="n">
        <v>45827</v>
      </c>
      <c r="C1299" s="1" t="n">
        <v>45852</v>
      </c>
      <c r="D1299" t="inlineStr">
        <is>
          <t>DALARNAS LÄN</t>
        </is>
      </c>
      <c r="E1299" t="inlineStr">
        <is>
          <t>LUDVIKA</t>
        </is>
      </c>
      <c r="F1299" t="inlineStr">
        <is>
          <t>Bergvik skog väst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30399-2025</t>
        </is>
      </c>
      <c r="B1300" s="1" t="n">
        <v>45827</v>
      </c>
      <c r="C1300" s="1" t="n">
        <v>45852</v>
      </c>
      <c r="D1300" t="inlineStr">
        <is>
          <t>DALARNAS LÄN</t>
        </is>
      </c>
      <c r="E1300" t="inlineStr">
        <is>
          <t>LUDVIKA</t>
        </is>
      </c>
      <c r="F1300" t="inlineStr">
        <is>
          <t>Bergvik skog väst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30748-2025</t>
        </is>
      </c>
      <c r="B1301" s="1" t="n">
        <v>45831</v>
      </c>
      <c r="C1301" s="1" t="n">
        <v>45852</v>
      </c>
      <c r="D1301" t="inlineStr">
        <is>
          <t>DALARNAS LÄN</t>
        </is>
      </c>
      <c r="E1301" t="inlineStr">
        <is>
          <t>LUDVIKA</t>
        </is>
      </c>
      <c r="F1301" t="inlineStr">
        <is>
          <t>Bergvik skog väst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30760-2025</t>
        </is>
      </c>
      <c r="B1302" s="1" t="n">
        <v>45831</v>
      </c>
      <c r="C1302" s="1" t="n">
        <v>45852</v>
      </c>
      <c r="D1302" t="inlineStr">
        <is>
          <t>DALARNAS LÄN</t>
        </is>
      </c>
      <c r="E1302" t="inlineStr">
        <is>
          <t>LUDVIKA</t>
        </is>
      </c>
      <c r="F1302" t="inlineStr">
        <is>
          <t>Bergvik skog väst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30813-2025</t>
        </is>
      </c>
      <c r="B1303" s="1" t="n">
        <v>45831</v>
      </c>
      <c r="C1303" s="1" t="n">
        <v>45852</v>
      </c>
      <c r="D1303" t="inlineStr">
        <is>
          <t>DALARNAS LÄN</t>
        </is>
      </c>
      <c r="E1303" t="inlineStr">
        <is>
          <t>LUDVIKA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30562-2025</t>
        </is>
      </c>
      <c r="B1304" s="1" t="n">
        <v>45831</v>
      </c>
      <c r="C1304" s="1" t="n">
        <v>45852</v>
      </c>
      <c r="D1304" t="inlineStr">
        <is>
          <t>DALARNAS LÄN</t>
        </is>
      </c>
      <c r="E1304" t="inlineStr">
        <is>
          <t>LUDVIKA</t>
        </is>
      </c>
      <c r="F1304" t="inlineStr">
        <is>
          <t>Bergvik skog väst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31057-2025</t>
        </is>
      </c>
      <c r="B1305" s="1" t="n">
        <v>45832</v>
      </c>
      <c r="C1305" s="1" t="n">
        <v>45852</v>
      </c>
      <c r="D1305" t="inlineStr">
        <is>
          <t>DALARNAS LÄN</t>
        </is>
      </c>
      <c r="E1305" t="inlineStr">
        <is>
          <t>LUDVIKA</t>
        </is>
      </c>
      <c r="F1305" t="inlineStr">
        <is>
          <t>Bergvik skog väst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31010-2025</t>
        </is>
      </c>
      <c r="B1306" s="1" t="n">
        <v>45832</v>
      </c>
      <c r="C1306" s="1" t="n">
        <v>45852</v>
      </c>
      <c r="D1306" t="inlineStr">
        <is>
          <t>DALARNAS LÄN</t>
        </is>
      </c>
      <c r="E1306" t="inlineStr">
        <is>
          <t>LUDVIKA</t>
        </is>
      </c>
      <c r="F1306" t="inlineStr">
        <is>
          <t>Bergvik skog väst AB</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31001-2025</t>
        </is>
      </c>
      <c r="B1307" s="1" t="n">
        <v>45832</v>
      </c>
      <c r="C1307" s="1" t="n">
        <v>45852</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31050-2025</t>
        </is>
      </c>
      <c r="B1308" s="1" t="n">
        <v>45832</v>
      </c>
      <c r="C1308" s="1" t="n">
        <v>45852</v>
      </c>
      <c r="D1308" t="inlineStr">
        <is>
          <t>DALARNAS LÄN</t>
        </is>
      </c>
      <c r="E1308" t="inlineStr">
        <is>
          <t>LUDVIKA</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31144-2025</t>
        </is>
      </c>
      <c r="B1309" s="1" t="n">
        <v>45832</v>
      </c>
      <c r="C1309" s="1" t="n">
        <v>45852</v>
      </c>
      <c r="D1309" t="inlineStr">
        <is>
          <t>DALARNAS LÄN</t>
        </is>
      </c>
      <c r="E1309" t="inlineStr">
        <is>
          <t>LUDVIKA</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31039-2025</t>
        </is>
      </c>
      <c r="B1310" s="1" t="n">
        <v>45832</v>
      </c>
      <c r="C1310" s="1" t="n">
        <v>45852</v>
      </c>
      <c r="D1310" t="inlineStr">
        <is>
          <t>DALARNAS LÄN</t>
        </is>
      </c>
      <c r="E1310" t="inlineStr">
        <is>
          <t>LUDVIKA</t>
        </is>
      </c>
      <c r="F1310" t="inlineStr">
        <is>
          <t>Bergvik skog väst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31380-2025</t>
        </is>
      </c>
      <c r="B1311" s="1" t="n">
        <v>45833</v>
      </c>
      <c r="C1311" s="1" t="n">
        <v>45852</v>
      </c>
      <c r="D1311" t="inlineStr">
        <is>
          <t>DALARNAS LÄN</t>
        </is>
      </c>
      <c r="E1311" t="inlineStr">
        <is>
          <t>LUDVIKA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31818-2025</t>
        </is>
      </c>
      <c r="B1312" s="1" t="n">
        <v>45834</v>
      </c>
      <c r="C1312" s="1" t="n">
        <v>45852</v>
      </c>
      <c r="D1312" t="inlineStr">
        <is>
          <t>DALARNAS LÄN</t>
        </is>
      </c>
      <c r="E1312" t="inlineStr">
        <is>
          <t>LUDVIKA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32085-2025</t>
        </is>
      </c>
      <c r="B1313" s="1" t="n">
        <v>45835</v>
      </c>
      <c r="C1313" s="1" t="n">
        <v>45852</v>
      </c>
      <c r="D1313" t="inlineStr">
        <is>
          <t>DALARNAS LÄN</t>
        </is>
      </c>
      <c r="E1313" t="inlineStr">
        <is>
          <t>LUDVIKA</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32019-2025</t>
        </is>
      </c>
      <c r="B1314" s="1" t="n">
        <v>45835</v>
      </c>
      <c r="C1314" s="1" t="n">
        <v>45852</v>
      </c>
      <c r="D1314" t="inlineStr">
        <is>
          <t>DALARNAS LÄN</t>
        </is>
      </c>
      <c r="E1314" t="inlineStr">
        <is>
          <t>LUDVIKA</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32224-2025</t>
        </is>
      </c>
      <c r="B1315" s="1" t="n">
        <v>45835</v>
      </c>
      <c r="C1315" s="1" t="n">
        <v>45852</v>
      </c>
      <c r="D1315" t="inlineStr">
        <is>
          <t>DALARNAS LÄN</t>
        </is>
      </c>
      <c r="E1315" t="inlineStr">
        <is>
          <t>LUDVIKA</t>
        </is>
      </c>
      <c r="F1315" t="inlineStr">
        <is>
          <t>Bergvik skog väst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32424-2025</t>
        </is>
      </c>
      <c r="B1316" s="1" t="n">
        <v>45838</v>
      </c>
      <c r="C1316" s="1" t="n">
        <v>45852</v>
      </c>
      <c r="D1316" t="inlineStr">
        <is>
          <t>DALARNAS LÄN</t>
        </is>
      </c>
      <c r="E1316" t="inlineStr">
        <is>
          <t>LUDVIKA</t>
        </is>
      </c>
      <c r="F1316" t="inlineStr">
        <is>
          <t>Bergvik skog väst AB</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33122-2025</t>
        </is>
      </c>
      <c r="B1317" s="1" t="n">
        <v>45840</v>
      </c>
      <c r="C1317" s="1" t="n">
        <v>45852</v>
      </c>
      <c r="D1317" t="inlineStr">
        <is>
          <t>DALARNAS LÄN</t>
        </is>
      </c>
      <c r="E1317" t="inlineStr">
        <is>
          <t>LUDVIKA</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33127-2025</t>
        </is>
      </c>
      <c r="B1318" s="1" t="n">
        <v>45840</v>
      </c>
      <c r="C1318" s="1" t="n">
        <v>45852</v>
      </c>
      <c r="D1318" t="inlineStr">
        <is>
          <t>DALARNAS LÄN</t>
        </is>
      </c>
      <c r="E1318" t="inlineStr">
        <is>
          <t>LUDVIKA</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33001-2025</t>
        </is>
      </c>
      <c r="B1319" s="1" t="n">
        <v>45840</v>
      </c>
      <c r="C1319" s="1" t="n">
        <v>45852</v>
      </c>
      <c r="D1319" t="inlineStr">
        <is>
          <t>DALARNAS LÄN</t>
        </is>
      </c>
      <c r="E1319" t="inlineStr">
        <is>
          <t>LUDVIKA</t>
        </is>
      </c>
      <c r="F1319" t="inlineStr">
        <is>
          <t>Bergvik skog väst AB</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33244-2025</t>
        </is>
      </c>
      <c r="B1320" s="1" t="n">
        <v>45840</v>
      </c>
      <c r="C1320" s="1" t="n">
        <v>45852</v>
      </c>
      <c r="D1320" t="inlineStr">
        <is>
          <t>DALARNAS LÄN</t>
        </is>
      </c>
      <c r="E1320" t="inlineStr">
        <is>
          <t>LUDVIKA</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33249-2025</t>
        </is>
      </c>
      <c r="B1321" s="1" t="n">
        <v>45840</v>
      </c>
      <c r="C1321" s="1" t="n">
        <v>45852</v>
      </c>
      <c r="D1321" t="inlineStr">
        <is>
          <t>DALARNAS LÄN</t>
        </is>
      </c>
      <c r="E1321" t="inlineStr">
        <is>
          <t>LUDVIKA</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33063-2025</t>
        </is>
      </c>
      <c r="B1322" s="1" t="n">
        <v>45840</v>
      </c>
      <c r="C1322" s="1" t="n">
        <v>45852</v>
      </c>
      <c r="D1322" t="inlineStr">
        <is>
          <t>DALARNAS LÄN</t>
        </is>
      </c>
      <c r="E1322" t="inlineStr">
        <is>
          <t>LUDVIKA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33885-2025</t>
        </is>
      </c>
      <c r="B1323" s="1" t="n">
        <v>45842</v>
      </c>
      <c r="C1323" s="1" t="n">
        <v>45852</v>
      </c>
      <c r="D1323" t="inlineStr">
        <is>
          <t>DALARNAS LÄN</t>
        </is>
      </c>
      <c r="E1323" t="inlineStr">
        <is>
          <t>LUDVIKA</t>
        </is>
      </c>
      <c r="F1323" t="inlineStr">
        <is>
          <t>Bergvik skog väst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33908-2025</t>
        </is>
      </c>
      <c r="B1324" s="1" t="n">
        <v>45842</v>
      </c>
      <c r="C1324" s="1" t="n">
        <v>45852</v>
      </c>
      <c r="D1324" t="inlineStr">
        <is>
          <t>DALARNAS LÄN</t>
        </is>
      </c>
      <c r="E1324" t="inlineStr">
        <is>
          <t>LUDVIKA</t>
        </is>
      </c>
      <c r="F1324" t="inlineStr">
        <is>
          <t>Bergvik skog väst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34067-2025</t>
        </is>
      </c>
      <c r="B1325" s="1" t="n">
        <v>45845</v>
      </c>
      <c r="C1325" s="1" t="n">
        <v>45852</v>
      </c>
      <c r="D1325" t="inlineStr">
        <is>
          <t>DALARNAS LÄN</t>
        </is>
      </c>
      <c r="E1325" t="inlineStr">
        <is>
          <t>LUDVIKA</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34070-2025</t>
        </is>
      </c>
      <c r="B1326" s="1" t="n">
        <v>45845</v>
      </c>
      <c r="C1326" s="1" t="n">
        <v>45852</v>
      </c>
      <c r="D1326" t="inlineStr">
        <is>
          <t>DALARNAS LÄN</t>
        </is>
      </c>
      <c r="E1326" t="inlineStr">
        <is>
          <t>LUDVIKA</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34403-2025</t>
        </is>
      </c>
      <c r="B1327" s="1" t="n">
        <v>45846</v>
      </c>
      <c r="C1327" s="1" t="n">
        <v>45852</v>
      </c>
      <c r="D1327" t="inlineStr">
        <is>
          <t>DALARNAS LÄN</t>
        </is>
      </c>
      <c r="E1327" t="inlineStr">
        <is>
          <t>LUDVIKA</t>
        </is>
      </c>
      <c r="F1327" t="inlineStr">
        <is>
          <t>Bergvik skog väst AB</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34522-2025</t>
        </is>
      </c>
      <c r="B1328" s="1" t="n">
        <v>45847</v>
      </c>
      <c r="C1328" s="1" t="n">
        <v>45852</v>
      </c>
      <c r="D1328" t="inlineStr">
        <is>
          <t>DALARNAS LÄN</t>
        </is>
      </c>
      <c r="E1328" t="inlineStr">
        <is>
          <t>LUDVIKA</t>
        </is>
      </c>
      <c r="F1328" t="inlineStr">
        <is>
          <t>Bergvik skog väst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34492-2025</t>
        </is>
      </c>
      <c r="B1329" s="1" t="n">
        <v>45847</v>
      </c>
      <c r="C1329" s="1" t="n">
        <v>45852</v>
      </c>
      <c r="D1329" t="inlineStr">
        <is>
          <t>DALARNAS LÄN</t>
        </is>
      </c>
      <c r="E1329" t="inlineStr">
        <is>
          <t>LUDVIKA</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34860-2025</t>
        </is>
      </c>
      <c r="B1330" s="1" t="n">
        <v>45849</v>
      </c>
      <c r="C1330" s="1" t="n">
        <v>45852</v>
      </c>
      <c r="D1330" t="inlineStr">
        <is>
          <t>DALARNAS LÄN</t>
        </is>
      </c>
      <c r="E1330" t="inlineStr">
        <is>
          <t>LUDVIKA</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34861-2025</t>
        </is>
      </c>
      <c r="B1331" s="1" t="n">
        <v>45849</v>
      </c>
      <c r="C1331" s="1" t="n">
        <v>45852</v>
      </c>
      <c r="D1331" t="inlineStr">
        <is>
          <t>DALARNAS LÄN</t>
        </is>
      </c>
      <c r="E1331" t="inlineStr">
        <is>
          <t>LUDVIKA</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34868-2025</t>
        </is>
      </c>
      <c r="B1332" s="1" t="n">
        <v>45849</v>
      </c>
      <c r="C1332" s="1" t="n">
        <v>45852</v>
      </c>
      <c r="D1332" t="inlineStr">
        <is>
          <t>DALARNAS LÄN</t>
        </is>
      </c>
      <c r="E1332" t="inlineStr">
        <is>
          <t>LUDVIKA</t>
        </is>
      </c>
      <c r="F1332" t="inlineStr">
        <is>
          <t>Bergvik skog väst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34823-2025</t>
        </is>
      </c>
      <c r="B1333" s="1" t="n">
        <v>45849</v>
      </c>
      <c r="C1333" s="1" t="n">
        <v>45852</v>
      </c>
      <c r="D1333" t="inlineStr">
        <is>
          <t>DALARNAS LÄN</t>
        </is>
      </c>
      <c r="E1333" t="inlineStr">
        <is>
          <t>LUDVIKA</t>
        </is>
      </c>
      <c r="F1333" t="inlineStr">
        <is>
          <t>Bergvik skog väst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34862-2025</t>
        </is>
      </c>
      <c r="B1334" s="1" t="n">
        <v>45849</v>
      </c>
      <c r="C1334" s="1" t="n">
        <v>45852</v>
      </c>
      <c r="D1334" t="inlineStr">
        <is>
          <t>DALARNAS LÄN</t>
        </is>
      </c>
      <c r="E1334" t="inlineStr">
        <is>
          <t>LUDVIKA</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c r="A1335" t="inlineStr">
        <is>
          <t>A 34875-2025</t>
        </is>
      </c>
      <c r="B1335" s="1" t="n">
        <v>45849</v>
      </c>
      <c r="C1335" s="1" t="n">
        <v>45852</v>
      </c>
      <c r="D1335" t="inlineStr">
        <is>
          <t>DALARNAS LÄN</t>
        </is>
      </c>
      <c r="E1335" t="inlineStr">
        <is>
          <t>LUDVIKA</t>
        </is>
      </c>
      <c r="F1335" t="inlineStr">
        <is>
          <t>Bergvik skog väst AB</t>
        </is>
      </c>
      <c r="G1335" t="n">
        <v>5.8</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2025-07-14T19:43:56Z</dcterms:created>
  <dcterms:modified xmlns:dcterms="http://purl.org/dc/terms/" xmlns:xsi="http://www.w3.org/2001/XMLSchema-instance" xsi:type="dcterms:W3CDTF">2025-07-14T19:43:57Z</dcterms:modified>
</cp:coreProperties>
</file>
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46308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46308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46308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46308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46308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46308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46308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34913-2025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45849</v>
      </c>
      <c r="E19" s="1" t="n">
        <v>46308</v>
      </c>
      <c r="F19" t="inlineStr">
        <is>
          <t>DALARNAS LÄN</t>
        </is>
      </c>
      <c r="G19" t="inlineStr">
        <is>
          <t>LUDVIKA</t>
        </is>
      </c>
      <c r="I19" t="n">
        <v>6</v>
      </c>
      <c r="J19" t="n">
        <v>2</v>
      </c>
      <c r="K19" t="n">
        <v>3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9</v>
      </c>
      <c r="T19" t="n">
        <v>20</v>
      </c>
      <c r="U19" t="n">
        <v>0</v>
      </c>
      <c r="V19" s="2" t="inlineStr">
        <is>
          <t>Aspgelélav
Ängsklint
Barrpraktbagge
Lunglav
Barkticka
Bårdlav
Korallblylav
Blåsippa
Huggorm</t>
        </is>
      </c>
      <c r="W19">
        <f>HYPERLINK("https://klasma.github.io/Logging_2085/artfynd/A 34913-2025 artfynd.xlsx", "A 34913-2025")</f>
        <v/>
      </c>
      <c r="X19">
        <f>HYPERLINK("https://klasma.github.io/Logging_2085/kartor/A 34913-2025 karta.png", "A 34913-2025")</f>
        <v/>
      </c>
      <c r="Y19">
        <f>HYPERLINK("https://klasma.github.io/Logging_2085/kartor_geotiff/A 34913-2025 georefererad karta.tif", "A 34913-2025")</f>
        <v/>
      </c>
      <c r="AA19">
        <f>HYPERLINK("https://klasma.github.io/Logging_2085/klagomål/A 34913-2025 FSC-klagomål.docx", "A 34913-2025")</f>
        <v/>
      </c>
      <c r="AB19">
        <f>HYPERLINK("https://klasma.github.io/Logging_2085/klagomålsmail/A 34913-2025 FSC-klagomål mail.docx", "A 34913-2025")</f>
        <v/>
      </c>
      <c r="AC19">
        <f>HYPERLINK("https://klasma.github.io/Logging_2085/tillsyn/A 34913-2025 tillsynsbegäran.docx", "A 34913-2025")</f>
        <v/>
      </c>
      <c r="AD19">
        <f>HYPERLINK("https://klasma.github.io/Logging_2085/tillsynsmail/A 34913-2025 tillsynsbegäran mail.docx", "A 34913-2025")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46308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46308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46308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46308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46308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46308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46308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23862-2026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46308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4.5</v>
      </c>
      <c r="J28" t="n">
        <v>1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</v>
      </c>
      <c r="T28" t="n">
        <v>7</v>
      </c>
      <c r="U28" t="n">
        <v>0</v>
      </c>
      <c r="V28" s="2" t="inlineStr">
        <is>
          <t>Bårdlav
Dvärgtufs
Korallblylav
Skinnlav
Stuplav
Utter</t>
        </is>
      </c>
      <c r="W28">
        <f>HYPERLINK("https://klasma.github.io/Logging_2085/artfynd/A 23862-2026 artfynd.xlsx", "A 23862-2026")</f>
        <v/>
      </c>
      <c r="X28">
        <f>HYPERLINK("https://klasma.github.io/Logging_2085/kartor/A 23862-2026 karta.png", "A 23862-2026")</f>
        <v/>
      </c>
      <c r="Y28">
        <f>HYPERLINK("https://klasma.github.io/Logging_2085/kartor_geotiff/A 23862-2026 georefererad karta.tif", "A 23862-2026")</f>
        <v/>
      </c>
      <c r="AA28">
        <f>HYPERLINK("https://klasma.github.io/Logging_2085/klagomål/A 23862-2026 FSC-klagomål.docx", "A 23862-2026")</f>
        <v/>
      </c>
      <c r="AB28">
        <f>HYPERLINK("https://klasma.github.io/Logging_2085/klagomålsmail/A 23862-2026 FSC-klagomål mail.docx", "A 23862-2026")</f>
        <v/>
      </c>
      <c r="AC28">
        <f>HYPERLINK("https://klasma.github.io/Logging_2085/tillsyn/A 23862-2026 tillsynsbegäran.docx", "A 23862-2026")</f>
        <v/>
      </c>
      <c r="AD28">
        <f>HYPERLINK("https://klasma.github.io/Logging_2085/tillsynsmail/A 23862-2026 tillsynsbegäran mail.docx", "A 23862-2026")</f>
        <v/>
      </c>
    </row>
    <row r="29" ht="15" customHeight="1">
      <c r="A29" t="inlineStr">
        <is>
          <t>A 59946-2025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45993</v>
      </c>
      <c r="E29" s="1" t="n">
        <v>46308</v>
      </c>
      <c r="F29" t="inlineStr">
        <is>
          <t>DALARNAS LÄN</t>
        </is>
      </c>
      <c r="G29" t="inlineStr">
        <is>
          <t>LUDVIKA</t>
        </is>
      </c>
      <c r="I29" t="n">
        <v>2.3</v>
      </c>
      <c r="J29" t="n">
        <v>2</v>
      </c>
      <c r="K29" t="n">
        <v>1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16</v>
      </c>
      <c r="U29" t="n">
        <v>16</v>
      </c>
      <c r="V29" s="2" t="inlineStr">
        <is>
          <t>Garnlav
Knärot
Kolflarnlav
Mörk kolflarnlav
Tretåig hackspett
Mindre märgborre</t>
        </is>
      </c>
      <c r="W29">
        <f>HYPERLINK("https://klasma.github.io/Logging_2085/artfynd/A 59946-2025 artfynd.xlsx", "A 59946-2025")</f>
        <v/>
      </c>
      <c r="X29">
        <f>HYPERLINK("https://klasma.github.io/Logging_2085/kartor/A 59946-2025 karta.png", "A 59946-2025")</f>
        <v/>
      </c>
      <c r="Y29">
        <f>HYPERLINK("https://klasma.github.io/Logging_2085/kartor_geotiff/A 59946-2025 georefererad karta.tif", "A 59946-2025")</f>
        <v/>
      </c>
      <c r="Z29">
        <f>HYPERLINK("https://klasma.github.io/Logging_2085/knärot/A 59946-2025 karta knärot.png", "A 59946-2025")</f>
        <v/>
      </c>
      <c r="AA29">
        <f>HYPERLINK("https://klasma.github.io/Logging_2085/klagomål/A 59946-2025 FSC-klagomål.docx", "A 59946-2025")</f>
        <v/>
      </c>
      <c r="AB29">
        <f>HYPERLINK("https://klasma.github.io/Logging_2085/klagomålsmail/A 59946-2025 FSC-klagomål mail.docx", "A 59946-2025")</f>
        <v/>
      </c>
      <c r="AC29">
        <f>HYPERLINK("https://klasma.github.io/Logging_2085/tillsyn/A 59946-2025 tillsynsbegäran.docx", "A 59946-2025")</f>
        <v/>
      </c>
      <c r="AD29">
        <f>HYPERLINK("https://klasma.github.io/Logging_2085/tillsynsmail/A 59946-2025 tillsynsbegäran mail.docx", "A 59946-2025")</f>
        <v/>
      </c>
      <c r="AE29">
        <f>HYPERLINK("https://klasma.github.io/Logging_2085/fåglar/A 59946-2025 prioriterade fågelarter.docx", "A 59946-2025")</f>
        <v/>
      </c>
    </row>
    <row r="30" ht="15" customHeight="1">
      <c r="A30" t="inlineStr">
        <is>
          <t>A 52779-2025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46308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0.5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6</v>
      </c>
      <c r="U30" t="n">
        <v>0</v>
      </c>
      <c r="V30" s="2" t="inlineStr">
        <is>
          <t>Sexfläckig bastardsvärmare
Ängsblåvinge
Mindre tåtelsmygare
Motaggsvamp
Skogsklocka
Huggorm</t>
        </is>
      </c>
      <c r="W30">
        <f>HYPERLINK("https://klasma.github.io/Logging_2085/artfynd/A 52779-2025 artfynd.xlsx", "A 52779-2025")</f>
        <v/>
      </c>
      <c r="X30">
        <f>HYPERLINK("https://klasma.github.io/Logging_2085/kartor/A 52779-2025 karta.png", "A 52779-2025")</f>
        <v/>
      </c>
      <c r="Y30">
        <f>HYPERLINK("https://klasma.github.io/Logging_2085/kartor_geotiff/A 52779-2025 georefererad karta.tif", "A 52779-2025")</f>
        <v/>
      </c>
      <c r="AA30">
        <f>HYPERLINK("https://klasma.github.io/Logging_2085/klagomål/A 52779-2025 FSC-klagomål.docx", "A 52779-2025")</f>
        <v/>
      </c>
      <c r="AB30">
        <f>HYPERLINK("https://klasma.github.io/Logging_2085/klagomålsmail/A 52779-2025 FSC-klagomål mail.docx", "A 52779-2025")</f>
        <v/>
      </c>
      <c r="AC30">
        <f>HYPERLINK("https://klasma.github.io/Logging_2085/tillsyn/A 52779-2025 tillsynsbegäran.docx", "A 52779-2025")</f>
        <v/>
      </c>
      <c r="AD30">
        <f>HYPERLINK("https://klasma.github.io/Logging_2085/tillsynsmail/A 52779-2025 tillsynsbegäran mail.docx", "A 52779-2025")</f>
        <v/>
      </c>
    </row>
    <row r="31" ht="15" customHeight="1">
      <c r="A31" t="inlineStr">
        <is>
          <t>A 55406-2025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45971</v>
      </c>
      <c r="E31" s="1" t="n">
        <v>46308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25</v>
      </c>
      <c r="J31" t="n">
        <v>5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6</v>
      </c>
      <c r="T31" t="n">
        <v>7</v>
      </c>
      <c r="U31" t="n">
        <v>3</v>
      </c>
      <c r="V31" s="2" t="inlineStr">
        <is>
          <t>Knärot
Gullgröppa
Plattlummer
Blåsippa
Nattviol
Revlummer</t>
        </is>
      </c>
      <c r="W31">
        <f>HYPERLINK("https://klasma.github.io/Logging_2085/artfynd/A 55406-2025 artfynd.xlsx", "A 55406-2025")</f>
        <v/>
      </c>
      <c r="X31">
        <f>HYPERLINK("https://klasma.github.io/Logging_2085/kartor/A 55406-2025 karta.png", "A 55406-2025")</f>
        <v/>
      </c>
      <c r="Y31">
        <f>HYPERLINK("https://klasma.github.io/Logging_2085/kartor_geotiff/A 55406-2025 georefererad karta.tif", "A 55406-2025")</f>
        <v/>
      </c>
      <c r="Z31">
        <f>HYPERLINK("https://klasma.github.io/Logging_2085/knärot/A 55406-2025 karta knärot.png", "A 55406-2025")</f>
        <v/>
      </c>
      <c r="AA31">
        <f>HYPERLINK("https://klasma.github.io/Logging_2085/klagomål/A 55406-2025 FSC-klagomål.docx", "A 55406-2025")</f>
        <v/>
      </c>
      <c r="AB31">
        <f>HYPERLINK("https://klasma.github.io/Logging_2085/klagomålsmail/A 55406-2025 FSC-klagomål mail.docx", "A 55406-2025")</f>
        <v/>
      </c>
      <c r="AC31">
        <f>HYPERLINK("https://klasma.github.io/Logging_2085/tillsyn/A 55406-2025 tillsynsbegäran.docx", "A 55406-2025")</f>
        <v/>
      </c>
      <c r="AD31">
        <f>HYPERLINK("https://klasma.github.io/Logging_2085/tillsynsmail/A 55406-2025 tillsynsbegäran mail.docx", "A 55406-2025")</f>
        <v/>
      </c>
    </row>
    <row r="32" ht="15" customHeight="1">
      <c r="A32" t="inlineStr">
        <is>
          <t>A 23681-2026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46308</v>
      </c>
      <c r="F32" t="inlineStr">
        <is>
          <t>DALARNAS LÄN</t>
        </is>
      </c>
      <c r="G32" t="inlineStr">
        <is>
          <t>LUDVIKA</t>
        </is>
      </c>
      <c r="I32" t="n">
        <v>6.2</v>
      </c>
      <c r="J32" t="n">
        <v>3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6</v>
      </c>
      <c r="T32" t="n">
        <v>26</v>
      </c>
      <c r="U32" t="n">
        <v>26</v>
      </c>
      <c r="V32" s="2" t="inlineStr">
        <is>
          <t>Dropptaggsvamp
Tretåig hackspett
Blodticka
Mindre märgborre
Järpe
Spillkråka</t>
        </is>
      </c>
      <c r="W32">
        <f>HYPERLINK("https://klasma.github.io/Logging_2085/artfynd/A 23681-2026 artfynd.xlsx", "A 23681-2026")</f>
        <v/>
      </c>
      <c r="X32">
        <f>HYPERLINK("https://klasma.github.io/Logging_2085/kartor/A 23681-2026 karta.png", "A 23681-2026")</f>
        <v/>
      </c>
      <c r="Y32">
        <f>HYPERLINK("https://klasma.github.io/Logging_2085/kartor_geotiff/A 23681-2026 georefererad karta.tif", "A 23681-2026")</f>
        <v/>
      </c>
      <c r="AA32">
        <f>HYPERLINK("https://klasma.github.io/Logging_2085/klagomål/A 23681-2026 FSC-klagomål.docx", "A 23681-2026")</f>
        <v/>
      </c>
      <c r="AB32">
        <f>HYPERLINK("https://klasma.github.io/Logging_2085/klagomålsmail/A 23681-2026 FSC-klagomål mail.docx", "A 23681-2026")</f>
        <v/>
      </c>
      <c r="AC32">
        <f>HYPERLINK("https://klasma.github.io/Logging_2085/tillsyn/A 23681-2026 tillsynsbegäran.docx", "A 23681-2026")</f>
        <v/>
      </c>
      <c r="AD32">
        <f>HYPERLINK("https://klasma.github.io/Logging_2085/tillsynsmail/A 23681-2026 tillsynsbegäran mail.docx", "A 23681-2026")</f>
        <v/>
      </c>
      <c r="AE32">
        <f>HYPERLINK("https://klasma.github.io/Logging_2085/fåglar/A 23681-2026 prioriterade fågelarter.docx", "A 23681-2026")</f>
        <v/>
      </c>
    </row>
    <row r="33" ht="15" customHeight="1">
      <c r="A33" t="inlineStr">
        <is>
          <t>A 63299-2025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46010</v>
      </c>
      <c r="E33" s="1" t="n">
        <v>46308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8</v>
      </c>
      <c r="U33" t="n">
        <v>1</v>
      </c>
      <c r="V33" s="2" t="inlineStr">
        <is>
          <t>Garnlav
Skrovlig taggsvamp
Blå taggsvamp
Motaggsvamp
Talltaggsvamp
Tjäder</t>
        </is>
      </c>
      <c r="W33">
        <f>HYPERLINK("https://klasma.github.io/Logging_2085/artfynd/A 63299-2025 artfynd.xlsx", "A 63299-2025")</f>
        <v/>
      </c>
      <c r="X33">
        <f>HYPERLINK("https://klasma.github.io/Logging_2085/kartor/A 63299-2025 karta.png", "A 63299-2025")</f>
        <v/>
      </c>
      <c r="Y33">
        <f>HYPERLINK("https://klasma.github.io/Logging_2085/kartor_geotiff/A 63299-2025 georefererad karta.tif", "A 63299-2025")</f>
        <v/>
      </c>
      <c r="AA33">
        <f>HYPERLINK("https://klasma.github.io/Logging_2085/klagomål/A 63299-2025 FSC-klagomål.docx", "A 63299-2025")</f>
        <v/>
      </c>
      <c r="AB33">
        <f>HYPERLINK("https://klasma.github.io/Logging_2085/klagomålsmail/A 63299-2025 FSC-klagomål mail.docx", "A 63299-2025")</f>
        <v/>
      </c>
      <c r="AC33">
        <f>HYPERLINK("https://klasma.github.io/Logging_2085/tillsyn/A 63299-2025 tillsynsbegäran.docx", "A 63299-2025")</f>
        <v/>
      </c>
      <c r="AD33">
        <f>HYPERLINK("https://klasma.github.io/Logging_2085/tillsynsmail/A 63299-2025 tillsynsbegäran mail.docx", "A 63299-2025")</f>
        <v/>
      </c>
      <c r="AE33">
        <f>HYPERLINK("https://klasma.github.io/Logging_2085/fåglar/A 63299-2025 prioriterade fågelarter.docx", "A 63299-2025")</f>
        <v/>
      </c>
    </row>
    <row r="34" ht="15" customHeight="1">
      <c r="A34" t="inlineStr">
        <is>
          <t>A 33885-2025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46308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2.6</v>
      </c>
      <c r="J34" t="n">
        <v>2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6</v>
      </c>
      <c r="T34" t="n">
        <v>10</v>
      </c>
      <c r="U34" t="n">
        <v>10</v>
      </c>
      <c r="V34" s="2" t="inlineStr">
        <is>
          <t>Garnlav
Knärot
Dropptaggsvamp
Ullticka
Nästlav
Tjäder</t>
        </is>
      </c>
      <c r="W34">
        <f>HYPERLINK("https://klasma.github.io/Logging_2085/artfynd/A 33885-2025 artfynd.xlsx", "A 33885-2025")</f>
        <v/>
      </c>
      <c r="X34">
        <f>HYPERLINK("https://klasma.github.io/Logging_2085/kartor/A 33885-2025 karta.png", "A 33885-2025")</f>
        <v/>
      </c>
      <c r="Y34">
        <f>HYPERLINK("https://klasma.github.io/Logging_2085/kartor_geotiff/A 33885-2025 georefererad karta.tif", "A 33885-2025")</f>
        <v/>
      </c>
      <c r="Z34">
        <f>HYPERLINK("https://klasma.github.io/Logging_2085/knärot/A 33885-2025 karta knärot.png", "A 33885-2025")</f>
        <v/>
      </c>
      <c r="AA34">
        <f>HYPERLINK("https://klasma.github.io/Logging_2085/klagomål/A 33885-2025 FSC-klagomål.docx", "A 33885-2025")</f>
        <v/>
      </c>
      <c r="AB34">
        <f>HYPERLINK("https://klasma.github.io/Logging_2085/klagomålsmail/A 33885-2025 FSC-klagomål mail.docx", "A 33885-2025")</f>
        <v/>
      </c>
      <c r="AC34">
        <f>HYPERLINK("https://klasma.github.io/Logging_2085/tillsyn/A 33885-2025 tillsynsbegäran.docx", "A 33885-2025")</f>
        <v/>
      </c>
      <c r="AD34">
        <f>HYPERLINK("https://klasma.github.io/Logging_2085/tillsynsmail/A 33885-2025 tillsynsbegäran mail.docx", "A 33885-2025")</f>
        <v/>
      </c>
      <c r="AE34">
        <f>HYPERLINK("https://klasma.github.io/Logging_2085/fåglar/A 33885-2025 prioriterade fågelarter.docx", "A 33885-2025")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46308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22195-2025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46308</v>
      </c>
      <c r="F36" t="inlineStr">
        <is>
          <t>DALARNAS LÄN</t>
        </is>
      </c>
      <c r="G36" t="inlineStr">
        <is>
          <t>LUDVIKA</t>
        </is>
      </c>
      <c r="I36" t="n">
        <v>7.4</v>
      </c>
      <c r="J36" t="n">
        <v>5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9</v>
      </c>
      <c r="U36" t="n">
        <v>9</v>
      </c>
      <c r="V36" s="2" t="inlineStr">
        <is>
          <t>Garnlav
Entita
Talltita
Tretåig hackspett
Spillkråka
Tjäder</t>
        </is>
      </c>
      <c r="W36">
        <f>HYPERLINK("https://klasma.github.io/Logging_2085/artfynd/A 22195-2025 artfynd.xlsx", "A 22195-2025")</f>
        <v/>
      </c>
      <c r="X36">
        <f>HYPERLINK("https://klasma.github.io/Logging_2085/kartor/A 22195-2025 karta.png", "A 22195-2025")</f>
        <v/>
      </c>
      <c r="Y36">
        <f>HYPERLINK("https://klasma.github.io/Logging_2085/kartor_geotiff/A 22195-2025 georefererad karta.tif", "A 22195-2025")</f>
        <v/>
      </c>
      <c r="AA36">
        <f>HYPERLINK("https://klasma.github.io/Logging_2085/klagomål/A 22195-2025 FSC-klagomål.docx", "A 22195-2025")</f>
        <v/>
      </c>
      <c r="AB36">
        <f>HYPERLINK("https://klasma.github.io/Logging_2085/klagomålsmail/A 22195-2025 FSC-klagomål mail.docx", "A 22195-2025")</f>
        <v/>
      </c>
      <c r="AC36">
        <f>HYPERLINK("https://klasma.github.io/Logging_2085/tillsyn/A 22195-2025 tillsynsbegäran.docx", "A 22195-2025")</f>
        <v/>
      </c>
      <c r="AD36">
        <f>HYPERLINK("https://klasma.github.io/Logging_2085/tillsynsmail/A 22195-2025 tillsynsbegäran mail.docx", "A 22195-2025")</f>
        <v/>
      </c>
      <c r="AE36">
        <f>HYPERLINK("https://klasma.github.io/Logging_2085/fåglar/A 22195-2025 prioriterade fågelarter.docx", "A 22195-2025")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23711-2026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46308</v>
      </c>
      <c r="F39" t="inlineStr">
        <is>
          <t>DALARNAS LÄN</t>
        </is>
      </c>
      <c r="G39" t="inlineStr">
        <is>
          <t>LUDVIKA</t>
        </is>
      </c>
      <c r="I39" t="n">
        <v>1.4</v>
      </c>
      <c r="J39" t="n">
        <v>2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Mindre märgborre
Järpe
Spillkråka
Timmerticka</t>
        </is>
      </c>
      <c r="W39">
        <f>HYPERLINK("https://klasma.github.io/Logging_2085/artfynd/A 23711-2026 artfynd.xlsx", "A 23711-2026")</f>
        <v/>
      </c>
      <c r="X39">
        <f>HYPERLINK("https://klasma.github.io/Logging_2085/kartor/A 23711-2026 karta.png", "A 23711-2026")</f>
        <v/>
      </c>
      <c r="Y39">
        <f>HYPERLINK("https://klasma.github.io/Logging_2085/kartor_geotiff/A 23711-2026 georefererad karta.tif", "A 23711-2026")</f>
        <v/>
      </c>
      <c r="AA39">
        <f>HYPERLINK("https://klasma.github.io/Logging_2085/klagomål/A 23711-2026 FSC-klagomål.docx", "A 23711-2026")</f>
        <v/>
      </c>
      <c r="AB39">
        <f>HYPERLINK("https://klasma.github.io/Logging_2085/klagomålsmail/A 23711-2026 FSC-klagomål mail.docx", "A 23711-2026")</f>
        <v/>
      </c>
      <c r="AC39">
        <f>HYPERLINK("https://klasma.github.io/Logging_2085/tillsyn/A 23711-2026 tillsynsbegäran.docx", "A 23711-2026")</f>
        <v/>
      </c>
      <c r="AD39">
        <f>HYPERLINK("https://klasma.github.io/Logging_2085/tillsynsmail/A 23711-2026 tillsynsbegäran mail.docx", "A 23711-2026")</f>
        <v/>
      </c>
      <c r="AE39">
        <f>HYPERLINK("https://klasma.github.io/Logging_2085/fåglar/A 23711-2026 prioriterade fågelarter.docx", "A 23711-2026")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46308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46308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34144-2026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46308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4.6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Garnlav
Dropptaggsvamp
Korallblylav
Järpe
Spillkråka</t>
        </is>
      </c>
      <c r="W42">
        <f>HYPERLINK("https://klasma.github.io/Logging_2085/artfynd/A 34144-2026 artfynd.xlsx", "A 34144-2026")</f>
        <v/>
      </c>
      <c r="X42">
        <f>HYPERLINK("https://klasma.github.io/Logging_2085/kartor/A 34144-2026 karta.png", "A 34144-2026")</f>
        <v/>
      </c>
      <c r="Y42">
        <f>HYPERLINK("https://klasma.github.io/Logging_2085/kartor_geotiff/A 34144-2026 georefererad karta.tif", "A 34144-2026")</f>
        <v/>
      </c>
      <c r="AA42">
        <f>HYPERLINK("https://klasma.github.io/Logging_2085/klagomål/A 34144-2026 FSC-klagomål.docx", "A 34144-2026")</f>
        <v/>
      </c>
      <c r="AB42">
        <f>HYPERLINK("https://klasma.github.io/Logging_2085/klagomålsmail/A 34144-2026 FSC-klagomål mail.docx", "A 34144-2026")</f>
        <v/>
      </c>
      <c r="AC42">
        <f>HYPERLINK("https://klasma.github.io/Logging_2085/tillsyn/A 34144-2026 tillsynsbegäran.docx", "A 34144-2026")</f>
        <v/>
      </c>
      <c r="AD42">
        <f>HYPERLINK("https://klasma.github.io/Logging_2085/tillsynsmail/A 34144-2026 tillsynsbegäran mail.docx", "A 34144-2026")</f>
        <v/>
      </c>
      <c r="AE42">
        <f>HYPERLINK("https://klasma.github.io/Logging_2085/fåglar/A 34144-2026 prioriterade fågelarter.docx", "A 34144-2026")</f>
        <v/>
      </c>
    </row>
    <row r="43" ht="15" customHeight="1">
      <c r="A43" t="inlineStr">
        <is>
          <t>A 37639-2024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45541</v>
      </c>
      <c r="E43" s="1" t="n">
        <v>46308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1.6</v>
      </c>
      <c r="J43" t="n">
        <v>0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5</v>
      </c>
      <c r="U43" t="n">
        <v>0</v>
      </c>
      <c r="V43" s="2" t="inlineStr">
        <is>
          <t>Garnlav
Lunglav
Violettgrå tagellav
Gulnål
Korallblylav</t>
        </is>
      </c>
      <c r="W43">
        <f>HYPERLINK("https://klasma.github.io/Logging_2085/artfynd/A 37639-2024 artfynd.xlsx", "A 37639-2024")</f>
        <v/>
      </c>
      <c r="X43">
        <f>HYPERLINK("https://klasma.github.io/Logging_2085/kartor/A 37639-2024 karta.png", "A 37639-2024")</f>
        <v/>
      </c>
      <c r="Y43">
        <f>HYPERLINK("https://klasma.github.io/Logging_2085/kartor_geotiff/A 37639-2024 georefererad karta.tif", "A 37639-2024")</f>
        <v/>
      </c>
      <c r="AA43">
        <f>HYPERLINK("https://klasma.github.io/Logging_2085/klagomål/A 37639-2024 FSC-klagomål.docx", "A 37639-2024")</f>
        <v/>
      </c>
      <c r="AB43">
        <f>HYPERLINK("https://klasma.github.io/Logging_2085/klagomålsmail/A 37639-2024 FSC-klagomål mail.docx", "A 37639-2024")</f>
        <v/>
      </c>
      <c r="AC43">
        <f>HYPERLINK("https://klasma.github.io/Logging_2085/tillsyn/A 37639-2024 tillsynsbegäran.docx", "A 37639-2024")</f>
        <v/>
      </c>
      <c r="AD43">
        <f>HYPERLINK("https://klasma.github.io/Logging_2085/tillsynsmail/A 37639-2024 tillsynsbegäran mail.docx", "A 37639-2024")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46308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23491-2026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46308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7.9</v>
      </c>
      <c r="J45" t="n">
        <v>4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6</v>
      </c>
      <c r="U45" t="n">
        <v>6</v>
      </c>
      <c r="V45" s="2" t="inlineStr">
        <is>
          <t>Garnlav
Tretåig hackspett
Korallrot
Spillkråka
Tjäder</t>
        </is>
      </c>
      <c r="W45">
        <f>HYPERLINK("https://klasma.github.io/Logging_2085/artfynd/A 23491-2026 artfynd.xlsx", "A 23491-2026")</f>
        <v/>
      </c>
      <c r="X45">
        <f>HYPERLINK("https://klasma.github.io/Logging_2085/kartor/A 23491-2026 karta.png", "A 23491-2026")</f>
        <v/>
      </c>
      <c r="Y45">
        <f>HYPERLINK("https://klasma.github.io/Logging_2085/kartor_geotiff/A 23491-2026 georefererad karta.tif", "A 23491-2026")</f>
        <v/>
      </c>
      <c r="AA45">
        <f>HYPERLINK("https://klasma.github.io/Logging_2085/klagomål/A 23491-2026 FSC-klagomål.docx", "A 23491-2026")</f>
        <v/>
      </c>
      <c r="AB45">
        <f>HYPERLINK("https://klasma.github.io/Logging_2085/klagomålsmail/A 23491-2026 FSC-klagomål mail.docx", "A 23491-2026")</f>
        <v/>
      </c>
      <c r="AC45">
        <f>HYPERLINK("https://klasma.github.io/Logging_2085/tillsyn/A 23491-2026 tillsynsbegäran.docx", "A 23491-2026")</f>
        <v/>
      </c>
      <c r="AD45">
        <f>HYPERLINK("https://klasma.github.io/Logging_2085/tillsynsmail/A 23491-2026 tillsynsbegäran mail.docx", "A 23491-2026")</f>
        <v/>
      </c>
      <c r="AE45">
        <f>HYPERLINK("https://klasma.github.io/Logging_2085/fåglar/A 23491-2026 prioriterade fågelarter.docx", "A 23491-2026")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46308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46308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46308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38635-2026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46308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Lunglav
Mörk husmossa
Vedticka
Vågbandad barkbock</t>
        </is>
      </c>
      <c r="W49">
        <f>HYPERLINK("https://klasma.github.io/Logging_2085/artfynd/A 38635-2026 artfynd.xlsx", "A 38635-2026")</f>
        <v/>
      </c>
      <c r="X49">
        <f>HYPERLINK("https://klasma.github.io/Logging_2085/kartor/A 38635-2026 karta.png", "A 38635-2026")</f>
        <v/>
      </c>
      <c r="Y49">
        <f>HYPERLINK("https://klasma.github.io/Logging_2085/kartor_geotiff/A 38635-2026 georefererad karta.tif", "A 38635-2026")</f>
        <v/>
      </c>
      <c r="AA49">
        <f>HYPERLINK("https://klasma.github.io/Logging_2085/klagomål/A 38635-2026 FSC-klagomål.docx", "A 38635-2026")</f>
        <v/>
      </c>
      <c r="AB49">
        <f>HYPERLINK("https://klasma.github.io/Logging_2085/klagomålsmail/A 38635-2026 FSC-klagomål mail.docx", "A 38635-2026")</f>
        <v/>
      </c>
      <c r="AC49">
        <f>HYPERLINK("https://klasma.github.io/Logging_2085/tillsyn/A 38635-2026 tillsynsbegäran.docx", "A 38635-2026")</f>
        <v/>
      </c>
      <c r="AD49">
        <f>HYPERLINK("https://klasma.github.io/Logging_2085/tillsynsmail/A 38635-2026 tillsynsbegäran mail.docx", "A 38635-2026")</f>
        <v/>
      </c>
    </row>
    <row r="50" ht="15" customHeight="1">
      <c r="A50" t="inlineStr">
        <is>
          <t>A 23682-2026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46163</v>
      </c>
      <c r="E50" s="1" t="n">
        <v>46308</v>
      </c>
      <c r="F50" t="inlineStr">
        <is>
          <t>DALARNAS LÄN</t>
        </is>
      </c>
      <c r="G50" t="inlineStr">
        <is>
          <t>LUDVIKA</t>
        </is>
      </c>
      <c r="I50" t="n">
        <v>3.9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Vårärt
Järpe
Spillkråka
Tjäder</t>
        </is>
      </c>
      <c r="W50">
        <f>HYPERLINK("https://klasma.github.io/Logging_2085/artfynd/A 23682-2026 artfynd.xlsx", "A 23682-2026")</f>
        <v/>
      </c>
      <c r="X50">
        <f>HYPERLINK("https://klasma.github.io/Logging_2085/kartor/A 23682-2026 karta.png", "A 23682-2026")</f>
        <v/>
      </c>
      <c r="Y50">
        <f>HYPERLINK("https://klasma.github.io/Logging_2085/kartor_geotiff/A 23682-2026 georefererad karta.tif", "A 23682-2026")</f>
        <v/>
      </c>
      <c r="AA50">
        <f>HYPERLINK("https://klasma.github.io/Logging_2085/klagomål/A 23682-2026 FSC-klagomål.docx", "A 23682-2026")</f>
        <v/>
      </c>
      <c r="AB50">
        <f>HYPERLINK("https://klasma.github.io/Logging_2085/klagomålsmail/A 23682-2026 FSC-klagomål mail.docx", "A 23682-2026")</f>
        <v/>
      </c>
      <c r="AC50">
        <f>HYPERLINK("https://klasma.github.io/Logging_2085/tillsyn/A 23682-2026 tillsynsbegäran.docx", "A 23682-2026")</f>
        <v/>
      </c>
      <c r="AD50">
        <f>HYPERLINK("https://klasma.github.io/Logging_2085/tillsynsmail/A 23682-2026 tillsynsbegäran mail.docx", "A 23682-2026")</f>
        <v/>
      </c>
      <c r="AE50">
        <f>HYPERLINK("https://klasma.github.io/Logging_2085/fåglar/A 23682-2026 prioriterade fågelarter.docx", "A 23682-2026")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46308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t="n">
        <v>5</v>
      </c>
      <c r="V51" s="2" t="inlineStr">
        <is>
          <t>Garnlav
Järpe
Spillkråka
Tjäder</t>
        </is>
      </c>
      <c r="W51">
        <f>HYPERLINK("https://klasma.github.io/Logging_2085/artfynd/A 22589-2026 artfynd.xlsx", "A 22589-2026")</f>
        <v/>
      </c>
      <c r="X51">
        <f>HYPERLINK("https://klasma.github.io/Logging_2085/kartor/A 22589-2026 karta.png", "A 22589-2026")</f>
        <v/>
      </c>
      <c r="Y51">
        <f>HYPERLINK("https://klasma.github.io/Logging_2085/kartor_geotiff/A 22589-2026 georefererad karta.tif", "A 22589-2026")</f>
        <v/>
      </c>
      <c r="AA51">
        <f>HYPERLINK("https://klasma.github.io/Logging_2085/klagomål/A 22589-2026 FSC-klagomål.docx", "A 22589-2026")</f>
        <v/>
      </c>
      <c r="AB51">
        <f>HYPERLINK("https://klasma.github.io/Logging_2085/klagomålsmail/A 22589-2026 FSC-klagomål mail.docx", "A 22589-2026")</f>
        <v/>
      </c>
      <c r="AC51">
        <f>HYPERLINK("https://klasma.github.io/Logging_2085/tillsyn/A 22589-2026 tillsynsbegäran.docx", "A 22589-2026")</f>
        <v/>
      </c>
      <c r="AD51">
        <f>HYPERLINK("https://klasma.github.io/Logging_2085/tillsynsmail/A 22589-2026 tillsynsbegäran mail.docx", "A 22589-2026")</f>
        <v/>
      </c>
      <c r="AE51">
        <f>HYPERLINK("https://klasma.github.io/Logging_2085/fåglar/A 22589-2026 prioriterade fågelarter.docx", "A 22589-2026")</f>
        <v/>
      </c>
    </row>
    <row r="52" ht="15" customHeight="1">
      <c r="A52" t="inlineStr">
        <is>
          <t>A 47044-2025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46308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2.7</v>
      </c>
      <c r="J52" t="n">
        <v>4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Duvhök
Tretåig hackspett
Järpe
Tjäder</t>
        </is>
      </c>
      <c r="W52">
        <f>HYPERLINK("https://klasma.github.io/Logging_2085/artfynd/A 47044-2025 artfynd.xlsx", "A 47044-2025")</f>
        <v/>
      </c>
      <c r="X52">
        <f>HYPERLINK("https://klasma.github.io/Logging_2085/kartor/A 47044-2025 karta.png", "A 47044-2025")</f>
        <v/>
      </c>
      <c r="Y52">
        <f>HYPERLINK("https://klasma.github.io/Logging_2085/kartor_geotiff/A 47044-2025 georefererad karta.tif", "A 47044-2025")</f>
        <v/>
      </c>
      <c r="AA52">
        <f>HYPERLINK("https://klasma.github.io/Logging_2085/klagomål/A 47044-2025 FSC-klagomål.docx", "A 47044-2025")</f>
        <v/>
      </c>
      <c r="AB52">
        <f>HYPERLINK("https://klasma.github.io/Logging_2085/klagomålsmail/A 47044-2025 FSC-klagomål mail.docx", "A 47044-2025")</f>
        <v/>
      </c>
      <c r="AC52">
        <f>HYPERLINK("https://klasma.github.io/Logging_2085/tillsyn/A 47044-2025 tillsynsbegäran.docx", "A 47044-2025")</f>
        <v/>
      </c>
      <c r="AD52">
        <f>HYPERLINK("https://klasma.github.io/Logging_2085/tillsynsmail/A 47044-2025 tillsynsbegäran mail.docx", "A 47044-2025")</f>
        <v/>
      </c>
      <c r="AE52">
        <f>HYPERLINK("https://klasma.github.io/Logging_2085/fåglar/A 47044-2025 prioriterade fågelarter.docx", "A 47044-2025")</f>
        <v/>
      </c>
    </row>
    <row r="53" ht="15" customHeight="1">
      <c r="A53" t="inlineStr">
        <is>
          <t>A 49676-2024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45596</v>
      </c>
      <c r="E53" s="1" t="n">
        <v>46308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3.5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8</v>
      </c>
      <c r="U53" t="n">
        <v>8</v>
      </c>
      <c r="V53" s="2" t="inlineStr">
        <is>
          <t>Garnlav
Dropptaggsvamp
Järpe
Spillkråka</t>
        </is>
      </c>
      <c r="W53">
        <f>HYPERLINK("https://klasma.github.io/Logging_2085/artfynd/A 49676-2024 artfynd.xlsx", "A 49676-2024")</f>
        <v/>
      </c>
      <c r="X53">
        <f>HYPERLINK("https://klasma.github.io/Logging_2085/kartor/A 49676-2024 karta.png", "A 49676-2024")</f>
        <v/>
      </c>
      <c r="Y53">
        <f>HYPERLINK("https://klasma.github.io/Logging_2085/kartor_geotiff/A 49676-2024 georefererad karta.tif", "A 49676-2024")</f>
        <v/>
      </c>
      <c r="AA53">
        <f>HYPERLINK("https://klasma.github.io/Logging_2085/klagomål/A 49676-2024 FSC-klagomål.docx", "A 49676-2024")</f>
        <v/>
      </c>
      <c r="AB53">
        <f>HYPERLINK("https://klasma.github.io/Logging_2085/klagomålsmail/A 49676-2024 FSC-klagomål mail.docx", "A 49676-2024")</f>
        <v/>
      </c>
      <c r="AC53">
        <f>HYPERLINK("https://klasma.github.io/Logging_2085/tillsyn/A 49676-2024 tillsynsbegäran.docx", "A 49676-2024")</f>
        <v/>
      </c>
      <c r="AD53">
        <f>HYPERLINK("https://klasma.github.io/Logging_2085/tillsynsmail/A 49676-2024 tillsynsbegäran mail.docx", "A 49676-2024")</f>
        <v/>
      </c>
      <c r="AE53">
        <f>HYPERLINK("https://klasma.github.io/Logging_2085/fåglar/A 49676-2024 prioriterade fågelarter.docx", "A 49676-2024")</f>
        <v/>
      </c>
    </row>
    <row r="54" ht="15" customHeight="1">
      <c r="A54" t="inlineStr">
        <is>
          <t>A 35820-2026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46265</v>
      </c>
      <c r="E54" s="1" t="n">
        <v>46308</v>
      </c>
      <c r="F54" t="inlineStr">
        <is>
          <t>DALARNAS LÄN</t>
        </is>
      </c>
      <c r="G54" t="inlineStr">
        <is>
          <t>LUDVIKA</t>
        </is>
      </c>
      <c r="H54" t="inlineStr">
        <is>
          <t>Naturvårdsverket</t>
        </is>
      </c>
      <c r="I54" t="n">
        <v>4.3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</v>
      </c>
      <c r="U54" t="n">
        <v>0</v>
      </c>
      <c r="V54" s="2" t="inlineStr">
        <is>
          <t>Garnlav
Kortskaftad ärgspik
Vedtrappmossa
Spillkråka</t>
        </is>
      </c>
      <c r="W54">
        <f>HYPERLINK("https://klasma.github.io/Logging_2085/artfynd/A 35820-2026 artfynd.xlsx", "A 35820-2026")</f>
        <v/>
      </c>
      <c r="X54">
        <f>HYPERLINK("https://klasma.github.io/Logging_2085/kartor/A 35820-2026 karta.png", "A 35820-2026")</f>
        <v/>
      </c>
      <c r="Y54">
        <f>HYPERLINK("https://klasma.github.io/Logging_2085/kartor_geotiff/A 35820-2026 georefererad karta.tif", "A 35820-2026")</f>
        <v/>
      </c>
      <c r="AA54">
        <f>HYPERLINK("https://klasma.github.io/Logging_2085/klagomål/A 35820-2026 FSC-klagomål.docx", "A 35820-2026")</f>
        <v/>
      </c>
      <c r="AB54">
        <f>HYPERLINK("https://klasma.github.io/Logging_2085/klagomålsmail/A 35820-2026 FSC-klagomål mail.docx", "A 35820-2026")</f>
        <v/>
      </c>
      <c r="AC54">
        <f>HYPERLINK("https://klasma.github.io/Logging_2085/tillsyn/A 35820-2026 tillsynsbegäran.docx", "A 35820-2026")</f>
        <v/>
      </c>
      <c r="AD54">
        <f>HYPERLINK("https://klasma.github.io/Logging_2085/tillsynsmail/A 35820-2026 tillsynsbegäran mail.docx", "A 35820-2026")</f>
        <v/>
      </c>
      <c r="AE54">
        <f>HYPERLINK("https://klasma.github.io/Logging_2085/fåglar/A 35820-2026 prioriterade fågelarter.docx", "A 35820-2026")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46308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35101-2026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46260</v>
      </c>
      <c r="E56" s="1" t="n">
        <v>46308</v>
      </c>
      <c r="F56" t="inlineStr">
        <is>
          <t>DALARNAS LÄN</t>
        </is>
      </c>
      <c r="G56" t="inlineStr">
        <is>
          <t>LUDVIKA</t>
        </is>
      </c>
      <c r="I56" t="n">
        <v>2.3</v>
      </c>
      <c r="J56" t="n">
        <v>3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7</v>
      </c>
      <c r="U56" t="n">
        <v>7</v>
      </c>
      <c r="V56" s="2" t="inlineStr">
        <is>
          <t>Tretåig hackspett
Rödgul trumpetsvamp
Järpe
Spillkråka</t>
        </is>
      </c>
      <c r="W56">
        <f>HYPERLINK("https://klasma.github.io/Logging_2085/artfynd/A 35101-2026 artfynd.xlsx", "A 35101-2026")</f>
        <v/>
      </c>
      <c r="X56">
        <f>HYPERLINK("https://klasma.github.io/Logging_2085/kartor/A 35101-2026 karta.png", "A 35101-2026")</f>
        <v/>
      </c>
      <c r="Y56">
        <f>HYPERLINK("https://klasma.github.io/Logging_2085/kartor_geotiff/A 35101-2026 georefererad karta.tif", "A 35101-2026")</f>
        <v/>
      </c>
      <c r="AA56">
        <f>HYPERLINK("https://klasma.github.io/Logging_2085/klagomål/A 35101-2026 FSC-klagomål.docx", "A 35101-2026")</f>
        <v/>
      </c>
      <c r="AB56">
        <f>HYPERLINK("https://klasma.github.io/Logging_2085/klagomålsmail/A 35101-2026 FSC-klagomål mail.docx", "A 35101-2026")</f>
        <v/>
      </c>
      <c r="AC56">
        <f>HYPERLINK("https://klasma.github.io/Logging_2085/tillsyn/A 35101-2026 tillsynsbegäran.docx", "A 35101-2026")</f>
        <v/>
      </c>
      <c r="AD56">
        <f>HYPERLINK("https://klasma.github.io/Logging_2085/tillsynsmail/A 35101-2026 tillsynsbegäran mail.docx", "A 35101-2026")</f>
        <v/>
      </c>
      <c r="AE56">
        <f>HYPERLINK("https://klasma.github.io/Logging_2085/fåglar/A 35101-2026 prioriterade fågelarter.docx", "A 35101-2026")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46308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51928-2024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45607</v>
      </c>
      <c r="E58" s="1" t="n">
        <v>46308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27.9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Brunpudrad nållav
Gulnål
Kornig nållav
Vedticka</t>
        </is>
      </c>
      <c r="W58">
        <f>HYPERLINK("https://klasma.github.io/Logging_2085/artfynd/A 51928-2024 artfynd.xlsx", "A 51928-2024")</f>
        <v/>
      </c>
      <c r="X58">
        <f>HYPERLINK("https://klasma.github.io/Logging_2085/kartor/A 51928-2024 karta.png", "A 51928-2024")</f>
        <v/>
      </c>
      <c r="Y58">
        <f>HYPERLINK("https://klasma.github.io/Logging_2085/kartor_geotiff/A 51928-2024 georefererad karta.tif", "A 51928-2024")</f>
        <v/>
      </c>
      <c r="AA58">
        <f>HYPERLINK("https://klasma.github.io/Logging_2085/klagomål/A 51928-2024 FSC-klagomål.docx", "A 51928-2024")</f>
        <v/>
      </c>
      <c r="AB58">
        <f>HYPERLINK("https://klasma.github.io/Logging_2085/klagomålsmail/A 51928-2024 FSC-klagomål mail.docx", "A 51928-2024")</f>
        <v/>
      </c>
      <c r="AC58">
        <f>HYPERLINK("https://klasma.github.io/Logging_2085/tillsyn/A 51928-2024 tillsynsbegäran.docx", "A 51928-2024")</f>
        <v/>
      </c>
      <c r="AD58">
        <f>HYPERLINK("https://klasma.github.io/Logging_2085/tillsynsmail/A 51928-2024 tillsynsbegäran mail.docx", "A 51928-2024")</f>
        <v/>
      </c>
    </row>
    <row r="59" ht="15" customHeight="1">
      <c r="A59" t="inlineStr">
        <is>
          <t>A 57803-2023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46308</v>
      </c>
      <c r="F59" t="inlineStr">
        <is>
          <t>DALARNAS LÄN</t>
        </is>
      </c>
      <c r="G59" t="inlineStr">
        <is>
          <t>LUDVIKA</t>
        </is>
      </c>
      <c r="I59" t="n">
        <v>3.3</v>
      </c>
      <c r="J59" t="n">
        <v>3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5</v>
      </c>
      <c r="U59" t="n">
        <v>5</v>
      </c>
      <c r="V59" s="2" t="inlineStr">
        <is>
          <t>Garnlav
Spillkråka
Tjäder
Gröngöling</t>
        </is>
      </c>
      <c r="W59">
        <f>HYPERLINK("https://klasma.github.io/Logging_2085/artfynd/A 57803-2023 artfynd.xlsx", "A 57803-2023")</f>
        <v/>
      </c>
      <c r="X59">
        <f>HYPERLINK("https://klasma.github.io/Logging_2085/kartor/A 57803-2023 karta.png", "A 57803-2023")</f>
        <v/>
      </c>
      <c r="Y59">
        <f>HYPERLINK("https://klasma.github.io/Logging_2085/kartor_geotiff/A 57803-2023 georefererad karta.tif", "A 57803-2023")</f>
        <v/>
      </c>
      <c r="AA59">
        <f>HYPERLINK("https://klasma.github.io/Logging_2085/klagomål/A 57803-2023 FSC-klagomål.docx", "A 57803-2023")</f>
        <v/>
      </c>
      <c r="AB59">
        <f>HYPERLINK("https://klasma.github.io/Logging_2085/klagomålsmail/A 57803-2023 FSC-klagomål mail.docx", "A 57803-2023")</f>
        <v/>
      </c>
      <c r="AC59">
        <f>HYPERLINK("https://klasma.github.io/Logging_2085/tillsyn/A 57803-2023 tillsynsbegäran.docx", "A 57803-2023")</f>
        <v/>
      </c>
      <c r="AD59">
        <f>HYPERLINK("https://klasma.github.io/Logging_2085/tillsynsmail/A 57803-2023 tillsynsbegäran mail.docx", "A 57803-2023")</f>
        <v/>
      </c>
      <c r="AE59">
        <f>HYPERLINK("https://klasma.github.io/Logging_2085/fåglar/A 57803-2023 prioriterade fågelarter.docx", "A 57803-2023")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46308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46308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29144-2023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45105</v>
      </c>
      <c r="E62" s="1" t="n">
        <v>46308</v>
      </c>
      <c r="F62" t="inlineStr">
        <is>
          <t>DALARNAS LÄN</t>
        </is>
      </c>
      <c r="G62" t="inlineStr">
        <is>
          <t>LUDVIKA</t>
        </is>
      </c>
      <c r="H62" t="inlineStr">
        <is>
          <t>Allmännings- och besparingsskogar</t>
        </is>
      </c>
      <c r="I62" t="n">
        <v>6.2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14</v>
      </c>
      <c r="U62" t="n">
        <v>0</v>
      </c>
      <c r="V62" s="2" t="inlineStr">
        <is>
          <t>Garnlav
Knärot
Brunklöver</t>
        </is>
      </c>
      <c r="W62">
        <f>HYPERLINK("https://klasma.github.io/Logging_2085/artfynd/A 29144-2023 artfynd.xlsx", "A 29144-2023")</f>
        <v/>
      </c>
      <c r="X62">
        <f>HYPERLINK("https://klasma.github.io/Logging_2085/kartor/A 29144-2023 karta.png", "A 29144-2023")</f>
        <v/>
      </c>
      <c r="Y62">
        <f>HYPERLINK("https://klasma.github.io/Logging_2085/kartor_geotiff/A 29144-2023 georefererad karta.tif", "A 29144-2023")</f>
        <v/>
      </c>
      <c r="Z62">
        <f>HYPERLINK("https://klasma.github.io/Logging_2085/knärot/A 29144-2023 karta knärot.png", "A 29144-2023")</f>
        <v/>
      </c>
      <c r="AA62">
        <f>HYPERLINK("https://klasma.github.io/Logging_2085/klagomål/A 29144-2023 FSC-klagomål.docx", "A 29144-2023")</f>
        <v/>
      </c>
      <c r="AB62">
        <f>HYPERLINK("https://klasma.github.io/Logging_2085/klagomålsmail/A 29144-2023 FSC-klagomål mail.docx", "A 29144-2023")</f>
        <v/>
      </c>
      <c r="AC62">
        <f>HYPERLINK("https://klasma.github.io/Logging_2085/tillsyn/A 29144-2023 tillsynsbegäran.docx", "A 29144-2023")</f>
        <v/>
      </c>
      <c r="AD62">
        <f>HYPERLINK("https://klasma.github.io/Logging_2085/tillsynsmail/A 29144-2023 tillsynsbegäran mail.docx", "A 29144-2023")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46308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24425-2026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46168</v>
      </c>
      <c r="E64" s="1" t="n">
        <v>46308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5.6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6</v>
      </c>
      <c r="U64" t="n">
        <v>0</v>
      </c>
      <c r="V64" s="2" t="inlineStr">
        <is>
          <t>Tretåig hackspett
Spillkråka
Sälg</t>
        </is>
      </c>
      <c r="W64">
        <f>HYPERLINK("https://klasma.github.io/Logging_2085/artfynd/A 24425-2026 artfynd.xlsx", "A 24425-2026")</f>
        <v/>
      </c>
      <c r="X64">
        <f>HYPERLINK("https://klasma.github.io/Logging_2085/kartor/A 24425-2026 karta.png", "A 24425-2026")</f>
        <v/>
      </c>
      <c r="Y64">
        <f>HYPERLINK("https://klasma.github.io/Logging_2085/kartor_geotiff/A 24425-2026 georefererad karta.tif", "A 24425-2026")</f>
        <v/>
      </c>
      <c r="AA64">
        <f>HYPERLINK("https://klasma.github.io/Logging_2085/klagomål/A 24425-2026 FSC-klagomål.docx", "A 24425-2026")</f>
        <v/>
      </c>
      <c r="AB64">
        <f>HYPERLINK("https://klasma.github.io/Logging_2085/klagomålsmail/A 24425-2026 FSC-klagomål mail.docx", "A 24425-2026")</f>
        <v/>
      </c>
      <c r="AC64">
        <f>HYPERLINK("https://klasma.github.io/Logging_2085/tillsyn/A 24425-2026 tillsynsbegäran.docx", "A 24425-2026")</f>
        <v/>
      </c>
      <c r="AD64">
        <f>HYPERLINK("https://klasma.github.io/Logging_2085/tillsynsmail/A 24425-2026 tillsynsbegäran mail.docx", "A 24425-2026")</f>
        <v/>
      </c>
      <c r="AE64">
        <f>HYPERLINK("https://klasma.github.io/Logging_2085/fåglar/A 24425-2026 prioriterade fågelarter.docx", "A 24425-2026")</f>
        <v/>
      </c>
    </row>
    <row r="65" ht="15" customHeight="1">
      <c r="A65" t="inlineStr">
        <is>
          <t>A 23087-2025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45791</v>
      </c>
      <c r="E65" s="1" t="n">
        <v>46308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0.9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Dropptaggsvamp
Motaggsvamp
Orange taggsvamp</t>
        </is>
      </c>
      <c r="W65">
        <f>HYPERLINK("https://klasma.github.io/Logging_2085/artfynd/A 23087-2025 artfynd.xlsx", "A 23087-2025")</f>
        <v/>
      </c>
      <c r="X65">
        <f>HYPERLINK("https://klasma.github.io/Logging_2085/kartor/A 23087-2025 karta.png", "A 23087-2025")</f>
        <v/>
      </c>
      <c r="Y65">
        <f>HYPERLINK("https://klasma.github.io/Logging_2085/kartor_geotiff/A 23087-2025 georefererad karta.tif", "A 23087-2025")</f>
        <v/>
      </c>
      <c r="AA65">
        <f>HYPERLINK("https://klasma.github.io/Logging_2085/klagomål/A 23087-2025 FSC-klagomål.docx", "A 23087-2025")</f>
        <v/>
      </c>
      <c r="AB65">
        <f>HYPERLINK("https://klasma.github.io/Logging_2085/klagomålsmail/A 23087-2025 FSC-klagomål mail.docx", "A 23087-2025")</f>
        <v/>
      </c>
      <c r="AC65">
        <f>HYPERLINK("https://klasma.github.io/Logging_2085/tillsyn/A 23087-2025 tillsynsbegäran.docx", "A 23087-2025")</f>
        <v/>
      </c>
      <c r="AD65">
        <f>HYPERLINK("https://klasma.github.io/Logging_2085/tillsynsmail/A 23087-2025 tillsynsbegäran mail.docx", "A 23087-2025")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46308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74432-2021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44560</v>
      </c>
      <c r="E67" s="1" t="n">
        <v>46308</v>
      </c>
      <c r="F67" t="inlineStr">
        <is>
          <t>DALARNAS LÄN</t>
        </is>
      </c>
      <c r="G67" t="inlineStr">
        <is>
          <t>LUDVIKA</t>
        </is>
      </c>
      <c r="H67" t="inlineStr">
        <is>
          <t>Kommuner</t>
        </is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Spillkråka
Gröngöling
Kungsfågel</t>
        </is>
      </c>
      <c r="W67">
        <f>HYPERLINK("https://klasma.github.io/Logging_2085/artfynd/A 74432-2021 artfynd.xlsx", "A 74432-2021")</f>
        <v/>
      </c>
      <c r="X67">
        <f>HYPERLINK("https://klasma.github.io/Logging_2085/kartor/A 74432-2021 karta.png", "A 74432-2021")</f>
        <v/>
      </c>
      <c r="Y67">
        <f>HYPERLINK("https://klasma.github.io/Logging_2085/kartor_geotiff/A 74432-2021 georefererad karta.tif", "A 74432-2021")</f>
        <v/>
      </c>
      <c r="AA67">
        <f>HYPERLINK("https://klasma.github.io/Logging_2085/klagomål/A 74432-2021 FSC-klagomål.docx", "A 74432-2021")</f>
        <v/>
      </c>
      <c r="AB67">
        <f>HYPERLINK("https://klasma.github.io/Logging_2085/klagomålsmail/A 74432-2021 FSC-klagomål mail.docx", "A 74432-2021")</f>
        <v/>
      </c>
      <c r="AC67">
        <f>HYPERLINK("https://klasma.github.io/Logging_2085/tillsyn/A 74432-2021 tillsynsbegäran.docx", "A 74432-2021")</f>
        <v/>
      </c>
      <c r="AD67">
        <f>HYPERLINK("https://klasma.github.io/Logging_2085/tillsynsmail/A 74432-2021 tillsynsbegäran mail.docx", "A 74432-2021")</f>
        <v/>
      </c>
      <c r="AE67">
        <f>HYPERLINK("https://klasma.github.io/Logging_2085/fåglar/A 74432-2021 prioriterade fågelarter.docx", "A 74432-2021")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46308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46308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46308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44262-2025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46308</v>
      </c>
      <c r="F71" t="inlineStr">
        <is>
          <t>DALARNAS LÄN</t>
        </is>
      </c>
      <c r="G71" t="inlineStr">
        <is>
          <t>LUDVIKA</t>
        </is>
      </c>
      <c r="I71" t="n">
        <v>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6</v>
      </c>
      <c r="U71" t="n">
        <v>0</v>
      </c>
      <c r="V71" s="2" t="inlineStr">
        <is>
          <t>Nordfladdermus
Fläcknycklar</t>
        </is>
      </c>
      <c r="W71">
        <f>HYPERLINK("https://klasma.github.io/Logging_2085/artfynd/A 44262-2025 artfynd.xlsx", "A 44262-2025")</f>
        <v/>
      </c>
      <c r="X71">
        <f>HYPERLINK("https://klasma.github.io/Logging_2085/kartor/A 44262-2025 karta.png", "A 44262-2025")</f>
        <v/>
      </c>
      <c r="Y71">
        <f>HYPERLINK("https://klasma.github.io/Logging_2085/kartor_geotiff/A 44262-2025 georefererad karta.tif", "A 44262-2025")</f>
        <v/>
      </c>
      <c r="AA71">
        <f>HYPERLINK("https://klasma.github.io/Logging_2085/klagomål/A 44262-2025 FSC-klagomål.docx", "A 44262-2025")</f>
        <v/>
      </c>
      <c r="AB71">
        <f>HYPERLINK("https://klasma.github.io/Logging_2085/klagomålsmail/A 44262-2025 FSC-klagomål mail.docx", "A 44262-2025")</f>
        <v/>
      </c>
      <c r="AC71">
        <f>HYPERLINK("https://klasma.github.io/Logging_2085/tillsyn/A 44262-2025 tillsynsbegäran.docx", "A 44262-2025")</f>
        <v/>
      </c>
      <c r="AD71">
        <f>HYPERLINK("https://klasma.github.io/Logging_2085/tillsynsmail/A 44262-2025 tillsynsbegäran mail.docx", "A 44262-2025")</f>
        <v/>
      </c>
    </row>
    <row r="72" ht="15" customHeight="1">
      <c r="A72" t="inlineStr">
        <is>
          <t>A 45791-2025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46308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Vitfläckig guldvinge
Fläcknycklar</t>
        </is>
      </c>
      <c r="W72">
        <f>HYPERLINK("https://klasma.github.io/Logging_2085/artfynd/A 45791-2025 artfynd.xlsx", "A 45791-2025")</f>
        <v/>
      </c>
      <c r="X72">
        <f>HYPERLINK("https://klasma.github.io/Logging_2085/kartor/A 45791-2025 karta.png", "A 45791-2025")</f>
        <v/>
      </c>
      <c r="Y72">
        <f>HYPERLINK("https://klasma.github.io/Logging_2085/kartor_geotiff/A 45791-2025 georefererad karta.tif", "A 45791-2025")</f>
        <v/>
      </c>
      <c r="AA72">
        <f>HYPERLINK("https://klasma.github.io/Logging_2085/klagomål/A 45791-2025 FSC-klagomål.docx", "A 45791-2025")</f>
        <v/>
      </c>
      <c r="AB72">
        <f>HYPERLINK("https://klasma.github.io/Logging_2085/klagomålsmail/A 45791-2025 FSC-klagomål mail.docx", "A 45791-2025")</f>
        <v/>
      </c>
      <c r="AC72">
        <f>HYPERLINK("https://klasma.github.io/Logging_2085/tillsyn/A 45791-2025 tillsynsbegäran.docx", "A 45791-2025")</f>
        <v/>
      </c>
      <c r="AD72">
        <f>HYPERLINK("https://klasma.github.io/Logging_2085/tillsynsmail/A 45791-2025 tillsynsbegäran mail.docx", "A 45791-2025")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46308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46308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46308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28727-2026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46308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14</v>
      </c>
      <c r="J76" t="n">
        <v>0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Mindre märgborre</t>
        </is>
      </c>
      <c r="W76">
        <f>HYPERLINK("https://klasma.github.io/Logging_2085/artfynd/A 28727-2026 artfynd.xlsx", "A 28727-2026")</f>
        <v/>
      </c>
      <c r="X76">
        <f>HYPERLINK("https://klasma.github.io/Logging_2085/kartor/A 28727-2026 karta.png", "A 28727-2026")</f>
        <v/>
      </c>
      <c r="Y76">
        <f>HYPERLINK("https://klasma.github.io/Logging_2085/kartor_geotiff/A 28727-2026 georefererad karta.tif", "A 28727-2026")</f>
        <v/>
      </c>
      <c r="AA76">
        <f>HYPERLINK("https://klasma.github.io/Logging_2085/klagomål/A 28727-2026 FSC-klagomål.docx", "A 28727-2026")</f>
        <v/>
      </c>
      <c r="AB76">
        <f>HYPERLINK("https://klasma.github.io/Logging_2085/klagomålsmail/A 28727-2026 FSC-klagomål mail.docx", "A 28727-2026")</f>
        <v/>
      </c>
      <c r="AC76">
        <f>HYPERLINK("https://klasma.github.io/Logging_2085/tillsyn/A 28727-2026 tillsynsbegäran.docx", "A 28727-2026")</f>
        <v/>
      </c>
      <c r="AD76">
        <f>HYPERLINK("https://klasma.github.io/Logging_2085/tillsynsmail/A 28727-2026 tillsynsbegäran mail.docx", "A 28727-2026")</f>
        <v/>
      </c>
    </row>
    <row r="77" ht="15" customHeight="1">
      <c r="A77" t="inlineStr">
        <is>
          <t>A 55399-2025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46308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11.5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HYPERLINK("https://klasma.github.io/Logging_2085/artfynd/A 55399-2025 artfynd.xlsx", "A 55399-2025")</f>
        <v/>
      </c>
      <c r="X77">
        <f>HYPERLINK("https://klasma.github.io/Logging_2085/kartor/A 55399-2025 karta.png", "A 55399-2025")</f>
        <v/>
      </c>
      <c r="Y77">
        <f>HYPERLINK("https://klasma.github.io/Logging_2085/kartor_geotiff/A 55399-2025 georefererad karta.tif", "A 55399-2025")</f>
        <v/>
      </c>
      <c r="AA77">
        <f>HYPERLINK("https://klasma.github.io/Logging_2085/klagomål/A 55399-2025 FSC-klagomål.docx", "A 55399-2025")</f>
        <v/>
      </c>
      <c r="AB77">
        <f>HYPERLINK("https://klasma.github.io/Logging_2085/klagomålsmail/A 55399-2025 FSC-klagomål mail.docx", "A 55399-2025")</f>
        <v/>
      </c>
      <c r="AC77">
        <f>HYPERLINK("https://klasma.github.io/Logging_2085/tillsyn/A 55399-2025 tillsynsbegäran.docx", "A 55399-2025")</f>
        <v/>
      </c>
      <c r="AD77">
        <f>HYPERLINK("https://klasma.github.io/Logging_2085/tillsynsmail/A 55399-2025 tillsynsbegäran mail.docx", "A 55399-2025")</f>
        <v/>
      </c>
      <c r="AE77">
        <f>HYPERLINK("https://klasma.github.io/Logging_2085/fåglar/A 55399-2025 prioriterade fågelarter.docx", "A 55399-2025")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46308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24426-2026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46168</v>
      </c>
      <c r="E80" s="1" t="n">
        <v>46308</v>
      </c>
      <c r="F80" t="inlineStr">
        <is>
          <t>DALARNAS LÄN</t>
        </is>
      </c>
      <c r="G80" t="inlineStr">
        <is>
          <t>LUDVIKA</t>
        </is>
      </c>
      <c r="H80" t="inlineStr">
        <is>
          <t>Övriga Aktiebolag</t>
        </is>
      </c>
      <c r="I80" t="n">
        <v>12.4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Spillkråka
Sälg</t>
        </is>
      </c>
      <c r="W80">
        <f>HYPERLINK("https://klasma.github.io/Logging_2085/artfynd/A 24426-2026 artfynd.xlsx", "A 24426-2026")</f>
        <v/>
      </c>
      <c r="X80">
        <f>HYPERLINK("https://klasma.github.io/Logging_2085/kartor/A 24426-2026 karta.png", "A 24426-2026")</f>
        <v/>
      </c>
      <c r="Y80">
        <f>HYPERLINK("https://klasma.github.io/Logging_2085/kartor_geotiff/A 24426-2026 georefererad karta.tif", "A 24426-2026")</f>
        <v/>
      </c>
      <c r="AA80">
        <f>HYPERLINK("https://klasma.github.io/Logging_2085/klagomål/A 24426-2026 FSC-klagomål.docx", "A 24426-2026")</f>
        <v/>
      </c>
      <c r="AB80">
        <f>HYPERLINK("https://klasma.github.io/Logging_2085/klagomålsmail/A 24426-2026 FSC-klagomål mail.docx", "A 24426-2026")</f>
        <v/>
      </c>
      <c r="AC80">
        <f>HYPERLINK("https://klasma.github.io/Logging_2085/tillsyn/A 24426-2026 tillsynsbegäran.docx", "A 24426-2026")</f>
        <v/>
      </c>
      <c r="AD80">
        <f>HYPERLINK("https://klasma.github.io/Logging_2085/tillsynsmail/A 24426-2026 tillsynsbegäran mail.docx", "A 24426-2026")</f>
        <v/>
      </c>
      <c r="AE80">
        <f>HYPERLINK("https://klasma.github.io/Logging_2085/fåglar/A 24426-2026 prioriterade fågelarter.docx", "A 24426-2026")</f>
        <v/>
      </c>
    </row>
    <row r="81" ht="15" customHeight="1">
      <c r="A81" t="inlineStr">
        <is>
          <t>A 28639-2026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46308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Blå taggsvamp
Motaggsvamp</t>
        </is>
      </c>
      <c r="W81">
        <f>HYPERLINK("https://klasma.github.io/Logging_2085/artfynd/A 28639-2026 artfynd.xlsx", "A 28639-2026")</f>
        <v/>
      </c>
      <c r="X81">
        <f>HYPERLINK("https://klasma.github.io/Logging_2085/kartor/A 28639-2026 karta.png", "A 28639-2026")</f>
        <v/>
      </c>
      <c r="Y81">
        <f>HYPERLINK("https://klasma.github.io/Logging_2085/kartor_geotiff/A 28639-2026 georefererad karta.tif", "A 28639-2026")</f>
        <v/>
      </c>
      <c r="AA81">
        <f>HYPERLINK("https://klasma.github.io/Logging_2085/klagomål/A 28639-2026 FSC-klagomål.docx", "A 28639-2026")</f>
        <v/>
      </c>
      <c r="AB81">
        <f>HYPERLINK("https://klasma.github.io/Logging_2085/klagomålsmail/A 28639-2026 FSC-klagomål mail.docx", "A 28639-2026")</f>
        <v/>
      </c>
      <c r="AC81">
        <f>HYPERLINK("https://klasma.github.io/Logging_2085/tillsyn/A 28639-2026 tillsynsbegäran.docx", "A 28639-2026")</f>
        <v/>
      </c>
      <c r="AD81">
        <f>HYPERLINK("https://klasma.github.io/Logging_2085/tillsynsmail/A 28639-2026 tillsynsbegäran mail.docx", "A 28639-2026")</f>
        <v/>
      </c>
    </row>
    <row r="82" ht="15" customHeight="1">
      <c r="A82" t="inlineStr">
        <is>
          <t>A 42558-2022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44831</v>
      </c>
      <c r="E82" s="1" t="n">
        <v>46308</v>
      </c>
      <c r="F82" t="inlineStr">
        <is>
          <t>DALARNAS LÄN</t>
        </is>
      </c>
      <c r="G82" t="inlineStr">
        <is>
          <t>LUDVIKA</t>
        </is>
      </c>
      <c r="H82" t="inlineStr">
        <is>
          <t>Naturvårdsverket</t>
        </is>
      </c>
      <c r="I82" t="n">
        <v>4.9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Gräddporing
Lopplummer (aggregat)</t>
        </is>
      </c>
      <c r="W82">
        <f>HYPERLINK("https://klasma.github.io/Logging_2085/artfynd/A 42558-2022 artfynd.xlsx", "A 42558-2022")</f>
        <v/>
      </c>
      <c r="X82">
        <f>HYPERLINK("https://klasma.github.io/Logging_2085/kartor/A 42558-2022 karta.png", "A 42558-2022")</f>
        <v/>
      </c>
      <c r="Y82">
        <f>HYPERLINK("https://klasma.github.io/Logging_2085/kartor_geotiff/A 42558-2022 georefererad karta.tif", "A 42558-2022")</f>
        <v/>
      </c>
      <c r="AA82">
        <f>HYPERLINK("https://klasma.github.io/Logging_2085/klagomål/A 42558-2022 FSC-klagomål.docx", "A 42558-2022")</f>
        <v/>
      </c>
      <c r="AB82">
        <f>HYPERLINK("https://klasma.github.io/Logging_2085/klagomålsmail/A 42558-2022 FSC-klagomål mail.docx", "A 42558-2022")</f>
        <v/>
      </c>
      <c r="AC82">
        <f>HYPERLINK("https://klasma.github.io/Logging_2085/tillsyn/A 42558-2022 tillsynsbegäran.docx", "A 42558-2022")</f>
        <v/>
      </c>
      <c r="AD82">
        <f>HYPERLINK("https://klasma.github.io/Logging_2085/tillsynsmail/A 42558-2022 tillsynsbegäran mail.docx", "A 42558-2022")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46308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56826-2025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46308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4.5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8</v>
      </c>
      <c r="U84" t="n">
        <v>8</v>
      </c>
      <c r="V84" s="2" t="inlineStr">
        <is>
          <t>Garnlav
Tretåig hackspett</t>
        </is>
      </c>
      <c r="W84">
        <f>HYPERLINK("https://klasma.github.io/Logging_2085/artfynd/A 56826-2025 artfynd.xlsx", "A 56826-2025")</f>
        <v/>
      </c>
      <c r="X84">
        <f>HYPERLINK("https://klasma.github.io/Logging_2085/kartor/A 56826-2025 karta.png", "A 56826-2025")</f>
        <v/>
      </c>
      <c r="Y84">
        <f>HYPERLINK("https://klasma.github.io/Logging_2085/kartor_geotiff/A 56826-2025 georefererad karta.tif", "A 56826-2025")</f>
        <v/>
      </c>
      <c r="AA84">
        <f>HYPERLINK("https://klasma.github.io/Logging_2085/klagomål/A 56826-2025 FSC-klagomål.docx", "A 56826-2025")</f>
        <v/>
      </c>
      <c r="AB84">
        <f>HYPERLINK("https://klasma.github.io/Logging_2085/klagomålsmail/A 56826-2025 FSC-klagomål mail.docx", "A 56826-2025")</f>
        <v/>
      </c>
      <c r="AC84">
        <f>HYPERLINK("https://klasma.github.io/Logging_2085/tillsyn/A 56826-2025 tillsynsbegäran.docx", "A 56826-2025")</f>
        <v/>
      </c>
      <c r="AD84">
        <f>HYPERLINK("https://klasma.github.io/Logging_2085/tillsynsmail/A 56826-2025 tillsynsbegäran mail.docx", "A 56826-2025")</f>
        <v/>
      </c>
      <c r="AE84">
        <f>HYPERLINK("https://klasma.github.io/Logging_2085/fåglar/A 56826-2025 prioriterade fågelarter.docx", "A 56826-2025")</f>
        <v/>
      </c>
    </row>
    <row r="85" ht="15" customHeight="1">
      <c r="A85" t="inlineStr">
        <is>
          <t>A 56879-2025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46308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Tjäder</t>
        </is>
      </c>
      <c r="W85">
        <f>HYPERLINK("https://klasma.github.io/Logging_2085/artfynd/A 56879-2025 artfynd.xlsx", "A 56879-2025")</f>
        <v/>
      </c>
      <c r="X85">
        <f>HYPERLINK("https://klasma.github.io/Logging_2085/kartor/A 56879-2025 karta.png", "A 56879-2025")</f>
        <v/>
      </c>
      <c r="Y85">
        <f>HYPERLINK("https://klasma.github.io/Logging_2085/kartor_geotiff/A 56879-2025 georefererad karta.tif", "A 56879-2025")</f>
        <v/>
      </c>
      <c r="AA85">
        <f>HYPERLINK("https://klasma.github.io/Logging_2085/klagomål/A 56879-2025 FSC-klagomål.docx", "A 56879-2025")</f>
        <v/>
      </c>
      <c r="AB85">
        <f>HYPERLINK("https://klasma.github.io/Logging_2085/klagomålsmail/A 56879-2025 FSC-klagomål mail.docx", "A 56879-2025")</f>
        <v/>
      </c>
      <c r="AC85">
        <f>HYPERLINK("https://klasma.github.io/Logging_2085/tillsyn/A 56879-2025 tillsynsbegäran.docx", "A 56879-2025")</f>
        <v/>
      </c>
      <c r="AD85">
        <f>HYPERLINK("https://klasma.github.io/Logging_2085/tillsynsmail/A 56879-2025 tillsynsbegäran mail.docx", "A 56879-2025")</f>
        <v/>
      </c>
      <c r="AE85">
        <f>HYPERLINK("https://klasma.github.io/Logging_2085/fåglar/A 56879-2025 prioriterade fågelarter.docx", "A 56879-2025")</f>
        <v/>
      </c>
    </row>
    <row r="86" ht="15" customHeight="1">
      <c r="A86" t="inlineStr">
        <is>
          <t>A 33155-2024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45518</v>
      </c>
      <c r="E86" s="1" t="n">
        <v>46308</v>
      </c>
      <c r="F86" t="inlineStr">
        <is>
          <t>DALARNAS LÄN</t>
        </is>
      </c>
      <c r="G86" t="inlineStr">
        <is>
          <t>LUDVIKA</t>
        </is>
      </c>
      <c r="I86" t="n">
        <v>2.9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Brunpudrad nållav
Tretåig hackspett</t>
        </is>
      </c>
      <c r="W86">
        <f>HYPERLINK("https://klasma.github.io/Logging_2085/artfynd/A 33155-2024 artfynd.xlsx", "A 33155-2024")</f>
        <v/>
      </c>
      <c r="X86">
        <f>HYPERLINK("https://klasma.github.io/Logging_2085/kartor/A 33155-2024 karta.png", "A 33155-2024")</f>
        <v/>
      </c>
      <c r="Y86">
        <f>HYPERLINK("https://klasma.github.io/Logging_2085/kartor_geotiff/A 33155-2024 georefererad karta.tif", "A 33155-2024")</f>
        <v/>
      </c>
      <c r="AA86">
        <f>HYPERLINK("https://klasma.github.io/Logging_2085/klagomål/A 33155-2024 FSC-klagomål.docx", "A 33155-2024")</f>
        <v/>
      </c>
      <c r="AB86">
        <f>HYPERLINK("https://klasma.github.io/Logging_2085/klagomålsmail/A 33155-2024 FSC-klagomål mail.docx", "A 33155-2024")</f>
        <v/>
      </c>
      <c r="AC86">
        <f>HYPERLINK("https://klasma.github.io/Logging_2085/tillsyn/A 33155-2024 tillsynsbegäran.docx", "A 33155-2024")</f>
        <v/>
      </c>
      <c r="AD86">
        <f>HYPERLINK("https://klasma.github.io/Logging_2085/tillsynsmail/A 33155-2024 tillsynsbegäran mail.docx", "A 33155-2024")</f>
        <v/>
      </c>
      <c r="AE86">
        <f>HYPERLINK("https://klasma.github.io/Logging_2085/fåglar/A 33155-2024 prioriterade fågelarter.docx", "A 33155-2024")</f>
        <v/>
      </c>
    </row>
    <row r="87" ht="15" customHeight="1">
      <c r="A87" t="inlineStr">
        <is>
          <t>A 35099-2026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46260</v>
      </c>
      <c r="E87" s="1" t="n">
        <v>46308</v>
      </c>
      <c r="F87" t="inlineStr">
        <is>
          <t>DALARNAS LÄN</t>
        </is>
      </c>
      <c r="G87" t="inlineStr">
        <is>
          <t>LUDVIKA</t>
        </is>
      </c>
      <c r="I87" t="n">
        <v>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5</v>
      </c>
      <c r="V87" s="2" t="inlineStr">
        <is>
          <t>Knärot
Sälg</t>
        </is>
      </c>
      <c r="W87">
        <f>HYPERLINK("https://klasma.github.io/Logging_2085/artfynd/A 35099-2026 artfynd.xlsx", "A 35099-2026")</f>
        <v/>
      </c>
      <c r="X87">
        <f>HYPERLINK("https://klasma.github.io/Logging_2085/kartor/A 35099-2026 karta.png", "A 35099-2026")</f>
        <v/>
      </c>
      <c r="Y87">
        <f>HYPERLINK("https://klasma.github.io/Logging_2085/kartor_geotiff/A 35099-2026 georefererad karta.tif", "A 35099-2026")</f>
        <v/>
      </c>
      <c r="Z87">
        <f>HYPERLINK("https://klasma.github.io/Logging_2085/knärot/A 35099-2026 karta knärot.png", "A 35099-2026")</f>
        <v/>
      </c>
      <c r="AA87">
        <f>HYPERLINK("https://klasma.github.io/Logging_2085/klagomål/A 35099-2026 FSC-klagomål.docx", "A 35099-2026")</f>
        <v/>
      </c>
      <c r="AB87">
        <f>HYPERLINK("https://klasma.github.io/Logging_2085/klagomålsmail/A 35099-2026 FSC-klagomål mail.docx", "A 35099-2026")</f>
        <v/>
      </c>
      <c r="AC87">
        <f>HYPERLINK("https://klasma.github.io/Logging_2085/tillsyn/A 35099-2026 tillsynsbegäran.docx", "A 35099-2026")</f>
        <v/>
      </c>
      <c r="AD87">
        <f>HYPERLINK("https://klasma.github.io/Logging_2085/tillsynsmail/A 35099-2026 tillsynsbegäran mail.docx", "A 35099-2026")</f>
        <v/>
      </c>
    </row>
    <row r="88" ht="15" customHeight="1">
      <c r="A88" t="inlineStr">
        <is>
          <t>A 19512-2022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46308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2.8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Tretåig hackspett
Nästlav</t>
        </is>
      </c>
      <c r="W88">
        <f>HYPERLINK("https://klasma.github.io/Logging_2085/artfynd/A 19512-2022 artfynd.xlsx", "A 19512-2022")</f>
        <v/>
      </c>
      <c r="X88">
        <f>HYPERLINK("https://klasma.github.io/Logging_2085/kartor/A 19512-2022 karta.png", "A 19512-2022")</f>
        <v/>
      </c>
      <c r="Y88">
        <f>HYPERLINK("https://klasma.github.io/Logging_2085/kartor_geotiff/A 19512-2022 georefererad karta.tif", "A 19512-2022")</f>
        <v/>
      </c>
      <c r="AA88">
        <f>HYPERLINK("https://klasma.github.io/Logging_2085/klagomål/A 19512-2022 FSC-klagomål.docx", "A 19512-2022")</f>
        <v/>
      </c>
      <c r="AB88">
        <f>HYPERLINK("https://klasma.github.io/Logging_2085/klagomålsmail/A 19512-2022 FSC-klagomål mail.docx", "A 19512-2022")</f>
        <v/>
      </c>
      <c r="AC88">
        <f>HYPERLINK("https://klasma.github.io/Logging_2085/tillsyn/A 19512-2022 tillsynsbegäran.docx", "A 19512-2022")</f>
        <v/>
      </c>
      <c r="AD88">
        <f>HYPERLINK("https://klasma.github.io/Logging_2085/tillsynsmail/A 19512-2022 tillsynsbegäran mail.docx", "A 19512-2022")</f>
        <v/>
      </c>
      <c r="AE88">
        <f>HYPERLINK("https://klasma.github.io/Logging_2085/fåglar/A 19512-2022 prioriterade fågelarter.docx", "A 19512-2022")</f>
        <v/>
      </c>
    </row>
    <row r="89" ht="15" customHeight="1">
      <c r="A89" t="inlineStr">
        <is>
          <t>A 8202-2025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46308</v>
      </c>
      <c r="F89" t="inlineStr">
        <is>
          <t>DALARNAS LÄN</t>
        </is>
      </c>
      <c r="G89" t="inlineStr">
        <is>
          <t>LUDVIKA</t>
        </is>
      </c>
      <c r="I89" t="n">
        <v>6.4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7</v>
      </c>
      <c r="U89" t="n">
        <v>7</v>
      </c>
      <c r="V89" s="2" t="inlineStr">
        <is>
          <t>Tretåig hackspett
Spillkråka</t>
        </is>
      </c>
      <c r="W89">
        <f>HYPERLINK("https://klasma.github.io/Logging_2085/artfynd/A 8202-2025 artfynd.xlsx", "A 8202-2025")</f>
        <v/>
      </c>
      <c r="X89">
        <f>HYPERLINK("https://klasma.github.io/Logging_2085/kartor/A 8202-2025 karta.png", "A 8202-2025")</f>
        <v/>
      </c>
      <c r="Y89">
        <f>HYPERLINK("https://klasma.github.io/Logging_2085/kartor_geotiff/A 8202-2025 georefererad karta.tif", "A 8202-2025")</f>
        <v/>
      </c>
      <c r="AA89">
        <f>HYPERLINK("https://klasma.github.io/Logging_2085/klagomål/A 8202-2025 FSC-klagomål.docx", "A 8202-2025")</f>
        <v/>
      </c>
      <c r="AB89">
        <f>HYPERLINK("https://klasma.github.io/Logging_2085/klagomålsmail/A 8202-2025 FSC-klagomål mail.docx", "A 8202-2025")</f>
        <v/>
      </c>
      <c r="AC89">
        <f>HYPERLINK("https://klasma.github.io/Logging_2085/tillsyn/A 8202-2025 tillsynsbegäran.docx", "A 8202-2025")</f>
        <v/>
      </c>
      <c r="AD89">
        <f>HYPERLINK("https://klasma.github.io/Logging_2085/tillsynsmail/A 8202-2025 tillsynsbegäran mail.docx", "A 8202-2025")</f>
        <v/>
      </c>
      <c r="AE89">
        <f>HYPERLINK("https://klasma.github.io/Logging_2085/fåglar/A 8202-2025 prioriterade fågelarter.docx", "A 8202-2025")</f>
        <v/>
      </c>
    </row>
    <row r="90" ht="15" customHeight="1">
      <c r="A90" t="inlineStr">
        <is>
          <t>A 35104-2026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46308</v>
      </c>
      <c r="F90" t="inlineStr">
        <is>
          <t>DALARNAS LÄN</t>
        </is>
      </c>
      <c r="G90" t="inlineStr">
        <is>
          <t>LUDVIKA</t>
        </is>
      </c>
      <c r="I90" t="n">
        <v>1.4</v>
      </c>
      <c r="J90" t="n">
        <v>1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Rödgul trumpetsvamp</t>
        </is>
      </c>
      <c r="W90">
        <f>HYPERLINK("https://klasma.github.io/Logging_2085/artfynd/A 35104-2026 artfynd.xlsx", "A 35104-2026")</f>
        <v/>
      </c>
      <c r="X90">
        <f>HYPERLINK("https://klasma.github.io/Logging_2085/kartor/A 35104-2026 karta.png", "A 35104-2026")</f>
        <v/>
      </c>
      <c r="Y90">
        <f>HYPERLINK("https://klasma.github.io/Logging_2085/kartor_geotiff/A 35104-2026 georefererad karta.tif", "A 35104-2026")</f>
        <v/>
      </c>
      <c r="Z90">
        <f>HYPERLINK("https://klasma.github.io/Logging_2085/knärot/A 35104-2026 karta knärot.png", "A 35104-2026")</f>
        <v/>
      </c>
      <c r="AA90">
        <f>HYPERLINK("https://klasma.github.io/Logging_2085/klagomål/A 35104-2026 FSC-klagomål.docx", "A 35104-2026")</f>
        <v/>
      </c>
      <c r="AB90">
        <f>HYPERLINK("https://klasma.github.io/Logging_2085/klagomålsmail/A 35104-2026 FSC-klagomål mail.docx", "A 35104-2026")</f>
        <v/>
      </c>
      <c r="AC90">
        <f>HYPERLINK("https://klasma.github.io/Logging_2085/tillsyn/A 35104-2026 tillsynsbegäran.docx", "A 35104-2026")</f>
        <v/>
      </c>
      <c r="AD90">
        <f>HYPERLINK("https://klasma.github.io/Logging_2085/tillsynsmail/A 35104-2026 tillsynsbegäran mail.docx", "A 35104-2026")</f>
        <v/>
      </c>
    </row>
    <row r="91" ht="15" customHeight="1">
      <c r="A91" t="inlineStr">
        <is>
          <t>A 21369-2023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46308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Skogsalm
Tibast</t>
        </is>
      </c>
      <c r="W91">
        <f>HYPERLINK("https://klasma.github.io/Logging_2085/artfynd/A 21369-2023 artfynd.xlsx", "A 21369-2023")</f>
        <v/>
      </c>
      <c r="X91">
        <f>HYPERLINK("https://klasma.github.io/Logging_2085/kartor/A 21369-2023 karta.png", "A 21369-2023")</f>
        <v/>
      </c>
      <c r="Y91">
        <f>HYPERLINK("https://klasma.github.io/Logging_2085/kartor_geotiff/A 21369-2023 georefererad karta.tif", "A 21369-2023")</f>
        <v/>
      </c>
      <c r="AA91">
        <f>HYPERLINK("https://klasma.github.io/Logging_2085/klagomål/A 21369-2023 FSC-klagomål.docx", "A 21369-2023")</f>
        <v/>
      </c>
      <c r="AB91">
        <f>HYPERLINK("https://klasma.github.io/Logging_2085/klagomålsmail/A 21369-2023 FSC-klagomål mail.docx", "A 21369-2023")</f>
        <v/>
      </c>
      <c r="AC91">
        <f>HYPERLINK("https://klasma.github.io/Logging_2085/tillsyn/A 21369-2023 tillsynsbegäran.docx", "A 21369-2023")</f>
        <v/>
      </c>
      <c r="AD91">
        <f>HYPERLINK("https://klasma.github.io/Logging_2085/tillsynsmail/A 21369-2023 tillsynsbegäran mail.docx", "A 21369-2023")</f>
        <v/>
      </c>
    </row>
    <row r="92" ht="15" customHeight="1">
      <c r="A92" t="inlineStr">
        <is>
          <t>A 21876-2026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46308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Garnlav
Tretåig hackspett</t>
        </is>
      </c>
      <c r="W92">
        <f>HYPERLINK("https://klasma.github.io/Logging_2085/artfynd/A 21876-2026 artfynd.xlsx", "A 21876-2026")</f>
        <v/>
      </c>
      <c r="X92">
        <f>HYPERLINK("https://klasma.github.io/Logging_2085/kartor/A 21876-2026 karta.png", "A 21876-2026")</f>
        <v/>
      </c>
      <c r="Y92">
        <f>HYPERLINK("https://klasma.github.io/Logging_2085/kartor_geotiff/A 21876-2026 georefererad karta.tif", "A 21876-2026")</f>
        <v/>
      </c>
      <c r="AA92">
        <f>HYPERLINK("https://klasma.github.io/Logging_2085/klagomål/A 21876-2026 FSC-klagomål.docx", "A 21876-2026")</f>
        <v/>
      </c>
      <c r="AB92">
        <f>HYPERLINK("https://klasma.github.io/Logging_2085/klagomålsmail/A 21876-2026 FSC-klagomål mail.docx", "A 21876-2026")</f>
        <v/>
      </c>
      <c r="AC92">
        <f>HYPERLINK("https://klasma.github.io/Logging_2085/tillsyn/A 21876-2026 tillsynsbegäran.docx", "A 21876-2026")</f>
        <v/>
      </c>
      <c r="AD92">
        <f>HYPERLINK("https://klasma.github.io/Logging_2085/tillsynsmail/A 21876-2026 tillsynsbegäran mail.docx", "A 21876-2026")</f>
        <v/>
      </c>
      <c r="AE92">
        <f>HYPERLINK("https://klasma.github.io/Logging_2085/fåglar/A 21876-2026 prioriterade fågelarter.docx", "A 21876-2026")</f>
        <v/>
      </c>
    </row>
    <row r="93" ht="15" customHeight="1">
      <c r="A93" t="inlineStr">
        <is>
          <t>A 62275-2022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46308</v>
      </c>
      <c r="F93" t="inlineStr">
        <is>
          <t>DALARNAS LÄN</t>
        </is>
      </c>
      <c r="G93" t="inlineStr">
        <is>
          <t>LUDVIKA</t>
        </is>
      </c>
      <c r="I93" t="n">
        <v>4.6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5</v>
      </c>
      <c r="U93" t="n">
        <v>5</v>
      </c>
      <c r="V93" s="2" t="inlineStr">
        <is>
          <t>Knärot
Brunklöver</t>
        </is>
      </c>
      <c r="W93">
        <f>HYPERLINK("https://klasma.github.io/Logging_2085/artfynd/A 62275-2022 artfynd.xlsx", "A 62275-2022")</f>
        <v/>
      </c>
      <c r="X93">
        <f>HYPERLINK("https://klasma.github.io/Logging_2085/kartor/A 62275-2022 karta.png", "A 62275-2022")</f>
        <v/>
      </c>
      <c r="Y93">
        <f>HYPERLINK("https://klasma.github.io/Logging_2085/kartor_geotiff/A 62275-2022 georefererad karta.tif", "A 62275-2022")</f>
        <v/>
      </c>
      <c r="Z93">
        <f>HYPERLINK("https://klasma.github.io/Logging_2085/knärot/A 62275-2022 karta knärot.png", "A 62275-2022")</f>
        <v/>
      </c>
      <c r="AA93">
        <f>HYPERLINK("https://klasma.github.io/Logging_2085/klagomål/A 62275-2022 FSC-klagomål.docx", "A 62275-2022")</f>
        <v/>
      </c>
      <c r="AB93">
        <f>HYPERLINK("https://klasma.github.io/Logging_2085/klagomålsmail/A 62275-2022 FSC-klagomål mail.docx", "A 62275-2022")</f>
        <v/>
      </c>
      <c r="AC93">
        <f>HYPERLINK("https://klasma.github.io/Logging_2085/tillsyn/A 62275-2022 tillsynsbegäran.docx", "A 62275-2022")</f>
        <v/>
      </c>
      <c r="AD93">
        <f>HYPERLINK("https://klasma.github.io/Logging_2085/tillsynsmail/A 62275-2022 tillsynsbegäran mail.docx", "A 62275-2022")</f>
        <v/>
      </c>
    </row>
    <row r="94" ht="15" customHeight="1">
      <c r="A94" t="inlineStr">
        <is>
          <t>A 11755-2023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46308</v>
      </c>
      <c r="F94" t="inlineStr">
        <is>
          <t>DALARNAS LÄN</t>
        </is>
      </c>
      <c r="G94" t="inlineStr">
        <is>
          <t>LUDVIKA</t>
        </is>
      </c>
      <c r="H94" t="inlineStr">
        <is>
          <t>Övriga Aktiebolag</t>
        </is>
      </c>
      <c r="I94" t="n">
        <v>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Spillkråka</t>
        </is>
      </c>
      <c r="W94">
        <f>HYPERLINK("https://klasma.github.io/Logging_2085/artfynd/A 11755-2023 artfynd.xlsx", "A 11755-2023")</f>
        <v/>
      </c>
      <c r="X94">
        <f>HYPERLINK("https://klasma.github.io/Logging_2085/kartor/A 11755-2023 karta.png", "A 11755-2023")</f>
        <v/>
      </c>
      <c r="Y94">
        <f>HYPERLINK("https://klasma.github.io/Logging_2085/kartor_geotiff/A 11755-2023 georefererad karta.tif", "A 11755-2023")</f>
        <v/>
      </c>
      <c r="AA94">
        <f>HYPERLINK("https://klasma.github.io/Logging_2085/klagomål/A 11755-2023 FSC-klagomål.docx", "A 11755-2023")</f>
        <v/>
      </c>
      <c r="AB94">
        <f>HYPERLINK("https://klasma.github.io/Logging_2085/klagomålsmail/A 11755-2023 FSC-klagomål mail.docx", "A 11755-2023")</f>
        <v/>
      </c>
      <c r="AC94">
        <f>HYPERLINK("https://klasma.github.io/Logging_2085/tillsyn/A 11755-2023 tillsynsbegäran.docx", "A 11755-2023")</f>
        <v/>
      </c>
      <c r="AD94">
        <f>HYPERLINK("https://klasma.github.io/Logging_2085/tillsynsmail/A 11755-2023 tillsynsbegäran mail.docx", "A 11755-2023")</f>
        <v/>
      </c>
      <c r="AE94">
        <f>HYPERLINK("https://klasma.github.io/Logging_2085/fåglar/A 11755-2023 prioriterade fågelarter.docx", "A 11755-2023")</f>
        <v/>
      </c>
    </row>
    <row r="95" ht="15" customHeight="1">
      <c r="A95" t="inlineStr">
        <is>
          <t>A 3809-2024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46308</v>
      </c>
      <c r="F95" t="inlineStr">
        <is>
          <t>DALARNAS LÄN</t>
        </is>
      </c>
      <c r="G95" t="inlineStr">
        <is>
          <t>LUDVIKA</t>
        </is>
      </c>
      <c r="I95" t="n">
        <v>0.5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8</v>
      </c>
      <c r="U95" t="n">
        <v>8</v>
      </c>
      <c r="V95" s="2" t="inlineStr">
        <is>
          <t>Nordfladdermus
Fläcknycklar</t>
        </is>
      </c>
      <c r="W95">
        <f>HYPERLINK("https://klasma.github.io/Logging_2085/artfynd/A 3809-2024 artfynd.xlsx", "A 3809-2024")</f>
        <v/>
      </c>
      <c r="X95">
        <f>HYPERLINK("https://klasma.github.io/Logging_2085/kartor/A 3809-2024 karta.png", "A 3809-2024")</f>
        <v/>
      </c>
      <c r="Y95">
        <f>HYPERLINK("https://klasma.github.io/Logging_2085/kartor_geotiff/A 3809-2024 georefererad karta.tif", "A 3809-2024")</f>
        <v/>
      </c>
      <c r="AA95">
        <f>HYPERLINK("https://klasma.github.io/Logging_2085/klagomål/A 3809-2024 FSC-klagomål.docx", "A 3809-2024")</f>
        <v/>
      </c>
      <c r="AB95">
        <f>HYPERLINK("https://klasma.github.io/Logging_2085/klagomålsmail/A 3809-2024 FSC-klagomål mail.docx", "A 3809-2024")</f>
        <v/>
      </c>
      <c r="AC95">
        <f>HYPERLINK("https://klasma.github.io/Logging_2085/tillsyn/A 3809-2024 tillsynsbegäran.docx", "A 3809-2024")</f>
        <v/>
      </c>
      <c r="AD95">
        <f>HYPERLINK("https://klasma.github.io/Logging_2085/tillsynsmail/A 3809-2024 tillsynsbegäran mail.docx", "A 3809-2024")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46308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46308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46308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46308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46308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25159-2026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46175</v>
      </c>
      <c r="E101" s="1" t="n">
        <v>46308</v>
      </c>
      <c r="F101" t="inlineStr">
        <is>
          <t>DALARNAS LÄN</t>
        </is>
      </c>
      <c r="G101" t="inlineStr">
        <is>
          <t>LUDVIKA</t>
        </is>
      </c>
      <c r="I101" t="n">
        <v>2.3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Tibast</t>
        </is>
      </c>
      <c r="W101">
        <f>HYPERLINK("https://klasma.github.io/Logging_2085/artfynd/A 25159-2026 artfynd.xlsx", "A 25159-2026")</f>
        <v/>
      </c>
      <c r="X101">
        <f>HYPERLINK("https://klasma.github.io/Logging_2085/kartor/A 25159-2026 karta.png", "A 25159-2026")</f>
        <v/>
      </c>
      <c r="Y101">
        <f>HYPERLINK("https://klasma.github.io/Logging_2085/kartor_geotiff/A 25159-2026 georefererad karta.tif", "A 25159-2026")</f>
        <v/>
      </c>
      <c r="AA101">
        <f>HYPERLINK("https://klasma.github.io/Logging_2085/klagomål/A 25159-2026 FSC-klagomål.docx", "A 25159-2026")</f>
        <v/>
      </c>
      <c r="AB101">
        <f>HYPERLINK("https://klasma.github.io/Logging_2085/klagomålsmail/A 25159-2026 FSC-klagomål mail.docx", "A 25159-2026")</f>
        <v/>
      </c>
      <c r="AC101">
        <f>HYPERLINK("https://klasma.github.io/Logging_2085/tillsyn/A 25159-2026 tillsynsbegäran.docx", "A 25159-2026")</f>
        <v/>
      </c>
      <c r="AD101">
        <f>HYPERLINK("https://klasma.github.io/Logging_2085/tillsynsmail/A 25159-2026 tillsynsbegäran mail.docx", "A 25159-2026")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46308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36050-2025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45866</v>
      </c>
      <c r="E103" s="1" t="n">
        <v>46308</v>
      </c>
      <c r="F103" t="inlineStr">
        <is>
          <t>DALARNAS LÄN</t>
        </is>
      </c>
      <c r="G103" t="inlineStr">
        <is>
          <t>LUDVIKA</t>
        </is>
      </c>
      <c r="I103" t="n">
        <v>1.4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hackspett</t>
        </is>
      </c>
      <c r="W103">
        <f>HYPERLINK("https://klasma.github.io/Logging_2085/artfynd/A 36050-2025 artfynd.xlsx", "A 36050-2025")</f>
        <v/>
      </c>
      <c r="X103">
        <f>HYPERLINK("https://klasma.github.io/Logging_2085/kartor/A 36050-2025 karta.png", "A 36050-2025")</f>
        <v/>
      </c>
      <c r="Y103">
        <f>HYPERLINK("https://klasma.github.io/Logging_2085/kartor_geotiff/A 36050-2025 georefererad karta.tif", "A 36050-2025")</f>
        <v/>
      </c>
      <c r="AA103">
        <f>HYPERLINK("https://klasma.github.io/Logging_2085/klagomål/A 36050-2025 FSC-klagomål.docx", "A 36050-2025")</f>
        <v/>
      </c>
      <c r="AB103">
        <f>HYPERLINK("https://klasma.github.io/Logging_2085/klagomålsmail/A 36050-2025 FSC-klagomål mail.docx", "A 36050-2025")</f>
        <v/>
      </c>
      <c r="AC103">
        <f>HYPERLINK("https://klasma.github.io/Logging_2085/tillsyn/A 36050-2025 tillsynsbegäran.docx", "A 36050-2025")</f>
        <v/>
      </c>
      <c r="AD103">
        <f>HYPERLINK("https://klasma.github.io/Logging_2085/tillsynsmail/A 36050-2025 tillsynsbegäran mail.docx", "A 36050-2025")</f>
        <v/>
      </c>
      <c r="AE103">
        <f>HYPERLINK("https://klasma.github.io/Logging_2085/fåglar/A 36050-2025 prioriterade fågelarter.docx", "A 36050-2025")</f>
        <v/>
      </c>
    </row>
    <row r="104" ht="15" customHeight="1">
      <c r="A104" t="inlineStr">
        <is>
          <t>A 29882-2024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45486</v>
      </c>
      <c r="E104" s="1" t="n">
        <v>46308</v>
      </c>
      <c r="F104" t="inlineStr">
        <is>
          <t>DALARNAS LÄN</t>
        </is>
      </c>
      <c r="G104" t="inlineStr">
        <is>
          <t>LUDVIKA</t>
        </is>
      </c>
      <c r="I104" t="n">
        <v>1.3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HYPERLINK("https://klasma.github.io/Logging_2085/artfynd/A 29882-2024 artfynd.xlsx", "A 29882-2024")</f>
        <v/>
      </c>
      <c r="X104">
        <f>HYPERLINK("https://klasma.github.io/Logging_2085/kartor/A 29882-2024 karta.png", "A 29882-2024")</f>
        <v/>
      </c>
      <c r="Y104">
        <f>HYPERLINK("https://klasma.github.io/Logging_2085/kartor_geotiff/A 29882-2024 georefererad karta.tif", "A 29882-2024")</f>
        <v/>
      </c>
      <c r="AA104">
        <f>HYPERLINK("https://klasma.github.io/Logging_2085/klagomål/A 29882-2024 FSC-klagomål.docx", "A 29882-2024")</f>
        <v/>
      </c>
      <c r="AB104">
        <f>HYPERLINK("https://klasma.github.io/Logging_2085/klagomålsmail/A 29882-2024 FSC-klagomål mail.docx", "A 29882-2024")</f>
        <v/>
      </c>
      <c r="AC104">
        <f>HYPERLINK("https://klasma.github.io/Logging_2085/tillsyn/A 29882-2024 tillsynsbegäran.docx", "A 29882-2024")</f>
        <v/>
      </c>
      <c r="AD104">
        <f>HYPERLINK("https://klasma.github.io/Logging_2085/tillsynsmail/A 29882-2024 tillsynsbegäran mail.docx", "A 29882-2024")</f>
        <v/>
      </c>
      <c r="AE104">
        <f>HYPERLINK("https://klasma.github.io/Logging_2085/fåglar/A 29882-2024 prioriterade fågelarter.docx", "A 29882-2024")</f>
        <v/>
      </c>
    </row>
    <row r="105" ht="15" customHeight="1">
      <c r="A105" t="inlineStr">
        <is>
          <t>A 23102-2025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46308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HYPERLINK("https://klasma.github.io/Logging_2085/artfynd/A 23102-2025 artfynd.xlsx", "A 23102-2025")</f>
        <v/>
      </c>
      <c r="X105">
        <f>HYPERLINK("https://klasma.github.io/Logging_2085/kartor/A 23102-2025 karta.png", "A 23102-2025")</f>
        <v/>
      </c>
      <c r="Y105">
        <f>HYPERLINK("https://klasma.github.io/Logging_2085/kartor_geotiff/A 23102-2025 georefererad karta.tif", "A 23102-2025")</f>
        <v/>
      </c>
      <c r="AA105">
        <f>HYPERLINK("https://klasma.github.io/Logging_2085/klagomål/A 23102-2025 FSC-klagomål.docx", "A 23102-2025")</f>
        <v/>
      </c>
      <c r="AB105">
        <f>HYPERLINK("https://klasma.github.io/Logging_2085/klagomålsmail/A 23102-2025 FSC-klagomål mail.docx", "A 23102-2025")</f>
        <v/>
      </c>
      <c r="AC105">
        <f>HYPERLINK("https://klasma.github.io/Logging_2085/tillsyn/A 23102-2025 tillsynsbegäran.docx", "A 23102-2025")</f>
        <v/>
      </c>
      <c r="AD105">
        <f>HYPERLINK("https://klasma.github.io/Logging_2085/tillsynsmail/A 23102-2025 tillsynsbegäran mail.docx", "A 23102-2025")</f>
        <v/>
      </c>
    </row>
    <row r="106" ht="15" customHeight="1">
      <c r="A106" t="inlineStr">
        <is>
          <t>A 31352-2026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46308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Tvåblad</t>
        </is>
      </c>
      <c r="W106">
        <f>HYPERLINK("https://klasma.github.io/Logging_2085/artfynd/A 31352-2026 artfynd.xlsx", "A 31352-2026")</f>
        <v/>
      </c>
      <c r="X106">
        <f>HYPERLINK("https://klasma.github.io/Logging_2085/kartor/A 31352-2026 karta.png", "A 31352-2026")</f>
        <v/>
      </c>
      <c r="Y106">
        <f>HYPERLINK("https://klasma.github.io/Logging_2085/kartor_geotiff/A 31352-2026 georefererad karta.tif", "A 31352-2026")</f>
        <v/>
      </c>
      <c r="AA106">
        <f>HYPERLINK("https://klasma.github.io/Logging_2085/klagomål/A 31352-2026 FSC-klagomål.docx", "A 31352-2026")</f>
        <v/>
      </c>
      <c r="AB106">
        <f>HYPERLINK("https://klasma.github.io/Logging_2085/klagomålsmail/A 31352-2026 FSC-klagomål mail.docx", "A 31352-2026")</f>
        <v/>
      </c>
      <c r="AC106">
        <f>HYPERLINK("https://klasma.github.io/Logging_2085/tillsyn/A 31352-2026 tillsynsbegäran.docx", "A 31352-2026")</f>
        <v/>
      </c>
      <c r="AD106">
        <f>HYPERLINK("https://klasma.github.io/Logging_2085/tillsynsmail/A 31352-2026 tillsynsbegäran mail.docx", "A 31352-2026")</f>
        <v/>
      </c>
    </row>
    <row r="107" ht="15" customHeight="1">
      <c r="A107" t="inlineStr">
        <is>
          <t>A 59873-2025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46308</v>
      </c>
      <c r="F107" t="inlineStr">
        <is>
          <t>DALARNAS LÄN</t>
        </is>
      </c>
      <c r="G107" t="inlineStr">
        <is>
          <t>LUDVIKA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Lateritticka</t>
        </is>
      </c>
      <c r="W107">
        <f>HYPERLINK("https://klasma.github.io/Logging_2085/artfynd/A 59873-2025 artfynd.xlsx", "A 59873-2025")</f>
        <v/>
      </c>
      <c r="X107">
        <f>HYPERLINK("https://klasma.github.io/Logging_2085/kartor/A 59873-2025 karta.png", "A 59873-2025")</f>
        <v/>
      </c>
      <c r="Y107">
        <f>HYPERLINK("https://klasma.github.io/Logging_2085/kartor_geotiff/A 59873-2025 georefererad karta.tif", "A 59873-2025")</f>
        <v/>
      </c>
      <c r="AA107">
        <f>HYPERLINK("https://klasma.github.io/Logging_2085/klagomål/A 59873-2025 FSC-klagomål.docx", "A 59873-2025")</f>
        <v/>
      </c>
      <c r="AB107">
        <f>HYPERLINK("https://klasma.github.io/Logging_2085/klagomålsmail/A 59873-2025 FSC-klagomål mail.docx", "A 59873-2025")</f>
        <v/>
      </c>
      <c r="AC107">
        <f>HYPERLINK("https://klasma.github.io/Logging_2085/tillsyn/A 59873-2025 tillsynsbegäran.docx", "A 59873-2025")</f>
        <v/>
      </c>
      <c r="AD107">
        <f>HYPERLINK("https://klasma.github.io/Logging_2085/tillsynsmail/A 59873-2025 tillsynsbegäran mail.docx", "A 59873-2025")</f>
        <v/>
      </c>
    </row>
    <row r="108" ht="15" customHeight="1">
      <c r="A108" t="inlineStr">
        <is>
          <t>A 62676-2025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46308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Kolflarnlav</t>
        </is>
      </c>
      <c r="W108">
        <f>HYPERLINK("https://klasma.github.io/Logging_2085/artfynd/A 62676-2025 artfynd.xlsx", "A 62676-2025")</f>
        <v/>
      </c>
      <c r="X108">
        <f>HYPERLINK("https://klasma.github.io/Logging_2085/kartor/A 62676-2025 karta.png", "A 62676-2025")</f>
        <v/>
      </c>
      <c r="Y108">
        <f>HYPERLINK("https://klasma.github.io/Logging_2085/kartor_geotiff/A 62676-2025 georefererad karta.tif", "A 62676-2025")</f>
        <v/>
      </c>
      <c r="AA108">
        <f>HYPERLINK("https://klasma.github.io/Logging_2085/klagomål/A 62676-2025 FSC-klagomål.docx", "A 62676-2025")</f>
        <v/>
      </c>
      <c r="AB108">
        <f>HYPERLINK("https://klasma.github.io/Logging_2085/klagomålsmail/A 62676-2025 FSC-klagomål mail.docx", "A 62676-2025")</f>
        <v/>
      </c>
      <c r="AC108">
        <f>HYPERLINK("https://klasma.github.io/Logging_2085/tillsyn/A 62676-2025 tillsynsbegäran.docx", "A 62676-2025")</f>
        <v/>
      </c>
      <c r="AD108">
        <f>HYPERLINK("https://klasma.github.io/Logging_2085/tillsynsmail/A 62676-2025 tillsynsbegäran mail.docx", "A 62676-2025")</f>
        <v/>
      </c>
    </row>
    <row r="109" ht="15" customHeight="1">
      <c r="A109" t="inlineStr">
        <is>
          <t>A 18189-2025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46308</v>
      </c>
      <c r="F109" t="inlineStr">
        <is>
          <t>DALARNAS LÄN</t>
        </is>
      </c>
      <c r="G109" t="inlineStr">
        <is>
          <t>LUDVIKA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HYPERLINK("https://klasma.github.io/Logging_2085/artfynd/A 18189-2025 artfynd.xlsx", "A 18189-2025")</f>
        <v/>
      </c>
      <c r="X109">
        <f>HYPERLINK("https://klasma.github.io/Logging_2085/kartor/A 18189-2025 karta.png", "A 18189-2025")</f>
        <v/>
      </c>
      <c r="Y109">
        <f>HYPERLINK("https://klasma.github.io/Logging_2085/kartor_geotiff/A 18189-2025 georefererad karta.tif", "A 18189-2025")</f>
        <v/>
      </c>
      <c r="AA109">
        <f>HYPERLINK("https://klasma.github.io/Logging_2085/klagomål/A 18189-2025 FSC-klagomål.docx", "A 18189-2025")</f>
        <v/>
      </c>
      <c r="AB109">
        <f>HYPERLINK("https://klasma.github.io/Logging_2085/klagomålsmail/A 18189-2025 FSC-klagomål mail.docx", "A 18189-2025")</f>
        <v/>
      </c>
      <c r="AC109">
        <f>HYPERLINK("https://klasma.github.io/Logging_2085/tillsyn/A 18189-2025 tillsynsbegäran.docx", "A 18189-2025")</f>
        <v/>
      </c>
      <c r="AD109">
        <f>HYPERLINK("https://klasma.github.io/Logging_2085/tillsynsmail/A 18189-2025 tillsynsbegäran mail.docx", "A 18189-2025")</f>
        <v/>
      </c>
    </row>
    <row r="110" ht="15" customHeight="1">
      <c r="A110" t="inlineStr">
        <is>
          <t>A 37560-2026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46276</v>
      </c>
      <c r="E110" s="1" t="n">
        <v>46308</v>
      </c>
      <c r="F110" t="inlineStr">
        <is>
          <t>DALARNAS LÄN</t>
        </is>
      </c>
      <c r="G110" t="inlineStr">
        <is>
          <t>LUDVIKA</t>
        </is>
      </c>
      <c r="H110" t="inlineStr">
        <is>
          <t>Naturvårdsverket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HYPERLINK("https://klasma.github.io/Logging_2085/artfynd/A 37560-2026 artfynd.xlsx", "A 37560-2026")</f>
        <v/>
      </c>
      <c r="X110">
        <f>HYPERLINK("https://klasma.github.io/Logging_2085/kartor/A 37560-2026 karta.png", "A 37560-2026")</f>
        <v/>
      </c>
      <c r="Y110">
        <f>HYPERLINK("https://klasma.github.io/Logging_2085/kartor_geotiff/A 37560-2026 georefererad karta.tif", "A 37560-2026")</f>
        <v/>
      </c>
      <c r="AA110">
        <f>HYPERLINK("https://klasma.github.io/Logging_2085/klagomål/A 37560-2026 FSC-klagomål.docx", "A 37560-2026")</f>
        <v/>
      </c>
      <c r="AB110">
        <f>HYPERLINK("https://klasma.github.io/Logging_2085/klagomålsmail/A 37560-2026 FSC-klagomål mail.docx", "A 37560-2026")</f>
        <v/>
      </c>
      <c r="AC110">
        <f>HYPERLINK("https://klasma.github.io/Logging_2085/tillsyn/A 37560-2026 tillsynsbegäran.docx", "A 37560-2026")</f>
        <v/>
      </c>
      <c r="AD110">
        <f>HYPERLINK("https://klasma.github.io/Logging_2085/tillsynsmail/A 37560-2026 tillsynsbegäran mail.docx", "A 37560-2026")</f>
        <v/>
      </c>
    </row>
    <row r="111" ht="15" customHeight="1">
      <c r="A111" t="inlineStr">
        <is>
          <t>A 44578-2023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46308</v>
      </c>
      <c r="F111" t="inlineStr">
        <is>
          <t>DALARNAS LÄN</t>
        </is>
      </c>
      <c r="G111" t="inlineStr">
        <is>
          <t>LUDVIKA</t>
        </is>
      </c>
      <c r="H111" t="inlineStr">
        <is>
          <t>Övriga Aktiebolag</t>
        </is>
      </c>
      <c r="I111" t="n">
        <v>12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Dofttaggsvamp</t>
        </is>
      </c>
      <c r="W111">
        <f>HYPERLINK("https://klasma.github.io/Logging_2085/artfynd/A 44578-2023 artfynd.xlsx", "A 44578-2023")</f>
        <v/>
      </c>
      <c r="X111">
        <f>HYPERLINK("https://klasma.github.io/Logging_2085/kartor/A 44578-2023 karta.png", "A 44578-2023")</f>
        <v/>
      </c>
      <c r="Y111">
        <f>HYPERLINK("https://klasma.github.io/Logging_2085/kartor_geotiff/A 44578-2023 georefererad karta.tif", "A 44578-2023")</f>
        <v/>
      </c>
      <c r="AA111">
        <f>HYPERLINK("https://klasma.github.io/Logging_2085/klagomål/A 44578-2023 FSC-klagomål.docx", "A 44578-2023")</f>
        <v/>
      </c>
      <c r="AB111">
        <f>HYPERLINK("https://klasma.github.io/Logging_2085/klagomålsmail/A 44578-2023 FSC-klagomål mail.docx", "A 44578-2023")</f>
        <v/>
      </c>
      <c r="AC111">
        <f>HYPERLINK("https://klasma.github.io/Logging_2085/tillsyn/A 44578-2023 tillsynsbegäran.docx", "A 44578-2023")</f>
        <v/>
      </c>
      <c r="AD111">
        <f>HYPERLINK("https://klasma.github.io/Logging_2085/tillsynsmail/A 44578-2023 tillsynsbegäran mail.docx", "A 44578-2023")</f>
        <v/>
      </c>
    </row>
    <row r="112" ht="15" customHeight="1">
      <c r="A112" t="inlineStr">
        <is>
          <t>A 59947-2025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46308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0.5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Tjäder</t>
        </is>
      </c>
      <c r="W112">
        <f>HYPERLINK("https://klasma.github.io/Logging_2085/artfynd/A 59947-2025 artfynd.xlsx", "A 59947-2025")</f>
        <v/>
      </c>
      <c r="X112">
        <f>HYPERLINK("https://klasma.github.io/Logging_2085/kartor/A 59947-2025 karta.png", "A 59947-2025")</f>
        <v/>
      </c>
      <c r="Y112">
        <f>HYPERLINK("https://klasma.github.io/Logging_2085/kartor_geotiff/A 59947-2025 georefererad karta.tif", "A 59947-2025")</f>
        <v/>
      </c>
      <c r="AA112">
        <f>HYPERLINK("https://klasma.github.io/Logging_2085/klagomål/A 59947-2025 FSC-klagomål.docx", "A 59947-2025")</f>
        <v/>
      </c>
      <c r="AB112">
        <f>HYPERLINK("https://klasma.github.io/Logging_2085/klagomålsmail/A 59947-2025 FSC-klagomål mail.docx", "A 59947-2025")</f>
        <v/>
      </c>
      <c r="AC112">
        <f>HYPERLINK("https://klasma.github.io/Logging_2085/tillsyn/A 59947-2025 tillsynsbegäran.docx", "A 59947-2025")</f>
        <v/>
      </c>
      <c r="AD112">
        <f>HYPERLINK("https://klasma.github.io/Logging_2085/tillsynsmail/A 59947-2025 tillsynsbegäran mail.docx", "A 59947-2025")</f>
        <v/>
      </c>
      <c r="AE112">
        <f>HYPERLINK("https://klasma.github.io/Logging_2085/fåglar/A 59947-2025 prioriterade fågelarter.docx", "A 59947-2025")</f>
        <v/>
      </c>
    </row>
    <row r="113" ht="15" customHeight="1">
      <c r="A113" t="inlineStr">
        <is>
          <t>A 29733-2025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46308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10.4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Stuplav</t>
        </is>
      </c>
      <c r="W113">
        <f>HYPERLINK("https://klasma.github.io/Logging_2085/artfynd/A 29733-2025 artfynd.xlsx", "A 29733-2025")</f>
        <v/>
      </c>
      <c r="X113">
        <f>HYPERLINK("https://klasma.github.io/Logging_2085/kartor/A 29733-2025 karta.png", "A 29733-2025")</f>
        <v/>
      </c>
      <c r="Y113">
        <f>HYPERLINK("https://klasma.github.io/Logging_2085/kartor_geotiff/A 29733-2025 georefererad karta.tif", "A 29733-2025")</f>
        <v/>
      </c>
      <c r="AA113">
        <f>HYPERLINK("https://klasma.github.io/Logging_2085/klagomål/A 29733-2025 FSC-klagomål.docx", "A 29733-2025")</f>
        <v/>
      </c>
      <c r="AB113">
        <f>HYPERLINK("https://klasma.github.io/Logging_2085/klagomålsmail/A 29733-2025 FSC-klagomål mail.docx", "A 29733-2025")</f>
        <v/>
      </c>
      <c r="AC113">
        <f>HYPERLINK("https://klasma.github.io/Logging_2085/tillsyn/A 29733-2025 tillsynsbegäran.docx", "A 29733-2025")</f>
        <v/>
      </c>
      <c r="AD113">
        <f>HYPERLINK("https://klasma.github.io/Logging_2085/tillsynsmail/A 29733-2025 tillsynsbegäran mail.docx", "A 29733-2025")</f>
        <v/>
      </c>
    </row>
    <row r="114" ht="15" customHeight="1">
      <c r="A114" t="inlineStr">
        <is>
          <t>A 74401-2021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46308</v>
      </c>
      <c r="F114" t="inlineStr">
        <is>
          <t>DALARNAS LÄN</t>
        </is>
      </c>
      <c r="G114" t="inlineStr">
        <is>
          <t>LUDVIKA</t>
        </is>
      </c>
      <c r="H114" t="inlineStr">
        <is>
          <t>Kommuner</t>
        </is>
      </c>
      <c r="I114" t="n">
        <v>0.6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Gullgröppa</t>
        </is>
      </c>
      <c r="W114">
        <f>HYPERLINK("https://klasma.github.io/Logging_2085/artfynd/A 74401-2021 artfynd.xlsx", "A 74401-2021")</f>
        <v/>
      </c>
      <c r="X114">
        <f>HYPERLINK("https://klasma.github.io/Logging_2085/kartor/A 74401-2021 karta.png", "A 74401-2021")</f>
        <v/>
      </c>
      <c r="Y114">
        <f>HYPERLINK("https://klasma.github.io/Logging_2085/kartor_geotiff/A 74401-2021 georefererad karta.tif", "A 74401-2021")</f>
        <v/>
      </c>
      <c r="AA114">
        <f>HYPERLINK("https://klasma.github.io/Logging_2085/klagomål/A 74401-2021 FSC-klagomål.docx", "A 74401-2021")</f>
        <v/>
      </c>
      <c r="AB114">
        <f>HYPERLINK("https://klasma.github.io/Logging_2085/klagomålsmail/A 74401-2021 FSC-klagomål mail.docx", "A 74401-2021")</f>
        <v/>
      </c>
      <c r="AC114">
        <f>HYPERLINK("https://klasma.github.io/Logging_2085/tillsyn/A 74401-2021 tillsynsbegäran.docx", "A 74401-2021")</f>
        <v/>
      </c>
      <c r="AD114">
        <f>HYPERLINK("https://klasma.github.io/Logging_2085/tillsynsmail/A 74401-2021 tillsynsbegäran mail.docx", "A 74401-2021")</f>
        <v/>
      </c>
    </row>
    <row r="115" ht="15" customHeight="1">
      <c r="A115" t="inlineStr">
        <is>
          <t>A 33399-2026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46247</v>
      </c>
      <c r="E115" s="1" t="n">
        <v>46308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Järpe</t>
        </is>
      </c>
      <c r="W115">
        <f>HYPERLINK("https://klasma.github.io/Logging_2085/artfynd/A 33399-2026 artfynd.xlsx", "A 33399-2026")</f>
        <v/>
      </c>
      <c r="X115">
        <f>HYPERLINK("https://klasma.github.io/Logging_2085/kartor/A 33399-2026 karta.png", "A 33399-2026")</f>
        <v/>
      </c>
      <c r="Y115">
        <f>HYPERLINK("https://klasma.github.io/Logging_2085/kartor_geotiff/A 33399-2026 georefererad karta.tif", "A 33399-2026")</f>
        <v/>
      </c>
      <c r="AA115">
        <f>HYPERLINK("https://klasma.github.io/Logging_2085/klagomål/A 33399-2026 FSC-klagomål.docx", "A 33399-2026")</f>
        <v/>
      </c>
      <c r="AB115">
        <f>HYPERLINK("https://klasma.github.io/Logging_2085/klagomålsmail/A 33399-2026 FSC-klagomål mail.docx", "A 33399-2026")</f>
        <v/>
      </c>
      <c r="AC115">
        <f>HYPERLINK("https://klasma.github.io/Logging_2085/tillsyn/A 33399-2026 tillsynsbegäran.docx", "A 33399-2026")</f>
        <v/>
      </c>
      <c r="AD115">
        <f>HYPERLINK("https://klasma.github.io/Logging_2085/tillsynsmail/A 33399-2026 tillsynsbegäran mail.docx", "A 33399-2026")</f>
        <v/>
      </c>
      <c r="AE115">
        <f>HYPERLINK("https://klasma.github.io/Logging_2085/fåglar/A 33399-2026 prioriterade fågelarter.docx", "A 33399-2026")</f>
        <v/>
      </c>
    </row>
    <row r="116" ht="15" customHeight="1">
      <c r="A116" t="inlineStr">
        <is>
          <t>A 6579-2023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44960</v>
      </c>
      <c r="E116" s="1" t="n">
        <v>46308</v>
      </c>
      <c r="F116" t="inlineStr">
        <is>
          <t>DALARNAS LÄN</t>
        </is>
      </c>
      <c r="G116" t="inlineStr">
        <is>
          <t>LUDVIKA</t>
        </is>
      </c>
      <c r="I116" t="n">
        <v>3.4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HYPERLINK("https://klasma.github.io/Logging_2085/artfynd/A 6579-2023 artfynd.xlsx", "A 6579-2023")</f>
        <v/>
      </c>
      <c r="X116">
        <f>HYPERLINK("https://klasma.github.io/Logging_2085/kartor/A 6579-2023 karta.png", "A 6579-2023")</f>
        <v/>
      </c>
      <c r="Y116">
        <f>HYPERLINK("https://klasma.github.io/Logging_2085/kartor_geotiff/A 6579-2023 georefererad karta.tif", "A 6579-2023")</f>
        <v/>
      </c>
      <c r="AA116">
        <f>HYPERLINK("https://klasma.github.io/Logging_2085/klagomål/A 6579-2023 FSC-klagomål.docx", "A 6579-2023")</f>
        <v/>
      </c>
      <c r="AB116">
        <f>HYPERLINK("https://klasma.github.io/Logging_2085/klagomålsmail/A 6579-2023 FSC-klagomål mail.docx", "A 6579-2023")</f>
        <v/>
      </c>
      <c r="AC116">
        <f>HYPERLINK("https://klasma.github.io/Logging_2085/tillsyn/A 6579-2023 tillsynsbegäran.docx", "A 6579-2023")</f>
        <v/>
      </c>
      <c r="AD116">
        <f>HYPERLINK("https://klasma.github.io/Logging_2085/tillsynsmail/A 6579-2023 tillsynsbegäran mail.docx", "A 6579-2023")</f>
        <v/>
      </c>
    </row>
    <row r="117" ht="15" customHeight="1">
      <c r="A117" t="inlineStr">
        <is>
          <t>A 55550-2022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46308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Ögonpyrola</t>
        </is>
      </c>
      <c r="W117">
        <f>HYPERLINK("https://klasma.github.io/Logging_2085/artfynd/A 55550-2022 artfynd.xlsx", "A 55550-2022")</f>
        <v/>
      </c>
      <c r="X117">
        <f>HYPERLINK("https://klasma.github.io/Logging_2085/kartor/A 55550-2022 karta.png", "A 55550-2022")</f>
        <v/>
      </c>
      <c r="Y117">
        <f>HYPERLINK("https://klasma.github.io/Logging_2085/kartor_geotiff/A 55550-2022 georefererad karta.tif", "A 55550-2022")</f>
        <v/>
      </c>
      <c r="AA117">
        <f>HYPERLINK("https://klasma.github.io/Logging_2085/klagomål/A 55550-2022 FSC-klagomål.docx", "A 55550-2022")</f>
        <v/>
      </c>
      <c r="AB117">
        <f>HYPERLINK("https://klasma.github.io/Logging_2085/klagomålsmail/A 55550-2022 FSC-klagomål mail.docx", "A 55550-2022")</f>
        <v/>
      </c>
      <c r="AC117">
        <f>HYPERLINK("https://klasma.github.io/Logging_2085/tillsyn/A 55550-2022 tillsynsbegäran.docx", "A 55550-2022")</f>
        <v/>
      </c>
      <c r="AD117">
        <f>HYPERLINK("https://klasma.github.io/Logging_2085/tillsynsmail/A 55550-2022 tillsynsbegäran mail.docx", "A 55550-2022")</f>
        <v/>
      </c>
    </row>
    <row r="118" ht="15" customHeight="1">
      <c r="A118" t="inlineStr">
        <is>
          <t>A 49660-2024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45596</v>
      </c>
      <c r="E118" s="1" t="n">
        <v>46308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0.9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Mörk husmossa</t>
        </is>
      </c>
      <c r="W118">
        <f>HYPERLINK("https://klasma.github.io/Logging_2085/artfynd/A 49660-2024 artfynd.xlsx", "A 49660-2024")</f>
        <v/>
      </c>
      <c r="X118">
        <f>HYPERLINK("https://klasma.github.io/Logging_2085/kartor/A 49660-2024 karta.png", "A 49660-2024")</f>
        <v/>
      </c>
      <c r="Y118">
        <f>HYPERLINK("https://klasma.github.io/Logging_2085/kartor_geotiff/A 49660-2024 georefererad karta.tif", "A 49660-2024")</f>
        <v/>
      </c>
      <c r="AA118">
        <f>HYPERLINK("https://klasma.github.io/Logging_2085/klagomål/A 49660-2024 FSC-klagomål.docx", "A 49660-2024")</f>
        <v/>
      </c>
      <c r="AB118">
        <f>HYPERLINK("https://klasma.github.io/Logging_2085/klagomålsmail/A 49660-2024 FSC-klagomål mail.docx", "A 49660-2024")</f>
        <v/>
      </c>
      <c r="AC118">
        <f>HYPERLINK("https://klasma.github.io/Logging_2085/tillsyn/A 49660-2024 tillsynsbegäran.docx", "A 49660-2024")</f>
        <v/>
      </c>
      <c r="AD118">
        <f>HYPERLINK("https://klasma.github.io/Logging_2085/tillsynsmail/A 49660-2024 tillsynsbegäran mail.docx", "A 49660-2024")</f>
        <v/>
      </c>
    </row>
    <row r="119" ht="15" customHeight="1">
      <c r="A119" t="inlineStr">
        <is>
          <t>A 60787-2024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46308</v>
      </c>
      <c r="F119" t="inlineStr">
        <is>
          <t>DALARNAS LÄN</t>
        </is>
      </c>
      <c r="G119" t="inlineStr">
        <is>
          <t>LUDVIKA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Järpe</t>
        </is>
      </c>
      <c r="W119">
        <f>HYPERLINK("https://klasma.github.io/Logging_2085/artfynd/A 60787-2024 artfynd.xlsx", "A 60787-2024")</f>
        <v/>
      </c>
      <c r="X119">
        <f>HYPERLINK("https://klasma.github.io/Logging_2085/kartor/A 60787-2024 karta.png", "A 60787-2024")</f>
        <v/>
      </c>
      <c r="Y119">
        <f>HYPERLINK("https://klasma.github.io/Logging_2085/kartor_geotiff/A 60787-2024 georefererad karta.tif", "A 60787-2024")</f>
        <v/>
      </c>
      <c r="AA119">
        <f>HYPERLINK("https://klasma.github.io/Logging_2085/klagomål/A 60787-2024 FSC-klagomål.docx", "A 60787-2024")</f>
        <v/>
      </c>
      <c r="AB119">
        <f>HYPERLINK("https://klasma.github.io/Logging_2085/klagomålsmail/A 60787-2024 FSC-klagomål mail.docx", "A 60787-2024")</f>
        <v/>
      </c>
      <c r="AC119">
        <f>HYPERLINK("https://klasma.github.io/Logging_2085/tillsyn/A 60787-2024 tillsynsbegäran.docx", "A 60787-2024")</f>
        <v/>
      </c>
      <c r="AD119">
        <f>HYPERLINK("https://klasma.github.io/Logging_2085/tillsynsmail/A 60787-2024 tillsynsbegäran mail.docx", "A 60787-2024")</f>
        <v/>
      </c>
      <c r="AE119">
        <f>HYPERLINK("https://klasma.github.io/Logging_2085/fåglar/A 60787-2024 prioriterade fågelarter.docx", "A 60787-2024")</f>
        <v/>
      </c>
    </row>
    <row r="120" ht="15" customHeight="1">
      <c r="A120" t="inlineStr">
        <is>
          <t>A 36478-2026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46269</v>
      </c>
      <c r="E120" s="1" t="n">
        <v>46308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Skogsalm</t>
        </is>
      </c>
      <c r="W120">
        <f>HYPERLINK("https://klasma.github.io/Logging_2085/artfynd/A 36478-2026 artfynd.xlsx", "A 36478-2026")</f>
        <v/>
      </c>
      <c r="X120">
        <f>HYPERLINK("https://klasma.github.io/Logging_2085/kartor/A 36478-2026 karta.png", "A 36478-2026")</f>
        <v/>
      </c>
      <c r="Y120">
        <f>HYPERLINK("https://klasma.github.io/Logging_2085/kartor_geotiff/A 36478-2026 georefererad karta.tif", "A 36478-2026")</f>
        <v/>
      </c>
      <c r="AA120">
        <f>HYPERLINK("https://klasma.github.io/Logging_2085/klagomål/A 36478-2026 FSC-klagomål.docx", "A 36478-2026")</f>
        <v/>
      </c>
      <c r="AB120">
        <f>HYPERLINK("https://klasma.github.io/Logging_2085/klagomålsmail/A 36478-2026 FSC-klagomål mail.docx", "A 36478-2026")</f>
        <v/>
      </c>
      <c r="AC120">
        <f>HYPERLINK("https://klasma.github.io/Logging_2085/tillsyn/A 36478-2026 tillsynsbegäran.docx", "A 36478-2026")</f>
        <v/>
      </c>
      <c r="AD120">
        <f>HYPERLINK("https://klasma.github.io/Logging_2085/tillsynsmail/A 36478-2026 tillsynsbegäran mail.docx", "A 36478-2026")</f>
        <v/>
      </c>
    </row>
    <row r="121" ht="15" customHeight="1">
      <c r="A121" t="inlineStr">
        <is>
          <t>A 35652-2026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46265</v>
      </c>
      <c r="E121" s="1" t="n">
        <v>46308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Garnlav</t>
        </is>
      </c>
      <c r="W121">
        <f>HYPERLINK("https://klasma.github.io/Logging_2085/artfynd/A 35652-2026 artfynd.xlsx", "A 35652-2026")</f>
        <v/>
      </c>
      <c r="X121">
        <f>HYPERLINK("https://klasma.github.io/Logging_2085/kartor/A 35652-2026 karta.png", "A 35652-2026")</f>
        <v/>
      </c>
      <c r="Y121">
        <f>HYPERLINK("https://klasma.github.io/Logging_2085/kartor_geotiff/A 35652-2026 georefererad karta.tif", "A 35652-2026")</f>
        <v/>
      </c>
      <c r="AA121">
        <f>HYPERLINK("https://klasma.github.io/Logging_2085/klagomål/A 35652-2026 FSC-klagomål.docx", "A 35652-2026")</f>
        <v/>
      </c>
      <c r="AB121">
        <f>HYPERLINK("https://klasma.github.io/Logging_2085/klagomålsmail/A 35652-2026 FSC-klagomål mail.docx", "A 35652-2026")</f>
        <v/>
      </c>
      <c r="AC121">
        <f>HYPERLINK("https://klasma.github.io/Logging_2085/tillsyn/A 35652-2026 tillsynsbegäran.docx", "A 35652-2026")</f>
        <v/>
      </c>
      <c r="AD121">
        <f>HYPERLINK("https://klasma.github.io/Logging_2085/tillsynsmail/A 35652-2026 tillsynsbegäran mail.docx", "A 35652-2026")</f>
        <v/>
      </c>
    </row>
    <row r="122" ht="15" customHeight="1">
      <c r="A122" t="inlineStr">
        <is>
          <t>A 1047-2023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46308</v>
      </c>
      <c r="F122" t="inlineStr">
        <is>
          <t>DALARNAS LÄN</t>
        </is>
      </c>
      <c r="G122" t="inlineStr">
        <is>
          <t>LUDVIKA</t>
        </is>
      </c>
      <c r="H122" t="inlineStr">
        <is>
          <t>Kommuner</t>
        </is>
      </c>
      <c r="I122" t="n">
        <v>3.2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Ullticka</t>
        </is>
      </c>
      <c r="W122">
        <f>HYPERLINK("https://klasma.github.io/Logging_2085/artfynd/A 1047-2023 artfynd.xlsx", "A 1047-2023")</f>
        <v/>
      </c>
      <c r="X122">
        <f>HYPERLINK("https://klasma.github.io/Logging_2085/kartor/A 1047-2023 karta.png", "A 1047-2023")</f>
        <v/>
      </c>
      <c r="Y122">
        <f>HYPERLINK("https://klasma.github.io/Logging_2085/kartor_geotiff/A 1047-2023 georefererad karta.tif", "A 1047-2023")</f>
        <v/>
      </c>
      <c r="AA122">
        <f>HYPERLINK("https://klasma.github.io/Logging_2085/klagomål/A 1047-2023 FSC-klagomål.docx", "A 1047-2023")</f>
        <v/>
      </c>
      <c r="AB122">
        <f>HYPERLINK("https://klasma.github.io/Logging_2085/klagomålsmail/A 1047-2023 FSC-klagomål mail.docx", "A 1047-2023")</f>
        <v/>
      </c>
      <c r="AC122">
        <f>HYPERLINK("https://klasma.github.io/Logging_2085/tillsyn/A 1047-2023 tillsynsbegäran.docx", "A 1047-2023")</f>
        <v/>
      </c>
      <c r="AD122">
        <f>HYPERLINK("https://klasma.github.io/Logging_2085/tillsynsmail/A 1047-2023 tillsynsbegäran mail.docx", "A 1047-2023")</f>
        <v/>
      </c>
    </row>
    <row r="123" ht="15" customHeight="1">
      <c r="A123" t="inlineStr">
        <is>
          <t>A 3687-2024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46308</v>
      </c>
      <c r="F123" t="inlineStr">
        <is>
          <t>DALARNAS LÄN</t>
        </is>
      </c>
      <c r="G123" t="inlineStr">
        <is>
          <t>LUDVIKA</t>
        </is>
      </c>
      <c r="I123" t="n">
        <v>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Nordfladdermus</t>
        </is>
      </c>
      <c r="W123">
        <f>HYPERLINK("https://klasma.github.io/Logging_2085/artfynd/A 3687-2024 artfynd.xlsx", "A 3687-2024")</f>
        <v/>
      </c>
      <c r="X123">
        <f>HYPERLINK("https://klasma.github.io/Logging_2085/kartor/A 3687-2024 karta.png", "A 3687-2024")</f>
        <v/>
      </c>
      <c r="Y123">
        <f>HYPERLINK("https://klasma.github.io/Logging_2085/kartor_geotiff/A 3687-2024 georefererad karta.tif", "A 3687-2024")</f>
        <v/>
      </c>
      <c r="AA123">
        <f>HYPERLINK("https://klasma.github.io/Logging_2085/klagomål/A 3687-2024 FSC-klagomål.docx", "A 3687-2024")</f>
        <v/>
      </c>
      <c r="AB123">
        <f>HYPERLINK("https://klasma.github.io/Logging_2085/klagomålsmail/A 3687-2024 FSC-klagomål mail.docx", "A 3687-2024")</f>
        <v/>
      </c>
      <c r="AC123">
        <f>HYPERLINK("https://klasma.github.io/Logging_2085/tillsyn/A 3687-2024 tillsynsbegäran.docx", "A 3687-2024")</f>
        <v/>
      </c>
      <c r="AD123">
        <f>HYPERLINK("https://klasma.github.io/Logging_2085/tillsynsmail/A 3687-2024 tillsynsbegäran mail.docx", "A 3687-2024")</f>
        <v/>
      </c>
    </row>
    <row r="124" ht="15" customHeight="1">
      <c r="A124" t="inlineStr">
        <is>
          <t>A 33560-2023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45131</v>
      </c>
      <c r="E124" s="1" t="n">
        <v>46308</v>
      </c>
      <c r="F124" t="inlineStr">
        <is>
          <t>DALARNAS LÄN</t>
        </is>
      </c>
      <c r="G124" t="inlineStr">
        <is>
          <t>LUDVIKA</t>
        </is>
      </c>
      <c r="I124" t="n">
        <v>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Mindre vattensalamander</t>
        </is>
      </c>
      <c r="W124">
        <f>HYPERLINK("https://klasma.github.io/Logging_2085/artfynd/A 33560-2023 artfynd.xlsx", "A 33560-2023")</f>
        <v/>
      </c>
      <c r="X124">
        <f>HYPERLINK("https://klasma.github.io/Logging_2085/kartor/A 33560-2023 karta.png", "A 33560-2023")</f>
        <v/>
      </c>
      <c r="Y124">
        <f>HYPERLINK("https://klasma.github.io/Logging_2085/kartor_geotiff/A 33560-2023 georefererad karta.tif", "A 33560-2023")</f>
        <v/>
      </c>
      <c r="AA124">
        <f>HYPERLINK("https://klasma.github.io/Logging_2085/klagomål/A 33560-2023 FSC-klagomål.docx", "A 33560-2023")</f>
        <v/>
      </c>
      <c r="AB124">
        <f>HYPERLINK("https://klasma.github.io/Logging_2085/klagomålsmail/A 33560-2023 FSC-klagomål mail.docx", "A 33560-2023")</f>
        <v/>
      </c>
      <c r="AC124">
        <f>HYPERLINK("https://klasma.github.io/Logging_2085/tillsyn/A 33560-2023 tillsynsbegäran.docx", "A 33560-2023")</f>
        <v/>
      </c>
      <c r="AD124">
        <f>HYPERLINK("https://klasma.github.io/Logging_2085/tillsynsmail/A 33560-2023 tillsynsbegäran mail.docx", "A 33560-2023")</f>
        <v/>
      </c>
    </row>
    <row r="125" ht="15" customHeight="1">
      <c r="A125" t="inlineStr">
        <is>
          <t>A 26850-2023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46308</v>
      </c>
      <c r="F125" t="inlineStr">
        <is>
          <t>DALARNAS LÄN</t>
        </is>
      </c>
      <c r="G125" t="inlineStr">
        <is>
          <t>LUDVIKA</t>
        </is>
      </c>
      <c r="H125" t="inlineStr">
        <is>
          <t>Naturvårdsverket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HYPERLINK("https://klasma.github.io/Logging_2085/artfynd/A 26850-2023 artfynd.xlsx", "A 26850-2023")</f>
        <v/>
      </c>
      <c r="X125">
        <f>HYPERLINK("https://klasma.github.io/Logging_2085/kartor/A 26850-2023 karta.png", "A 26850-2023")</f>
        <v/>
      </c>
      <c r="Y125">
        <f>HYPERLINK("https://klasma.github.io/Logging_2085/kartor_geotiff/A 26850-2023 georefererad karta.tif", "A 26850-2023")</f>
        <v/>
      </c>
      <c r="AA125">
        <f>HYPERLINK("https://klasma.github.io/Logging_2085/klagomål/A 26850-2023 FSC-klagomål.docx", "A 26850-2023")</f>
        <v/>
      </c>
      <c r="AB125">
        <f>HYPERLINK("https://klasma.github.io/Logging_2085/klagomålsmail/A 26850-2023 FSC-klagomål mail.docx", "A 26850-2023")</f>
        <v/>
      </c>
      <c r="AC125">
        <f>HYPERLINK("https://klasma.github.io/Logging_2085/tillsyn/A 26850-2023 tillsynsbegäran.docx", "A 26850-2023")</f>
        <v/>
      </c>
      <c r="AD125">
        <f>HYPERLINK("https://klasma.github.io/Logging_2085/tillsynsmail/A 26850-2023 tillsynsbegäran mail.docx", "A 26850-2023")</f>
        <v/>
      </c>
    </row>
    <row r="126" ht="15" customHeight="1">
      <c r="A126" t="inlineStr">
        <is>
          <t>A 23720-2026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46308</v>
      </c>
      <c r="F126" t="inlineStr">
        <is>
          <t>DALARNAS LÄN</t>
        </is>
      </c>
      <c r="G126" t="inlineStr">
        <is>
          <t>LUDVIKA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Tretåig hackspett</t>
        </is>
      </c>
      <c r="W126">
        <f>HYPERLINK("https://klasma.github.io/Logging_2085/artfynd/A 23720-2026 artfynd.xlsx", "A 23720-2026")</f>
        <v/>
      </c>
      <c r="X126">
        <f>HYPERLINK("https://klasma.github.io/Logging_2085/kartor/A 23720-2026 karta.png", "A 23720-2026")</f>
        <v/>
      </c>
      <c r="Y126">
        <f>HYPERLINK("https://klasma.github.io/Logging_2085/kartor_geotiff/A 23720-2026 georefererad karta.tif", "A 23720-2026")</f>
        <v/>
      </c>
      <c r="AA126">
        <f>HYPERLINK("https://klasma.github.io/Logging_2085/klagomål/A 23720-2026 FSC-klagomål.docx", "A 23720-2026")</f>
        <v/>
      </c>
      <c r="AB126">
        <f>HYPERLINK("https://klasma.github.io/Logging_2085/klagomålsmail/A 23720-2026 FSC-klagomål mail.docx", "A 23720-2026")</f>
        <v/>
      </c>
      <c r="AC126">
        <f>HYPERLINK("https://klasma.github.io/Logging_2085/tillsyn/A 23720-2026 tillsynsbegäran.docx", "A 23720-2026")</f>
        <v/>
      </c>
      <c r="AD126">
        <f>HYPERLINK("https://klasma.github.io/Logging_2085/tillsynsmail/A 23720-2026 tillsynsbegäran mail.docx", "A 23720-2026")</f>
        <v/>
      </c>
      <c r="AE126">
        <f>HYPERLINK("https://klasma.github.io/Logging_2085/fåglar/A 23720-2026 prioriterade fågelarter.docx", "A 23720-2026")</f>
        <v/>
      </c>
    </row>
    <row r="127" ht="15" customHeight="1">
      <c r="A127" t="inlineStr">
        <is>
          <t>A 23778-2026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46308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23778-2026 artfynd.xlsx", "A 23778-2026")</f>
        <v/>
      </c>
      <c r="X127">
        <f>HYPERLINK("https://klasma.github.io/Logging_2085/kartor/A 23778-2026 karta.png", "A 23778-2026")</f>
        <v/>
      </c>
      <c r="Y127">
        <f>HYPERLINK("https://klasma.github.io/Logging_2085/kartor_geotiff/A 23778-2026 georefererad karta.tif", "A 23778-2026")</f>
        <v/>
      </c>
      <c r="AA127">
        <f>HYPERLINK("https://klasma.github.io/Logging_2085/klagomål/A 23778-2026 FSC-klagomål.docx", "A 23778-2026")</f>
        <v/>
      </c>
      <c r="AB127">
        <f>HYPERLINK("https://klasma.github.io/Logging_2085/klagomålsmail/A 23778-2026 FSC-klagomål mail.docx", "A 23778-2026")</f>
        <v/>
      </c>
      <c r="AC127">
        <f>HYPERLINK("https://klasma.github.io/Logging_2085/tillsyn/A 23778-2026 tillsynsbegäran.docx", "A 23778-2026")</f>
        <v/>
      </c>
      <c r="AD127">
        <f>HYPERLINK("https://klasma.github.io/Logging_2085/tillsynsmail/A 23778-2026 tillsynsbegäran mail.docx", "A 23778-2026")</f>
        <v/>
      </c>
      <c r="AE127">
        <f>HYPERLINK("https://klasma.github.io/Logging_2085/fåglar/A 23778-2026 prioriterade fågelarter.docx", "A 23778-2026")</f>
        <v/>
      </c>
    </row>
    <row r="128" ht="15" customHeight="1">
      <c r="A128" t="inlineStr">
        <is>
          <t>A 63005-2025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46308</v>
      </c>
      <c r="F128" t="inlineStr">
        <is>
          <t>DALARNAS LÄN</t>
        </is>
      </c>
      <c r="G128" t="inlineStr">
        <is>
          <t>LUDVIKA</t>
        </is>
      </c>
      <c r="I128" t="n">
        <v>4.4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63005-2025 artfynd.xlsx", "A 63005-2025")</f>
        <v/>
      </c>
      <c r="X128">
        <f>HYPERLINK("https://klasma.github.io/Logging_2085/kartor/A 63005-2025 karta.png", "A 63005-2025")</f>
        <v/>
      </c>
      <c r="Y128">
        <f>HYPERLINK("https://klasma.github.io/Logging_2085/kartor_geotiff/A 63005-2025 georefererad karta.tif", "A 63005-2025")</f>
        <v/>
      </c>
      <c r="AA128">
        <f>HYPERLINK("https://klasma.github.io/Logging_2085/klagomål/A 63005-2025 FSC-klagomål.docx", "A 63005-2025")</f>
        <v/>
      </c>
      <c r="AB128">
        <f>HYPERLINK("https://klasma.github.io/Logging_2085/klagomålsmail/A 63005-2025 FSC-klagomål mail.docx", "A 63005-2025")</f>
        <v/>
      </c>
      <c r="AC128">
        <f>HYPERLINK("https://klasma.github.io/Logging_2085/tillsyn/A 63005-2025 tillsynsbegäran.docx", "A 63005-2025")</f>
        <v/>
      </c>
      <c r="AD128">
        <f>HYPERLINK("https://klasma.github.io/Logging_2085/tillsynsmail/A 63005-2025 tillsynsbegäran mail.docx", "A 63005-2025")</f>
        <v/>
      </c>
      <c r="AE128">
        <f>HYPERLINK("https://klasma.github.io/Logging_2085/fåglar/A 63005-2025 prioriterade fågelarter.docx", "A 63005-2025")</f>
        <v/>
      </c>
    </row>
    <row r="129" ht="15" customHeight="1">
      <c r="A129" t="inlineStr">
        <is>
          <t>A 25588-2023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45089</v>
      </c>
      <c r="E129" s="1" t="n">
        <v>46308</v>
      </c>
      <c r="F129" t="inlineStr">
        <is>
          <t>DALARNAS LÄN</t>
        </is>
      </c>
      <c r="G129" t="inlineStr">
        <is>
          <t>LUDVIKA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Garnlav</t>
        </is>
      </c>
      <c r="W129">
        <f>HYPERLINK("https://klasma.github.io/Logging_2085/artfynd/A 25588-2023 artfynd.xlsx", "A 25588-2023")</f>
        <v/>
      </c>
      <c r="X129">
        <f>HYPERLINK("https://klasma.github.io/Logging_2085/kartor/A 25588-2023 karta.png", "A 25588-2023")</f>
        <v/>
      </c>
      <c r="Y129">
        <f>HYPERLINK("https://klasma.github.io/Logging_2085/kartor_geotiff/A 25588-2023 georefererad karta.tif", "A 25588-2023")</f>
        <v/>
      </c>
      <c r="AA129">
        <f>HYPERLINK("https://klasma.github.io/Logging_2085/klagomål/A 25588-2023 FSC-klagomål.docx", "A 25588-2023")</f>
        <v/>
      </c>
      <c r="AB129">
        <f>HYPERLINK("https://klasma.github.io/Logging_2085/klagomålsmail/A 25588-2023 FSC-klagomål mail.docx", "A 25588-2023")</f>
        <v/>
      </c>
      <c r="AC129">
        <f>HYPERLINK("https://klasma.github.io/Logging_2085/tillsyn/A 25588-2023 tillsynsbegäran.docx", "A 25588-2023")</f>
        <v/>
      </c>
      <c r="AD129">
        <f>HYPERLINK("https://klasma.github.io/Logging_2085/tillsynsmail/A 25588-2023 tillsynsbegäran mail.docx", "A 25588-2023")</f>
        <v/>
      </c>
    </row>
    <row r="130" ht="15" customHeight="1">
      <c r="A130" t="inlineStr">
        <is>
          <t>A 17987-2025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46308</v>
      </c>
      <c r="F130" t="inlineStr">
        <is>
          <t>DALARNAS LÄN</t>
        </is>
      </c>
      <c r="G130" t="inlineStr">
        <is>
          <t>LUDVIKA</t>
        </is>
      </c>
      <c r="I130" t="n">
        <v>0.5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Talltita</t>
        </is>
      </c>
      <c r="W130">
        <f>HYPERLINK("https://klasma.github.io/Logging_2085/artfynd/A 17987-2025 artfynd.xlsx", "A 17987-2025")</f>
        <v/>
      </c>
      <c r="X130">
        <f>HYPERLINK("https://klasma.github.io/Logging_2085/kartor/A 17987-2025 karta.png", "A 17987-2025")</f>
        <v/>
      </c>
      <c r="Y130">
        <f>HYPERLINK("https://klasma.github.io/Logging_2085/kartor_geotiff/A 17987-2025 georefererad karta.tif", "A 17987-2025")</f>
        <v/>
      </c>
      <c r="AA130">
        <f>HYPERLINK("https://klasma.github.io/Logging_2085/klagomål/A 17987-2025 FSC-klagomål.docx", "A 17987-2025")</f>
        <v/>
      </c>
      <c r="AB130">
        <f>HYPERLINK("https://klasma.github.io/Logging_2085/klagomålsmail/A 17987-2025 FSC-klagomål mail.docx", "A 17987-2025")</f>
        <v/>
      </c>
      <c r="AC130">
        <f>HYPERLINK("https://klasma.github.io/Logging_2085/tillsyn/A 17987-2025 tillsynsbegäran.docx", "A 17987-2025")</f>
        <v/>
      </c>
      <c r="AD130">
        <f>HYPERLINK("https://klasma.github.io/Logging_2085/tillsynsmail/A 17987-2025 tillsynsbegäran mail.docx", "A 17987-2025")</f>
        <v/>
      </c>
      <c r="AE130">
        <f>HYPERLINK("https://klasma.github.io/Logging_2085/fåglar/A 17987-2025 prioriterade fågelarter.docx", "A 17987-2025")</f>
        <v/>
      </c>
    </row>
    <row r="131" ht="15" customHeight="1">
      <c r="A131" t="inlineStr">
        <is>
          <t>A 21499-2022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46308</v>
      </c>
      <c r="F131" t="inlineStr">
        <is>
          <t>DALARNAS LÄN</t>
        </is>
      </c>
      <c r="G131" t="inlineStr">
        <is>
          <t>LUDVIKA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Strimspindling</t>
        </is>
      </c>
      <c r="W131">
        <f>HYPERLINK("https://klasma.github.io/Logging_2085/artfynd/A 21499-2022 artfynd.xlsx", "A 21499-2022")</f>
        <v/>
      </c>
      <c r="X131">
        <f>HYPERLINK("https://klasma.github.io/Logging_2085/kartor/A 21499-2022 karta.png", "A 21499-2022")</f>
        <v/>
      </c>
      <c r="Y131">
        <f>HYPERLINK("https://klasma.github.io/Logging_2085/kartor_geotiff/A 21499-2022 georefererad karta.tif", "A 21499-2022")</f>
        <v/>
      </c>
      <c r="AA131">
        <f>HYPERLINK("https://klasma.github.io/Logging_2085/klagomål/A 21499-2022 FSC-klagomål.docx", "A 21499-2022")</f>
        <v/>
      </c>
      <c r="AB131">
        <f>HYPERLINK("https://klasma.github.io/Logging_2085/klagomålsmail/A 21499-2022 FSC-klagomål mail.docx", "A 21499-2022")</f>
        <v/>
      </c>
      <c r="AC131">
        <f>HYPERLINK("https://klasma.github.io/Logging_2085/tillsyn/A 21499-2022 tillsynsbegäran.docx", "A 21499-2022")</f>
        <v/>
      </c>
      <c r="AD131">
        <f>HYPERLINK("https://klasma.github.io/Logging_2085/tillsynsmail/A 21499-2022 tillsynsbegäran mail.docx", "A 21499-2022")</f>
        <v/>
      </c>
    </row>
    <row r="132" ht="15" customHeight="1">
      <c r="A132" t="inlineStr">
        <is>
          <t>A 400-2023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46308</v>
      </c>
      <c r="F132" t="inlineStr">
        <is>
          <t>DALARNAS LÄN</t>
        </is>
      </c>
      <c r="G132" t="inlineStr">
        <is>
          <t>LUDVIKA</t>
        </is>
      </c>
      <c r="I132" t="n">
        <v>3.6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Nordfladdermus</t>
        </is>
      </c>
      <c r="W132">
        <f>HYPERLINK("https://klasma.github.io/Logging_2085/artfynd/A 400-2023 artfynd.xlsx", "A 400-2023")</f>
        <v/>
      </c>
      <c r="X132">
        <f>HYPERLINK("https://klasma.github.io/Logging_2085/kartor/A 400-2023 karta.png", "A 400-2023")</f>
        <v/>
      </c>
      <c r="Y132">
        <f>HYPERLINK("https://klasma.github.io/Logging_2085/kartor_geotiff/A 400-2023 georefererad karta.tif", "A 400-2023")</f>
        <v/>
      </c>
      <c r="AA132">
        <f>HYPERLINK("https://klasma.github.io/Logging_2085/klagomål/A 400-2023 FSC-klagomål.docx", "A 400-2023")</f>
        <v/>
      </c>
      <c r="AB132">
        <f>HYPERLINK("https://klasma.github.io/Logging_2085/klagomålsmail/A 400-2023 FSC-klagomål mail.docx", "A 400-2023")</f>
        <v/>
      </c>
      <c r="AC132">
        <f>HYPERLINK("https://klasma.github.io/Logging_2085/tillsyn/A 400-2023 tillsynsbegäran.docx", "A 400-2023")</f>
        <v/>
      </c>
      <c r="AD132">
        <f>HYPERLINK("https://klasma.github.io/Logging_2085/tillsynsmail/A 400-2023 tillsynsbegäran mail.docx", "A 400-2023")</f>
        <v/>
      </c>
    </row>
    <row r="133" ht="15" customHeight="1">
      <c r="A133" t="inlineStr">
        <is>
          <t>A 31478-2023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46308</v>
      </c>
      <c r="F133" t="inlineStr">
        <is>
          <t>DALARNAS LÄN</t>
        </is>
      </c>
      <c r="G133" t="inlineStr">
        <is>
          <t>LUDVIKA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HYPERLINK("https://klasma.github.io/Logging_2085/artfynd/A 31478-2023 artfynd.xlsx", "A 31478-2023")</f>
        <v/>
      </c>
      <c r="X133">
        <f>HYPERLINK("https://klasma.github.io/Logging_2085/kartor/A 31478-2023 karta.png", "A 31478-2023")</f>
        <v/>
      </c>
      <c r="Y133">
        <f>HYPERLINK("https://klasma.github.io/Logging_2085/kartor_geotiff/A 31478-2023 georefererad karta.tif", "A 31478-2023")</f>
        <v/>
      </c>
      <c r="AA133">
        <f>HYPERLINK("https://klasma.github.io/Logging_2085/klagomål/A 31478-2023 FSC-klagomål.docx", "A 31478-2023")</f>
        <v/>
      </c>
      <c r="AB133">
        <f>HYPERLINK("https://klasma.github.io/Logging_2085/klagomålsmail/A 31478-2023 FSC-klagomål mail.docx", "A 31478-2023")</f>
        <v/>
      </c>
      <c r="AC133">
        <f>HYPERLINK("https://klasma.github.io/Logging_2085/tillsyn/A 31478-2023 tillsynsbegäran.docx", "A 31478-2023")</f>
        <v/>
      </c>
      <c r="AD133">
        <f>HYPERLINK("https://klasma.github.io/Logging_2085/tillsynsmail/A 31478-2023 tillsynsbegäran mail.docx", "A 31478-2023")</f>
        <v/>
      </c>
    </row>
    <row r="134" ht="15" customHeight="1">
      <c r="A134" t="inlineStr">
        <is>
          <t>A 25448-2024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45463</v>
      </c>
      <c r="E134" s="1" t="n">
        <v>46308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24.7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Blåsippa</t>
        </is>
      </c>
      <c r="W134">
        <f>HYPERLINK("https://klasma.github.io/Logging_2085/artfynd/A 25448-2024 artfynd.xlsx", "A 25448-2024")</f>
        <v/>
      </c>
      <c r="X134">
        <f>HYPERLINK("https://klasma.github.io/Logging_2085/kartor/A 25448-2024 karta.png", "A 25448-2024")</f>
        <v/>
      </c>
      <c r="Y134">
        <f>HYPERLINK("https://klasma.github.io/Logging_2085/kartor_geotiff/A 25448-2024 georefererad karta.tif", "A 25448-2024")</f>
        <v/>
      </c>
      <c r="AA134">
        <f>HYPERLINK("https://klasma.github.io/Logging_2085/klagomål/A 25448-2024 FSC-klagomål.docx", "A 25448-2024")</f>
        <v/>
      </c>
      <c r="AB134">
        <f>HYPERLINK("https://klasma.github.io/Logging_2085/klagomålsmail/A 25448-2024 FSC-klagomål mail.docx", "A 25448-2024")</f>
        <v/>
      </c>
      <c r="AC134">
        <f>HYPERLINK("https://klasma.github.io/Logging_2085/tillsyn/A 25448-2024 tillsynsbegäran.docx", "A 25448-2024")</f>
        <v/>
      </c>
      <c r="AD134">
        <f>HYPERLINK("https://klasma.github.io/Logging_2085/tillsynsmail/A 25448-2024 tillsynsbegäran mail.docx", "A 25448-2024")</f>
        <v/>
      </c>
    </row>
    <row r="135" ht="15" customHeight="1">
      <c r="A135" t="inlineStr">
        <is>
          <t>A 12093-2023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44998</v>
      </c>
      <c r="E135" s="1" t="n">
        <v>46308</v>
      </c>
      <c r="F135" t="inlineStr">
        <is>
          <t>DALARNAS LÄN</t>
        </is>
      </c>
      <c r="G135" t="inlineStr">
        <is>
          <t>LUDVIKA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Bitter taggsvamp</t>
        </is>
      </c>
      <c r="W135">
        <f>HYPERLINK("https://klasma.github.io/Logging_2085/artfynd/A 12093-2023 artfynd.xlsx", "A 12093-2023")</f>
        <v/>
      </c>
      <c r="X135">
        <f>HYPERLINK("https://klasma.github.io/Logging_2085/kartor/A 12093-2023 karta.png", "A 12093-2023")</f>
        <v/>
      </c>
      <c r="Y135">
        <f>HYPERLINK("https://klasma.github.io/Logging_2085/kartor_geotiff/A 12093-2023 georefererad karta.tif", "A 12093-2023")</f>
        <v/>
      </c>
      <c r="AA135">
        <f>HYPERLINK("https://klasma.github.io/Logging_2085/klagomål/A 12093-2023 FSC-klagomål.docx", "A 12093-2023")</f>
        <v/>
      </c>
      <c r="AB135">
        <f>HYPERLINK("https://klasma.github.io/Logging_2085/klagomålsmail/A 12093-2023 FSC-klagomål mail.docx", "A 12093-2023")</f>
        <v/>
      </c>
      <c r="AC135">
        <f>HYPERLINK("https://klasma.github.io/Logging_2085/tillsyn/A 12093-2023 tillsynsbegäran.docx", "A 12093-2023")</f>
        <v/>
      </c>
      <c r="AD135">
        <f>HYPERLINK("https://klasma.github.io/Logging_2085/tillsynsmail/A 12093-2023 tillsynsbegäran mail.docx", "A 12093-2023")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46308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46308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46308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46308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46308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46308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46308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46308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46308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46308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46308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46308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46308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46308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46308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46308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46308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46308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46308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46308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46308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46308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46308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46308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56996-2021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46308</v>
      </c>
      <c r="F160" t="inlineStr">
        <is>
          <t>DALARNAS LÄN</t>
        </is>
      </c>
      <c r="G160" t="inlineStr">
        <is>
          <t>LUDVIKA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45317</v>
      </c>
      <c r="E161" s="1" t="n">
        <v>46308</v>
      </c>
      <c r="F161" t="inlineStr">
        <is>
          <t>DALARNAS LÄN</t>
        </is>
      </c>
      <c r="G161" t="inlineStr">
        <is>
          <t>LUDVIKA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3470-2025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45680</v>
      </c>
      <c r="E162" s="1" t="n">
        <v>46308</v>
      </c>
      <c r="F162" t="inlineStr">
        <is>
          <t>DALARNAS LÄN</t>
        </is>
      </c>
      <c r="G162" t="inlineStr">
        <is>
          <t>LUDVIKA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46308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45205</v>
      </c>
      <c r="E164" s="1" t="n">
        <v>46308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46308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46308</v>
      </c>
      <c r="F166" t="inlineStr">
        <is>
          <t>DALARNAS LÄN</t>
        </is>
      </c>
      <c r="G166" t="inlineStr">
        <is>
          <t>LUDVIKA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44581</v>
      </c>
      <c r="E167" s="1" t="n">
        <v>46308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45541</v>
      </c>
      <c r="E168" s="1" t="n">
        <v>46308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46308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45569</v>
      </c>
      <c r="E170" s="1" t="n">
        <v>46308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46308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8703-2023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44978</v>
      </c>
      <c r="E172" s="1" t="n">
        <v>46308</v>
      </c>
      <c r="F172" t="inlineStr">
        <is>
          <t>DALARNAS LÄN</t>
        </is>
      </c>
      <c r="G172" t="inlineStr">
        <is>
          <t>LUDVIKA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46308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46308</v>
      </c>
      <c r="F174" t="inlineStr">
        <is>
          <t>DALARNAS LÄN</t>
        </is>
      </c>
      <c r="G174" t="inlineStr">
        <is>
          <t>LUDVIKA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40125-2024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45554</v>
      </c>
      <c r="E175" s="1" t="n">
        <v>46308</v>
      </c>
      <c r="F175" t="inlineStr">
        <is>
          <t>DALARNAS LÄN</t>
        </is>
      </c>
      <c r="G175" t="inlineStr">
        <is>
          <t>LUDVIKA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46308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46308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46308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46308</v>
      </c>
      <c r="F179" t="inlineStr">
        <is>
          <t>DALARNAS LÄN</t>
        </is>
      </c>
      <c r="G179" t="inlineStr">
        <is>
          <t>LUDVIKA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46308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46308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46308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46308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46308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36338-2025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45868</v>
      </c>
      <c r="E185" s="1" t="n">
        <v>46308</v>
      </c>
      <c r="F185" t="inlineStr">
        <is>
          <t>DALARNAS LÄN</t>
        </is>
      </c>
      <c r="G185" t="inlineStr">
        <is>
          <t>LUDVIKA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46308</v>
      </c>
      <c r="F186" t="inlineStr">
        <is>
          <t>DALARNAS LÄN</t>
        </is>
      </c>
      <c r="G186" t="inlineStr">
        <is>
          <t>LUDVIKA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44729</v>
      </c>
      <c r="E187" s="1" t="n">
        <v>46308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42996-2025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45909</v>
      </c>
      <c r="E188" s="1" t="n">
        <v>46308</v>
      </c>
      <c r="F188" t="inlineStr">
        <is>
          <t>DALARNAS LÄN</t>
        </is>
      </c>
      <c r="G188" t="inlineStr">
        <is>
          <t>LUDVIKA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46308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46308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46308</v>
      </c>
      <c r="F191" t="inlineStr">
        <is>
          <t>DALARNAS LÄN</t>
        </is>
      </c>
      <c r="G191" t="inlineStr">
        <is>
          <t>LUDVIKA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46308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46308</v>
      </c>
      <c r="F193" t="inlineStr">
        <is>
          <t>DALARNAS LÄN</t>
        </is>
      </c>
      <c r="G193" t="inlineStr">
        <is>
          <t>LUDVIKA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44960</v>
      </c>
      <c r="E194" s="1" t="n">
        <v>46308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46308</v>
      </c>
      <c r="F195" t="inlineStr">
        <is>
          <t>DALARNAS LÄN</t>
        </is>
      </c>
      <c r="G195" t="inlineStr">
        <is>
          <t>LUDVIKA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46308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46308</v>
      </c>
      <c r="F197" t="inlineStr">
        <is>
          <t>DALARNAS LÄN</t>
        </is>
      </c>
      <c r="G197" t="inlineStr">
        <is>
          <t>LUDVIKA</t>
        </is>
      </c>
      <c r="H197" t="inlineStr">
        <is>
          <t>Naturvårdsverket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46308</v>
      </c>
      <c r="F198" t="inlineStr">
        <is>
          <t>DALARNAS LÄN</t>
        </is>
      </c>
      <c r="G198" t="inlineStr">
        <is>
          <t>LUDVIKA</t>
        </is>
      </c>
      <c r="H198" t="inlineStr">
        <is>
          <t>Naturvårdsverket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46308</v>
      </c>
      <c r="F199" t="inlineStr">
        <is>
          <t>DALARNAS LÄN</t>
        </is>
      </c>
      <c r="G199" t="inlineStr">
        <is>
          <t>LUDVIKA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44967</v>
      </c>
      <c r="E200" s="1" t="n">
        <v>46308</v>
      </c>
      <c r="F200" t="inlineStr">
        <is>
          <t>DALARNAS LÄN</t>
        </is>
      </c>
      <c r="G200" t="inlineStr">
        <is>
          <t>LUDVIKA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46308</v>
      </c>
      <c r="F201" t="inlineStr">
        <is>
          <t>DALARNAS LÄN</t>
        </is>
      </c>
      <c r="G201" t="inlineStr">
        <is>
          <t>LUDVIKA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46308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46308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24678-2026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46308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46176</v>
      </c>
      <c r="E205" s="1" t="n">
        <v>46308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45902</v>
      </c>
      <c r="E206" s="1" t="n">
        <v>46308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46171</v>
      </c>
      <c r="E207" s="1" t="n">
        <v>46308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46175</v>
      </c>
      <c r="E208" s="1" t="n">
        <v>46308</v>
      </c>
      <c r="F208" t="inlineStr">
        <is>
          <t>DALARNAS LÄN</t>
        </is>
      </c>
      <c r="G208" t="inlineStr">
        <is>
          <t>LUDVIKA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46308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46171</v>
      </c>
      <c r="E210" s="1" t="n">
        <v>46308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46308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46308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45912</v>
      </c>
      <c r="E213" s="1" t="n">
        <v>46308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46308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46308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46308</v>
      </c>
      <c r="F216" t="inlineStr">
        <is>
          <t>DALARNAS LÄN</t>
        </is>
      </c>
      <c r="G216" t="inlineStr">
        <is>
          <t>LUDVIKA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46308</v>
      </c>
      <c r="F217" t="inlineStr">
        <is>
          <t>DALARNAS LÄN</t>
        </is>
      </c>
      <c r="G217" t="inlineStr">
        <is>
          <t>LUDVIKA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46308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46142</v>
      </c>
      <c r="E219" s="1" t="n">
        <v>46308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46308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46308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46308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23617-2026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46308</v>
      </c>
      <c r="F224" t="inlineStr">
        <is>
          <t>DALARNAS LÄN</t>
        </is>
      </c>
      <c r="G224" t="inlineStr">
        <is>
          <t>LUDVIKA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45541</v>
      </c>
      <c r="E225" s="1" t="n">
        <v>46308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45622</v>
      </c>
      <c r="E226" s="1" t="n">
        <v>46308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46308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30844-2024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45497</v>
      </c>
      <c r="E228" s="1" t="n">
        <v>46308</v>
      </c>
      <c r="F228" t="inlineStr">
        <is>
          <t>DALARNAS LÄN</t>
        </is>
      </c>
      <c r="G228" t="inlineStr">
        <is>
          <t>LUDVIKA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45056</v>
      </c>
      <c r="E229" s="1" t="n">
        <v>46308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45638</v>
      </c>
      <c r="E230" s="1" t="n">
        <v>46308</v>
      </c>
      <c r="F230" t="inlineStr">
        <is>
          <t>DALARNAS LÄN</t>
        </is>
      </c>
      <c r="G230" t="inlineStr">
        <is>
          <t>LUDVIKA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46308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46185</v>
      </c>
      <c r="E232" s="1" t="n">
        <v>46308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45940</v>
      </c>
      <c r="E233" s="1" t="n">
        <v>46308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45940</v>
      </c>
      <c r="E234" s="1" t="n">
        <v>46308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46308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46308</v>
      </c>
      <c r="F236" t="inlineStr">
        <is>
          <t>DALARNAS LÄN</t>
        </is>
      </c>
      <c r="G236" t="inlineStr">
        <is>
          <t>LUDVIKA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46190</v>
      </c>
      <c r="E237" s="1" t="n">
        <v>46308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46308</v>
      </c>
      <c r="F238" t="inlineStr">
        <is>
          <t>DALARNAS LÄN</t>
        </is>
      </c>
      <c r="G238" t="inlineStr">
        <is>
          <t>LUDVIKA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45176</v>
      </c>
      <c r="E239" s="1" t="n">
        <v>46308</v>
      </c>
      <c r="F239" t="inlineStr">
        <is>
          <t>DALARNAS LÄN</t>
        </is>
      </c>
      <c r="G239" t="inlineStr">
        <is>
          <t>LUDVIKA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46308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46308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45622</v>
      </c>
      <c r="E242" s="1" t="n">
        <v>46308</v>
      </c>
      <c r="F242" t="inlineStr">
        <is>
          <t>DALARNAS LÄN</t>
        </is>
      </c>
      <c r="G242" t="inlineStr">
        <is>
          <t>LUDVIKA</t>
        </is>
      </c>
      <c r="H242" t="inlineStr">
        <is>
          <t>Naturvårdsverket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46308</v>
      </c>
      <c r="F243" t="inlineStr">
        <is>
          <t>DALARNAS LÄN</t>
        </is>
      </c>
      <c r="G243" t="inlineStr">
        <is>
          <t>LUDVIKA</t>
        </is>
      </c>
      <c r="H243" t="inlineStr">
        <is>
          <t>Naturvårdsverket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46308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46308</v>
      </c>
      <c r="F245" t="inlineStr">
        <is>
          <t>DALARNAS LÄN</t>
        </is>
      </c>
      <c r="G245" t="inlineStr">
        <is>
          <t>LUDVIKA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45687</v>
      </c>
      <c r="E246" s="1" t="n">
        <v>46308</v>
      </c>
      <c r="F246" t="inlineStr">
        <is>
          <t>DALARNAS LÄN</t>
        </is>
      </c>
      <c r="G246" t="inlineStr">
        <is>
          <t>LUDVIKA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45762</v>
      </c>
      <c r="E247" s="1" t="n">
        <v>46308</v>
      </c>
      <c r="F247" t="inlineStr">
        <is>
          <t>DALARNAS LÄN</t>
        </is>
      </c>
      <c r="G247" t="inlineStr">
        <is>
          <t>LUDVIKA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46190</v>
      </c>
      <c r="E248" s="1" t="n">
        <v>46308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45602</v>
      </c>
      <c r="E249" s="1" t="n">
        <v>46308</v>
      </c>
      <c r="F249" t="inlineStr">
        <is>
          <t>DALARNAS LÄN</t>
        </is>
      </c>
      <c r="G249" t="inlineStr">
        <is>
          <t>LUDVIKA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46308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46308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46308</v>
      </c>
      <c r="F252" t="inlineStr">
        <is>
          <t>DALARNAS LÄN</t>
        </is>
      </c>
      <c r="G252" t="inlineStr">
        <is>
          <t>LUDVIKA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46308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44711</v>
      </c>
      <c r="E254" s="1" t="n">
        <v>46308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46308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46308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52552-2025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46308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46308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46308</v>
      </c>
      <c r="F259" t="inlineStr">
        <is>
          <t>DALARNAS LÄN</t>
        </is>
      </c>
      <c r="G259" t="inlineStr">
        <is>
          <t>LUDVIKA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52556-2025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45954</v>
      </c>
      <c r="E260" s="1" t="n">
        <v>46308</v>
      </c>
      <c r="F260" t="inlineStr">
        <is>
          <t>DALARNAS LÄN</t>
        </is>
      </c>
      <c r="G260" t="inlineStr">
        <is>
          <t>LUDVIKA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52459-2025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45954</v>
      </c>
      <c r="E261" s="1" t="n">
        <v>46308</v>
      </c>
      <c r="F261" t="inlineStr">
        <is>
          <t>DALARNAS LÄN</t>
        </is>
      </c>
      <c r="G261" t="inlineStr">
        <is>
          <t>LUDVIKA</t>
        </is>
      </c>
      <c r="H261" t="inlineStr">
        <is>
          <t>Övriga Aktiebolag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46308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45954</v>
      </c>
      <c r="E263" s="1" t="n">
        <v>46308</v>
      </c>
      <c r="F263" t="inlineStr">
        <is>
          <t>DALARNAS LÄN</t>
        </is>
      </c>
      <c r="G263" t="inlineStr">
        <is>
          <t>LUDVIKA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46160</v>
      </c>
      <c r="E264" s="1" t="n">
        <v>46308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46308</v>
      </c>
      <c r="F265" t="inlineStr">
        <is>
          <t>DALARNAS LÄN</t>
        </is>
      </c>
      <c r="G265" t="inlineStr">
        <is>
          <t>LUDVIKA</t>
        </is>
      </c>
      <c r="H265" t="inlineStr">
        <is>
          <t>Naturvårdsverket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28714-2026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46308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46308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46308</v>
      </c>
      <c r="F268" t="inlineStr">
        <is>
          <t>DALARNAS LÄN</t>
        </is>
      </c>
      <c r="G268" t="inlineStr">
        <is>
          <t>LUDVIKA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46160</v>
      </c>
      <c r="E269" s="1" t="n">
        <v>46308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46160</v>
      </c>
      <c r="E270" s="1" t="n">
        <v>46308</v>
      </c>
      <c r="F270" t="inlineStr">
        <is>
          <t>DALARNAS LÄN</t>
        </is>
      </c>
      <c r="G270" t="inlineStr">
        <is>
          <t>LUDVIKA</t>
        </is>
      </c>
      <c r="H270" t="inlineStr">
        <is>
          <t>Naturvårdsverket</t>
        </is>
      </c>
      <c r="I270" t="n">
        <v>9.9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46308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46146</v>
      </c>
      <c r="E272" s="1" t="n">
        <v>46308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46308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54341-2025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45965</v>
      </c>
      <c r="E274" s="1" t="n">
        <v>46308</v>
      </c>
      <c r="F274" t="inlineStr">
        <is>
          <t>DALARNAS LÄN</t>
        </is>
      </c>
      <c r="G274" t="inlineStr">
        <is>
          <t>LUDVIKA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46308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46308</v>
      </c>
      <c r="F276" t="inlineStr">
        <is>
          <t>DALARNAS LÄN</t>
        </is>
      </c>
      <c r="G276" t="inlineStr">
        <is>
          <t>LUDVIKA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46308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54035-2025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45963</v>
      </c>
      <c r="E278" s="1" t="n">
        <v>46308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39828-2025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45891</v>
      </c>
      <c r="E279" s="1" t="n">
        <v>46308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45966</v>
      </c>
      <c r="E280" s="1" t="n">
        <v>46308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46308</v>
      </c>
      <c r="F281" t="inlineStr">
        <is>
          <t>DALARNAS LÄN</t>
        </is>
      </c>
      <c r="G281" t="inlineStr">
        <is>
          <t>LUDVIKA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46308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46308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46308</v>
      </c>
      <c r="F284" t="inlineStr">
        <is>
          <t>DALARNAS LÄN</t>
        </is>
      </c>
      <c r="G284" t="inlineStr">
        <is>
          <t>LUDVIKA</t>
        </is>
      </c>
      <c r="H284" t="inlineStr">
        <is>
          <t>Naturvårdsverket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46308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45784</v>
      </c>
      <c r="E286" s="1" t="n">
        <v>46308</v>
      </c>
      <c r="F286" t="inlineStr">
        <is>
          <t>DALARNAS LÄN</t>
        </is>
      </c>
      <c r="G286" t="inlineStr">
        <is>
          <t>LUDVIKA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46308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46308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45565</v>
      </c>
      <c r="E289" s="1" t="n">
        <v>46308</v>
      </c>
      <c r="F289" t="inlineStr">
        <is>
          <t>DALARNAS LÄN</t>
        </is>
      </c>
      <c r="G289" t="inlineStr">
        <is>
          <t>LUDVIKA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45230</v>
      </c>
      <c r="E290" s="1" t="n">
        <v>46308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46308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46308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46308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52359-2024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45609</v>
      </c>
      <c r="E294" s="1" t="n">
        <v>46308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46308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46308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46308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45784</v>
      </c>
      <c r="E298" s="1" t="n">
        <v>46308</v>
      </c>
      <c r="F298" t="inlineStr">
        <is>
          <t>DALARNAS LÄN</t>
        </is>
      </c>
      <c r="G298" t="inlineStr">
        <is>
          <t>LUDVIKA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45134</v>
      </c>
      <c r="E299" s="1" t="n">
        <v>46308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46308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46205</v>
      </c>
      <c r="E301" s="1" t="n">
        <v>46308</v>
      </c>
      <c r="F301" t="inlineStr">
        <is>
          <t>DALARNAS LÄN</t>
        </is>
      </c>
      <c r="G301" t="inlineStr">
        <is>
          <t>LUDVIKA</t>
        </is>
      </c>
      <c r="H301" t="inlineStr">
        <is>
          <t>Naturvårdsverket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46308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46308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46308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46308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46308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46308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45581</v>
      </c>
      <c r="E308" s="1" t="n">
        <v>46308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46308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46308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22606-2025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45789</v>
      </c>
      <c r="E311" s="1" t="n">
        <v>46308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45789</v>
      </c>
      <c r="E312" s="1" t="n">
        <v>46308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45974</v>
      </c>
      <c r="E313" s="1" t="n">
        <v>46308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46308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46308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56249-2025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46308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45600</v>
      </c>
      <c r="E317" s="1" t="n">
        <v>46308</v>
      </c>
      <c r="F317" t="inlineStr">
        <is>
          <t>DALARNAS LÄN</t>
        </is>
      </c>
      <c r="G317" t="inlineStr">
        <is>
          <t>LUDVIKA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45569</v>
      </c>
      <c r="E318" s="1" t="n">
        <v>46308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45460</v>
      </c>
      <c r="E319" s="1" t="n">
        <v>46308</v>
      </c>
      <c r="F319" t="inlineStr">
        <is>
          <t>DALARNAS LÄN</t>
        </is>
      </c>
      <c r="G319" t="inlineStr">
        <is>
          <t>LUDVIKA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45789</v>
      </c>
      <c r="E320" s="1" t="n">
        <v>46308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45317</v>
      </c>
      <c r="E321" s="1" t="n">
        <v>46308</v>
      </c>
      <c r="F321" t="inlineStr">
        <is>
          <t>DALARNAS LÄN</t>
        </is>
      </c>
      <c r="G321" t="inlineStr">
        <is>
          <t>LUDVIKA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23088-2025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45791</v>
      </c>
      <c r="E322" s="1" t="n">
        <v>46308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46308</v>
      </c>
      <c r="F323" t="inlineStr">
        <is>
          <t>DALARNAS LÄN</t>
        </is>
      </c>
      <c r="G323" t="inlineStr">
        <is>
          <t>LUDVIKA</t>
        </is>
      </c>
      <c r="H323" t="inlineStr">
        <is>
          <t>Kommuner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28062-2026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46195</v>
      </c>
      <c r="E324" s="1" t="n">
        <v>46308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46308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45524</v>
      </c>
      <c r="E326" s="1" t="n">
        <v>46308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36066-2024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45533</v>
      </c>
      <c r="E327" s="1" t="n">
        <v>46308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46308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47233-2024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45586</v>
      </c>
      <c r="E329" s="1" t="n">
        <v>46308</v>
      </c>
      <c r="F329" t="inlineStr">
        <is>
          <t>DALARNAS LÄN</t>
        </is>
      </c>
      <c r="G329" t="inlineStr">
        <is>
          <t>LUDVIKA</t>
        </is>
      </c>
      <c r="I329" t="n">
        <v>9.5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46308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46308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45786</v>
      </c>
      <c r="E332" s="1" t="n">
        <v>46308</v>
      </c>
      <c r="F332" t="inlineStr">
        <is>
          <t>DALARNAS LÄN</t>
        </is>
      </c>
      <c r="G332" t="inlineStr">
        <is>
          <t>LUDVIKA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22276-2026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46154</v>
      </c>
      <c r="E333" s="1" t="n">
        <v>46308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46308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46308</v>
      </c>
      <c r="F335" t="inlineStr">
        <is>
          <t>DALARNAS LÄN</t>
        </is>
      </c>
      <c r="G335" t="inlineStr">
        <is>
          <t>LUDVIKA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19677-2025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45770</v>
      </c>
      <c r="E336" s="1" t="n">
        <v>46308</v>
      </c>
      <c r="F336" t="inlineStr">
        <is>
          <t>DALARNAS LÄN</t>
        </is>
      </c>
      <c r="G336" t="inlineStr">
        <is>
          <t>LUDVIKA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46308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46308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46308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46195</v>
      </c>
      <c r="E340" s="1" t="n">
        <v>46308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46308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46195</v>
      </c>
      <c r="E342" s="1" t="n">
        <v>46308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46308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46308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46308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46195</v>
      </c>
      <c r="E346" s="1" t="n">
        <v>46308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46308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46308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46308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46218</v>
      </c>
      <c r="E350" s="1" t="n">
        <v>46308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45453</v>
      </c>
      <c r="E351" s="1" t="n">
        <v>46308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46217</v>
      </c>
      <c r="E352" s="1" t="n">
        <v>46308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45541</v>
      </c>
      <c r="E353" s="1" t="n">
        <v>46308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46308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45776</v>
      </c>
      <c r="E355" s="1" t="n">
        <v>46308</v>
      </c>
      <c r="F355" t="inlineStr">
        <is>
          <t>DALARNAS LÄN</t>
        </is>
      </c>
      <c r="G355" t="inlineStr">
        <is>
          <t>LUDVIKA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46219</v>
      </c>
      <c r="E356" s="1" t="n">
        <v>46308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45796</v>
      </c>
      <c r="E357" s="1" t="n">
        <v>46308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46308</v>
      </c>
      <c r="F358" t="inlineStr">
        <is>
          <t>DALARNAS LÄN</t>
        </is>
      </c>
      <c r="G358" t="inlineStr">
        <is>
          <t>LUDVIKA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46308</v>
      </c>
      <c r="F359" t="inlineStr">
        <is>
          <t>DALARNAS LÄN</t>
        </is>
      </c>
      <c r="G359" t="inlineStr">
        <is>
          <t>LUDVIKA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46308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46308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45929</v>
      </c>
      <c r="E362" s="1" t="n">
        <v>46308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45572</v>
      </c>
      <c r="E363" s="1" t="n">
        <v>46308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46308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46308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46308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46308</v>
      </c>
      <c r="F367" t="inlineStr">
        <is>
          <t>DALARNAS LÄN</t>
        </is>
      </c>
      <c r="G367" t="inlineStr">
        <is>
          <t>LUDVIKA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46308</v>
      </c>
      <c r="F368" t="inlineStr">
        <is>
          <t>DALARNAS LÄN</t>
        </is>
      </c>
      <c r="G368" t="inlineStr">
        <is>
          <t>LUDVIKA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59530-2025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46308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30977-2024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45499</v>
      </c>
      <c r="E370" s="1" t="n">
        <v>46308</v>
      </c>
      <c r="F370" t="inlineStr">
        <is>
          <t>DALARNAS LÄN</t>
        </is>
      </c>
      <c r="G370" t="inlineStr">
        <is>
          <t>LUDVIKA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45799</v>
      </c>
      <c r="E371" s="1" t="n">
        <v>46308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46308</v>
      </c>
      <c r="F372" t="inlineStr">
        <is>
          <t>DALARNAS LÄN</t>
        </is>
      </c>
      <c r="G372" t="inlineStr">
        <is>
          <t>LUDVIKA</t>
        </is>
      </c>
      <c r="I372" t="n">
        <v>8.5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46308</v>
      </c>
      <c r="F373" t="inlineStr">
        <is>
          <t>DALARNAS LÄN</t>
        </is>
      </c>
      <c r="G373" t="inlineStr">
        <is>
          <t>LUDVIKA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46308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46308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46308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45800</v>
      </c>
      <c r="E377" s="1" t="n">
        <v>46308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25235-2025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45800</v>
      </c>
      <c r="E378" s="1" t="n">
        <v>46308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46225</v>
      </c>
      <c r="E379" s="1" t="n">
        <v>46308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46001</v>
      </c>
      <c r="E380" s="1" t="n">
        <v>46308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45805</v>
      </c>
      <c r="E381" s="1" t="n">
        <v>46308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46273</v>
      </c>
      <c r="E382" s="1" t="n">
        <v>46308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46272</v>
      </c>
      <c r="E383" s="1" t="n">
        <v>46308</v>
      </c>
      <c r="F383" t="inlineStr">
        <is>
          <t>DALARNAS LÄN</t>
        </is>
      </c>
      <c r="G383" t="inlineStr">
        <is>
          <t>LUDVIKA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26698-2025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45810</v>
      </c>
      <c r="E384" s="1" t="n">
        <v>46308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46308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46273</v>
      </c>
      <c r="E386" s="1" t="n">
        <v>46308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46273</v>
      </c>
      <c r="E387" s="1" t="n">
        <v>46308</v>
      </c>
      <c r="F387" t="inlineStr">
        <is>
          <t>DALARNAS LÄN</t>
        </is>
      </c>
      <c r="G387" t="inlineStr">
        <is>
          <t>LUDVIKA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46273</v>
      </c>
      <c r="E388" s="1" t="n">
        <v>46308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26794-2025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45810</v>
      </c>
      <c r="E389" s="1" t="n">
        <v>46308</v>
      </c>
      <c r="F389" t="inlineStr">
        <is>
          <t>DALARNAS LÄN</t>
        </is>
      </c>
      <c r="G389" t="inlineStr">
        <is>
          <t>LUDVIKA</t>
        </is>
      </c>
      <c r="H389" t="inlineStr">
        <is>
          <t>Kommuner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26628-2025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45810</v>
      </c>
      <c r="E390" s="1" t="n">
        <v>46308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46230</v>
      </c>
      <c r="E391" s="1" t="n">
        <v>46308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43700-2024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45569</v>
      </c>
      <c r="E392" s="1" t="n">
        <v>46308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46230</v>
      </c>
      <c r="E393" s="1" t="n">
        <v>46308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46308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46308</v>
      </c>
      <c r="F395" t="inlineStr">
        <is>
          <t>DALARNAS LÄN</t>
        </is>
      </c>
      <c r="G395" t="inlineStr">
        <is>
          <t>LUDVIKA</t>
        </is>
      </c>
      <c r="H395" t="inlineStr">
        <is>
          <t>Naturvårdsverket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46308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45813</v>
      </c>
      <c r="E397" s="1" t="n">
        <v>46308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46308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46308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46308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46308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46308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62930-2025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46308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46009</v>
      </c>
      <c r="E404" s="1" t="n">
        <v>46308</v>
      </c>
      <c r="F404" t="inlineStr">
        <is>
          <t>DALARNAS LÄN</t>
        </is>
      </c>
      <c r="G404" t="inlineStr">
        <is>
          <t>LUDVIKA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62845-2025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46308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46308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46308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46275</v>
      </c>
      <c r="E408" s="1" t="n">
        <v>46308</v>
      </c>
      <c r="F408" t="inlineStr">
        <is>
          <t>DALARNAS LÄN</t>
        </is>
      </c>
      <c r="G408" t="inlineStr">
        <is>
          <t>LUDVIKA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46308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46308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46308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46308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63215-2025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46308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46308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46233</v>
      </c>
      <c r="E415" s="1" t="n">
        <v>46308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46308</v>
      </c>
      <c r="F416" t="inlineStr">
        <is>
          <t>DALARNAS LÄN</t>
        </is>
      </c>
      <c r="G416" t="inlineStr">
        <is>
          <t>LUDVIKA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46308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46276</v>
      </c>
      <c r="E418" s="1" t="n">
        <v>46308</v>
      </c>
      <c r="F418" t="inlineStr">
        <is>
          <t>DALARNAS LÄN</t>
        </is>
      </c>
      <c r="G418" t="inlineStr">
        <is>
          <t>LUDVIKA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46279</v>
      </c>
      <c r="E419" s="1" t="n">
        <v>46308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46267</v>
      </c>
      <c r="E420" s="1" t="n">
        <v>46308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46267</v>
      </c>
      <c r="E421" s="1" t="n">
        <v>46308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46308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46308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45826</v>
      </c>
      <c r="E424" s="1" t="n">
        <v>46308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46308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46308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46308</v>
      </c>
      <c r="F427" t="inlineStr">
        <is>
          <t>DALARNAS LÄN</t>
        </is>
      </c>
      <c r="G427" t="inlineStr">
        <is>
          <t>LUDVIKA</t>
        </is>
      </c>
      <c r="H427" t="inlineStr">
        <is>
          <t>Övriga Aktiebolag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37957-2026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46280</v>
      </c>
      <c r="E428" s="1" t="n">
        <v>46308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38160-2026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46281</v>
      </c>
      <c r="E429" s="1" t="n">
        <v>46308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45832</v>
      </c>
      <c r="E430" s="1" t="n">
        <v>46308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45687</v>
      </c>
      <c r="E431" s="1" t="n">
        <v>46308</v>
      </c>
      <c r="F431" t="inlineStr">
        <is>
          <t>DALARNAS LÄN</t>
        </is>
      </c>
      <c r="G431" t="inlineStr">
        <is>
          <t>LUDVIKA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46280</v>
      </c>
      <c r="E432" s="1" t="n">
        <v>46308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45835</v>
      </c>
      <c r="E433" s="1" t="n">
        <v>46308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46308</v>
      </c>
      <c r="F434" t="inlineStr">
        <is>
          <t>DALARNAS LÄN</t>
        </is>
      </c>
      <c r="G434" t="inlineStr">
        <is>
          <t>LUDVIKA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46283</v>
      </c>
      <c r="E435" s="1" t="n">
        <v>46308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46002</v>
      </c>
      <c r="E436" s="1" t="n">
        <v>46308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46283</v>
      </c>
      <c r="E437" s="1" t="n">
        <v>46308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46308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34067-2025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45845</v>
      </c>
      <c r="E439" s="1" t="n">
        <v>46308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45502</v>
      </c>
      <c r="E440" s="1" t="n">
        <v>46308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38620-2026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46283</v>
      </c>
      <c r="E441" s="1" t="n">
        <v>46308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46283</v>
      </c>
      <c r="E442" s="1" t="n">
        <v>46308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46308</v>
      </c>
      <c r="F443" t="inlineStr">
        <is>
          <t>DALARNAS LÄN</t>
        </is>
      </c>
      <c r="G443" t="inlineStr">
        <is>
          <t>LUDVIKA</t>
        </is>
      </c>
      <c r="H443" t="inlineStr">
        <is>
          <t>Naturvårdsverket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46241</v>
      </c>
      <c r="E444" s="1" t="n">
        <v>46308</v>
      </c>
      <c r="F444" t="inlineStr">
        <is>
          <t>DALARNAS LÄN</t>
        </is>
      </c>
      <c r="G444" t="inlineStr">
        <is>
          <t>LUDVIKA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46308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46308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39093-2026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46287</v>
      </c>
      <c r="E447" s="1" t="n">
        <v>46308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46308</v>
      </c>
      <c r="F448" t="inlineStr">
        <is>
          <t>DALARNAS LÄN</t>
        </is>
      </c>
      <c r="G448" t="inlineStr">
        <is>
          <t>LUDVIKA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53979-2025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45961</v>
      </c>
      <c r="E449" s="1" t="n">
        <v>46308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46287</v>
      </c>
      <c r="E450" s="1" t="n">
        <v>46308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46241</v>
      </c>
      <c r="E451" s="1" t="n">
        <v>46308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46241</v>
      </c>
      <c r="E452" s="1" t="n">
        <v>46308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29654-2025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46308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46241</v>
      </c>
      <c r="E454" s="1" t="n">
        <v>46308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45512</v>
      </c>
      <c r="E455" s="1" t="n">
        <v>46308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46241</v>
      </c>
      <c r="E456" s="1" t="n">
        <v>46308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45832</v>
      </c>
      <c r="E457" s="1" t="n">
        <v>46308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45832</v>
      </c>
      <c r="E458" s="1" t="n">
        <v>46308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45832</v>
      </c>
      <c r="E459" s="1" t="n">
        <v>46308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45840</v>
      </c>
      <c r="E460" s="1" t="n">
        <v>46308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44680</v>
      </c>
      <c r="E461" s="1" t="n">
        <v>46308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36437-2025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45869</v>
      </c>
      <c r="E462" s="1" t="n">
        <v>46308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45361-2022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44844</v>
      </c>
      <c r="E463" s="1" t="n">
        <v>46308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43055-2024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45567</v>
      </c>
      <c r="E464" s="1" t="n">
        <v>46308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46308</v>
      </c>
      <c r="F465" t="inlineStr">
        <is>
          <t>DALARNAS LÄN</t>
        </is>
      </c>
      <c r="G465" t="inlineStr">
        <is>
          <t>LUDVIKA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45337</v>
      </c>
      <c r="E466" s="1" t="n">
        <v>46308</v>
      </c>
      <c r="F466" t="inlineStr">
        <is>
          <t>DALARNAS LÄN</t>
        </is>
      </c>
      <c r="G466" t="inlineStr">
        <is>
          <t>LUDVIKA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18187-2025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45761</v>
      </c>
      <c r="E467" s="1" t="n">
        <v>46308</v>
      </c>
      <c r="F467" t="inlineStr">
        <is>
          <t>DALARNAS LÄN</t>
        </is>
      </c>
      <c r="G467" t="inlineStr">
        <is>
          <t>LUDVIKA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38869-2026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46286</v>
      </c>
      <c r="E468" s="1" t="n">
        <v>46308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46290</v>
      </c>
      <c r="E469" s="1" t="n">
        <v>46308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37129-2025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46308</v>
      </c>
      <c r="F470" t="inlineStr">
        <is>
          <t>DALARNAS LÄN</t>
        </is>
      </c>
      <c r="G470" t="inlineStr">
        <is>
          <t>LUDVIKA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45512</v>
      </c>
      <c r="E471" s="1" t="n">
        <v>46308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45224</v>
      </c>
      <c r="E472" s="1" t="n">
        <v>46308</v>
      </c>
      <c r="F472" t="inlineStr">
        <is>
          <t>DALARNAS LÄN</t>
        </is>
      </c>
      <c r="G472" t="inlineStr">
        <is>
          <t>LUDVIKA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30813-2025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46308</v>
      </c>
      <c r="F473" t="inlineStr">
        <is>
          <t>DALARNAS LÄN</t>
        </is>
      </c>
      <c r="G473" t="inlineStr">
        <is>
          <t>LUDVIKA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39879-2026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46290</v>
      </c>
      <c r="E474" s="1" t="n">
        <v>46308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62368-2025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46308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46290</v>
      </c>
      <c r="E476" s="1" t="n">
        <v>46308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33419-2026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46247</v>
      </c>
      <c r="E477" s="1" t="n">
        <v>46308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46286</v>
      </c>
      <c r="E478" s="1" t="n">
        <v>46308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46308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46248</v>
      </c>
      <c r="E480" s="1" t="n">
        <v>46308</v>
      </c>
      <c r="F480" t="inlineStr">
        <is>
          <t>DALARNAS LÄN</t>
        </is>
      </c>
      <c r="G480" t="inlineStr">
        <is>
          <t>LUDVIKA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44852</v>
      </c>
      <c r="E481" s="1" t="n">
        <v>46308</v>
      </c>
      <c r="F481" t="inlineStr">
        <is>
          <t>DALARNAS LÄN</t>
        </is>
      </c>
      <c r="G481" t="inlineStr">
        <is>
          <t>LUDVIKA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46247</v>
      </c>
      <c r="E482" s="1" t="n">
        <v>46308</v>
      </c>
      <c r="F482" t="inlineStr">
        <is>
          <t>DALARNAS LÄN</t>
        </is>
      </c>
      <c r="G482" t="inlineStr">
        <is>
          <t>LUDVIKA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39878-2026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46290</v>
      </c>
      <c r="E483" s="1" t="n">
        <v>46308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39777-2026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46290</v>
      </c>
      <c r="E484" s="1" t="n">
        <v>46308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39789-2026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46290</v>
      </c>
      <c r="E485" s="1" t="n">
        <v>46308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40392-2026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46294</v>
      </c>
      <c r="E486" s="1" t="n">
        <v>46308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44960</v>
      </c>
      <c r="E487" s="1" t="n">
        <v>46308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40438-2026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46308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40445-2026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46294</v>
      </c>
      <c r="E489" s="1" t="n">
        <v>46308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45537</v>
      </c>
      <c r="E490" s="1" t="n">
        <v>46308</v>
      </c>
      <c r="F490" t="inlineStr">
        <is>
          <t>DALARNAS LÄN</t>
        </is>
      </c>
      <c r="G490" t="inlineStr">
        <is>
          <t>LUDVIKA</t>
        </is>
      </c>
      <c r="H490" t="inlineStr">
        <is>
          <t>Övriga Aktiebolag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40431-2026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46294</v>
      </c>
      <c r="E491" s="1" t="n">
        <v>46308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40384-2026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46294</v>
      </c>
      <c r="E492" s="1" t="n">
        <v>46308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33330-2024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45519</v>
      </c>
      <c r="E493" s="1" t="n">
        <v>46308</v>
      </c>
      <c r="F493" t="inlineStr">
        <is>
          <t>DALARNAS LÄN</t>
        </is>
      </c>
      <c r="G493" t="inlineStr">
        <is>
          <t>LUDVIKA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17913-2026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46308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44730</v>
      </c>
      <c r="E495" s="1" t="n">
        <v>46308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45450</v>
      </c>
      <c r="E496" s="1" t="n">
        <v>46308</v>
      </c>
      <c r="F496" t="inlineStr">
        <is>
          <t>DALARNAS LÄN</t>
        </is>
      </c>
      <c r="G496" t="inlineStr">
        <is>
          <t>LUDVIKA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31702-2023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45105</v>
      </c>
      <c r="E497" s="1" t="n">
        <v>46308</v>
      </c>
      <c r="F497" t="inlineStr">
        <is>
          <t>DALARNAS LÄN</t>
        </is>
      </c>
      <c r="G497" t="inlineStr">
        <is>
          <t>LUDVIKA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46308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44895</v>
      </c>
      <c r="E499" s="1" t="n">
        <v>46308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46308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46308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48740-2022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44859</v>
      </c>
      <c r="E502" s="1" t="n">
        <v>46308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46308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11237-2024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45371</v>
      </c>
      <c r="E504" s="1" t="n">
        <v>46308</v>
      </c>
      <c r="F504" t="inlineStr">
        <is>
          <t>DALARNAS LÄN</t>
        </is>
      </c>
      <c r="G504" t="inlineStr">
        <is>
          <t>LUDVIKA</t>
        </is>
      </c>
      <c r="I504" t="n">
        <v>20.8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46308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46308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45106</v>
      </c>
      <c r="E507" s="1" t="n">
        <v>46308</v>
      </c>
      <c r="F507" t="inlineStr">
        <is>
          <t>DALARNAS LÄN</t>
        </is>
      </c>
      <c r="G507" t="inlineStr">
        <is>
          <t>LUDVIKA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41443-2026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46301</v>
      </c>
      <c r="E508" s="1" t="n">
        <v>46308</v>
      </c>
      <c r="F508" t="inlineStr">
        <is>
          <t>DALARNAS LÄN</t>
        </is>
      </c>
      <c r="G508" t="inlineStr">
        <is>
          <t>LUDVIKA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46308</v>
      </c>
      <c r="F509" t="inlineStr">
        <is>
          <t>DALARNAS LÄN</t>
        </is>
      </c>
      <c r="G509" t="inlineStr">
        <is>
          <t>LUDVIKA</t>
        </is>
      </c>
      <c r="H509" t="inlineStr">
        <is>
          <t>Naturvårdsverket</t>
        </is>
      </c>
      <c r="I509" t="n">
        <v>19.8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46308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46308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46308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46308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46308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46253</v>
      </c>
      <c r="E515" s="1" t="n">
        <v>46308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17882-2026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46308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45754</v>
      </c>
      <c r="E517" s="1" t="n">
        <v>46308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46308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45161</v>
      </c>
      <c r="E519" s="1" t="n">
        <v>46308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35105-2026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46260</v>
      </c>
      <c r="E520" s="1" t="n">
        <v>46308</v>
      </c>
      <c r="F520" t="inlineStr">
        <is>
          <t>DALARNAS LÄN</t>
        </is>
      </c>
      <c r="G520" t="inlineStr">
        <is>
          <t>LUDVIKA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46308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46308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46308</v>
      </c>
      <c r="F523" t="inlineStr">
        <is>
          <t>DALARNAS LÄN</t>
        </is>
      </c>
      <c r="G523" t="inlineStr">
        <is>
          <t>LUDVIKA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55472-2024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45622</v>
      </c>
      <c r="E524" s="1" t="n">
        <v>46308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46308</v>
      </c>
      <c r="F525" t="inlineStr">
        <is>
          <t>DALARNAS LÄN</t>
        </is>
      </c>
      <c r="G525" t="inlineStr">
        <is>
          <t>LUDVIKA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46308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61384-2024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45646</v>
      </c>
      <c r="E527" s="1" t="n">
        <v>46308</v>
      </c>
      <c r="F527" t="inlineStr">
        <is>
          <t>DALARNAS LÄN</t>
        </is>
      </c>
      <c r="G527" t="inlineStr">
        <is>
          <t>LUDVIKA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46308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45887</v>
      </c>
      <c r="E529" s="1" t="n">
        <v>46308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46307</v>
      </c>
      <c r="E530" s="1" t="n">
        <v>46308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9.699999999999999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46308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53554-2025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45960</v>
      </c>
      <c r="E532" s="1" t="n">
        <v>46308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46247</v>
      </c>
      <c r="E533" s="1" t="n">
        <v>46308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46308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59186-2025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46308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46308</v>
      </c>
      <c r="F536" t="inlineStr">
        <is>
          <t>DALARNAS LÄN</t>
        </is>
      </c>
      <c r="G536" t="inlineStr">
        <is>
          <t>LUDVIKA</t>
        </is>
      </c>
      <c r="H536" t="inlineStr">
        <is>
          <t>Naturvårdsverket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46308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42345-2026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46307</v>
      </c>
      <c r="E538" s="1" t="n">
        <v>46308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46308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56615-2025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45975</v>
      </c>
      <c r="E540" s="1" t="n">
        <v>46308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45625</v>
      </c>
      <c r="E541" s="1" t="n">
        <v>46308</v>
      </c>
      <c r="F541" t="inlineStr">
        <is>
          <t>DALARNAS LÄN</t>
        </is>
      </c>
      <c r="G541" t="inlineStr">
        <is>
          <t>LUDVIKA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35103-2026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46260</v>
      </c>
      <c r="E542" s="1" t="n">
        <v>46308</v>
      </c>
      <c r="F542" t="inlineStr">
        <is>
          <t>DALARNAS LÄN</t>
        </is>
      </c>
      <c r="G542" t="inlineStr">
        <is>
          <t>LUDVIKA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48522-2023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46308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46262</v>
      </c>
      <c r="E544" s="1" t="n">
        <v>46308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46265</v>
      </c>
      <c r="E545" s="1" t="n">
        <v>46308</v>
      </c>
      <c r="F545" t="inlineStr">
        <is>
          <t>DALARNAS LÄN</t>
        </is>
      </c>
      <c r="G545" t="inlineStr">
        <is>
          <t>LUDVIKA</t>
        </is>
      </c>
      <c r="H545" t="inlineStr">
        <is>
          <t>Kyrkan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46265</v>
      </c>
      <c r="E546" s="1" t="n">
        <v>46308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55151-2025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45968</v>
      </c>
      <c r="E547" s="1" t="n">
        <v>46308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48589-2023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46308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46308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34868-2025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45849</v>
      </c>
      <c r="E550" s="1" t="n">
        <v>46308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48715-2022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44859</v>
      </c>
      <c r="E551" s="1" t="n">
        <v>46308</v>
      </c>
      <c r="F551" t="inlineStr">
        <is>
          <t>DALARNAS LÄN</t>
        </is>
      </c>
      <c r="G551" t="inlineStr">
        <is>
          <t>LUDVIKA</t>
        </is>
      </c>
      <c r="H551" t="inlineStr">
        <is>
          <t>Naturvårdsverket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45579</v>
      </c>
      <c r="E552" s="1" t="n">
        <v>46308</v>
      </c>
      <c r="F552" t="inlineStr">
        <is>
          <t>DALARNAS LÄN</t>
        </is>
      </c>
      <c r="G552" t="inlineStr">
        <is>
          <t>LUDVIKA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45954</v>
      </c>
      <c r="E553" s="1" t="n">
        <v>46308</v>
      </c>
      <c r="F553" t="inlineStr">
        <is>
          <t>DALARNAS LÄN</t>
        </is>
      </c>
      <c r="G553" t="inlineStr">
        <is>
          <t>LUDVIKA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46308</v>
      </c>
      <c r="F554" t="inlineStr">
        <is>
          <t>DALARNAS LÄN</t>
        </is>
      </c>
      <c r="G554" t="inlineStr">
        <is>
          <t>LUDVIKA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30399-2025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45827</v>
      </c>
      <c r="E555" s="1" t="n">
        <v>46308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41828-2025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45902</v>
      </c>
      <c r="E556" s="1" t="n">
        <v>46308</v>
      </c>
      <c r="F556" t="inlineStr">
        <is>
          <t>DALARNAS LÄN</t>
        </is>
      </c>
      <c r="G556" t="inlineStr">
        <is>
          <t>LUDVIKA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35708-2025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45860</v>
      </c>
      <c r="E557" s="1" t="n">
        <v>46308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34875-2025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45849</v>
      </c>
      <c r="E558" s="1" t="n">
        <v>46308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55323-2025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45971</v>
      </c>
      <c r="E559" s="1" t="n">
        <v>46308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42106-2024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46308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46308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47671-2024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45588</v>
      </c>
      <c r="E562" s="1" t="n">
        <v>46308</v>
      </c>
      <c r="F562" t="inlineStr">
        <is>
          <t>DALARNAS LÄN</t>
        </is>
      </c>
      <c r="G562" t="inlineStr">
        <is>
          <t>LUDVIKA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45845</v>
      </c>
      <c r="E563" s="1" t="n">
        <v>46308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46308</v>
      </c>
      <c r="F564" t="inlineStr">
        <is>
          <t>DALARNAS LÄN</t>
        </is>
      </c>
      <c r="G564" t="inlineStr">
        <is>
          <t>LUDVIKA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56346-2022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44890</v>
      </c>
      <c r="E565" s="1" t="n">
        <v>46308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52466-2023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45225</v>
      </c>
      <c r="E566" s="1" t="n">
        <v>46308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44537-2024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46308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45045-2023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45191</v>
      </c>
      <c r="E568" s="1" t="n">
        <v>46308</v>
      </c>
      <c r="F568" t="inlineStr">
        <is>
          <t>DALARNAS LÄN</t>
        </is>
      </c>
      <c r="G568" t="inlineStr">
        <is>
          <t>LUDVIKA</t>
        </is>
      </c>
      <c r="H568" t="inlineStr">
        <is>
          <t>Sveaskog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7683-2026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46062</v>
      </c>
      <c r="E569" s="1" t="n">
        <v>46308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20789-2026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46308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46308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55961-2024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45623</v>
      </c>
      <c r="E572" s="1" t="n">
        <v>46308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46185-2024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45581</v>
      </c>
      <c r="E573" s="1" t="n">
        <v>46308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20778-2026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46141</v>
      </c>
      <c r="E574" s="1" t="n">
        <v>46308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15128-2025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45744</v>
      </c>
      <c r="E575" s="1" t="n">
        <v>46308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65195-2021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44515</v>
      </c>
      <c r="E576" s="1" t="n">
        <v>46308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8728-2026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46308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56685-2022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44893</v>
      </c>
      <c r="E578" s="1" t="n">
        <v>46308</v>
      </c>
      <c r="F578" t="inlineStr">
        <is>
          <t>DALARNAS LÄN</t>
        </is>
      </c>
      <c r="G578" t="inlineStr">
        <is>
          <t>LUDVIKA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46308</v>
      </c>
      <c r="F579" t="inlineStr">
        <is>
          <t>DALARNAS LÄN</t>
        </is>
      </c>
      <c r="G579" t="inlineStr">
        <is>
          <t>LUDVIKA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31100-2024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45502</v>
      </c>
      <c r="E580" s="1" t="n">
        <v>46308</v>
      </c>
      <c r="F580" t="inlineStr">
        <is>
          <t>DALARNAS LÄN</t>
        </is>
      </c>
      <c r="G580" t="inlineStr">
        <is>
          <t>LUDVIKA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46142</v>
      </c>
      <c r="E581" s="1" t="n">
        <v>46308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46142</v>
      </c>
      <c r="E582" s="1" t="n">
        <v>46308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46308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45883</v>
      </c>
      <c r="E584" s="1" t="n">
        <v>46308</v>
      </c>
      <c r="F584" t="inlineStr">
        <is>
          <t>DALARNAS LÄN</t>
        </is>
      </c>
      <c r="G584" t="inlineStr">
        <is>
          <t>LUDVIKA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46308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46308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59351-2023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46308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45208</v>
      </c>
      <c r="E588" s="1" t="n">
        <v>46308</v>
      </c>
      <c r="F588" t="inlineStr">
        <is>
          <t>DALARNAS LÄN</t>
        </is>
      </c>
      <c r="G588" t="inlineStr">
        <is>
          <t>LUDVIKA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46150</v>
      </c>
      <c r="E589" s="1" t="n">
        <v>46308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45512</v>
      </c>
      <c r="E590" s="1" t="n">
        <v>46308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46308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57557-2023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46308</v>
      </c>
      <c r="F592" t="inlineStr">
        <is>
          <t>DALARNAS LÄN</t>
        </is>
      </c>
      <c r="G592" t="inlineStr">
        <is>
          <t>LUDVIKA</t>
        </is>
      </c>
      <c r="I592" t="n">
        <v>12.7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55972-2025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45973</v>
      </c>
      <c r="E593" s="1" t="n">
        <v>46308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46308</v>
      </c>
      <c r="F594" t="inlineStr">
        <is>
          <t>DALARNAS LÄN</t>
        </is>
      </c>
      <c r="G594" t="inlineStr">
        <is>
          <t>LUDVIKA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22464-2026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46308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46142</v>
      </c>
      <c r="E596" s="1" t="n">
        <v>46308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45679</v>
      </c>
      <c r="E597" s="1" t="n">
        <v>46308</v>
      </c>
      <c r="F597" t="inlineStr">
        <is>
          <t>DALARNAS LÄN</t>
        </is>
      </c>
      <c r="G597" t="inlineStr">
        <is>
          <t>LUDVIKA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16843-2026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46113</v>
      </c>
      <c r="E598" s="1" t="n">
        <v>46308</v>
      </c>
      <c r="F598" t="inlineStr">
        <is>
          <t>DALARNAS LÄN</t>
        </is>
      </c>
      <c r="G598" t="inlineStr">
        <is>
          <t>LUDVIKA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46308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46308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23082-2026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46161</v>
      </c>
      <c r="E601" s="1" t="n">
        <v>46308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46308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49035-2024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45594</v>
      </c>
      <c r="E603" s="1" t="n">
        <v>46308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61621-2022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44916</v>
      </c>
      <c r="E604" s="1" t="n">
        <v>46308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46308</v>
      </c>
      <c r="F605" t="inlineStr">
        <is>
          <t>DALARNAS LÄN</t>
        </is>
      </c>
      <c r="G605" t="inlineStr">
        <is>
          <t>LUDVIKA</t>
        </is>
      </c>
      <c r="H605" t="inlineStr">
        <is>
          <t>Naturvårdsverket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45210</v>
      </c>
      <c r="E606" s="1" t="n">
        <v>46308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49114-2023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45210</v>
      </c>
      <c r="E607" s="1" t="n">
        <v>46308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47366-2023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45202</v>
      </c>
      <c r="E608" s="1" t="n">
        <v>46308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60660-2024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45644</v>
      </c>
      <c r="E609" s="1" t="n">
        <v>46308</v>
      </c>
      <c r="F609" t="inlineStr">
        <is>
          <t>DALARNAS LÄN</t>
        </is>
      </c>
      <c r="G609" t="inlineStr">
        <is>
          <t>LUDVIKA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59346-2024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45637</v>
      </c>
      <c r="E610" s="1" t="n">
        <v>46308</v>
      </c>
      <c r="F610" t="inlineStr">
        <is>
          <t>DALARNAS LÄN</t>
        </is>
      </c>
      <c r="G610" t="inlineStr">
        <is>
          <t>LUDVIKA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24021-2026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46167</v>
      </c>
      <c r="E611" s="1" t="n">
        <v>46308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23097-2025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46308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48642-2022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44859</v>
      </c>
      <c r="E613" s="1" t="n">
        <v>46308</v>
      </c>
      <c r="F613" t="inlineStr">
        <is>
          <t>DALARNAS LÄN</t>
        </is>
      </c>
      <c r="G613" t="inlineStr">
        <is>
          <t>LUDVIKA</t>
        </is>
      </c>
      <c r="H613" t="inlineStr">
        <is>
          <t>Naturvårdsverket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18724-2022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44687</v>
      </c>
      <c r="E614" s="1" t="n">
        <v>46308</v>
      </c>
      <c r="F614" t="inlineStr">
        <is>
          <t>DALARNAS LÄN</t>
        </is>
      </c>
      <c r="G614" t="inlineStr">
        <is>
          <t>LUDVIKA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46038</v>
      </c>
      <c r="E615" s="1" t="n">
        <v>46308</v>
      </c>
      <c r="F615" t="inlineStr">
        <is>
          <t>DALARNAS LÄN</t>
        </is>
      </c>
      <c r="G615" t="inlineStr">
        <is>
          <t>LUDVIKA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45833</v>
      </c>
      <c r="E616" s="1" t="n">
        <v>46308</v>
      </c>
      <c r="F616" t="inlineStr">
        <is>
          <t>DALARNAS LÄN</t>
        </is>
      </c>
      <c r="G616" t="inlineStr">
        <is>
          <t>LUDVIKA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31818-2025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45834</v>
      </c>
      <c r="E617" s="1" t="n">
        <v>46308</v>
      </c>
      <c r="F617" t="inlineStr">
        <is>
          <t>DALARNAS LÄN</t>
        </is>
      </c>
      <c r="G617" t="inlineStr">
        <is>
          <t>LUDVIKA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42128-2024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46308</v>
      </c>
      <c r="F618" t="inlineStr">
        <is>
          <t>DALARNAS LÄN</t>
        </is>
      </c>
      <c r="G618" t="inlineStr">
        <is>
          <t>LUDVIKA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33673-2022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44789</v>
      </c>
      <c r="E619" s="1" t="n">
        <v>46308</v>
      </c>
      <c r="F619" t="inlineStr">
        <is>
          <t>DALARNAS LÄN</t>
        </is>
      </c>
      <c r="G619" t="inlineStr">
        <is>
          <t>LUDVIKA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56680-2022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44893</v>
      </c>
      <c r="E620" s="1" t="n">
        <v>46308</v>
      </c>
      <c r="F620" t="inlineStr">
        <is>
          <t>DALARNAS LÄN</t>
        </is>
      </c>
      <c r="G620" t="inlineStr">
        <is>
          <t>LUDVIKA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73703-2021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44552</v>
      </c>
      <c r="E621" s="1" t="n">
        <v>46308</v>
      </c>
      <c r="F621" t="inlineStr">
        <is>
          <t>DALARNAS LÄN</t>
        </is>
      </c>
      <c r="G621" t="inlineStr">
        <is>
          <t>LUDVIKA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27389-2024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45474</v>
      </c>
      <c r="E622" s="1" t="n">
        <v>46308</v>
      </c>
      <c r="F622" t="inlineStr">
        <is>
          <t>DALARNAS LÄN</t>
        </is>
      </c>
      <c r="G622" t="inlineStr">
        <is>
          <t>LUDVIKA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44520-2023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45189</v>
      </c>
      <c r="E623" s="1" t="n">
        <v>46308</v>
      </c>
      <c r="F623" t="inlineStr">
        <is>
          <t>DALARNAS LÄN</t>
        </is>
      </c>
      <c r="G623" t="inlineStr">
        <is>
          <t>LUDVIKA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57217-2024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45629</v>
      </c>
      <c r="E624" s="1" t="n">
        <v>46308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17.3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41090-2022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44825</v>
      </c>
      <c r="E625" s="1" t="n">
        <v>46308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918-2024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45301</v>
      </c>
      <c r="E626" s="1" t="n">
        <v>46308</v>
      </c>
      <c r="F626" t="inlineStr">
        <is>
          <t>DALARNAS LÄN</t>
        </is>
      </c>
      <c r="G626" t="inlineStr">
        <is>
          <t>LUDVIKA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45301</v>
      </c>
      <c r="E627" s="1" t="n">
        <v>46308</v>
      </c>
      <c r="F627" t="inlineStr">
        <is>
          <t>DALARNAS LÄN</t>
        </is>
      </c>
      <c r="G627" t="inlineStr">
        <is>
          <t>LUDVIKA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45297</v>
      </c>
      <c r="E628" s="1" t="n">
        <v>46308</v>
      </c>
      <c r="F628" t="inlineStr">
        <is>
          <t>DALARNAS LÄN</t>
        </is>
      </c>
      <c r="G628" t="inlineStr">
        <is>
          <t>LUDVIKA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45335</v>
      </c>
      <c r="E629" s="1" t="n">
        <v>46308</v>
      </c>
      <c r="F629" t="inlineStr">
        <is>
          <t>DALARNAS LÄN</t>
        </is>
      </c>
      <c r="G629" t="inlineStr">
        <is>
          <t>LUDVIKA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59667-2024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45639</v>
      </c>
      <c r="E630" s="1" t="n">
        <v>46308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32277-2024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45512</v>
      </c>
      <c r="E631" s="1" t="n">
        <v>46308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46074-2023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45196</v>
      </c>
      <c r="E632" s="1" t="n">
        <v>46308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51208-2023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45219</v>
      </c>
      <c r="E633" s="1" t="n">
        <v>46308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12497-2024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45379</v>
      </c>
      <c r="E634" s="1" t="n">
        <v>46308</v>
      </c>
      <c r="F634" t="inlineStr">
        <is>
          <t>DALARNAS LÄN</t>
        </is>
      </c>
      <c r="G634" t="inlineStr">
        <is>
          <t>LUDVIKA</t>
        </is>
      </c>
      <c r="H634" t="inlineStr">
        <is>
          <t>Naturvårdsverket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45099</v>
      </c>
      <c r="E635" s="1" t="n">
        <v>46308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32995-2023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45113</v>
      </c>
      <c r="E636" s="1" t="n">
        <v>46308</v>
      </c>
      <c r="F636" t="inlineStr">
        <is>
          <t>DALARNAS LÄN</t>
        </is>
      </c>
      <c r="G636" t="inlineStr">
        <is>
          <t>LUDVIKA</t>
        </is>
      </c>
      <c r="H636" t="inlineStr">
        <is>
          <t>Kommuner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30039-2024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45488</v>
      </c>
      <c r="E637" s="1" t="n">
        <v>46308</v>
      </c>
      <c r="F637" t="inlineStr">
        <is>
          <t>DALARNAS LÄN</t>
        </is>
      </c>
      <c r="G637" t="inlineStr">
        <is>
          <t>LUDVIKA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7238-2023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44970</v>
      </c>
      <c r="E638" s="1" t="n">
        <v>46308</v>
      </c>
      <c r="F638" t="inlineStr">
        <is>
          <t>DALARNAS LÄN</t>
        </is>
      </c>
      <c r="G638" t="inlineStr">
        <is>
          <t>LUDVIKA</t>
        </is>
      </c>
      <c r="H638" t="inlineStr">
        <is>
          <t>Övriga Aktiebolag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7243-2023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44970</v>
      </c>
      <c r="E639" s="1" t="n">
        <v>46308</v>
      </c>
      <c r="F639" t="inlineStr">
        <is>
          <t>DALARNAS LÄN</t>
        </is>
      </c>
      <c r="G639" t="inlineStr">
        <is>
          <t>LUDVIKA</t>
        </is>
      </c>
      <c r="H639" t="inlineStr">
        <is>
          <t>Övriga Aktiebolag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39519-2024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45551</v>
      </c>
      <c r="E640" s="1" t="n">
        <v>46308</v>
      </c>
      <c r="F640" t="inlineStr">
        <is>
          <t>DALARNAS LÄN</t>
        </is>
      </c>
      <c r="G640" t="inlineStr">
        <is>
          <t>LUDVIKA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47496-2022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44853</v>
      </c>
      <c r="E641" s="1" t="n">
        <v>46308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64171-2023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45279</v>
      </c>
      <c r="E642" s="1" t="n">
        <v>46308</v>
      </c>
      <c r="F642" t="inlineStr">
        <is>
          <t>DALARNAS LÄN</t>
        </is>
      </c>
      <c r="G642" t="inlineStr">
        <is>
          <t>LUDVIKA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28134-2023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45099</v>
      </c>
      <c r="E643" s="1" t="n">
        <v>46308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45568</v>
      </c>
      <c r="E644" s="1" t="n">
        <v>46308</v>
      </c>
      <c r="F644" t="inlineStr">
        <is>
          <t>DALARNAS LÄN</t>
        </is>
      </c>
      <c r="G644" t="inlineStr">
        <is>
          <t>LUDVIKA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41158-2022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44825</v>
      </c>
      <c r="E645" s="1" t="n">
        <v>46308</v>
      </c>
      <c r="F645" t="inlineStr">
        <is>
          <t>DALARNAS LÄN</t>
        </is>
      </c>
      <c r="G645" t="inlineStr">
        <is>
          <t>LUDVIKA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18708-2023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45043</v>
      </c>
      <c r="E646" s="1" t="n">
        <v>46308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14986-2024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45399</v>
      </c>
      <c r="E647" s="1" t="n">
        <v>46308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60843-2024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45644</v>
      </c>
      <c r="E648" s="1" t="n">
        <v>46308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65104-2023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45288</v>
      </c>
      <c r="E649" s="1" t="n">
        <v>46308</v>
      </c>
      <c r="F649" t="inlineStr">
        <is>
          <t>DALARNAS LÄN</t>
        </is>
      </c>
      <c r="G649" t="inlineStr">
        <is>
          <t>LUDVIKA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14881-2025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45743</v>
      </c>
      <c r="E650" s="1" t="n">
        <v>46308</v>
      </c>
      <c r="F650" t="inlineStr">
        <is>
          <t>DALARNAS LÄN</t>
        </is>
      </c>
      <c r="G650" t="inlineStr">
        <is>
          <t>LUDVIKA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59050-2022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44903</v>
      </c>
      <c r="E651" s="1" t="n">
        <v>46308</v>
      </c>
      <c r="F651" t="inlineStr">
        <is>
          <t>DALARNAS LÄN</t>
        </is>
      </c>
      <c r="G651" t="inlineStr">
        <is>
          <t>LUDVIKA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45544-2024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45579</v>
      </c>
      <c r="E652" s="1" t="n">
        <v>46308</v>
      </c>
      <c r="F652" t="inlineStr">
        <is>
          <t>DALARNAS LÄN</t>
        </is>
      </c>
      <c r="G652" t="inlineStr">
        <is>
          <t>LUDVIKA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45547-2024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45579</v>
      </c>
      <c r="E653" s="1" t="n">
        <v>46308</v>
      </c>
      <c r="F653" t="inlineStr">
        <is>
          <t>DALARNAS LÄN</t>
        </is>
      </c>
      <c r="G653" t="inlineStr">
        <is>
          <t>LUDVIKA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45705</v>
      </c>
      <c r="E654" s="1" t="n">
        <v>46308</v>
      </c>
      <c r="F654" t="inlineStr">
        <is>
          <t>DALARNAS LÄN</t>
        </is>
      </c>
      <c r="G654" t="inlineStr">
        <is>
          <t>LUDVIKA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45112</v>
      </c>
      <c r="E655" s="1" t="n">
        <v>46308</v>
      </c>
      <c r="F655" t="inlineStr">
        <is>
          <t>DALARNAS LÄN</t>
        </is>
      </c>
      <c r="G655" t="inlineStr">
        <is>
          <t>LUDVIKA</t>
        </is>
      </c>
      <c r="H655" t="inlineStr">
        <is>
          <t>Kommuner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46620-2023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45198</v>
      </c>
      <c r="E656" s="1" t="n">
        <v>46308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61507-2023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45265</v>
      </c>
      <c r="E657" s="1" t="n">
        <v>46308</v>
      </c>
      <c r="F657" t="inlineStr">
        <is>
          <t>DALARNAS LÄN</t>
        </is>
      </c>
      <c r="G657" t="inlineStr">
        <is>
          <t>LUDVIKA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49951-2022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46308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29114-2024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45481</v>
      </c>
      <c r="E659" s="1" t="n">
        <v>46308</v>
      </c>
      <c r="F659" t="inlineStr">
        <is>
          <t>DALARNAS LÄN</t>
        </is>
      </c>
      <c r="G659" t="inlineStr">
        <is>
          <t>LUDVIKA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16814-2024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45411</v>
      </c>
      <c r="E660" s="1" t="n">
        <v>46308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31270-2022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44771</v>
      </c>
      <c r="E661" s="1" t="n">
        <v>46308</v>
      </c>
      <c r="F661" t="inlineStr">
        <is>
          <t>DALARNAS LÄN</t>
        </is>
      </c>
      <c r="G661" t="inlineStr">
        <is>
          <t>LUDVIKA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45624</v>
      </c>
      <c r="E662" s="1" t="n">
        <v>46308</v>
      </c>
      <c r="F662" t="inlineStr">
        <is>
          <t>DALARNAS LÄN</t>
        </is>
      </c>
      <c r="G662" t="inlineStr">
        <is>
          <t>LUDVIKA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28507-2023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45103</v>
      </c>
      <c r="E663" s="1" t="n">
        <v>46308</v>
      </c>
      <c r="F663" t="inlineStr">
        <is>
          <t>DALARNAS LÄN</t>
        </is>
      </c>
      <c r="G663" t="inlineStr">
        <is>
          <t>LUDVIKA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20427-2025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45775</v>
      </c>
      <c r="E664" s="1" t="n">
        <v>46308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39437-2023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45166</v>
      </c>
      <c r="E665" s="1" t="n">
        <v>46308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33839-2024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45520</v>
      </c>
      <c r="E666" s="1" t="n">
        <v>46308</v>
      </c>
      <c r="F666" t="inlineStr">
        <is>
          <t>DALARNAS LÄN</t>
        </is>
      </c>
      <c r="G666" t="inlineStr">
        <is>
          <t>LUDVIKA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54730-2022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44883</v>
      </c>
      <c r="E667" s="1" t="n">
        <v>46308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46308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39849-2023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45168</v>
      </c>
      <c r="E669" s="1" t="n">
        <v>46308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45616</v>
      </c>
      <c r="E670" s="1" t="n">
        <v>46308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45765</v>
      </c>
      <c r="E671" s="1" t="n">
        <v>46308</v>
      </c>
      <c r="F671" t="inlineStr">
        <is>
          <t>DALARNAS LÄN</t>
        </is>
      </c>
      <c r="G671" t="inlineStr">
        <is>
          <t>LUDVIKA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46308</v>
      </c>
      <c r="F672" t="inlineStr">
        <is>
          <t>DALARNAS LÄN</t>
        </is>
      </c>
      <c r="G672" t="inlineStr">
        <is>
          <t>LUDVIKA</t>
        </is>
      </c>
      <c r="H672" t="inlineStr">
        <is>
          <t>Naturvårdsverket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14046-2025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45740</v>
      </c>
      <c r="E673" s="1" t="n">
        <v>46308</v>
      </c>
      <c r="F673" t="inlineStr">
        <is>
          <t>DALARNAS LÄN</t>
        </is>
      </c>
      <c r="G673" t="inlineStr">
        <is>
          <t>LUDVIKA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70046-2021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44533</v>
      </c>
      <c r="E674" s="1" t="n">
        <v>46308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46308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45110</v>
      </c>
      <c r="E676" s="1" t="n">
        <v>46308</v>
      </c>
      <c r="F676" t="inlineStr">
        <is>
          <t>DALARNAS LÄN</t>
        </is>
      </c>
      <c r="G676" t="inlineStr">
        <is>
          <t>LUDVIKA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39400-2023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46308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45119</v>
      </c>
      <c r="E678" s="1" t="n">
        <v>46308</v>
      </c>
      <c r="F678" t="inlineStr">
        <is>
          <t>DALARNAS LÄN</t>
        </is>
      </c>
      <c r="G678" t="inlineStr">
        <is>
          <t>LUDVIKA</t>
        </is>
      </c>
      <c r="H678" t="inlineStr">
        <is>
          <t>Naturvårdsverket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34845-2024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45526</v>
      </c>
      <c r="E679" s="1" t="n">
        <v>46308</v>
      </c>
      <c r="F679" t="inlineStr">
        <is>
          <t>DALARNAS LÄN</t>
        </is>
      </c>
      <c r="G679" t="inlineStr">
        <is>
          <t>LUDVIKA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25299-2022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44730</v>
      </c>
      <c r="E680" s="1" t="n">
        <v>46308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11632-2024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45373</v>
      </c>
      <c r="E681" s="1" t="n">
        <v>46308</v>
      </c>
      <c r="F681" t="inlineStr">
        <is>
          <t>DALARNAS LÄN</t>
        </is>
      </c>
      <c r="G681" t="inlineStr">
        <is>
          <t>LUDVIKA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56672-2023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45243</v>
      </c>
      <c r="E682" s="1" t="n">
        <v>46308</v>
      </c>
      <c r="F682" t="inlineStr">
        <is>
          <t>DALARNAS LÄN</t>
        </is>
      </c>
      <c r="G682" t="inlineStr">
        <is>
          <t>LUDVIKA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32305-2024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45512</v>
      </c>
      <c r="E683" s="1" t="n">
        <v>46308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61309-2022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44915</v>
      </c>
      <c r="E684" s="1" t="n">
        <v>46308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29780-2024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45485</v>
      </c>
      <c r="E685" s="1" t="n">
        <v>46308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60788-2024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46308</v>
      </c>
      <c r="F686" t="inlineStr">
        <is>
          <t>DALARNAS LÄN</t>
        </is>
      </c>
      <c r="G686" t="inlineStr">
        <is>
          <t>LUDVIKA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45603</v>
      </c>
      <c r="E687" s="1" t="n">
        <v>46308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17.9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55034-2024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45621</v>
      </c>
      <c r="E688" s="1" t="n">
        <v>46308</v>
      </c>
      <c r="F688" t="inlineStr">
        <is>
          <t>DALARNAS LÄN</t>
        </is>
      </c>
      <c r="G688" t="inlineStr">
        <is>
          <t>LUDVIKA</t>
        </is>
      </c>
      <c r="H688" t="inlineStr">
        <is>
          <t>Naturvårdsverket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44942</v>
      </c>
      <c r="E689" s="1" t="n">
        <v>46308</v>
      </c>
      <c r="F689" t="inlineStr">
        <is>
          <t>DALARNAS LÄN</t>
        </is>
      </c>
      <c r="G689" t="inlineStr">
        <is>
          <t>LUDVIKA</t>
        </is>
      </c>
      <c r="I689" t="n">
        <v>13.1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45754</v>
      </c>
      <c r="E690" s="1" t="n">
        <v>46308</v>
      </c>
      <c r="F690" t="inlineStr">
        <is>
          <t>DALARNAS LÄN</t>
        </is>
      </c>
      <c r="G690" t="inlineStr">
        <is>
          <t>LUDVIKA</t>
        </is>
      </c>
      <c r="H690" t="inlineStr">
        <is>
          <t>Naturvårdsverket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5970-2022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44599</v>
      </c>
      <c r="E691" s="1" t="n">
        <v>46308</v>
      </c>
      <c r="F691" t="inlineStr">
        <is>
          <t>DALARNAS LÄN</t>
        </is>
      </c>
      <c r="G691" t="inlineStr">
        <is>
          <t>LUDVIKA</t>
        </is>
      </c>
      <c r="I691" t="n">
        <v>8.4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56818-2023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45244</v>
      </c>
      <c r="E692" s="1" t="n">
        <v>46308</v>
      </c>
      <c r="F692" t="inlineStr">
        <is>
          <t>DALARNAS LÄN</t>
        </is>
      </c>
      <c r="G692" t="inlineStr">
        <is>
          <t>LUDVIKA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7173-2023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44970</v>
      </c>
      <c r="E693" s="1" t="n">
        <v>46308</v>
      </c>
      <c r="F693" t="inlineStr">
        <is>
          <t>DALARNAS LÄN</t>
        </is>
      </c>
      <c r="G693" t="inlineStr">
        <is>
          <t>LUDVIKA</t>
        </is>
      </c>
      <c r="H693" t="inlineStr">
        <is>
          <t>Övriga Aktiebolag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46656-2023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45198</v>
      </c>
      <c r="E694" s="1" t="n">
        <v>46308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53620-2022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44879</v>
      </c>
      <c r="E695" s="1" t="n">
        <v>46308</v>
      </c>
      <c r="F695" t="inlineStr">
        <is>
          <t>DALARNAS LÄN</t>
        </is>
      </c>
      <c r="G695" t="inlineStr">
        <is>
          <t>LUDVIKA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57969-2024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45631</v>
      </c>
      <c r="E696" s="1" t="n">
        <v>46308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39761-2022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44819</v>
      </c>
      <c r="E697" s="1" t="n">
        <v>46308</v>
      </c>
      <c r="F697" t="inlineStr">
        <is>
          <t>DALARNAS LÄN</t>
        </is>
      </c>
      <c r="G697" t="inlineStr">
        <is>
          <t>LUDVIKA</t>
        </is>
      </c>
      <c r="H697" t="inlineStr">
        <is>
          <t>Naturvårdsverket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21145-2023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46308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15851-2024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45404</v>
      </c>
      <c r="E699" s="1" t="n">
        <v>46308</v>
      </c>
      <c r="F699" t="inlineStr">
        <is>
          <t>DALARNAS LÄN</t>
        </is>
      </c>
      <c r="G699" t="inlineStr">
        <is>
          <t>LUDVIKA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41400-2022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44826</v>
      </c>
      <c r="E700" s="1" t="n">
        <v>46308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48774-2024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45593</v>
      </c>
      <c r="E701" s="1" t="n">
        <v>46308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37392-2023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45156</v>
      </c>
      <c r="E702" s="1" t="n">
        <v>46308</v>
      </c>
      <c r="F702" t="inlineStr">
        <is>
          <t>DALARNAS LÄN</t>
        </is>
      </c>
      <c r="G702" t="inlineStr">
        <is>
          <t>LUDVIKA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11436-2024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45372</v>
      </c>
      <c r="E703" s="1" t="n">
        <v>46308</v>
      </c>
      <c r="F703" t="inlineStr">
        <is>
          <t>DALARNAS LÄN</t>
        </is>
      </c>
      <c r="G703" t="inlineStr">
        <is>
          <t>LUDVIKA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40142-2022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44820</v>
      </c>
      <c r="E704" s="1" t="n">
        <v>46308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40151-2022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44820</v>
      </c>
      <c r="E705" s="1" t="n">
        <v>46308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21741-2022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44708</v>
      </c>
      <c r="E706" s="1" t="n">
        <v>46308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51015-2023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45218</v>
      </c>
      <c r="E707" s="1" t="n">
        <v>46308</v>
      </c>
      <c r="F707" t="inlineStr">
        <is>
          <t>DALARNAS LÄN</t>
        </is>
      </c>
      <c r="G707" t="inlineStr">
        <is>
          <t>LUDVIKA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56621-2023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45243</v>
      </c>
      <c r="E708" s="1" t="n">
        <v>46308</v>
      </c>
      <c r="F708" t="inlineStr">
        <is>
          <t>DALARNAS LÄN</t>
        </is>
      </c>
      <c r="G708" t="inlineStr">
        <is>
          <t>LUDVIKA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41616-2024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45560</v>
      </c>
      <c r="E709" s="1" t="n">
        <v>46308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33345-2024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45519</v>
      </c>
      <c r="E710" s="1" t="n">
        <v>46308</v>
      </c>
      <c r="F710" t="inlineStr">
        <is>
          <t>DALARNAS LÄN</t>
        </is>
      </c>
      <c r="G710" t="inlineStr">
        <is>
          <t>LUDVIKA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2837-2023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45167</v>
      </c>
      <c r="E711" s="1" t="n">
        <v>46308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1122-2023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46308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3660-2023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45216</v>
      </c>
      <c r="E713" s="1" t="n">
        <v>46308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1246-2024</t>
        </is>
      </c>
      <c r="B714" t="inlineStr">
        <is>
          <t>samrådsanmälan</t>
        </is>
      </c>
      <c r="C714" t="inlineStr">
        <is>
          <t>Skogsgödsling</t>
        </is>
      </c>
      <c r="D714" s="1" t="n">
        <v>45400</v>
      </c>
      <c r="E714" s="1" t="n">
        <v>46308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1096-2024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45391</v>
      </c>
      <c r="E715" s="1" t="n">
        <v>46308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4863-2022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44805</v>
      </c>
      <c r="E716" s="1" t="n">
        <v>46308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1113-2023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46308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37.9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1815-2026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46190</v>
      </c>
      <c r="E718" s="1" t="n">
        <v>46308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2026-10-13T02:04:03Z</dcterms:created>
  <dcterms:modified xmlns:dcterms="http://purl.org/dc/terms/" xmlns:xsi="http://www.w3.org/2001/XMLSchema-instance" xsi:type="dcterms:W3CDTF">2026-10-13T02:04:04Z</dcterms:modified>
</cp:coreProperties>
</file>
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46288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46288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46288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46288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46288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46288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46288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49783-2024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45597</v>
      </c>
      <c r="E19" s="1" t="n">
        <v>46288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20.9</v>
      </c>
      <c r="J19" t="n">
        <v>3</v>
      </c>
      <c r="K19" t="n">
        <v>0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28</v>
      </c>
      <c r="U19" t="n">
        <v>17</v>
      </c>
      <c r="V19" s="2" t="inlineStr">
        <is>
          <t>Garnlav
Mörk kådsvartspik
Dropptaggsvamp
Gammelgransskål
Stjärntagging
Tretåig hackspett
Järpe
Spillkråka</t>
        </is>
      </c>
      <c r="W19">
        <f>HYPERLINK("https://klasma.github.io/Logging_2085/artfynd/A 49783-2024 artfynd.xlsx", "A 49783-2024")</f>
        <v/>
      </c>
      <c r="X19">
        <f>HYPERLINK("https://klasma.github.io/Logging_2085/kartor/A 49783-2024 karta.png", "A 49783-2024")</f>
        <v/>
      </c>
      <c r="Y19">
        <f>HYPERLINK("https://klasma.github.io/Logging_2085/kartor_geotiff/A 49783-2024 georefererad karta.tif", "A 49783-2024")</f>
        <v/>
      </c>
      <c r="AA19">
        <f>HYPERLINK("https://klasma.github.io/Logging_2085/klagomål/A 49783-2024 FSC-klagomål.docx", "A 49783-2024")</f>
        <v/>
      </c>
      <c r="AB19">
        <f>HYPERLINK("https://klasma.github.io/Logging_2085/klagomålsmail/A 49783-2024 FSC-klagomål mail.docx", "A 49783-2024")</f>
        <v/>
      </c>
      <c r="AC19">
        <f>HYPERLINK("https://klasma.github.io/Logging_2085/tillsyn/A 49783-2024 tillsynsbegäran.docx", "A 49783-2024")</f>
        <v/>
      </c>
      <c r="AD19">
        <f>HYPERLINK("https://klasma.github.io/Logging_2085/tillsynsmail/A 49783-2024 tillsynsbegäran mail.docx", "A 49783-2024")</f>
        <v/>
      </c>
      <c r="AE19">
        <f>HYPERLINK("https://klasma.github.io/Logging_2085/fåglar/A 49783-2024 prioriterade fågelarter.docx", "A 49783-2024")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46288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46288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46288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46288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46288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46288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46288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22195-2025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46288</v>
      </c>
      <c r="F27" t="inlineStr">
        <is>
          <t>DALARNAS LÄN</t>
        </is>
      </c>
      <c r="G27" t="inlineStr">
        <is>
          <t>LUDVIKA</t>
        </is>
      </c>
      <c r="I27" t="n">
        <v>7.4</v>
      </c>
      <c r="J27" t="n">
        <v>5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Garnlav
Entita
Talltita
Tretåig hackspett
Spillkråka
Tjäder</t>
        </is>
      </c>
      <c r="W27">
        <f>HYPERLINK("https://klasma.github.io/Logging_2085/artfynd/A 22195-2025 artfynd.xlsx", "A 22195-2025")</f>
        <v/>
      </c>
      <c r="X27">
        <f>HYPERLINK("https://klasma.github.io/Logging_2085/kartor/A 22195-2025 karta.png", "A 22195-2025")</f>
        <v/>
      </c>
      <c r="Y27">
        <f>HYPERLINK("https://klasma.github.io/Logging_2085/kartor_geotiff/A 22195-2025 georefererad karta.tif", "A 22195-2025")</f>
        <v/>
      </c>
      <c r="AA27">
        <f>HYPERLINK("https://klasma.github.io/Logging_2085/klagomål/A 22195-2025 FSC-klagomål.docx", "A 22195-2025")</f>
        <v/>
      </c>
      <c r="AB27">
        <f>HYPERLINK("https://klasma.github.io/Logging_2085/klagomålsmail/A 22195-2025 FSC-klagomål mail.docx", "A 22195-2025")</f>
        <v/>
      </c>
      <c r="AC27">
        <f>HYPERLINK("https://klasma.github.io/Logging_2085/tillsyn/A 22195-2025 tillsynsbegäran.docx", "A 22195-2025")</f>
        <v/>
      </c>
      <c r="AD27">
        <f>HYPERLINK("https://klasma.github.io/Logging_2085/tillsynsmail/A 22195-2025 tillsynsbegäran mail.docx", "A 22195-2025")</f>
        <v/>
      </c>
      <c r="AE27">
        <f>HYPERLINK("https://klasma.github.io/Logging_2085/fåglar/A 22195-2025 prioriterade fågelarter.docx", "A 22195-2025")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46288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46288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46288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46288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46288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46288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46288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33885-2025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46288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2.6</v>
      </c>
      <c r="J35" t="n">
        <v>2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6</v>
      </c>
      <c r="T35" t="n">
        <v>10</v>
      </c>
      <c r="U35" t="n">
        <v>10</v>
      </c>
      <c r="V35" s="2" t="inlineStr">
        <is>
          <t>Garnlav
Knärot
Dropptaggsvamp
Ullticka
Nästlav
Tjäder</t>
        </is>
      </c>
      <c r="W35">
        <f>HYPERLINK("https://klasma.github.io/Logging_2085/artfynd/A 33885-2025 artfynd.xlsx", "A 33885-2025")</f>
        <v/>
      </c>
      <c r="X35">
        <f>HYPERLINK("https://klasma.github.io/Logging_2085/kartor/A 33885-2025 karta.png", "A 33885-2025")</f>
        <v/>
      </c>
      <c r="Y35">
        <f>HYPERLINK("https://klasma.github.io/Logging_2085/kartor_geotiff/A 33885-2025 georefererad karta.tif", "A 33885-2025")</f>
        <v/>
      </c>
      <c r="Z35">
        <f>HYPERLINK("https://klasma.github.io/Logging_2085/knärot/A 33885-2025 karta knärot.png", "A 33885-2025")</f>
        <v/>
      </c>
      <c r="AA35">
        <f>HYPERLINK("https://klasma.github.io/Logging_2085/klagomål/A 33885-2025 FSC-klagomål.docx", "A 33885-2025")</f>
        <v/>
      </c>
      <c r="AB35">
        <f>HYPERLINK("https://klasma.github.io/Logging_2085/klagomålsmail/A 33885-2025 FSC-klagomål mail.docx", "A 33885-2025")</f>
        <v/>
      </c>
      <c r="AC35">
        <f>HYPERLINK("https://klasma.github.io/Logging_2085/tillsyn/A 33885-2025 tillsynsbegäran.docx", "A 33885-2025")</f>
        <v/>
      </c>
      <c r="AD35">
        <f>HYPERLINK("https://klasma.github.io/Logging_2085/tillsynsmail/A 33885-2025 tillsynsbegäran mail.docx", "A 33885-2025")</f>
        <v/>
      </c>
      <c r="AE35">
        <f>HYPERLINK("https://klasma.github.io/Logging_2085/fåglar/A 33885-2025 prioriterade fågelarter.docx", "A 33885-2025")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46288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46288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46288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46288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46288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46288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46288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46288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46288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46288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46288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46288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46288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46288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46288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46288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46288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46288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38635-2026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46283</v>
      </c>
      <c r="E54" s="1" t="n">
        <v>46288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2.2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Lunglav
Mörk husmossa
Vedticka
Vågbandad barkbock</t>
        </is>
      </c>
      <c r="W54">
        <f>HYPERLINK("https://klasma.github.io/Logging_2085/artfynd/A 38635-2026 artfynd.xlsx", "A 38635-2026")</f>
        <v/>
      </c>
      <c r="X54">
        <f>HYPERLINK("https://klasma.github.io/Logging_2085/kartor/A 38635-2026 karta.png", "A 38635-2026")</f>
        <v/>
      </c>
      <c r="Y54">
        <f>HYPERLINK("https://klasma.github.io/Logging_2085/kartor_geotiff/A 38635-2026 georefererad karta.tif", "A 38635-2026")</f>
        <v/>
      </c>
      <c r="AA54">
        <f>HYPERLINK("https://klasma.github.io/Logging_2085/klagomål/A 38635-2026 FSC-klagomål.docx", "A 38635-2026")</f>
        <v/>
      </c>
      <c r="AB54">
        <f>HYPERLINK("https://klasma.github.io/Logging_2085/klagomålsmail/A 38635-2026 FSC-klagomål mail.docx", "A 38635-2026")</f>
        <v/>
      </c>
      <c r="AC54">
        <f>HYPERLINK("https://klasma.github.io/Logging_2085/tillsyn/A 38635-2026 tillsynsbegäran.docx", "A 38635-2026")</f>
        <v/>
      </c>
      <c r="AD54">
        <f>HYPERLINK("https://klasma.github.io/Logging_2085/tillsynsmail/A 38635-2026 tillsynsbegäran mail.docx", "A 38635-2026")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46288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46288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46288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46288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46288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46288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46288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24425-2026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46168</v>
      </c>
      <c r="E62" s="1" t="n">
        <v>46288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5.6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6</v>
      </c>
      <c r="U62" t="n">
        <v>0</v>
      </c>
      <c r="V62" s="2" t="inlineStr">
        <is>
          <t>Tretåig hackspett
Spillkråka
Sälg</t>
        </is>
      </c>
      <c r="W62">
        <f>HYPERLINK("https://klasma.github.io/Logging_2085/artfynd/A 24425-2026 artfynd.xlsx", "A 24425-2026")</f>
        <v/>
      </c>
      <c r="X62">
        <f>HYPERLINK("https://klasma.github.io/Logging_2085/kartor/A 24425-2026 karta.png", "A 24425-2026")</f>
        <v/>
      </c>
      <c r="Y62">
        <f>HYPERLINK("https://klasma.github.io/Logging_2085/kartor_geotiff/A 24425-2026 georefererad karta.tif", "A 24425-2026")</f>
        <v/>
      </c>
      <c r="AA62">
        <f>HYPERLINK("https://klasma.github.io/Logging_2085/klagomål/A 24425-2026 FSC-klagomål.docx", "A 24425-2026")</f>
        <v/>
      </c>
      <c r="AB62">
        <f>HYPERLINK("https://klasma.github.io/Logging_2085/klagomålsmail/A 24425-2026 FSC-klagomål mail.docx", "A 24425-2026")</f>
        <v/>
      </c>
      <c r="AC62">
        <f>HYPERLINK("https://klasma.github.io/Logging_2085/tillsyn/A 24425-2026 tillsynsbegäran.docx", "A 24425-2026")</f>
        <v/>
      </c>
      <c r="AD62">
        <f>HYPERLINK("https://klasma.github.io/Logging_2085/tillsynsmail/A 24425-2026 tillsynsbegäran mail.docx", "A 24425-2026")</f>
        <v/>
      </c>
      <c r="AE62">
        <f>HYPERLINK("https://klasma.github.io/Logging_2085/fåglar/A 24425-2026 prioriterade fågelarter.docx", "A 24425-2026")</f>
        <v/>
      </c>
    </row>
    <row r="63" ht="15" customHeight="1">
      <c r="A63" t="inlineStr">
        <is>
          <t>A 43226-2025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46288</v>
      </c>
      <c r="F63" t="inlineStr">
        <is>
          <t>DALARNAS LÄN</t>
        </is>
      </c>
      <c r="G63" t="inlineStr">
        <is>
          <t>LUDVIKA</t>
        </is>
      </c>
      <c r="I63" t="n">
        <v>1.1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4</v>
      </c>
      <c r="V63" s="2" t="inlineStr">
        <is>
          <t>Tretåig hackspett
Rävticka
Rödgul trumpetsvamp</t>
        </is>
      </c>
      <c r="W63">
        <f>HYPERLINK("https://klasma.github.io/Logging_2085/artfynd/A 43226-2025 artfynd.xlsx", "A 43226-2025")</f>
        <v/>
      </c>
      <c r="X63">
        <f>HYPERLINK("https://klasma.github.io/Logging_2085/kartor/A 43226-2025 karta.png", "A 43226-2025")</f>
        <v/>
      </c>
      <c r="Y63">
        <f>HYPERLINK("https://klasma.github.io/Logging_2085/kartor_geotiff/A 43226-2025 georefererad karta.tif", "A 43226-2025")</f>
        <v/>
      </c>
      <c r="AA63">
        <f>HYPERLINK("https://klasma.github.io/Logging_2085/klagomål/A 43226-2025 FSC-klagomål.docx", "A 43226-2025")</f>
        <v/>
      </c>
      <c r="AB63">
        <f>HYPERLINK("https://klasma.github.io/Logging_2085/klagomålsmail/A 43226-2025 FSC-klagomål mail.docx", "A 43226-2025")</f>
        <v/>
      </c>
      <c r="AC63">
        <f>HYPERLINK("https://klasma.github.io/Logging_2085/tillsyn/A 43226-2025 tillsynsbegäran.docx", "A 43226-2025")</f>
        <v/>
      </c>
      <c r="AD63">
        <f>HYPERLINK("https://klasma.github.io/Logging_2085/tillsynsmail/A 43226-2025 tillsynsbegäran mail.docx", "A 43226-2025")</f>
        <v/>
      </c>
      <c r="AE63">
        <f>HYPERLINK("https://klasma.github.io/Logging_2085/fåglar/A 43226-2025 prioriterade fågelarter.docx", "A 43226-2025")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46288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46288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49051-2024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46288</v>
      </c>
      <c r="F66" t="inlineStr">
        <is>
          <t>DALARNAS LÄN</t>
        </is>
      </c>
      <c r="G66" t="inlineStr">
        <is>
          <t>LUDVIKA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2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Ladparasitspik
Vedkastanjelav</t>
        </is>
      </c>
      <c r="W66">
        <f>HYPERLINK("https://klasma.github.io/Logging_2085/artfynd/A 49051-2024 artfynd.xlsx", "A 49051-2024")</f>
        <v/>
      </c>
      <c r="X66">
        <f>HYPERLINK("https://klasma.github.io/Logging_2085/kartor/A 49051-2024 karta.png", "A 49051-2024")</f>
        <v/>
      </c>
      <c r="Y66">
        <f>HYPERLINK("https://klasma.github.io/Logging_2085/kartor_geotiff/A 49051-2024 georefererad karta.tif", "A 49051-2024")</f>
        <v/>
      </c>
      <c r="AA66">
        <f>HYPERLINK("https://klasma.github.io/Logging_2085/klagomål/A 49051-2024 FSC-klagomål.docx", "A 49051-2024")</f>
        <v/>
      </c>
      <c r="AB66">
        <f>HYPERLINK("https://klasma.github.io/Logging_2085/klagomålsmail/A 49051-2024 FSC-klagomål mail.docx", "A 49051-2024")</f>
        <v/>
      </c>
      <c r="AC66">
        <f>HYPERLINK("https://klasma.github.io/Logging_2085/tillsyn/A 49051-2024 tillsynsbegäran.docx", "A 49051-2024")</f>
        <v/>
      </c>
      <c r="AD66">
        <f>HYPERLINK("https://klasma.github.io/Logging_2085/tillsynsmail/A 49051-2024 tillsynsbegäran mail.docx", "A 49051-2024")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46288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46288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Skogsalm
Tibast</t>
        </is>
      </c>
      <c r="W68">
        <f>HYPERLINK("https://klasma.github.io/Logging_2085/artfynd/A 21369-2023 artfynd.xlsx", "A 21369-2023")</f>
        <v/>
      </c>
      <c r="X68">
        <f>HYPERLINK("https://klasma.github.io/Logging_2085/kartor/A 21369-2023 karta.png", "A 21369-2023")</f>
        <v/>
      </c>
      <c r="Y68">
        <f>HYPERLINK("https://klasma.github.io/Logging_2085/kartor_geotiff/A 21369-2023 georefererad karta.tif", "A 21369-2023")</f>
        <v/>
      </c>
      <c r="AA68">
        <f>HYPERLINK("https://klasma.github.io/Logging_2085/klagomål/A 21369-2023 FSC-klagomål.docx", "A 21369-2023")</f>
        <v/>
      </c>
      <c r="AB68">
        <f>HYPERLINK("https://klasma.github.io/Logging_2085/klagomålsmail/A 21369-2023 FSC-klagomål mail.docx", "A 21369-2023")</f>
        <v/>
      </c>
      <c r="AC68">
        <f>HYPERLINK("https://klasma.github.io/Logging_2085/tillsyn/A 21369-2023 tillsynsbegäran.docx", "A 21369-2023")</f>
        <v/>
      </c>
      <c r="AD68">
        <f>HYPERLINK("https://klasma.github.io/Logging_2085/tillsynsmail/A 21369-2023 tillsynsbegäran mail.docx", "A 21369-2023")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46288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46288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21876-2026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46288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Tretåig hackspett</t>
        </is>
      </c>
      <c r="W71">
        <f>HYPERLINK("https://klasma.github.io/Logging_2085/artfynd/A 21876-2026 artfynd.xlsx", "A 21876-2026")</f>
        <v/>
      </c>
      <c r="X71">
        <f>HYPERLINK("https://klasma.github.io/Logging_2085/kartor/A 21876-2026 karta.png", "A 21876-2026")</f>
        <v/>
      </c>
      <c r="Y71">
        <f>HYPERLINK("https://klasma.github.io/Logging_2085/kartor_geotiff/A 21876-2026 georefererad karta.tif", "A 21876-2026")</f>
        <v/>
      </c>
      <c r="AA71">
        <f>HYPERLINK("https://klasma.github.io/Logging_2085/klagomål/A 21876-2026 FSC-klagomål.docx", "A 21876-2026")</f>
        <v/>
      </c>
      <c r="AB71">
        <f>HYPERLINK("https://klasma.github.io/Logging_2085/klagomålsmail/A 21876-2026 FSC-klagomål mail.docx", "A 21876-2026")</f>
        <v/>
      </c>
      <c r="AC71">
        <f>HYPERLINK("https://klasma.github.io/Logging_2085/tillsyn/A 21876-2026 tillsynsbegäran.docx", "A 21876-2026")</f>
        <v/>
      </c>
      <c r="AD71">
        <f>HYPERLINK("https://klasma.github.io/Logging_2085/tillsynsmail/A 21876-2026 tillsynsbegäran mail.docx", "A 21876-2026")</f>
        <v/>
      </c>
      <c r="AE71">
        <f>HYPERLINK("https://klasma.github.io/Logging_2085/fåglar/A 21876-2026 prioriterade fågelarter.docx", "A 21876-2026")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46288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19512-2022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46288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Tretåig hackspett
Nästlav</t>
        </is>
      </c>
      <c r="W73">
        <f>HYPERLINK("https://klasma.github.io/Logging_2085/artfynd/A 19512-2022 artfynd.xlsx", "A 19512-2022")</f>
        <v/>
      </c>
      <c r="X73">
        <f>HYPERLINK("https://klasma.github.io/Logging_2085/kartor/A 19512-2022 karta.png", "A 19512-2022")</f>
        <v/>
      </c>
      <c r="Y73">
        <f>HYPERLINK("https://klasma.github.io/Logging_2085/kartor_geotiff/A 19512-2022 georefererad karta.tif", "A 19512-2022")</f>
        <v/>
      </c>
      <c r="AA73">
        <f>HYPERLINK("https://klasma.github.io/Logging_2085/klagomål/A 19512-2022 FSC-klagomål.docx", "A 19512-2022")</f>
        <v/>
      </c>
      <c r="AB73">
        <f>HYPERLINK("https://klasma.github.io/Logging_2085/klagomålsmail/A 19512-2022 FSC-klagomål mail.docx", "A 19512-2022")</f>
        <v/>
      </c>
      <c r="AC73">
        <f>HYPERLINK("https://klasma.github.io/Logging_2085/tillsyn/A 19512-2022 tillsynsbegäran.docx", "A 19512-2022")</f>
        <v/>
      </c>
      <c r="AD73">
        <f>HYPERLINK("https://klasma.github.io/Logging_2085/tillsynsmail/A 19512-2022 tillsynsbegäran mail.docx", "A 19512-2022")</f>
        <v/>
      </c>
      <c r="AE73">
        <f>HYPERLINK("https://klasma.github.io/Logging_2085/fåglar/A 19512-2022 prioriterade fågelarter.docx", "A 19512-2022")</f>
        <v/>
      </c>
    </row>
    <row r="74" ht="15" customHeight="1">
      <c r="A74" t="inlineStr">
        <is>
          <t>A 50170-2025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46288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Labyrintlav
Gulnål</t>
        </is>
      </c>
      <c r="W74">
        <f>HYPERLINK("https://klasma.github.io/Logging_2085/artfynd/A 50170-2025 artfynd.xlsx", "A 50170-2025")</f>
        <v/>
      </c>
      <c r="X74">
        <f>HYPERLINK("https://klasma.github.io/Logging_2085/kartor/A 50170-2025 karta.png", "A 50170-2025")</f>
        <v/>
      </c>
      <c r="Y74">
        <f>HYPERLINK("https://klasma.github.io/Logging_2085/kartor_geotiff/A 50170-2025 georefererad karta.tif", "A 50170-2025")</f>
        <v/>
      </c>
      <c r="AA74">
        <f>HYPERLINK("https://klasma.github.io/Logging_2085/klagomål/A 50170-2025 FSC-klagomål.docx", "A 50170-2025")</f>
        <v/>
      </c>
      <c r="AB74">
        <f>HYPERLINK("https://klasma.github.io/Logging_2085/klagomålsmail/A 50170-2025 FSC-klagomål mail.docx", "A 50170-2025")</f>
        <v/>
      </c>
      <c r="AC74">
        <f>HYPERLINK("https://klasma.github.io/Logging_2085/tillsyn/A 50170-2025 tillsynsbegäran.docx", "A 50170-2025")</f>
        <v/>
      </c>
      <c r="AD74">
        <f>HYPERLINK("https://klasma.github.io/Logging_2085/tillsynsmail/A 50170-2025 tillsynsbegäran mail.docx", "A 50170-2025")</f>
        <v/>
      </c>
    </row>
    <row r="75" ht="15" customHeight="1">
      <c r="A75" t="inlineStr">
        <is>
          <t>A 11755-2023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46288</v>
      </c>
      <c r="F75" t="inlineStr">
        <is>
          <t>DALARNAS LÄN</t>
        </is>
      </c>
      <c r="G75" t="inlineStr">
        <is>
          <t>LUDVIKA</t>
        </is>
      </c>
      <c r="H75" t="inlineStr">
        <is>
          <t>Övriga Aktiebolag</t>
        </is>
      </c>
      <c r="I75" t="n">
        <v>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Spillkråka</t>
        </is>
      </c>
      <c r="W75">
        <f>HYPERLINK("https://klasma.github.io/Logging_2085/artfynd/A 11755-2023 artfynd.xlsx", "A 11755-2023")</f>
        <v/>
      </c>
      <c r="X75">
        <f>HYPERLINK("https://klasma.github.io/Logging_2085/kartor/A 11755-2023 karta.png", "A 11755-2023")</f>
        <v/>
      </c>
      <c r="Y75">
        <f>HYPERLINK("https://klasma.github.io/Logging_2085/kartor_geotiff/A 11755-2023 georefererad karta.tif", "A 11755-2023")</f>
        <v/>
      </c>
      <c r="AA75">
        <f>HYPERLINK("https://klasma.github.io/Logging_2085/klagomål/A 11755-2023 FSC-klagomål.docx", "A 11755-2023")</f>
        <v/>
      </c>
      <c r="AB75">
        <f>HYPERLINK("https://klasma.github.io/Logging_2085/klagomålsmail/A 11755-2023 FSC-klagomål mail.docx", "A 11755-2023")</f>
        <v/>
      </c>
      <c r="AC75">
        <f>HYPERLINK("https://klasma.github.io/Logging_2085/tillsyn/A 11755-2023 tillsynsbegäran.docx", "A 11755-2023")</f>
        <v/>
      </c>
      <c r="AD75">
        <f>HYPERLINK("https://klasma.github.io/Logging_2085/tillsynsmail/A 11755-2023 tillsynsbegäran mail.docx", "A 11755-2023")</f>
        <v/>
      </c>
      <c r="AE75">
        <f>HYPERLINK("https://klasma.github.io/Logging_2085/fåglar/A 11755-2023 prioriterade fågelarter.docx", "A 11755-2023")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46288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3809-2024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46288</v>
      </c>
      <c r="F77" t="inlineStr">
        <is>
          <t>DALARNAS LÄN</t>
        </is>
      </c>
      <c r="G77" t="inlineStr">
        <is>
          <t>LUDVIKA</t>
        </is>
      </c>
      <c r="I77" t="n">
        <v>0.5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8</v>
      </c>
      <c r="U77" t="n">
        <v>8</v>
      </c>
      <c r="V77" s="2" t="inlineStr">
        <is>
          <t>Nordfladdermus
Fläcknycklar</t>
        </is>
      </c>
      <c r="W77">
        <f>HYPERLINK("https://klasma.github.io/Logging_2085/artfynd/A 3809-2024 artfynd.xlsx", "A 3809-2024")</f>
        <v/>
      </c>
      <c r="X77">
        <f>HYPERLINK("https://klasma.github.io/Logging_2085/kartor/A 3809-2024 karta.png", "A 3809-2024")</f>
        <v/>
      </c>
      <c r="Y77">
        <f>HYPERLINK("https://klasma.github.io/Logging_2085/kartor_geotiff/A 3809-2024 georefererad karta.tif", "A 3809-2024")</f>
        <v/>
      </c>
      <c r="AA77">
        <f>HYPERLINK("https://klasma.github.io/Logging_2085/klagomål/A 3809-2024 FSC-klagomål.docx", "A 3809-2024")</f>
        <v/>
      </c>
      <c r="AB77">
        <f>HYPERLINK("https://klasma.github.io/Logging_2085/klagomålsmail/A 3809-2024 FSC-klagomål mail.docx", "A 3809-2024")</f>
        <v/>
      </c>
      <c r="AC77">
        <f>HYPERLINK("https://klasma.github.io/Logging_2085/tillsyn/A 3809-2024 tillsynsbegäran.docx", "A 3809-2024")</f>
        <v/>
      </c>
      <c r="AD77">
        <f>HYPERLINK("https://klasma.github.io/Logging_2085/tillsynsmail/A 3809-2024 tillsynsbegäran mail.docx", "A 3809-2024")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46288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46288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46288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46288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56879-2025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46288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Tjäder</t>
        </is>
      </c>
      <c r="W82">
        <f>HYPERLINK("https://klasma.github.io/Logging_2085/artfynd/A 56879-2025 artfynd.xlsx", "A 56879-2025")</f>
        <v/>
      </c>
      <c r="X82">
        <f>HYPERLINK("https://klasma.github.io/Logging_2085/kartor/A 56879-2025 karta.png", "A 56879-2025")</f>
        <v/>
      </c>
      <c r="Y82">
        <f>HYPERLINK("https://klasma.github.io/Logging_2085/kartor_geotiff/A 56879-2025 georefererad karta.tif", "A 56879-2025")</f>
        <v/>
      </c>
      <c r="AA82">
        <f>HYPERLINK("https://klasma.github.io/Logging_2085/klagomål/A 56879-2025 FSC-klagomål.docx", "A 56879-2025")</f>
        <v/>
      </c>
      <c r="AB82">
        <f>HYPERLINK("https://klasma.github.io/Logging_2085/klagomålsmail/A 56879-2025 FSC-klagomål mail.docx", "A 56879-2025")</f>
        <v/>
      </c>
      <c r="AC82">
        <f>HYPERLINK("https://klasma.github.io/Logging_2085/tillsyn/A 56879-2025 tillsynsbegäran.docx", "A 56879-2025")</f>
        <v/>
      </c>
      <c r="AD82">
        <f>HYPERLINK("https://klasma.github.io/Logging_2085/tillsynsmail/A 56879-2025 tillsynsbegäran mail.docx", "A 56879-2025")</f>
        <v/>
      </c>
      <c r="AE82">
        <f>HYPERLINK("https://klasma.github.io/Logging_2085/fåglar/A 56879-2025 prioriterade fågelarter.docx", "A 56879-2025")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46288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46288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46288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46288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56826-2025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46288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4.5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8</v>
      </c>
      <c r="U87" t="n">
        <v>8</v>
      </c>
      <c r="V87" s="2" t="inlineStr">
        <is>
          <t>Garnlav
Tretåig hackspett</t>
        </is>
      </c>
      <c r="W87">
        <f>HYPERLINK("https://klasma.github.io/Logging_2085/artfynd/A 56826-2025 artfynd.xlsx", "A 56826-2025")</f>
        <v/>
      </c>
      <c r="X87">
        <f>HYPERLINK("https://klasma.github.io/Logging_2085/kartor/A 56826-2025 karta.png", "A 56826-2025")</f>
        <v/>
      </c>
      <c r="Y87">
        <f>HYPERLINK("https://klasma.github.io/Logging_2085/kartor_geotiff/A 56826-2025 georefererad karta.tif", "A 56826-2025")</f>
        <v/>
      </c>
      <c r="AA87">
        <f>HYPERLINK("https://klasma.github.io/Logging_2085/klagomål/A 56826-2025 FSC-klagomål.docx", "A 56826-2025")</f>
        <v/>
      </c>
      <c r="AB87">
        <f>HYPERLINK("https://klasma.github.io/Logging_2085/klagomålsmail/A 56826-2025 FSC-klagomål mail.docx", "A 56826-2025")</f>
        <v/>
      </c>
      <c r="AC87">
        <f>HYPERLINK("https://klasma.github.io/Logging_2085/tillsyn/A 56826-2025 tillsynsbegäran.docx", "A 56826-2025")</f>
        <v/>
      </c>
      <c r="AD87">
        <f>HYPERLINK("https://klasma.github.io/Logging_2085/tillsynsmail/A 56826-2025 tillsynsbegäran mail.docx", "A 56826-2025")</f>
        <v/>
      </c>
      <c r="AE87">
        <f>HYPERLINK("https://klasma.github.io/Logging_2085/fåglar/A 56826-2025 prioriterade fågelarter.docx", "A 56826-2025")</f>
        <v/>
      </c>
    </row>
    <row r="88" ht="15" customHeight="1">
      <c r="A88" t="inlineStr">
        <is>
          <t>A 42558-2022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46288</v>
      </c>
      <c r="F88" t="inlineStr">
        <is>
          <t>DALARNAS LÄN</t>
        </is>
      </c>
      <c r="G88" t="inlineStr">
        <is>
          <t>LUDVIKA</t>
        </is>
      </c>
      <c r="H88" t="inlineStr">
        <is>
          <t>Naturvårdsverket</t>
        </is>
      </c>
      <c r="I88" t="n">
        <v>4.9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Gräddporing
Lopplummer (aggregat)</t>
        </is>
      </c>
      <c r="W88">
        <f>HYPERLINK("https://klasma.github.io/Logging_2085/artfynd/A 42558-2022 artfynd.xlsx", "A 42558-2022")</f>
        <v/>
      </c>
      <c r="X88">
        <f>HYPERLINK("https://klasma.github.io/Logging_2085/kartor/A 42558-2022 karta.png", "A 42558-2022")</f>
        <v/>
      </c>
      <c r="Y88">
        <f>HYPERLINK("https://klasma.github.io/Logging_2085/kartor_geotiff/A 42558-2022 georefererad karta.tif", "A 42558-2022")</f>
        <v/>
      </c>
      <c r="AA88">
        <f>HYPERLINK("https://klasma.github.io/Logging_2085/klagomål/A 42558-2022 FSC-klagomål.docx", "A 42558-2022")</f>
        <v/>
      </c>
      <c r="AB88">
        <f>HYPERLINK("https://klasma.github.io/Logging_2085/klagomålsmail/A 42558-2022 FSC-klagomål mail.docx", "A 42558-2022")</f>
        <v/>
      </c>
      <c r="AC88">
        <f>HYPERLINK("https://klasma.github.io/Logging_2085/tillsyn/A 42558-2022 tillsynsbegäran.docx", "A 42558-2022")</f>
        <v/>
      </c>
      <c r="AD88">
        <f>HYPERLINK("https://klasma.github.io/Logging_2085/tillsynsmail/A 42558-2022 tillsynsbegäran mail.docx", "A 42558-2022")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46288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46288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46288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46288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46288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46288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51886-2022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46288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1.8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Brun gräsfjäril</t>
        </is>
      </c>
      <c r="W95">
        <f>HYPERLINK("https://klasma.github.io/Logging_2085/artfynd/A 51886-2022 artfynd.xlsx", "A 51886-2022")</f>
        <v/>
      </c>
      <c r="X95">
        <f>HYPERLINK("https://klasma.github.io/Logging_2085/kartor/A 51886-2022 karta.png", "A 51886-2022")</f>
        <v/>
      </c>
      <c r="Y95">
        <f>HYPERLINK("https://klasma.github.io/Logging_2085/kartor_geotiff/A 51886-2022 georefererad karta.tif", "A 51886-2022")</f>
        <v/>
      </c>
      <c r="AA95">
        <f>HYPERLINK("https://klasma.github.io/Logging_2085/klagomål/A 51886-2022 FSC-klagomål.docx", "A 51886-2022")</f>
        <v/>
      </c>
      <c r="AB95">
        <f>HYPERLINK("https://klasma.github.io/Logging_2085/klagomålsmail/A 51886-2022 FSC-klagomål mail.docx", "A 51886-2022")</f>
        <v/>
      </c>
      <c r="AC95">
        <f>HYPERLINK("https://klasma.github.io/Logging_2085/tillsyn/A 51886-2022 tillsynsbegäran.docx", "A 51886-2022")</f>
        <v/>
      </c>
      <c r="AD95">
        <f>HYPERLINK("https://klasma.github.io/Logging_2085/tillsynsmail/A 51886-2022 tillsynsbegäran mail.docx", "A 51886-2022")</f>
        <v/>
      </c>
    </row>
    <row r="96" ht="15" customHeight="1">
      <c r="A96" t="inlineStr">
        <is>
          <t>A 18189-2025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46288</v>
      </c>
      <c r="F96" t="inlineStr">
        <is>
          <t>DALARNAS LÄN</t>
        </is>
      </c>
      <c r="G96" t="inlineStr">
        <is>
          <t>LUDVIKA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HYPERLINK("https://klasma.github.io/Logging_2085/artfynd/A 18189-2025 artfynd.xlsx", "A 18189-2025")</f>
        <v/>
      </c>
      <c r="X96">
        <f>HYPERLINK("https://klasma.github.io/Logging_2085/kartor/A 18189-2025 karta.png", "A 18189-2025")</f>
        <v/>
      </c>
      <c r="Y96">
        <f>HYPERLINK("https://klasma.github.io/Logging_2085/kartor_geotiff/A 18189-2025 georefererad karta.tif", "A 18189-2025")</f>
        <v/>
      </c>
      <c r="AA96">
        <f>HYPERLINK("https://klasma.github.io/Logging_2085/klagomål/A 18189-2025 FSC-klagomål.docx", "A 18189-2025")</f>
        <v/>
      </c>
      <c r="AB96">
        <f>HYPERLINK("https://klasma.github.io/Logging_2085/klagomålsmail/A 18189-2025 FSC-klagomål mail.docx", "A 18189-2025")</f>
        <v/>
      </c>
      <c r="AC96">
        <f>HYPERLINK("https://klasma.github.io/Logging_2085/tillsyn/A 18189-2025 tillsynsbegäran.docx", "A 18189-2025")</f>
        <v/>
      </c>
      <c r="AD96">
        <f>HYPERLINK("https://klasma.github.io/Logging_2085/tillsynsmail/A 18189-2025 tillsynsbegäran mail.docx", "A 18189-2025")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46288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46288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46288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46288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HYPERLINK("https://klasma.github.io/Logging_2085/artfynd/A 1047-2023 artfynd.xlsx", "A 1047-2023")</f>
        <v/>
      </c>
      <c r="X100">
        <f>HYPERLINK("https://klasma.github.io/Logging_2085/kartor/A 1047-2023 karta.png", "A 1047-2023")</f>
        <v/>
      </c>
      <c r="Y100">
        <f>HYPERLINK("https://klasma.github.io/Logging_2085/kartor_geotiff/A 1047-2023 georefererad karta.tif", "A 1047-2023")</f>
        <v/>
      </c>
      <c r="AA100">
        <f>HYPERLINK("https://klasma.github.io/Logging_2085/klagomål/A 1047-2023 FSC-klagomål.docx", "A 1047-2023")</f>
        <v/>
      </c>
      <c r="AB100">
        <f>HYPERLINK("https://klasma.github.io/Logging_2085/klagomålsmail/A 1047-2023 FSC-klagomål mail.docx", "A 1047-2023")</f>
        <v/>
      </c>
      <c r="AC100">
        <f>HYPERLINK("https://klasma.github.io/Logging_2085/tillsyn/A 1047-2023 tillsynsbegäran.docx", "A 1047-2023")</f>
        <v/>
      </c>
      <c r="AD100">
        <f>HYPERLINK("https://klasma.github.io/Logging_2085/tillsynsmail/A 1047-2023 tillsynsbegäran mail.docx", "A 1047-2023")</f>
        <v/>
      </c>
    </row>
    <row r="101" ht="15" customHeight="1">
      <c r="A101" t="inlineStr">
        <is>
          <t>A 33560-2023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45131</v>
      </c>
      <c r="E101" s="1" t="n">
        <v>46288</v>
      </c>
      <c r="F101" t="inlineStr">
        <is>
          <t>DALARNAS LÄN</t>
        </is>
      </c>
      <c r="G101" t="inlineStr">
        <is>
          <t>LUDVIKA</t>
        </is>
      </c>
      <c r="I101" t="n">
        <v>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Mindre vattensalamander</t>
        </is>
      </c>
      <c r="W101">
        <f>HYPERLINK("https://klasma.github.io/Logging_2085/artfynd/A 33560-2023 artfynd.xlsx", "A 33560-2023")</f>
        <v/>
      </c>
      <c r="X101">
        <f>HYPERLINK("https://klasma.github.io/Logging_2085/kartor/A 33560-2023 karta.png", "A 33560-2023")</f>
        <v/>
      </c>
      <c r="Y101">
        <f>HYPERLINK("https://klasma.github.io/Logging_2085/kartor_geotiff/A 33560-2023 georefererad karta.tif", "A 33560-2023")</f>
        <v/>
      </c>
      <c r="AA101">
        <f>HYPERLINK("https://klasma.github.io/Logging_2085/klagomål/A 33560-2023 FSC-klagomål.docx", "A 33560-2023")</f>
        <v/>
      </c>
      <c r="AB101">
        <f>HYPERLINK("https://klasma.github.io/Logging_2085/klagomålsmail/A 33560-2023 FSC-klagomål mail.docx", "A 33560-2023")</f>
        <v/>
      </c>
      <c r="AC101">
        <f>HYPERLINK("https://klasma.github.io/Logging_2085/tillsyn/A 33560-2023 tillsynsbegäran.docx", "A 33560-2023")</f>
        <v/>
      </c>
      <c r="AD101">
        <f>HYPERLINK("https://klasma.github.io/Logging_2085/tillsynsmail/A 33560-2023 tillsynsbegäran mail.docx", "A 33560-2023")</f>
        <v/>
      </c>
    </row>
    <row r="102" ht="15" customHeight="1">
      <c r="A102" t="inlineStr">
        <is>
          <t>A 3687-2024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46288</v>
      </c>
      <c r="F102" t="inlineStr">
        <is>
          <t>DALARNAS LÄN</t>
        </is>
      </c>
      <c r="G102" t="inlineStr">
        <is>
          <t>LUDVIKA</t>
        </is>
      </c>
      <c r="I102" t="n">
        <v>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Nordfladdermus</t>
        </is>
      </c>
      <c r="W102">
        <f>HYPERLINK("https://klasma.github.io/Logging_2085/artfynd/A 3687-2024 artfynd.xlsx", "A 3687-2024")</f>
        <v/>
      </c>
      <c r="X102">
        <f>HYPERLINK("https://klasma.github.io/Logging_2085/kartor/A 3687-2024 karta.png", "A 3687-2024")</f>
        <v/>
      </c>
      <c r="Y102">
        <f>HYPERLINK("https://klasma.github.io/Logging_2085/kartor_geotiff/A 3687-2024 georefererad karta.tif", "A 3687-2024")</f>
        <v/>
      </c>
      <c r="AA102">
        <f>HYPERLINK("https://klasma.github.io/Logging_2085/klagomål/A 3687-2024 FSC-klagomål.docx", "A 3687-2024")</f>
        <v/>
      </c>
      <c r="AB102">
        <f>HYPERLINK("https://klasma.github.io/Logging_2085/klagomålsmail/A 3687-2024 FSC-klagomål mail.docx", "A 3687-2024")</f>
        <v/>
      </c>
      <c r="AC102">
        <f>HYPERLINK("https://klasma.github.io/Logging_2085/tillsyn/A 3687-2024 tillsynsbegäran.docx", "A 3687-2024")</f>
        <v/>
      </c>
      <c r="AD102">
        <f>HYPERLINK("https://klasma.github.io/Logging_2085/tillsynsmail/A 3687-2024 tillsynsbegäran mail.docx", "A 3687-2024")</f>
        <v/>
      </c>
    </row>
    <row r="103" ht="15" customHeight="1">
      <c r="A103" t="inlineStr">
        <is>
          <t>A 74401-2021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44560</v>
      </c>
      <c r="E103" s="1" t="n">
        <v>46288</v>
      </c>
      <c r="F103" t="inlineStr">
        <is>
          <t>DALARNAS LÄN</t>
        </is>
      </c>
      <c r="G103" t="inlineStr">
        <is>
          <t>LUDVIKA</t>
        </is>
      </c>
      <c r="H103" t="inlineStr">
        <is>
          <t>Kommuner</t>
        </is>
      </c>
      <c r="I103" t="n">
        <v>0.6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Gullgröppa</t>
        </is>
      </c>
      <c r="W103">
        <f>HYPERLINK("https://klasma.github.io/Logging_2085/artfynd/A 74401-2021 artfynd.xlsx", "A 74401-2021")</f>
        <v/>
      </c>
      <c r="X103">
        <f>HYPERLINK("https://klasma.github.io/Logging_2085/kartor/A 74401-2021 karta.png", "A 74401-2021")</f>
        <v/>
      </c>
      <c r="Y103">
        <f>HYPERLINK("https://klasma.github.io/Logging_2085/kartor_geotiff/A 74401-2021 georefererad karta.tif", "A 74401-2021")</f>
        <v/>
      </c>
      <c r="AA103">
        <f>HYPERLINK("https://klasma.github.io/Logging_2085/klagomål/A 74401-2021 FSC-klagomål.docx", "A 74401-2021")</f>
        <v/>
      </c>
      <c r="AB103">
        <f>HYPERLINK("https://klasma.github.io/Logging_2085/klagomålsmail/A 74401-2021 FSC-klagomål mail.docx", "A 74401-2021")</f>
        <v/>
      </c>
      <c r="AC103">
        <f>HYPERLINK("https://klasma.github.io/Logging_2085/tillsyn/A 74401-2021 tillsynsbegäran.docx", "A 74401-2021")</f>
        <v/>
      </c>
      <c r="AD103">
        <f>HYPERLINK("https://klasma.github.io/Logging_2085/tillsynsmail/A 74401-2021 tillsynsbegäran mail.docx", "A 74401-2021")</f>
        <v/>
      </c>
    </row>
    <row r="104" ht="15" customHeight="1">
      <c r="A104" t="inlineStr">
        <is>
          <t>A 26850-2023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46288</v>
      </c>
      <c r="F104" t="inlineStr">
        <is>
          <t>DALARNAS LÄN</t>
        </is>
      </c>
      <c r="G104" t="inlineStr">
        <is>
          <t>LUDVIKA</t>
        </is>
      </c>
      <c r="H104" t="inlineStr">
        <is>
          <t>Naturvårdsverket</t>
        </is>
      </c>
      <c r="I104" t="n">
        <v>2.7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Motaggsvamp</t>
        </is>
      </c>
      <c r="W104">
        <f>HYPERLINK("https://klasma.github.io/Logging_2085/artfynd/A 26850-2023 artfynd.xlsx", "A 26850-2023")</f>
        <v/>
      </c>
      <c r="X104">
        <f>HYPERLINK("https://klasma.github.io/Logging_2085/kartor/A 26850-2023 karta.png", "A 26850-2023")</f>
        <v/>
      </c>
      <c r="Y104">
        <f>HYPERLINK("https://klasma.github.io/Logging_2085/kartor_geotiff/A 26850-2023 georefererad karta.tif", "A 26850-2023")</f>
        <v/>
      </c>
      <c r="AA104">
        <f>HYPERLINK("https://klasma.github.io/Logging_2085/klagomål/A 26850-2023 FSC-klagomål.docx", "A 26850-2023")</f>
        <v/>
      </c>
      <c r="AB104">
        <f>HYPERLINK("https://klasma.github.io/Logging_2085/klagomålsmail/A 26850-2023 FSC-klagomål mail.docx", "A 26850-2023")</f>
        <v/>
      </c>
      <c r="AC104">
        <f>HYPERLINK("https://klasma.github.io/Logging_2085/tillsyn/A 26850-2023 tillsynsbegäran.docx", "A 26850-2023")</f>
        <v/>
      </c>
      <c r="AD104">
        <f>HYPERLINK("https://klasma.github.io/Logging_2085/tillsynsmail/A 26850-2023 tillsynsbegäran mail.docx", "A 26850-2023")</f>
        <v/>
      </c>
    </row>
    <row r="105" ht="15" customHeight="1">
      <c r="A105" t="inlineStr">
        <is>
          <t>A 45791-2025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46288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Vitfläckig guldvinge</t>
        </is>
      </c>
      <c r="W105">
        <f>HYPERLINK("https://klasma.github.io/Logging_2085/artfynd/A 45791-2025 artfynd.xlsx", "A 45791-2025")</f>
        <v/>
      </c>
      <c r="X105">
        <f>HYPERLINK("https://klasma.github.io/Logging_2085/kartor/A 45791-2025 karta.png", "A 45791-2025")</f>
        <v/>
      </c>
      <c r="Y105">
        <f>HYPERLINK("https://klasma.github.io/Logging_2085/kartor_geotiff/A 45791-2025 georefererad karta.tif", "A 45791-2025")</f>
        <v/>
      </c>
      <c r="AA105">
        <f>HYPERLINK("https://klasma.github.io/Logging_2085/klagomål/A 45791-2025 FSC-klagomål.docx", "A 45791-2025")</f>
        <v/>
      </c>
      <c r="AB105">
        <f>HYPERLINK("https://klasma.github.io/Logging_2085/klagomålsmail/A 45791-2025 FSC-klagomål mail.docx", "A 45791-2025")</f>
        <v/>
      </c>
      <c r="AC105">
        <f>HYPERLINK("https://klasma.github.io/Logging_2085/tillsyn/A 45791-2025 tillsynsbegäran.docx", "A 45791-2025")</f>
        <v/>
      </c>
      <c r="AD105">
        <f>HYPERLINK("https://klasma.github.io/Logging_2085/tillsynsmail/A 45791-2025 tillsynsbegäran mail.docx", "A 45791-2025")</f>
        <v/>
      </c>
    </row>
    <row r="106" ht="15" customHeight="1">
      <c r="A106" t="inlineStr">
        <is>
          <t>A 45858-2025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46288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Granbarkgnagare</t>
        </is>
      </c>
      <c r="W106">
        <f>HYPERLINK("https://klasma.github.io/Logging_2085/artfynd/A 45858-2025 artfynd.xlsx", "A 45858-2025")</f>
        <v/>
      </c>
      <c r="X106">
        <f>HYPERLINK("https://klasma.github.io/Logging_2085/kartor/A 45858-2025 karta.png", "A 45858-2025")</f>
        <v/>
      </c>
      <c r="Y106">
        <f>HYPERLINK("https://klasma.github.io/Logging_2085/kartor_geotiff/A 45858-2025 georefererad karta.tif", "A 45858-2025")</f>
        <v/>
      </c>
      <c r="AA106">
        <f>HYPERLINK("https://klasma.github.io/Logging_2085/klagomål/A 45858-2025 FSC-klagomål.docx", "A 45858-2025")</f>
        <v/>
      </c>
      <c r="AB106">
        <f>HYPERLINK("https://klasma.github.io/Logging_2085/klagomålsmail/A 45858-2025 FSC-klagomål mail.docx", "A 45858-2025")</f>
        <v/>
      </c>
      <c r="AC106">
        <f>HYPERLINK("https://klasma.github.io/Logging_2085/tillsyn/A 45858-2025 tillsynsbegäran.docx", "A 45858-2025")</f>
        <v/>
      </c>
      <c r="AD106">
        <f>HYPERLINK("https://klasma.github.io/Logging_2085/tillsynsmail/A 45858-2025 tillsynsbegäran mail.docx", "A 45858-2025")</f>
        <v/>
      </c>
    </row>
    <row r="107" ht="15" customHeight="1">
      <c r="A107" t="inlineStr">
        <is>
          <t>A 62275-2022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46288</v>
      </c>
      <c r="F107" t="inlineStr">
        <is>
          <t>DALARNAS LÄN</t>
        </is>
      </c>
      <c r="G107" t="inlineStr">
        <is>
          <t>LUDVIKA</t>
        </is>
      </c>
      <c r="I107" t="n">
        <v>4.6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HYPERLINK("https://klasma.github.io/Logging_2085/artfynd/A 62275-2022 artfynd.xlsx", "A 62275-2022")</f>
        <v/>
      </c>
      <c r="X107">
        <f>HYPERLINK("https://klasma.github.io/Logging_2085/kartor/A 62275-2022 karta.png", "A 62275-2022")</f>
        <v/>
      </c>
      <c r="Y107">
        <f>HYPERLINK("https://klasma.github.io/Logging_2085/kartor_geotiff/A 62275-2022 georefererad karta.tif", "A 62275-2022")</f>
        <v/>
      </c>
      <c r="Z107">
        <f>HYPERLINK("https://klasma.github.io/Logging_2085/knärot/A 62275-2022 karta knärot.png", "A 62275-2022")</f>
        <v/>
      </c>
      <c r="AA107">
        <f>HYPERLINK("https://klasma.github.io/Logging_2085/klagomål/A 62275-2022 FSC-klagomål.docx", "A 62275-2022")</f>
        <v/>
      </c>
      <c r="AB107">
        <f>HYPERLINK("https://klasma.github.io/Logging_2085/klagomålsmail/A 62275-2022 FSC-klagomål mail.docx", "A 62275-2022")</f>
        <v/>
      </c>
      <c r="AC107">
        <f>HYPERLINK("https://klasma.github.io/Logging_2085/tillsyn/A 62275-2022 tillsynsbegäran.docx", "A 62275-2022")</f>
        <v/>
      </c>
      <c r="AD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46288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HYPERLINK("https://klasma.github.io/Logging_2085/artfynd/A 25588-2023 artfynd.xlsx", "A 25588-2023")</f>
        <v/>
      </c>
      <c r="X108">
        <f>HYPERLINK("https://klasma.github.io/Logging_2085/kartor/A 25588-2023 karta.png", "A 25588-2023")</f>
        <v/>
      </c>
      <c r="Y108">
        <f>HYPERLINK("https://klasma.github.io/Logging_2085/kartor_geotiff/A 25588-2023 georefererad karta.tif", "A 25588-2023")</f>
        <v/>
      </c>
      <c r="AA108">
        <f>HYPERLINK("https://klasma.github.io/Logging_2085/klagomål/A 25588-2023 FSC-klagomål.docx", "A 25588-2023")</f>
        <v/>
      </c>
      <c r="AB108">
        <f>HYPERLINK("https://klasma.github.io/Logging_2085/klagomålsmail/A 25588-2023 FSC-klagomål mail.docx", "A 25588-2023")</f>
        <v/>
      </c>
      <c r="AC108">
        <f>HYPERLINK("https://klasma.github.io/Logging_2085/tillsyn/A 25588-2023 tillsynsbegäran.docx", "A 25588-2023")</f>
        <v/>
      </c>
      <c r="AD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21880-2026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46288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Spillkråka</t>
        </is>
      </c>
      <c r="W109">
        <f>HYPERLINK("https://klasma.github.io/Logging_2085/artfynd/A 21880-2026 artfynd.xlsx", "A 21880-2026")</f>
        <v/>
      </c>
      <c r="X109">
        <f>HYPERLINK("https://klasma.github.io/Logging_2085/kartor/A 21880-2026 karta.png", "A 21880-2026")</f>
        <v/>
      </c>
      <c r="Y109">
        <f>HYPERLINK("https://klasma.github.io/Logging_2085/kartor_geotiff/A 21880-2026 georefererad karta.tif", "A 21880-2026")</f>
        <v/>
      </c>
      <c r="AA109">
        <f>HYPERLINK("https://klasma.github.io/Logging_2085/klagomål/A 21880-2026 FSC-klagomål.docx", "A 21880-2026")</f>
        <v/>
      </c>
      <c r="AB109">
        <f>HYPERLINK("https://klasma.github.io/Logging_2085/klagomålsmail/A 21880-2026 FSC-klagomål mail.docx", "A 21880-2026")</f>
        <v/>
      </c>
      <c r="AC109">
        <f>HYPERLINK("https://klasma.github.io/Logging_2085/tillsyn/A 21880-2026 tillsynsbegäran.docx", "A 21880-2026")</f>
        <v/>
      </c>
      <c r="AD109">
        <f>HYPERLINK("https://klasma.github.io/Logging_2085/tillsynsmail/A 21880-2026 tillsynsbegäran mail.docx", "A 21880-2026")</f>
        <v/>
      </c>
      <c r="AE109">
        <f>HYPERLINK("https://klasma.github.io/Logging_2085/fåglar/A 21880-2026 prioriterade fågelarter.docx", "A 21880-2026")</f>
        <v/>
      </c>
    </row>
    <row r="110" ht="15" customHeight="1">
      <c r="A110" t="inlineStr">
        <is>
          <t>A 36050-2025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45866</v>
      </c>
      <c r="E110" s="1" t="n">
        <v>46288</v>
      </c>
      <c r="F110" t="inlineStr">
        <is>
          <t>DALARNAS LÄN</t>
        </is>
      </c>
      <c r="G110" t="inlineStr">
        <is>
          <t>LUDVIKA</t>
        </is>
      </c>
      <c r="I110" t="n">
        <v>1.4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Mindre hackspett</t>
        </is>
      </c>
      <c r="W110">
        <f>HYPERLINK("https://klasma.github.io/Logging_2085/artfynd/A 36050-2025 artfynd.xlsx", "A 36050-2025")</f>
        <v/>
      </c>
      <c r="X110">
        <f>HYPERLINK("https://klasma.github.io/Logging_2085/kartor/A 36050-2025 karta.png", "A 36050-2025")</f>
        <v/>
      </c>
      <c r="Y110">
        <f>HYPERLINK("https://klasma.github.io/Logging_2085/kartor_geotiff/A 36050-2025 georefererad karta.tif", "A 36050-2025")</f>
        <v/>
      </c>
      <c r="AA110">
        <f>HYPERLINK("https://klasma.github.io/Logging_2085/klagomål/A 36050-2025 FSC-klagomål.docx", "A 36050-2025")</f>
        <v/>
      </c>
      <c r="AB110">
        <f>HYPERLINK("https://klasma.github.io/Logging_2085/klagomålsmail/A 36050-2025 FSC-klagomål mail.docx", "A 36050-2025")</f>
        <v/>
      </c>
      <c r="AC110">
        <f>HYPERLINK("https://klasma.github.io/Logging_2085/tillsyn/A 36050-2025 tillsynsbegäran.docx", "A 36050-2025")</f>
        <v/>
      </c>
      <c r="AD110">
        <f>HYPERLINK("https://klasma.github.io/Logging_2085/tillsynsmail/A 36050-2025 tillsynsbegäran mail.docx", "A 36050-2025")</f>
        <v/>
      </c>
      <c r="AE110">
        <f>HYPERLINK("https://klasma.github.io/Logging_2085/fåglar/A 36050-2025 prioriterade fågelarter.docx", "A 36050-2025")</f>
        <v/>
      </c>
    </row>
    <row r="111" ht="15" customHeight="1">
      <c r="A111" t="inlineStr">
        <is>
          <t>A 23720-2026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46288</v>
      </c>
      <c r="F111" t="inlineStr">
        <is>
          <t>DALARNAS LÄN</t>
        </is>
      </c>
      <c r="G111" t="inlineStr">
        <is>
          <t>LUDVIKA</t>
        </is>
      </c>
      <c r="I111" t="n">
        <v>3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Tretåig hackspett</t>
        </is>
      </c>
      <c r="W111">
        <f>HYPERLINK("https://klasma.github.io/Logging_2085/artfynd/A 23720-2026 artfynd.xlsx", "A 23720-2026")</f>
        <v/>
      </c>
      <c r="X111">
        <f>HYPERLINK("https://klasma.github.io/Logging_2085/kartor/A 23720-2026 karta.png", "A 23720-2026")</f>
        <v/>
      </c>
      <c r="Y111">
        <f>HYPERLINK("https://klasma.github.io/Logging_2085/kartor_geotiff/A 23720-2026 georefererad karta.tif", "A 23720-2026")</f>
        <v/>
      </c>
      <c r="AA111">
        <f>HYPERLINK("https://klasma.github.io/Logging_2085/klagomål/A 23720-2026 FSC-klagomål.docx", "A 23720-2026")</f>
        <v/>
      </c>
      <c r="AB111">
        <f>HYPERLINK("https://klasma.github.io/Logging_2085/klagomålsmail/A 23720-2026 FSC-klagomål mail.docx", "A 23720-2026")</f>
        <v/>
      </c>
      <c r="AC111">
        <f>HYPERLINK("https://klasma.github.io/Logging_2085/tillsyn/A 23720-2026 tillsynsbegäran.docx", "A 23720-2026")</f>
        <v/>
      </c>
      <c r="AD111">
        <f>HYPERLINK("https://klasma.github.io/Logging_2085/tillsynsmail/A 23720-2026 tillsynsbegäran mail.docx", "A 23720-2026")</f>
        <v/>
      </c>
      <c r="AE111">
        <f>HYPERLINK("https://klasma.github.io/Logging_2085/fåglar/A 23720-2026 prioriterade fågelarter.docx", "A 23720-2026")</f>
        <v/>
      </c>
    </row>
    <row r="112" ht="15" customHeight="1">
      <c r="A112" t="inlineStr">
        <is>
          <t>A 23778-2026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46164</v>
      </c>
      <c r="E112" s="1" t="n">
        <v>46288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HYPERLINK("https://klasma.github.io/Logging_2085/artfynd/A 23778-2026 artfynd.xlsx", "A 23778-2026")</f>
        <v/>
      </c>
      <c r="X112">
        <f>HYPERLINK("https://klasma.github.io/Logging_2085/kartor/A 23778-2026 karta.png", "A 23778-2026")</f>
        <v/>
      </c>
      <c r="Y112">
        <f>HYPERLINK("https://klasma.github.io/Logging_2085/kartor_geotiff/A 23778-2026 georefererad karta.tif", "A 23778-2026")</f>
        <v/>
      </c>
      <c r="AA112">
        <f>HYPERLINK("https://klasma.github.io/Logging_2085/klagomål/A 23778-2026 FSC-klagomål.docx", "A 23778-2026")</f>
        <v/>
      </c>
      <c r="AB112">
        <f>HYPERLINK("https://klasma.github.io/Logging_2085/klagomålsmail/A 23778-2026 FSC-klagomål mail.docx", "A 23778-2026")</f>
        <v/>
      </c>
      <c r="AC112">
        <f>HYPERLINK("https://klasma.github.io/Logging_2085/tillsyn/A 23778-2026 tillsynsbegäran.docx", "A 23778-2026")</f>
        <v/>
      </c>
      <c r="AD112">
        <f>HYPERLINK("https://klasma.github.io/Logging_2085/tillsynsmail/A 23778-2026 tillsynsbegäran mail.docx", "A 23778-2026")</f>
        <v/>
      </c>
      <c r="AE112">
        <f>HYPERLINK("https://klasma.github.io/Logging_2085/fåglar/A 23778-2026 prioriterade fågelarter.docx", "A 23778-2026")</f>
        <v/>
      </c>
    </row>
    <row r="113" ht="15" customHeight="1">
      <c r="A113" t="inlineStr">
        <is>
          <t>A 63005-2025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46288</v>
      </c>
      <c r="F113" t="inlineStr">
        <is>
          <t>DALARNAS LÄN</t>
        </is>
      </c>
      <c r="G113" t="inlineStr">
        <is>
          <t>LUDVIKA</t>
        </is>
      </c>
      <c r="I113" t="n">
        <v>4.4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63005-2025 artfynd.xlsx", "A 63005-2025")</f>
        <v/>
      </c>
      <c r="X113">
        <f>HYPERLINK("https://klasma.github.io/Logging_2085/kartor/A 63005-2025 karta.png", "A 63005-2025")</f>
        <v/>
      </c>
      <c r="Y113">
        <f>HYPERLINK("https://klasma.github.io/Logging_2085/kartor_geotiff/A 63005-2025 georefererad karta.tif", "A 63005-2025")</f>
        <v/>
      </c>
      <c r="AA113">
        <f>HYPERLINK("https://klasma.github.io/Logging_2085/klagomål/A 63005-2025 FSC-klagomål.docx", "A 63005-2025")</f>
        <v/>
      </c>
      <c r="AB113">
        <f>HYPERLINK("https://klasma.github.io/Logging_2085/klagomålsmail/A 63005-2025 FSC-klagomål mail.docx", "A 63005-2025")</f>
        <v/>
      </c>
      <c r="AC113">
        <f>HYPERLINK("https://klasma.github.io/Logging_2085/tillsyn/A 63005-2025 tillsynsbegäran.docx", "A 63005-2025")</f>
        <v/>
      </c>
      <c r="AD113">
        <f>HYPERLINK("https://klasma.github.io/Logging_2085/tillsynsmail/A 63005-2025 tillsynsbegäran mail.docx", "A 63005-2025")</f>
        <v/>
      </c>
      <c r="AE113">
        <f>HYPERLINK("https://klasma.github.io/Logging_2085/fåglar/A 63005-2025 prioriterade fågelarter.docx", "A 63005-2025")</f>
        <v/>
      </c>
    </row>
    <row r="114" ht="15" customHeight="1">
      <c r="A114" t="inlineStr">
        <is>
          <t>A 25159-2026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46175</v>
      </c>
      <c r="E114" s="1" t="n">
        <v>46288</v>
      </c>
      <c r="F114" t="inlineStr">
        <is>
          <t>DALARNAS LÄN</t>
        </is>
      </c>
      <c r="G114" t="inlineStr">
        <is>
          <t>LUDVIKA</t>
        </is>
      </c>
      <c r="I114" t="n">
        <v>2.3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Tibast</t>
        </is>
      </c>
      <c r="W114">
        <f>HYPERLINK("https://klasma.github.io/Logging_2085/artfynd/A 25159-2026 artfynd.xlsx", "A 25159-2026")</f>
        <v/>
      </c>
      <c r="X114">
        <f>HYPERLINK("https://klasma.github.io/Logging_2085/kartor/A 25159-2026 karta.png", "A 25159-2026")</f>
        <v/>
      </c>
      <c r="Y114">
        <f>HYPERLINK("https://klasma.github.io/Logging_2085/kartor_geotiff/A 25159-2026 georefererad karta.tif", "A 25159-2026")</f>
        <v/>
      </c>
      <c r="AA114">
        <f>HYPERLINK("https://klasma.github.io/Logging_2085/klagomål/A 25159-2026 FSC-klagomål.docx", "A 25159-2026")</f>
        <v/>
      </c>
      <c r="AB114">
        <f>HYPERLINK("https://klasma.github.io/Logging_2085/klagomålsmail/A 25159-2026 FSC-klagomål mail.docx", "A 25159-2026")</f>
        <v/>
      </c>
      <c r="AC114">
        <f>HYPERLINK("https://klasma.github.io/Logging_2085/tillsyn/A 25159-2026 tillsynsbegäran.docx", "A 25159-2026")</f>
        <v/>
      </c>
      <c r="AD114">
        <f>HYPERLINK("https://klasma.github.io/Logging_2085/tillsynsmail/A 25159-2026 tillsynsbegäran mail.docx", "A 25159-2026")</f>
        <v/>
      </c>
    </row>
    <row r="115" ht="15" customHeight="1">
      <c r="A115" t="inlineStr">
        <is>
          <t>A 59873-2025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46288</v>
      </c>
      <c r="F115" t="inlineStr">
        <is>
          <t>DALARNAS LÄN</t>
        </is>
      </c>
      <c r="G115" t="inlineStr">
        <is>
          <t>LUDVIKA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Lateritticka</t>
        </is>
      </c>
      <c r="W115">
        <f>HYPERLINK("https://klasma.github.io/Logging_2085/artfynd/A 59873-2025 artfynd.xlsx", "A 59873-2025")</f>
        <v/>
      </c>
      <c r="X115">
        <f>HYPERLINK("https://klasma.github.io/Logging_2085/kartor/A 59873-2025 karta.png", "A 59873-2025")</f>
        <v/>
      </c>
      <c r="Y115">
        <f>HYPERLINK("https://klasma.github.io/Logging_2085/kartor_geotiff/A 59873-2025 georefererad karta.tif", "A 59873-2025")</f>
        <v/>
      </c>
      <c r="AA115">
        <f>HYPERLINK("https://klasma.github.io/Logging_2085/klagomål/A 59873-2025 FSC-klagomål.docx", "A 59873-2025")</f>
        <v/>
      </c>
      <c r="AB115">
        <f>HYPERLINK("https://klasma.github.io/Logging_2085/klagomålsmail/A 59873-2025 FSC-klagomål mail.docx", "A 59873-2025")</f>
        <v/>
      </c>
      <c r="AC115">
        <f>HYPERLINK("https://klasma.github.io/Logging_2085/tillsyn/A 59873-2025 tillsynsbegäran.docx", "A 59873-2025")</f>
        <v/>
      </c>
      <c r="AD115">
        <f>HYPERLINK("https://klasma.github.io/Logging_2085/tillsynsmail/A 59873-2025 tillsynsbegäran mail.docx", "A 59873-2025")</f>
        <v/>
      </c>
    </row>
    <row r="116" ht="15" customHeight="1">
      <c r="A116" t="inlineStr">
        <is>
          <t>A 56655-2025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46288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8.5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56655-2025 artfynd.xlsx", "A 56655-2025")</f>
        <v/>
      </c>
      <c r="X116">
        <f>HYPERLINK("https://klasma.github.io/Logging_2085/kartor/A 56655-2025 karta.png", "A 56655-2025")</f>
        <v/>
      </c>
      <c r="Y116">
        <f>HYPERLINK("https://klasma.github.io/Logging_2085/kartor_geotiff/A 56655-2025 georefererad karta.tif", "A 56655-2025")</f>
        <v/>
      </c>
      <c r="AA116">
        <f>HYPERLINK("https://klasma.github.io/Logging_2085/klagomål/A 56655-2025 FSC-klagomål.docx", "A 56655-2025")</f>
        <v/>
      </c>
      <c r="AB116">
        <f>HYPERLINK("https://klasma.github.io/Logging_2085/klagomålsmail/A 56655-2025 FSC-klagomål mail.docx", "A 56655-2025")</f>
        <v/>
      </c>
      <c r="AC116">
        <f>HYPERLINK("https://klasma.github.io/Logging_2085/tillsyn/A 56655-2025 tillsynsbegäran.docx", "A 56655-2025")</f>
        <v/>
      </c>
      <c r="AD116">
        <f>HYPERLINK("https://klasma.github.io/Logging_2085/tillsynsmail/A 56655-2025 tillsynsbegäran mail.docx", "A 56655-2025")</f>
        <v/>
      </c>
      <c r="AE116">
        <f>HYPERLINK("https://klasma.github.io/Logging_2085/fåglar/A 56655-2025 prioriterade fågelarter.docx", "A 56655-2025")</f>
        <v/>
      </c>
    </row>
    <row r="117" ht="15" customHeight="1">
      <c r="A117" t="inlineStr">
        <is>
          <t>A 62676-2025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46288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4.2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HYPERLINK("https://klasma.github.io/Logging_2085/artfynd/A 62676-2025 artfynd.xlsx", "A 62676-2025")</f>
        <v/>
      </c>
      <c r="X117">
        <f>HYPERLINK("https://klasma.github.io/Logging_2085/kartor/A 62676-2025 karta.png", "A 62676-2025")</f>
        <v/>
      </c>
      <c r="Y117">
        <f>HYPERLINK("https://klasma.github.io/Logging_2085/kartor_geotiff/A 62676-2025 georefererad karta.tif", "A 62676-2025")</f>
        <v/>
      </c>
      <c r="AA117">
        <f>HYPERLINK("https://klasma.github.io/Logging_2085/klagomål/A 62676-2025 FSC-klagomål.docx", "A 62676-2025")</f>
        <v/>
      </c>
      <c r="AB117">
        <f>HYPERLINK("https://klasma.github.io/Logging_2085/klagomålsmail/A 62676-2025 FSC-klagomål mail.docx", "A 62676-2025")</f>
        <v/>
      </c>
      <c r="AC117">
        <f>HYPERLINK("https://klasma.github.io/Logging_2085/tillsyn/A 62676-2025 tillsynsbegäran.docx", "A 62676-2025")</f>
        <v/>
      </c>
      <c r="AD117">
        <f>HYPERLINK("https://klasma.github.io/Logging_2085/tillsynsmail/A 62676-2025 tillsynsbegäran mail.docx", "A 62676-2025")</f>
        <v/>
      </c>
    </row>
    <row r="118" ht="15" customHeight="1">
      <c r="A118" t="inlineStr">
        <is>
          <t>A 17987-2025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45761</v>
      </c>
      <c r="E118" s="1" t="n">
        <v>46288</v>
      </c>
      <c r="F118" t="inlineStr">
        <is>
          <t>DALARNAS LÄN</t>
        </is>
      </c>
      <c r="G118" t="inlineStr">
        <is>
          <t>LUDVIKA</t>
        </is>
      </c>
      <c r="I118" t="n">
        <v>0.5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HYPERLINK("https://klasma.github.io/Logging_2085/artfynd/A 17987-2025 artfynd.xlsx", "A 17987-2025")</f>
        <v/>
      </c>
      <c r="X118">
        <f>HYPERLINK("https://klasma.github.io/Logging_2085/kartor/A 17987-2025 karta.png", "A 17987-2025")</f>
        <v/>
      </c>
      <c r="Y118">
        <f>HYPERLINK("https://klasma.github.io/Logging_2085/kartor_geotiff/A 17987-2025 georefererad karta.tif", "A 17987-2025")</f>
        <v/>
      </c>
      <c r="AA118">
        <f>HYPERLINK("https://klasma.github.io/Logging_2085/klagomål/A 17987-2025 FSC-klagomål.docx", "A 17987-2025")</f>
        <v/>
      </c>
      <c r="AB118">
        <f>HYPERLINK("https://klasma.github.io/Logging_2085/klagomålsmail/A 17987-2025 FSC-klagomål mail.docx", "A 17987-2025")</f>
        <v/>
      </c>
      <c r="AC118">
        <f>HYPERLINK("https://klasma.github.io/Logging_2085/tillsyn/A 17987-2025 tillsynsbegäran.docx", "A 17987-2025")</f>
        <v/>
      </c>
      <c r="AD118">
        <f>HYPERLINK("https://klasma.github.io/Logging_2085/tillsynsmail/A 17987-2025 tillsynsbegäran mail.docx", "A 17987-2025")</f>
        <v/>
      </c>
      <c r="AE118">
        <f>HYPERLINK("https://klasma.github.io/Logging_2085/fåglar/A 17987-2025 prioriterade fågelarter.docx", "A 17987-2025")</f>
        <v/>
      </c>
    </row>
    <row r="119" ht="15" customHeight="1">
      <c r="A119" t="inlineStr">
        <is>
          <t>A 21499-2022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46288</v>
      </c>
      <c r="F119" t="inlineStr">
        <is>
          <t>DALARNAS LÄN</t>
        </is>
      </c>
      <c r="G119" t="inlineStr">
        <is>
          <t>LUDVIKA</t>
        </is>
      </c>
      <c r="I119" t="n">
        <v>4.3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Strimspindling</t>
        </is>
      </c>
      <c r="W119">
        <f>HYPERLINK("https://klasma.github.io/Logging_2085/artfynd/A 21499-2022 artfynd.xlsx", "A 21499-2022")</f>
        <v/>
      </c>
      <c r="X119">
        <f>HYPERLINK("https://klasma.github.io/Logging_2085/kartor/A 21499-2022 karta.png", "A 21499-2022")</f>
        <v/>
      </c>
      <c r="Y119">
        <f>HYPERLINK("https://klasma.github.io/Logging_2085/kartor_geotiff/A 21499-2022 georefererad karta.tif", "A 21499-2022")</f>
        <v/>
      </c>
      <c r="AA119">
        <f>HYPERLINK("https://klasma.github.io/Logging_2085/klagomål/A 21499-2022 FSC-klagomål.docx", "A 21499-2022")</f>
        <v/>
      </c>
      <c r="AB119">
        <f>HYPERLINK("https://klasma.github.io/Logging_2085/klagomålsmail/A 21499-2022 FSC-klagomål mail.docx", "A 21499-2022")</f>
        <v/>
      </c>
      <c r="AC119">
        <f>HYPERLINK("https://klasma.github.io/Logging_2085/tillsyn/A 21499-2022 tillsynsbegäran.docx", "A 21499-2022")</f>
        <v/>
      </c>
      <c r="AD119">
        <f>HYPERLINK("https://klasma.github.io/Logging_2085/tillsynsmail/A 21499-2022 tillsynsbegäran mail.docx", "A 21499-2022")</f>
        <v/>
      </c>
    </row>
    <row r="120" ht="15" customHeight="1">
      <c r="A120" t="inlineStr">
        <is>
          <t>A 59947-2025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46288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HYPERLINK("https://klasma.github.io/Logging_2085/artfynd/A 59947-2025 artfynd.xlsx", "A 59947-2025")</f>
        <v/>
      </c>
      <c r="X120">
        <f>HYPERLINK("https://klasma.github.io/Logging_2085/kartor/A 59947-2025 karta.png", "A 59947-2025")</f>
        <v/>
      </c>
      <c r="Y120">
        <f>HYPERLINK("https://klasma.github.io/Logging_2085/kartor_geotiff/A 59947-2025 georefererad karta.tif", "A 59947-2025")</f>
        <v/>
      </c>
      <c r="AA120">
        <f>HYPERLINK("https://klasma.github.io/Logging_2085/klagomål/A 59947-2025 FSC-klagomål.docx", "A 59947-2025")</f>
        <v/>
      </c>
      <c r="AB120">
        <f>HYPERLINK("https://klasma.github.io/Logging_2085/klagomålsmail/A 59947-2025 FSC-klagomål mail.docx", "A 59947-2025")</f>
        <v/>
      </c>
      <c r="AC120">
        <f>HYPERLINK("https://klasma.github.io/Logging_2085/tillsyn/A 59947-2025 tillsynsbegäran.docx", "A 59947-2025")</f>
        <v/>
      </c>
      <c r="AD120">
        <f>HYPERLINK("https://klasma.github.io/Logging_2085/tillsynsmail/A 59947-2025 tillsynsbegäran mail.docx", "A 59947-2025")</f>
        <v/>
      </c>
      <c r="AE120">
        <f>HYPERLINK("https://klasma.github.io/Logging_2085/fåglar/A 59947-2025 prioriterade fågelarter.docx", "A 59947-2025")</f>
        <v/>
      </c>
    </row>
    <row r="121" ht="15" customHeight="1">
      <c r="A121" t="inlineStr">
        <is>
          <t>A 49660-2024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45596</v>
      </c>
      <c r="E121" s="1" t="n">
        <v>46288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0.9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Mörk husmossa</t>
        </is>
      </c>
      <c r="W121">
        <f>HYPERLINK("https://klasma.github.io/Logging_2085/artfynd/A 49660-2024 artfynd.xlsx", "A 49660-2024")</f>
        <v/>
      </c>
      <c r="X121">
        <f>HYPERLINK("https://klasma.github.io/Logging_2085/kartor/A 49660-2024 karta.png", "A 49660-2024")</f>
        <v/>
      </c>
      <c r="Y121">
        <f>HYPERLINK("https://klasma.github.io/Logging_2085/kartor_geotiff/A 49660-2024 georefererad karta.tif", "A 49660-2024")</f>
        <v/>
      </c>
      <c r="AA121">
        <f>HYPERLINK("https://klasma.github.io/Logging_2085/klagomål/A 49660-2024 FSC-klagomål.docx", "A 49660-2024")</f>
        <v/>
      </c>
      <c r="AB121">
        <f>HYPERLINK("https://klasma.github.io/Logging_2085/klagomålsmail/A 49660-2024 FSC-klagomål mail.docx", "A 49660-2024")</f>
        <v/>
      </c>
      <c r="AC121">
        <f>HYPERLINK("https://klasma.github.io/Logging_2085/tillsyn/A 49660-2024 tillsynsbegäran.docx", "A 49660-2024")</f>
        <v/>
      </c>
      <c r="AD121">
        <f>HYPERLINK("https://klasma.github.io/Logging_2085/tillsynsmail/A 49660-2024 tillsynsbegäran mail.docx", "A 49660-2024")</f>
        <v/>
      </c>
    </row>
    <row r="122" ht="15" customHeight="1">
      <c r="A122" t="inlineStr">
        <is>
          <t>A 60787-2024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45644</v>
      </c>
      <c r="E122" s="1" t="n">
        <v>46288</v>
      </c>
      <c r="F122" t="inlineStr">
        <is>
          <t>DALARNAS LÄN</t>
        </is>
      </c>
      <c r="G122" t="inlineStr">
        <is>
          <t>LUDVIKA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Järpe</t>
        </is>
      </c>
      <c r="W122">
        <f>HYPERLINK("https://klasma.github.io/Logging_2085/artfynd/A 60787-2024 artfynd.xlsx", "A 60787-2024")</f>
        <v/>
      </c>
      <c r="X122">
        <f>HYPERLINK("https://klasma.github.io/Logging_2085/kartor/A 60787-2024 karta.png", "A 60787-2024")</f>
        <v/>
      </c>
      <c r="Y122">
        <f>HYPERLINK("https://klasma.github.io/Logging_2085/kartor_geotiff/A 60787-2024 georefererad karta.tif", "A 60787-2024")</f>
        <v/>
      </c>
      <c r="AA122">
        <f>HYPERLINK("https://klasma.github.io/Logging_2085/klagomål/A 60787-2024 FSC-klagomål.docx", "A 60787-2024")</f>
        <v/>
      </c>
      <c r="AB122">
        <f>HYPERLINK("https://klasma.github.io/Logging_2085/klagomålsmail/A 60787-2024 FSC-klagomål mail.docx", "A 60787-2024")</f>
        <v/>
      </c>
      <c r="AC122">
        <f>HYPERLINK("https://klasma.github.io/Logging_2085/tillsyn/A 60787-2024 tillsynsbegäran.docx", "A 60787-2024")</f>
        <v/>
      </c>
      <c r="AD122">
        <f>HYPERLINK("https://klasma.github.io/Logging_2085/tillsynsmail/A 60787-2024 tillsynsbegäran mail.docx", "A 60787-2024")</f>
        <v/>
      </c>
      <c r="AE122">
        <f>HYPERLINK("https://klasma.github.io/Logging_2085/fåglar/A 60787-2024 prioriterade fågelarter.docx", "A 60787-2024")</f>
        <v/>
      </c>
    </row>
    <row r="123" ht="15" customHeight="1">
      <c r="A123" t="inlineStr">
        <is>
          <t>A 400-2023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44929</v>
      </c>
      <c r="E123" s="1" t="n">
        <v>46288</v>
      </c>
      <c r="F123" t="inlineStr">
        <is>
          <t>DALARNAS LÄN</t>
        </is>
      </c>
      <c r="G123" t="inlineStr">
        <is>
          <t>LUDVIKA</t>
        </is>
      </c>
      <c r="I123" t="n">
        <v>3.6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Nordfladdermus</t>
        </is>
      </c>
      <c r="W123">
        <f>HYPERLINK("https://klasma.github.io/Logging_2085/artfynd/A 400-2023 artfynd.xlsx", "A 400-2023")</f>
        <v/>
      </c>
      <c r="X123">
        <f>HYPERLINK("https://klasma.github.io/Logging_2085/kartor/A 400-2023 karta.png", "A 400-2023")</f>
        <v/>
      </c>
      <c r="Y123">
        <f>HYPERLINK("https://klasma.github.io/Logging_2085/kartor_geotiff/A 400-2023 georefererad karta.tif", "A 400-2023")</f>
        <v/>
      </c>
      <c r="AA123">
        <f>HYPERLINK("https://klasma.github.io/Logging_2085/klagomål/A 400-2023 FSC-klagomål.docx", "A 400-2023")</f>
        <v/>
      </c>
      <c r="AB123">
        <f>HYPERLINK("https://klasma.github.io/Logging_2085/klagomålsmail/A 400-2023 FSC-klagomål mail.docx", "A 400-2023")</f>
        <v/>
      </c>
      <c r="AC123">
        <f>HYPERLINK("https://klasma.github.io/Logging_2085/tillsyn/A 400-2023 tillsynsbegäran.docx", "A 400-2023")</f>
        <v/>
      </c>
      <c r="AD123">
        <f>HYPERLINK("https://klasma.github.io/Logging_2085/tillsynsmail/A 400-2023 tillsynsbegäran mail.docx", "A 400-2023")</f>
        <v/>
      </c>
    </row>
    <row r="124" ht="15" customHeight="1">
      <c r="A124" t="inlineStr">
        <is>
          <t>A 31478-2023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45114</v>
      </c>
      <c r="E124" s="1" t="n">
        <v>46288</v>
      </c>
      <c r="F124" t="inlineStr">
        <is>
          <t>DALARNAS LÄN</t>
        </is>
      </c>
      <c r="G124" t="inlineStr">
        <is>
          <t>LUDVIKA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HYPERLINK("https://klasma.github.io/Logging_2085/artfynd/A 31478-2023 artfynd.xlsx", "A 31478-2023")</f>
        <v/>
      </c>
      <c r="X124">
        <f>HYPERLINK("https://klasma.github.io/Logging_2085/kartor/A 31478-2023 karta.png", "A 31478-2023")</f>
        <v/>
      </c>
      <c r="Y124">
        <f>HYPERLINK("https://klasma.github.io/Logging_2085/kartor_geotiff/A 31478-2023 georefererad karta.tif", "A 31478-2023")</f>
        <v/>
      </c>
      <c r="AA124">
        <f>HYPERLINK("https://klasma.github.io/Logging_2085/klagomål/A 31478-2023 FSC-klagomål.docx", "A 31478-2023")</f>
        <v/>
      </c>
      <c r="AB124">
        <f>HYPERLINK("https://klasma.github.io/Logging_2085/klagomålsmail/A 31478-2023 FSC-klagomål mail.docx", "A 31478-2023")</f>
        <v/>
      </c>
      <c r="AC124">
        <f>HYPERLINK("https://klasma.github.io/Logging_2085/tillsyn/A 31478-2023 tillsynsbegäran.docx", "A 31478-2023")</f>
        <v/>
      </c>
      <c r="AD124">
        <f>HYPERLINK("https://klasma.github.io/Logging_2085/tillsynsmail/A 31478-2023 tillsynsbegäran mail.docx", "A 31478-2023")</f>
        <v/>
      </c>
    </row>
    <row r="125" ht="15" customHeight="1">
      <c r="A125" t="inlineStr">
        <is>
          <t>A 25448-2024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45463</v>
      </c>
      <c r="E125" s="1" t="n">
        <v>46288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24.7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Blåsippa</t>
        </is>
      </c>
      <c r="W125">
        <f>HYPERLINK("https://klasma.github.io/Logging_2085/artfynd/A 25448-2024 artfynd.xlsx", "A 25448-2024")</f>
        <v/>
      </c>
      <c r="X125">
        <f>HYPERLINK("https://klasma.github.io/Logging_2085/kartor/A 25448-2024 karta.png", "A 25448-2024")</f>
        <v/>
      </c>
      <c r="Y125">
        <f>HYPERLINK("https://klasma.github.io/Logging_2085/kartor_geotiff/A 25448-2024 georefererad karta.tif", "A 25448-2024")</f>
        <v/>
      </c>
      <c r="AA125">
        <f>HYPERLINK("https://klasma.github.io/Logging_2085/klagomål/A 25448-2024 FSC-klagomål.docx", "A 25448-2024")</f>
        <v/>
      </c>
      <c r="AB125">
        <f>HYPERLINK("https://klasma.github.io/Logging_2085/klagomålsmail/A 25448-2024 FSC-klagomål mail.docx", "A 25448-2024")</f>
        <v/>
      </c>
      <c r="AC125">
        <f>HYPERLINK("https://klasma.github.io/Logging_2085/tillsyn/A 25448-2024 tillsynsbegäran.docx", "A 25448-2024")</f>
        <v/>
      </c>
      <c r="AD125">
        <f>HYPERLINK("https://klasma.github.io/Logging_2085/tillsynsmail/A 25448-2024 tillsynsbegäran mail.docx", "A 25448-2024")</f>
        <v/>
      </c>
    </row>
    <row r="126" ht="15" customHeight="1">
      <c r="A126" t="inlineStr">
        <is>
          <t>A 33399-2026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46247</v>
      </c>
      <c r="E126" s="1" t="n">
        <v>46288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Järpe</t>
        </is>
      </c>
      <c r="W126">
        <f>HYPERLINK("https://klasma.github.io/Logging_2085/artfynd/A 33399-2026 artfynd.xlsx", "A 33399-2026")</f>
        <v/>
      </c>
      <c r="X126">
        <f>HYPERLINK("https://klasma.github.io/Logging_2085/kartor/A 33399-2026 karta.png", "A 33399-2026")</f>
        <v/>
      </c>
      <c r="Y126">
        <f>HYPERLINK("https://klasma.github.io/Logging_2085/kartor_geotiff/A 33399-2026 georefererad karta.tif", "A 33399-2026")</f>
        <v/>
      </c>
      <c r="AA126">
        <f>HYPERLINK("https://klasma.github.io/Logging_2085/klagomål/A 33399-2026 FSC-klagomål.docx", "A 33399-2026")</f>
        <v/>
      </c>
      <c r="AB126">
        <f>HYPERLINK("https://klasma.github.io/Logging_2085/klagomålsmail/A 33399-2026 FSC-klagomål mail.docx", "A 33399-2026")</f>
        <v/>
      </c>
      <c r="AC126">
        <f>HYPERLINK("https://klasma.github.io/Logging_2085/tillsyn/A 33399-2026 tillsynsbegäran.docx", "A 33399-2026")</f>
        <v/>
      </c>
      <c r="AD126">
        <f>HYPERLINK("https://klasma.github.io/Logging_2085/tillsynsmail/A 33399-2026 tillsynsbegäran mail.docx", "A 33399-2026")</f>
        <v/>
      </c>
      <c r="AE126">
        <f>HYPERLINK("https://klasma.github.io/Logging_2085/fåglar/A 33399-2026 prioriterade fågelarter.docx", "A 33399-2026")</f>
        <v/>
      </c>
    </row>
    <row r="127" ht="15" customHeight="1">
      <c r="A127" t="inlineStr">
        <is>
          <t>A 12093-2023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46288</v>
      </c>
      <c r="F127" t="inlineStr">
        <is>
          <t>DALARNAS LÄN</t>
        </is>
      </c>
      <c r="G127" t="inlineStr">
        <is>
          <t>LUDVIKA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Bitter taggsvamp</t>
        </is>
      </c>
      <c r="W127">
        <f>HYPERLINK("https://klasma.github.io/Logging_2085/artfynd/A 12093-2023 artfynd.xlsx", "A 12093-2023")</f>
        <v/>
      </c>
      <c r="X127">
        <f>HYPERLINK("https://klasma.github.io/Logging_2085/kartor/A 12093-2023 karta.png", "A 12093-2023")</f>
        <v/>
      </c>
      <c r="Y127">
        <f>HYPERLINK("https://klasma.github.io/Logging_2085/kartor_geotiff/A 12093-2023 georefererad karta.tif", "A 12093-2023")</f>
        <v/>
      </c>
      <c r="AA127">
        <f>HYPERLINK("https://klasma.github.io/Logging_2085/klagomål/A 12093-2023 FSC-klagomål.docx", "A 12093-2023")</f>
        <v/>
      </c>
      <c r="AB127">
        <f>HYPERLINK("https://klasma.github.io/Logging_2085/klagomålsmail/A 12093-2023 FSC-klagomål mail.docx", "A 12093-2023")</f>
        <v/>
      </c>
      <c r="AC127">
        <f>HYPERLINK("https://klasma.github.io/Logging_2085/tillsyn/A 12093-2023 tillsynsbegäran.docx", "A 12093-2023")</f>
        <v/>
      </c>
      <c r="AD127">
        <f>HYPERLINK("https://klasma.github.io/Logging_2085/tillsynsmail/A 12093-2023 tillsynsbegäran mail.docx", "A 12093-2023")</f>
        <v/>
      </c>
    </row>
    <row r="128" ht="15" customHeight="1">
      <c r="A128" t="inlineStr">
        <is>
          <t>A 31352-2026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46219</v>
      </c>
      <c r="E128" s="1" t="n">
        <v>46288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HYPERLINK("https://klasma.github.io/Logging_2085/artfynd/A 31352-2026 artfynd.xlsx", "A 31352-2026")</f>
        <v/>
      </c>
      <c r="X128">
        <f>HYPERLINK("https://klasma.github.io/Logging_2085/kartor/A 31352-2026 karta.png", "A 31352-2026")</f>
        <v/>
      </c>
      <c r="Y128">
        <f>HYPERLINK("https://klasma.github.io/Logging_2085/kartor_geotiff/A 31352-2026 georefererad karta.tif", "A 31352-2026")</f>
        <v/>
      </c>
      <c r="AA128">
        <f>HYPERLINK("https://klasma.github.io/Logging_2085/klagomål/A 31352-2026 FSC-klagomål.docx", "A 31352-2026")</f>
        <v/>
      </c>
      <c r="AB128">
        <f>HYPERLINK("https://klasma.github.io/Logging_2085/klagomålsmail/A 31352-2026 FSC-klagomål mail.docx", "A 31352-2026")</f>
        <v/>
      </c>
      <c r="AC128">
        <f>HYPERLINK("https://klasma.github.io/Logging_2085/tillsyn/A 31352-2026 tillsynsbegäran.docx", "A 31352-2026")</f>
        <v/>
      </c>
      <c r="AD128">
        <f>HYPERLINK("https://klasma.github.io/Logging_2085/tillsynsmail/A 31352-2026 tillsynsbegäran mail.docx", "A 31352-2026")</f>
        <v/>
      </c>
    </row>
    <row r="129" ht="15" customHeight="1">
      <c r="A129" t="inlineStr">
        <is>
          <t>A 35652-2026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46288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Garnlav</t>
        </is>
      </c>
      <c r="W129">
        <f>HYPERLINK("https://klasma.github.io/Logging_2085/artfynd/A 35652-2026 artfynd.xlsx", "A 35652-2026")</f>
        <v/>
      </c>
      <c r="X129">
        <f>HYPERLINK("https://klasma.github.io/Logging_2085/kartor/A 35652-2026 karta.png", "A 35652-2026")</f>
        <v/>
      </c>
      <c r="Y129">
        <f>HYPERLINK("https://klasma.github.io/Logging_2085/kartor_geotiff/A 35652-2026 georefererad karta.tif", "A 35652-2026")</f>
        <v/>
      </c>
      <c r="AA129">
        <f>HYPERLINK("https://klasma.github.io/Logging_2085/klagomål/A 35652-2026 FSC-klagomål.docx", "A 35652-2026")</f>
        <v/>
      </c>
      <c r="AB129">
        <f>HYPERLINK("https://klasma.github.io/Logging_2085/klagomålsmail/A 35652-2026 FSC-klagomål mail.docx", "A 35652-2026")</f>
        <v/>
      </c>
      <c r="AC129">
        <f>HYPERLINK("https://klasma.github.io/Logging_2085/tillsyn/A 35652-2026 tillsynsbegäran.docx", "A 35652-2026")</f>
        <v/>
      </c>
      <c r="AD129">
        <f>HYPERLINK("https://klasma.github.io/Logging_2085/tillsynsmail/A 35652-2026 tillsynsbegäran mail.docx", "A 35652-2026")</f>
        <v/>
      </c>
    </row>
    <row r="130" ht="15" customHeight="1">
      <c r="A130" t="inlineStr">
        <is>
          <t>A 36478-2026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46288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Skogsalm</t>
        </is>
      </c>
      <c r="W130">
        <f>HYPERLINK("https://klasma.github.io/Logging_2085/artfynd/A 36478-2026 artfynd.xlsx", "A 36478-2026")</f>
        <v/>
      </c>
      <c r="X130">
        <f>HYPERLINK("https://klasma.github.io/Logging_2085/kartor/A 36478-2026 karta.png", "A 36478-2026")</f>
        <v/>
      </c>
      <c r="Y130">
        <f>HYPERLINK("https://klasma.github.io/Logging_2085/kartor_geotiff/A 36478-2026 georefererad karta.tif", "A 36478-2026")</f>
        <v/>
      </c>
      <c r="AA130">
        <f>HYPERLINK("https://klasma.github.io/Logging_2085/klagomål/A 36478-2026 FSC-klagomål.docx", "A 36478-2026")</f>
        <v/>
      </c>
      <c r="AB130">
        <f>HYPERLINK("https://klasma.github.io/Logging_2085/klagomålsmail/A 36478-2026 FSC-klagomål mail.docx", "A 36478-2026")</f>
        <v/>
      </c>
      <c r="AC130">
        <f>HYPERLINK("https://klasma.github.io/Logging_2085/tillsyn/A 36478-2026 tillsynsbegäran.docx", "A 36478-2026")</f>
        <v/>
      </c>
      <c r="AD130">
        <f>HYPERLINK("https://klasma.github.io/Logging_2085/tillsynsmail/A 36478-2026 tillsynsbegäran mail.docx", "A 36478-2026")</f>
        <v/>
      </c>
    </row>
    <row r="131" ht="15" customHeight="1">
      <c r="A131" t="inlineStr">
        <is>
          <t>A 37560-2026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46276</v>
      </c>
      <c r="E131" s="1" t="n">
        <v>46288</v>
      </c>
      <c r="F131" t="inlineStr">
        <is>
          <t>DALARNAS LÄN</t>
        </is>
      </c>
      <c r="G131" t="inlineStr">
        <is>
          <t>LUDVIKA</t>
        </is>
      </c>
      <c r="H131" t="inlineStr">
        <is>
          <t>Naturvårdsverket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Motaggsvamp</t>
        </is>
      </c>
      <c r="W131">
        <f>HYPERLINK("https://klasma.github.io/Logging_2085/artfynd/A 37560-2026 artfynd.xlsx", "A 37560-2026")</f>
        <v/>
      </c>
      <c r="X131">
        <f>HYPERLINK("https://klasma.github.io/Logging_2085/kartor/A 37560-2026 karta.png", "A 37560-2026")</f>
        <v/>
      </c>
      <c r="Y131">
        <f>HYPERLINK("https://klasma.github.io/Logging_2085/kartor_geotiff/A 37560-2026 georefererad karta.tif", "A 37560-2026")</f>
        <v/>
      </c>
      <c r="AA131">
        <f>HYPERLINK("https://klasma.github.io/Logging_2085/klagomål/A 37560-2026 FSC-klagomål.docx", "A 37560-2026")</f>
        <v/>
      </c>
      <c r="AB131">
        <f>HYPERLINK("https://klasma.github.io/Logging_2085/klagomålsmail/A 37560-2026 FSC-klagomål mail.docx", "A 37560-2026")</f>
        <v/>
      </c>
      <c r="AC131">
        <f>HYPERLINK("https://klasma.github.io/Logging_2085/tillsyn/A 37560-2026 tillsynsbegäran.docx", "A 37560-2026")</f>
        <v/>
      </c>
      <c r="AD131">
        <f>HYPERLINK("https://klasma.github.io/Logging_2085/tillsynsmail/A 37560-2026 tillsynsbegäran mail.docx", "A 37560-2026")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46288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46288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A 29733-2025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46288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Stuplav</t>
        </is>
      </c>
      <c r="W134">
        <f>HYPERLINK("https://klasma.github.io/Logging_2085/artfynd/A 29733-2025 artfynd.xlsx", "A 29733-2025")</f>
        <v/>
      </c>
      <c r="X134">
        <f>HYPERLINK("https://klasma.github.io/Logging_2085/kartor/A 29733-2025 karta.png", "A 29733-2025")</f>
        <v/>
      </c>
      <c r="Y134">
        <f>HYPERLINK("https://klasma.github.io/Logging_2085/kartor_geotiff/A 29733-2025 georefererad karta.tif", "A 29733-2025")</f>
        <v/>
      </c>
      <c r="AA134">
        <f>HYPERLINK("https://klasma.github.io/Logging_2085/klagomål/A 29733-2025 FSC-klagomål.docx", "A 29733-2025")</f>
        <v/>
      </c>
      <c r="AB134">
        <f>HYPERLINK("https://klasma.github.io/Logging_2085/klagomålsmail/A 29733-2025 FSC-klagomål mail.docx", "A 29733-2025")</f>
        <v/>
      </c>
      <c r="AC134">
        <f>HYPERLINK("https://klasma.github.io/Logging_2085/tillsyn/A 29733-2025 tillsynsbegäran.docx", "A 29733-2025")</f>
        <v/>
      </c>
      <c r="AD134">
        <f>HYPERLINK("https://klasma.github.io/Logging_2085/tillsynsmail/A 29733-2025 tillsynsbegäran mail.docx", "A 29733-2025")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46288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46288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46288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46288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46288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46288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46288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46288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46288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46288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46288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46288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46288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46288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46288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46288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46288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46288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46288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46288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54279-2021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46288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46288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46288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46288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44841</v>
      </c>
      <c r="E159" s="1" t="n">
        <v>46288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46288</v>
      </c>
      <c r="F160" t="inlineStr">
        <is>
          <t>DALARNAS LÄN</t>
        </is>
      </c>
      <c r="G160" t="inlineStr">
        <is>
          <t>LUDVIKA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46288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46288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45611</v>
      </c>
      <c r="E163" s="1" t="n">
        <v>46288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45317</v>
      </c>
      <c r="E164" s="1" t="n">
        <v>46288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46288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45219</v>
      </c>
      <c r="E166" s="1" t="n">
        <v>46288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46288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44893</v>
      </c>
      <c r="E168" s="1" t="n">
        <v>46288</v>
      </c>
      <c r="F168" t="inlineStr">
        <is>
          <t>DALARNAS LÄN</t>
        </is>
      </c>
      <c r="G168" t="inlineStr">
        <is>
          <t>LUDVIKA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46288</v>
      </c>
      <c r="F169" t="inlineStr">
        <is>
          <t>DALARNAS LÄN</t>
        </is>
      </c>
      <c r="G169" t="inlineStr">
        <is>
          <t>LUDVIKA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46288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46288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45512</v>
      </c>
      <c r="E172" s="1" t="n">
        <v>46288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46288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46288</v>
      </c>
      <c r="F174" t="inlineStr">
        <is>
          <t>DALARNAS LÄN</t>
        </is>
      </c>
      <c r="G174" t="inlineStr">
        <is>
          <t>LUDVIKA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46288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46288</v>
      </c>
      <c r="F176" t="inlineStr">
        <is>
          <t>DALARNAS LÄN</t>
        </is>
      </c>
      <c r="G176" t="inlineStr">
        <is>
          <t>LUDVIKA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44730</v>
      </c>
      <c r="E177" s="1" t="n">
        <v>46288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45450</v>
      </c>
      <c r="E178" s="1" t="n">
        <v>46288</v>
      </c>
      <c r="F178" t="inlineStr">
        <is>
          <t>DALARNAS LÄN</t>
        </is>
      </c>
      <c r="G178" t="inlineStr">
        <is>
          <t>LUDVIKA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31702-2023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45105</v>
      </c>
      <c r="E179" s="1" t="n">
        <v>46288</v>
      </c>
      <c r="F179" t="inlineStr">
        <is>
          <t>DALARNAS LÄN</t>
        </is>
      </c>
      <c r="G179" t="inlineStr">
        <is>
          <t>LUDVIKA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46288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48740-2022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44859</v>
      </c>
      <c r="E181" s="1" t="n">
        <v>46288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46288</v>
      </c>
      <c r="F182" t="inlineStr">
        <is>
          <t>DALARNAS LÄN</t>
        </is>
      </c>
      <c r="G182" t="inlineStr">
        <is>
          <t>LUDVIKA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46288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45371</v>
      </c>
      <c r="E184" s="1" t="n">
        <v>46288</v>
      </c>
      <c r="F184" t="inlineStr">
        <is>
          <t>DALARNAS LÄN</t>
        </is>
      </c>
      <c r="G184" t="inlineStr">
        <is>
          <t>LUDVIKA</t>
        </is>
      </c>
      <c r="I184" t="n">
        <v>20.8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46288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46288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45208</v>
      </c>
      <c r="E187" s="1" t="n">
        <v>46288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46288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56445-2024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45625</v>
      </c>
      <c r="E189" s="1" t="n">
        <v>46288</v>
      </c>
      <c r="F189" t="inlineStr">
        <is>
          <t>DALARNAS LÄN</t>
        </is>
      </c>
      <c r="G189" t="inlineStr">
        <is>
          <t>LUDVIKA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44859</v>
      </c>
      <c r="E190" s="1" t="n">
        <v>46288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46288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46288</v>
      </c>
      <c r="F192" t="inlineStr">
        <is>
          <t>DALARNAS LÄN</t>
        </is>
      </c>
      <c r="G192" t="inlineStr">
        <is>
          <t>LUDVIKA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46288</v>
      </c>
      <c r="F193" t="inlineStr">
        <is>
          <t>DALARNAS LÄN</t>
        </is>
      </c>
      <c r="G193" t="inlineStr">
        <is>
          <t>LUDVIKA</t>
        </is>
      </c>
      <c r="H193" t="inlineStr">
        <is>
          <t>Naturvårdsverket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46288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46288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46288</v>
      </c>
      <c r="F196" t="inlineStr">
        <is>
          <t>DALARNAS LÄN</t>
        </is>
      </c>
      <c r="G196" t="inlineStr">
        <is>
          <t>LUDVIKA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46288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65195-2021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46288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46288</v>
      </c>
      <c r="F199" t="inlineStr">
        <is>
          <t>DALARNAS LÄN</t>
        </is>
      </c>
      <c r="G199" t="inlineStr">
        <is>
          <t>LUDVIKA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45623</v>
      </c>
      <c r="E200" s="1" t="n">
        <v>46288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56685-2022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46288</v>
      </c>
      <c r="F201" t="inlineStr">
        <is>
          <t>DALARNAS LÄN</t>
        </is>
      </c>
      <c r="G201" t="inlineStr">
        <is>
          <t>LUDVIKA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46288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45337</v>
      </c>
      <c r="E203" s="1" t="n">
        <v>46288</v>
      </c>
      <c r="F203" t="inlineStr">
        <is>
          <t>DALARNAS LÄN</t>
        </is>
      </c>
      <c r="G203" t="inlineStr">
        <is>
          <t>LUDVIKA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46288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45208</v>
      </c>
      <c r="E205" s="1" t="n">
        <v>46288</v>
      </c>
      <c r="F205" t="inlineStr">
        <is>
          <t>DALARNAS LÄN</t>
        </is>
      </c>
      <c r="G205" t="inlineStr">
        <is>
          <t>LUDVIKA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45761</v>
      </c>
      <c r="E206" s="1" t="n">
        <v>46288</v>
      </c>
      <c r="F206" t="inlineStr">
        <is>
          <t>DALARNAS LÄN</t>
        </is>
      </c>
      <c r="G206" t="inlineStr">
        <is>
          <t>LUDVIKA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45512</v>
      </c>
      <c r="E207" s="1" t="n">
        <v>46288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45875</v>
      </c>
      <c r="E208" s="1" t="n">
        <v>46288</v>
      </c>
      <c r="F208" t="inlineStr">
        <is>
          <t>DALARNAS LÄN</t>
        </is>
      </c>
      <c r="G208" t="inlineStr">
        <is>
          <t>LUDVIKA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46288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46288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46288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45246</v>
      </c>
      <c r="E212" s="1" t="n">
        <v>46288</v>
      </c>
      <c r="F212" t="inlineStr">
        <is>
          <t>DALARNAS LÄN</t>
        </is>
      </c>
      <c r="G212" t="inlineStr">
        <is>
          <t>LUDVIKA</t>
        </is>
      </c>
      <c r="I212" t="n">
        <v>12.7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46288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46288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46288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46288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46288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42254-2024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46288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49035-2024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45594</v>
      </c>
      <c r="E219" s="1" t="n">
        <v>46288</v>
      </c>
      <c r="F219" t="inlineStr">
        <is>
          <t>DALARNAS LÄN</t>
        </is>
      </c>
      <c r="G219" t="inlineStr">
        <is>
          <t>LUDVIKA</t>
        </is>
      </c>
      <c r="H219" t="inlineStr">
        <is>
          <t>Naturvårdsverket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46288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46288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46288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45849</v>
      </c>
      <c r="E223" s="1" t="n">
        <v>46288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46288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46288</v>
      </c>
      <c r="F225" t="inlineStr">
        <is>
          <t>DALARNAS LÄN</t>
        </is>
      </c>
      <c r="G225" t="inlineStr">
        <is>
          <t>LUDVIKA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49060-2023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45210</v>
      </c>
      <c r="E226" s="1" t="n">
        <v>46288</v>
      </c>
      <c r="F226" t="inlineStr">
        <is>
          <t>DALARNAS LÄN</t>
        </is>
      </c>
      <c r="G226" t="inlineStr">
        <is>
          <t>LUDVIKA</t>
        </is>
      </c>
      <c r="H226" t="inlineStr">
        <is>
          <t>Naturvårdsverket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46288</v>
      </c>
      <c r="F227" t="inlineStr">
        <is>
          <t>DALARNAS LÄN</t>
        </is>
      </c>
      <c r="G227" t="inlineStr">
        <is>
          <t>LUDVIKA</t>
        </is>
      </c>
      <c r="H227" t="inlineStr">
        <is>
          <t>Naturvårdsverket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46288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46288</v>
      </c>
      <c r="F229" t="inlineStr">
        <is>
          <t>DALARNAS LÄN</t>
        </is>
      </c>
      <c r="G229" t="inlineStr">
        <is>
          <t>LUDVIKA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46288</v>
      </c>
      <c r="F230" t="inlineStr">
        <is>
          <t>DALARNAS LÄN</t>
        </is>
      </c>
      <c r="G230" t="inlineStr">
        <is>
          <t>LUDVIKA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45537</v>
      </c>
      <c r="E231" s="1" t="n">
        <v>46288</v>
      </c>
      <c r="F231" t="inlineStr">
        <is>
          <t>DALARNAS LÄN</t>
        </is>
      </c>
      <c r="G231" t="inlineStr">
        <is>
          <t>LUDVIKA</t>
        </is>
      </c>
      <c r="H231" t="inlineStr">
        <is>
          <t>Övriga Aktiebolag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46288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45827</v>
      </c>
      <c r="E233" s="1" t="n">
        <v>46288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8703-2023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44978</v>
      </c>
      <c r="E234" s="1" t="n">
        <v>46288</v>
      </c>
      <c r="F234" t="inlineStr">
        <is>
          <t>DALARNAS LÄN</t>
        </is>
      </c>
      <c r="G234" t="inlineStr">
        <is>
          <t>LUDVIKA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46288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41828-2025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46288</v>
      </c>
      <c r="F236" t="inlineStr">
        <is>
          <t>DALARNAS LÄN</t>
        </is>
      </c>
      <c r="G236" t="inlineStr">
        <is>
          <t>LUDVIKA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46288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46288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60660-2024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45644</v>
      </c>
      <c r="E239" s="1" t="n">
        <v>46288</v>
      </c>
      <c r="F239" t="inlineStr">
        <is>
          <t>DALARNAS LÄN</t>
        </is>
      </c>
      <c r="G239" t="inlineStr">
        <is>
          <t>LUDVIKA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41731-2025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46288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46288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46288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45860</v>
      </c>
      <c r="E243" s="1" t="n">
        <v>46288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36338-2025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45868</v>
      </c>
      <c r="E244" s="1" t="n">
        <v>46288</v>
      </c>
      <c r="F244" t="inlineStr">
        <is>
          <t>DALARNAS LÄN</t>
        </is>
      </c>
      <c r="G244" t="inlineStr">
        <is>
          <t>LUDVIKA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45849</v>
      </c>
      <c r="E245" s="1" t="n">
        <v>46288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46288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45637</v>
      </c>
      <c r="E247" s="1" t="n">
        <v>46288</v>
      </c>
      <c r="F247" t="inlineStr">
        <is>
          <t>DALARNAS LÄN</t>
        </is>
      </c>
      <c r="G247" t="inlineStr">
        <is>
          <t>LUDVIKA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46288</v>
      </c>
      <c r="F248" t="inlineStr">
        <is>
          <t>DALARNAS LÄN</t>
        </is>
      </c>
      <c r="G248" t="inlineStr">
        <is>
          <t>LUDVIKA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46288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46288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46288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46288</v>
      </c>
      <c r="F252" t="inlineStr">
        <is>
          <t>DALARNAS LÄN</t>
        </is>
      </c>
      <c r="G252" t="inlineStr">
        <is>
          <t>LUDVIKA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46288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46288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46288</v>
      </c>
      <c r="F255" t="inlineStr">
        <is>
          <t>DALARNAS LÄN</t>
        </is>
      </c>
      <c r="G255" t="inlineStr">
        <is>
          <t>LUDVIKA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46288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46288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48642-2022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46288</v>
      </c>
      <c r="F258" t="inlineStr">
        <is>
          <t>DALARNAS LÄN</t>
        </is>
      </c>
      <c r="G258" t="inlineStr">
        <is>
          <t>LUDVIKA</t>
        </is>
      </c>
      <c r="H258" t="inlineStr">
        <is>
          <t>Naturvårdsverket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45588</v>
      </c>
      <c r="E259" s="1" t="n">
        <v>46288</v>
      </c>
      <c r="F259" t="inlineStr">
        <is>
          <t>DALARNAS LÄN</t>
        </is>
      </c>
      <c r="G259" t="inlineStr">
        <is>
          <t>LUDVIKA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34070-2025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45845</v>
      </c>
      <c r="E260" s="1" t="n">
        <v>46288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18724-2022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44687</v>
      </c>
      <c r="E261" s="1" t="n">
        <v>46288</v>
      </c>
      <c r="F261" t="inlineStr">
        <is>
          <t>DALARNAS LÄN</t>
        </is>
      </c>
      <c r="G261" t="inlineStr">
        <is>
          <t>LUDVIKA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46288</v>
      </c>
      <c r="F262" t="inlineStr">
        <is>
          <t>DALARNAS LÄN</t>
        </is>
      </c>
      <c r="G262" t="inlineStr">
        <is>
          <t>LUDVIKA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46288</v>
      </c>
      <c r="F263" t="inlineStr">
        <is>
          <t>DALARNAS LÄN</t>
        </is>
      </c>
      <c r="G263" t="inlineStr">
        <is>
          <t>LUDVIKA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46288</v>
      </c>
      <c r="F264" t="inlineStr">
        <is>
          <t>DALARNAS LÄN</t>
        </is>
      </c>
      <c r="G264" t="inlineStr">
        <is>
          <t>LUDVIKA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52466-2023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46288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46288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46288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43762-2025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46288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46288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46288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46288</v>
      </c>
      <c r="F271" t="inlineStr">
        <is>
          <t>DALARNAS LÄN</t>
        </is>
      </c>
      <c r="G271" t="inlineStr">
        <is>
          <t>LUDVIKA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46288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46288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46288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46288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46288</v>
      </c>
      <c r="F276" t="inlineStr">
        <is>
          <t>DALARNAS LÄN</t>
        </is>
      </c>
      <c r="G276" t="inlineStr">
        <is>
          <t>LUDVIKA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44789</v>
      </c>
      <c r="E277" s="1" t="n">
        <v>46288</v>
      </c>
      <c r="F277" t="inlineStr">
        <is>
          <t>DALARNAS LÄN</t>
        </is>
      </c>
      <c r="G277" t="inlineStr">
        <is>
          <t>LUDVIKA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56680-2022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44893</v>
      </c>
      <c r="E278" s="1" t="n">
        <v>46288</v>
      </c>
      <c r="F278" t="inlineStr">
        <is>
          <t>DALARNAS LÄN</t>
        </is>
      </c>
      <c r="G278" t="inlineStr">
        <is>
          <t>LUDVIKA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46598-2025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46288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46288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46288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73703-2021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44552</v>
      </c>
      <c r="E282" s="1" t="n">
        <v>46288</v>
      </c>
      <c r="F282" t="inlineStr">
        <is>
          <t>DALARNAS LÄN</t>
        </is>
      </c>
      <c r="G282" t="inlineStr">
        <is>
          <t>LUDVIKA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46288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45474</v>
      </c>
      <c r="E284" s="1" t="n">
        <v>46288</v>
      </c>
      <c r="F284" t="inlineStr">
        <is>
          <t>DALARNAS LÄN</t>
        </is>
      </c>
      <c r="G284" t="inlineStr">
        <is>
          <t>LUDVIKA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46288</v>
      </c>
      <c r="F285" t="inlineStr">
        <is>
          <t>DALARNAS LÄN</t>
        </is>
      </c>
      <c r="G285" t="inlineStr">
        <is>
          <t>LUDVIKA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46288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17.3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46141</v>
      </c>
      <c r="E287" s="1" t="n">
        <v>46288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46288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46185-2024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46288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46141</v>
      </c>
      <c r="E290" s="1" t="n">
        <v>46288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46288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44825</v>
      </c>
      <c r="E292" s="1" t="n">
        <v>46288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46288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46288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46147</v>
      </c>
      <c r="E295" s="1" t="n">
        <v>46288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46288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46288</v>
      </c>
      <c r="F297" t="inlineStr">
        <is>
          <t>DALARNAS LÄN</t>
        </is>
      </c>
      <c r="G297" t="inlineStr">
        <is>
          <t>LUDVIKA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46288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21872-2026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46288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45301</v>
      </c>
      <c r="E300" s="1" t="n">
        <v>46288</v>
      </c>
      <c r="F300" t="inlineStr">
        <is>
          <t>DALARNAS LÄN</t>
        </is>
      </c>
      <c r="G300" t="inlineStr">
        <is>
          <t>LUDVIKA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46288</v>
      </c>
      <c r="F301" t="inlineStr">
        <is>
          <t>DALARNAS LÄN</t>
        </is>
      </c>
      <c r="G301" t="inlineStr">
        <is>
          <t>LUDVIKA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46288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45297</v>
      </c>
      <c r="E303" s="1" t="n">
        <v>46288</v>
      </c>
      <c r="F303" t="inlineStr">
        <is>
          <t>DALARNAS LÄN</t>
        </is>
      </c>
      <c r="G303" t="inlineStr">
        <is>
          <t>LUDVIKA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46288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46288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46288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46288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46155</v>
      </c>
      <c r="E308" s="1" t="n">
        <v>46288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46288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46155</v>
      </c>
      <c r="E310" s="1" t="n">
        <v>46288</v>
      </c>
      <c r="F310" t="inlineStr">
        <is>
          <t>DALARNAS LÄN</t>
        </is>
      </c>
      <c r="G310" t="inlineStr">
        <is>
          <t>LUDVIKA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50444-2025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45944</v>
      </c>
      <c r="E311" s="1" t="n">
        <v>46288</v>
      </c>
      <c r="F311" t="inlineStr">
        <is>
          <t>DALARNAS LÄN</t>
        </is>
      </c>
      <c r="G311" t="inlineStr">
        <is>
          <t>LUDVIKA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45335</v>
      </c>
      <c r="E312" s="1" t="n">
        <v>46288</v>
      </c>
      <c r="F312" t="inlineStr">
        <is>
          <t>DALARNAS LÄN</t>
        </is>
      </c>
      <c r="G312" t="inlineStr">
        <is>
          <t>LUDVIKA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22464-2026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46288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46142</v>
      </c>
      <c r="E314" s="1" t="n">
        <v>46288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45679</v>
      </c>
      <c r="E315" s="1" t="n">
        <v>46288</v>
      </c>
      <c r="F315" t="inlineStr">
        <is>
          <t>DALARNAS LÄN</t>
        </is>
      </c>
      <c r="G315" t="inlineStr">
        <is>
          <t>LUDVIKA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45639</v>
      </c>
      <c r="E316" s="1" t="n">
        <v>46288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46113</v>
      </c>
      <c r="E317" s="1" t="n">
        <v>46288</v>
      </c>
      <c r="F317" t="inlineStr">
        <is>
          <t>DALARNAS LÄN</t>
        </is>
      </c>
      <c r="G317" t="inlineStr">
        <is>
          <t>LUDVIKA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46288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45512</v>
      </c>
      <c r="E319" s="1" t="n">
        <v>46288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46074-2023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45196</v>
      </c>
      <c r="E320" s="1" t="n">
        <v>46288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46288</v>
      </c>
      <c r="F321" t="inlineStr">
        <is>
          <t>DALARNAS LÄN</t>
        </is>
      </c>
      <c r="G321" t="inlineStr">
        <is>
          <t>LUDVIKA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46288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46288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23082-2026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46161</v>
      </c>
      <c r="E324" s="1" t="n">
        <v>46288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46288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46288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52552-2025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45954</v>
      </c>
      <c r="E327" s="1" t="n">
        <v>46288</v>
      </c>
      <c r="F327" t="inlineStr">
        <is>
          <t>DALARNAS LÄN</t>
        </is>
      </c>
      <c r="G327" t="inlineStr">
        <is>
          <t>LUDVIKA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46288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46288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52556-2025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45954</v>
      </c>
      <c r="E330" s="1" t="n">
        <v>46288</v>
      </c>
      <c r="F330" t="inlineStr">
        <is>
          <t>DALARNAS LÄN</t>
        </is>
      </c>
      <c r="G330" t="inlineStr">
        <is>
          <t>LUDVIKA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52459-2025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45954</v>
      </c>
      <c r="E331" s="1" t="n">
        <v>46288</v>
      </c>
      <c r="F331" t="inlineStr">
        <is>
          <t>DALARNAS LÄN</t>
        </is>
      </c>
      <c r="G331" t="inlineStr">
        <is>
          <t>LUDVIKA</t>
        </is>
      </c>
      <c r="H331" t="inlineStr">
        <is>
          <t>Övriga Aktiebolag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46288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9.300000000000001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52427-2025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45954</v>
      </c>
      <c r="E333" s="1" t="n">
        <v>46288</v>
      </c>
      <c r="F333" t="inlineStr">
        <is>
          <t>DALARNAS LÄN</t>
        </is>
      </c>
      <c r="G333" t="inlineStr">
        <is>
          <t>LUDVIKA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46288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46288</v>
      </c>
      <c r="F335" t="inlineStr">
        <is>
          <t>DALARNAS LÄN</t>
        </is>
      </c>
      <c r="G335" t="inlineStr">
        <is>
          <t>LUDVIKA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46288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46160</v>
      </c>
      <c r="E337" s="1" t="n">
        <v>46288</v>
      </c>
      <c r="F337" t="inlineStr">
        <is>
          <t>DALARNAS LÄN</t>
        </is>
      </c>
      <c r="G337" t="inlineStr">
        <is>
          <t>LUDVIKA</t>
        </is>
      </c>
      <c r="H337" t="inlineStr">
        <is>
          <t>Naturvårdsverket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12497-2024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45379</v>
      </c>
      <c r="E338" s="1" t="n">
        <v>46288</v>
      </c>
      <c r="F338" t="inlineStr">
        <is>
          <t>DALARNAS LÄN</t>
        </is>
      </c>
      <c r="G338" t="inlineStr">
        <is>
          <t>LUDVIKA</t>
        </is>
      </c>
      <c r="H338" t="inlineStr">
        <is>
          <t>Naturvårdsverket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46288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54341-2025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45965</v>
      </c>
      <c r="E340" s="1" t="n">
        <v>46288</v>
      </c>
      <c r="F340" t="inlineStr">
        <is>
          <t>DALARNAS LÄN</t>
        </is>
      </c>
      <c r="G340" t="inlineStr">
        <is>
          <t>LUDVIKA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46288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39772-2025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46288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54035-2025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45963</v>
      </c>
      <c r="E343" s="1" t="n">
        <v>46288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46288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46288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46288</v>
      </c>
      <c r="F346" t="inlineStr">
        <is>
          <t>DALARNAS LÄN</t>
        </is>
      </c>
      <c r="G346" t="inlineStr">
        <is>
          <t>LUDVIKA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45099</v>
      </c>
      <c r="E347" s="1" t="n">
        <v>46288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46288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46288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45968</v>
      </c>
      <c r="E350" s="1" t="n">
        <v>46288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46288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46288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32995-2023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45113</v>
      </c>
      <c r="E353" s="1" t="n">
        <v>46288</v>
      </c>
      <c r="F353" t="inlineStr">
        <is>
          <t>DALARNAS LÄN</t>
        </is>
      </c>
      <c r="G353" t="inlineStr">
        <is>
          <t>LUDVIKA</t>
        </is>
      </c>
      <c r="H353" t="inlineStr">
        <is>
          <t>Kommuner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46288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46288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46288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56030-2025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46288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46288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56178-2025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46288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56650-2025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46288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46288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56219-2025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46288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45488</v>
      </c>
      <c r="E363" s="1" t="n">
        <v>46288</v>
      </c>
      <c r="F363" t="inlineStr">
        <is>
          <t>DALARNAS LÄN</t>
        </is>
      </c>
      <c r="G363" t="inlineStr">
        <is>
          <t>LUDVIKA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46288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46288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46288</v>
      </c>
      <c r="F366" t="inlineStr">
        <is>
          <t>DALARNAS LÄN</t>
        </is>
      </c>
      <c r="G366" t="inlineStr">
        <is>
          <t>LUDVIKA</t>
        </is>
      </c>
      <c r="H366" t="inlineStr">
        <is>
          <t>Övriga Aktiebolag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46288</v>
      </c>
      <c r="F367" t="inlineStr">
        <is>
          <t>DALARNAS LÄN</t>
        </is>
      </c>
      <c r="G367" t="inlineStr">
        <is>
          <t>LUDVIKA</t>
        </is>
      </c>
      <c r="H367" t="inlineStr">
        <is>
          <t>Övriga Aktiebolag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46288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39519-2024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45551</v>
      </c>
      <c r="E369" s="1" t="n">
        <v>46288</v>
      </c>
      <c r="F369" t="inlineStr">
        <is>
          <t>DALARNAS LÄN</t>
        </is>
      </c>
      <c r="G369" t="inlineStr">
        <is>
          <t>LUDVIKA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46288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46288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47496-2022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44853</v>
      </c>
      <c r="E372" s="1" t="n">
        <v>46288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45279</v>
      </c>
      <c r="E373" s="1" t="n">
        <v>46288</v>
      </c>
      <c r="F373" t="inlineStr">
        <is>
          <t>DALARNAS LÄN</t>
        </is>
      </c>
      <c r="G373" t="inlineStr">
        <is>
          <t>LUDVIKA</t>
        </is>
      </c>
      <c r="I373" t="n">
        <v>8.6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46288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42985-2025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46288</v>
      </c>
      <c r="F375" t="inlineStr">
        <is>
          <t>DALARNAS LÄN</t>
        </is>
      </c>
      <c r="G375" t="inlineStr">
        <is>
          <t>LUDVIKA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46288</v>
      </c>
      <c r="F376" t="inlineStr">
        <is>
          <t>DALARNAS LÄN</t>
        </is>
      </c>
      <c r="G376" t="inlineStr">
        <is>
          <t>LUDVIKA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46288</v>
      </c>
      <c r="F377" t="inlineStr">
        <is>
          <t>DALARNAS LÄN</t>
        </is>
      </c>
      <c r="G377" t="inlineStr">
        <is>
          <t>LUDVIKA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46288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47086-2025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45929</v>
      </c>
      <c r="E379" s="1" t="n">
        <v>46288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46288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46288</v>
      </c>
      <c r="F381" t="inlineStr">
        <is>
          <t>DALARNAS LÄN</t>
        </is>
      </c>
      <c r="G381" t="inlineStr">
        <is>
          <t>LUDVIKA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46288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45891</v>
      </c>
      <c r="E383" s="1" t="n">
        <v>46288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46288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46288</v>
      </c>
      <c r="F385" t="inlineStr">
        <is>
          <t>DALARNAS LÄN</t>
        </is>
      </c>
      <c r="G385" t="inlineStr">
        <is>
          <t>LUDVIKA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46288</v>
      </c>
      <c r="F386" t="inlineStr">
        <is>
          <t>DALARNAS LÄN</t>
        </is>
      </c>
      <c r="G386" t="inlineStr">
        <is>
          <t>LUDVIKA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46288</v>
      </c>
      <c r="F387" t="inlineStr">
        <is>
          <t>DALARNAS LÄN</t>
        </is>
      </c>
      <c r="G387" t="inlineStr">
        <is>
          <t>LUDVIKA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46288</v>
      </c>
      <c r="F388" t="inlineStr">
        <is>
          <t>DALARNAS LÄN</t>
        </is>
      </c>
      <c r="G388" t="inlineStr">
        <is>
          <t>LUDVIKA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59530-2025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46288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46171</v>
      </c>
      <c r="E390" s="1" t="n">
        <v>46288</v>
      </c>
      <c r="F390" t="inlineStr">
        <is>
          <t>DALARNAS LÄN</t>
        </is>
      </c>
      <c r="G390" t="inlineStr">
        <is>
          <t>LUDVIKA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44825</v>
      </c>
      <c r="E391" s="1" t="n">
        <v>46288</v>
      </c>
      <c r="F391" t="inlineStr">
        <is>
          <t>DALARNAS LÄN</t>
        </is>
      </c>
      <c r="G391" t="inlineStr">
        <is>
          <t>LUDVIKA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60454-2025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45995</v>
      </c>
      <c r="E392" s="1" t="n">
        <v>46288</v>
      </c>
      <c r="F392" t="inlineStr">
        <is>
          <t>DALARNAS LÄN</t>
        </is>
      </c>
      <c r="G392" t="inlineStr">
        <is>
          <t>LUDVIKA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46288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46288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46288</v>
      </c>
      <c r="F395" t="inlineStr">
        <is>
          <t>DALARNAS LÄN</t>
        </is>
      </c>
      <c r="G395" t="inlineStr">
        <is>
          <t>LUDVIKA</t>
        </is>
      </c>
      <c r="H395" t="inlineStr">
        <is>
          <t>Naturvårdsverket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18708-2023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45043</v>
      </c>
      <c r="E396" s="1" t="n">
        <v>46288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46288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46171</v>
      </c>
      <c r="E398" s="1" t="n">
        <v>46288</v>
      </c>
      <c r="F398" t="inlineStr">
        <is>
          <t>DALARNAS LÄN</t>
        </is>
      </c>
      <c r="G398" t="inlineStr">
        <is>
          <t>LUDVIKA</t>
        </is>
      </c>
      <c r="H398" t="inlineStr">
        <is>
          <t>Naturvårdsverket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46288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45399</v>
      </c>
      <c r="E400" s="1" t="n">
        <v>46288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46171</v>
      </c>
      <c r="E401" s="1" t="n">
        <v>46288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46288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46171</v>
      </c>
      <c r="E403" s="1" t="n">
        <v>46288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60843-2024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45644</v>
      </c>
      <c r="E404" s="1" t="n">
        <v>46288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46288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8.1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46288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46288</v>
      </c>
      <c r="F407" t="inlineStr">
        <is>
          <t>DALARNAS LÄN</t>
        </is>
      </c>
      <c r="G407" t="inlineStr">
        <is>
          <t>LUDVIKA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45743</v>
      </c>
      <c r="E408" s="1" t="n">
        <v>46288</v>
      </c>
      <c r="F408" t="inlineStr">
        <is>
          <t>DALARNAS LÄN</t>
        </is>
      </c>
      <c r="G408" t="inlineStr">
        <is>
          <t>LUDVIKA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46288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46288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46171</v>
      </c>
      <c r="E411" s="1" t="n">
        <v>46288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46288</v>
      </c>
      <c r="F412" t="inlineStr">
        <is>
          <t>DALARNAS LÄN</t>
        </is>
      </c>
      <c r="G412" t="inlineStr">
        <is>
          <t>LUDVIKA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24670-2026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46171</v>
      </c>
      <c r="E413" s="1" t="n">
        <v>46288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46171</v>
      </c>
      <c r="E414" s="1" t="n">
        <v>46288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46288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46288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62930-2025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46288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62945-2025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46009</v>
      </c>
      <c r="E418" s="1" t="n">
        <v>46288</v>
      </c>
      <c r="F418" t="inlineStr">
        <is>
          <t>DALARNAS LÄN</t>
        </is>
      </c>
      <c r="G418" t="inlineStr">
        <is>
          <t>LUDVIKA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62845-2025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46008</v>
      </c>
      <c r="E419" s="1" t="n">
        <v>46288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46288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62838-2025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46008</v>
      </c>
      <c r="E421" s="1" t="n">
        <v>46288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59050-2022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44903</v>
      </c>
      <c r="E422" s="1" t="n">
        <v>46288</v>
      </c>
      <c r="F422" t="inlineStr">
        <is>
          <t>DALARNAS LÄN</t>
        </is>
      </c>
      <c r="G422" t="inlineStr">
        <is>
          <t>LUDVIKA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62824-2025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46008</v>
      </c>
      <c r="E423" s="1" t="n">
        <v>46288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62842-2025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46008</v>
      </c>
      <c r="E424" s="1" t="n">
        <v>46288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45579</v>
      </c>
      <c r="E425" s="1" t="n">
        <v>46288</v>
      </c>
      <c r="F425" t="inlineStr">
        <is>
          <t>DALARNAS LÄN</t>
        </is>
      </c>
      <c r="G425" t="inlineStr">
        <is>
          <t>LUDVIKA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45547-2024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45579</v>
      </c>
      <c r="E426" s="1" t="n">
        <v>46288</v>
      </c>
      <c r="F426" t="inlineStr">
        <is>
          <t>DALARNAS LÄN</t>
        </is>
      </c>
      <c r="G426" t="inlineStr">
        <is>
          <t>LUDVIKA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46288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46288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46288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46010</v>
      </c>
      <c r="E430" s="1" t="n">
        <v>46288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46288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49166-2025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45938</v>
      </c>
      <c r="E432" s="1" t="n">
        <v>46288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23617-2026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46288</v>
      </c>
      <c r="F433" t="inlineStr">
        <is>
          <t>DALARNAS LÄN</t>
        </is>
      </c>
      <c r="G433" t="inlineStr">
        <is>
          <t>LUDVIKA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46288</v>
      </c>
      <c r="F434" t="inlineStr">
        <is>
          <t>DALARNAS LÄN</t>
        </is>
      </c>
      <c r="G434" t="inlineStr">
        <is>
          <t>LUDVIKA</t>
        </is>
      </c>
      <c r="H434" t="inlineStr">
        <is>
          <t>Övriga Aktiebolag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46288</v>
      </c>
      <c r="F435" t="inlineStr">
        <is>
          <t>DALARNAS LÄN</t>
        </is>
      </c>
      <c r="G435" t="inlineStr">
        <is>
          <t>LUDVIKA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45112</v>
      </c>
      <c r="E436" s="1" t="n">
        <v>46288</v>
      </c>
      <c r="F436" t="inlineStr">
        <is>
          <t>DALARNAS LÄN</t>
        </is>
      </c>
      <c r="G436" t="inlineStr">
        <is>
          <t>LUDVIKA</t>
        </is>
      </c>
      <c r="H436" t="inlineStr">
        <is>
          <t>Kommuner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46620-2023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45198</v>
      </c>
      <c r="E437" s="1" t="n">
        <v>46288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45265</v>
      </c>
      <c r="E438" s="1" t="n">
        <v>46288</v>
      </c>
      <c r="F438" t="inlineStr">
        <is>
          <t>DALARNAS LÄN</t>
        </is>
      </c>
      <c r="G438" t="inlineStr">
        <is>
          <t>LUDVIKA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46183</v>
      </c>
      <c r="E439" s="1" t="n">
        <v>46288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49951-2022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46288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46288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46288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46288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46288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49669-2024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45596</v>
      </c>
      <c r="E445" s="1" t="n">
        <v>46288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46288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29114-2024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45481</v>
      </c>
      <c r="E447" s="1" t="n">
        <v>46288</v>
      </c>
      <c r="F447" t="inlineStr">
        <is>
          <t>DALARNAS LÄN</t>
        </is>
      </c>
      <c r="G447" t="inlineStr">
        <is>
          <t>LUDVIKA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46288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20.6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16814-2024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45411</v>
      </c>
      <c r="E449" s="1" t="n">
        <v>46288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45961</v>
      </c>
      <c r="E450" s="1" t="n">
        <v>46288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27853-2026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46288</v>
      </c>
      <c r="F451" t="inlineStr">
        <is>
          <t>DALARNAS LÄN</t>
        </is>
      </c>
      <c r="G451" t="inlineStr">
        <is>
          <t>LUDVIKA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31270-2022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44771</v>
      </c>
      <c r="E452" s="1" t="n">
        <v>46288</v>
      </c>
      <c r="F452" t="inlineStr">
        <is>
          <t>DALARNAS LÄN</t>
        </is>
      </c>
      <c r="G452" t="inlineStr">
        <is>
          <t>LUDVIKA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26727-2026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46184</v>
      </c>
      <c r="E453" s="1" t="n">
        <v>46288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46288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56203-2024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45624</v>
      </c>
      <c r="E455" s="1" t="n">
        <v>46288</v>
      </c>
      <c r="F455" t="inlineStr">
        <is>
          <t>DALARNAS LÄN</t>
        </is>
      </c>
      <c r="G455" t="inlineStr">
        <is>
          <t>LUDVIKA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46288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46288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45103</v>
      </c>
      <c r="E458" s="1" t="n">
        <v>46288</v>
      </c>
      <c r="F458" t="inlineStr">
        <is>
          <t>DALARNAS LÄN</t>
        </is>
      </c>
      <c r="G458" t="inlineStr">
        <is>
          <t>LUDVIKA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45775</v>
      </c>
      <c r="E459" s="1" t="n">
        <v>46288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46288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33839-2024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45520</v>
      </c>
      <c r="E461" s="1" t="n">
        <v>46288</v>
      </c>
      <c r="F461" t="inlineStr">
        <is>
          <t>DALARNAS LÄN</t>
        </is>
      </c>
      <c r="G461" t="inlineStr">
        <is>
          <t>LUDVIKA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56615-2025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45975</v>
      </c>
      <c r="E462" s="1" t="n">
        <v>46288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54730-2022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44883</v>
      </c>
      <c r="E463" s="1" t="n">
        <v>46288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46288</v>
      </c>
      <c r="F464" t="inlineStr">
        <is>
          <t>DALARNAS LÄN</t>
        </is>
      </c>
      <c r="G464" t="inlineStr">
        <is>
          <t>LUDVIKA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52230-2023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45224</v>
      </c>
      <c r="E465" s="1" t="n">
        <v>46288</v>
      </c>
      <c r="F465" t="inlineStr">
        <is>
          <t>DALARNAS LÄN</t>
        </is>
      </c>
      <c r="G465" t="inlineStr">
        <is>
          <t>LUDVIKA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46288</v>
      </c>
      <c r="F466" t="inlineStr">
        <is>
          <t>DALARNAS LÄN</t>
        </is>
      </c>
      <c r="G466" t="inlineStr">
        <is>
          <t>LUDVIKA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46288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46160</v>
      </c>
      <c r="E468" s="1" t="n">
        <v>46288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46288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46288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62368-2025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46007</v>
      </c>
      <c r="E471" s="1" t="n">
        <v>46288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45062</v>
      </c>
      <c r="E472" s="1" t="n">
        <v>46288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39849-2023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46288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22824-2026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46160</v>
      </c>
      <c r="E474" s="1" t="n">
        <v>46288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21034-2026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46146</v>
      </c>
      <c r="E475" s="1" t="n">
        <v>46288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46288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45765</v>
      </c>
      <c r="E477" s="1" t="n">
        <v>46288</v>
      </c>
      <c r="F477" t="inlineStr">
        <is>
          <t>DALARNAS LÄN</t>
        </is>
      </c>
      <c r="G477" t="inlineStr">
        <is>
          <t>LUDVIKA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46288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45740</v>
      </c>
      <c r="E479" s="1" t="n">
        <v>46288</v>
      </c>
      <c r="F479" t="inlineStr">
        <is>
          <t>DALARNAS LÄN</t>
        </is>
      </c>
      <c r="G479" t="inlineStr">
        <is>
          <t>LUDVIKA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46288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55633-2021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44476</v>
      </c>
      <c r="E481" s="1" t="n">
        <v>46288</v>
      </c>
      <c r="F481" t="inlineStr">
        <is>
          <t>DALARNAS LÄN</t>
        </is>
      </c>
      <c r="G481" t="inlineStr">
        <is>
          <t>LUDVIKA</t>
        </is>
      </c>
      <c r="H481" t="inlineStr">
        <is>
          <t>Övriga Aktiebolag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70046-2021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44533</v>
      </c>
      <c r="E482" s="1" t="n">
        <v>46288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43704-2024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45569</v>
      </c>
      <c r="E483" s="1" t="n">
        <v>46288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17998-2025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45761</v>
      </c>
      <c r="E484" s="1" t="n">
        <v>46288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46288</v>
      </c>
      <c r="F485" t="inlineStr">
        <is>
          <t>DALARNAS LÄN</t>
        </is>
      </c>
      <c r="G485" t="inlineStr">
        <is>
          <t>LUDVIKA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46288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46288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46288</v>
      </c>
      <c r="F488" t="inlineStr">
        <is>
          <t>DALARNAS LÄN</t>
        </is>
      </c>
      <c r="G488" t="inlineStr">
        <is>
          <t>LUDVIKA</t>
        </is>
      </c>
      <c r="H488" t="inlineStr">
        <is>
          <t>Naturvårdsverket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32119-2023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46288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46288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46288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34845-2024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45526</v>
      </c>
      <c r="E492" s="1" t="n">
        <v>46288</v>
      </c>
      <c r="F492" t="inlineStr">
        <is>
          <t>DALARNAS LÄN</t>
        </is>
      </c>
      <c r="G492" t="inlineStr">
        <is>
          <t>LUDVIKA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25299-2022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44730</v>
      </c>
      <c r="E493" s="1" t="n">
        <v>46288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46288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45373</v>
      </c>
      <c r="E495" s="1" t="n">
        <v>46288</v>
      </c>
      <c r="F495" t="inlineStr">
        <is>
          <t>DALARNAS LÄN</t>
        </is>
      </c>
      <c r="G495" t="inlineStr">
        <is>
          <t>LUDVIKA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46247</v>
      </c>
      <c r="E496" s="1" t="n">
        <v>46288</v>
      </c>
      <c r="F496" t="inlineStr">
        <is>
          <t>DALARNAS LÄN</t>
        </is>
      </c>
      <c r="G496" t="inlineStr">
        <is>
          <t>LUDVIKA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45243</v>
      </c>
      <c r="E497" s="1" t="n">
        <v>46288</v>
      </c>
      <c r="F497" t="inlineStr">
        <is>
          <t>DALARNAS LÄN</t>
        </is>
      </c>
      <c r="G497" t="inlineStr">
        <is>
          <t>LUDVIKA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32305-2024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45512</v>
      </c>
      <c r="E498" s="1" t="n">
        <v>46288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46114</v>
      </c>
      <c r="E499" s="1" t="n">
        <v>46288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46248</v>
      </c>
      <c r="E500" s="1" t="n">
        <v>46288</v>
      </c>
      <c r="F500" t="inlineStr">
        <is>
          <t>DALARNAS LÄN</t>
        </is>
      </c>
      <c r="G500" t="inlineStr">
        <is>
          <t>LUDVIKA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61309-2022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44915</v>
      </c>
      <c r="E501" s="1" t="n">
        <v>46288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45485</v>
      </c>
      <c r="E502" s="1" t="n">
        <v>46288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60788-2024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45644</v>
      </c>
      <c r="E503" s="1" t="n">
        <v>46288</v>
      </c>
      <c r="F503" t="inlineStr">
        <is>
          <t>DALARNAS LÄN</t>
        </is>
      </c>
      <c r="G503" t="inlineStr">
        <is>
          <t>LUDVIKA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46288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19.8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17787-2026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46288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46288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17913-2026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46288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46288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46288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51043-2024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45603</v>
      </c>
      <c r="E510" s="1" t="n">
        <v>46288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46122</v>
      </c>
      <c r="E511" s="1" t="n">
        <v>46288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45621</v>
      </c>
      <c r="E512" s="1" t="n">
        <v>46288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44942</v>
      </c>
      <c r="E513" s="1" t="n">
        <v>46288</v>
      </c>
      <c r="F513" t="inlineStr">
        <is>
          <t>DALARNAS LÄN</t>
        </is>
      </c>
      <c r="G513" t="inlineStr">
        <is>
          <t>LUDVIKA</t>
        </is>
      </c>
      <c r="I513" t="n">
        <v>13.1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46288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18357-2026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46126</v>
      </c>
      <c r="E515" s="1" t="n">
        <v>46288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46126</v>
      </c>
      <c r="E516" s="1" t="n">
        <v>46288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18362-2026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46126</v>
      </c>
      <c r="E517" s="1" t="n">
        <v>46288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46288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46128</v>
      </c>
      <c r="E519" s="1" t="n">
        <v>46288</v>
      </c>
      <c r="F519" t="inlineStr">
        <is>
          <t>DALARNAS LÄN</t>
        </is>
      </c>
      <c r="G519" t="inlineStr">
        <is>
          <t>LUDVIKA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46288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19610-2026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46288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45754</v>
      </c>
      <c r="E522" s="1" t="n">
        <v>46288</v>
      </c>
      <c r="F522" t="inlineStr">
        <is>
          <t>DALARNAS LÄN</t>
        </is>
      </c>
      <c r="G522" t="inlineStr">
        <is>
          <t>LUDVIKA</t>
        </is>
      </c>
      <c r="H522" t="inlineStr">
        <is>
          <t>Naturvårdsverket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44599</v>
      </c>
      <c r="E523" s="1" t="n">
        <v>46288</v>
      </c>
      <c r="F523" t="inlineStr">
        <is>
          <t>DALARNAS LÄN</t>
        </is>
      </c>
      <c r="G523" t="inlineStr">
        <is>
          <t>LUDVIKA</t>
        </is>
      </c>
      <c r="I523" t="n">
        <v>8.4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46288</v>
      </c>
      <c r="F524" t="inlineStr">
        <is>
          <t>DALARNAS LÄN</t>
        </is>
      </c>
      <c r="G524" t="inlineStr">
        <is>
          <t>LUDVIKA</t>
        </is>
      </c>
      <c r="H524" t="inlineStr">
        <is>
          <t>Kommuner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28062-2026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46195</v>
      </c>
      <c r="E525" s="1" t="n">
        <v>46288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20974-2026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46288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46288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56818-2023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46288</v>
      </c>
      <c r="F528" t="inlineStr">
        <is>
          <t>DALARNAS LÄN</t>
        </is>
      </c>
      <c r="G528" t="inlineStr">
        <is>
          <t>LUDVIKA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44970</v>
      </c>
      <c r="E529" s="1" t="n">
        <v>46288</v>
      </c>
      <c r="F529" t="inlineStr">
        <is>
          <t>DALARNAS LÄN</t>
        </is>
      </c>
      <c r="G529" t="inlineStr">
        <is>
          <t>LUDVIKA</t>
        </is>
      </c>
      <c r="H529" t="inlineStr">
        <is>
          <t>Övriga Aktiebolag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45198</v>
      </c>
      <c r="E530" s="1" t="n">
        <v>46288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46288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46288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46288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53620-2022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44879</v>
      </c>
      <c r="E534" s="1" t="n">
        <v>46288</v>
      </c>
      <c r="F534" t="inlineStr">
        <is>
          <t>DALARNAS LÄN</t>
        </is>
      </c>
      <c r="G534" t="inlineStr">
        <is>
          <t>LUDVIKA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46142</v>
      </c>
      <c r="E535" s="1" t="n">
        <v>46288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34631-2026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46255</v>
      </c>
      <c r="E536" s="1" t="n">
        <v>46288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46288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34638-2026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46255</v>
      </c>
      <c r="E538" s="1" t="n">
        <v>46288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46288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22276-2026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46154</v>
      </c>
      <c r="E540" s="1" t="n">
        <v>46288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57969-2024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45631</v>
      </c>
      <c r="E541" s="1" t="n">
        <v>46288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46288</v>
      </c>
      <c r="F542" t="inlineStr">
        <is>
          <t>DALARNAS LÄN</t>
        </is>
      </c>
      <c r="G542" t="inlineStr">
        <is>
          <t>LUDVIKA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46288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39761-2022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44819</v>
      </c>
      <c r="E544" s="1" t="n">
        <v>46288</v>
      </c>
      <c r="F544" t="inlineStr">
        <is>
          <t>DALARNAS LÄN</t>
        </is>
      </c>
      <c r="G544" t="inlineStr">
        <is>
          <t>LUDVIKA</t>
        </is>
      </c>
      <c r="H544" t="inlineStr">
        <is>
          <t>Naturvårdsverket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46288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35103-2026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46260</v>
      </c>
      <c r="E546" s="1" t="n">
        <v>46288</v>
      </c>
      <c r="F546" t="inlineStr">
        <is>
          <t>DALARNAS LÄN</t>
        </is>
      </c>
      <c r="G546" t="inlineStr">
        <is>
          <t>LUDVIKA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46288</v>
      </c>
      <c r="F547" t="inlineStr">
        <is>
          <t>DALARNAS LÄN</t>
        </is>
      </c>
      <c r="G547" t="inlineStr">
        <is>
          <t>LUDVIKA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46260</v>
      </c>
      <c r="E548" s="1" t="n">
        <v>46288</v>
      </c>
      <c r="F548" t="inlineStr">
        <is>
          <t>DALARNAS LÄN</t>
        </is>
      </c>
      <c r="G548" t="inlineStr">
        <is>
          <t>LUDVIKA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35100-2026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46260</v>
      </c>
      <c r="E549" s="1" t="n">
        <v>46288</v>
      </c>
      <c r="F549" t="inlineStr">
        <is>
          <t>DALARNAS LÄN</t>
        </is>
      </c>
      <c r="G549" t="inlineStr">
        <is>
          <t>LUDVIKA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27989-2026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46288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46288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46288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46288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46288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28801-2026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46288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46288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46288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46288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46288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46288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46288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46218</v>
      </c>
      <c r="E562" s="1" t="n">
        <v>46288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46217</v>
      </c>
      <c r="E563" s="1" t="n">
        <v>46288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21145-2023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45062</v>
      </c>
      <c r="E564" s="1" t="n">
        <v>46288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28838-2026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46288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35179-2026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46288</v>
      </c>
      <c r="F566" t="inlineStr">
        <is>
          <t>DALARNAS LÄN</t>
        </is>
      </c>
      <c r="G566" t="inlineStr">
        <is>
          <t>LUDVIKA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35101-2026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46260</v>
      </c>
      <c r="E567" s="1" t="n">
        <v>46288</v>
      </c>
      <c r="F567" t="inlineStr">
        <is>
          <t>DALARNAS LÄN</t>
        </is>
      </c>
      <c r="G567" t="inlineStr">
        <is>
          <t>LUDVIKA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35105-2026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46260</v>
      </c>
      <c r="E568" s="1" t="n">
        <v>46288</v>
      </c>
      <c r="F568" t="inlineStr">
        <is>
          <t>DALARNAS LÄN</t>
        </is>
      </c>
      <c r="G568" t="inlineStr">
        <is>
          <t>LUDVIKA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15851-2024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45404</v>
      </c>
      <c r="E569" s="1" t="n">
        <v>46288</v>
      </c>
      <c r="F569" t="inlineStr">
        <is>
          <t>DALARNAS LÄN</t>
        </is>
      </c>
      <c r="G569" t="inlineStr">
        <is>
          <t>LUDVIKA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46219</v>
      </c>
      <c r="E570" s="1" t="n">
        <v>46288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41400-2022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44826</v>
      </c>
      <c r="E571" s="1" t="n">
        <v>46288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35837-2026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46265</v>
      </c>
      <c r="E572" s="1" t="n">
        <v>46288</v>
      </c>
      <c r="F572" t="inlineStr">
        <is>
          <t>DALARNAS LÄN</t>
        </is>
      </c>
      <c r="G572" t="inlineStr">
        <is>
          <t>LUDVIKA</t>
        </is>
      </c>
      <c r="H572" t="inlineStr">
        <is>
          <t>Kyrkan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35490-2026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46262</v>
      </c>
      <c r="E573" s="1" t="n">
        <v>46288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35648-2026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46265</v>
      </c>
      <c r="E574" s="1" t="n">
        <v>46288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46220</v>
      </c>
      <c r="E575" s="1" t="n">
        <v>46288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48774-2024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45593</v>
      </c>
      <c r="E576" s="1" t="n">
        <v>46288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37392-2023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46288</v>
      </c>
      <c r="F577" t="inlineStr">
        <is>
          <t>DALARNAS LÄN</t>
        </is>
      </c>
      <c r="G577" t="inlineStr">
        <is>
          <t>LUDVIKA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36065-2026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46288</v>
      </c>
      <c r="F578" t="inlineStr">
        <is>
          <t>DALARNAS LÄN</t>
        </is>
      </c>
      <c r="G578" t="inlineStr">
        <is>
          <t>LUDVIKA</t>
        </is>
      </c>
      <c r="I578" t="n">
        <v>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11436-2024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45372</v>
      </c>
      <c r="E579" s="1" t="n">
        <v>46288</v>
      </c>
      <c r="F579" t="inlineStr">
        <is>
          <t>DALARNAS LÄN</t>
        </is>
      </c>
      <c r="G579" t="inlineStr">
        <is>
          <t>LUDVIKA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44820</v>
      </c>
      <c r="E580" s="1" t="n">
        <v>46288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40151-2022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44820</v>
      </c>
      <c r="E581" s="1" t="n">
        <v>46288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21741-2022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44708</v>
      </c>
      <c r="E582" s="1" t="n">
        <v>46288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46225</v>
      </c>
      <c r="E583" s="1" t="n">
        <v>46288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37015-2026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46273</v>
      </c>
      <c r="E584" s="1" t="n">
        <v>46288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36820-2026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46272</v>
      </c>
      <c r="E585" s="1" t="n">
        <v>46288</v>
      </c>
      <c r="F585" t="inlineStr">
        <is>
          <t>DALARNAS LÄN</t>
        </is>
      </c>
      <c r="G585" t="inlineStr">
        <is>
          <t>LUDVIKA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51015-2023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45218</v>
      </c>
      <c r="E586" s="1" t="n">
        <v>46288</v>
      </c>
      <c r="F586" t="inlineStr">
        <is>
          <t>DALARNAS LÄN</t>
        </is>
      </c>
      <c r="G586" t="inlineStr">
        <is>
          <t>LUDVIKA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46288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46273</v>
      </c>
      <c r="E588" s="1" t="n">
        <v>46288</v>
      </c>
      <c r="F588" t="inlineStr">
        <is>
          <t>DALARNAS LÄN</t>
        </is>
      </c>
      <c r="G588" t="inlineStr">
        <is>
          <t>LUDVIKA</t>
        </is>
      </c>
      <c r="I588" t="n">
        <v>8.5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37000-2026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46273</v>
      </c>
      <c r="E589" s="1" t="n">
        <v>46288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46230</v>
      </c>
      <c r="E590" s="1" t="n">
        <v>46288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46230</v>
      </c>
      <c r="E591" s="1" t="n">
        <v>46288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46288</v>
      </c>
      <c r="F592" t="inlineStr">
        <is>
          <t>DALARNAS LÄN</t>
        </is>
      </c>
      <c r="G592" t="inlineStr">
        <is>
          <t>LUDVIKA</t>
        </is>
      </c>
      <c r="H592" t="inlineStr">
        <is>
          <t>Naturvårdsverket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37350-2026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46275</v>
      </c>
      <c r="E593" s="1" t="n">
        <v>46288</v>
      </c>
      <c r="F593" t="inlineStr">
        <is>
          <t>DALARNAS LÄN</t>
        </is>
      </c>
      <c r="G593" t="inlineStr">
        <is>
          <t>LUDVIKA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56621-2023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45243</v>
      </c>
      <c r="E594" s="1" t="n">
        <v>46288</v>
      </c>
      <c r="F594" t="inlineStr">
        <is>
          <t>DALARNAS LÄN</t>
        </is>
      </c>
      <c r="G594" t="inlineStr">
        <is>
          <t>LUDVIKA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41616-2024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46288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33345-2024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45519</v>
      </c>
      <c r="E596" s="1" t="n">
        <v>46288</v>
      </c>
      <c r="F596" t="inlineStr">
        <is>
          <t>DALARNAS LÄN</t>
        </is>
      </c>
      <c r="G596" t="inlineStr">
        <is>
          <t>LUDVIKA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46275</v>
      </c>
      <c r="E597" s="1" t="n">
        <v>46288</v>
      </c>
      <c r="F597" t="inlineStr">
        <is>
          <t>DALARNAS LÄN</t>
        </is>
      </c>
      <c r="G597" t="inlineStr">
        <is>
          <t>LUDVIKA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22555-2023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45071</v>
      </c>
      <c r="E598" s="1" t="n">
        <v>46288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3280-2024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45317</v>
      </c>
      <c r="E599" s="1" t="n">
        <v>46288</v>
      </c>
      <c r="F599" t="inlineStr">
        <is>
          <t>DALARNAS LÄN</t>
        </is>
      </c>
      <c r="G599" t="inlineStr">
        <is>
          <t>LUDVIKA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3470-2025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45680</v>
      </c>
      <c r="E600" s="1" t="n">
        <v>46288</v>
      </c>
      <c r="F600" t="inlineStr">
        <is>
          <t>DALARNAS LÄN</t>
        </is>
      </c>
      <c r="G600" t="inlineStr">
        <is>
          <t>LUDVIKA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46288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45205</v>
      </c>
      <c r="E602" s="1" t="n">
        <v>46288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2838-2022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44581</v>
      </c>
      <c r="E603" s="1" t="n">
        <v>46288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51029-2024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45603</v>
      </c>
      <c r="E604" s="1" t="n">
        <v>46288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46288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46279</v>
      </c>
      <c r="E606" s="1" t="n">
        <v>46288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37626-2026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46276</v>
      </c>
      <c r="E607" s="1" t="n">
        <v>46288</v>
      </c>
      <c r="F607" t="inlineStr">
        <is>
          <t>DALARNAS LÄN</t>
        </is>
      </c>
      <c r="G607" t="inlineStr">
        <is>
          <t>LUDVIKA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46279</v>
      </c>
      <c r="E608" s="1" t="n">
        <v>46288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36073-2026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46267</v>
      </c>
      <c r="E609" s="1" t="n">
        <v>46288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36126-2026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46267</v>
      </c>
      <c r="E610" s="1" t="n">
        <v>46288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40125-2024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45554</v>
      </c>
      <c r="E611" s="1" t="n">
        <v>46288</v>
      </c>
      <c r="F611" t="inlineStr">
        <is>
          <t>DALARNAS LÄN</t>
        </is>
      </c>
      <c r="G611" t="inlineStr">
        <is>
          <t>LUDVIKA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46288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43839-2023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45187</v>
      </c>
      <c r="E613" s="1" t="n">
        <v>46288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45110</v>
      </c>
      <c r="E614" s="1" t="n">
        <v>46288</v>
      </c>
      <c r="F614" t="inlineStr">
        <is>
          <t>DALARNAS LÄN</t>
        </is>
      </c>
      <c r="G614" t="inlineStr">
        <is>
          <t>LUDVIKA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46280</v>
      </c>
      <c r="E615" s="1" t="n">
        <v>46288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25273-2022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44729</v>
      </c>
      <c r="E616" s="1" t="n">
        <v>46288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38160-2026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46281</v>
      </c>
      <c r="E617" s="1" t="n">
        <v>46288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44960</v>
      </c>
      <c r="E618" s="1" t="n">
        <v>46288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46288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7.7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6975-2023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44967</v>
      </c>
      <c r="E620" s="1" t="n">
        <v>46288</v>
      </c>
      <c r="F620" t="inlineStr">
        <is>
          <t>DALARNAS LÄN</t>
        </is>
      </c>
      <c r="G620" t="inlineStr">
        <is>
          <t>LUDVIKA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46283</v>
      </c>
      <c r="E621" s="1" t="n">
        <v>46288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38638-2026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46283</v>
      </c>
      <c r="E622" s="1" t="n">
        <v>46288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60138-2023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46288</v>
      </c>
      <c r="F623" t="inlineStr">
        <is>
          <t>DALARNAS LÄN</t>
        </is>
      </c>
      <c r="G623" t="inlineStr">
        <is>
          <t>LUDVIKA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38620-2026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46283</v>
      </c>
      <c r="E624" s="1" t="n">
        <v>46288</v>
      </c>
      <c r="F624" t="inlineStr">
        <is>
          <t>DALARNAS LÄN</t>
        </is>
      </c>
      <c r="G624" t="inlineStr">
        <is>
          <t>LUDVIKA</t>
        </is>
      </c>
      <c r="H624" t="inlineStr">
        <is>
          <t>Naturvårdsverket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46283</v>
      </c>
      <c r="E625" s="1" t="n">
        <v>46288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46288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37586-2024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45541</v>
      </c>
      <c r="E627" s="1" t="n">
        <v>46288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55551-2024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45622</v>
      </c>
      <c r="E628" s="1" t="n">
        <v>46288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32749-2026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46241</v>
      </c>
      <c r="E629" s="1" t="n">
        <v>46288</v>
      </c>
      <c r="F629" t="inlineStr">
        <is>
          <t>DALARNAS LÄN</t>
        </is>
      </c>
      <c r="G629" t="inlineStr">
        <is>
          <t>LUDVIKA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39093-2026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46287</v>
      </c>
      <c r="E630" s="1" t="n">
        <v>46288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30844-2024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45497</v>
      </c>
      <c r="E631" s="1" t="n">
        <v>46288</v>
      </c>
      <c r="F631" t="inlineStr">
        <is>
          <t>DALARNAS LÄN</t>
        </is>
      </c>
      <c r="G631" t="inlineStr">
        <is>
          <t>LUDVIKA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20411-2023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45056</v>
      </c>
      <c r="E632" s="1" t="n">
        <v>46288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59347-2024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45638</v>
      </c>
      <c r="E633" s="1" t="n">
        <v>46288</v>
      </c>
      <c r="F633" t="inlineStr">
        <is>
          <t>DALARNAS LÄN</t>
        </is>
      </c>
      <c r="G633" t="inlineStr">
        <is>
          <t>LUDVIKA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46287</v>
      </c>
      <c r="E634" s="1" t="n">
        <v>46288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32755-2026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46241</v>
      </c>
      <c r="E635" s="1" t="n">
        <v>46288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46241</v>
      </c>
      <c r="E636" s="1" t="n">
        <v>46288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46288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50777-2024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45602</v>
      </c>
      <c r="E638" s="1" t="n">
        <v>46288</v>
      </c>
      <c r="F638" t="inlineStr">
        <is>
          <t>DALARNAS LÄN</t>
        </is>
      </c>
      <c r="G638" t="inlineStr">
        <is>
          <t>LUDVIKA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41668-2023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45176</v>
      </c>
      <c r="E639" s="1" t="n">
        <v>46288</v>
      </c>
      <c r="F639" t="inlineStr">
        <is>
          <t>DALARNAS LÄN</t>
        </is>
      </c>
      <c r="G639" t="inlineStr">
        <is>
          <t>LUDVIKA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32757-2026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46288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55462-2024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45622</v>
      </c>
      <c r="E641" s="1" t="n">
        <v>46288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45622</v>
      </c>
      <c r="E642" s="1" t="n">
        <v>46288</v>
      </c>
      <c r="F642" t="inlineStr">
        <is>
          <t>DALARNAS LÄN</t>
        </is>
      </c>
      <c r="G642" t="inlineStr">
        <is>
          <t>LUDVIKA</t>
        </is>
      </c>
      <c r="H642" t="inlineStr">
        <is>
          <t>Naturvårdsverket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55510-2024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45622</v>
      </c>
      <c r="E643" s="1" t="n">
        <v>46288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45687</v>
      </c>
      <c r="E644" s="1" t="n">
        <v>46288</v>
      </c>
      <c r="F644" t="inlineStr">
        <is>
          <t>DALARNAS LÄN</t>
        </is>
      </c>
      <c r="G644" t="inlineStr">
        <is>
          <t>LUDVIKA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18421-2025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45762</v>
      </c>
      <c r="E645" s="1" t="n">
        <v>46288</v>
      </c>
      <c r="F645" t="inlineStr">
        <is>
          <t>DALARNAS LÄN</t>
        </is>
      </c>
      <c r="G645" t="inlineStr">
        <is>
          <t>LUDVIKA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50714-2024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45602</v>
      </c>
      <c r="E646" s="1" t="n">
        <v>46288</v>
      </c>
      <c r="F646" t="inlineStr">
        <is>
          <t>DALARNAS LÄN</t>
        </is>
      </c>
      <c r="G646" t="inlineStr">
        <is>
          <t>LUDVIKA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45545</v>
      </c>
      <c r="E647" s="1" t="n">
        <v>46288</v>
      </c>
      <c r="F647" t="inlineStr">
        <is>
          <t>DALARNAS LÄN</t>
        </is>
      </c>
      <c r="G647" t="inlineStr">
        <is>
          <t>LUDVIKA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21893-2025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45784</v>
      </c>
      <c r="E648" s="1" t="n">
        <v>46288</v>
      </c>
      <c r="F648" t="inlineStr">
        <is>
          <t>DALARNAS LÄN</t>
        </is>
      </c>
      <c r="G648" t="inlineStr">
        <is>
          <t>LUDVIKA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42421-2024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46288</v>
      </c>
      <c r="F649" t="inlineStr">
        <is>
          <t>DALARNAS LÄN</t>
        </is>
      </c>
      <c r="G649" t="inlineStr">
        <is>
          <t>LUDVIKA</t>
        </is>
      </c>
      <c r="I649" t="n">
        <v>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53602-2023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45230</v>
      </c>
      <c r="E650" s="1" t="n">
        <v>46288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52359-2024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46288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21891-2025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45784</v>
      </c>
      <c r="E652" s="1" t="n">
        <v>46288</v>
      </c>
      <c r="F652" t="inlineStr">
        <is>
          <t>DALARNAS LÄN</t>
        </is>
      </c>
      <c r="G652" t="inlineStr">
        <is>
          <t>LUDVIKA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33914-2023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45134</v>
      </c>
      <c r="E653" s="1" t="n">
        <v>46288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46095-2024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45581</v>
      </c>
      <c r="E654" s="1" t="n">
        <v>46288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45560</v>
      </c>
      <c r="E655" s="1" t="n">
        <v>46288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22594-2025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45789</v>
      </c>
      <c r="E656" s="1" t="n">
        <v>46288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22606-2025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45789</v>
      </c>
      <c r="E657" s="1" t="n">
        <v>46288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45789</v>
      </c>
      <c r="E658" s="1" t="n">
        <v>46288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46093-2024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45581</v>
      </c>
      <c r="E659" s="1" t="n">
        <v>46288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46107-2024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45581</v>
      </c>
      <c r="E660" s="1" t="n">
        <v>46288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50240-2024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45600</v>
      </c>
      <c r="E661" s="1" t="n">
        <v>46288</v>
      </c>
      <c r="F661" t="inlineStr">
        <is>
          <t>DALARNAS LÄN</t>
        </is>
      </c>
      <c r="G661" t="inlineStr">
        <is>
          <t>LUDVIKA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43702-2024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45569</v>
      </c>
      <c r="E662" s="1" t="n">
        <v>46288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45460</v>
      </c>
      <c r="E663" s="1" t="n">
        <v>46288</v>
      </c>
      <c r="F663" t="inlineStr">
        <is>
          <t>DALARNAS LÄN</t>
        </is>
      </c>
      <c r="G663" t="inlineStr">
        <is>
          <t>LUDVIKA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22599-2025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45789</v>
      </c>
      <c r="E664" s="1" t="n">
        <v>46288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23088-2025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45791</v>
      </c>
      <c r="E665" s="1" t="n">
        <v>46288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23105-2025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45791</v>
      </c>
      <c r="E666" s="1" t="n">
        <v>46288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34280-2024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45524</v>
      </c>
      <c r="E667" s="1" t="n">
        <v>46288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36066-2024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45533</v>
      </c>
      <c r="E668" s="1" t="n">
        <v>46288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47233-2024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45586</v>
      </c>
      <c r="E669" s="1" t="n">
        <v>46288</v>
      </c>
      <c r="F669" t="inlineStr">
        <is>
          <t>DALARNAS LÄN</t>
        </is>
      </c>
      <c r="G669" t="inlineStr">
        <is>
          <t>LUDVIKA</t>
        </is>
      </c>
      <c r="I669" t="n">
        <v>9.5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45786</v>
      </c>
      <c r="E670" s="1" t="n">
        <v>46288</v>
      </c>
      <c r="F670" t="inlineStr">
        <is>
          <t>DALARNAS LÄN</t>
        </is>
      </c>
      <c r="G670" t="inlineStr">
        <is>
          <t>LUDVIKA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61278-2022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44915</v>
      </c>
      <c r="E671" s="1" t="n">
        <v>46288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19677-2025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45770</v>
      </c>
      <c r="E672" s="1" t="n">
        <v>46288</v>
      </c>
      <c r="F672" t="inlineStr">
        <is>
          <t>DALARNAS LÄN</t>
        </is>
      </c>
      <c r="G672" t="inlineStr">
        <is>
          <t>LUDVIKA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23137-2025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45791</v>
      </c>
      <c r="E673" s="1" t="n">
        <v>46288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23443-2024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45453</v>
      </c>
      <c r="E674" s="1" t="n">
        <v>46288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37549-2024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45541</v>
      </c>
      <c r="E675" s="1" t="n">
        <v>46288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20642-2025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45776</v>
      </c>
      <c r="E676" s="1" t="n">
        <v>46288</v>
      </c>
      <c r="F676" t="inlineStr">
        <is>
          <t>DALARNAS LÄN</t>
        </is>
      </c>
      <c r="G676" t="inlineStr">
        <is>
          <t>LUDVIKA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45796</v>
      </c>
      <c r="E677" s="1" t="n">
        <v>46288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23117-2025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45791</v>
      </c>
      <c r="E678" s="1" t="n">
        <v>46288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23139-2025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45791</v>
      </c>
      <c r="E679" s="1" t="n">
        <v>46288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30977-2024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45499</v>
      </c>
      <c r="E680" s="1" t="n">
        <v>46288</v>
      </c>
      <c r="F680" t="inlineStr">
        <is>
          <t>DALARNAS LÄN</t>
        </is>
      </c>
      <c r="G680" t="inlineStr">
        <is>
          <t>LUDVIKA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25004-2025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45799</v>
      </c>
      <c r="E681" s="1" t="n">
        <v>46288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25113-2025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45800</v>
      </c>
      <c r="E682" s="1" t="n">
        <v>46288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25235-2025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45800</v>
      </c>
      <c r="E683" s="1" t="n">
        <v>46288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26320-2025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45805</v>
      </c>
      <c r="E684" s="1" t="n">
        <v>46288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26698-2025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45810</v>
      </c>
      <c r="E685" s="1" t="n">
        <v>46288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26794-2025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45810</v>
      </c>
      <c r="E686" s="1" t="n">
        <v>46288</v>
      </c>
      <c r="F686" t="inlineStr">
        <is>
          <t>DALARNAS LÄN</t>
        </is>
      </c>
      <c r="G686" t="inlineStr">
        <is>
          <t>LUDVIKA</t>
        </is>
      </c>
      <c r="H686" t="inlineStr">
        <is>
          <t>Kommuner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26628-2025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45810</v>
      </c>
      <c r="E687" s="1" t="n">
        <v>46288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43700-2024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45569</v>
      </c>
      <c r="E688" s="1" t="n">
        <v>46288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27506-2025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45813</v>
      </c>
      <c r="E689" s="1" t="n">
        <v>46288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27448-2025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45813</v>
      </c>
      <c r="E690" s="1" t="n">
        <v>46288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27525-2025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45813</v>
      </c>
      <c r="E691" s="1" t="n">
        <v>46288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27532-2025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45813</v>
      </c>
      <c r="E692" s="1" t="n">
        <v>46288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29443-2025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45824</v>
      </c>
      <c r="E693" s="1" t="n">
        <v>46288</v>
      </c>
      <c r="F693" t="inlineStr">
        <is>
          <t>DALARNAS LÄN</t>
        </is>
      </c>
      <c r="G693" t="inlineStr">
        <is>
          <t>LUDVIKA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30288-2025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45827</v>
      </c>
      <c r="E694" s="1" t="n">
        <v>46288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29966-2025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45826</v>
      </c>
      <c r="E695" s="1" t="n">
        <v>46288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29918-2025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45826</v>
      </c>
      <c r="E696" s="1" t="n">
        <v>46288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30760-2025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46288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30748-2025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45831</v>
      </c>
      <c r="E698" s="1" t="n">
        <v>46288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31001-2025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45832</v>
      </c>
      <c r="E699" s="1" t="n">
        <v>46288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45835</v>
      </c>
      <c r="E700" s="1" t="n">
        <v>46288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33063-2025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45840</v>
      </c>
      <c r="E701" s="1" t="n">
        <v>46288</v>
      </c>
      <c r="F701" t="inlineStr">
        <is>
          <t>DALARNAS LÄN</t>
        </is>
      </c>
      <c r="G701" t="inlineStr">
        <is>
          <t>LUDVIKA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33244-2025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45840</v>
      </c>
      <c r="E702" s="1" t="n">
        <v>46288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34067-2025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45845</v>
      </c>
      <c r="E703" s="1" t="n">
        <v>46288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31043-2024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45502</v>
      </c>
      <c r="E704" s="1" t="n">
        <v>46288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34861-2025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45849</v>
      </c>
      <c r="E705" s="1" t="n">
        <v>46288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34455-2024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45525</v>
      </c>
      <c r="E706" s="1" t="n">
        <v>46288</v>
      </c>
      <c r="F706" t="inlineStr">
        <is>
          <t>DALARNAS LÄN</t>
        </is>
      </c>
      <c r="G706" t="inlineStr">
        <is>
          <t>LUDVIKA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29654-2025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45825</v>
      </c>
      <c r="E707" s="1" t="n">
        <v>46288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32329-2024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45512</v>
      </c>
      <c r="E708" s="1" t="n">
        <v>46288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31010-2025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45832</v>
      </c>
      <c r="E709" s="1" t="n">
        <v>46288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31057-2025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45832</v>
      </c>
      <c r="E710" s="1" t="n">
        <v>46288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31050-2025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45832</v>
      </c>
      <c r="E711" s="1" t="n">
        <v>46288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33001-2025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45840</v>
      </c>
      <c r="E712" s="1" t="n">
        <v>46288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17677-2022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44680</v>
      </c>
      <c r="E713" s="1" t="n">
        <v>46288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36437-2025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45869</v>
      </c>
      <c r="E714" s="1" t="n">
        <v>46288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43055-2024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45567</v>
      </c>
      <c r="E715" s="1" t="n">
        <v>46288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2837-2023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45167</v>
      </c>
      <c r="E716" s="1" t="n">
        <v>46288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1122-2023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46288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115.7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3660-2023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45216</v>
      </c>
      <c r="E718" s="1" t="n">
        <v>46288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1246-2024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45400</v>
      </c>
      <c r="E719" s="1" t="n">
        <v>46288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35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1096-2024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45391</v>
      </c>
      <c r="E720" s="1" t="n">
        <v>46288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26.7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4863-2022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44805</v>
      </c>
      <c r="E721" s="1" t="n">
        <v>46288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1113-2023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45015</v>
      </c>
      <c r="E722" s="1" t="n">
        <v>46288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37.9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1815-2026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46190</v>
      </c>
      <c r="E723" s="1" t="n">
        <v>46288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2026-09-23T01:55:42Z</dcterms:created>
  <dcterms:modified xmlns:dcterms="http://purl.org/dc/terms/" xmlns:xsi="http://www.w3.org/2001/XMLSchema-instance" xsi:type="dcterms:W3CDTF">2026-09-23T01:55:43Z</dcterms:modified>
</cp:coreProperties>
</file>
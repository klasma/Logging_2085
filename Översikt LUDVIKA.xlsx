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46130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46130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53931-2025</t>
        </is>
      </c>
      <c r="B4" s="1" t="n">
        <v>45961</v>
      </c>
      <c r="C4" s="1" t="n">
        <v>46130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22.8</v>
      </c>
      <c r="H4" t="n">
        <v>2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4">
        <f>HYPERLINK("https://klasma.github.io/Logging_2085/artfynd/A 53931-2025 artfynd.xlsx", "A 53931-2025")</f>
        <v/>
      </c>
      <c r="T4">
        <f>HYPERLINK("https://klasma.github.io/Logging_2085/kartor/A 53931-2025 karta.png", "A 53931-2025")</f>
        <v/>
      </c>
      <c r="V4">
        <f>HYPERLINK("https://klasma.github.io/Logging_2085/klagomål/A 53931-2025 FSC-klagomål.docx", "A 53931-2025")</f>
        <v/>
      </c>
      <c r="W4">
        <f>HYPERLINK("https://klasma.github.io/Logging_2085/klagomålsmail/A 53931-2025 FSC-klagomål mail.docx", "A 53931-2025")</f>
        <v/>
      </c>
      <c r="X4">
        <f>HYPERLINK("https://klasma.github.io/Logging_2085/tillsyn/A 53931-2025 tillsynsbegäran.docx", "A 53931-2025")</f>
        <v/>
      </c>
      <c r="Y4">
        <f>HYPERLINK("https://klasma.github.io/Logging_2085/tillsynsmail/A 53931-2025 tillsynsbegäran mail.docx", "A 53931-2025")</f>
        <v/>
      </c>
      <c r="Z4">
        <f>HYPERLINK("https://klasma.github.io/Logging_2085/fåglar/A 53931-2025 prioriterade fågelarter.docx", "A 53931-2025")</f>
        <v/>
      </c>
    </row>
    <row r="5" ht="15" customHeight="1">
      <c r="A5" t="inlineStr">
        <is>
          <t>A 32085-2025</t>
        </is>
      </c>
      <c r="B5" s="1" t="n">
        <v>45835.45435185185</v>
      </c>
      <c r="C5" s="1" t="n">
        <v>46130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2.1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5">
        <f>HYPERLINK("https://klasma.github.io/Logging_2085/artfynd/A 32085-2025 artfynd.xlsx", "A 32085-2025")</f>
        <v/>
      </c>
      <c r="T5">
        <f>HYPERLINK("https://klasma.github.io/Logging_2085/kartor/A 32085-2025 karta.png", "A 32085-2025")</f>
        <v/>
      </c>
      <c r="U5">
        <f>HYPERLINK("https://klasma.github.io/Logging_2085/knärot/A 32085-2025 karta knärot.png", "A 32085-2025")</f>
        <v/>
      </c>
      <c r="V5">
        <f>HYPERLINK("https://klasma.github.io/Logging_2085/klagomål/A 32085-2025 FSC-klagomål.docx", "A 32085-2025")</f>
        <v/>
      </c>
      <c r="W5">
        <f>HYPERLINK("https://klasma.github.io/Logging_2085/klagomålsmail/A 32085-2025 FSC-klagomål mail.docx", "A 32085-2025")</f>
        <v/>
      </c>
      <c r="X5">
        <f>HYPERLINK("https://klasma.github.io/Logging_2085/tillsyn/A 32085-2025 tillsynsbegäran.docx", "A 32085-2025")</f>
        <v/>
      </c>
      <c r="Y5">
        <f>HYPERLINK("https://klasma.github.io/Logging_2085/tillsynsmail/A 32085-2025 tillsynsbegäran mail.docx", "A 32085-2025")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46130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46130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46130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46130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7204-2026</t>
        </is>
      </c>
      <c r="B10" s="1" t="n">
        <v>46058.53010416667</v>
      </c>
      <c r="C10" s="1" t="n">
        <v>46130</v>
      </c>
      <c r="D10" t="inlineStr">
        <is>
          <t>DALARNAS LÄN</t>
        </is>
      </c>
      <c r="E10" t="inlineStr">
        <is>
          <t>LUDVIKA</t>
        </is>
      </c>
      <c r="G10" t="n">
        <v>4.7</v>
      </c>
      <c r="H10" t="n">
        <v>5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11</v>
      </c>
      <c r="R10" s="2" t="inlineStr">
        <is>
          <t>Knärot
Lappuggla
Rynkskinn
Garnlav
Spillkråka
Tretåig hackspett
Vedtrappmossa
Bronshjon
Mindre märgborre
Thomsons trägnagare
Tjäder</t>
        </is>
      </c>
      <c r="S10">
        <f>HYPERLINK("https://klasma.github.io/Logging_2085/artfynd/A 7204-2026 artfynd.xlsx", "A 7204-2026")</f>
        <v/>
      </c>
      <c r="T10">
        <f>HYPERLINK("https://klasma.github.io/Logging_2085/kartor/A 7204-2026 karta.png", "A 7204-2026")</f>
        <v/>
      </c>
      <c r="U10">
        <f>HYPERLINK("https://klasma.github.io/Logging_2085/knärot/A 7204-2026 karta knärot.png", "A 7204-2026")</f>
        <v/>
      </c>
      <c r="V10">
        <f>HYPERLINK("https://klasma.github.io/Logging_2085/klagomål/A 7204-2026 FSC-klagomål.docx", "A 7204-2026")</f>
        <v/>
      </c>
      <c r="W10">
        <f>HYPERLINK("https://klasma.github.io/Logging_2085/klagomålsmail/A 7204-2026 FSC-klagomål mail.docx", "A 7204-2026")</f>
        <v/>
      </c>
      <c r="X10">
        <f>HYPERLINK("https://klasma.github.io/Logging_2085/tillsyn/A 7204-2026 tillsynsbegäran.docx", "A 7204-2026")</f>
        <v/>
      </c>
      <c r="Y10">
        <f>HYPERLINK("https://klasma.github.io/Logging_2085/tillsynsmail/A 7204-2026 tillsynsbegäran mail.docx", "A 7204-2026")</f>
        <v/>
      </c>
      <c r="Z10">
        <f>HYPERLINK("https://klasma.github.io/Logging_2085/fåglar/A 7204-2026 prioriterade fågelarter.docx", "A 7204-2026")</f>
        <v/>
      </c>
    </row>
    <row r="11" ht="15" customHeight="1">
      <c r="A11" t="inlineStr">
        <is>
          <t>A 57277-2024</t>
        </is>
      </c>
      <c r="B11" s="1" t="n">
        <v>45629.57699074074</v>
      </c>
      <c r="C11" s="1" t="n">
        <v>46130</v>
      </c>
      <c r="D11" t="inlineStr">
        <is>
          <t>DALARNAS LÄN</t>
        </is>
      </c>
      <c r="E11" t="inlineStr">
        <is>
          <t>LUDVIKA</t>
        </is>
      </c>
      <c r="F11" t="inlineStr">
        <is>
          <t>Naturvårdsverket</t>
        </is>
      </c>
      <c r="G11" t="n">
        <v>3.9</v>
      </c>
      <c r="H11" t="n">
        <v>1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Dvärgbägarlav
Garnlav
Orange taggsvamp
Skrovlig taggsvamp
Ullticka
Björksplintborre
Bollvitmossa
Dropptaggsvamp
Mindre märgborre
Skarp dropptaggsvamp</t>
        </is>
      </c>
      <c r="S11">
        <f>HYPERLINK("https://klasma.github.io/Logging_2085/artfynd/A 57277-2024 artfynd.xlsx", "A 57277-2024")</f>
        <v/>
      </c>
      <c r="T11">
        <f>HYPERLINK("https://klasma.github.io/Logging_2085/kartor/A 57277-2024 karta.png", "A 57277-2024")</f>
        <v/>
      </c>
      <c r="U11">
        <f>HYPERLINK("https://klasma.github.io/Logging_2085/knärot/A 57277-2024 karta knärot.png", "A 57277-2024")</f>
        <v/>
      </c>
      <c r="V11">
        <f>HYPERLINK("https://klasma.github.io/Logging_2085/klagomål/A 57277-2024 FSC-klagomål.docx", "A 57277-2024")</f>
        <v/>
      </c>
      <c r="W11">
        <f>HYPERLINK("https://klasma.github.io/Logging_2085/klagomålsmail/A 57277-2024 FSC-klagomål mail.docx", "A 57277-2024")</f>
        <v/>
      </c>
      <c r="X11">
        <f>HYPERLINK("https://klasma.github.io/Logging_2085/tillsyn/A 57277-2024 tillsynsbegäran.docx", "A 57277-2024")</f>
        <v/>
      </c>
      <c r="Y11">
        <f>HYPERLINK("https://klasma.github.io/Logging_2085/tillsynsmail/A 57277-2024 tillsynsbegäran mail.docx", "A 57277-2024")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46130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57804-2025</t>
        </is>
      </c>
      <c r="B13" s="1" t="n">
        <v>45981</v>
      </c>
      <c r="C13" s="1" t="n">
        <v>46130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4.5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Rynkskinn
Kortskaftad ärgspik
Rosenticka
Spillkråka
Tretåig hackspett
Ullticka
Vedtrappmossa
Dropptaggsvamp
Mindre märgborre</t>
        </is>
      </c>
      <c r="S13">
        <f>HYPERLINK("https://klasma.github.io/Logging_2085/artfynd/A 57804-2025 artfynd.xlsx", "A 57804-2025")</f>
        <v/>
      </c>
      <c r="T13">
        <f>HYPERLINK("https://klasma.github.io/Logging_2085/kartor/A 57804-2025 karta.png", "A 57804-2025")</f>
        <v/>
      </c>
      <c r="U13">
        <f>HYPERLINK("https://klasma.github.io/Logging_2085/knärot/A 57804-2025 karta knärot.png", "A 57804-2025")</f>
        <v/>
      </c>
      <c r="V13">
        <f>HYPERLINK("https://klasma.github.io/Logging_2085/klagomål/A 57804-2025 FSC-klagomål.docx", "A 57804-2025")</f>
        <v/>
      </c>
      <c r="W13">
        <f>HYPERLINK("https://klasma.github.io/Logging_2085/klagomålsmail/A 57804-2025 FSC-klagomål mail.docx", "A 57804-2025")</f>
        <v/>
      </c>
      <c r="X13">
        <f>HYPERLINK("https://klasma.github.io/Logging_2085/tillsyn/A 57804-2025 tillsynsbegäran.docx", "A 57804-2025")</f>
        <v/>
      </c>
      <c r="Y13">
        <f>HYPERLINK("https://klasma.github.io/Logging_2085/tillsynsmail/A 57804-2025 tillsynsbegäran mail.docx", "A 57804-2025")</f>
        <v/>
      </c>
      <c r="Z13">
        <f>HYPERLINK("https://klasma.github.io/Logging_2085/fåglar/A 57804-2025 prioriterade fågelarter.docx", "A 57804-2025")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46130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22685-2025</t>
        </is>
      </c>
      <c r="B15" s="1" t="n">
        <v>45786</v>
      </c>
      <c r="C15" s="1" t="n">
        <v>46130</v>
      </c>
      <c r="D15" t="inlineStr">
        <is>
          <t>DALARNAS LÄN</t>
        </is>
      </c>
      <c r="E15" t="inlineStr">
        <is>
          <t>LUDVIKA</t>
        </is>
      </c>
      <c r="G15" t="n">
        <v>2.9</v>
      </c>
      <c r="H15" t="n">
        <v>9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Tornseglare
Brunlångöra
Entita
Nordfladdermus
Spillkråka
Talltita
Gråskimlig fladdermus
Tajgafladdermus
Vattenfladdermus</t>
        </is>
      </c>
      <c r="S15">
        <f>HYPERLINK("https://klasma.github.io/Logging_2085/artfynd/A 22685-2025 artfynd.xlsx", "A 22685-2025")</f>
        <v/>
      </c>
      <c r="T15">
        <f>HYPERLINK("https://klasma.github.io/Logging_2085/kartor/A 22685-2025 karta.png", "A 22685-2025")</f>
        <v/>
      </c>
      <c r="V15">
        <f>HYPERLINK("https://klasma.github.io/Logging_2085/klagomål/A 22685-2025 FSC-klagomål.docx", "A 22685-2025")</f>
        <v/>
      </c>
      <c r="W15">
        <f>HYPERLINK("https://klasma.github.io/Logging_2085/klagomålsmail/A 22685-2025 FSC-klagomål mail.docx", "A 22685-2025")</f>
        <v/>
      </c>
      <c r="X15">
        <f>HYPERLINK("https://klasma.github.io/Logging_2085/tillsyn/A 22685-2025 tillsynsbegäran.docx", "A 22685-2025")</f>
        <v/>
      </c>
      <c r="Y15">
        <f>HYPERLINK("https://klasma.github.io/Logging_2085/tillsynsmail/A 22685-2025 tillsynsbegäran mail.docx", "A 22685-2025")</f>
        <v/>
      </c>
      <c r="Z15">
        <f>HYPERLINK("https://klasma.github.io/Logging_2085/fåglar/A 22685-2025 prioriterade fågelarter.docx", "A 22685-2025")</f>
        <v/>
      </c>
    </row>
    <row r="16" ht="15" customHeight="1">
      <c r="A16" t="inlineStr">
        <is>
          <t>A 7214-2026</t>
        </is>
      </c>
      <c r="B16" s="1" t="n">
        <v>46058.55002314815</v>
      </c>
      <c r="C16" s="1" t="n">
        <v>46130</v>
      </c>
      <c r="D16" t="inlineStr">
        <is>
          <t>DALARNAS LÄN</t>
        </is>
      </c>
      <c r="E16" t="inlineStr">
        <is>
          <t>LUDVIKA</t>
        </is>
      </c>
      <c r="G16" t="n">
        <v>4.2</v>
      </c>
      <c r="H16" t="n">
        <v>4</v>
      </c>
      <c r="I16" t="n">
        <v>2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Rynkskinn
Granticka
Spillkråka
Talltita
Tretåig hackspett
Vedtrappmossa
Dropptaggsvamp
Thomsons trägnagare</t>
        </is>
      </c>
      <c r="S16">
        <f>HYPERLINK("https://klasma.github.io/Logging_2085/artfynd/A 7214-2026 artfynd.xlsx", "A 7214-2026")</f>
        <v/>
      </c>
      <c r="T16">
        <f>HYPERLINK("https://klasma.github.io/Logging_2085/kartor/A 7214-2026 karta.png", "A 7214-2026")</f>
        <v/>
      </c>
      <c r="U16">
        <f>HYPERLINK("https://klasma.github.io/Logging_2085/knärot/A 7214-2026 karta knärot.png", "A 7214-2026")</f>
        <v/>
      </c>
      <c r="V16">
        <f>HYPERLINK("https://klasma.github.io/Logging_2085/klagomål/A 7214-2026 FSC-klagomål.docx", "A 7214-2026")</f>
        <v/>
      </c>
      <c r="W16">
        <f>HYPERLINK("https://klasma.github.io/Logging_2085/klagomålsmail/A 7214-2026 FSC-klagomål mail.docx", "A 7214-2026")</f>
        <v/>
      </c>
      <c r="X16">
        <f>HYPERLINK("https://klasma.github.io/Logging_2085/tillsyn/A 7214-2026 tillsynsbegäran.docx", "A 7214-2026")</f>
        <v/>
      </c>
      <c r="Y16">
        <f>HYPERLINK("https://klasma.github.io/Logging_2085/tillsynsmail/A 7214-2026 tillsynsbegäran mail.docx", "A 7214-2026")</f>
        <v/>
      </c>
      <c r="Z16">
        <f>HYPERLINK("https://klasma.github.io/Logging_2085/fåglar/A 7214-2026 prioriterade fågelarter.docx", "A 7214-2026")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46130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46130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46130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46130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46130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25287-2025</t>
        </is>
      </c>
      <c r="B22" s="1" t="n">
        <v>45800</v>
      </c>
      <c r="C22" s="1" t="n">
        <v>46130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8.6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Talltita
Tretåig hackspett
Vedskivlav
Nästlav</t>
        </is>
      </c>
      <c r="S22">
        <f>HYPERLINK("https://klasma.github.io/Logging_2085/artfynd/A 25287-2025 artfynd.xlsx", "A 25287-2025")</f>
        <v/>
      </c>
      <c r="T22">
        <f>HYPERLINK("https://klasma.github.io/Logging_2085/kartor/A 25287-2025 karta.png", "A 25287-2025")</f>
        <v/>
      </c>
      <c r="V22">
        <f>HYPERLINK("https://klasma.github.io/Logging_2085/klagomål/A 25287-2025 FSC-klagomål.docx", "A 25287-2025")</f>
        <v/>
      </c>
      <c r="W22">
        <f>HYPERLINK("https://klasma.github.io/Logging_2085/klagomålsmail/A 25287-2025 FSC-klagomål mail.docx", "A 25287-2025")</f>
        <v/>
      </c>
      <c r="X22">
        <f>HYPERLINK("https://klasma.github.io/Logging_2085/tillsyn/A 25287-2025 tillsynsbegäran.docx", "A 25287-2025")</f>
        <v/>
      </c>
      <c r="Y22">
        <f>HYPERLINK("https://klasma.github.io/Logging_2085/tillsynsmail/A 25287-2025 tillsynsbegäran mail.docx", "A 25287-2025")</f>
        <v/>
      </c>
      <c r="Z22">
        <f>HYPERLINK("https://klasma.github.io/Logging_2085/fåglar/A 25287-2025 prioriterade fågelarter.docx", "A 25287-2025")</f>
        <v/>
      </c>
    </row>
    <row r="23" ht="15" customHeight="1">
      <c r="A23" t="inlineStr">
        <is>
          <t>A 33885-2025</t>
        </is>
      </c>
      <c r="B23" s="1" t="n">
        <v>45842</v>
      </c>
      <c r="C23" s="1" t="n">
        <v>46130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2.6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Garnlav
Ullticka
Dropptaggsvamp
Nästlav
Tjäder</t>
        </is>
      </c>
      <c r="S23">
        <f>HYPERLINK("https://klasma.github.io/Logging_2085/artfynd/A 33885-2025 artfynd.xlsx", "A 33885-2025")</f>
        <v/>
      </c>
      <c r="T23">
        <f>HYPERLINK("https://klasma.github.io/Logging_2085/kartor/A 33885-2025 karta.png", "A 33885-2025")</f>
        <v/>
      </c>
      <c r="U23">
        <f>HYPERLINK("https://klasma.github.io/Logging_2085/knärot/A 33885-2025 karta knärot.png", "A 33885-2025")</f>
        <v/>
      </c>
      <c r="V23">
        <f>HYPERLINK("https://klasma.github.io/Logging_2085/klagomål/A 33885-2025 FSC-klagomål.docx", "A 33885-2025")</f>
        <v/>
      </c>
      <c r="W23">
        <f>HYPERLINK("https://klasma.github.io/Logging_2085/klagomålsmail/A 33885-2025 FSC-klagomål mail.docx", "A 33885-2025")</f>
        <v/>
      </c>
      <c r="X23">
        <f>HYPERLINK("https://klasma.github.io/Logging_2085/tillsyn/A 33885-2025 tillsynsbegäran.docx", "A 33885-2025")</f>
        <v/>
      </c>
      <c r="Y23">
        <f>HYPERLINK("https://klasma.github.io/Logging_2085/tillsynsmail/A 33885-2025 tillsynsbegäran mail.docx", "A 33885-2025")</f>
        <v/>
      </c>
      <c r="Z23">
        <f>HYPERLINK("https://klasma.github.io/Logging_2085/fåglar/A 33885-2025 prioriterade fågelarter.docx", "A 33885-2025")</f>
        <v/>
      </c>
    </row>
    <row r="24" ht="15" customHeight="1">
      <c r="A24" t="inlineStr">
        <is>
          <t>A 50453-2025</t>
        </is>
      </c>
      <c r="B24" s="1" t="n">
        <v>45945</v>
      </c>
      <c r="C24" s="1" t="n">
        <v>46130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5.6</v>
      </c>
      <c r="H24" t="n">
        <v>0</v>
      </c>
      <c r="I24" t="n">
        <v>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6</v>
      </c>
      <c r="R24" s="2" t="inlineStr">
        <is>
          <t>Aspgelélav
Gränsticka
Bårdlav
Luddlav
Sotlav
Vedticka</t>
        </is>
      </c>
      <c r="S24">
        <f>HYPERLINK("https://klasma.github.io/Logging_2085/artfynd/A 50453-2025 artfynd.xlsx", "A 50453-2025")</f>
        <v/>
      </c>
      <c r="T24">
        <f>HYPERLINK("https://klasma.github.io/Logging_2085/kartor/A 50453-2025 karta.png", "A 50453-2025")</f>
        <v/>
      </c>
      <c r="V24">
        <f>HYPERLINK("https://klasma.github.io/Logging_2085/klagomål/A 50453-2025 FSC-klagomål.docx", "A 50453-2025")</f>
        <v/>
      </c>
      <c r="W24">
        <f>HYPERLINK("https://klasma.github.io/Logging_2085/klagomålsmail/A 50453-2025 FSC-klagomål mail.docx", "A 50453-2025")</f>
        <v/>
      </c>
      <c r="X24">
        <f>HYPERLINK("https://klasma.github.io/Logging_2085/tillsyn/A 50453-2025 tillsynsbegäran.docx", "A 50453-2025")</f>
        <v/>
      </c>
      <c r="Y24">
        <f>HYPERLINK("https://klasma.github.io/Logging_2085/tillsynsmail/A 50453-2025 tillsynsbegäran mail.docx", "A 50453-2025")</f>
        <v/>
      </c>
    </row>
    <row r="25" ht="15" customHeight="1">
      <c r="A25" t="inlineStr">
        <is>
          <t>A 22195-2025</t>
        </is>
      </c>
      <c r="B25" s="1" t="n">
        <v>45785</v>
      </c>
      <c r="C25" s="1" t="n">
        <v>46130</v>
      </c>
      <c r="D25" t="inlineStr">
        <is>
          <t>DALARNAS LÄN</t>
        </is>
      </c>
      <c r="E25" t="inlineStr">
        <is>
          <t>LUDVIKA</t>
        </is>
      </c>
      <c r="G25" t="n">
        <v>7.4</v>
      </c>
      <c r="H25" t="n">
        <v>5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Entita
Garnlav
Spillkråka
Talltita
Tretåig hackspett
Tjäder</t>
        </is>
      </c>
      <c r="S25">
        <f>HYPERLINK("https://klasma.github.io/Logging_2085/artfynd/A 22195-2025 artfynd.xlsx", "A 22195-2025")</f>
        <v/>
      </c>
      <c r="T25">
        <f>HYPERLINK("https://klasma.github.io/Logging_2085/kartor/A 22195-2025 karta.png", "A 22195-2025")</f>
        <v/>
      </c>
      <c r="V25">
        <f>HYPERLINK("https://klasma.github.io/Logging_2085/klagomål/A 22195-2025 FSC-klagomål.docx", "A 22195-2025")</f>
        <v/>
      </c>
      <c r="W25">
        <f>HYPERLINK("https://klasma.github.io/Logging_2085/klagomålsmail/A 22195-2025 FSC-klagomål mail.docx", "A 22195-2025")</f>
        <v/>
      </c>
      <c r="X25">
        <f>HYPERLINK("https://klasma.github.io/Logging_2085/tillsyn/A 22195-2025 tillsynsbegäran.docx", "A 22195-2025")</f>
        <v/>
      </c>
      <c r="Y25">
        <f>HYPERLINK("https://klasma.github.io/Logging_2085/tillsynsmail/A 22195-2025 tillsynsbegäran mail.docx", "A 22195-2025")</f>
        <v/>
      </c>
      <c r="Z25">
        <f>HYPERLINK("https://klasma.github.io/Logging_2085/fåglar/A 22195-2025 prioriterade fågelarter.docx", "A 22195-2025")</f>
        <v/>
      </c>
    </row>
    <row r="26" ht="15" customHeight="1">
      <c r="A26" t="inlineStr">
        <is>
          <t>A 11705-2024</t>
        </is>
      </c>
      <c r="B26" s="1" t="n">
        <v>45373.61137731482</v>
      </c>
      <c r="C26" s="1" t="n">
        <v>46130</v>
      </c>
      <c r="D26" t="inlineStr">
        <is>
          <t>DALARNAS LÄN</t>
        </is>
      </c>
      <c r="E26" t="inlineStr">
        <is>
          <t>LUDVIKA</t>
        </is>
      </c>
      <c r="G26" t="n">
        <v>35.4</v>
      </c>
      <c r="H26" t="n">
        <v>2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Brunpudrad nållav
Garnlav
Granticka
Kortskaftad ärgspik
Spillkråka
Tretåig hackspett</t>
        </is>
      </c>
      <c r="S26">
        <f>HYPERLINK("https://klasma.github.io/Logging_2085/artfynd/A 11705-2024 artfynd.xlsx", "A 11705-2024")</f>
        <v/>
      </c>
      <c r="T26">
        <f>HYPERLINK("https://klasma.github.io/Logging_2085/kartor/A 11705-2024 karta.png", "A 11705-2024")</f>
        <v/>
      </c>
      <c r="V26">
        <f>HYPERLINK("https://klasma.github.io/Logging_2085/klagomål/A 11705-2024 FSC-klagomål.docx", "A 11705-2024")</f>
        <v/>
      </c>
      <c r="W26">
        <f>HYPERLINK("https://klasma.github.io/Logging_2085/klagomålsmail/A 11705-2024 FSC-klagomål mail.docx", "A 11705-2024")</f>
        <v/>
      </c>
      <c r="X26">
        <f>HYPERLINK("https://klasma.github.io/Logging_2085/tillsyn/A 11705-2024 tillsynsbegäran.docx", "A 11705-2024")</f>
        <v/>
      </c>
      <c r="Y26">
        <f>HYPERLINK("https://klasma.github.io/Logging_2085/tillsynsmail/A 11705-2024 tillsynsbegäran mail.docx", "A 11705-2024")</f>
        <v/>
      </c>
      <c r="Z26">
        <f>HYPERLINK("https://klasma.github.io/Logging_2085/fåglar/A 11705-2024 prioriterade fågelarter.docx", "A 11705-2024")</f>
        <v/>
      </c>
    </row>
    <row r="27" ht="15" customHeight="1">
      <c r="A27" t="inlineStr">
        <is>
          <t>A 59946-2025</t>
        </is>
      </c>
      <c r="B27" s="1" t="n">
        <v>45993</v>
      </c>
      <c r="C27" s="1" t="n">
        <v>46130</v>
      </c>
      <c r="D27" t="inlineStr">
        <is>
          <t>DALARNAS LÄN</t>
        </is>
      </c>
      <c r="E27" t="inlineStr">
        <is>
          <t>LUDVIKA</t>
        </is>
      </c>
      <c r="G27" t="n">
        <v>2.3</v>
      </c>
      <c r="H27" t="n">
        <v>2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Knärot
Garnlav
Kolflarnlav
Mörk kolflarnlav
Tretåig hackspett
Mindre märgborre</t>
        </is>
      </c>
      <c r="S27">
        <f>HYPERLINK("https://klasma.github.io/Logging_2085/artfynd/A 59946-2025 artfynd.xlsx", "A 59946-2025")</f>
        <v/>
      </c>
      <c r="T27">
        <f>HYPERLINK("https://klasma.github.io/Logging_2085/kartor/A 59946-2025 karta.png", "A 59946-2025")</f>
        <v/>
      </c>
      <c r="U27">
        <f>HYPERLINK("https://klasma.github.io/Logging_2085/knärot/A 59946-2025 karta knärot.png", "A 59946-2025")</f>
        <v/>
      </c>
      <c r="V27">
        <f>HYPERLINK("https://klasma.github.io/Logging_2085/klagomål/A 59946-2025 FSC-klagomål.docx", "A 59946-2025")</f>
        <v/>
      </c>
      <c r="W27">
        <f>HYPERLINK("https://klasma.github.io/Logging_2085/klagomålsmail/A 59946-2025 FSC-klagomål mail.docx", "A 59946-2025")</f>
        <v/>
      </c>
      <c r="X27">
        <f>HYPERLINK("https://klasma.github.io/Logging_2085/tillsyn/A 59946-2025 tillsynsbegäran.docx", "A 59946-2025")</f>
        <v/>
      </c>
      <c r="Y27">
        <f>HYPERLINK("https://klasma.github.io/Logging_2085/tillsynsmail/A 59946-2025 tillsynsbegäran mail.docx", "A 59946-2025")</f>
        <v/>
      </c>
      <c r="Z27">
        <f>HYPERLINK("https://klasma.github.io/Logging_2085/fåglar/A 59946-2025 prioriterade fågelarter.docx", "A 59946-2025")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46130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55406-2025</t>
        </is>
      </c>
      <c r="B29" s="1" t="n">
        <v>45971</v>
      </c>
      <c r="C29" s="1" t="n">
        <v>46130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25</v>
      </c>
      <c r="H29" t="n">
        <v>4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s="2" t="inlineStr">
        <is>
          <t>Gullgröppa
Plattlummer
Nattviol
Blåsippa
Revlummer</t>
        </is>
      </c>
      <c r="S29">
        <f>HYPERLINK("https://klasma.github.io/Logging_2085/artfynd/A 55406-2025 artfynd.xlsx", "A 55406-2025")</f>
        <v/>
      </c>
      <c r="T29">
        <f>HYPERLINK("https://klasma.github.io/Logging_2085/kartor/A 55406-2025 karta.png", "A 55406-2025")</f>
        <v/>
      </c>
      <c r="U29">
        <f>HYPERLINK("https://klasma.github.io/Logging_2085/knärot/A 55406-2025 karta knärot.png", "A 55406-2025")</f>
        <v/>
      </c>
      <c r="V29">
        <f>HYPERLINK("https://klasma.github.io/Logging_2085/klagomål/A 55406-2025 FSC-klagomål.docx", "A 55406-2025")</f>
        <v/>
      </c>
      <c r="W29">
        <f>HYPERLINK("https://klasma.github.io/Logging_2085/klagomålsmail/A 55406-2025 FSC-klagomål mail.docx", "A 55406-2025")</f>
        <v/>
      </c>
      <c r="X29">
        <f>HYPERLINK("https://klasma.github.io/Logging_2085/tillsyn/A 55406-2025 tillsynsbegäran.docx", "A 55406-2025")</f>
        <v/>
      </c>
      <c r="Y29">
        <f>HYPERLINK("https://klasma.github.io/Logging_2085/tillsynsmail/A 55406-2025 tillsynsbegäran mail.docx", "A 55406-2025")</f>
        <v/>
      </c>
    </row>
    <row r="30" ht="15" customHeight="1">
      <c r="A30" t="inlineStr">
        <is>
          <t>A 47287-2025</t>
        </is>
      </c>
      <c r="B30" s="1" t="n">
        <v>45930.48451388889</v>
      </c>
      <c r="C30" s="1" t="n">
        <v>46130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8.4</v>
      </c>
      <c r="H30" t="n">
        <v>3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Järpe
Lunglav
Talltita
Tretåig hackspett</t>
        </is>
      </c>
      <c r="S30">
        <f>HYPERLINK("https://klasma.github.io/Logging_2085/artfynd/A 47287-2025 artfynd.xlsx", "A 47287-2025")</f>
        <v/>
      </c>
      <c r="T30">
        <f>HYPERLINK("https://klasma.github.io/Logging_2085/kartor/A 47287-2025 karta.png", "A 47287-2025")</f>
        <v/>
      </c>
      <c r="V30">
        <f>HYPERLINK("https://klasma.github.io/Logging_2085/klagomål/A 47287-2025 FSC-klagomål.docx", "A 47287-2025")</f>
        <v/>
      </c>
      <c r="W30">
        <f>HYPERLINK("https://klasma.github.io/Logging_2085/klagomålsmail/A 47287-2025 FSC-klagomål mail.docx", "A 47287-2025")</f>
        <v/>
      </c>
      <c r="X30">
        <f>HYPERLINK("https://klasma.github.io/Logging_2085/tillsyn/A 47287-2025 tillsynsbegäran.docx", "A 47287-2025")</f>
        <v/>
      </c>
      <c r="Y30">
        <f>HYPERLINK("https://klasma.github.io/Logging_2085/tillsynsmail/A 47287-2025 tillsynsbegäran mail.docx", "A 47287-2025")</f>
        <v/>
      </c>
      <c r="Z30">
        <f>HYPERLINK("https://klasma.github.io/Logging_2085/fåglar/A 47287-2025 prioriterade fågelarter.docx", "A 47287-2025")</f>
        <v/>
      </c>
    </row>
    <row r="31" ht="15" customHeight="1">
      <c r="A31" t="inlineStr">
        <is>
          <t>A 34913-2025</t>
        </is>
      </c>
      <c r="B31" s="1" t="n">
        <v>45849.53956018519</v>
      </c>
      <c r="C31" s="1" t="n">
        <v>46130</v>
      </c>
      <c r="D31" t="inlineStr">
        <is>
          <t>DALARNAS LÄN</t>
        </is>
      </c>
      <c r="E31" t="inlineStr">
        <is>
          <t>LUDVIKA</t>
        </is>
      </c>
      <c r="G31" t="n">
        <v>6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Barrpraktbagge
Lunglav
Barkticka
Huggorm
Blåsippa</t>
        </is>
      </c>
      <c r="S31">
        <f>HYPERLINK("https://klasma.github.io/Logging_2085/artfynd/A 34913-2025 artfynd.xlsx", "A 34913-2025")</f>
        <v/>
      </c>
      <c r="T31">
        <f>HYPERLINK("https://klasma.github.io/Logging_2085/kartor/A 34913-2025 karta.png", "A 34913-2025")</f>
        <v/>
      </c>
      <c r="V31">
        <f>HYPERLINK("https://klasma.github.io/Logging_2085/klagomål/A 34913-2025 FSC-klagomål.docx", "A 34913-2025")</f>
        <v/>
      </c>
      <c r="W31">
        <f>HYPERLINK("https://klasma.github.io/Logging_2085/klagomålsmail/A 34913-2025 FSC-klagomål mail.docx", "A 34913-2025")</f>
        <v/>
      </c>
      <c r="X31">
        <f>HYPERLINK("https://klasma.github.io/Logging_2085/tillsyn/A 34913-2025 tillsynsbegäran.docx", "A 34913-2025")</f>
        <v/>
      </c>
      <c r="Y31">
        <f>HYPERLINK("https://klasma.github.io/Logging_2085/tillsynsmail/A 34913-2025 tillsynsbegäran mail.docx", "A 34913-2025")</f>
        <v/>
      </c>
    </row>
    <row r="32" ht="15" customHeight="1">
      <c r="A32" t="inlineStr">
        <is>
          <t>A 32054-2021</t>
        </is>
      </c>
      <c r="B32" s="1" t="n">
        <v>44370</v>
      </c>
      <c r="C32" s="1" t="n">
        <v>46130</v>
      </c>
      <c r="D32" t="inlineStr">
        <is>
          <t>DALARNAS LÄN</t>
        </is>
      </c>
      <c r="E32" t="inlineStr">
        <is>
          <t>LUDVIKA</t>
        </is>
      </c>
      <c r="G32" t="n">
        <v>28.7</v>
      </c>
      <c r="H32" t="n">
        <v>2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Kortskaftad ärgspik
Spillkråka
Tretåig hackspett</t>
        </is>
      </c>
      <c r="S32">
        <f>HYPERLINK("https://klasma.github.io/Logging_2085/artfynd/A 32054-2021 artfynd.xlsx", "A 32054-2021")</f>
        <v/>
      </c>
      <c r="T32">
        <f>HYPERLINK("https://klasma.github.io/Logging_2085/kartor/A 32054-2021 karta.png", "A 32054-2021")</f>
        <v/>
      </c>
      <c r="V32">
        <f>HYPERLINK("https://klasma.github.io/Logging_2085/klagomål/A 32054-2021 FSC-klagomål.docx", "A 32054-2021")</f>
        <v/>
      </c>
      <c r="W32">
        <f>HYPERLINK("https://klasma.github.io/Logging_2085/klagomålsmail/A 32054-2021 FSC-klagomål mail.docx", "A 32054-2021")</f>
        <v/>
      </c>
      <c r="X32">
        <f>HYPERLINK("https://klasma.github.io/Logging_2085/tillsyn/A 32054-2021 tillsynsbegäran.docx", "A 32054-2021")</f>
        <v/>
      </c>
      <c r="Y32">
        <f>HYPERLINK("https://klasma.github.io/Logging_2085/tillsynsmail/A 32054-2021 tillsynsbegäran mail.docx", "A 32054-2021")</f>
        <v/>
      </c>
      <c r="Z32">
        <f>HYPERLINK("https://klasma.github.io/Logging_2085/fåglar/A 32054-2021 prioriterade fågelarter.docx", "A 32054-2021")</f>
        <v/>
      </c>
    </row>
    <row r="33" ht="15" customHeight="1">
      <c r="A33" t="inlineStr">
        <is>
          <t>A 53053-2024</t>
        </is>
      </c>
      <c r="B33" s="1" t="n">
        <v>45611.45895833334</v>
      </c>
      <c r="C33" s="1" t="n">
        <v>46130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17.3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Ullticka
Vedtrappmossa
Dropptaggsvamp</t>
        </is>
      </c>
      <c r="S33">
        <f>HYPERLINK("https://klasma.github.io/Logging_2085/artfynd/A 53053-2024 artfynd.xlsx", "A 53053-2024")</f>
        <v/>
      </c>
      <c r="T33">
        <f>HYPERLINK("https://klasma.github.io/Logging_2085/kartor/A 53053-2024 karta.png", "A 53053-2024")</f>
        <v/>
      </c>
      <c r="U33">
        <f>HYPERLINK("https://klasma.github.io/Logging_2085/knärot/A 53053-2024 karta knärot.png", "A 53053-2024")</f>
        <v/>
      </c>
      <c r="V33">
        <f>HYPERLINK("https://klasma.github.io/Logging_2085/klagomål/A 53053-2024 FSC-klagomål.docx", "A 53053-2024")</f>
        <v/>
      </c>
      <c r="W33">
        <f>HYPERLINK("https://klasma.github.io/Logging_2085/klagomålsmail/A 53053-2024 FSC-klagomål mail.docx", "A 53053-2024")</f>
        <v/>
      </c>
      <c r="X33">
        <f>HYPERLINK("https://klasma.github.io/Logging_2085/tillsyn/A 53053-2024 tillsynsbegäran.docx", "A 53053-2024")</f>
        <v/>
      </c>
      <c r="Y33">
        <f>HYPERLINK("https://klasma.github.io/Logging_2085/tillsynsmail/A 53053-2024 tillsynsbegäran mail.docx", "A 53053-2024")</f>
        <v/>
      </c>
    </row>
    <row r="34" ht="15" customHeight="1">
      <c r="A34" t="inlineStr">
        <is>
          <t>A 23094-2025</t>
        </is>
      </c>
      <c r="B34" s="1" t="n">
        <v>45791.34482638889</v>
      </c>
      <c r="C34" s="1" t="n">
        <v>46130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Trädporella
Vanlig padda
Blåsippa</t>
        </is>
      </c>
      <c r="S34">
        <f>HYPERLINK("https://klasma.github.io/Logging_2085/artfynd/A 23094-2025 artfynd.xlsx", "A 23094-2025")</f>
        <v/>
      </c>
      <c r="T34">
        <f>HYPERLINK("https://klasma.github.io/Logging_2085/kartor/A 23094-2025 karta.png", "A 23094-2025")</f>
        <v/>
      </c>
      <c r="V34">
        <f>HYPERLINK("https://klasma.github.io/Logging_2085/klagomål/A 23094-2025 FSC-klagomål.docx", "A 23094-2025")</f>
        <v/>
      </c>
      <c r="W34">
        <f>HYPERLINK("https://klasma.github.io/Logging_2085/klagomålsmail/A 23094-2025 FSC-klagomål mail.docx", "A 23094-2025")</f>
        <v/>
      </c>
      <c r="X34">
        <f>HYPERLINK("https://klasma.github.io/Logging_2085/tillsyn/A 23094-2025 tillsynsbegäran.docx", "A 23094-2025")</f>
        <v/>
      </c>
      <c r="Y34">
        <f>HYPERLINK("https://klasma.github.io/Logging_2085/tillsynsmail/A 23094-2025 tillsynsbegäran mail.docx", "A 23094-2025")</f>
        <v/>
      </c>
    </row>
    <row r="35" ht="15" customHeight="1">
      <c r="A35" t="inlineStr">
        <is>
          <t>A 23099-2025</t>
        </is>
      </c>
      <c r="B35" s="1" t="n">
        <v>45791.35133101852</v>
      </c>
      <c r="C35" s="1" t="n">
        <v>46130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1.5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Blek stjärnmossa
Guldlockmossa
Platt fjädermossa</t>
        </is>
      </c>
      <c r="S35">
        <f>HYPERLINK("https://klasma.github.io/Logging_2085/artfynd/A 23099-2025 artfynd.xlsx", "A 23099-2025")</f>
        <v/>
      </c>
      <c r="T35">
        <f>HYPERLINK("https://klasma.github.io/Logging_2085/kartor/A 23099-2025 karta.png", "A 23099-2025")</f>
        <v/>
      </c>
      <c r="V35">
        <f>HYPERLINK("https://klasma.github.io/Logging_2085/klagomål/A 23099-2025 FSC-klagomål.docx", "A 23099-2025")</f>
        <v/>
      </c>
      <c r="W35">
        <f>HYPERLINK("https://klasma.github.io/Logging_2085/klagomålsmail/A 23099-2025 FSC-klagomål mail.docx", "A 23099-2025")</f>
        <v/>
      </c>
      <c r="X35">
        <f>HYPERLINK("https://klasma.github.io/Logging_2085/tillsyn/A 23099-2025 tillsynsbegäran.docx", "A 23099-2025")</f>
        <v/>
      </c>
      <c r="Y35">
        <f>HYPERLINK("https://klasma.github.io/Logging_2085/tillsynsmail/A 23099-2025 tillsynsbegäran mail.docx", "A 23099-2025")</f>
        <v/>
      </c>
    </row>
    <row r="36" ht="15" customHeight="1">
      <c r="A36" t="inlineStr">
        <is>
          <t>A 41456-2025</t>
        </is>
      </c>
      <c r="B36" s="1" t="n">
        <v>45901.44197916667</v>
      </c>
      <c r="C36" s="1" t="n">
        <v>46130</v>
      </c>
      <c r="D36" t="inlineStr">
        <is>
          <t>DALARNAS LÄN</t>
        </is>
      </c>
      <c r="E36" t="inlineStr">
        <is>
          <t>LUDVIKA</t>
        </is>
      </c>
      <c r="G36" t="n">
        <v>1.9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Aspgelélav
Granticka
Järpe
Lunglav</t>
        </is>
      </c>
      <c r="S36">
        <f>HYPERLINK("https://klasma.github.io/Logging_2085/artfynd/A 41456-2025 artfynd.xlsx", "A 41456-2025")</f>
        <v/>
      </c>
      <c r="T36">
        <f>HYPERLINK("https://klasma.github.io/Logging_2085/kartor/A 41456-2025 karta.png", "A 41456-2025")</f>
        <v/>
      </c>
      <c r="V36">
        <f>HYPERLINK("https://klasma.github.io/Logging_2085/klagomål/A 41456-2025 FSC-klagomål.docx", "A 41456-2025")</f>
        <v/>
      </c>
      <c r="W36">
        <f>HYPERLINK("https://klasma.github.io/Logging_2085/klagomålsmail/A 41456-2025 FSC-klagomål mail.docx", "A 41456-2025")</f>
        <v/>
      </c>
      <c r="X36">
        <f>HYPERLINK("https://klasma.github.io/Logging_2085/tillsyn/A 41456-2025 tillsynsbegäran.docx", "A 41456-2025")</f>
        <v/>
      </c>
      <c r="Y36">
        <f>HYPERLINK("https://klasma.github.io/Logging_2085/tillsynsmail/A 41456-2025 tillsynsbegäran mail.docx", "A 41456-2025")</f>
        <v/>
      </c>
      <c r="Z36">
        <f>HYPERLINK("https://klasma.github.io/Logging_2085/fåglar/A 41456-2025 prioriterade fågelarter.docx", "A 41456-2025")</f>
        <v/>
      </c>
    </row>
    <row r="37" ht="15" customHeight="1">
      <c r="A37" t="inlineStr">
        <is>
          <t>A 47044-2025</t>
        </is>
      </c>
      <c r="B37" s="1" t="n">
        <v>45929.60186342592</v>
      </c>
      <c r="C37" s="1" t="n">
        <v>46130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2.7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Duvhök
Järpe
Tretåig hackspett
Tjäder</t>
        </is>
      </c>
      <c r="S37">
        <f>HYPERLINK("https://klasma.github.io/Logging_2085/artfynd/A 47044-2025 artfynd.xlsx", "A 47044-2025")</f>
        <v/>
      </c>
      <c r="T37">
        <f>HYPERLINK("https://klasma.github.io/Logging_2085/kartor/A 47044-2025 karta.png", "A 47044-2025")</f>
        <v/>
      </c>
      <c r="V37">
        <f>HYPERLINK("https://klasma.github.io/Logging_2085/klagomål/A 47044-2025 FSC-klagomål.docx", "A 47044-2025")</f>
        <v/>
      </c>
      <c r="W37">
        <f>HYPERLINK("https://klasma.github.io/Logging_2085/klagomålsmail/A 47044-2025 FSC-klagomål mail.docx", "A 47044-2025")</f>
        <v/>
      </c>
      <c r="X37">
        <f>HYPERLINK("https://klasma.github.io/Logging_2085/tillsyn/A 47044-2025 tillsynsbegäran.docx", "A 47044-2025")</f>
        <v/>
      </c>
      <c r="Y37">
        <f>HYPERLINK("https://klasma.github.io/Logging_2085/tillsynsmail/A 47044-2025 tillsynsbegäran mail.docx", "A 47044-2025")</f>
        <v/>
      </c>
      <c r="Z37">
        <f>HYPERLINK("https://klasma.github.io/Logging_2085/fåglar/A 47044-2025 prioriterade fågelarter.docx", "A 47044-2025")</f>
        <v/>
      </c>
    </row>
    <row r="38" ht="15" customHeight="1">
      <c r="A38" t="inlineStr">
        <is>
          <t>A 51928-2024</t>
        </is>
      </c>
      <c r="B38" s="1" t="n">
        <v>45607.62311342593</v>
      </c>
      <c r="C38" s="1" t="n">
        <v>46130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27.9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Brunpudrad nållav
Gulnål
Kornig nållav
Vedticka</t>
        </is>
      </c>
      <c r="S38">
        <f>HYPERLINK("https://klasma.github.io/Logging_2085/artfynd/A 51928-2024 artfynd.xlsx", "A 51928-2024")</f>
        <v/>
      </c>
      <c r="T38">
        <f>HYPERLINK("https://klasma.github.io/Logging_2085/kartor/A 51928-2024 karta.png", "A 51928-2024")</f>
        <v/>
      </c>
      <c r="V38">
        <f>HYPERLINK("https://klasma.github.io/Logging_2085/klagomål/A 51928-2024 FSC-klagomål.docx", "A 51928-2024")</f>
        <v/>
      </c>
      <c r="W38">
        <f>HYPERLINK("https://klasma.github.io/Logging_2085/klagomålsmail/A 51928-2024 FSC-klagomål mail.docx", "A 51928-2024")</f>
        <v/>
      </c>
      <c r="X38">
        <f>HYPERLINK("https://klasma.github.io/Logging_2085/tillsyn/A 51928-2024 tillsynsbegäran.docx", "A 51928-2024")</f>
        <v/>
      </c>
      <c r="Y38">
        <f>HYPERLINK("https://klasma.github.io/Logging_2085/tillsynsmail/A 51928-2024 tillsynsbegäran mail.docx", "A 51928-2024")</f>
        <v/>
      </c>
    </row>
    <row r="39" ht="15" customHeight="1">
      <c r="A39" t="inlineStr">
        <is>
          <t>A 45268-2022</t>
        </is>
      </c>
      <c r="B39" s="1" t="n">
        <v>44844.50239583333</v>
      </c>
      <c r="C39" s="1" t="n">
        <v>46130</v>
      </c>
      <c r="D39" t="inlineStr">
        <is>
          <t>DALARNAS LÄN</t>
        </is>
      </c>
      <c r="E39" t="inlineStr">
        <is>
          <t>LUDVIKA</t>
        </is>
      </c>
      <c r="F39" t="inlineStr">
        <is>
          <t>Naturvårdsverket</t>
        </is>
      </c>
      <c r="G39" t="n">
        <v>2.3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Orange taggsvamp
Vedtrappmossa
Vedticka</t>
        </is>
      </c>
      <c r="S39">
        <f>HYPERLINK("https://klasma.github.io/Logging_2085/artfynd/A 45268-2022 artfynd.xlsx", "A 45268-2022")</f>
        <v/>
      </c>
      <c r="T39">
        <f>HYPERLINK("https://klasma.github.io/Logging_2085/kartor/A 45268-2022 karta.png", "A 45268-2022")</f>
        <v/>
      </c>
      <c r="U39">
        <f>HYPERLINK("https://klasma.github.io/Logging_2085/knärot/A 45268-2022 karta knärot.png", "A 45268-2022")</f>
        <v/>
      </c>
      <c r="V39">
        <f>HYPERLINK("https://klasma.github.io/Logging_2085/klagomål/A 45268-2022 FSC-klagomål.docx", "A 45268-2022")</f>
        <v/>
      </c>
      <c r="W39">
        <f>HYPERLINK("https://klasma.github.io/Logging_2085/klagomålsmail/A 45268-2022 FSC-klagomål mail.docx", "A 45268-2022")</f>
        <v/>
      </c>
      <c r="X39">
        <f>HYPERLINK("https://klasma.github.io/Logging_2085/tillsyn/A 45268-2022 tillsynsbegäran.docx", "A 45268-2022")</f>
        <v/>
      </c>
      <c r="Y39">
        <f>HYPERLINK("https://klasma.github.io/Logging_2085/tillsynsmail/A 45268-2022 tillsynsbegäran mail.docx", "A 45268-2022")</f>
        <v/>
      </c>
    </row>
    <row r="40" ht="15" customHeight="1">
      <c r="A40" t="inlineStr">
        <is>
          <t>A 46721-2025</t>
        </is>
      </c>
      <c r="B40" s="1" t="n">
        <v>45926.58377314815</v>
      </c>
      <c r="C40" s="1" t="n">
        <v>46130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8.800000000000001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Järpe
Talltita
Tretåig hackspett</t>
        </is>
      </c>
      <c r="S40">
        <f>HYPERLINK("https://klasma.github.io/Logging_2085/artfynd/A 46721-2025 artfynd.xlsx", "A 46721-2025")</f>
        <v/>
      </c>
      <c r="T40">
        <f>HYPERLINK("https://klasma.github.io/Logging_2085/kartor/A 46721-2025 karta.png", "A 46721-2025")</f>
        <v/>
      </c>
      <c r="V40">
        <f>HYPERLINK("https://klasma.github.io/Logging_2085/klagomål/A 46721-2025 FSC-klagomål.docx", "A 46721-2025")</f>
        <v/>
      </c>
      <c r="W40">
        <f>HYPERLINK("https://klasma.github.io/Logging_2085/klagomålsmail/A 46721-2025 FSC-klagomål mail.docx", "A 46721-2025")</f>
        <v/>
      </c>
      <c r="X40">
        <f>HYPERLINK("https://klasma.github.io/Logging_2085/tillsyn/A 46721-2025 tillsynsbegäran.docx", "A 46721-2025")</f>
        <v/>
      </c>
      <c r="Y40">
        <f>HYPERLINK("https://klasma.github.io/Logging_2085/tillsynsmail/A 46721-2025 tillsynsbegäran mail.docx", "A 46721-2025")</f>
        <v/>
      </c>
      <c r="Z40">
        <f>HYPERLINK("https://klasma.github.io/Logging_2085/fåglar/A 46721-2025 prioriterade fågelarter.docx", "A 46721-2025")</f>
        <v/>
      </c>
    </row>
    <row r="41" ht="15" customHeight="1">
      <c r="A41" t="inlineStr">
        <is>
          <t>A 43226-2025</t>
        </is>
      </c>
      <c r="B41" s="1" t="n">
        <v>45910</v>
      </c>
      <c r="C41" s="1" t="n">
        <v>46130</v>
      </c>
      <c r="D41" t="inlineStr">
        <is>
          <t>DALARNAS LÄN</t>
        </is>
      </c>
      <c r="E41" t="inlineStr">
        <is>
          <t>LUDVIKA</t>
        </is>
      </c>
      <c r="G41" t="n">
        <v>1.1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Rävticka
Rödgul trumpetsvamp</t>
        </is>
      </c>
      <c r="S41">
        <f>HYPERLINK("https://klasma.github.io/Logging_2085/artfynd/A 43226-2025 artfynd.xlsx", "A 43226-2025")</f>
        <v/>
      </c>
      <c r="T41">
        <f>HYPERLINK("https://klasma.github.io/Logging_2085/kartor/A 43226-2025 karta.png", "A 43226-2025")</f>
        <v/>
      </c>
      <c r="V41">
        <f>HYPERLINK("https://klasma.github.io/Logging_2085/klagomål/A 43226-2025 FSC-klagomål.docx", "A 43226-2025")</f>
        <v/>
      </c>
      <c r="W41">
        <f>HYPERLINK("https://klasma.github.io/Logging_2085/klagomålsmail/A 43226-2025 FSC-klagomål mail.docx", "A 43226-2025")</f>
        <v/>
      </c>
      <c r="X41">
        <f>HYPERLINK("https://klasma.github.io/Logging_2085/tillsyn/A 43226-2025 tillsynsbegäran.docx", "A 43226-2025")</f>
        <v/>
      </c>
      <c r="Y41">
        <f>HYPERLINK("https://klasma.github.io/Logging_2085/tillsynsmail/A 43226-2025 tillsynsbegäran mail.docx", "A 43226-2025")</f>
        <v/>
      </c>
      <c r="Z41">
        <f>HYPERLINK("https://klasma.github.io/Logging_2085/fåglar/A 43226-2025 prioriterade fågelarter.docx", "A 43226-2025")</f>
        <v/>
      </c>
    </row>
    <row r="42" ht="15" customHeight="1">
      <c r="A42" t="inlineStr">
        <is>
          <t>A 63164-2025</t>
        </is>
      </c>
      <c r="B42" s="1" t="n">
        <v>46010</v>
      </c>
      <c r="C42" s="1" t="n">
        <v>46130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Garnlav
Vedskivlav</t>
        </is>
      </c>
      <c r="S42">
        <f>HYPERLINK("https://klasma.github.io/Logging_2085/artfynd/A 63164-2025 artfynd.xlsx", "A 63164-2025")</f>
        <v/>
      </c>
      <c r="T42">
        <f>HYPERLINK("https://klasma.github.io/Logging_2085/kartor/A 63164-2025 karta.png", "A 63164-2025")</f>
        <v/>
      </c>
      <c r="V42">
        <f>HYPERLINK("https://klasma.github.io/Logging_2085/klagomål/A 63164-2025 FSC-klagomål.docx", "A 63164-2025")</f>
        <v/>
      </c>
      <c r="W42">
        <f>HYPERLINK("https://klasma.github.io/Logging_2085/klagomålsmail/A 63164-2025 FSC-klagomål mail.docx", "A 63164-2025")</f>
        <v/>
      </c>
      <c r="X42">
        <f>HYPERLINK("https://klasma.github.io/Logging_2085/tillsyn/A 63164-2025 tillsynsbegäran.docx", "A 63164-2025")</f>
        <v/>
      </c>
      <c r="Y42">
        <f>HYPERLINK("https://klasma.github.io/Logging_2085/tillsynsmail/A 63164-2025 tillsynsbegäran mail.docx", "A 63164-2025")</f>
        <v/>
      </c>
    </row>
    <row r="43" ht="15" customHeight="1">
      <c r="A43" t="inlineStr">
        <is>
          <t>A 725-2026</t>
        </is>
      </c>
      <c r="B43" s="1" t="n">
        <v>46029.64107638889</v>
      </c>
      <c r="C43" s="1" t="n">
        <v>46130</v>
      </c>
      <c r="D43" t="inlineStr">
        <is>
          <t>DALARNAS LÄN</t>
        </is>
      </c>
      <c r="E43" t="inlineStr">
        <is>
          <t>LUDVIKA</t>
        </is>
      </c>
      <c r="F43" t="inlineStr">
        <is>
          <t>Övriga Aktiebolag</t>
        </is>
      </c>
      <c r="G43" t="n">
        <v>13.9</v>
      </c>
      <c r="H43" t="n">
        <v>2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Mosippa
Vedtrappmossa
Revlummer</t>
        </is>
      </c>
      <c r="S43">
        <f>HYPERLINK("https://klasma.github.io/Logging_2085/artfynd/A 725-2026 artfynd.xlsx", "A 725-2026")</f>
        <v/>
      </c>
      <c r="T43">
        <f>HYPERLINK("https://klasma.github.io/Logging_2085/kartor/A 725-2026 karta.png", "A 725-2026")</f>
        <v/>
      </c>
      <c r="V43">
        <f>HYPERLINK("https://klasma.github.io/Logging_2085/klagomål/A 725-2026 FSC-klagomål.docx", "A 725-2026")</f>
        <v/>
      </c>
      <c r="W43">
        <f>HYPERLINK("https://klasma.github.io/Logging_2085/klagomålsmail/A 725-2026 FSC-klagomål mail.docx", "A 725-2026")</f>
        <v/>
      </c>
      <c r="X43">
        <f>HYPERLINK("https://klasma.github.io/Logging_2085/tillsyn/A 725-2026 tillsynsbegäran.docx", "A 725-2026")</f>
        <v/>
      </c>
      <c r="Y43">
        <f>HYPERLINK("https://klasma.github.io/Logging_2085/tillsynsmail/A 725-2026 tillsynsbegäran mail.docx", "A 725-2026")</f>
        <v/>
      </c>
    </row>
    <row r="44" ht="15" customHeight="1">
      <c r="A44" t="inlineStr">
        <is>
          <t>A 49676-2024</t>
        </is>
      </c>
      <c r="B44" s="1" t="n">
        <v>45596.66278935185</v>
      </c>
      <c r="C44" s="1" t="n">
        <v>46130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Järpe
Spillkråka</t>
        </is>
      </c>
      <c r="S44">
        <f>HYPERLINK("https://klasma.github.io/Logging_2085/artfynd/A 49676-2024 artfynd.xlsx", "A 49676-2024")</f>
        <v/>
      </c>
      <c r="T44">
        <f>HYPERLINK("https://klasma.github.io/Logging_2085/kartor/A 49676-2024 karta.png", "A 49676-2024")</f>
        <v/>
      </c>
      <c r="V44">
        <f>HYPERLINK("https://klasma.github.io/Logging_2085/klagomål/A 49676-2024 FSC-klagomål.docx", "A 49676-2024")</f>
        <v/>
      </c>
      <c r="W44">
        <f>HYPERLINK("https://klasma.github.io/Logging_2085/klagomålsmail/A 49676-2024 FSC-klagomål mail.docx", "A 49676-2024")</f>
        <v/>
      </c>
      <c r="X44">
        <f>HYPERLINK("https://klasma.github.io/Logging_2085/tillsyn/A 49676-2024 tillsynsbegäran.docx", "A 49676-2024")</f>
        <v/>
      </c>
      <c r="Y44">
        <f>HYPERLINK("https://klasma.github.io/Logging_2085/tillsynsmail/A 49676-2024 tillsynsbegäran mail.docx", "A 49676-2024")</f>
        <v/>
      </c>
      <c r="Z44">
        <f>HYPERLINK("https://klasma.github.io/Logging_2085/fåglar/A 49676-2024 prioriterade fågelarter.docx", "A 49676-2024")</f>
        <v/>
      </c>
    </row>
    <row r="45" ht="15" customHeight="1">
      <c r="A45" t="inlineStr">
        <is>
          <t>A 17320-2026</t>
        </is>
      </c>
      <c r="B45" s="1" t="n">
        <v>46119.6046875</v>
      </c>
      <c r="C45" s="1" t="n">
        <v>46130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3.5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Dropptaggsvamp
Nattviol</t>
        </is>
      </c>
      <c r="S45">
        <f>HYPERLINK("https://klasma.github.io/Logging_2085/artfynd/A 17320-2026 artfynd.xlsx", "A 17320-2026")</f>
        <v/>
      </c>
      <c r="T45">
        <f>HYPERLINK("https://klasma.github.io/Logging_2085/kartor/A 17320-2026 karta.png", "A 17320-2026")</f>
        <v/>
      </c>
      <c r="U45">
        <f>HYPERLINK("https://klasma.github.io/Logging_2085/knärot/A 17320-2026 karta knärot.png", "A 17320-2026")</f>
        <v/>
      </c>
      <c r="V45">
        <f>HYPERLINK("https://klasma.github.io/Logging_2085/klagomål/A 17320-2026 FSC-klagomål.docx", "A 17320-2026")</f>
        <v/>
      </c>
      <c r="W45">
        <f>HYPERLINK("https://klasma.github.io/Logging_2085/klagomålsmail/A 17320-2026 FSC-klagomål mail.docx", "A 17320-2026")</f>
        <v/>
      </c>
      <c r="X45">
        <f>HYPERLINK("https://klasma.github.io/Logging_2085/tillsyn/A 17320-2026 tillsynsbegäran.docx", "A 17320-2026")</f>
        <v/>
      </c>
      <c r="Y45">
        <f>HYPERLINK("https://klasma.github.io/Logging_2085/tillsynsmail/A 17320-2026 tillsynsbegäran mail.docx", "A 17320-2026")</f>
        <v/>
      </c>
    </row>
    <row r="46" ht="15" customHeight="1">
      <c r="A46" t="inlineStr">
        <is>
          <t>A 18759-2026</t>
        </is>
      </c>
      <c r="B46" s="1" t="n">
        <v>46128.56214120371</v>
      </c>
      <c r="C46" s="1" t="n">
        <v>46130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Dropptaggsvamp
Nattviol</t>
        </is>
      </c>
      <c r="S46">
        <f>HYPERLINK("https://klasma.github.io/Logging_2085/artfynd/A 18759-2026 artfynd.xlsx", "A 18759-2026")</f>
        <v/>
      </c>
      <c r="T46">
        <f>HYPERLINK("https://klasma.github.io/Logging_2085/kartor/A 18759-2026 karta.png", "A 18759-2026")</f>
        <v/>
      </c>
      <c r="U46">
        <f>HYPERLINK("https://klasma.github.io/Logging_2085/knärot/A 18759-2026 karta knärot.png", "A 18759-2026")</f>
        <v/>
      </c>
      <c r="V46">
        <f>HYPERLINK("https://klasma.github.io/Logging_2085/klagomål/A 18759-2026 FSC-klagomål.docx", "A 18759-2026")</f>
        <v/>
      </c>
      <c r="W46">
        <f>HYPERLINK("https://klasma.github.io/Logging_2085/klagomålsmail/A 18759-2026 FSC-klagomål mail.docx", "A 18759-2026")</f>
        <v/>
      </c>
      <c r="X46">
        <f>HYPERLINK("https://klasma.github.io/Logging_2085/tillsyn/A 18759-2026 tillsynsbegäran.docx", "A 18759-2026")</f>
        <v/>
      </c>
      <c r="Y46">
        <f>HYPERLINK("https://klasma.github.io/Logging_2085/tillsynsmail/A 18759-2026 tillsynsbegäran mail.docx", "A 18759-2026")</f>
        <v/>
      </c>
    </row>
    <row r="47" ht="15" customHeight="1">
      <c r="A47" t="inlineStr">
        <is>
          <t>A 25448-2024</t>
        </is>
      </c>
      <c r="B47" s="1" t="n">
        <v>45463</v>
      </c>
      <c r="C47" s="1" t="n">
        <v>46130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24.7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Blåsippa</t>
        </is>
      </c>
      <c r="S47">
        <f>HYPERLINK("https://klasma.github.io/Logging_2085/artfynd/A 25448-2024 artfynd.xlsx", "A 25448-2024")</f>
        <v/>
      </c>
      <c r="T47">
        <f>HYPERLINK("https://klasma.github.io/Logging_2085/kartor/A 25448-2024 karta.png", "A 25448-2024")</f>
        <v/>
      </c>
      <c r="V47">
        <f>HYPERLINK("https://klasma.github.io/Logging_2085/klagomål/A 25448-2024 FSC-klagomål.docx", "A 25448-2024")</f>
        <v/>
      </c>
      <c r="W47">
        <f>HYPERLINK("https://klasma.github.io/Logging_2085/klagomålsmail/A 25448-2024 FSC-klagomål mail.docx", "A 25448-2024")</f>
        <v/>
      </c>
      <c r="X47">
        <f>HYPERLINK("https://klasma.github.io/Logging_2085/tillsyn/A 25448-2024 tillsynsbegäran.docx", "A 25448-2024")</f>
        <v/>
      </c>
      <c r="Y47">
        <f>HYPERLINK("https://klasma.github.io/Logging_2085/tillsynsmail/A 25448-2024 tillsynsbegäran mail.docx", "A 25448-2024")</f>
        <v/>
      </c>
      <c r="Z47">
        <f>HYPERLINK("https://klasma.github.io/Logging_2085/fåglar/A 25448-2024 prioriterade fågelarter.docx", "A 25448-2024")</f>
        <v/>
      </c>
    </row>
    <row r="48" ht="15" customHeight="1">
      <c r="A48" t="inlineStr">
        <is>
          <t>A 42558-2022</t>
        </is>
      </c>
      <c r="B48" s="1" t="n">
        <v>44831</v>
      </c>
      <c r="C48" s="1" t="n">
        <v>46130</v>
      </c>
      <c r="D48" t="inlineStr">
        <is>
          <t>DALARNAS LÄN</t>
        </is>
      </c>
      <c r="E48" t="inlineStr">
        <is>
          <t>LUDVIKA</t>
        </is>
      </c>
      <c r="F48" t="inlineStr">
        <is>
          <t>Naturvårdsverket</t>
        </is>
      </c>
      <c r="G48" t="n">
        <v>4.9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Gräddporing
Lopplummer (aggregat)</t>
        </is>
      </c>
      <c r="S48">
        <f>HYPERLINK("https://klasma.github.io/Logging_2085/artfynd/A 42558-2022 artfynd.xlsx", "A 42558-2022")</f>
        <v/>
      </c>
      <c r="T48">
        <f>HYPERLINK("https://klasma.github.io/Logging_2085/kartor/A 42558-2022 karta.png", "A 42558-2022")</f>
        <v/>
      </c>
      <c r="V48">
        <f>HYPERLINK("https://klasma.github.io/Logging_2085/klagomål/A 42558-2022 FSC-klagomål.docx", "A 42558-2022")</f>
        <v/>
      </c>
      <c r="W48">
        <f>HYPERLINK("https://klasma.github.io/Logging_2085/klagomålsmail/A 42558-2022 FSC-klagomål mail.docx", "A 42558-2022")</f>
        <v/>
      </c>
      <c r="X48">
        <f>HYPERLINK("https://klasma.github.io/Logging_2085/tillsyn/A 42558-2022 tillsynsbegäran.docx", "A 42558-2022")</f>
        <v/>
      </c>
      <c r="Y48">
        <f>HYPERLINK("https://klasma.github.io/Logging_2085/tillsynsmail/A 42558-2022 tillsynsbegäran mail.docx", "A 42558-2022")</f>
        <v/>
      </c>
    </row>
    <row r="49" ht="15" customHeight="1">
      <c r="A49" t="inlineStr">
        <is>
          <t>A 25293-2025</t>
        </is>
      </c>
      <c r="B49" s="1" t="n">
        <v>45800</v>
      </c>
      <c r="C49" s="1" t="n">
        <v>46130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19.6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Nästlav</t>
        </is>
      </c>
      <c r="S49">
        <f>HYPERLINK("https://klasma.github.io/Logging_2085/artfynd/A 25293-2025 artfynd.xlsx", "A 25293-2025")</f>
        <v/>
      </c>
      <c r="T49">
        <f>HYPERLINK("https://klasma.github.io/Logging_2085/kartor/A 25293-2025 karta.png", "A 25293-2025")</f>
        <v/>
      </c>
      <c r="V49">
        <f>HYPERLINK("https://klasma.github.io/Logging_2085/klagomål/A 25293-2025 FSC-klagomål.docx", "A 25293-2025")</f>
        <v/>
      </c>
      <c r="W49">
        <f>HYPERLINK("https://klasma.github.io/Logging_2085/klagomålsmail/A 25293-2025 FSC-klagomål mail.docx", "A 25293-2025")</f>
        <v/>
      </c>
      <c r="X49">
        <f>HYPERLINK("https://klasma.github.io/Logging_2085/tillsyn/A 25293-2025 tillsynsbegäran.docx", "A 25293-2025")</f>
        <v/>
      </c>
      <c r="Y49">
        <f>HYPERLINK("https://klasma.github.io/Logging_2085/tillsynsmail/A 25293-2025 tillsynsbegäran mail.docx", "A 25293-2025")</f>
        <v/>
      </c>
    </row>
    <row r="50" ht="15" customHeight="1">
      <c r="A50" t="inlineStr">
        <is>
          <t>A 55399-2025</t>
        </is>
      </c>
      <c r="B50" s="1" t="n">
        <v>45971</v>
      </c>
      <c r="C50" s="1" t="n">
        <v>46130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11.5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Revlummer</t>
        </is>
      </c>
      <c r="S50">
        <f>HYPERLINK("https://klasma.github.io/Logging_2085/artfynd/A 55399-2025 artfynd.xlsx", "A 55399-2025")</f>
        <v/>
      </c>
      <c r="T50">
        <f>HYPERLINK("https://klasma.github.io/Logging_2085/kartor/A 55399-2025 karta.png", "A 55399-2025")</f>
        <v/>
      </c>
      <c r="V50">
        <f>HYPERLINK("https://klasma.github.io/Logging_2085/klagomål/A 55399-2025 FSC-klagomål.docx", "A 55399-2025")</f>
        <v/>
      </c>
      <c r="W50">
        <f>HYPERLINK("https://klasma.github.io/Logging_2085/klagomålsmail/A 55399-2025 FSC-klagomål mail.docx", "A 55399-2025")</f>
        <v/>
      </c>
      <c r="X50">
        <f>HYPERLINK("https://klasma.github.io/Logging_2085/tillsyn/A 55399-2025 tillsynsbegäran.docx", "A 55399-2025")</f>
        <v/>
      </c>
      <c r="Y50">
        <f>HYPERLINK("https://klasma.github.io/Logging_2085/tillsynsmail/A 55399-2025 tillsynsbegäran mail.docx", "A 55399-2025")</f>
        <v/>
      </c>
      <c r="Z50">
        <f>HYPERLINK("https://klasma.github.io/Logging_2085/fåglar/A 55399-2025 prioriterade fågelarter.docx", "A 55399-2025")</f>
        <v/>
      </c>
    </row>
    <row r="51" ht="15" customHeight="1">
      <c r="A51" t="inlineStr">
        <is>
          <t>A 49767-2025</t>
        </is>
      </c>
      <c r="B51" s="1" t="n">
        <v>45940</v>
      </c>
      <c r="C51" s="1" t="n">
        <v>46130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2.5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Tretåig hackspett</t>
        </is>
      </c>
      <c r="S51">
        <f>HYPERLINK("https://klasma.github.io/Logging_2085/artfynd/A 49767-2025 artfynd.xlsx", "A 49767-2025")</f>
        <v/>
      </c>
      <c r="T51">
        <f>HYPERLINK("https://klasma.github.io/Logging_2085/kartor/A 49767-2025 karta.png", "A 49767-2025")</f>
        <v/>
      </c>
      <c r="V51">
        <f>HYPERLINK("https://klasma.github.io/Logging_2085/klagomål/A 49767-2025 FSC-klagomål.docx", "A 49767-2025")</f>
        <v/>
      </c>
      <c r="W51">
        <f>HYPERLINK("https://klasma.github.io/Logging_2085/klagomålsmail/A 49767-2025 FSC-klagomål mail.docx", "A 49767-2025")</f>
        <v/>
      </c>
      <c r="X51">
        <f>HYPERLINK("https://klasma.github.io/Logging_2085/tillsyn/A 49767-2025 tillsynsbegäran.docx", "A 49767-2025")</f>
        <v/>
      </c>
      <c r="Y51">
        <f>HYPERLINK("https://klasma.github.io/Logging_2085/tillsynsmail/A 49767-2025 tillsynsbegäran mail.docx", "A 49767-2025")</f>
        <v/>
      </c>
      <c r="Z51">
        <f>HYPERLINK("https://klasma.github.io/Logging_2085/fåglar/A 49767-2025 prioriterade fågelarter.docx", "A 49767-2025")</f>
        <v/>
      </c>
    </row>
    <row r="52" ht="15" customHeight="1">
      <c r="A52" t="inlineStr">
        <is>
          <t>A 33908-2025</t>
        </is>
      </c>
      <c r="B52" s="1" t="n">
        <v>45842</v>
      </c>
      <c r="C52" s="1" t="n">
        <v>46130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3.9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Dropptaggsvamp
Tjäder</t>
        </is>
      </c>
      <c r="S52">
        <f>HYPERLINK("https://klasma.github.io/Logging_2085/artfynd/A 33908-2025 artfynd.xlsx", "A 33908-2025")</f>
        <v/>
      </c>
      <c r="T52">
        <f>HYPERLINK("https://klasma.github.io/Logging_2085/kartor/A 33908-2025 karta.png", "A 33908-2025")</f>
        <v/>
      </c>
      <c r="V52">
        <f>HYPERLINK("https://klasma.github.io/Logging_2085/klagomål/A 33908-2025 FSC-klagomål.docx", "A 33908-2025")</f>
        <v/>
      </c>
      <c r="W52">
        <f>HYPERLINK("https://klasma.github.io/Logging_2085/klagomålsmail/A 33908-2025 FSC-klagomål mail.docx", "A 33908-2025")</f>
        <v/>
      </c>
      <c r="X52">
        <f>HYPERLINK("https://klasma.github.io/Logging_2085/tillsyn/A 33908-2025 tillsynsbegäran.docx", "A 33908-2025")</f>
        <v/>
      </c>
      <c r="Y52">
        <f>HYPERLINK("https://klasma.github.io/Logging_2085/tillsynsmail/A 33908-2025 tillsynsbegäran mail.docx", "A 33908-2025")</f>
        <v/>
      </c>
      <c r="Z52">
        <f>HYPERLINK("https://klasma.github.io/Logging_2085/fåglar/A 33908-2025 prioriterade fågelarter.docx", "A 33908-2025")</f>
        <v/>
      </c>
    </row>
    <row r="53" ht="15" customHeight="1">
      <c r="A53" t="inlineStr">
        <is>
          <t>A 56879-2025</t>
        </is>
      </c>
      <c r="B53" s="1" t="n">
        <v>45978</v>
      </c>
      <c r="C53" s="1" t="n">
        <v>46130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1.6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Tjäder</t>
        </is>
      </c>
      <c r="S53">
        <f>HYPERLINK("https://klasma.github.io/Logging_2085/artfynd/A 56879-2025 artfynd.xlsx", "A 56879-2025")</f>
        <v/>
      </c>
      <c r="T53">
        <f>HYPERLINK("https://klasma.github.io/Logging_2085/kartor/A 56879-2025 karta.png", "A 56879-2025")</f>
        <v/>
      </c>
      <c r="V53">
        <f>HYPERLINK("https://klasma.github.io/Logging_2085/klagomål/A 56879-2025 FSC-klagomål.docx", "A 56879-2025")</f>
        <v/>
      </c>
      <c r="W53">
        <f>HYPERLINK("https://klasma.github.io/Logging_2085/klagomålsmail/A 56879-2025 FSC-klagomål mail.docx", "A 56879-2025")</f>
        <v/>
      </c>
      <c r="X53">
        <f>HYPERLINK("https://klasma.github.io/Logging_2085/tillsyn/A 56879-2025 tillsynsbegäran.docx", "A 56879-2025")</f>
        <v/>
      </c>
      <c r="Y53">
        <f>HYPERLINK("https://klasma.github.io/Logging_2085/tillsynsmail/A 56879-2025 tillsynsbegäran mail.docx", "A 56879-2025")</f>
        <v/>
      </c>
      <c r="Z53">
        <f>HYPERLINK("https://klasma.github.io/Logging_2085/fåglar/A 56879-2025 prioriterade fågelarter.docx", "A 56879-2025")</f>
        <v/>
      </c>
    </row>
    <row r="54" ht="15" customHeight="1">
      <c r="A54" t="inlineStr">
        <is>
          <t>A 49763-2025</t>
        </is>
      </c>
      <c r="B54" s="1" t="n">
        <v>45940</v>
      </c>
      <c r="C54" s="1" t="n">
        <v>46130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6.9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Dvärgbägarlav
Vedticka</t>
        </is>
      </c>
      <c r="S54">
        <f>HYPERLINK("https://klasma.github.io/Logging_2085/artfynd/A 49763-2025 artfynd.xlsx", "A 49763-2025")</f>
        <v/>
      </c>
      <c r="T54">
        <f>HYPERLINK("https://klasma.github.io/Logging_2085/kartor/A 49763-2025 karta.png", "A 49763-2025")</f>
        <v/>
      </c>
      <c r="V54">
        <f>HYPERLINK("https://klasma.github.io/Logging_2085/klagomål/A 49763-2025 FSC-klagomål.docx", "A 49763-2025")</f>
        <v/>
      </c>
      <c r="W54">
        <f>HYPERLINK("https://klasma.github.io/Logging_2085/klagomålsmail/A 49763-2025 FSC-klagomål mail.docx", "A 49763-2025")</f>
        <v/>
      </c>
      <c r="X54">
        <f>HYPERLINK("https://klasma.github.io/Logging_2085/tillsyn/A 49763-2025 tillsynsbegäran.docx", "A 49763-2025")</f>
        <v/>
      </c>
      <c r="Y54">
        <f>HYPERLINK("https://klasma.github.io/Logging_2085/tillsynsmail/A 49763-2025 tillsynsbegäran mail.docx", "A 49763-2025")</f>
        <v/>
      </c>
    </row>
    <row r="55" ht="15" customHeight="1">
      <c r="A55" t="inlineStr">
        <is>
          <t>A 63116-2025</t>
        </is>
      </c>
      <c r="B55" s="1" t="n">
        <v>46009.77782407407</v>
      </c>
      <c r="C55" s="1" t="n">
        <v>46130</v>
      </c>
      <c r="D55" t="inlineStr">
        <is>
          <t>DALARNAS LÄN</t>
        </is>
      </c>
      <c r="E55" t="inlineStr">
        <is>
          <t>LUDVIKA</t>
        </is>
      </c>
      <c r="G55" t="n">
        <v>4.8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Björksplintborre</t>
        </is>
      </c>
      <c r="S55">
        <f>HYPERLINK("https://klasma.github.io/Logging_2085/artfynd/A 63116-2025 artfynd.xlsx", "A 63116-2025")</f>
        <v/>
      </c>
      <c r="T55">
        <f>HYPERLINK("https://klasma.github.io/Logging_2085/kartor/A 63116-2025 karta.png", "A 63116-2025")</f>
        <v/>
      </c>
      <c r="V55">
        <f>HYPERLINK("https://klasma.github.io/Logging_2085/klagomål/A 63116-2025 FSC-klagomål.docx", "A 63116-2025")</f>
        <v/>
      </c>
      <c r="W55">
        <f>HYPERLINK("https://klasma.github.io/Logging_2085/klagomålsmail/A 63116-2025 FSC-klagomål mail.docx", "A 63116-2025")</f>
        <v/>
      </c>
      <c r="X55">
        <f>HYPERLINK("https://klasma.github.io/Logging_2085/tillsyn/A 63116-2025 tillsynsbegäran.docx", "A 63116-2025")</f>
        <v/>
      </c>
      <c r="Y55">
        <f>HYPERLINK("https://klasma.github.io/Logging_2085/tillsynsmail/A 63116-2025 tillsynsbegäran mail.docx", "A 63116-2025")</f>
        <v/>
      </c>
    </row>
    <row r="56" ht="15" customHeight="1">
      <c r="A56" t="inlineStr">
        <is>
          <t>A 12093-2023</t>
        </is>
      </c>
      <c r="B56" s="1" t="n">
        <v>44998.36106481482</v>
      </c>
      <c r="C56" s="1" t="n">
        <v>46130</v>
      </c>
      <c r="D56" t="inlineStr">
        <is>
          <t>DALARNAS LÄN</t>
        </is>
      </c>
      <c r="E56" t="inlineStr">
        <is>
          <t>LUDVIKA</t>
        </is>
      </c>
      <c r="G56" t="n">
        <v>3.2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Bitter taggsvamp
Solfjäderlav</t>
        </is>
      </c>
      <c r="S56">
        <f>HYPERLINK("https://klasma.github.io/Logging_2085/artfynd/A 12093-2023 artfynd.xlsx", "A 12093-2023")</f>
        <v/>
      </c>
      <c r="T56">
        <f>HYPERLINK("https://klasma.github.io/Logging_2085/kartor/A 12093-2023 karta.png", "A 12093-2023")</f>
        <v/>
      </c>
      <c r="V56">
        <f>HYPERLINK("https://klasma.github.io/Logging_2085/klagomål/A 12093-2023 FSC-klagomål.docx", "A 12093-2023")</f>
        <v/>
      </c>
      <c r="W56">
        <f>HYPERLINK("https://klasma.github.io/Logging_2085/klagomålsmail/A 12093-2023 FSC-klagomål mail.docx", "A 12093-2023")</f>
        <v/>
      </c>
      <c r="X56">
        <f>HYPERLINK("https://klasma.github.io/Logging_2085/tillsyn/A 12093-2023 tillsynsbegäran.docx", "A 12093-2023")</f>
        <v/>
      </c>
      <c r="Y56">
        <f>HYPERLINK("https://klasma.github.io/Logging_2085/tillsynsmail/A 12093-2023 tillsynsbegäran mail.docx", "A 12093-2023")</f>
        <v/>
      </c>
    </row>
    <row r="57" ht="15" customHeight="1">
      <c r="A57" t="inlineStr">
        <is>
          <t>A 56826-2025</t>
        </is>
      </c>
      <c r="B57" s="1" t="n">
        <v>45978</v>
      </c>
      <c r="C57" s="1" t="n">
        <v>46130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4.5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Tretåig hackspett</t>
        </is>
      </c>
      <c r="S57">
        <f>HYPERLINK("https://klasma.github.io/Logging_2085/artfynd/A 56826-2025 artfynd.xlsx", "A 56826-2025")</f>
        <v/>
      </c>
      <c r="T57">
        <f>HYPERLINK("https://klasma.github.io/Logging_2085/kartor/A 56826-2025 karta.png", "A 56826-2025")</f>
        <v/>
      </c>
      <c r="V57">
        <f>HYPERLINK("https://klasma.github.io/Logging_2085/klagomål/A 56826-2025 FSC-klagomål.docx", "A 56826-2025")</f>
        <v/>
      </c>
      <c r="W57">
        <f>HYPERLINK("https://klasma.github.io/Logging_2085/klagomålsmail/A 56826-2025 FSC-klagomål mail.docx", "A 56826-2025")</f>
        <v/>
      </c>
      <c r="X57">
        <f>HYPERLINK("https://klasma.github.io/Logging_2085/tillsyn/A 56826-2025 tillsynsbegäran.docx", "A 56826-2025")</f>
        <v/>
      </c>
      <c r="Y57">
        <f>HYPERLINK("https://klasma.github.io/Logging_2085/tillsynsmail/A 56826-2025 tillsynsbegäran mail.docx", "A 56826-2025")</f>
        <v/>
      </c>
      <c r="Z57">
        <f>HYPERLINK("https://klasma.github.io/Logging_2085/fåglar/A 56826-2025 prioriterade fågelarter.docx", "A 56826-2025")</f>
        <v/>
      </c>
    </row>
    <row r="58" ht="15" customHeight="1">
      <c r="A58" t="inlineStr">
        <is>
          <t>A 8202-2025</t>
        </is>
      </c>
      <c r="B58" s="1" t="n">
        <v>45708.43793981482</v>
      </c>
      <c r="C58" s="1" t="n">
        <v>46130</v>
      </c>
      <c r="D58" t="inlineStr">
        <is>
          <t>DALARNAS LÄN</t>
        </is>
      </c>
      <c r="E58" t="inlineStr">
        <is>
          <t>LUDVIKA</t>
        </is>
      </c>
      <c r="G58" t="n">
        <v>6.4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HYPERLINK("https://klasma.github.io/Logging_2085/artfynd/A 8202-2025 artfynd.xlsx", "A 8202-2025")</f>
        <v/>
      </c>
      <c r="T58">
        <f>HYPERLINK("https://klasma.github.io/Logging_2085/kartor/A 8202-2025 karta.png", "A 8202-2025")</f>
        <v/>
      </c>
      <c r="V58">
        <f>HYPERLINK("https://klasma.github.io/Logging_2085/klagomål/A 8202-2025 FSC-klagomål.docx", "A 8202-2025")</f>
        <v/>
      </c>
      <c r="W58">
        <f>HYPERLINK("https://klasma.github.io/Logging_2085/klagomålsmail/A 8202-2025 FSC-klagomål mail.docx", "A 8202-2025")</f>
        <v/>
      </c>
      <c r="X58">
        <f>HYPERLINK("https://klasma.github.io/Logging_2085/tillsyn/A 8202-2025 tillsynsbegäran.docx", "A 8202-2025")</f>
        <v/>
      </c>
      <c r="Y58">
        <f>HYPERLINK("https://klasma.github.io/Logging_2085/tillsynsmail/A 8202-2025 tillsynsbegäran mail.docx", "A 8202-2025")</f>
        <v/>
      </c>
      <c r="Z58">
        <f>HYPERLINK("https://klasma.github.io/Logging_2085/fåglar/A 8202-2025 prioriterade fågelarter.docx", "A 8202-2025")</f>
        <v/>
      </c>
    </row>
    <row r="59" ht="15" customHeight="1">
      <c r="A59" t="inlineStr">
        <is>
          <t>A 11326-2026</t>
        </is>
      </c>
      <c r="B59" s="1" t="n">
        <v>46081.35799768518</v>
      </c>
      <c r="C59" s="1" t="n">
        <v>46130</v>
      </c>
      <c r="D59" t="inlineStr">
        <is>
          <t>DALARNAS LÄN</t>
        </is>
      </c>
      <c r="E59" t="inlineStr">
        <is>
          <t>LUDVIKA</t>
        </is>
      </c>
      <c r="G59" t="n">
        <v>1.6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Dropptaggsvamp</t>
        </is>
      </c>
      <c r="S59">
        <f>HYPERLINK("https://klasma.github.io/Logging_2085/artfynd/A 11326-2026 artfynd.xlsx", "A 11326-2026")</f>
        <v/>
      </c>
      <c r="T59">
        <f>HYPERLINK("https://klasma.github.io/Logging_2085/kartor/A 11326-2026 karta.png", "A 11326-2026")</f>
        <v/>
      </c>
      <c r="V59">
        <f>HYPERLINK("https://klasma.github.io/Logging_2085/klagomål/A 11326-2026 FSC-klagomål.docx", "A 11326-2026")</f>
        <v/>
      </c>
      <c r="W59">
        <f>HYPERLINK("https://klasma.github.io/Logging_2085/klagomålsmail/A 11326-2026 FSC-klagomål mail.docx", "A 11326-2026")</f>
        <v/>
      </c>
      <c r="X59">
        <f>HYPERLINK("https://klasma.github.io/Logging_2085/tillsyn/A 11326-2026 tillsynsbegäran.docx", "A 11326-2026")</f>
        <v/>
      </c>
      <c r="Y59">
        <f>HYPERLINK("https://klasma.github.io/Logging_2085/tillsynsmail/A 11326-2026 tillsynsbegäran mail.docx", "A 11326-2026")</f>
        <v/>
      </c>
    </row>
    <row r="60" ht="15" customHeight="1">
      <c r="A60" t="inlineStr">
        <is>
          <t>A 19512-2022</t>
        </is>
      </c>
      <c r="B60" s="1" t="n">
        <v>44693</v>
      </c>
      <c r="C60" s="1" t="n">
        <v>46130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2.8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Tretåig hackspett
Nästlav</t>
        </is>
      </c>
      <c r="S60">
        <f>HYPERLINK("https://klasma.github.io/Logging_2085/artfynd/A 19512-2022 artfynd.xlsx", "A 19512-2022")</f>
        <v/>
      </c>
      <c r="T60">
        <f>HYPERLINK("https://klasma.github.io/Logging_2085/kartor/A 19512-2022 karta.png", "A 19512-2022")</f>
        <v/>
      </c>
      <c r="V60">
        <f>HYPERLINK("https://klasma.github.io/Logging_2085/klagomål/A 19512-2022 FSC-klagomål.docx", "A 19512-2022")</f>
        <v/>
      </c>
      <c r="W60">
        <f>HYPERLINK("https://klasma.github.io/Logging_2085/klagomålsmail/A 19512-2022 FSC-klagomål mail.docx", "A 19512-2022")</f>
        <v/>
      </c>
      <c r="X60">
        <f>HYPERLINK("https://klasma.github.io/Logging_2085/tillsyn/A 19512-2022 tillsynsbegäran.docx", "A 19512-2022")</f>
        <v/>
      </c>
      <c r="Y60">
        <f>HYPERLINK("https://klasma.github.io/Logging_2085/tillsynsmail/A 19512-2022 tillsynsbegäran mail.docx", "A 19512-2022")</f>
        <v/>
      </c>
      <c r="Z60">
        <f>HYPERLINK("https://klasma.github.io/Logging_2085/fåglar/A 19512-2022 prioriterade fågelarter.docx", "A 19512-2022")</f>
        <v/>
      </c>
    </row>
    <row r="61" ht="15" customHeight="1">
      <c r="A61" t="inlineStr">
        <is>
          <t>A 19542-2025</t>
        </is>
      </c>
      <c r="B61" s="1" t="n">
        <v>45770</v>
      </c>
      <c r="C61" s="1" t="n">
        <v>46130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Gulnål
Skinnlav</t>
        </is>
      </c>
      <c r="S61">
        <f>HYPERLINK("https://klasma.github.io/Logging_2085/artfynd/A 19542-2025 artfynd.xlsx", "A 19542-2025")</f>
        <v/>
      </c>
      <c r="T61">
        <f>HYPERLINK("https://klasma.github.io/Logging_2085/kartor/A 19542-2025 karta.png", "A 19542-2025")</f>
        <v/>
      </c>
      <c r="V61">
        <f>HYPERLINK("https://klasma.github.io/Logging_2085/klagomål/A 19542-2025 FSC-klagomål.docx", "A 19542-2025")</f>
        <v/>
      </c>
      <c r="W61">
        <f>HYPERLINK("https://klasma.github.io/Logging_2085/klagomålsmail/A 19542-2025 FSC-klagomål mail.docx", "A 19542-2025")</f>
        <v/>
      </c>
      <c r="X61">
        <f>HYPERLINK("https://klasma.github.io/Logging_2085/tillsyn/A 19542-2025 tillsynsbegäran.docx", "A 19542-2025")</f>
        <v/>
      </c>
      <c r="Y61">
        <f>HYPERLINK("https://klasma.github.io/Logging_2085/tillsynsmail/A 19542-2025 tillsynsbegäran mail.docx", "A 19542-2025")</f>
        <v/>
      </c>
    </row>
    <row r="62" ht="15" customHeight="1">
      <c r="A62" t="inlineStr">
        <is>
          <t>A 45995-2021</t>
        </is>
      </c>
      <c r="B62" s="1" t="n">
        <v>44441</v>
      </c>
      <c r="C62" s="1" t="n">
        <v>46130</v>
      </c>
      <c r="D62" t="inlineStr">
        <is>
          <t>DALARNAS LÄN</t>
        </is>
      </c>
      <c r="E62" t="inlineStr">
        <is>
          <t>LUDVIKA</t>
        </is>
      </c>
      <c r="G62" t="n">
        <v>1.2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HYPERLINK("https://klasma.github.io/Logging_2085/artfynd/A 45995-2021 artfynd.xlsx", "A 45995-2021")</f>
        <v/>
      </c>
      <c r="T62">
        <f>HYPERLINK("https://klasma.github.io/Logging_2085/kartor/A 45995-2021 karta.png", "A 45995-2021")</f>
        <v/>
      </c>
      <c r="V62">
        <f>HYPERLINK("https://klasma.github.io/Logging_2085/klagomål/A 45995-2021 FSC-klagomål.docx", "A 45995-2021")</f>
        <v/>
      </c>
      <c r="W62">
        <f>HYPERLINK("https://klasma.github.io/Logging_2085/klagomålsmail/A 45995-2021 FSC-klagomål mail.docx", "A 45995-2021")</f>
        <v/>
      </c>
      <c r="X62">
        <f>HYPERLINK("https://klasma.github.io/Logging_2085/tillsyn/A 45995-2021 tillsynsbegäran.docx", "A 45995-2021")</f>
        <v/>
      </c>
      <c r="Y62">
        <f>HYPERLINK("https://klasma.github.io/Logging_2085/tillsynsmail/A 45995-2021 tillsynsbegäran mail.docx", "A 45995-2021")</f>
        <v/>
      </c>
    </row>
    <row r="63" ht="15" customHeight="1">
      <c r="A63" t="inlineStr">
        <is>
          <t>A 927-2022</t>
        </is>
      </c>
      <c r="B63" s="1" t="n">
        <v>44571</v>
      </c>
      <c r="C63" s="1" t="n">
        <v>46130</v>
      </c>
      <c r="D63" t="inlineStr">
        <is>
          <t>DALARNAS LÄN</t>
        </is>
      </c>
      <c r="E63" t="inlineStr">
        <is>
          <t>LUDVIKA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Brunklöver</t>
        </is>
      </c>
      <c r="S63">
        <f>HYPERLINK("https://klasma.github.io/Logging_2085/artfynd/A 927-2022 artfynd.xlsx", "A 927-2022")</f>
        <v/>
      </c>
      <c r="T63">
        <f>HYPERLINK("https://klasma.github.io/Logging_2085/kartor/A 927-2022 karta.png", "A 927-2022")</f>
        <v/>
      </c>
      <c r="V63">
        <f>HYPERLINK("https://klasma.github.io/Logging_2085/klagomål/A 927-2022 FSC-klagomål.docx", "A 927-2022")</f>
        <v/>
      </c>
      <c r="W63">
        <f>HYPERLINK("https://klasma.github.io/Logging_2085/klagomålsmail/A 927-2022 FSC-klagomål mail.docx", "A 927-2022")</f>
        <v/>
      </c>
      <c r="X63">
        <f>HYPERLINK("https://klasma.github.io/Logging_2085/tillsyn/A 927-2022 tillsynsbegäran.docx", "A 927-2022")</f>
        <v/>
      </c>
      <c r="Y63">
        <f>HYPERLINK("https://klasma.github.io/Logging_2085/tillsynsmail/A 927-2022 tillsynsbegäran mail.docx", "A 927-2022")</f>
        <v/>
      </c>
    </row>
    <row r="64" ht="15" customHeight="1">
      <c r="A64" t="inlineStr">
        <is>
          <t>A 19717-2022</t>
        </is>
      </c>
      <c r="B64" s="1" t="n">
        <v>44694</v>
      </c>
      <c r="C64" s="1" t="n">
        <v>46130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HYPERLINK("https://klasma.github.io/Logging_2085/artfynd/A 19717-2022 artfynd.xlsx", "A 19717-2022")</f>
        <v/>
      </c>
      <c r="T64">
        <f>HYPERLINK("https://klasma.github.io/Logging_2085/kartor/A 19717-2022 karta.png", "A 19717-2022")</f>
        <v/>
      </c>
      <c r="V64">
        <f>HYPERLINK("https://klasma.github.io/Logging_2085/klagomål/A 19717-2022 FSC-klagomål.docx", "A 19717-2022")</f>
        <v/>
      </c>
      <c r="W64">
        <f>HYPERLINK("https://klasma.github.io/Logging_2085/klagomålsmail/A 19717-2022 FSC-klagomål mail.docx", "A 19717-2022")</f>
        <v/>
      </c>
      <c r="X64">
        <f>HYPERLINK("https://klasma.github.io/Logging_2085/tillsyn/A 19717-2022 tillsynsbegäran.docx", "A 19717-2022")</f>
        <v/>
      </c>
      <c r="Y64">
        <f>HYPERLINK("https://klasma.github.io/Logging_2085/tillsynsmail/A 19717-2022 tillsynsbegäran mail.docx", "A 19717-2022")</f>
        <v/>
      </c>
    </row>
    <row r="65" ht="15" customHeight="1">
      <c r="A65" t="inlineStr">
        <is>
          <t>A 51105-2025</t>
        </is>
      </c>
      <c r="B65" s="1" t="n">
        <v>45947</v>
      </c>
      <c r="C65" s="1" t="n">
        <v>46130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5.6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HYPERLINK("https://klasma.github.io/Logging_2085/artfynd/A 51105-2025 artfynd.xlsx", "A 51105-2025")</f>
        <v/>
      </c>
      <c r="T65">
        <f>HYPERLINK("https://klasma.github.io/Logging_2085/kartor/A 51105-2025 karta.png", "A 51105-2025")</f>
        <v/>
      </c>
      <c r="V65">
        <f>HYPERLINK("https://klasma.github.io/Logging_2085/klagomål/A 51105-2025 FSC-klagomål.docx", "A 51105-2025")</f>
        <v/>
      </c>
      <c r="W65">
        <f>HYPERLINK("https://klasma.github.io/Logging_2085/klagomålsmail/A 51105-2025 FSC-klagomål mail.docx", "A 51105-2025")</f>
        <v/>
      </c>
      <c r="X65">
        <f>HYPERLINK("https://klasma.github.io/Logging_2085/tillsyn/A 51105-2025 tillsynsbegäran.docx", "A 51105-2025")</f>
        <v/>
      </c>
      <c r="Y65">
        <f>HYPERLINK("https://klasma.github.io/Logging_2085/tillsynsmail/A 51105-2025 tillsynsbegäran mail.docx", "A 51105-2025")</f>
        <v/>
      </c>
      <c r="Z65">
        <f>HYPERLINK("https://klasma.github.io/Logging_2085/fåglar/A 51105-2025 prioriterade fågelarter.docx", "A 51105-2025")</f>
        <v/>
      </c>
    </row>
    <row r="66" ht="15" customHeight="1">
      <c r="A66" t="inlineStr">
        <is>
          <t>A 23085-2025</t>
        </is>
      </c>
      <c r="B66" s="1" t="n">
        <v>45791</v>
      </c>
      <c r="C66" s="1" t="n">
        <v>46130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3.9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Berguv</t>
        </is>
      </c>
      <c r="S66">
        <f>HYPERLINK("https://klasma.github.io/Logging_2085/artfynd/A 23085-2025 artfynd.xlsx", "A 23085-2025")</f>
        <v/>
      </c>
      <c r="T66">
        <f>HYPERLINK("https://klasma.github.io/Logging_2085/kartor/A 23085-2025 karta.png", "A 23085-2025")</f>
        <v/>
      </c>
      <c r="V66">
        <f>HYPERLINK("https://klasma.github.io/Logging_2085/klagomål/A 23085-2025 FSC-klagomål.docx", "A 23085-2025")</f>
        <v/>
      </c>
      <c r="W66">
        <f>HYPERLINK("https://klasma.github.io/Logging_2085/klagomålsmail/A 23085-2025 FSC-klagomål mail.docx", "A 23085-2025")</f>
        <v/>
      </c>
      <c r="X66">
        <f>HYPERLINK("https://klasma.github.io/Logging_2085/tillsyn/A 23085-2025 tillsynsbegäran.docx", "A 23085-2025")</f>
        <v/>
      </c>
      <c r="Y66">
        <f>HYPERLINK("https://klasma.github.io/Logging_2085/tillsynsmail/A 23085-2025 tillsynsbegäran mail.docx", "A 23085-2025")</f>
        <v/>
      </c>
      <c r="Z66">
        <f>HYPERLINK("https://klasma.github.io/Logging_2085/fåglar/A 23085-2025 prioriterade fågelarter.docx", "A 23085-2025")</f>
        <v/>
      </c>
    </row>
    <row r="67" ht="15" customHeight="1">
      <c r="A67" t="inlineStr">
        <is>
          <t>A 23087-2025</t>
        </is>
      </c>
      <c r="B67" s="1" t="n">
        <v>45791.3395949074</v>
      </c>
      <c r="C67" s="1" t="n">
        <v>46130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HYPERLINK("https://klasma.github.io/Logging_2085/artfynd/A 23087-2025 artfynd.xlsx", "A 23087-2025")</f>
        <v/>
      </c>
      <c r="T67">
        <f>HYPERLINK("https://klasma.github.io/Logging_2085/kartor/A 23087-2025 karta.png", "A 23087-2025")</f>
        <v/>
      </c>
      <c r="V67">
        <f>HYPERLINK("https://klasma.github.io/Logging_2085/klagomål/A 23087-2025 FSC-klagomål.docx", "A 23087-2025")</f>
        <v/>
      </c>
      <c r="W67">
        <f>HYPERLINK("https://klasma.github.io/Logging_2085/klagomålsmail/A 23087-2025 FSC-klagomål mail.docx", "A 23087-2025")</f>
        <v/>
      </c>
      <c r="X67">
        <f>HYPERLINK("https://klasma.github.io/Logging_2085/tillsyn/A 23087-2025 tillsynsbegäran.docx", "A 23087-2025")</f>
        <v/>
      </c>
      <c r="Y67">
        <f>HYPERLINK("https://klasma.github.io/Logging_2085/tillsynsmail/A 23087-2025 tillsynsbegäran mail.docx", "A 23087-2025")</f>
        <v/>
      </c>
    </row>
    <row r="68" ht="15" customHeight="1">
      <c r="A68" t="inlineStr">
        <is>
          <t>A 23102-2025</t>
        </is>
      </c>
      <c r="B68" s="1" t="n">
        <v>45791.35438657407</v>
      </c>
      <c r="C68" s="1" t="n">
        <v>46130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groda</t>
        </is>
      </c>
      <c r="S68">
        <f>HYPERLINK("https://klasma.github.io/Logging_2085/artfynd/A 23102-2025 artfynd.xlsx", "A 23102-2025")</f>
        <v/>
      </c>
      <c r="T68">
        <f>HYPERLINK("https://klasma.github.io/Logging_2085/kartor/A 23102-2025 karta.png", "A 23102-2025")</f>
        <v/>
      </c>
      <c r="V68">
        <f>HYPERLINK("https://klasma.github.io/Logging_2085/klagomål/A 23102-2025 FSC-klagomål.docx", "A 23102-2025")</f>
        <v/>
      </c>
      <c r="W68">
        <f>HYPERLINK("https://klasma.github.io/Logging_2085/klagomålsmail/A 23102-2025 FSC-klagomål mail.docx", "A 23102-2025")</f>
        <v/>
      </c>
      <c r="X68">
        <f>HYPERLINK("https://klasma.github.io/Logging_2085/tillsyn/A 23102-2025 tillsynsbegäran.docx", "A 23102-2025")</f>
        <v/>
      </c>
      <c r="Y68">
        <f>HYPERLINK("https://klasma.github.io/Logging_2085/tillsynsmail/A 23102-2025 tillsynsbegäran mail.docx", "A 23102-2025")</f>
        <v/>
      </c>
    </row>
    <row r="69" ht="15" customHeight="1">
      <c r="A69" t="inlineStr">
        <is>
          <t>A 23107-2025</t>
        </is>
      </c>
      <c r="B69" s="1" t="n">
        <v>45791.36149305556</v>
      </c>
      <c r="C69" s="1" t="n">
        <v>46130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Större vattensalamander</t>
        </is>
      </c>
      <c r="S69">
        <f>HYPERLINK("https://klasma.github.io/Logging_2085/artfynd/A 23107-2025 artfynd.xlsx", "A 23107-2025")</f>
        <v/>
      </c>
      <c r="T69">
        <f>HYPERLINK("https://klasma.github.io/Logging_2085/kartor/A 23107-2025 karta.png", "A 23107-2025")</f>
        <v/>
      </c>
      <c r="V69">
        <f>HYPERLINK("https://klasma.github.io/Logging_2085/klagomål/A 23107-2025 FSC-klagomål.docx", "A 23107-2025")</f>
        <v/>
      </c>
      <c r="W69">
        <f>HYPERLINK("https://klasma.github.io/Logging_2085/klagomålsmail/A 23107-2025 FSC-klagomål mail.docx", "A 23107-2025")</f>
        <v/>
      </c>
      <c r="X69">
        <f>HYPERLINK("https://klasma.github.io/Logging_2085/tillsyn/A 23107-2025 tillsynsbegäran.docx", "A 23107-2025")</f>
        <v/>
      </c>
      <c r="Y69">
        <f>HYPERLINK("https://klasma.github.io/Logging_2085/tillsynsmail/A 23107-2025 tillsynsbegäran mail.docx", "A 23107-2025")</f>
        <v/>
      </c>
    </row>
    <row r="70" ht="15" customHeight="1">
      <c r="A70" t="inlineStr">
        <is>
          <t>A 25282-2025</t>
        </is>
      </c>
      <c r="B70" s="1" t="n">
        <v>45800</v>
      </c>
      <c r="C70" s="1" t="n">
        <v>46130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HYPERLINK("https://klasma.github.io/Logging_2085/artfynd/A 25282-2025 artfynd.xlsx", "A 25282-2025")</f>
        <v/>
      </c>
      <c r="T70">
        <f>HYPERLINK("https://klasma.github.io/Logging_2085/kartor/A 25282-2025 karta.png", "A 25282-2025")</f>
        <v/>
      </c>
      <c r="V70">
        <f>HYPERLINK("https://klasma.github.io/Logging_2085/klagomål/A 25282-2025 FSC-klagomål.docx", "A 25282-2025")</f>
        <v/>
      </c>
      <c r="W70">
        <f>HYPERLINK("https://klasma.github.io/Logging_2085/klagomålsmail/A 25282-2025 FSC-klagomål mail.docx", "A 25282-2025")</f>
        <v/>
      </c>
      <c r="X70">
        <f>HYPERLINK("https://klasma.github.io/Logging_2085/tillsyn/A 25282-2025 tillsynsbegäran.docx", "A 25282-2025")</f>
        <v/>
      </c>
      <c r="Y70">
        <f>HYPERLINK("https://klasma.github.io/Logging_2085/tillsynsmail/A 25282-2025 tillsynsbegäran mail.docx", "A 25282-2025")</f>
        <v/>
      </c>
    </row>
    <row r="71" ht="15" customHeight="1">
      <c r="A71" t="inlineStr">
        <is>
          <t>A 11755-2023</t>
        </is>
      </c>
      <c r="B71" s="1" t="n">
        <v>44994</v>
      </c>
      <c r="C71" s="1" t="n">
        <v>46130</v>
      </c>
      <c r="D71" t="inlineStr">
        <is>
          <t>DALARNAS LÄN</t>
        </is>
      </c>
      <c r="E71" t="inlineStr">
        <is>
          <t>LUDVIKA</t>
        </is>
      </c>
      <c r="F71" t="inlineStr">
        <is>
          <t>Övriga Aktiebolag</t>
        </is>
      </c>
      <c r="G71" t="n">
        <v>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HYPERLINK("https://klasma.github.io/Logging_2085/artfynd/A 11755-2023 artfynd.xlsx", "A 11755-2023")</f>
        <v/>
      </c>
      <c r="T71">
        <f>HYPERLINK("https://klasma.github.io/Logging_2085/kartor/A 11755-2023 karta.png", "A 11755-2023")</f>
        <v/>
      </c>
      <c r="V71">
        <f>HYPERLINK("https://klasma.github.io/Logging_2085/klagomål/A 11755-2023 FSC-klagomål.docx", "A 11755-2023")</f>
        <v/>
      </c>
      <c r="W71">
        <f>HYPERLINK("https://klasma.github.io/Logging_2085/klagomålsmail/A 11755-2023 FSC-klagomål mail.docx", "A 11755-2023")</f>
        <v/>
      </c>
      <c r="X71">
        <f>HYPERLINK("https://klasma.github.io/Logging_2085/tillsyn/A 11755-2023 tillsynsbegäran.docx", "A 11755-2023")</f>
        <v/>
      </c>
      <c r="Y71">
        <f>HYPERLINK("https://klasma.github.io/Logging_2085/tillsynsmail/A 11755-2023 tillsynsbegäran mail.docx", "A 11755-2023")</f>
        <v/>
      </c>
      <c r="Z71">
        <f>HYPERLINK("https://klasma.github.io/Logging_2085/fåglar/A 11755-2023 prioriterade fågelarter.docx", "A 11755-2023")</f>
        <v/>
      </c>
    </row>
    <row r="72" ht="15" customHeight="1">
      <c r="A72" t="inlineStr">
        <is>
          <t>A 45225-2024</t>
        </is>
      </c>
      <c r="B72" s="1" t="n">
        <v>45575.77649305556</v>
      </c>
      <c r="C72" s="1" t="n">
        <v>46130</v>
      </c>
      <c r="D72" t="inlineStr">
        <is>
          <t>DALARNAS LÄN</t>
        </is>
      </c>
      <c r="E72" t="inlineStr">
        <is>
          <t>LUDVIKA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Ärtsångare</t>
        </is>
      </c>
      <c r="S72">
        <f>HYPERLINK("https://klasma.github.io/Logging_2085/artfynd/A 45225-2024 artfynd.xlsx", "A 45225-2024")</f>
        <v/>
      </c>
      <c r="T72">
        <f>HYPERLINK("https://klasma.github.io/Logging_2085/kartor/A 45225-2024 karta.png", "A 45225-2024")</f>
        <v/>
      </c>
      <c r="V72">
        <f>HYPERLINK("https://klasma.github.io/Logging_2085/klagomål/A 45225-2024 FSC-klagomål.docx", "A 45225-2024")</f>
        <v/>
      </c>
      <c r="W72">
        <f>HYPERLINK("https://klasma.github.io/Logging_2085/klagomålsmail/A 45225-2024 FSC-klagomål mail.docx", "A 45225-2024")</f>
        <v/>
      </c>
      <c r="X72">
        <f>HYPERLINK("https://klasma.github.io/Logging_2085/tillsyn/A 45225-2024 tillsynsbegäran.docx", "A 45225-2024")</f>
        <v/>
      </c>
      <c r="Y72">
        <f>HYPERLINK("https://klasma.github.io/Logging_2085/tillsynsmail/A 45225-2024 tillsynsbegäran mail.docx", "A 45225-2024")</f>
        <v/>
      </c>
      <c r="Z72">
        <f>HYPERLINK("https://klasma.github.io/Logging_2085/fåglar/A 45225-2024 prioriterade fågelarter.docx", "A 45225-2024")</f>
        <v/>
      </c>
    </row>
    <row r="73" ht="15" customHeight="1">
      <c r="A73" t="inlineStr">
        <is>
          <t>A 43501-2025</t>
        </is>
      </c>
      <c r="B73" s="1" t="n">
        <v>45911</v>
      </c>
      <c r="C73" s="1" t="n">
        <v>46130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4.9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HYPERLINK("https://klasma.github.io/Logging_2085/artfynd/A 43501-2025 artfynd.xlsx", "A 43501-2025")</f>
        <v/>
      </c>
      <c r="T73">
        <f>HYPERLINK("https://klasma.github.io/Logging_2085/kartor/A 43501-2025 karta.png", "A 43501-2025")</f>
        <v/>
      </c>
      <c r="V73">
        <f>HYPERLINK("https://klasma.github.io/Logging_2085/klagomål/A 43501-2025 FSC-klagomål.docx", "A 43501-2025")</f>
        <v/>
      </c>
      <c r="W73">
        <f>HYPERLINK("https://klasma.github.io/Logging_2085/klagomålsmail/A 43501-2025 FSC-klagomål mail.docx", "A 43501-2025")</f>
        <v/>
      </c>
      <c r="X73">
        <f>HYPERLINK("https://klasma.github.io/Logging_2085/tillsyn/A 43501-2025 tillsynsbegäran.docx", "A 43501-2025")</f>
        <v/>
      </c>
      <c r="Y73">
        <f>HYPERLINK("https://klasma.github.io/Logging_2085/tillsynsmail/A 43501-2025 tillsynsbegäran mail.docx", "A 43501-2025")</f>
        <v/>
      </c>
    </row>
    <row r="74" ht="15" customHeight="1">
      <c r="A74" t="inlineStr">
        <is>
          <t>A 50170-2025</t>
        </is>
      </c>
      <c r="B74" s="1" t="n">
        <v>45943</v>
      </c>
      <c r="C74" s="1" t="n">
        <v>46130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2.5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Gulnål</t>
        </is>
      </c>
      <c r="S74">
        <f>HYPERLINK("https://klasma.github.io/Logging_2085/artfynd/A 50170-2025 artfynd.xlsx", "A 50170-2025")</f>
        <v/>
      </c>
      <c r="T74">
        <f>HYPERLINK("https://klasma.github.io/Logging_2085/kartor/A 50170-2025 karta.png", "A 50170-2025")</f>
        <v/>
      </c>
      <c r="V74">
        <f>HYPERLINK("https://klasma.github.io/Logging_2085/klagomål/A 50170-2025 FSC-klagomål.docx", "A 50170-2025")</f>
        <v/>
      </c>
      <c r="W74">
        <f>HYPERLINK("https://klasma.github.io/Logging_2085/klagomålsmail/A 50170-2025 FSC-klagomål mail.docx", "A 50170-2025")</f>
        <v/>
      </c>
      <c r="X74">
        <f>HYPERLINK("https://klasma.github.io/Logging_2085/tillsyn/A 50170-2025 tillsynsbegäran.docx", "A 50170-2025")</f>
        <v/>
      </c>
      <c r="Y74">
        <f>HYPERLINK("https://klasma.github.io/Logging_2085/tillsynsmail/A 50170-2025 tillsynsbegäran mail.docx", "A 50170-2025")</f>
        <v/>
      </c>
    </row>
    <row r="75" ht="15" customHeight="1">
      <c r="A75" t="inlineStr">
        <is>
          <t>A 36050-2025</t>
        </is>
      </c>
      <c r="B75" s="1" t="n">
        <v>45866</v>
      </c>
      <c r="C75" s="1" t="n">
        <v>46130</v>
      </c>
      <c r="D75" t="inlineStr">
        <is>
          <t>DALARNAS LÄN</t>
        </is>
      </c>
      <c r="E75" t="inlineStr">
        <is>
          <t>LUDVIKA</t>
        </is>
      </c>
      <c r="G75" t="n">
        <v>1.4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HYPERLINK("https://klasma.github.io/Logging_2085/artfynd/A 36050-2025 artfynd.xlsx", "A 36050-2025")</f>
        <v/>
      </c>
      <c r="T75">
        <f>HYPERLINK("https://klasma.github.io/Logging_2085/kartor/A 36050-2025 karta.png", "A 36050-2025")</f>
        <v/>
      </c>
      <c r="V75">
        <f>HYPERLINK("https://klasma.github.io/Logging_2085/klagomål/A 36050-2025 FSC-klagomål.docx", "A 36050-2025")</f>
        <v/>
      </c>
      <c r="W75">
        <f>HYPERLINK("https://klasma.github.io/Logging_2085/klagomålsmail/A 36050-2025 FSC-klagomål mail.docx", "A 36050-2025")</f>
        <v/>
      </c>
      <c r="X75">
        <f>HYPERLINK("https://klasma.github.io/Logging_2085/tillsyn/A 36050-2025 tillsynsbegäran.docx", "A 36050-2025")</f>
        <v/>
      </c>
      <c r="Y75">
        <f>HYPERLINK("https://klasma.github.io/Logging_2085/tillsynsmail/A 36050-2025 tillsynsbegäran mail.docx", "A 36050-2025")</f>
        <v/>
      </c>
      <c r="Z75">
        <f>HYPERLINK("https://klasma.github.io/Logging_2085/fåglar/A 36050-2025 prioriterade fågelarter.docx", "A 36050-2025")</f>
        <v/>
      </c>
    </row>
    <row r="76" ht="15" customHeight="1">
      <c r="A76" t="inlineStr">
        <is>
          <t>A 45151-2025</t>
        </is>
      </c>
      <c r="B76" s="1" t="n">
        <v>45919</v>
      </c>
      <c r="C76" s="1" t="n">
        <v>46130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5.4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HYPERLINK("https://klasma.github.io/Logging_2085/artfynd/A 45151-2025 artfynd.xlsx", "A 45151-2025")</f>
        <v/>
      </c>
      <c r="T76">
        <f>HYPERLINK("https://klasma.github.io/Logging_2085/kartor/A 45151-2025 karta.png", "A 45151-2025")</f>
        <v/>
      </c>
      <c r="V76">
        <f>HYPERLINK("https://klasma.github.io/Logging_2085/klagomål/A 45151-2025 FSC-klagomål.docx", "A 45151-2025")</f>
        <v/>
      </c>
      <c r="W76">
        <f>HYPERLINK("https://klasma.github.io/Logging_2085/klagomålsmail/A 45151-2025 FSC-klagomål mail.docx", "A 45151-2025")</f>
        <v/>
      </c>
      <c r="X76">
        <f>HYPERLINK("https://klasma.github.io/Logging_2085/tillsyn/A 45151-2025 tillsynsbegäran.docx", "A 45151-2025")</f>
        <v/>
      </c>
      <c r="Y76">
        <f>HYPERLINK("https://klasma.github.io/Logging_2085/tillsynsmail/A 45151-2025 tillsynsbegäran mail.docx", "A 45151-2025")</f>
        <v/>
      </c>
    </row>
    <row r="77" ht="15" customHeight="1">
      <c r="A77" t="inlineStr">
        <is>
          <t>A 55550-2022</t>
        </is>
      </c>
      <c r="B77" s="1" t="n">
        <v>44888</v>
      </c>
      <c r="C77" s="1" t="n">
        <v>46130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HYPERLINK("https://klasma.github.io/Logging_2085/artfynd/A 55550-2022 artfynd.xlsx", "A 55550-2022")</f>
        <v/>
      </c>
      <c r="T77">
        <f>HYPERLINK("https://klasma.github.io/Logging_2085/kartor/A 55550-2022 karta.png", "A 55550-2022")</f>
        <v/>
      </c>
      <c r="V77">
        <f>HYPERLINK("https://klasma.github.io/Logging_2085/klagomål/A 55550-2022 FSC-klagomål.docx", "A 55550-2022")</f>
        <v/>
      </c>
      <c r="W77">
        <f>HYPERLINK("https://klasma.github.io/Logging_2085/klagomålsmail/A 55550-2022 FSC-klagomål mail.docx", "A 55550-2022")</f>
        <v/>
      </c>
      <c r="X77">
        <f>HYPERLINK("https://klasma.github.io/Logging_2085/tillsyn/A 55550-2022 tillsynsbegäran.docx", "A 55550-2022")</f>
        <v/>
      </c>
      <c r="Y77">
        <f>HYPERLINK("https://klasma.github.io/Logging_2085/tillsynsmail/A 55550-2022 tillsynsbegäran mail.docx", "A 55550-2022")</f>
        <v/>
      </c>
    </row>
    <row r="78" ht="15" customHeight="1">
      <c r="A78" t="inlineStr">
        <is>
          <t>A 55410-2025</t>
        </is>
      </c>
      <c r="B78" s="1" t="n">
        <v>45971</v>
      </c>
      <c r="C78" s="1" t="n">
        <v>46130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2.7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HYPERLINK("https://klasma.github.io/Logging_2085/artfynd/A 55410-2025 artfynd.xlsx", "A 55410-2025")</f>
        <v/>
      </c>
      <c r="T78">
        <f>HYPERLINK("https://klasma.github.io/Logging_2085/kartor/A 55410-2025 karta.png", "A 55410-2025")</f>
        <v/>
      </c>
      <c r="V78">
        <f>HYPERLINK("https://klasma.github.io/Logging_2085/klagomål/A 55410-2025 FSC-klagomål.docx", "A 55410-2025")</f>
        <v/>
      </c>
      <c r="W78">
        <f>HYPERLINK("https://klasma.github.io/Logging_2085/klagomålsmail/A 55410-2025 FSC-klagomål mail.docx", "A 55410-2025")</f>
        <v/>
      </c>
      <c r="X78">
        <f>HYPERLINK("https://klasma.github.io/Logging_2085/tillsyn/A 55410-2025 tillsynsbegäran.docx", "A 55410-2025")</f>
        <v/>
      </c>
      <c r="Y78">
        <f>HYPERLINK("https://klasma.github.io/Logging_2085/tillsynsmail/A 55410-2025 tillsynsbegäran mail.docx", "A 55410-2025")</f>
        <v/>
      </c>
      <c r="Z78">
        <f>HYPERLINK("https://klasma.github.io/Logging_2085/fåglar/A 55410-2025 prioriterade fågelarter.docx", "A 55410-2025")</f>
        <v/>
      </c>
    </row>
    <row r="79" ht="15" customHeight="1">
      <c r="A79" t="inlineStr">
        <is>
          <t>A 46912-2025</t>
        </is>
      </c>
      <c r="B79" s="1" t="n">
        <v>45929</v>
      </c>
      <c r="C79" s="1" t="n">
        <v>46130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HYPERLINK("https://klasma.github.io/Logging_2085/artfynd/A 46912-2025 artfynd.xlsx", "A 46912-2025")</f>
        <v/>
      </c>
      <c r="T79">
        <f>HYPERLINK("https://klasma.github.io/Logging_2085/kartor/A 46912-2025 karta.png", "A 46912-2025")</f>
        <v/>
      </c>
      <c r="V79">
        <f>HYPERLINK("https://klasma.github.io/Logging_2085/klagomål/A 46912-2025 FSC-klagomål.docx", "A 46912-2025")</f>
        <v/>
      </c>
      <c r="W79">
        <f>HYPERLINK("https://klasma.github.io/Logging_2085/klagomålsmail/A 46912-2025 FSC-klagomål mail.docx", "A 46912-2025")</f>
        <v/>
      </c>
      <c r="X79">
        <f>HYPERLINK("https://klasma.github.io/Logging_2085/tillsyn/A 46912-2025 tillsynsbegäran.docx", "A 46912-2025")</f>
        <v/>
      </c>
      <c r="Y79">
        <f>HYPERLINK("https://klasma.github.io/Logging_2085/tillsynsmail/A 46912-2025 tillsynsbegäran mail.docx", "A 46912-2025")</f>
        <v/>
      </c>
    </row>
    <row r="80" ht="15" customHeight="1">
      <c r="A80" t="inlineStr">
        <is>
          <t>A 56179-2025</t>
        </is>
      </c>
      <c r="B80" s="1" t="n">
        <v>45974</v>
      </c>
      <c r="C80" s="1" t="n">
        <v>46130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Gultoppig fingersvamp</t>
        </is>
      </c>
      <c r="S80">
        <f>HYPERLINK("https://klasma.github.io/Logging_2085/artfynd/A 56179-2025 artfynd.xlsx", "A 56179-2025")</f>
        <v/>
      </c>
      <c r="T80">
        <f>HYPERLINK("https://klasma.github.io/Logging_2085/kartor/A 56179-2025 karta.png", "A 56179-2025")</f>
        <v/>
      </c>
      <c r="U80">
        <f>HYPERLINK("https://klasma.github.io/Logging_2085/knärot/A 56179-2025 karta knärot.png", "A 56179-2025")</f>
        <v/>
      </c>
      <c r="V80">
        <f>HYPERLINK("https://klasma.github.io/Logging_2085/klagomål/A 56179-2025 FSC-klagomål.docx", "A 56179-2025")</f>
        <v/>
      </c>
      <c r="W80">
        <f>HYPERLINK("https://klasma.github.io/Logging_2085/klagomålsmail/A 56179-2025 FSC-klagomål mail.docx", "A 56179-2025")</f>
        <v/>
      </c>
      <c r="X80">
        <f>HYPERLINK("https://klasma.github.io/Logging_2085/tillsyn/A 56179-2025 tillsynsbegäran.docx", "A 56179-2025")</f>
        <v/>
      </c>
      <c r="Y80">
        <f>HYPERLINK("https://klasma.github.io/Logging_2085/tillsynsmail/A 56179-2025 tillsynsbegäran mail.docx", "A 56179-2025")</f>
        <v/>
      </c>
    </row>
    <row r="81" ht="15" customHeight="1">
      <c r="A81" t="inlineStr">
        <is>
          <t>A 26850-2023</t>
        </is>
      </c>
      <c r="B81" s="1" t="n">
        <v>45093</v>
      </c>
      <c r="C81" s="1" t="n">
        <v>46130</v>
      </c>
      <c r="D81" t="inlineStr">
        <is>
          <t>DALARNAS LÄN</t>
        </is>
      </c>
      <c r="E81" t="inlineStr">
        <is>
          <t>LUDVIKA</t>
        </is>
      </c>
      <c r="F81" t="inlineStr">
        <is>
          <t>Naturvårdsverket</t>
        </is>
      </c>
      <c r="G81" t="n">
        <v>2.7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HYPERLINK("https://klasma.github.io/Logging_2085/artfynd/A 26850-2023 artfynd.xlsx", "A 26850-2023")</f>
        <v/>
      </c>
      <c r="T81">
        <f>HYPERLINK("https://klasma.github.io/Logging_2085/kartor/A 26850-2023 karta.png", "A 26850-2023")</f>
        <v/>
      </c>
      <c r="V81">
        <f>HYPERLINK("https://klasma.github.io/Logging_2085/klagomål/A 26850-2023 FSC-klagomål.docx", "A 26850-2023")</f>
        <v/>
      </c>
      <c r="W81">
        <f>HYPERLINK("https://klasma.github.io/Logging_2085/klagomålsmail/A 26850-2023 FSC-klagomål mail.docx", "A 26850-2023")</f>
        <v/>
      </c>
      <c r="X81">
        <f>HYPERLINK("https://klasma.github.io/Logging_2085/tillsyn/A 26850-2023 tillsynsbegäran.docx", "A 26850-2023")</f>
        <v/>
      </c>
      <c r="Y81">
        <f>HYPERLINK("https://klasma.github.io/Logging_2085/tillsynsmail/A 26850-2023 tillsynsbegäran mail.docx", "A 26850-2023")</f>
        <v/>
      </c>
    </row>
    <row r="82" ht="15" customHeight="1">
      <c r="A82" t="inlineStr">
        <is>
          <t>A 50454-2025</t>
        </is>
      </c>
      <c r="B82" s="1" t="n">
        <v>45945</v>
      </c>
      <c r="C82" s="1" t="n">
        <v>46130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HYPERLINK("https://klasma.github.io/Logging_2085/artfynd/A 50454-2025 artfynd.xlsx", "A 50454-2025")</f>
        <v/>
      </c>
      <c r="T82">
        <f>HYPERLINK("https://klasma.github.io/Logging_2085/kartor/A 50454-2025 karta.png", "A 50454-2025")</f>
        <v/>
      </c>
      <c r="V82">
        <f>HYPERLINK("https://klasma.github.io/Logging_2085/klagomål/A 50454-2025 FSC-klagomål.docx", "A 50454-2025")</f>
        <v/>
      </c>
      <c r="W82">
        <f>HYPERLINK("https://klasma.github.io/Logging_2085/klagomålsmail/A 50454-2025 FSC-klagomål mail.docx", "A 50454-2025")</f>
        <v/>
      </c>
      <c r="X82">
        <f>HYPERLINK("https://klasma.github.io/Logging_2085/tillsyn/A 50454-2025 tillsynsbegäran.docx", "A 50454-2025")</f>
        <v/>
      </c>
      <c r="Y82">
        <f>HYPERLINK("https://klasma.github.io/Logging_2085/tillsynsmail/A 50454-2025 tillsynsbegäran mail.docx", "A 50454-2025")</f>
        <v/>
      </c>
    </row>
    <row r="83" ht="15" customHeight="1">
      <c r="A83" t="inlineStr">
        <is>
          <t>A 29733-2025</t>
        </is>
      </c>
      <c r="B83" s="1" t="n">
        <v>45825</v>
      </c>
      <c r="C83" s="1" t="n">
        <v>46130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10.4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Stuplav</t>
        </is>
      </c>
      <c r="S83">
        <f>HYPERLINK("https://klasma.github.io/Logging_2085/artfynd/A 29733-2025 artfynd.xlsx", "A 29733-2025")</f>
        <v/>
      </c>
      <c r="T83">
        <f>HYPERLINK("https://klasma.github.io/Logging_2085/kartor/A 29733-2025 karta.png", "A 29733-2025")</f>
        <v/>
      </c>
      <c r="V83">
        <f>HYPERLINK("https://klasma.github.io/Logging_2085/klagomål/A 29733-2025 FSC-klagomål.docx", "A 29733-2025")</f>
        <v/>
      </c>
      <c r="W83">
        <f>HYPERLINK("https://klasma.github.io/Logging_2085/klagomålsmail/A 29733-2025 FSC-klagomål mail.docx", "A 29733-2025")</f>
        <v/>
      </c>
      <c r="X83">
        <f>HYPERLINK("https://klasma.github.io/Logging_2085/tillsyn/A 29733-2025 tillsynsbegäran.docx", "A 29733-2025")</f>
        <v/>
      </c>
      <c r="Y83">
        <f>HYPERLINK("https://klasma.github.io/Logging_2085/tillsynsmail/A 29733-2025 tillsynsbegäran mail.docx", "A 29733-2025")</f>
        <v/>
      </c>
    </row>
    <row r="84" ht="15" customHeight="1">
      <c r="A84" t="inlineStr">
        <is>
          <t>A 33162-2025</t>
        </is>
      </c>
      <c r="B84" s="1" t="n">
        <v>45840</v>
      </c>
      <c r="C84" s="1" t="n">
        <v>46130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Kandelabersvamp</t>
        </is>
      </c>
      <c r="S84">
        <f>HYPERLINK("https://klasma.github.io/Logging_2085/artfynd/A 33162-2025 artfynd.xlsx", "A 33162-2025")</f>
        <v/>
      </c>
      <c r="T84">
        <f>HYPERLINK("https://klasma.github.io/Logging_2085/kartor/A 33162-2025 karta.png", "A 33162-2025")</f>
        <v/>
      </c>
      <c r="V84">
        <f>HYPERLINK("https://klasma.github.io/Logging_2085/klagomål/A 33162-2025 FSC-klagomål.docx", "A 33162-2025")</f>
        <v/>
      </c>
      <c r="W84">
        <f>HYPERLINK("https://klasma.github.io/Logging_2085/klagomålsmail/A 33162-2025 FSC-klagomål mail.docx", "A 33162-2025")</f>
        <v/>
      </c>
      <c r="X84">
        <f>HYPERLINK("https://klasma.github.io/Logging_2085/tillsyn/A 33162-2025 tillsynsbegäran.docx", "A 33162-2025")</f>
        <v/>
      </c>
      <c r="Y84">
        <f>HYPERLINK("https://klasma.github.io/Logging_2085/tillsynsmail/A 33162-2025 tillsynsbegäran mail.docx", "A 33162-2025")</f>
        <v/>
      </c>
    </row>
    <row r="85" ht="15" customHeight="1">
      <c r="A85" t="inlineStr">
        <is>
          <t>A 74401-2021</t>
        </is>
      </c>
      <c r="B85" s="1" t="n">
        <v>44560</v>
      </c>
      <c r="C85" s="1" t="n">
        <v>46130</v>
      </c>
      <c r="D85" t="inlineStr">
        <is>
          <t>DALARNAS LÄN</t>
        </is>
      </c>
      <c r="E85" t="inlineStr">
        <is>
          <t>LUDVIKA</t>
        </is>
      </c>
      <c r="F85" t="inlineStr">
        <is>
          <t>Kommuner</t>
        </is>
      </c>
      <c r="G85" t="n">
        <v>0.6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Gullgröppa</t>
        </is>
      </c>
      <c r="S85">
        <f>HYPERLINK("https://klasma.github.io/Logging_2085/artfynd/A 74401-2021 artfynd.xlsx", "A 74401-2021")</f>
        <v/>
      </c>
      <c r="T85">
        <f>HYPERLINK("https://klasma.github.io/Logging_2085/kartor/A 74401-2021 karta.png", "A 74401-2021")</f>
        <v/>
      </c>
      <c r="V85">
        <f>HYPERLINK("https://klasma.github.io/Logging_2085/klagomål/A 74401-2021 FSC-klagomål.docx", "A 74401-2021")</f>
        <v/>
      </c>
      <c r="W85">
        <f>HYPERLINK("https://klasma.github.io/Logging_2085/klagomålsmail/A 74401-2021 FSC-klagomål mail.docx", "A 74401-2021")</f>
        <v/>
      </c>
      <c r="X85">
        <f>HYPERLINK("https://klasma.github.io/Logging_2085/tillsyn/A 74401-2021 tillsynsbegäran.docx", "A 74401-2021")</f>
        <v/>
      </c>
      <c r="Y85">
        <f>HYPERLINK("https://klasma.github.io/Logging_2085/tillsynsmail/A 74401-2021 tillsynsbegäran mail.docx", "A 74401-2021")</f>
        <v/>
      </c>
    </row>
    <row r="86" ht="15" customHeight="1">
      <c r="A86" t="inlineStr">
        <is>
          <t>A 44578-2023</t>
        </is>
      </c>
      <c r="B86" s="1" t="n">
        <v>45189</v>
      </c>
      <c r="C86" s="1" t="n">
        <v>46130</v>
      </c>
      <c r="D86" t="inlineStr">
        <is>
          <t>DALARNAS LÄN</t>
        </is>
      </c>
      <c r="E86" t="inlineStr">
        <is>
          <t>LUDVIKA</t>
        </is>
      </c>
      <c r="F86" t="inlineStr">
        <is>
          <t>Övriga Aktiebolag</t>
        </is>
      </c>
      <c r="G86" t="n">
        <v>12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Dofttaggsvamp</t>
        </is>
      </c>
      <c r="S86">
        <f>HYPERLINK("https://klasma.github.io/Logging_2085/artfynd/A 44578-2023 artfynd.xlsx", "A 44578-2023")</f>
        <v/>
      </c>
      <c r="T86">
        <f>HYPERLINK("https://klasma.github.io/Logging_2085/kartor/A 44578-2023 karta.png", "A 44578-2023")</f>
        <v/>
      </c>
      <c r="V86">
        <f>HYPERLINK("https://klasma.github.io/Logging_2085/klagomål/A 44578-2023 FSC-klagomål.docx", "A 44578-2023")</f>
        <v/>
      </c>
      <c r="W86">
        <f>HYPERLINK("https://klasma.github.io/Logging_2085/klagomålsmail/A 44578-2023 FSC-klagomål mail.docx", "A 44578-2023")</f>
        <v/>
      </c>
      <c r="X86">
        <f>HYPERLINK("https://klasma.github.io/Logging_2085/tillsyn/A 44578-2023 tillsynsbegäran.docx", "A 44578-2023")</f>
        <v/>
      </c>
      <c r="Y86">
        <f>HYPERLINK("https://klasma.github.io/Logging_2085/tillsynsmail/A 44578-2023 tillsynsbegäran mail.docx", "A 44578-2023")</f>
        <v/>
      </c>
    </row>
    <row r="87" ht="15" customHeight="1">
      <c r="A87" t="inlineStr">
        <is>
          <t>A 59873-2025</t>
        </is>
      </c>
      <c r="B87" s="1" t="n">
        <v>45992.950625</v>
      </c>
      <c r="C87" s="1" t="n">
        <v>46130</v>
      </c>
      <c r="D87" t="inlineStr">
        <is>
          <t>DALARNAS LÄN</t>
        </is>
      </c>
      <c r="E87" t="inlineStr">
        <is>
          <t>LUDVIKA</t>
        </is>
      </c>
      <c r="G87" t="n">
        <v>3.7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Lateritticka</t>
        </is>
      </c>
      <c r="S87">
        <f>HYPERLINK("https://klasma.github.io/Logging_2085/artfynd/A 59873-2025 artfynd.xlsx", "A 59873-2025")</f>
        <v/>
      </c>
      <c r="T87">
        <f>HYPERLINK("https://klasma.github.io/Logging_2085/kartor/A 59873-2025 karta.png", "A 59873-2025")</f>
        <v/>
      </c>
      <c r="V87">
        <f>HYPERLINK("https://klasma.github.io/Logging_2085/klagomål/A 59873-2025 FSC-klagomål.docx", "A 59873-2025")</f>
        <v/>
      </c>
      <c r="W87">
        <f>HYPERLINK("https://klasma.github.io/Logging_2085/klagomålsmail/A 59873-2025 FSC-klagomål mail.docx", "A 59873-2025")</f>
        <v/>
      </c>
      <c r="X87">
        <f>HYPERLINK("https://klasma.github.io/Logging_2085/tillsyn/A 59873-2025 tillsynsbegäran.docx", "A 59873-2025")</f>
        <v/>
      </c>
      <c r="Y87">
        <f>HYPERLINK("https://klasma.github.io/Logging_2085/tillsynsmail/A 59873-2025 tillsynsbegäran mail.docx", "A 59873-2025")</f>
        <v/>
      </c>
    </row>
    <row r="88" ht="15" customHeight="1">
      <c r="A88" t="inlineStr">
        <is>
          <t>A 62275-2022</t>
        </is>
      </c>
      <c r="B88" s="1" t="n">
        <v>44923.35560185185</v>
      </c>
      <c r="C88" s="1" t="n">
        <v>46130</v>
      </c>
      <c r="D88" t="inlineStr">
        <is>
          <t>DALARNAS LÄN</t>
        </is>
      </c>
      <c r="E88" t="inlineStr">
        <is>
          <t>LUDVIKA</t>
        </is>
      </c>
      <c r="G88" t="n">
        <v>4.6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HYPERLINK("https://klasma.github.io/Logging_2085/artfynd/A 62275-2022 artfynd.xlsx", "A 62275-2022")</f>
        <v/>
      </c>
      <c r="T88">
        <f>HYPERLINK("https://klasma.github.io/Logging_2085/kartor/A 62275-2022 karta.png", "A 62275-2022")</f>
        <v/>
      </c>
      <c r="U88">
        <f>HYPERLINK("https://klasma.github.io/Logging_2085/knärot/A 62275-2022 karta knärot.png", "A 62275-2022")</f>
        <v/>
      </c>
      <c r="V88">
        <f>HYPERLINK("https://klasma.github.io/Logging_2085/klagomål/A 62275-2022 FSC-klagomål.docx", "A 62275-2022")</f>
        <v/>
      </c>
      <c r="W88">
        <f>HYPERLINK("https://klasma.github.io/Logging_2085/klagomålsmail/A 62275-2022 FSC-klagomål mail.docx", "A 62275-2022")</f>
        <v/>
      </c>
      <c r="X88">
        <f>HYPERLINK("https://klasma.github.io/Logging_2085/tillsyn/A 62275-2022 tillsynsbegäran.docx", "A 62275-2022")</f>
        <v/>
      </c>
      <c r="Y88">
        <f>HYPERLINK("https://klasma.github.io/Logging_2085/tillsynsmail/A 62275-2022 tillsynsbegäran mail.docx", "A 62275-2022")</f>
        <v/>
      </c>
    </row>
    <row r="89" ht="15" customHeight="1">
      <c r="A89" t="inlineStr">
        <is>
          <t>A 62676-2025</t>
        </is>
      </c>
      <c r="B89" s="1" t="n">
        <v>46008</v>
      </c>
      <c r="C89" s="1" t="n">
        <v>46130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HYPERLINK("https://klasma.github.io/Logging_2085/artfynd/A 62676-2025 artfynd.xlsx", "A 62676-2025")</f>
        <v/>
      </c>
      <c r="T89">
        <f>HYPERLINK("https://klasma.github.io/Logging_2085/kartor/A 62676-2025 karta.png", "A 62676-2025")</f>
        <v/>
      </c>
      <c r="V89">
        <f>HYPERLINK("https://klasma.github.io/Logging_2085/klagomål/A 62676-2025 FSC-klagomål.docx", "A 62676-2025")</f>
        <v/>
      </c>
      <c r="W89">
        <f>HYPERLINK("https://klasma.github.io/Logging_2085/klagomålsmail/A 62676-2025 FSC-klagomål mail.docx", "A 62676-2025")</f>
        <v/>
      </c>
      <c r="X89">
        <f>HYPERLINK("https://klasma.github.io/Logging_2085/tillsyn/A 62676-2025 tillsynsbegäran.docx", "A 62676-2025")</f>
        <v/>
      </c>
      <c r="Y89">
        <f>HYPERLINK("https://klasma.github.io/Logging_2085/tillsynsmail/A 62676-2025 tillsynsbegäran mail.docx", "A 62676-2025")</f>
        <v/>
      </c>
    </row>
    <row r="90" ht="15" customHeight="1">
      <c r="A90" t="inlineStr">
        <is>
          <t>A 63005-2025</t>
        </is>
      </c>
      <c r="B90" s="1" t="n">
        <v>46009.56876157408</v>
      </c>
      <c r="C90" s="1" t="n">
        <v>46130</v>
      </c>
      <c r="D90" t="inlineStr">
        <is>
          <t>DALARNAS LÄN</t>
        </is>
      </c>
      <c r="E90" t="inlineStr">
        <is>
          <t>LUDVIKA</t>
        </is>
      </c>
      <c r="G90" t="n">
        <v>4.4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HYPERLINK("https://klasma.github.io/Logging_2085/artfynd/A 63005-2025 artfynd.xlsx", "A 63005-2025")</f>
        <v/>
      </c>
      <c r="T90">
        <f>HYPERLINK("https://klasma.github.io/Logging_2085/kartor/A 63005-2025 karta.png", "A 63005-2025")</f>
        <v/>
      </c>
      <c r="V90">
        <f>HYPERLINK("https://klasma.github.io/Logging_2085/klagomål/A 63005-2025 FSC-klagomål.docx", "A 63005-2025")</f>
        <v/>
      </c>
      <c r="W90">
        <f>HYPERLINK("https://klasma.github.io/Logging_2085/klagomålsmail/A 63005-2025 FSC-klagomål mail.docx", "A 63005-2025")</f>
        <v/>
      </c>
      <c r="X90">
        <f>HYPERLINK("https://klasma.github.io/Logging_2085/tillsyn/A 63005-2025 tillsynsbegäran.docx", "A 63005-2025")</f>
        <v/>
      </c>
      <c r="Y90">
        <f>HYPERLINK("https://klasma.github.io/Logging_2085/tillsynsmail/A 63005-2025 tillsynsbegäran mail.docx", "A 63005-2025")</f>
        <v/>
      </c>
      <c r="Z90">
        <f>HYPERLINK("https://klasma.github.io/Logging_2085/fåglar/A 63005-2025 prioriterade fågelarter.docx", "A 63005-2025")</f>
        <v/>
      </c>
    </row>
    <row r="91" ht="15" customHeight="1">
      <c r="A91" t="inlineStr">
        <is>
          <t>A 17987-2025</t>
        </is>
      </c>
      <c r="B91" s="1" t="n">
        <v>45761.39600694444</v>
      </c>
      <c r="C91" s="1" t="n">
        <v>46130</v>
      </c>
      <c r="D91" t="inlineStr">
        <is>
          <t>DALARNAS LÄN</t>
        </is>
      </c>
      <c r="E91" t="inlineStr">
        <is>
          <t>LUDVIKA</t>
        </is>
      </c>
      <c r="G91" t="n">
        <v>0.5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HYPERLINK("https://klasma.github.io/Logging_2085/artfynd/A 17987-2025 artfynd.xlsx", "A 17987-2025")</f>
        <v/>
      </c>
      <c r="T91">
        <f>HYPERLINK("https://klasma.github.io/Logging_2085/kartor/A 17987-2025 karta.png", "A 17987-2025")</f>
        <v/>
      </c>
      <c r="V91">
        <f>HYPERLINK("https://klasma.github.io/Logging_2085/klagomål/A 17987-2025 FSC-klagomål.docx", "A 17987-2025")</f>
        <v/>
      </c>
      <c r="W91">
        <f>HYPERLINK("https://klasma.github.io/Logging_2085/klagomålsmail/A 17987-2025 FSC-klagomål mail.docx", "A 17987-2025")</f>
        <v/>
      </c>
      <c r="X91">
        <f>HYPERLINK("https://klasma.github.io/Logging_2085/tillsyn/A 17987-2025 tillsynsbegäran.docx", "A 17987-2025")</f>
        <v/>
      </c>
      <c r="Y91">
        <f>HYPERLINK("https://klasma.github.io/Logging_2085/tillsynsmail/A 17987-2025 tillsynsbegäran mail.docx", "A 17987-2025")</f>
        <v/>
      </c>
      <c r="Z91">
        <f>HYPERLINK("https://klasma.github.io/Logging_2085/fåglar/A 17987-2025 prioriterade fågelarter.docx", "A 17987-2025")</f>
        <v/>
      </c>
    </row>
    <row r="92" ht="15" customHeight="1">
      <c r="A92" t="inlineStr">
        <is>
          <t>A 25588-2023</t>
        </is>
      </c>
      <c r="B92" s="1" t="n">
        <v>45089</v>
      </c>
      <c r="C92" s="1" t="n">
        <v>46130</v>
      </c>
      <c r="D92" t="inlineStr">
        <is>
          <t>DALARNAS LÄN</t>
        </is>
      </c>
      <c r="E92" t="inlineStr">
        <is>
          <t>LUDVIKA</t>
        </is>
      </c>
      <c r="G92" t="n">
        <v>9.4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HYPERLINK("https://klasma.github.io/Logging_2085/artfynd/A 25588-2023 artfynd.xlsx", "A 25588-2023")</f>
        <v/>
      </c>
      <c r="T92">
        <f>HYPERLINK("https://klasma.github.io/Logging_2085/kartor/A 25588-2023 karta.png", "A 25588-2023")</f>
        <v/>
      </c>
      <c r="V92">
        <f>HYPERLINK("https://klasma.github.io/Logging_2085/klagomål/A 25588-2023 FSC-klagomål.docx", "A 25588-2023")</f>
        <v/>
      </c>
      <c r="W92">
        <f>HYPERLINK("https://klasma.github.io/Logging_2085/klagomålsmail/A 25588-2023 FSC-klagomål mail.docx", "A 25588-2023")</f>
        <v/>
      </c>
      <c r="X92">
        <f>HYPERLINK("https://klasma.github.io/Logging_2085/tillsyn/A 25588-2023 tillsynsbegäran.docx", "A 25588-2023")</f>
        <v/>
      </c>
      <c r="Y92">
        <f>HYPERLINK("https://klasma.github.io/Logging_2085/tillsynsmail/A 25588-2023 tillsynsbegäran mail.docx", "A 25588-2023")</f>
        <v/>
      </c>
    </row>
    <row r="93" ht="15" customHeight="1">
      <c r="A93" t="inlineStr">
        <is>
          <t>A 64097-2025</t>
        </is>
      </c>
      <c r="B93" s="1" t="n">
        <v>46021</v>
      </c>
      <c r="C93" s="1" t="n">
        <v>46130</v>
      </c>
      <c r="D93" t="inlineStr">
        <is>
          <t>DALARNAS LÄN</t>
        </is>
      </c>
      <c r="E93" t="inlineStr">
        <is>
          <t>LUDVIKA</t>
        </is>
      </c>
      <c r="G93" t="n">
        <v>4.1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Svavelriska</t>
        </is>
      </c>
      <c r="S93">
        <f>HYPERLINK("https://klasma.github.io/Logging_2085/artfynd/A 64097-2025 artfynd.xlsx", "A 64097-2025")</f>
        <v/>
      </c>
      <c r="T93">
        <f>HYPERLINK("https://klasma.github.io/Logging_2085/kartor/A 64097-2025 karta.png", "A 64097-2025")</f>
        <v/>
      </c>
      <c r="V93">
        <f>HYPERLINK("https://klasma.github.io/Logging_2085/klagomål/A 64097-2025 FSC-klagomål.docx", "A 64097-2025")</f>
        <v/>
      </c>
      <c r="W93">
        <f>HYPERLINK("https://klasma.github.io/Logging_2085/klagomålsmail/A 64097-2025 FSC-klagomål mail.docx", "A 64097-2025")</f>
        <v/>
      </c>
      <c r="X93">
        <f>HYPERLINK("https://klasma.github.io/Logging_2085/tillsyn/A 64097-2025 tillsynsbegäran.docx", "A 64097-2025")</f>
        <v/>
      </c>
      <c r="Y93">
        <f>HYPERLINK("https://klasma.github.io/Logging_2085/tillsynsmail/A 64097-2025 tillsynsbegäran mail.docx", "A 64097-2025")</f>
        <v/>
      </c>
    </row>
    <row r="94" ht="15" customHeight="1">
      <c r="A94" t="inlineStr">
        <is>
          <t>A 1237-2026</t>
        </is>
      </c>
      <c r="B94" s="1" t="n">
        <v>46031.41959490741</v>
      </c>
      <c r="C94" s="1" t="n">
        <v>46130</v>
      </c>
      <c r="D94" t="inlineStr">
        <is>
          <t>DALARNAS LÄN</t>
        </is>
      </c>
      <c r="E94" t="inlineStr">
        <is>
          <t>LUDVIKA</t>
        </is>
      </c>
      <c r="G94" t="n">
        <v>5.9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HYPERLINK("https://klasma.github.io/Logging_2085/artfynd/A 1237-2026 artfynd.xlsx", "A 1237-2026")</f>
        <v/>
      </c>
      <c r="T94">
        <f>HYPERLINK("https://klasma.github.io/Logging_2085/kartor/A 1237-2026 karta.png", "A 1237-2026")</f>
        <v/>
      </c>
      <c r="V94">
        <f>HYPERLINK("https://klasma.github.io/Logging_2085/klagomål/A 1237-2026 FSC-klagomål.docx", "A 1237-2026")</f>
        <v/>
      </c>
      <c r="W94">
        <f>HYPERLINK("https://klasma.github.io/Logging_2085/klagomålsmail/A 1237-2026 FSC-klagomål mail.docx", "A 1237-2026")</f>
        <v/>
      </c>
      <c r="X94">
        <f>HYPERLINK("https://klasma.github.io/Logging_2085/tillsyn/A 1237-2026 tillsynsbegäran.docx", "A 1237-2026")</f>
        <v/>
      </c>
      <c r="Y94">
        <f>HYPERLINK("https://klasma.github.io/Logging_2085/tillsynsmail/A 1237-2026 tillsynsbegäran mail.docx", "A 1237-2026")</f>
        <v/>
      </c>
    </row>
    <row r="95" ht="15" customHeight="1">
      <c r="A95" t="inlineStr">
        <is>
          <t>A 59947-2025</t>
        </is>
      </c>
      <c r="B95" s="1" t="n">
        <v>45993</v>
      </c>
      <c r="C95" s="1" t="n">
        <v>46130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0.5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HYPERLINK("https://klasma.github.io/Logging_2085/artfynd/A 59947-2025 artfynd.xlsx", "A 59947-2025")</f>
        <v/>
      </c>
      <c r="T95">
        <f>HYPERLINK("https://klasma.github.io/Logging_2085/kartor/A 59947-2025 karta.png", "A 59947-2025")</f>
        <v/>
      </c>
      <c r="V95">
        <f>HYPERLINK("https://klasma.github.io/Logging_2085/klagomål/A 59947-2025 FSC-klagomål.docx", "A 59947-2025")</f>
        <v/>
      </c>
      <c r="W95">
        <f>HYPERLINK("https://klasma.github.io/Logging_2085/klagomålsmail/A 59947-2025 FSC-klagomål mail.docx", "A 59947-2025")</f>
        <v/>
      </c>
      <c r="X95">
        <f>HYPERLINK("https://klasma.github.io/Logging_2085/tillsyn/A 59947-2025 tillsynsbegäran.docx", "A 59947-2025")</f>
        <v/>
      </c>
      <c r="Y95">
        <f>HYPERLINK("https://klasma.github.io/Logging_2085/tillsynsmail/A 59947-2025 tillsynsbegäran mail.docx", "A 59947-2025")</f>
        <v/>
      </c>
      <c r="Z95">
        <f>HYPERLINK("https://klasma.github.io/Logging_2085/fåglar/A 59947-2025 prioriterade fågelarter.docx", "A 59947-2025")</f>
        <v/>
      </c>
    </row>
    <row r="96" ht="15" customHeight="1">
      <c r="A96" t="inlineStr">
        <is>
          <t>A 33155-2024</t>
        </is>
      </c>
      <c r="B96" s="1" t="n">
        <v>45518.38504629629</v>
      </c>
      <c r="C96" s="1" t="n">
        <v>46130</v>
      </c>
      <c r="D96" t="inlineStr">
        <is>
          <t>DALARNAS LÄN</t>
        </is>
      </c>
      <c r="E96" t="inlineStr">
        <is>
          <t>LUDVIKA</t>
        </is>
      </c>
      <c r="G96" t="n">
        <v>2.9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Brunpudrad nållav</t>
        </is>
      </c>
      <c r="S96">
        <f>HYPERLINK("https://klasma.github.io/Logging_2085/artfynd/A 33155-2024 artfynd.xlsx", "A 33155-2024")</f>
        <v/>
      </c>
      <c r="T96">
        <f>HYPERLINK("https://klasma.github.io/Logging_2085/kartor/A 33155-2024 karta.png", "A 33155-2024")</f>
        <v/>
      </c>
      <c r="V96">
        <f>HYPERLINK("https://klasma.github.io/Logging_2085/klagomål/A 33155-2024 FSC-klagomål.docx", "A 33155-2024")</f>
        <v/>
      </c>
      <c r="W96">
        <f>HYPERLINK("https://klasma.github.io/Logging_2085/klagomålsmail/A 33155-2024 FSC-klagomål mail.docx", "A 33155-2024")</f>
        <v/>
      </c>
      <c r="X96">
        <f>HYPERLINK("https://klasma.github.io/Logging_2085/tillsyn/A 33155-2024 tillsynsbegäran.docx", "A 33155-2024")</f>
        <v/>
      </c>
      <c r="Y96">
        <f>HYPERLINK("https://klasma.github.io/Logging_2085/tillsynsmail/A 33155-2024 tillsynsbegäran mail.docx", "A 33155-2024")</f>
        <v/>
      </c>
    </row>
    <row r="97" ht="15" customHeight="1">
      <c r="A97" t="inlineStr">
        <is>
          <t>A 60787-2024</t>
        </is>
      </c>
      <c r="B97" s="1" t="n">
        <v>45644</v>
      </c>
      <c r="C97" s="1" t="n">
        <v>46130</v>
      </c>
      <c r="D97" t="inlineStr">
        <is>
          <t>DALARNAS LÄN</t>
        </is>
      </c>
      <c r="E97" t="inlineStr">
        <is>
          <t>LUDVIKA</t>
        </is>
      </c>
      <c r="G97" t="n">
        <v>1.9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HYPERLINK("https://klasma.github.io/Logging_2085/artfynd/A 60787-2024 artfynd.xlsx", "A 60787-2024")</f>
        <v/>
      </c>
      <c r="T97">
        <f>HYPERLINK("https://klasma.github.io/Logging_2085/kartor/A 60787-2024 karta.png", "A 60787-2024")</f>
        <v/>
      </c>
      <c r="V97">
        <f>HYPERLINK("https://klasma.github.io/Logging_2085/klagomål/A 60787-2024 FSC-klagomål.docx", "A 60787-2024")</f>
        <v/>
      </c>
      <c r="W97">
        <f>HYPERLINK("https://klasma.github.io/Logging_2085/klagomålsmail/A 60787-2024 FSC-klagomål mail.docx", "A 60787-2024")</f>
        <v/>
      </c>
      <c r="X97">
        <f>HYPERLINK("https://klasma.github.io/Logging_2085/tillsyn/A 60787-2024 tillsynsbegäran.docx", "A 60787-2024")</f>
        <v/>
      </c>
      <c r="Y97">
        <f>HYPERLINK("https://klasma.github.io/Logging_2085/tillsynsmail/A 60787-2024 tillsynsbegäran mail.docx", "A 60787-2024")</f>
        <v/>
      </c>
      <c r="Z97">
        <f>HYPERLINK("https://klasma.github.io/Logging_2085/fåglar/A 60787-2024 prioriterade fågelarter.docx", "A 60787-2024")</f>
        <v/>
      </c>
    </row>
    <row r="98" ht="15" customHeight="1">
      <c r="A98" t="inlineStr">
        <is>
          <t>A 49660-2024</t>
        </is>
      </c>
      <c r="B98" s="1" t="n">
        <v>45596.63347222222</v>
      </c>
      <c r="C98" s="1" t="n">
        <v>46130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Mörk husmossa</t>
        </is>
      </c>
      <c r="S98">
        <f>HYPERLINK("https://klasma.github.io/Logging_2085/artfynd/A 49660-2024 artfynd.xlsx", "A 49660-2024")</f>
        <v/>
      </c>
      <c r="T98">
        <f>HYPERLINK("https://klasma.github.io/Logging_2085/kartor/A 49660-2024 karta.png", "A 49660-2024")</f>
        <v/>
      </c>
      <c r="V98">
        <f>HYPERLINK("https://klasma.github.io/Logging_2085/klagomål/A 49660-2024 FSC-klagomål.docx", "A 49660-2024")</f>
        <v/>
      </c>
      <c r="W98">
        <f>HYPERLINK("https://klasma.github.io/Logging_2085/klagomålsmail/A 49660-2024 FSC-klagomål mail.docx", "A 49660-2024")</f>
        <v/>
      </c>
      <c r="X98">
        <f>HYPERLINK("https://klasma.github.io/Logging_2085/tillsyn/A 49660-2024 tillsynsbegäran.docx", "A 49660-2024")</f>
        <v/>
      </c>
      <c r="Y98">
        <f>HYPERLINK("https://klasma.github.io/Logging_2085/tillsynsmail/A 49660-2024 tillsynsbegäran mail.docx", "A 49660-2024")</f>
        <v/>
      </c>
    </row>
    <row r="99" ht="15" customHeight="1">
      <c r="A99" t="inlineStr">
        <is>
          <t>A 56655-2025</t>
        </is>
      </c>
      <c r="B99" s="1" t="n">
        <v>45975.64983796296</v>
      </c>
      <c r="C99" s="1" t="n">
        <v>46130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8.5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HYPERLINK("https://klasma.github.io/Logging_2085/artfynd/A 56655-2025 artfynd.xlsx", "A 56655-2025")</f>
        <v/>
      </c>
      <c r="T99">
        <f>HYPERLINK("https://klasma.github.io/Logging_2085/kartor/A 56655-2025 karta.png", "A 56655-2025")</f>
        <v/>
      </c>
      <c r="V99">
        <f>HYPERLINK("https://klasma.github.io/Logging_2085/klagomål/A 56655-2025 FSC-klagomål.docx", "A 56655-2025")</f>
        <v/>
      </c>
      <c r="W99">
        <f>HYPERLINK("https://klasma.github.io/Logging_2085/klagomålsmail/A 56655-2025 FSC-klagomål mail.docx", "A 56655-2025")</f>
        <v/>
      </c>
      <c r="X99">
        <f>HYPERLINK("https://klasma.github.io/Logging_2085/tillsyn/A 56655-2025 tillsynsbegäran.docx", "A 56655-2025")</f>
        <v/>
      </c>
      <c r="Y99">
        <f>HYPERLINK("https://klasma.github.io/Logging_2085/tillsynsmail/A 56655-2025 tillsynsbegäran mail.docx", "A 56655-2025")</f>
        <v/>
      </c>
      <c r="Z99">
        <f>HYPERLINK("https://klasma.github.io/Logging_2085/fåglar/A 56655-2025 prioriterade fågelarter.docx", "A 56655-2025")</f>
        <v/>
      </c>
    </row>
    <row r="100" ht="15" customHeight="1">
      <c r="A100" t="inlineStr">
        <is>
          <t>A 21499-2022</t>
        </is>
      </c>
      <c r="B100" s="1" t="n">
        <v>44706</v>
      </c>
      <c r="C100" s="1" t="n">
        <v>46130</v>
      </c>
      <c r="D100" t="inlineStr">
        <is>
          <t>DALARNAS LÄN</t>
        </is>
      </c>
      <c r="E100" t="inlineStr">
        <is>
          <t>LUDVIKA</t>
        </is>
      </c>
      <c r="G100" t="n">
        <v>4.3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Strimspindling</t>
        </is>
      </c>
      <c r="S100">
        <f>HYPERLINK("https://klasma.github.io/Logging_2085/artfynd/A 21499-2022 artfynd.xlsx", "A 21499-2022")</f>
        <v/>
      </c>
      <c r="T100">
        <f>HYPERLINK("https://klasma.github.io/Logging_2085/kartor/A 21499-2022 karta.png", "A 21499-2022")</f>
        <v/>
      </c>
      <c r="V100">
        <f>HYPERLINK("https://klasma.github.io/Logging_2085/klagomål/A 21499-2022 FSC-klagomål.docx", "A 21499-2022")</f>
        <v/>
      </c>
      <c r="W100">
        <f>HYPERLINK("https://klasma.github.io/Logging_2085/klagomålsmail/A 21499-2022 FSC-klagomål mail.docx", "A 21499-2022")</f>
        <v/>
      </c>
      <c r="X100">
        <f>HYPERLINK("https://klasma.github.io/Logging_2085/tillsyn/A 21499-2022 tillsynsbegäran.docx", "A 21499-2022")</f>
        <v/>
      </c>
      <c r="Y100">
        <f>HYPERLINK("https://klasma.github.io/Logging_2085/tillsynsmail/A 21499-2022 tillsynsbegäran mail.docx", "A 21499-2022")</f>
        <v/>
      </c>
    </row>
    <row r="101" ht="15" customHeight="1">
      <c r="A101" t="inlineStr">
        <is>
          <t>A 17338-2026</t>
        </is>
      </c>
      <c r="B101" s="1" t="n">
        <v>46119.63225694445</v>
      </c>
      <c r="C101" s="1" t="n">
        <v>46130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2.2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HYPERLINK("https://klasma.github.io/Logging_2085/artfynd/A 17338-2026 artfynd.xlsx", "A 17338-2026")</f>
        <v/>
      </c>
      <c r="T101">
        <f>HYPERLINK("https://klasma.github.io/Logging_2085/kartor/A 17338-2026 karta.png", "A 17338-2026")</f>
        <v/>
      </c>
      <c r="U101">
        <f>HYPERLINK("https://klasma.github.io/Logging_2085/knärot/A 17338-2026 karta knärot.png", "A 17338-2026")</f>
        <v/>
      </c>
      <c r="V101">
        <f>HYPERLINK("https://klasma.github.io/Logging_2085/klagomål/A 17338-2026 FSC-klagomål.docx", "A 17338-2026")</f>
        <v/>
      </c>
      <c r="W101">
        <f>HYPERLINK("https://klasma.github.io/Logging_2085/klagomålsmail/A 17338-2026 FSC-klagomål mail.docx", "A 17338-2026")</f>
        <v/>
      </c>
      <c r="X101">
        <f>HYPERLINK("https://klasma.github.io/Logging_2085/tillsyn/A 17338-2026 tillsynsbegäran.docx", "A 17338-2026")</f>
        <v/>
      </c>
      <c r="Y101">
        <f>HYPERLINK("https://klasma.github.io/Logging_2085/tillsynsmail/A 17338-2026 tillsynsbegäran mail.docx", "A 17338-2026")</f>
        <v/>
      </c>
    </row>
    <row r="102" ht="15" customHeight="1">
      <c r="A102" t="inlineStr">
        <is>
          <t>A 29144-2023</t>
        </is>
      </c>
      <c r="B102" s="1" t="n">
        <v>45105</v>
      </c>
      <c r="C102" s="1" t="n">
        <v>46130</v>
      </c>
      <c r="D102" t="inlineStr">
        <is>
          <t>DALARNAS LÄN</t>
        </is>
      </c>
      <c r="E102" t="inlineStr">
        <is>
          <t>LUDVIKA</t>
        </is>
      </c>
      <c r="F102" t="inlineStr">
        <is>
          <t>Allmännings- och besparingsskogar</t>
        </is>
      </c>
      <c r="G102" t="n">
        <v>6.2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HYPERLINK("https://klasma.github.io/Logging_2085/artfynd/A 29144-2023 artfynd.xlsx", "A 29144-2023")</f>
        <v/>
      </c>
      <c r="T102">
        <f>HYPERLINK("https://klasma.github.io/Logging_2085/kartor/A 29144-2023 karta.png", "A 29144-2023")</f>
        <v/>
      </c>
      <c r="U102">
        <f>HYPERLINK("https://klasma.github.io/Logging_2085/knärot/A 29144-2023 karta knärot.png", "A 29144-2023")</f>
        <v/>
      </c>
      <c r="V102">
        <f>HYPERLINK("https://klasma.github.io/Logging_2085/klagomål/A 29144-2023 FSC-klagomål.docx", "A 29144-2023")</f>
        <v/>
      </c>
      <c r="W102">
        <f>HYPERLINK("https://klasma.github.io/Logging_2085/klagomålsmail/A 29144-2023 FSC-klagomål mail.docx", "A 29144-2023")</f>
        <v/>
      </c>
      <c r="X102">
        <f>HYPERLINK("https://klasma.github.io/Logging_2085/tillsyn/A 29144-2023 tillsynsbegäran.docx", "A 29144-2023")</f>
        <v/>
      </c>
      <c r="Y102">
        <f>HYPERLINK("https://klasma.github.io/Logging_2085/tillsynsmail/A 29144-2023 tillsynsbegäran mail.docx", "A 29144-2023")</f>
        <v/>
      </c>
    </row>
    <row r="103" ht="15" customHeight="1">
      <c r="A103" t="inlineStr">
        <is>
          <t>A 3809-2024</t>
        </is>
      </c>
      <c r="B103" s="1" t="n">
        <v>45321</v>
      </c>
      <c r="C103" s="1" t="n">
        <v>46130</v>
      </c>
      <c r="D103" t="inlineStr">
        <is>
          <t>DALARNAS LÄN</t>
        </is>
      </c>
      <c r="E103" t="inlineStr">
        <is>
          <t>LUDVIKA</t>
        </is>
      </c>
      <c r="G103" t="n">
        <v>0.5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HYPERLINK("https://klasma.github.io/Logging_2085/artfynd/A 3809-2024 artfynd.xlsx", "A 3809-2024")</f>
        <v/>
      </c>
      <c r="T103">
        <f>HYPERLINK("https://klasma.github.io/Logging_2085/kartor/A 3809-2024 karta.png", "A 3809-2024")</f>
        <v/>
      </c>
      <c r="V103">
        <f>HYPERLINK("https://klasma.github.io/Logging_2085/klagomål/A 3809-2024 FSC-klagomål.docx", "A 3809-2024")</f>
        <v/>
      </c>
      <c r="W103">
        <f>HYPERLINK("https://klasma.github.io/Logging_2085/klagomålsmail/A 3809-2024 FSC-klagomål mail.docx", "A 3809-2024")</f>
        <v/>
      </c>
      <c r="X103">
        <f>HYPERLINK("https://klasma.github.io/Logging_2085/tillsyn/A 3809-2024 tillsynsbegäran.docx", "A 3809-2024")</f>
        <v/>
      </c>
      <c r="Y103">
        <f>HYPERLINK("https://klasma.github.io/Logging_2085/tillsynsmail/A 3809-2024 tillsynsbegäran mail.docx", "A 3809-2024")</f>
        <v/>
      </c>
    </row>
    <row r="104" ht="15" customHeight="1">
      <c r="A104" t="inlineStr">
        <is>
          <t>A 18189-2025</t>
        </is>
      </c>
      <c r="B104" s="1" t="n">
        <v>45761.67243055555</v>
      </c>
      <c r="C104" s="1" t="n">
        <v>46130</v>
      </c>
      <c r="D104" t="inlineStr">
        <is>
          <t>DALARNAS LÄN</t>
        </is>
      </c>
      <c r="E104" t="inlineStr">
        <is>
          <t>LUDVIKA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HYPERLINK("https://klasma.github.io/Logging_2085/artfynd/A 18189-2025 artfynd.xlsx", "A 18189-2025")</f>
        <v/>
      </c>
      <c r="T104">
        <f>HYPERLINK("https://klasma.github.io/Logging_2085/kartor/A 18189-2025 karta.png", "A 18189-2025")</f>
        <v/>
      </c>
      <c r="V104">
        <f>HYPERLINK("https://klasma.github.io/Logging_2085/klagomål/A 18189-2025 FSC-klagomål.docx", "A 18189-2025")</f>
        <v/>
      </c>
      <c r="W104">
        <f>HYPERLINK("https://klasma.github.io/Logging_2085/klagomålsmail/A 18189-2025 FSC-klagomål mail.docx", "A 18189-2025")</f>
        <v/>
      </c>
      <c r="X104">
        <f>HYPERLINK("https://klasma.github.io/Logging_2085/tillsyn/A 18189-2025 tillsynsbegäran.docx", "A 18189-2025")</f>
        <v/>
      </c>
      <c r="Y104">
        <f>HYPERLINK("https://klasma.github.io/Logging_2085/tillsynsmail/A 18189-2025 tillsynsbegäran mail.docx", "A 18189-2025")</f>
        <v/>
      </c>
    </row>
    <row r="105" ht="15" customHeight="1">
      <c r="A105" t="inlineStr">
        <is>
          <t>A 17274-2026</t>
        </is>
      </c>
      <c r="B105" s="1" t="n">
        <v>46119.50863425926</v>
      </c>
      <c r="C105" s="1" t="n">
        <v>46130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3.8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HYPERLINK("https://klasma.github.io/Logging_2085/artfynd/A 17274-2026 artfynd.xlsx", "A 17274-2026")</f>
        <v/>
      </c>
      <c r="T105">
        <f>HYPERLINK("https://klasma.github.io/Logging_2085/kartor/A 17274-2026 karta.png", "A 17274-2026")</f>
        <v/>
      </c>
      <c r="V105">
        <f>HYPERLINK("https://klasma.github.io/Logging_2085/klagomål/A 17274-2026 FSC-klagomål.docx", "A 17274-2026")</f>
        <v/>
      </c>
      <c r="W105">
        <f>HYPERLINK("https://klasma.github.io/Logging_2085/klagomålsmail/A 17274-2026 FSC-klagomål mail.docx", "A 17274-2026")</f>
        <v/>
      </c>
      <c r="X105">
        <f>HYPERLINK("https://klasma.github.io/Logging_2085/tillsyn/A 17274-2026 tillsynsbegäran.docx", "A 17274-2026")</f>
        <v/>
      </c>
      <c r="Y105">
        <f>HYPERLINK("https://klasma.github.io/Logging_2085/tillsynsmail/A 17274-2026 tillsynsbegäran mail.docx", "A 17274-2026")</f>
        <v/>
      </c>
    </row>
    <row r="106" ht="15" customHeight="1">
      <c r="A106" t="inlineStr">
        <is>
          <t>A 18770-2026</t>
        </is>
      </c>
      <c r="B106" s="1" t="n">
        <v>46128.57096064815</v>
      </c>
      <c r="C106" s="1" t="n">
        <v>46130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HYPERLINK("https://klasma.github.io/Logging_2085/artfynd/A 18770-2026 artfynd.xlsx", "A 18770-2026")</f>
        <v/>
      </c>
      <c r="T106">
        <f>HYPERLINK("https://klasma.github.io/Logging_2085/kartor/A 18770-2026 karta.png", "A 18770-2026")</f>
        <v/>
      </c>
      <c r="V106">
        <f>HYPERLINK("https://klasma.github.io/Logging_2085/klagomål/A 18770-2026 FSC-klagomål.docx", "A 18770-2026")</f>
        <v/>
      </c>
      <c r="W106">
        <f>HYPERLINK("https://klasma.github.io/Logging_2085/klagomålsmail/A 18770-2026 FSC-klagomål mail.docx", "A 18770-2026")</f>
        <v/>
      </c>
      <c r="X106">
        <f>HYPERLINK("https://klasma.github.io/Logging_2085/tillsyn/A 18770-2026 tillsynsbegäran.docx", "A 18770-2026")</f>
        <v/>
      </c>
      <c r="Y106">
        <f>HYPERLINK("https://klasma.github.io/Logging_2085/tillsynsmail/A 18770-2026 tillsynsbegäran mail.docx", "A 18770-2026")</f>
        <v/>
      </c>
    </row>
    <row r="107" ht="15" customHeight="1">
      <c r="A107" t="inlineStr">
        <is>
          <t>A 37639-2024</t>
        </is>
      </c>
      <c r="B107" s="1" t="n">
        <v>45541.54527777778</v>
      </c>
      <c r="C107" s="1" t="n">
        <v>46130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Gulnål</t>
        </is>
      </c>
      <c r="S107">
        <f>HYPERLINK("https://klasma.github.io/Logging_2085/artfynd/A 37639-2024 artfynd.xlsx", "A 37639-2024")</f>
        <v/>
      </c>
      <c r="T107">
        <f>HYPERLINK("https://klasma.github.io/Logging_2085/kartor/A 37639-2024 karta.png", "A 37639-2024")</f>
        <v/>
      </c>
      <c r="V107">
        <f>HYPERLINK("https://klasma.github.io/Logging_2085/klagomål/A 37639-2024 FSC-klagomål.docx", "A 37639-2024")</f>
        <v/>
      </c>
      <c r="W107">
        <f>HYPERLINK("https://klasma.github.io/Logging_2085/klagomålsmail/A 37639-2024 FSC-klagomål mail.docx", "A 37639-2024")</f>
        <v/>
      </c>
      <c r="X107">
        <f>HYPERLINK("https://klasma.github.io/Logging_2085/tillsyn/A 37639-2024 tillsynsbegäran.docx", "A 37639-2024")</f>
        <v/>
      </c>
      <c r="Y107">
        <f>HYPERLINK("https://klasma.github.io/Logging_2085/tillsynsmail/A 37639-2024 tillsynsbegäran mail.docx", "A 37639-2024")</f>
        <v/>
      </c>
    </row>
    <row r="108" ht="15" customHeight="1">
      <c r="A108" t="inlineStr">
        <is>
          <t>A 17959-2025</t>
        </is>
      </c>
      <c r="B108" s="1" t="n">
        <v>45761</v>
      </c>
      <c r="C108" s="1" t="n">
        <v>46130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2.9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Rödgul trumpetsvamp</t>
        </is>
      </c>
      <c r="S108">
        <f>HYPERLINK("https://klasma.github.io/Logging_2085/artfynd/A 17959-2025 artfynd.xlsx", "A 17959-2025")</f>
        <v/>
      </c>
      <c r="T108">
        <f>HYPERLINK("https://klasma.github.io/Logging_2085/kartor/A 17959-2025 karta.png", "A 17959-2025")</f>
        <v/>
      </c>
      <c r="V108">
        <f>HYPERLINK("https://klasma.github.io/Logging_2085/klagomål/A 17959-2025 FSC-klagomål.docx", "A 17959-2025")</f>
        <v/>
      </c>
      <c r="W108">
        <f>HYPERLINK("https://klasma.github.io/Logging_2085/klagomålsmail/A 17959-2025 FSC-klagomål mail.docx", "A 17959-2025")</f>
        <v/>
      </c>
      <c r="X108">
        <f>HYPERLINK("https://klasma.github.io/Logging_2085/tillsyn/A 17959-2025 tillsynsbegäran.docx", "A 17959-2025")</f>
        <v/>
      </c>
      <c r="Y108">
        <f>HYPERLINK("https://klasma.github.io/Logging_2085/tillsynsmail/A 17959-2025 tillsynsbegäran mail.docx", "A 17959-2025")</f>
        <v/>
      </c>
    </row>
    <row r="109" ht="15" customHeight="1">
      <c r="A109" t="inlineStr">
        <is>
          <t>A 20985-2025</t>
        </is>
      </c>
      <c r="B109" s="1" t="n">
        <v>45777</v>
      </c>
      <c r="C109" s="1" t="n">
        <v>46130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5.8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HYPERLINK("https://klasma.github.io/Logging_2085/artfynd/A 20985-2025 artfynd.xlsx", "A 20985-2025")</f>
        <v/>
      </c>
      <c r="T109">
        <f>HYPERLINK("https://klasma.github.io/Logging_2085/kartor/A 20985-2025 karta.png", "A 20985-2025")</f>
        <v/>
      </c>
      <c r="V109">
        <f>HYPERLINK("https://klasma.github.io/Logging_2085/klagomål/A 20985-2025 FSC-klagomål.docx", "A 20985-2025")</f>
        <v/>
      </c>
      <c r="W109">
        <f>HYPERLINK("https://klasma.github.io/Logging_2085/klagomålsmail/A 20985-2025 FSC-klagomål mail.docx", "A 20985-2025")</f>
        <v/>
      </c>
      <c r="X109">
        <f>HYPERLINK("https://klasma.github.io/Logging_2085/tillsyn/A 20985-2025 tillsynsbegäran.docx", "A 20985-2025")</f>
        <v/>
      </c>
      <c r="Y109">
        <f>HYPERLINK("https://klasma.github.io/Logging_2085/tillsynsmail/A 20985-2025 tillsynsbegäran mail.docx", "A 20985-2025")</f>
        <v/>
      </c>
    </row>
    <row r="110" ht="15" customHeight="1">
      <c r="A110" t="inlineStr">
        <is>
          <t>A 47216-2021</t>
        </is>
      </c>
      <c r="B110" s="1" t="n">
        <v>44447</v>
      </c>
      <c r="C110" s="1" t="n">
        <v>46130</v>
      </c>
      <c r="D110" t="inlineStr">
        <is>
          <t>DALARNAS LÄN</t>
        </is>
      </c>
      <c r="E110" t="inlineStr">
        <is>
          <t>LUDVIKA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65699-2021</t>
        </is>
      </c>
      <c r="B111" s="1" t="n">
        <v>44516</v>
      </c>
      <c r="C111" s="1" t="n">
        <v>46130</v>
      </c>
      <c r="D111" t="inlineStr">
        <is>
          <t>DALARNAS LÄN</t>
        </is>
      </c>
      <c r="E111" t="inlineStr">
        <is>
          <t>LUDVIKA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29000-2021</t>
        </is>
      </c>
      <c r="B112" s="1" t="n">
        <v>44358</v>
      </c>
      <c r="C112" s="1" t="n">
        <v>46130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38084-2021</t>
        </is>
      </c>
      <c r="B113" s="1" t="n">
        <v>44404.87238425926</v>
      </c>
      <c r="C113" s="1" t="n">
        <v>46130</v>
      </c>
      <c r="D113" t="inlineStr">
        <is>
          <t>DALARNAS LÄN</t>
        </is>
      </c>
      <c r="E113" t="inlineStr">
        <is>
          <t>LUDVIKA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31273-2022</t>
        </is>
      </c>
      <c r="B114" s="1" t="n">
        <v>44771.62452546296</v>
      </c>
      <c r="C114" s="1" t="n">
        <v>46130</v>
      </c>
      <c r="D114" t="inlineStr">
        <is>
          <t>DALARNAS LÄN</t>
        </is>
      </c>
      <c r="E114" t="inlineStr">
        <is>
          <t>LUDVIKA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21716-2021</t>
        </is>
      </c>
      <c r="B115" s="1" t="n">
        <v>44322.48659722223</v>
      </c>
      <c r="C115" s="1" t="n">
        <v>46130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26054-2021</t>
        </is>
      </c>
      <c r="B116" s="1" t="n">
        <v>44344.64224537037</v>
      </c>
      <c r="C116" s="1" t="n">
        <v>46130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24080-2021</t>
        </is>
      </c>
      <c r="B117" s="1" t="n">
        <v>44336</v>
      </c>
      <c r="C117" s="1" t="n">
        <v>46130</v>
      </c>
      <c r="D117" t="inlineStr">
        <is>
          <t>DALARNAS LÄN</t>
        </is>
      </c>
      <c r="E117" t="inlineStr">
        <is>
          <t>LUDVIKA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48580-2021</t>
        </is>
      </c>
      <c r="B118" s="1" t="n">
        <v>44452</v>
      </c>
      <c r="C118" s="1" t="n">
        <v>46130</v>
      </c>
      <c r="D118" t="inlineStr">
        <is>
          <t>DALARNAS LÄN</t>
        </is>
      </c>
      <c r="E118" t="inlineStr">
        <is>
          <t>LUDVIKA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52303-2022</t>
        </is>
      </c>
      <c r="B119" s="1" t="n">
        <v>44869</v>
      </c>
      <c r="C119" s="1" t="n">
        <v>46130</v>
      </c>
      <c r="D119" t="inlineStr">
        <is>
          <t>DALARNAS LÄN</t>
        </is>
      </c>
      <c r="E119" t="inlineStr">
        <is>
          <t>LUDVIKA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62152-2021</t>
        </is>
      </c>
      <c r="B120" s="1" t="n">
        <v>44502.71049768518</v>
      </c>
      <c r="C120" s="1" t="n">
        <v>46130</v>
      </c>
      <c r="D120" t="inlineStr">
        <is>
          <t>DALARNAS LÄN</t>
        </is>
      </c>
      <c r="E120" t="inlineStr">
        <is>
          <t>LUDVIKA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62467-2021</t>
        </is>
      </c>
      <c r="B121" s="1" t="n">
        <v>44503.53900462963</v>
      </c>
      <c r="C121" s="1" t="n">
        <v>46130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73167-2021</t>
        </is>
      </c>
      <c r="B122" s="1" t="n">
        <v>44550.55576388889</v>
      </c>
      <c r="C122" s="1" t="n">
        <v>46130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29789-2021</t>
        </is>
      </c>
      <c r="B123" s="1" t="n">
        <v>44362</v>
      </c>
      <c r="C123" s="1" t="n">
        <v>46130</v>
      </c>
      <c r="D123" t="inlineStr">
        <is>
          <t>DALARNAS LÄN</t>
        </is>
      </c>
      <c r="E123" t="inlineStr">
        <is>
          <t>LUDVIKA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31921-2021</t>
        </is>
      </c>
      <c r="B124" s="1" t="n">
        <v>44370</v>
      </c>
      <c r="C124" s="1" t="n">
        <v>46130</v>
      </c>
      <c r="D124" t="inlineStr">
        <is>
          <t>DALARNAS LÄN</t>
        </is>
      </c>
      <c r="E124" t="inlineStr">
        <is>
          <t>LUDVIKA</t>
        </is>
      </c>
      <c r="F124" t="inlineStr">
        <is>
          <t>Övriga Aktiebolag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31086-2021</t>
        </is>
      </c>
      <c r="B125" s="1" t="n">
        <v>44368.49107638889</v>
      </c>
      <c r="C125" s="1" t="n">
        <v>46130</v>
      </c>
      <c r="D125" t="inlineStr">
        <is>
          <t>DALARNAS LÄN</t>
        </is>
      </c>
      <c r="E125" t="inlineStr">
        <is>
          <t>LUDVIKA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35892-2021</t>
        </is>
      </c>
      <c r="B126" s="1" t="n">
        <v>44387</v>
      </c>
      <c r="C126" s="1" t="n">
        <v>46130</v>
      </c>
      <c r="D126" t="inlineStr">
        <is>
          <t>DALARNAS LÄN</t>
        </is>
      </c>
      <c r="E126" t="inlineStr">
        <is>
          <t>LUDVIKA</t>
        </is>
      </c>
      <c r="F126" t="inlineStr">
        <is>
          <t>Kyrkan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31925-2021</t>
        </is>
      </c>
      <c r="B127" s="1" t="n">
        <v>44370</v>
      </c>
      <c r="C127" s="1" t="n">
        <v>46130</v>
      </c>
      <c r="D127" t="inlineStr">
        <is>
          <t>DALARNAS LÄN</t>
        </is>
      </c>
      <c r="E127" t="inlineStr">
        <is>
          <t>LUDVIKA</t>
        </is>
      </c>
      <c r="F127" t="inlineStr">
        <is>
          <t>Övriga Aktiebolag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49977-2021</t>
        </is>
      </c>
      <c r="B128" s="1" t="n">
        <v>44456</v>
      </c>
      <c r="C128" s="1" t="n">
        <v>46130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13051-2022</t>
        </is>
      </c>
      <c r="B129" s="1" t="n">
        <v>44643</v>
      </c>
      <c r="C129" s="1" t="n">
        <v>46130</v>
      </c>
      <c r="D129" t="inlineStr">
        <is>
          <t>DALARNAS LÄN</t>
        </is>
      </c>
      <c r="E129" t="inlineStr">
        <is>
          <t>LUDVIKA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50273-2021</t>
        </is>
      </c>
      <c r="B130" s="1" t="n">
        <v>44459.29900462963</v>
      </c>
      <c r="C130" s="1" t="n">
        <v>46130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25297-2022</t>
        </is>
      </c>
      <c r="B131" s="1" t="n">
        <v>44730.99023148148</v>
      </c>
      <c r="C131" s="1" t="n">
        <v>46130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33032-2021</t>
        </is>
      </c>
      <c r="B132" s="1" t="n">
        <v>44376.4954050926</v>
      </c>
      <c r="C132" s="1" t="n">
        <v>46130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57076-2021</t>
        </is>
      </c>
      <c r="B133" s="1" t="n">
        <v>44482</v>
      </c>
      <c r="C133" s="1" t="n">
        <v>46130</v>
      </c>
      <c r="D133" t="inlineStr">
        <is>
          <t>DALARNAS LÄN</t>
        </is>
      </c>
      <c r="E133" t="inlineStr">
        <is>
          <t>LUDVIKA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31272-2022</t>
        </is>
      </c>
      <c r="B134" s="1" t="n">
        <v>44771.62211805556</v>
      </c>
      <c r="C134" s="1" t="n">
        <v>46130</v>
      </c>
      <c r="D134" t="inlineStr">
        <is>
          <t>DALARNAS LÄN</t>
        </is>
      </c>
      <c r="E134" t="inlineStr">
        <is>
          <t>LUDVIKA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25291-2022</t>
        </is>
      </c>
      <c r="B135" s="1" t="n">
        <v>44730.92502314815</v>
      </c>
      <c r="C135" s="1" t="n">
        <v>46130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37384-2021</t>
        </is>
      </c>
      <c r="B136" s="1" t="n">
        <v>44397</v>
      </c>
      <c r="C136" s="1" t="n">
        <v>46130</v>
      </c>
      <c r="D136" t="inlineStr">
        <is>
          <t>DALARNAS LÄN</t>
        </is>
      </c>
      <c r="E136" t="inlineStr">
        <is>
          <t>LUDVIKA</t>
        </is>
      </c>
      <c r="F136" t="inlineStr">
        <is>
          <t>Kommuner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33416-2021</t>
        </is>
      </c>
      <c r="B137" s="1" t="n">
        <v>44377</v>
      </c>
      <c r="C137" s="1" t="n">
        <v>46130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46680-2022</t>
        </is>
      </c>
      <c r="B138" s="1" t="n">
        <v>44851.3506712963</v>
      </c>
      <c r="C138" s="1" t="n">
        <v>46130</v>
      </c>
      <c r="D138" t="inlineStr">
        <is>
          <t>DALARNAS LÄN</t>
        </is>
      </c>
      <c r="E138" t="inlineStr">
        <is>
          <t>LUDVIKA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51709-2022</t>
        </is>
      </c>
      <c r="B139" s="1" t="n">
        <v>44872</v>
      </c>
      <c r="C139" s="1" t="n">
        <v>46130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51713-2022</t>
        </is>
      </c>
      <c r="B140" s="1" t="n">
        <v>44872.4658912037</v>
      </c>
      <c r="C140" s="1" t="n">
        <v>46130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23345-2022</t>
        </is>
      </c>
      <c r="B141" s="1" t="n">
        <v>44720</v>
      </c>
      <c r="C141" s="1" t="n">
        <v>46130</v>
      </c>
      <c r="D141" t="inlineStr">
        <is>
          <t>DALARNAS LÄN</t>
        </is>
      </c>
      <c r="E141" t="inlineStr">
        <is>
          <t>LUDVIKA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74427-2021</t>
        </is>
      </c>
      <c r="B142" s="1" t="n">
        <v>44560.42800925926</v>
      </c>
      <c r="C142" s="1" t="n">
        <v>46130</v>
      </c>
      <c r="D142" t="inlineStr">
        <is>
          <t>DALARNAS LÄN</t>
        </is>
      </c>
      <c r="E142" t="inlineStr">
        <is>
          <t>LUDVIKA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15145-2022</t>
        </is>
      </c>
      <c r="B143" s="1" t="n">
        <v>44658</v>
      </c>
      <c r="C143" s="1" t="n">
        <v>46130</v>
      </c>
      <c r="D143" t="inlineStr">
        <is>
          <t>DALARNAS LÄN</t>
        </is>
      </c>
      <c r="E143" t="inlineStr">
        <is>
          <t>LUDVIKA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41796-2022</t>
        </is>
      </c>
      <c r="B144" s="1" t="n">
        <v>44827.80170138889</v>
      </c>
      <c r="C144" s="1" t="n">
        <v>46130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4551-2022</t>
        </is>
      </c>
      <c r="B145" s="1" t="n">
        <v>44590.92709490741</v>
      </c>
      <c r="C145" s="1" t="n">
        <v>46130</v>
      </c>
      <c r="D145" t="inlineStr">
        <is>
          <t>DALARNAS LÄN</t>
        </is>
      </c>
      <c r="E145" t="inlineStr">
        <is>
          <t>LUDVIKA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9464-2022</t>
        </is>
      </c>
      <c r="B146" s="1" t="n">
        <v>44616.7841550926</v>
      </c>
      <c r="C146" s="1" t="n">
        <v>46130</v>
      </c>
      <c r="D146" t="inlineStr">
        <is>
          <t>DALARNAS LÄN</t>
        </is>
      </c>
      <c r="E146" t="inlineStr">
        <is>
          <t>LUDVIKA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21466-2022</t>
        </is>
      </c>
      <c r="B147" s="1" t="n">
        <v>44706</v>
      </c>
      <c r="C147" s="1" t="n">
        <v>46130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33108-2022</t>
        </is>
      </c>
      <c r="B148" s="1" t="n">
        <v>44785</v>
      </c>
      <c r="C148" s="1" t="n">
        <v>46130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40582-2021</t>
        </is>
      </c>
      <c r="B149" s="1" t="n">
        <v>44420</v>
      </c>
      <c r="C149" s="1" t="n">
        <v>46130</v>
      </c>
      <c r="D149" t="inlineStr">
        <is>
          <t>DALARNAS LÄN</t>
        </is>
      </c>
      <c r="E149" t="inlineStr">
        <is>
          <t>LUDVIKA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45313-2021</t>
        </is>
      </c>
      <c r="B150" s="1" t="n">
        <v>44439</v>
      </c>
      <c r="C150" s="1" t="n">
        <v>46130</v>
      </c>
      <c r="D150" t="inlineStr">
        <is>
          <t>DALARNAS LÄN</t>
        </is>
      </c>
      <c r="E150" t="inlineStr">
        <is>
          <t>LUDVIKA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35731-2021</t>
        </is>
      </c>
      <c r="B151" s="1" t="n">
        <v>44386</v>
      </c>
      <c r="C151" s="1" t="n">
        <v>46130</v>
      </c>
      <c r="D151" t="inlineStr">
        <is>
          <t>DALARNAS LÄN</t>
        </is>
      </c>
      <c r="E151" t="inlineStr">
        <is>
          <t>LUDVIKA</t>
        </is>
      </c>
      <c r="F151" t="inlineStr">
        <is>
          <t>Kyrkan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35720-2021</t>
        </is>
      </c>
      <c r="B152" s="1" t="n">
        <v>44386</v>
      </c>
      <c r="C152" s="1" t="n">
        <v>46130</v>
      </c>
      <c r="D152" t="inlineStr">
        <is>
          <t>DALARNAS LÄN</t>
        </is>
      </c>
      <c r="E152" t="inlineStr">
        <is>
          <t>LUDVIKA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57002-2021</t>
        </is>
      </c>
      <c r="B153" s="1" t="n">
        <v>44482.46922453704</v>
      </c>
      <c r="C153" s="1" t="n">
        <v>46130</v>
      </c>
      <c r="D153" t="inlineStr">
        <is>
          <t>DALARNAS LÄN</t>
        </is>
      </c>
      <c r="E153" t="inlineStr">
        <is>
          <t>LUDVIKA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63267-2021</t>
        </is>
      </c>
      <c r="B154" s="1" t="n">
        <v>44508</v>
      </c>
      <c r="C154" s="1" t="n">
        <v>46130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54279-2021</t>
        </is>
      </c>
      <c r="B155" s="1" t="n">
        <v>44470</v>
      </c>
      <c r="C155" s="1" t="n">
        <v>46130</v>
      </c>
      <c r="D155" t="inlineStr">
        <is>
          <t>DALARNAS LÄN</t>
        </is>
      </c>
      <c r="E155" t="inlineStr">
        <is>
          <t>LUDVIKA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22920-2022</t>
        </is>
      </c>
      <c r="B156" s="1" t="n">
        <v>44715.63222222222</v>
      </c>
      <c r="C156" s="1" t="n">
        <v>46130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39761-2022</t>
        </is>
      </c>
      <c r="B157" s="1" t="n">
        <v>44819.43425925926</v>
      </c>
      <c r="C157" s="1" t="n">
        <v>46130</v>
      </c>
      <c r="D157" t="inlineStr">
        <is>
          <t>DALARNAS LÄN</t>
        </is>
      </c>
      <c r="E157" t="inlineStr">
        <is>
          <t>LUDVIKA</t>
        </is>
      </c>
      <c r="F157" t="inlineStr">
        <is>
          <t>Naturvårdsverket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36862-2021</t>
        </is>
      </c>
      <c r="B158" s="1" t="n">
        <v>44393</v>
      </c>
      <c r="C158" s="1" t="n">
        <v>46130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7526-2025</t>
        </is>
      </c>
      <c r="B159" s="1" t="n">
        <v>45705.54684027778</v>
      </c>
      <c r="C159" s="1" t="n">
        <v>46130</v>
      </c>
      <c r="D159" t="inlineStr">
        <is>
          <t>DALARNAS LÄN</t>
        </is>
      </c>
      <c r="E159" t="inlineStr">
        <is>
          <t>LUDVIKA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5841-2024</t>
        </is>
      </c>
      <c r="B160" s="1" t="n">
        <v>45335.60587962963</v>
      </c>
      <c r="C160" s="1" t="n">
        <v>46130</v>
      </c>
      <c r="D160" t="inlineStr">
        <is>
          <t>DALARNAS LÄN</t>
        </is>
      </c>
      <c r="E160" t="inlineStr">
        <is>
          <t>LUDVIKA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51160-2023</t>
        </is>
      </c>
      <c r="B161" s="1" t="n">
        <v>45219.37885416667</v>
      </c>
      <c r="C161" s="1" t="n">
        <v>46130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15939-2024</t>
        </is>
      </c>
      <c r="B162" s="1" t="n">
        <v>45405</v>
      </c>
      <c r="C162" s="1" t="n">
        <v>46130</v>
      </c>
      <c r="D162" t="inlineStr">
        <is>
          <t>DALARNAS LÄN</t>
        </is>
      </c>
      <c r="E162" t="inlineStr">
        <is>
          <t>LUDVIKA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HYPERLINK("https://klasma.github.io/Logging_2085/knärot/A 15939-2024 karta knärot.png", "A 15939-2024")</f>
        <v/>
      </c>
      <c r="V162">
        <f>HYPERLINK("https://klasma.github.io/Logging_2085/klagomål/A 15939-2024 FSC-klagomål.docx", "A 15939-2024")</f>
        <v/>
      </c>
      <c r="W162">
        <f>HYPERLINK("https://klasma.github.io/Logging_2085/klagomålsmail/A 15939-2024 FSC-klagomål mail.docx", "A 15939-2024")</f>
        <v/>
      </c>
      <c r="X162">
        <f>HYPERLINK("https://klasma.github.io/Logging_2085/tillsyn/A 15939-2024 tillsynsbegäran.docx", "A 15939-2024")</f>
        <v/>
      </c>
      <c r="Y162">
        <f>HYPERLINK("https://klasma.github.io/Logging_2085/tillsynsmail/A 15939-2024 tillsynsbegäran mail.docx", "A 15939-2024")</f>
        <v/>
      </c>
    </row>
    <row r="163" ht="15" customHeight="1">
      <c r="A163" t="inlineStr">
        <is>
          <t>A 41090-2022</t>
        </is>
      </c>
      <c r="B163" s="1" t="n">
        <v>44825.64709490741</v>
      </c>
      <c r="C163" s="1" t="n">
        <v>46130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47366-2023</t>
        </is>
      </c>
      <c r="B164" s="1" t="n">
        <v>45202.59850694444</v>
      </c>
      <c r="C164" s="1" t="n">
        <v>46130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22555-2023</t>
        </is>
      </c>
      <c r="B165" s="1" t="n">
        <v>45071.44364583334</v>
      </c>
      <c r="C165" s="1" t="n">
        <v>46130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41400-2022</t>
        </is>
      </c>
      <c r="B166" s="1" t="n">
        <v>44826</v>
      </c>
      <c r="C166" s="1" t="n">
        <v>46130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34845-2024</t>
        </is>
      </c>
      <c r="B167" s="1" t="n">
        <v>45526</v>
      </c>
      <c r="C167" s="1" t="n">
        <v>46130</v>
      </c>
      <c r="D167" t="inlineStr">
        <is>
          <t>DALARNAS LÄN</t>
        </is>
      </c>
      <c r="E167" t="inlineStr">
        <is>
          <t>LUDVIKA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41158-2022</t>
        </is>
      </c>
      <c r="B168" s="1" t="n">
        <v>44825.88506944444</v>
      </c>
      <c r="C168" s="1" t="n">
        <v>46130</v>
      </c>
      <c r="D168" t="inlineStr">
        <is>
          <t>DALARNAS LÄN</t>
        </is>
      </c>
      <c r="E168" t="inlineStr">
        <is>
          <t>LUDVIKA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48715-2022</t>
        </is>
      </c>
      <c r="B169" s="1" t="n">
        <v>44859.49887731481</v>
      </c>
      <c r="C169" s="1" t="n">
        <v>46130</v>
      </c>
      <c r="D169" t="inlineStr">
        <is>
          <t>DALARNAS LÄN</t>
        </is>
      </c>
      <c r="E169" t="inlineStr">
        <is>
          <t>LUDVIKA</t>
        </is>
      </c>
      <c r="F169" t="inlineStr">
        <is>
          <t>Naturvårdsverket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11436-2024</t>
        </is>
      </c>
      <c r="B170" s="1" t="n">
        <v>45372.5358912037</v>
      </c>
      <c r="C170" s="1" t="n">
        <v>46130</v>
      </c>
      <c r="D170" t="inlineStr">
        <is>
          <t>DALARNAS LÄN</t>
        </is>
      </c>
      <c r="E170" t="inlineStr">
        <is>
          <t>LUDVIKA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15100-2024</t>
        </is>
      </c>
      <c r="B171" s="1" t="n">
        <v>45399.66118055556</v>
      </c>
      <c r="C171" s="1" t="n">
        <v>46130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21891-2025</t>
        </is>
      </c>
      <c r="B172" s="1" t="n">
        <v>45784</v>
      </c>
      <c r="C172" s="1" t="n">
        <v>46130</v>
      </c>
      <c r="D172" t="inlineStr">
        <is>
          <t>DALARNAS LÄN</t>
        </is>
      </c>
      <c r="E172" t="inlineStr">
        <is>
          <t>LUDVIKA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24033-2021</t>
        </is>
      </c>
      <c r="B173" s="1" t="n">
        <v>44336.3533912037</v>
      </c>
      <c r="C173" s="1" t="n">
        <v>46130</v>
      </c>
      <c r="D173" t="inlineStr">
        <is>
          <t>DALARNAS LÄN</t>
        </is>
      </c>
      <c r="E173" t="inlineStr">
        <is>
          <t>LUDVIKA</t>
        </is>
      </c>
      <c r="F173" t="inlineStr">
        <is>
          <t>Allmännings- och besparingsskogar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52868-2023</t>
        </is>
      </c>
      <c r="B174" s="1" t="n">
        <v>45226.4590625</v>
      </c>
      <c r="C174" s="1" t="n">
        <v>46130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21893-2025</t>
        </is>
      </c>
      <c r="B175" s="1" t="n">
        <v>45784.4484837963</v>
      </c>
      <c r="C175" s="1" t="n">
        <v>46130</v>
      </c>
      <c r="D175" t="inlineStr">
        <is>
          <t>DALARNAS LÄN</t>
        </is>
      </c>
      <c r="E175" t="inlineStr">
        <is>
          <t>LUDVIKA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38359-2024</t>
        </is>
      </c>
      <c r="B176" s="1" t="n">
        <v>45545.79224537037</v>
      </c>
      <c r="C176" s="1" t="n">
        <v>46130</v>
      </c>
      <c r="D176" t="inlineStr">
        <is>
          <t>DALARNAS LÄN</t>
        </is>
      </c>
      <c r="E176" t="inlineStr">
        <is>
          <t>LUDVIKA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38625-2025</t>
        </is>
      </c>
      <c r="B177" s="1" t="n">
        <v>45884</v>
      </c>
      <c r="C177" s="1" t="n">
        <v>46130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38630-2025</t>
        </is>
      </c>
      <c r="B178" s="1" t="n">
        <v>45884</v>
      </c>
      <c r="C178" s="1" t="n">
        <v>46130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48522-2023</t>
        </is>
      </c>
      <c r="B179" s="1" t="n">
        <v>45208.35689814815</v>
      </c>
      <c r="C179" s="1" t="n">
        <v>46130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42215-2024</t>
        </is>
      </c>
      <c r="B180" s="1" t="n">
        <v>45562.53986111111</v>
      </c>
      <c r="C180" s="1" t="n">
        <v>46130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52461-2023</t>
        </is>
      </c>
      <c r="B181" s="1" t="n">
        <v>45225.40709490741</v>
      </c>
      <c r="C181" s="1" t="n">
        <v>46130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51865-2025</t>
        </is>
      </c>
      <c r="B182" s="1" t="n">
        <v>45952.37715277778</v>
      </c>
      <c r="C182" s="1" t="n">
        <v>46130</v>
      </c>
      <c r="D182" t="inlineStr">
        <is>
          <t>DALARNAS LÄN</t>
        </is>
      </c>
      <c r="E182" t="inlineStr">
        <is>
          <t>LUDVIKA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42421-2024</t>
        </is>
      </c>
      <c r="B183" s="1" t="n">
        <v>45565.38796296297</v>
      </c>
      <c r="C183" s="1" t="n">
        <v>46130</v>
      </c>
      <c r="D183" t="inlineStr">
        <is>
          <t>DALARNAS LÄN</t>
        </is>
      </c>
      <c r="E183" t="inlineStr">
        <is>
          <t>LUDVIKA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24712-2024</t>
        </is>
      </c>
      <c r="B184" s="1" t="n">
        <v>45460.62337962963</v>
      </c>
      <c r="C184" s="1" t="n">
        <v>46130</v>
      </c>
      <c r="D184" t="inlineStr">
        <is>
          <t>DALARNAS LÄN</t>
        </is>
      </c>
      <c r="E184" t="inlineStr">
        <is>
          <t>LUDVIKA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23103-2024</t>
        </is>
      </c>
      <c r="B185" s="1" t="n">
        <v>45450</v>
      </c>
      <c r="C185" s="1" t="n">
        <v>46130</v>
      </c>
      <c r="D185" t="inlineStr">
        <is>
          <t>DALARNAS LÄN</t>
        </is>
      </c>
      <c r="E185" t="inlineStr">
        <is>
          <t>LUDVIKA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53602-2023</t>
        </is>
      </c>
      <c r="B186" s="1" t="n">
        <v>45230.56142361111</v>
      </c>
      <c r="C186" s="1" t="n">
        <v>46130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51622-2025</t>
        </is>
      </c>
      <c r="B187" s="1" t="n">
        <v>45951.41353009259</v>
      </c>
      <c r="C187" s="1" t="n">
        <v>46130</v>
      </c>
      <c r="D187" t="inlineStr">
        <is>
          <t>DALARNAS LÄN</t>
        </is>
      </c>
      <c r="E187" t="inlineStr">
        <is>
          <t>LUDVIKA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46095-2024</t>
        </is>
      </c>
      <c r="B188" s="1" t="n">
        <v>45581.36174768519</v>
      </c>
      <c r="C188" s="1" t="n">
        <v>46130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52359-2024</t>
        </is>
      </c>
      <c r="B189" s="1" t="n">
        <v>45609.37012731482</v>
      </c>
      <c r="C189" s="1" t="n">
        <v>46130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38446-2025</t>
        </is>
      </c>
      <c r="B190" s="1" t="n">
        <v>45883.65762731482</v>
      </c>
      <c r="C190" s="1" t="n">
        <v>46130</v>
      </c>
      <c r="D190" t="inlineStr">
        <is>
          <t>DALARNAS LÄN</t>
        </is>
      </c>
      <c r="E190" t="inlineStr">
        <is>
          <t>LUDVIKA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51823-2025</t>
        </is>
      </c>
      <c r="B191" s="1" t="n">
        <v>45952.01278935185</v>
      </c>
      <c r="C191" s="1" t="n">
        <v>46130</v>
      </c>
      <c r="D191" t="inlineStr">
        <is>
          <t>DALARNAS LÄN</t>
        </is>
      </c>
      <c r="E191" t="inlineStr">
        <is>
          <t>LUDVIKA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33505-2021</t>
        </is>
      </c>
      <c r="B192" s="1" t="n">
        <v>44377</v>
      </c>
      <c r="C192" s="1" t="n">
        <v>46130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46093-2024</t>
        </is>
      </c>
      <c r="B193" s="1" t="n">
        <v>45581.35516203703</v>
      </c>
      <c r="C193" s="1" t="n">
        <v>46130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52552-2025</t>
        </is>
      </c>
      <c r="B194" s="1" t="n">
        <v>45954.56233796296</v>
      </c>
      <c r="C194" s="1" t="n">
        <v>46130</v>
      </c>
      <c r="D194" t="inlineStr">
        <is>
          <t>DALARNAS LÄN</t>
        </is>
      </c>
      <c r="E194" t="inlineStr">
        <is>
          <t>LUDVIKA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47496-2022</t>
        </is>
      </c>
      <c r="B195" s="1" t="n">
        <v>44853</v>
      </c>
      <c r="C195" s="1" t="n">
        <v>46130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52484-2025</t>
        </is>
      </c>
      <c r="B196" s="1" t="n">
        <v>45954</v>
      </c>
      <c r="C196" s="1" t="n">
        <v>46130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22328-2025</t>
        </is>
      </c>
      <c r="B197" s="1" t="n">
        <v>45786</v>
      </c>
      <c r="C197" s="1" t="n">
        <v>46130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52458-2025</t>
        </is>
      </c>
      <c r="B198" s="1" t="n">
        <v>45954.43010416667</v>
      </c>
      <c r="C198" s="1" t="n">
        <v>46130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33914-2023</t>
        </is>
      </c>
      <c r="B199" s="1" t="n">
        <v>45134.43274305556</v>
      </c>
      <c r="C199" s="1" t="n">
        <v>46130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22606-2025</t>
        </is>
      </c>
      <c r="B200" s="1" t="n">
        <v>45789</v>
      </c>
      <c r="C200" s="1" t="n">
        <v>46130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22610-2025</t>
        </is>
      </c>
      <c r="B201" s="1" t="n">
        <v>45789</v>
      </c>
      <c r="C201" s="1" t="n">
        <v>46130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14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31702-2023</t>
        </is>
      </c>
      <c r="B202" s="1" t="n">
        <v>45105</v>
      </c>
      <c r="C202" s="1" t="n">
        <v>46130</v>
      </c>
      <c r="D202" t="inlineStr">
        <is>
          <t>DALARNAS LÄN</t>
        </is>
      </c>
      <c r="E202" t="inlineStr">
        <is>
          <t>LUDVIKA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32119-2023</t>
        </is>
      </c>
      <c r="B203" s="1" t="n">
        <v>45119.6334375</v>
      </c>
      <c r="C203" s="1" t="n">
        <v>46130</v>
      </c>
      <c r="D203" t="inlineStr">
        <is>
          <t>DALARNAS LÄN</t>
        </is>
      </c>
      <c r="E203" t="inlineStr">
        <is>
          <t>LUDVIKA</t>
        </is>
      </c>
      <c r="F203" t="inlineStr">
        <is>
          <t>Naturvårdsverket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50240-2024</t>
        </is>
      </c>
      <c r="B204" s="1" t="n">
        <v>45600.56336805555</v>
      </c>
      <c r="C204" s="1" t="n">
        <v>46130</v>
      </c>
      <c r="D204" t="inlineStr">
        <is>
          <t>DALARNAS LÄN</t>
        </is>
      </c>
      <c r="E204" t="inlineStr">
        <is>
          <t>LUDVIKA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22330-2025</t>
        </is>
      </c>
      <c r="B205" s="1" t="n">
        <v>45786</v>
      </c>
      <c r="C205" s="1" t="n">
        <v>46130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36066-2024</t>
        </is>
      </c>
      <c r="B206" s="1" t="n">
        <v>45533.64466435185</v>
      </c>
      <c r="C206" s="1" t="n">
        <v>46130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52500-2025</t>
        </is>
      </c>
      <c r="B207" s="1" t="n">
        <v>45954</v>
      </c>
      <c r="C207" s="1" t="n">
        <v>46130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43702-2024</t>
        </is>
      </c>
      <c r="B208" s="1" t="n">
        <v>45569.59144675926</v>
      </c>
      <c r="C208" s="1" t="n">
        <v>46130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22801-2025</t>
        </is>
      </c>
      <c r="B209" s="1" t="n">
        <v>45789.66861111111</v>
      </c>
      <c r="C209" s="1" t="n">
        <v>46130</v>
      </c>
      <c r="D209" t="inlineStr">
        <is>
          <t>DALARNAS LÄN</t>
        </is>
      </c>
      <c r="E209" t="inlineStr">
        <is>
          <t>LUDVIKA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52504-2025</t>
        </is>
      </c>
      <c r="B210" s="1" t="n">
        <v>45954</v>
      </c>
      <c r="C210" s="1" t="n">
        <v>46130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37538-2024</t>
        </is>
      </c>
      <c r="B211" s="1" t="n">
        <v>45541.41780092593</v>
      </c>
      <c r="C211" s="1" t="n">
        <v>46130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27644-2025</t>
        </is>
      </c>
      <c r="B212" s="1" t="n">
        <v>45813</v>
      </c>
      <c r="C212" s="1" t="n">
        <v>46130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22599-2025</t>
        </is>
      </c>
      <c r="B213" s="1" t="n">
        <v>45789</v>
      </c>
      <c r="C213" s="1" t="n">
        <v>46130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24974-2025</t>
        </is>
      </c>
      <c r="B214" s="1" t="n">
        <v>45799</v>
      </c>
      <c r="C214" s="1" t="n">
        <v>46130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32277-2024</t>
        </is>
      </c>
      <c r="B215" s="1" t="n">
        <v>45512.3703125</v>
      </c>
      <c r="C215" s="1" t="n">
        <v>46130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29882-2024</t>
        </is>
      </c>
      <c r="B216" s="1" t="n">
        <v>45486</v>
      </c>
      <c r="C216" s="1" t="n">
        <v>46130</v>
      </c>
      <c r="D216" t="inlineStr">
        <is>
          <t>DALARNAS LÄN</t>
        </is>
      </c>
      <c r="E216" t="inlineStr">
        <is>
          <t>LUDVIKA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22594-2025</t>
        </is>
      </c>
      <c r="B217" s="1" t="n">
        <v>45789</v>
      </c>
      <c r="C217" s="1" t="n">
        <v>46130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22850-2025</t>
        </is>
      </c>
      <c r="B218" s="1" t="n">
        <v>45790.34148148148</v>
      </c>
      <c r="C218" s="1" t="n">
        <v>46130</v>
      </c>
      <c r="D218" t="inlineStr">
        <is>
          <t>DALARNAS LÄN</t>
        </is>
      </c>
      <c r="E218" t="inlineStr">
        <is>
          <t>LUDVIKA</t>
        </is>
      </c>
      <c r="F218" t="inlineStr">
        <is>
          <t>Övriga Aktiebolag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47233-2024</t>
        </is>
      </c>
      <c r="B219" s="1" t="n">
        <v>45586.68033564815</v>
      </c>
      <c r="C219" s="1" t="n">
        <v>46130</v>
      </c>
      <c r="D219" t="inlineStr">
        <is>
          <t>DALARNAS LÄN</t>
        </is>
      </c>
      <c r="E219" t="inlineStr">
        <is>
          <t>LUDVIKA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36527-2024</t>
        </is>
      </c>
      <c r="B220" s="1" t="n">
        <v>45537.44119212963</v>
      </c>
      <c r="C220" s="1" t="n">
        <v>46130</v>
      </c>
      <c r="D220" t="inlineStr">
        <is>
          <t>DALARNAS LÄN</t>
        </is>
      </c>
      <c r="E220" t="inlineStr">
        <is>
          <t>LUDVIKA</t>
        </is>
      </c>
      <c r="F220" t="inlineStr">
        <is>
          <t>Övriga Aktiebolag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46107-2024</t>
        </is>
      </c>
      <c r="B221" s="1" t="n">
        <v>45581.37739583333</v>
      </c>
      <c r="C221" s="1" t="n">
        <v>46130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43057-2024</t>
        </is>
      </c>
      <c r="B222" s="1" t="n">
        <v>45567.46006944445</v>
      </c>
      <c r="C222" s="1" t="n">
        <v>46130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22325-2025</t>
        </is>
      </c>
      <c r="B223" s="1" t="n">
        <v>45786</v>
      </c>
      <c r="C223" s="1" t="n">
        <v>46130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52459-2025</t>
        </is>
      </c>
      <c r="B224" s="1" t="n">
        <v>45954.43126157407</v>
      </c>
      <c r="C224" s="1" t="n">
        <v>46130</v>
      </c>
      <c r="D224" t="inlineStr">
        <is>
          <t>DALARNAS LÄN</t>
        </is>
      </c>
      <c r="E224" t="inlineStr">
        <is>
          <t>LUDVIKA</t>
        </is>
      </c>
      <c r="F224" t="inlineStr">
        <is>
          <t>Övriga Aktiebolag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44881-2024</t>
        </is>
      </c>
      <c r="B225" s="1" t="n">
        <v>45575.35040509259</v>
      </c>
      <c r="C225" s="1" t="n">
        <v>46130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44885-2024</t>
        </is>
      </c>
      <c r="B226" s="1" t="n">
        <v>45575</v>
      </c>
      <c r="C226" s="1" t="n">
        <v>46130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41539-2024</t>
        </is>
      </c>
      <c r="B227" s="1" t="n">
        <v>45560.50243055556</v>
      </c>
      <c r="C227" s="1" t="n">
        <v>46130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51704-2024</t>
        </is>
      </c>
      <c r="B228" s="1" t="n">
        <v>45607.36243055556</v>
      </c>
      <c r="C228" s="1" t="n">
        <v>46130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52491-2025</t>
        </is>
      </c>
      <c r="B229" s="1" t="n">
        <v>45954</v>
      </c>
      <c r="C229" s="1" t="n">
        <v>46130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23082-2025</t>
        </is>
      </c>
      <c r="B230" s="1" t="n">
        <v>45791</v>
      </c>
      <c r="C230" s="1" t="n">
        <v>46130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23088-2025</t>
        </is>
      </c>
      <c r="B231" s="1" t="n">
        <v>45791.34212962963</v>
      </c>
      <c r="C231" s="1" t="n">
        <v>46130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52900-2025</t>
        </is>
      </c>
      <c r="B232" s="1" t="n">
        <v>45954</v>
      </c>
      <c r="C232" s="1" t="n">
        <v>46130</v>
      </c>
      <c r="D232" t="inlineStr">
        <is>
          <t>DALARNAS LÄN</t>
        </is>
      </c>
      <c r="E232" t="inlineStr">
        <is>
          <t>LUDVIKA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52530-2025</t>
        </is>
      </c>
      <c r="B233" s="1" t="n">
        <v>45954</v>
      </c>
      <c r="C233" s="1" t="n">
        <v>46130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52427-2025</t>
        </is>
      </c>
      <c r="B234" s="1" t="n">
        <v>45954.38309027778</v>
      </c>
      <c r="C234" s="1" t="n">
        <v>46130</v>
      </c>
      <c r="D234" t="inlineStr">
        <is>
          <t>DALARNAS LÄN</t>
        </is>
      </c>
      <c r="E234" t="inlineStr">
        <is>
          <t>LUDVIKA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23521-2025</t>
        </is>
      </c>
      <c r="B235" s="1" t="n">
        <v>45792</v>
      </c>
      <c r="C235" s="1" t="n">
        <v>46130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22686-2025</t>
        </is>
      </c>
      <c r="B236" s="1" t="n">
        <v>45786</v>
      </c>
      <c r="C236" s="1" t="n">
        <v>46130</v>
      </c>
      <c r="D236" t="inlineStr">
        <is>
          <t>DALARNAS LÄN</t>
        </is>
      </c>
      <c r="E236" t="inlineStr">
        <is>
          <t>LUDVIKA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21369-2023</t>
        </is>
      </c>
      <c r="B237" s="1" t="n">
        <v>45063</v>
      </c>
      <c r="C237" s="1" t="n">
        <v>46130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23086-2025</t>
        </is>
      </c>
      <c r="B238" s="1" t="n">
        <v>45791</v>
      </c>
      <c r="C238" s="1" t="n">
        <v>46130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34280-2024</t>
        </is>
      </c>
      <c r="B239" s="1" t="n">
        <v>45524.62398148148</v>
      </c>
      <c r="C239" s="1" t="n">
        <v>46130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23103-2025</t>
        </is>
      </c>
      <c r="B240" s="1" t="n">
        <v>45791</v>
      </c>
      <c r="C240" s="1" t="n">
        <v>46130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15.9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23105-2025</t>
        </is>
      </c>
      <c r="B241" s="1" t="n">
        <v>45791</v>
      </c>
      <c r="C241" s="1" t="n">
        <v>46130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54730-2022</t>
        </is>
      </c>
      <c r="B242" s="1" t="n">
        <v>44883</v>
      </c>
      <c r="C242" s="1" t="n">
        <v>46130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35713-2025</t>
        </is>
      </c>
      <c r="B243" s="1" t="n">
        <v>45860</v>
      </c>
      <c r="C243" s="1" t="n">
        <v>46130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47071-2022</t>
        </is>
      </c>
      <c r="B244" s="1" t="n">
        <v>44852</v>
      </c>
      <c r="C244" s="1" t="n">
        <v>46130</v>
      </c>
      <c r="D244" t="inlineStr">
        <is>
          <t>DALARNAS LÄN</t>
        </is>
      </c>
      <c r="E244" t="inlineStr">
        <is>
          <t>LUDVIKA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23443-2024</t>
        </is>
      </c>
      <c r="B245" s="1" t="n">
        <v>45453</v>
      </c>
      <c r="C245" s="1" t="n">
        <v>46130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37549-2024</t>
        </is>
      </c>
      <c r="B246" s="1" t="n">
        <v>45541.43202546296</v>
      </c>
      <c r="C246" s="1" t="n">
        <v>46130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39754-2025</t>
        </is>
      </c>
      <c r="B247" s="1" t="n">
        <v>45891.41975694444</v>
      </c>
      <c r="C247" s="1" t="n">
        <v>46130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24081-2025</t>
        </is>
      </c>
      <c r="B248" s="1" t="n">
        <v>45796.5571875</v>
      </c>
      <c r="C248" s="1" t="n">
        <v>46130</v>
      </c>
      <c r="D248" t="inlineStr">
        <is>
          <t>DALARNAS LÄN</t>
        </is>
      </c>
      <c r="E248" t="inlineStr">
        <is>
          <t>LUDVIKA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40246-2025</t>
        </is>
      </c>
      <c r="B249" s="1" t="n">
        <v>45895.00098379629</v>
      </c>
      <c r="C249" s="1" t="n">
        <v>46130</v>
      </c>
      <c r="D249" t="inlineStr">
        <is>
          <t>DALARNAS LÄN</t>
        </is>
      </c>
      <c r="E249" t="inlineStr">
        <is>
          <t>LUDVIKA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24027-2025</t>
        </is>
      </c>
      <c r="B250" s="1" t="n">
        <v>45796</v>
      </c>
      <c r="C250" s="1" t="n">
        <v>46130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22807-2025</t>
        </is>
      </c>
      <c r="B251" s="1" t="n">
        <v>45789.67512731482</v>
      </c>
      <c r="C251" s="1" t="n">
        <v>46130</v>
      </c>
      <c r="D251" t="inlineStr">
        <is>
          <t>DALARNAS LÄN</t>
        </is>
      </c>
      <c r="E251" t="inlineStr">
        <is>
          <t>LUDVIKA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55034-2024</t>
        </is>
      </c>
      <c r="B252" s="1" t="n">
        <v>45621.38265046296</v>
      </c>
      <c r="C252" s="1" t="n">
        <v>46130</v>
      </c>
      <c r="D252" t="inlineStr">
        <is>
          <t>DALARNAS LÄN</t>
        </is>
      </c>
      <c r="E252" t="inlineStr">
        <is>
          <t>LUDVIKA</t>
        </is>
      </c>
      <c r="F252" t="inlineStr">
        <is>
          <t>Naturvårdsverket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61278-2022</t>
        </is>
      </c>
      <c r="B253" s="1" t="n">
        <v>44915.6166087963</v>
      </c>
      <c r="C253" s="1" t="n">
        <v>46130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30977-2024</t>
        </is>
      </c>
      <c r="B254" s="1" t="n">
        <v>45499</v>
      </c>
      <c r="C254" s="1" t="n">
        <v>46130</v>
      </c>
      <c r="D254" t="inlineStr">
        <is>
          <t>DALARNAS LÄN</t>
        </is>
      </c>
      <c r="E254" t="inlineStr">
        <is>
          <t>LUDVIKA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41109-2025</t>
        </is>
      </c>
      <c r="B255" s="1" t="n">
        <v>45898</v>
      </c>
      <c r="C255" s="1" t="n">
        <v>46130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31100-2024</t>
        </is>
      </c>
      <c r="B256" s="1" t="n">
        <v>45502</v>
      </c>
      <c r="C256" s="1" t="n">
        <v>46130</v>
      </c>
      <c r="D256" t="inlineStr">
        <is>
          <t>DALARNAS LÄN</t>
        </is>
      </c>
      <c r="E256" t="inlineStr">
        <is>
          <t>LUDVIKA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24696-2025</t>
        </is>
      </c>
      <c r="B257" s="1" t="n">
        <v>45798</v>
      </c>
      <c r="C257" s="1" t="n">
        <v>46130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41099-2025</t>
        </is>
      </c>
      <c r="B258" s="1" t="n">
        <v>45898</v>
      </c>
      <c r="C258" s="1" t="n">
        <v>46130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52912-2025</t>
        </is>
      </c>
      <c r="B259" s="1" t="n">
        <v>45954</v>
      </c>
      <c r="C259" s="1" t="n">
        <v>46130</v>
      </c>
      <c r="D259" t="inlineStr">
        <is>
          <t>DALARNAS LÄN</t>
        </is>
      </c>
      <c r="E259" t="inlineStr">
        <is>
          <t>LUDVIKA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41249-2025</t>
        </is>
      </c>
      <c r="B260" s="1" t="n">
        <v>45898</v>
      </c>
      <c r="C260" s="1" t="n">
        <v>46130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41254-2025</t>
        </is>
      </c>
      <c r="B261" s="1" t="n">
        <v>45898.60778935185</v>
      </c>
      <c r="C261" s="1" t="n">
        <v>46130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23097-2025</t>
        </is>
      </c>
      <c r="B262" s="1" t="n">
        <v>45791.3471875</v>
      </c>
      <c r="C262" s="1" t="n">
        <v>46130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23111-2025</t>
        </is>
      </c>
      <c r="B263" s="1" t="n">
        <v>45791.36640046296</v>
      </c>
      <c r="C263" s="1" t="n">
        <v>46130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41269-2025</t>
        </is>
      </c>
      <c r="B264" s="1" t="n">
        <v>45898</v>
      </c>
      <c r="C264" s="1" t="n">
        <v>46130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23117-2025</t>
        </is>
      </c>
      <c r="B265" s="1" t="n">
        <v>45791.37006944444</v>
      </c>
      <c r="C265" s="1" t="n">
        <v>46130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24697-2025</t>
        </is>
      </c>
      <c r="B266" s="1" t="n">
        <v>45798</v>
      </c>
      <c r="C266" s="1" t="n">
        <v>46130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27389-2024</t>
        </is>
      </c>
      <c r="B267" s="1" t="n">
        <v>45474.31796296296</v>
      </c>
      <c r="C267" s="1" t="n">
        <v>46130</v>
      </c>
      <c r="D267" t="inlineStr">
        <is>
          <t>DALARNAS LÄN</t>
        </is>
      </c>
      <c r="E267" t="inlineStr">
        <is>
          <t>LUDVIKA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20642-2025</t>
        </is>
      </c>
      <c r="B268" s="1" t="n">
        <v>45776.37806712963</v>
      </c>
      <c r="C268" s="1" t="n">
        <v>46130</v>
      </c>
      <c r="D268" t="inlineStr">
        <is>
          <t>DALARNAS LÄN</t>
        </is>
      </c>
      <c r="E268" t="inlineStr">
        <is>
          <t>LUDVIKA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45361-2022</t>
        </is>
      </c>
      <c r="B269" s="1" t="n">
        <v>44844.62275462963</v>
      </c>
      <c r="C269" s="1" t="n">
        <v>46130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23137-2025</t>
        </is>
      </c>
      <c r="B270" s="1" t="n">
        <v>45791.39229166666</v>
      </c>
      <c r="C270" s="1" t="n">
        <v>46130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23139-2025</t>
        </is>
      </c>
      <c r="B271" s="1" t="n">
        <v>45791.3942824074</v>
      </c>
      <c r="C271" s="1" t="n">
        <v>46130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20449-2025</t>
        </is>
      </c>
      <c r="B272" s="1" t="n">
        <v>45775</v>
      </c>
      <c r="C272" s="1" t="n">
        <v>46130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52724-2025</t>
        </is>
      </c>
      <c r="B273" s="1" t="n">
        <v>45957.34634259259</v>
      </c>
      <c r="C273" s="1" t="n">
        <v>46130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24628-2025</t>
        </is>
      </c>
      <c r="B274" s="1" t="n">
        <v>45798.59552083333</v>
      </c>
      <c r="C274" s="1" t="n">
        <v>46130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19677-2025</t>
        </is>
      </c>
      <c r="B275" s="1" t="n">
        <v>45770.75799768518</v>
      </c>
      <c r="C275" s="1" t="n">
        <v>46130</v>
      </c>
      <c r="D275" t="inlineStr">
        <is>
          <t>DALARNAS LÄN</t>
        </is>
      </c>
      <c r="E275" t="inlineStr">
        <is>
          <t>LUDVIKA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41394-2025</t>
        </is>
      </c>
      <c r="B276" s="1" t="n">
        <v>45901.31774305556</v>
      </c>
      <c r="C276" s="1" t="n">
        <v>46130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25235-2025</t>
        </is>
      </c>
      <c r="B277" s="1" t="n">
        <v>45800</v>
      </c>
      <c r="C277" s="1" t="n">
        <v>46130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53509-2022</t>
        </is>
      </c>
      <c r="B278" s="1" t="n">
        <v>44879</v>
      </c>
      <c r="C278" s="1" t="n">
        <v>46130</v>
      </c>
      <c r="D278" t="inlineStr">
        <is>
          <t>DALARNAS LÄN</t>
        </is>
      </c>
      <c r="E278" t="inlineStr">
        <is>
          <t>LUDVIKA</t>
        </is>
      </c>
      <c r="F278" t="inlineStr">
        <is>
          <t>Naturvårdsverket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57193-2022</t>
        </is>
      </c>
      <c r="B279" s="1" t="n">
        <v>44895</v>
      </c>
      <c r="C279" s="1" t="n">
        <v>46130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32305-2024</t>
        </is>
      </c>
      <c r="B280" s="1" t="n">
        <v>45512</v>
      </c>
      <c r="C280" s="1" t="n">
        <v>46130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32332-2024</t>
        </is>
      </c>
      <c r="B281" s="1" t="n">
        <v>45512.48011574074</v>
      </c>
      <c r="C281" s="1" t="n">
        <v>46130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8703-2023</t>
        </is>
      </c>
      <c r="B282" s="1" t="n">
        <v>44978</v>
      </c>
      <c r="C282" s="1" t="n">
        <v>46130</v>
      </c>
      <c r="D282" t="inlineStr">
        <is>
          <t>DALARNAS LÄN</t>
        </is>
      </c>
      <c r="E282" t="inlineStr">
        <is>
          <t>LUDVIKA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41828-2025</t>
        </is>
      </c>
      <c r="B283" s="1" t="n">
        <v>45902.67721064815</v>
      </c>
      <c r="C283" s="1" t="n">
        <v>46130</v>
      </c>
      <c r="D283" t="inlineStr">
        <is>
          <t>DALARNAS LÄN</t>
        </is>
      </c>
      <c r="E283" t="inlineStr">
        <is>
          <t>LUDVIKA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25277-2025</t>
        </is>
      </c>
      <c r="B284" s="1" t="n">
        <v>45800</v>
      </c>
      <c r="C284" s="1" t="n">
        <v>46130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41731-2025</t>
        </is>
      </c>
      <c r="B285" s="1" t="n">
        <v>45902</v>
      </c>
      <c r="C285" s="1" t="n">
        <v>46130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41890-2025</t>
        </is>
      </c>
      <c r="B286" s="1" t="n">
        <v>45903</v>
      </c>
      <c r="C286" s="1" t="n">
        <v>46130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25150-2025</t>
        </is>
      </c>
      <c r="B287" s="1" t="n">
        <v>45800</v>
      </c>
      <c r="C287" s="1" t="n">
        <v>46130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41900-2025</t>
        </is>
      </c>
      <c r="B288" s="1" t="n">
        <v>45903.39708333334</v>
      </c>
      <c r="C288" s="1" t="n">
        <v>46130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24789-2025</t>
        </is>
      </c>
      <c r="B289" s="1" t="n">
        <v>45799</v>
      </c>
      <c r="C289" s="1" t="n">
        <v>46130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24783-2025</t>
        </is>
      </c>
      <c r="B290" s="1" t="n">
        <v>45799</v>
      </c>
      <c r="C290" s="1" t="n">
        <v>46130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25133-2025</t>
        </is>
      </c>
      <c r="B291" s="1" t="n">
        <v>45800</v>
      </c>
      <c r="C291" s="1" t="n">
        <v>46130</v>
      </c>
      <c r="D291" t="inlineStr">
        <is>
          <t>DALARNAS LÄN</t>
        </is>
      </c>
      <c r="E291" t="inlineStr">
        <is>
          <t>LUDVIKA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57230-2024</t>
        </is>
      </c>
      <c r="B292" s="1" t="n">
        <v>45629.54122685185</v>
      </c>
      <c r="C292" s="1" t="n">
        <v>46130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42337-2025</t>
        </is>
      </c>
      <c r="B293" s="1" t="n">
        <v>45904.70763888889</v>
      </c>
      <c r="C293" s="1" t="n">
        <v>46130</v>
      </c>
      <c r="D293" t="inlineStr">
        <is>
          <t>DALARNAS LÄN</t>
        </is>
      </c>
      <c r="E293" t="inlineStr">
        <is>
          <t>LUDVIKA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52556-2025</t>
        </is>
      </c>
      <c r="B294" s="1" t="n">
        <v>45954.56762731481</v>
      </c>
      <c r="C294" s="1" t="n">
        <v>46130</v>
      </c>
      <c r="D294" t="inlineStr">
        <is>
          <t>DALARNAS LÄN</t>
        </is>
      </c>
      <c r="E294" t="inlineStr">
        <is>
          <t>LUDVIKA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42264-2025</t>
        </is>
      </c>
      <c r="B295" s="1" t="n">
        <v>45904.59947916667</v>
      </c>
      <c r="C295" s="1" t="n">
        <v>46130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11797-2023</t>
        </is>
      </c>
      <c r="B296" s="1" t="n">
        <v>44994</v>
      </c>
      <c r="C296" s="1" t="n">
        <v>46130</v>
      </c>
      <c r="D296" t="inlineStr">
        <is>
          <t>DALARNAS LÄN</t>
        </is>
      </c>
      <c r="E296" t="inlineStr">
        <is>
          <t>LUDVIKA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24848-2025</t>
        </is>
      </c>
      <c r="B297" s="1" t="n">
        <v>45799</v>
      </c>
      <c r="C297" s="1" t="n">
        <v>46130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25157-2025</t>
        </is>
      </c>
      <c r="B298" s="1" t="n">
        <v>45800</v>
      </c>
      <c r="C298" s="1" t="n">
        <v>46130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25004-2025</t>
        </is>
      </c>
      <c r="B299" s="1" t="n">
        <v>45799</v>
      </c>
      <c r="C299" s="1" t="n">
        <v>46130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52779-2025</t>
        </is>
      </c>
      <c r="B300" s="1" t="n">
        <v>45957</v>
      </c>
      <c r="C300" s="1" t="n">
        <v>46130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25113-2025</t>
        </is>
      </c>
      <c r="B301" s="1" t="n">
        <v>45800</v>
      </c>
      <c r="C301" s="1" t="n">
        <v>46130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25140-2025</t>
        </is>
      </c>
      <c r="B302" s="1" t="n">
        <v>45800</v>
      </c>
      <c r="C302" s="1" t="n">
        <v>46130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24939-2025</t>
        </is>
      </c>
      <c r="B303" s="1" t="n">
        <v>45799</v>
      </c>
      <c r="C303" s="1" t="n">
        <v>46130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74432-2021</t>
        </is>
      </c>
      <c r="B304" s="1" t="n">
        <v>44560.4366087963</v>
      </c>
      <c r="C304" s="1" t="n">
        <v>46130</v>
      </c>
      <c r="D304" t="inlineStr">
        <is>
          <t>DALARNAS LÄN</t>
        </is>
      </c>
      <c r="E304" t="inlineStr">
        <is>
          <t>LUDVIKA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41848-2025</t>
        </is>
      </c>
      <c r="B305" s="1" t="n">
        <v>45902.78278935186</v>
      </c>
      <c r="C305" s="1" t="n">
        <v>46130</v>
      </c>
      <c r="D305" t="inlineStr">
        <is>
          <t>DALARNAS LÄN</t>
        </is>
      </c>
      <c r="E305" t="inlineStr">
        <is>
          <t>LUDVIKA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25619-2025</t>
        </is>
      </c>
      <c r="B306" s="1" t="n">
        <v>45803</v>
      </c>
      <c r="C306" s="1" t="n">
        <v>46130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65195-2021</t>
        </is>
      </c>
      <c r="B307" s="1" t="n">
        <v>44515.48929398148</v>
      </c>
      <c r="C307" s="1" t="n">
        <v>46130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41866-2025</t>
        </is>
      </c>
      <c r="B308" s="1" t="n">
        <v>45903</v>
      </c>
      <c r="C308" s="1" t="n">
        <v>46130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41916-2025</t>
        </is>
      </c>
      <c r="B309" s="1" t="n">
        <v>45903.41763888889</v>
      </c>
      <c r="C309" s="1" t="n">
        <v>46130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42005-2025</t>
        </is>
      </c>
      <c r="B310" s="1" t="n">
        <v>45903.55486111111</v>
      </c>
      <c r="C310" s="1" t="n">
        <v>46130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25627-2025</t>
        </is>
      </c>
      <c r="B311" s="1" t="n">
        <v>45803</v>
      </c>
      <c r="C311" s="1" t="n">
        <v>46130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42213-2024</t>
        </is>
      </c>
      <c r="B312" s="1" t="n">
        <v>45562.53810185185</v>
      </c>
      <c r="C312" s="1" t="n">
        <v>46130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42254-2024</t>
        </is>
      </c>
      <c r="B313" s="1" t="n">
        <v>45562.58427083334</v>
      </c>
      <c r="C313" s="1" t="n">
        <v>46130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25644-2025</t>
        </is>
      </c>
      <c r="B314" s="1" t="n">
        <v>45803</v>
      </c>
      <c r="C314" s="1" t="n">
        <v>46130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26320-2025</t>
        </is>
      </c>
      <c r="B315" s="1" t="n">
        <v>45805.65954861111</v>
      </c>
      <c r="C315" s="1" t="n">
        <v>46130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44880-2024</t>
        </is>
      </c>
      <c r="B316" s="1" t="n">
        <v>45575.34820601852</v>
      </c>
      <c r="C316" s="1" t="n">
        <v>46130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36338-2025</t>
        </is>
      </c>
      <c r="B317" s="1" t="n">
        <v>45868.4570949074</v>
      </c>
      <c r="C317" s="1" t="n">
        <v>46130</v>
      </c>
      <c r="D317" t="inlineStr">
        <is>
          <t>DALARNAS LÄN</t>
        </is>
      </c>
      <c r="E317" t="inlineStr">
        <is>
          <t>LUDVIKA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52832-2025</t>
        </is>
      </c>
      <c r="B318" s="1" t="n">
        <v>45957</v>
      </c>
      <c r="C318" s="1" t="n">
        <v>46130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26150-2025</t>
        </is>
      </c>
      <c r="B319" s="1" t="n">
        <v>45805</v>
      </c>
      <c r="C319" s="1" t="n">
        <v>46130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52838-2025</t>
        </is>
      </c>
      <c r="B320" s="1" t="n">
        <v>45957</v>
      </c>
      <c r="C320" s="1" t="n">
        <v>46130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42996-2025</t>
        </is>
      </c>
      <c r="B321" s="1" t="n">
        <v>45909.45607638889</v>
      </c>
      <c r="C321" s="1" t="n">
        <v>46130</v>
      </c>
      <c r="D321" t="inlineStr">
        <is>
          <t>DALARNAS LÄN</t>
        </is>
      </c>
      <c r="E321" t="inlineStr">
        <is>
          <t>LUDVIKA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43253-2025</t>
        </is>
      </c>
      <c r="B322" s="1" t="n">
        <v>45910</v>
      </c>
      <c r="C322" s="1" t="n">
        <v>46130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8162-2024</t>
        </is>
      </c>
      <c r="B323" s="1" t="n">
        <v>45349</v>
      </c>
      <c r="C323" s="1" t="n">
        <v>46130</v>
      </c>
      <c r="D323" t="inlineStr">
        <is>
          <t>DALARNAS LÄN</t>
        </is>
      </c>
      <c r="E323" t="inlineStr">
        <is>
          <t>LUDVIKA</t>
        </is>
      </c>
      <c r="F323" t="inlineStr">
        <is>
          <t>Allmännings- och besparingsskogar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HYPERLINK("https://klasma.github.io/Logging_2085/knärot/A 8162-2024 karta knärot.png", "A 8162-2024")</f>
        <v/>
      </c>
      <c r="V323">
        <f>HYPERLINK("https://klasma.github.io/Logging_2085/klagomål/A 8162-2024 FSC-klagomål.docx", "A 8162-2024")</f>
        <v/>
      </c>
      <c r="W323">
        <f>HYPERLINK("https://klasma.github.io/Logging_2085/klagomålsmail/A 8162-2024 FSC-klagomål mail.docx", "A 8162-2024")</f>
        <v/>
      </c>
      <c r="X323">
        <f>HYPERLINK("https://klasma.github.io/Logging_2085/tillsyn/A 8162-2024 tillsynsbegäran.docx", "A 8162-2024")</f>
        <v/>
      </c>
      <c r="Y323">
        <f>HYPERLINK("https://klasma.github.io/Logging_2085/tillsynsmail/A 8162-2024 tillsynsbegäran mail.docx", "A 8162-2024")</f>
        <v/>
      </c>
    </row>
    <row r="324" ht="15" customHeight="1">
      <c r="A324" t="inlineStr">
        <is>
          <t>A 33330-2024</t>
        </is>
      </c>
      <c r="B324" s="1" t="n">
        <v>45519</v>
      </c>
      <c r="C324" s="1" t="n">
        <v>46130</v>
      </c>
      <c r="D324" t="inlineStr">
        <is>
          <t>DALARNAS LÄN</t>
        </is>
      </c>
      <c r="E324" t="inlineStr">
        <is>
          <t>LUDVIKA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43145-2025</t>
        </is>
      </c>
      <c r="B325" s="1" t="n">
        <v>45910.3044212963</v>
      </c>
      <c r="C325" s="1" t="n">
        <v>46130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26698-2025</t>
        </is>
      </c>
      <c r="B326" s="1" t="n">
        <v>45810.44368055555</v>
      </c>
      <c r="C326" s="1" t="n">
        <v>46130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43345-2025</t>
        </is>
      </c>
      <c r="B327" s="1" t="n">
        <v>45910.86336805556</v>
      </c>
      <c r="C327" s="1" t="n">
        <v>46130</v>
      </c>
      <c r="D327" t="inlineStr">
        <is>
          <t>DALARNAS LÄN</t>
        </is>
      </c>
      <c r="E327" t="inlineStr">
        <is>
          <t>LUDVIKA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43479-2025</t>
        </is>
      </c>
      <c r="B328" s="1" t="n">
        <v>45911.49506944444</v>
      </c>
      <c r="C328" s="1" t="n">
        <v>46130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43437-2025</t>
        </is>
      </c>
      <c r="B329" s="1" t="n">
        <v>45911.43200231482</v>
      </c>
      <c r="C329" s="1" t="n">
        <v>46130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26628-2025</t>
        </is>
      </c>
      <c r="B330" s="1" t="n">
        <v>45810.34362268518</v>
      </c>
      <c r="C330" s="1" t="n">
        <v>46130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43473-2025</t>
        </is>
      </c>
      <c r="B331" s="1" t="n">
        <v>45911.48769675926</v>
      </c>
      <c r="C331" s="1" t="n">
        <v>46130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60668-2024</t>
        </is>
      </c>
      <c r="B332" s="1" t="n">
        <v>45644.45210648148</v>
      </c>
      <c r="C332" s="1" t="n">
        <v>46130</v>
      </c>
      <c r="D332" t="inlineStr">
        <is>
          <t>DALARNAS LÄN</t>
        </is>
      </c>
      <c r="E332" t="inlineStr">
        <is>
          <t>LUDVIKA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26719-2025</t>
        </is>
      </c>
      <c r="B333" s="1" t="n">
        <v>45810</v>
      </c>
      <c r="C333" s="1" t="n">
        <v>46130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26433-2025</t>
        </is>
      </c>
      <c r="B334" s="1" t="n">
        <v>45807.39702546296</v>
      </c>
      <c r="C334" s="1" t="n">
        <v>46130</v>
      </c>
      <c r="D334" t="inlineStr">
        <is>
          <t>DALARNAS LÄN</t>
        </is>
      </c>
      <c r="E334" t="inlineStr">
        <is>
          <t>LUDVIKA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56680-2022</t>
        </is>
      </c>
      <c r="B335" s="1" t="n">
        <v>44893.67267361111</v>
      </c>
      <c r="C335" s="1" t="n">
        <v>46130</v>
      </c>
      <c r="D335" t="inlineStr">
        <is>
          <t>DALARNAS LÄN</t>
        </is>
      </c>
      <c r="E335" t="inlineStr">
        <is>
          <t>LUDVIKA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56685-2022</t>
        </is>
      </c>
      <c r="B336" s="1" t="n">
        <v>44893.675</v>
      </c>
      <c r="C336" s="1" t="n">
        <v>46130</v>
      </c>
      <c r="D336" t="inlineStr">
        <is>
          <t>DALARNAS LÄN</t>
        </is>
      </c>
      <c r="E336" t="inlineStr">
        <is>
          <t>LUDVIKA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43449-2025</t>
        </is>
      </c>
      <c r="B337" s="1" t="n">
        <v>45911</v>
      </c>
      <c r="C337" s="1" t="n">
        <v>46130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26794-2025</t>
        </is>
      </c>
      <c r="B338" s="1" t="n">
        <v>45810.59527777778</v>
      </c>
      <c r="C338" s="1" t="n">
        <v>46130</v>
      </c>
      <c r="D338" t="inlineStr">
        <is>
          <t>DALARNAS LÄN</t>
        </is>
      </c>
      <c r="E338" t="inlineStr">
        <is>
          <t>LUDVIKA</t>
        </is>
      </c>
      <c r="F338" t="inlineStr">
        <is>
          <t>Kommuner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43348-2025</t>
        </is>
      </c>
      <c r="B339" s="1" t="n">
        <v>45910.91788194444</v>
      </c>
      <c r="C339" s="1" t="n">
        <v>46130</v>
      </c>
      <c r="D339" t="inlineStr">
        <is>
          <t>DALARNAS LÄN</t>
        </is>
      </c>
      <c r="E339" t="inlineStr">
        <is>
          <t>LUDVIKA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52440-2025</t>
        </is>
      </c>
      <c r="B340" s="1" t="n">
        <v>45954.41153935185</v>
      </c>
      <c r="C340" s="1" t="n">
        <v>46130</v>
      </c>
      <c r="D340" t="inlineStr">
        <is>
          <t>DALARNAS LÄN</t>
        </is>
      </c>
      <c r="E340" t="inlineStr">
        <is>
          <t>LUDVIKA</t>
        </is>
      </c>
      <c r="F340" t="inlineStr">
        <is>
          <t>Naturvårdsverket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43439-2025</t>
        </is>
      </c>
      <c r="B341" s="1" t="n">
        <v>45911.43902777778</v>
      </c>
      <c r="C341" s="1" t="n">
        <v>46130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53554-2025</t>
        </is>
      </c>
      <c r="B342" s="1" t="n">
        <v>45960</v>
      </c>
      <c r="C342" s="1" t="n">
        <v>46130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53548-2025</t>
        </is>
      </c>
      <c r="B343" s="1" t="n">
        <v>45960</v>
      </c>
      <c r="C343" s="1" t="n">
        <v>46130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53558-2025</t>
        </is>
      </c>
      <c r="B344" s="1" t="n">
        <v>45960</v>
      </c>
      <c r="C344" s="1" t="n">
        <v>46130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39828-2025</t>
        </is>
      </c>
      <c r="B345" s="1" t="n">
        <v>45891.55704861111</v>
      </c>
      <c r="C345" s="1" t="n">
        <v>46130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39772-2025</t>
        </is>
      </c>
      <c r="B346" s="1" t="n">
        <v>45891.45390046296</v>
      </c>
      <c r="C346" s="1" t="n">
        <v>46130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54035-2025</t>
        </is>
      </c>
      <c r="B347" s="1" t="n">
        <v>45963.40699074074</v>
      </c>
      <c r="C347" s="1" t="n">
        <v>46130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46029-2025</t>
        </is>
      </c>
      <c r="B348" s="1" t="n">
        <v>45924.44282407407</v>
      </c>
      <c r="C348" s="1" t="n">
        <v>46130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27021-2025</t>
        </is>
      </c>
      <c r="B349" s="1" t="n">
        <v>45811.57329861111</v>
      </c>
      <c r="C349" s="1" t="n">
        <v>46130</v>
      </c>
      <c r="D349" t="inlineStr">
        <is>
          <t>DALARNAS LÄN</t>
        </is>
      </c>
      <c r="E349" t="inlineStr">
        <is>
          <t>LUDVIKA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44261-2025</t>
        </is>
      </c>
      <c r="B350" s="1" t="n">
        <v>45915.99416666666</v>
      </c>
      <c r="C350" s="1" t="n">
        <v>46130</v>
      </c>
      <c r="D350" t="inlineStr">
        <is>
          <t>DALARNAS LÄN</t>
        </is>
      </c>
      <c r="E350" t="inlineStr">
        <is>
          <t>LUDVIKA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42346-2025</t>
        </is>
      </c>
      <c r="B351" s="1" t="n">
        <v>45904.75224537037</v>
      </c>
      <c r="C351" s="1" t="n">
        <v>46130</v>
      </c>
      <c r="D351" t="inlineStr">
        <is>
          <t>DALARNAS LÄN</t>
        </is>
      </c>
      <c r="E351" t="inlineStr">
        <is>
          <t>LUDVIKA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15421-2025</t>
        </is>
      </c>
      <c r="B352" s="1" t="n">
        <v>45747.46331018519</v>
      </c>
      <c r="C352" s="1" t="n">
        <v>46130</v>
      </c>
      <c r="D352" t="inlineStr">
        <is>
          <t>DALARNAS LÄN</t>
        </is>
      </c>
      <c r="E352" t="inlineStr">
        <is>
          <t>LUDVIKA</t>
        </is>
      </c>
      <c r="F352" t="inlineStr">
        <is>
          <t>Övriga Aktiebolag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54673-2025</t>
        </is>
      </c>
      <c r="B353" s="1" t="n">
        <v>45966.41693287037</v>
      </c>
      <c r="C353" s="1" t="n">
        <v>46130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26942-2025</t>
        </is>
      </c>
      <c r="B354" s="1" t="n">
        <v>45811.42434027778</v>
      </c>
      <c r="C354" s="1" t="n">
        <v>46130</v>
      </c>
      <c r="D354" t="inlineStr">
        <is>
          <t>DALARNAS LÄN</t>
        </is>
      </c>
      <c r="E354" t="inlineStr">
        <is>
          <t>LUDVIKA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43700-2024</t>
        </is>
      </c>
      <c r="B355" s="1" t="n">
        <v>45569.59005787037</v>
      </c>
      <c r="C355" s="1" t="n">
        <v>46130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54375-2025</t>
        </is>
      </c>
      <c r="B356" s="1" t="n">
        <v>45965.42407407407</v>
      </c>
      <c r="C356" s="1" t="n">
        <v>46130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54341-2025</t>
        </is>
      </c>
      <c r="B357" s="1" t="n">
        <v>45965.36070601852</v>
      </c>
      <c r="C357" s="1" t="n">
        <v>46130</v>
      </c>
      <c r="D357" t="inlineStr">
        <is>
          <t>DALARNAS LÄN</t>
        </is>
      </c>
      <c r="E357" t="inlineStr">
        <is>
          <t>LUDVIKA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55200-2025</t>
        </is>
      </c>
      <c r="B358" s="1" t="n">
        <v>45968</v>
      </c>
      <c r="C358" s="1" t="n">
        <v>46130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55211-2025</t>
        </is>
      </c>
      <c r="B359" s="1" t="n">
        <v>45968</v>
      </c>
      <c r="C359" s="1" t="n">
        <v>46130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55151-2025</t>
        </is>
      </c>
      <c r="B360" s="1" t="n">
        <v>45968</v>
      </c>
      <c r="C360" s="1" t="n">
        <v>46130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44262-2025</t>
        </is>
      </c>
      <c r="B361" s="1" t="n">
        <v>45916.0008912037</v>
      </c>
      <c r="C361" s="1" t="n">
        <v>46130</v>
      </c>
      <c r="D361" t="inlineStr">
        <is>
          <t>DALARNAS LÄN</t>
        </is>
      </c>
      <c r="E361" t="inlineStr">
        <is>
          <t>LUDVIKA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43925-2025</t>
        </is>
      </c>
      <c r="B362" s="1" t="n">
        <v>45915</v>
      </c>
      <c r="C362" s="1" t="n">
        <v>46130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51029-2024</t>
        </is>
      </c>
      <c r="B363" s="1" t="n">
        <v>45603.42096064815</v>
      </c>
      <c r="C363" s="1" t="n">
        <v>46130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27525-2025</t>
        </is>
      </c>
      <c r="B364" s="1" t="n">
        <v>45813</v>
      </c>
      <c r="C364" s="1" t="n">
        <v>46130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27532-2025</t>
        </is>
      </c>
      <c r="B365" s="1" t="n">
        <v>45813</v>
      </c>
      <c r="C365" s="1" t="n">
        <v>46130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55206-2025</t>
        </is>
      </c>
      <c r="B366" s="1" t="n">
        <v>45968</v>
      </c>
      <c r="C366" s="1" t="n">
        <v>46130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44987-2025</t>
        </is>
      </c>
      <c r="B367" s="1" t="n">
        <v>45918.65405092593</v>
      </c>
      <c r="C367" s="1" t="n">
        <v>46130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44690-2025</t>
        </is>
      </c>
      <c r="B368" s="1" t="n">
        <v>45917.59390046296</v>
      </c>
      <c r="C368" s="1" t="n">
        <v>46130</v>
      </c>
      <c r="D368" t="inlineStr">
        <is>
          <t>DALARNAS LÄN</t>
        </is>
      </c>
      <c r="E368" t="inlineStr">
        <is>
          <t>LUDVIKA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44879-2025</t>
        </is>
      </c>
      <c r="B369" s="1" t="n">
        <v>45918.47898148148</v>
      </c>
      <c r="C369" s="1" t="n">
        <v>46130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27506-2025</t>
        </is>
      </c>
      <c r="B370" s="1" t="n">
        <v>45813</v>
      </c>
      <c r="C370" s="1" t="n">
        <v>46130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27616-2025</t>
        </is>
      </c>
      <c r="B371" s="1" t="n">
        <v>45813</v>
      </c>
      <c r="C371" s="1" t="n">
        <v>46130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27448-2025</t>
        </is>
      </c>
      <c r="B372" s="1" t="n">
        <v>45813</v>
      </c>
      <c r="C372" s="1" t="n">
        <v>46130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27435-2025</t>
        </is>
      </c>
      <c r="B373" s="1" t="n">
        <v>45813</v>
      </c>
      <c r="C373" s="1" t="n">
        <v>46130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45259-2025</t>
        </is>
      </c>
      <c r="B374" s="1" t="n">
        <v>45919</v>
      </c>
      <c r="C374" s="1" t="n">
        <v>46130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55409-2025</t>
        </is>
      </c>
      <c r="B375" s="1" t="n">
        <v>45971</v>
      </c>
      <c r="C375" s="1" t="n">
        <v>46130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55422-2025</t>
        </is>
      </c>
      <c r="B376" s="1" t="n">
        <v>45971.47175925926</v>
      </c>
      <c r="C376" s="1" t="n">
        <v>46130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43539-2025</t>
        </is>
      </c>
      <c r="B377" s="1" t="n">
        <v>45911</v>
      </c>
      <c r="C377" s="1" t="n">
        <v>46130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55646-2025</t>
        </is>
      </c>
      <c r="B378" s="1" t="n">
        <v>45972</v>
      </c>
      <c r="C378" s="1" t="n">
        <v>46130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18585-2023</t>
        </is>
      </c>
      <c r="B379" s="1" t="n">
        <v>45043.39247685186</v>
      </c>
      <c r="C379" s="1" t="n">
        <v>46130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46054-2025</t>
        </is>
      </c>
      <c r="B380" s="1" t="n">
        <v>45924.46261574074</v>
      </c>
      <c r="C380" s="1" t="n">
        <v>46130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43762-2025</t>
        </is>
      </c>
      <c r="B381" s="1" t="n">
        <v>45912</v>
      </c>
      <c r="C381" s="1" t="n">
        <v>46130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56686-2022</t>
        </is>
      </c>
      <c r="B382" s="1" t="n">
        <v>44893</v>
      </c>
      <c r="C382" s="1" t="n">
        <v>46130</v>
      </c>
      <c r="D382" t="inlineStr">
        <is>
          <t>DALARNAS LÄN</t>
        </is>
      </c>
      <c r="E382" t="inlineStr">
        <is>
          <t>LUDVIKA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46040-2025</t>
        </is>
      </c>
      <c r="B383" s="1" t="n">
        <v>45924.45159722222</v>
      </c>
      <c r="C383" s="1" t="n">
        <v>46130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46024-2025</t>
        </is>
      </c>
      <c r="B384" s="1" t="n">
        <v>45924.43376157407</v>
      </c>
      <c r="C384" s="1" t="n">
        <v>46130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46045-2025</t>
        </is>
      </c>
      <c r="B385" s="1" t="n">
        <v>45924.45614583333</v>
      </c>
      <c r="C385" s="1" t="n">
        <v>46130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46108-2025</t>
        </is>
      </c>
      <c r="B386" s="1" t="n">
        <v>45924.55571759259</v>
      </c>
      <c r="C386" s="1" t="n">
        <v>46130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41616-2024</t>
        </is>
      </c>
      <c r="B387" s="1" t="n">
        <v>45560.59856481481</v>
      </c>
      <c r="C387" s="1" t="n">
        <v>46130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45791-2025</t>
        </is>
      </c>
      <c r="B388" s="1" t="n">
        <v>45923</v>
      </c>
      <c r="C388" s="1" t="n">
        <v>46130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41737-2025</t>
        </is>
      </c>
      <c r="B389" s="1" t="n">
        <v>45902</v>
      </c>
      <c r="C389" s="1" t="n">
        <v>46130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28435-2025</t>
        </is>
      </c>
      <c r="B390" s="1" t="n">
        <v>45819</v>
      </c>
      <c r="C390" s="1" t="n">
        <v>46130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45858-2025</t>
        </is>
      </c>
      <c r="B391" s="1" t="n">
        <v>45923.64064814815</v>
      </c>
      <c r="C391" s="1" t="n">
        <v>46130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55427-2025</t>
        </is>
      </c>
      <c r="B392" s="1" t="n">
        <v>45971</v>
      </c>
      <c r="C392" s="1" t="n">
        <v>46130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45649-2025</t>
        </is>
      </c>
      <c r="B393" s="1" t="n">
        <v>45923.32206018519</v>
      </c>
      <c r="C393" s="1" t="n">
        <v>46130</v>
      </c>
      <c r="D393" t="inlineStr">
        <is>
          <t>DALARNAS LÄN</t>
        </is>
      </c>
      <c r="E393" t="inlineStr">
        <is>
          <t>LUDVIKA</t>
        </is>
      </c>
      <c r="G393" t="n">
        <v>12.3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45940-2025</t>
        </is>
      </c>
      <c r="B394" s="1" t="n">
        <v>45924</v>
      </c>
      <c r="C394" s="1" t="n">
        <v>46130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46317-2025</t>
        </is>
      </c>
      <c r="B395" s="1" t="n">
        <v>45925</v>
      </c>
      <c r="C395" s="1" t="n">
        <v>46130</v>
      </c>
      <c r="D395" t="inlineStr">
        <is>
          <t>DALARNAS LÄN</t>
        </is>
      </c>
      <c r="E395" t="inlineStr">
        <is>
          <t>LUDVIKA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46598-2025</t>
        </is>
      </c>
      <c r="B396" s="1" t="n">
        <v>45926</v>
      </c>
      <c r="C396" s="1" t="n">
        <v>46130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28737-2025</t>
        </is>
      </c>
      <c r="B397" s="1" t="n">
        <v>45820.38174768518</v>
      </c>
      <c r="C397" s="1" t="n">
        <v>46130</v>
      </c>
      <c r="D397" t="inlineStr">
        <is>
          <t>DALARNAS LÄN</t>
        </is>
      </c>
      <c r="E397" t="inlineStr">
        <is>
          <t>LUDVIKA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46517-2025</t>
        </is>
      </c>
      <c r="B398" s="1" t="n">
        <v>45926</v>
      </c>
      <c r="C398" s="1" t="n">
        <v>46130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55323-2025</t>
        </is>
      </c>
      <c r="B399" s="1" t="n">
        <v>45971</v>
      </c>
      <c r="C399" s="1" t="n">
        <v>46130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25.7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21152-2023</t>
        </is>
      </c>
      <c r="B400" s="1" t="n">
        <v>45062.39581018518</v>
      </c>
      <c r="C400" s="1" t="n">
        <v>46130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46603-2025</t>
        </is>
      </c>
      <c r="B401" s="1" t="n">
        <v>45926</v>
      </c>
      <c r="C401" s="1" t="n">
        <v>46130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55372-2025</t>
        </is>
      </c>
      <c r="B402" s="1" t="n">
        <v>45971.41719907407</v>
      </c>
      <c r="C402" s="1" t="n">
        <v>46130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55499-2025</t>
        </is>
      </c>
      <c r="B403" s="1" t="n">
        <v>45971</v>
      </c>
      <c r="C403" s="1" t="n">
        <v>46130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29443-2025</t>
        </is>
      </c>
      <c r="B404" s="1" t="n">
        <v>45824.66146990741</v>
      </c>
      <c r="C404" s="1" t="n">
        <v>46130</v>
      </c>
      <c r="D404" t="inlineStr">
        <is>
          <t>DALARNAS LÄN</t>
        </is>
      </c>
      <c r="E404" t="inlineStr">
        <is>
          <t>LUDVIKA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55554-2025</t>
        </is>
      </c>
      <c r="B405" s="1" t="n">
        <v>45971</v>
      </c>
      <c r="C405" s="1" t="n">
        <v>46130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55559-2025</t>
        </is>
      </c>
      <c r="B406" s="1" t="n">
        <v>45971</v>
      </c>
      <c r="C406" s="1" t="n">
        <v>46130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55426-2025</t>
        </is>
      </c>
      <c r="B407" s="1" t="n">
        <v>45971.47452546296</v>
      </c>
      <c r="C407" s="1" t="n">
        <v>46130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55450-2025</t>
        </is>
      </c>
      <c r="B408" s="1" t="n">
        <v>45971.50697916667</v>
      </c>
      <c r="C408" s="1" t="n">
        <v>46130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46683-2025</t>
        </is>
      </c>
      <c r="B409" s="1" t="n">
        <v>45926</v>
      </c>
      <c r="C409" s="1" t="n">
        <v>46130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29966-2025</t>
        </is>
      </c>
      <c r="B410" s="1" t="n">
        <v>45826</v>
      </c>
      <c r="C410" s="1" t="n">
        <v>46130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48003-2024</t>
        </is>
      </c>
      <c r="B411" s="1" t="n">
        <v>45589.44950231481</v>
      </c>
      <c r="C411" s="1" t="n">
        <v>46130</v>
      </c>
      <c r="D411" t="inlineStr">
        <is>
          <t>DALARNAS LÄN</t>
        </is>
      </c>
      <c r="E411" t="inlineStr">
        <is>
          <t>LUDVIKA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55472-2024</t>
        </is>
      </c>
      <c r="B412" s="1" t="n">
        <v>45622.43274305556</v>
      </c>
      <c r="C412" s="1" t="n">
        <v>46130</v>
      </c>
      <c r="D412" t="inlineStr">
        <is>
          <t>DALARNAS LÄN</t>
        </is>
      </c>
      <c r="E412" t="inlineStr">
        <is>
          <t>LUDVIKA</t>
        </is>
      </c>
      <c r="F412" t="inlineStr">
        <is>
          <t>Naturvårdsverket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55485-2024</t>
        </is>
      </c>
      <c r="B413" s="1" t="n">
        <v>45622.44318287037</v>
      </c>
      <c r="C413" s="1" t="n">
        <v>46130</v>
      </c>
      <c r="D413" t="inlineStr">
        <is>
          <t>DALARNAS LÄN</t>
        </is>
      </c>
      <c r="E413" t="inlineStr">
        <is>
          <t>LUDVIKA</t>
        </is>
      </c>
      <c r="F413" t="inlineStr">
        <is>
          <t>Naturvårdsverket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29578-2025</t>
        </is>
      </c>
      <c r="B414" s="1" t="n">
        <v>45825.37844907407</v>
      </c>
      <c r="C414" s="1" t="n">
        <v>46130</v>
      </c>
      <c r="D414" t="inlineStr">
        <is>
          <t>DALARNAS LÄN</t>
        </is>
      </c>
      <c r="E414" t="inlineStr">
        <is>
          <t>LUDVIKA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29918-2025</t>
        </is>
      </c>
      <c r="B415" s="1" t="n">
        <v>45826</v>
      </c>
      <c r="C415" s="1" t="n">
        <v>46130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30288-2025</t>
        </is>
      </c>
      <c r="B416" s="1" t="n">
        <v>45827</v>
      </c>
      <c r="C416" s="1" t="n">
        <v>46130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17998-2025</t>
        </is>
      </c>
      <c r="B417" s="1" t="n">
        <v>45761</v>
      </c>
      <c r="C417" s="1" t="n">
        <v>46130</v>
      </c>
      <c r="D417" t="inlineStr">
        <is>
          <t>DALARNAS LÄN</t>
        </is>
      </c>
      <c r="E417" t="inlineStr">
        <is>
          <t>LUDVIKA</t>
        </is>
      </c>
      <c r="F417" t="inlineStr">
        <is>
          <t>Naturvårdsverket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46674-2025</t>
        </is>
      </c>
      <c r="B418" s="1" t="n">
        <v>45926</v>
      </c>
      <c r="C418" s="1" t="n">
        <v>46130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30399-2025</t>
        </is>
      </c>
      <c r="B419" s="1" t="n">
        <v>45827</v>
      </c>
      <c r="C419" s="1" t="n">
        <v>46130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30417-2025</t>
        </is>
      </c>
      <c r="B420" s="1" t="n">
        <v>45827</v>
      </c>
      <c r="C420" s="1" t="n">
        <v>46130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3170-2025</t>
        </is>
      </c>
      <c r="B421" s="1" t="n">
        <v>45679.36682870371</v>
      </c>
      <c r="C421" s="1" t="n">
        <v>46130</v>
      </c>
      <c r="D421" t="inlineStr">
        <is>
          <t>DALARNAS LÄN</t>
        </is>
      </c>
      <c r="E421" t="inlineStr">
        <is>
          <t>LUDVIKA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30324-2025</t>
        </is>
      </c>
      <c r="B422" s="1" t="n">
        <v>45827</v>
      </c>
      <c r="C422" s="1" t="n">
        <v>46130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56249-2025</t>
        </is>
      </c>
      <c r="B423" s="1" t="n">
        <v>45974</v>
      </c>
      <c r="C423" s="1" t="n">
        <v>46130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48925-2024</t>
        </is>
      </c>
      <c r="B424" s="1" t="n">
        <v>45594.37643518519</v>
      </c>
      <c r="C424" s="1" t="n">
        <v>46130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47671-2024</t>
        </is>
      </c>
      <c r="B425" s="1" t="n">
        <v>45588.39844907408</v>
      </c>
      <c r="C425" s="1" t="n">
        <v>46130</v>
      </c>
      <c r="D425" t="inlineStr">
        <is>
          <t>DALARNAS LÄN</t>
        </is>
      </c>
      <c r="E425" t="inlineStr">
        <is>
          <t>LUDVIKA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48488-2025</t>
        </is>
      </c>
      <c r="B426" s="1" t="n">
        <v>45936.36597222222</v>
      </c>
      <c r="C426" s="1" t="n">
        <v>46130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48201-2025</t>
        </is>
      </c>
      <c r="B427" s="1" t="n">
        <v>45933.48107638889</v>
      </c>
      <c r="C427" s="1" t="n">
        <v>46130</v>
      </c>
      <c r="D427" t="inlineStr">
        <is>
          <t>DALARNAS LÄN</t>
        </is>
      </c>
      <c r="E427" t="inlineStr">
        <is>
          <t>LUDVIKA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48577-2025</t>
        </is>
      </c>
      <c r="B428" s="1" t="n">
        <v>45936.45299768518</v>
      </c>
      <c r="C428" s="1" t="n">
        <v>46130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45559-2024</t>
        </is>
      </c>
      <c r="B429" s="1" t="n">
        <v>45579.35708333334</v>
      </c>
      <c r="C429" s="1" t="n">
        <v>46130</v>
      </c>
      <c r="D429" t="inlineStr">
        <is>
          <t>DALARNAS LÄN</t>
        </is>
      </c>
      <c r="E429" t="inlineStr">
        <is>
          <t>LUDVIKA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30562-2025</t>
        </is>
      </c>
      <c r="B430" s="1" t="n">
        <v>45831</v>
      </c>
      <c r="C430" s="1" t="n">
        <v>46130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56178-2025</t>
        </is>
      </c>
      <c r="B431" s="1" t="n">
        <v>45974</v>
      </c>
      <c r="C431" s="1" t="n">
        <v>46130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56002-2025</t>
        </is>
      </c>
      <c r="B432" s="1" t="n">
        <v>45973</v>
      </c>
      <c r="C432" s="1" t="n">
        <v>46130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31144-2025</t>
        </is>
      </c>
      <c r="B433" s="1" t="n">
        <v>45832</v>
      </c>
      <c r="C433" s="1" t="n">
        <v>46130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56219-2025</t>
        </is>
      </c>
      <c r="B434" s="1" t="n">
        <v>45974</v>
      </c>
      <c r="C434" s="1" t="n">
        <v>46130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55944-2025</t>
        </is>
      </c>
      <c r="B435" s="1" t="n">
        <v>45973</v>
      </c>
      <c r="C435" s="1" t="n">
        <v>46130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31001-2025</t>
        </is>
      </c>
      <c r="B436" s="1" t="n">
        <v>45832</v>
      </c>
      <c r="C436" s="1" t="n">
        <v>46130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30748-2025</t>
        </is>
      </c>
      <c r="B437" s="1" t="n">
        <v>45831.58627314815</v>
      </c>
      <c r="C437" s="1" t="n">
        <v>46130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30760-2025</t>
        </is>
      </c>
      <c r="B438" s="1" t="n">
        <v>45831.59947916667</v>
      </c>
      <c r="C438" s="1" t="n">
        <v>46130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31039-2025</t>
        </is>
      </c>
      <c r="B439" s="1" t="n">
        <v>45832</v>
      </c>
      <c r="C439" s="1" t="n">
        <v>46130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31380-2025</t>
        </is>
      </c>
      <c r="B440" s="1" t="n">
        <v>45833</v>
      </c>
      <c r="C440" s="1" t="n">
        <v>46130</v>
      </c>
      <c r="D440" t="inlineStr">
        <is>
          <t>DALARNAS LÄN</t>
        </is>
      </c>
      <c r="E440" t="inlineStr">
        <is>
          <t>LUDVIKA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48590-2025</t>
        </is>
      </c>
      <c r="B441" s="1" t="n">
        <v>45936.46136574074</v>
      </c>
      <c r="C441" s="1" t="n">
        <v>46130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13.7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31818-2025</t>
        </is>
      </c>
      <c r="B442" s="1" t="n">
        <v>45834.57716435185</v>
      </c>
      <c r="C442" s="1" t="n">
        <v>46130</v>
      </c>
      <c r="D442" t="inlineStr">
        <is>
          <t>DALARNAS LÄN</t>
        </is>
      </c>
      <c r="E442" t="inlineStr">
        <is>
          <t>LUDVIKA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48490-2025</t>
        </is>
      </c>
      <c r="B443" s="1" t="n">
        <v>45936.36644675926</v>
      </c>
      <c r="C443" s="1" t="n">
        <v>46130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32019-2025</t>
        </is>
      </c>
      <c r="B444" s="1" t="n">
        <v>45835</v>
      </c>
      <c r="C444" s="1" t="n">
        <v>46130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32224-2025</t>
        </is>
      </c>
      <c r="B445" s="1" t="n">
        <v>45835</v>
      </c>
      <c r="C445" s="1" t="n">
        <v>46130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14046-2025</t>
        </is>
      </c>
      <c r="B446" s="1" t="n">
        <v>45740.37754629629</v>
      </c>
      <c r="C446" s="1" t="n">
        <v>46130</v>
      </c>
      <c r="D446" t="inlineStr">
        <is>
          <t>DALARNAS LÄN</t>
        </is>
      </c>
      <c r="E446" t="inlineStr">
        <is>
          <t>LUDVIKA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43839-2023</t>
        </is>
      </c>
      <c r="B447" s="1" t="n">
        <v>45187.58707175926</v>
      </c>
      <c r="C447" s="1" t="n">
        <v>46130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42106-2024</t>
        </is>
      </c>
      <c r="B448" s="1" t="n">
        <v>45562.36709490741</v>
      </c>
      <c r="C448" s="1" t="n">
        <v>46130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42108-2024</t>
        </is>
      </c>
      <c r="B449" s="1" t="n">
        <v>45562.3693287037</v>
      </c>
      <c r="C449" s="1" t="n">
        <v>46130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49874-2025</t>
        </is>
      </c>
      <c r="B450" s="1" t="n">
        <v>45940</v>
      </c>
      <c r="C450" s="1" t="n">
        <v>46130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49879-2025</t>
        </is>
      </c>
      <c r="B451" s="1" t="n">
        <v>45940</v>
      </c>
      <c r="C451" s="1" t="n">
        <v>46130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49893-2025</t>
        </is>
      </c>
      <c r="B452" s="1" t="n">
        <v>45940</v>
      </c>
      <c r="C452" s="1" t="n">
        <v>46130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56030-2025</t>
        </is>
      </c>
      <c r="B453" s="1" t="n">
        <v>45973</v>
      </c>
      <c r="C453" s="1" t="n">
        <v>46130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55961-2024</t>
        </is>
      </c>
      <c r="B454" s="1" t="n">
        <v>45623.64104166667</v>
      </c>
      <c r="C454" s="1" t="n">
        <v>46130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32424-2025</t>
        </is>
      </c>
      <c r="B455" s="1" t="n">
        <v>45838</v>
      </c>
      <c r="C455" s="1" t="n">
        <v>46130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10.9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50529-2024</t>
        </is>
      </c>
      <c r="B456" s="1" t="n">
        <v>45601.56384259259</v>
      </c>
      <c r="C456" s="1" t="n">
        <v>46130</v>
      </c>
      <c r="D456" t="inlineStr">
        <is>
          <t>DALARNAS LÄN</t>
        </is>
      </c>
      <c r="E456" t="inlineStr">
        <is>
          <t>LUDVIKA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33244-2025</t>
        </is>
      </c>
      <c r="B457" s="1" t="n">
        <v>45840</v>
      </c>
      <c r="C457" s="1" t="n">
        <v>46130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33249-2025</t>
        </is>
      </c>
      <c r="B458" s="1" t="n">
        <v>45840</v>
      </c>
      <c r="C458" s="1" t="n">
        <v>46130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33063-2025</t>
        </is>
      </c>
      <c r="B459" s="1" t="n">
        <v>45840</v>
      </c>
      <c r="C459" s="1" t="n">
        <v>46130</v>
      </c>
      <c r="D459" t="inlineStr">
        <is>
          <t>DALARNAS LÄN</t>
        </is>
      </c>
      <c r="E459" t="inlineStr">
        <is>
          <t>LUDVIKA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400-2023</t>
        </is>
      </c>
      <c r="B460" s="1" t="n">
        <v>44929.61017361111</v>
      </c>
      <c r="C460" s="1" t="n">
        <v>46130</v>
      </c>
      <c r="D460" t="inlineStr">
        <is>
          <t>DALARNAS LÄN</t>
        </is>
      </c>
      <c r="E460" t="inlineStr">
        <is>
          <t>LUDVIKA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7173-2023</t>
        </is>
      </c>
      <c r="B461" s="1" t="n">
        <v>44970.50298611111</v>
      </c>
      <c r="C461" s="1" t="n">
        <v>46130</v>
      </c>
      <c r="D461" t="inlineStr">
        <is>
          <t>DALARNAS LÄN</t>
        </is>
      </c>
      <c r="E461" t="inlineStr">
        <is>
          <t>LUDVIKA</t>
        </is>
      </c>
      <c r="F461" t="inlineStr">
        <is>
          <t>Övriga Aktiebolag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55932-2025</t>
        </is>
      </c>
      <c r="B462" s="1" t="n">
        <v>45973</v>
      </c>
      <c r="C462" s="1" t="n">
        <v>46130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31478-2023</t>
        </is>
      </c>
      <c r="B463" s="1" t="n">
        <v>45114</v>
      </c>
      <c r="C463" s="1" t="n">
        <v>46130</v>
      </c>
      <c r="D463" t="inlineStr">
        <is>
          <t>DALARNAS LÄN</t>
        </is>
      </c>
      <c r="E463" t="inlineStr">
        <is>
          <t>LUDVIKA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56316-2025</t>
        </is>
      </c>
      <c r="B464" s="1" t="n">
        <v>45974</v>
      </c>
      <c r="C464" s="1" t="n">
        <v>46130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22000-2022</t>
        </is>
      </c>
      <c r="B465" s="1" t="n">
        <v>44711</v>
      </c>
      <c r="C465" s="1" t="n">
        <v>46130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5673-2023</t>
        </is>
      </c>
      <c r="B466" s="1" t="n">
        <v>44960.65702546296</v>
      </c>
      <c r="C466" s="1" t="n">
        <v>46130</v>
      </c>
      <c r="D466" t="inlineStr">
        <is>
          <t>DALARNAS LÄN</t>
        </is>
      </c>
      <c r="E466" t="inlineStr">
        <is>
          <t>LUDVIKA</t>
        </is>
      </c>
      <c r="F466" t="inlineStr">
        <is>
          <t>Naturvårdsverket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44732-2024</t>
        </is>
      </c>
      <c r="B467" s="1" t="n">
        <v>45574</v>
      </c>
      <c r="C467" s="1" t="n">
        <v>46130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50444-2025</t>
        </is>
      </c>
      <c r="B468" s="1" t="n">
        <v>45944.93016203704</v>
      </c>
      <c r="C468" s="1" t="n">
        <v>46130</v>
      </c>
      <c r="D468" t="inlineStr">
        <is>
          <t>DALARNAS LÄN</t>
        </is>
      </c>
      <c r="E468" t="inlineStr">
        <is>
          <t>LUDVIKA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56203-2024</t>
        </is>
      </c>
      <c r="B469" s="1" t="n">
        <v>45624.59535879629</v>
      </c>
      <c r="C469" s="1" t="n">
        <v>46130</v>
      </c>
      <c r="D469" t="inlineStr">
        <is>
          <t>DALARNAS LÄN</t>
        </is>
      </c>
      <c r="E469" t="inlineStr">
        <is>
          <t>LUDVIKA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51043-2024</t>
        </is>
      </c>
      <c r="B470" s="1" t="n">
        <v>45603.43526620371</v>
      </c>
      <c r="C470" s="1" t="n">
        <v>46130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57217-2024</t>
        </is>
      </c>
      <c r="B471" s="1" t="n">
        <v>45629</v>
      </c>
      <c r="C471" s="1" t="n">
        <v>46130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44534-2024</t>
        </is>
      </c>
      <c r="B472" s="1" t="n">
        <v>45574.45234953704</v>
      </c>
      <c r="C472" s="1" t="n">
        <v>46130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44537-2024</t>
        </is>
      </c>
      <c r="B473" s="1" t="n">
        <v>45574.45362268519</v>
      </c>
      <c r="C473" s="1" t="n">
        <v>46130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34070-2025</t>
        </is>
      </c>
      <c r="B474" s="1" t="n">
        <v>45845</v>
      </c>
      <c r="C474" s="1" t="n">
        <v>46130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55972-2025</t>
        </is>
      </c>
      <c r="B475" s="1" t="n">
        <v>45973.499375</v>
      </c>
      <c r="C475" s="1" t="n">
        <v>46130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55974-2025</t>
        </is>
      </c>
      <c r="B476" s="1" t="n">
        <v>45973.50497685185</v>
      </c>
      <c r="C476" s="1" t="n">
        <v>46130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53106-2024</t>
        </is>
      </c>
      <c r="B477" s="1" t="n">
        <v>45611.55626157407</v>
      </c>
      <c r="C477" s="1" t="n">
        <v>46130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56445-2024</t>
        </is>
      </c>
      <c r="B478" s="1" t="n">
        <v>45625.42575231481</v>
      </c>
      <c r="C478" s="1" t="n">
        <v>46130</v>
      </c>
      <c r="D478" t="inlineStr">
        <is>
          <t>DALARNAS LÄN</t>
        </is>
      </c>
      <c r="E478" t="inlineStr">
        <is>
          <t>LUDVIKA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34067-2025</t>
        </is>
      </c>
      <c r="B479" s="1" t="n">
        <v>45845</v>
      </c>
      <c r="C479" s="1" t="n">
        <v>46130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918-2024</t>
        </is>
      </c>
      <c r="B480" s="1" t="n">
        <v>45301</v>
      </c>
      <c r="C480" s="1" t="n">
        <v>46130</v>
      </c>
      <c r="D480" t="inlineStr">
        <is>
          <t>DALARNAS LÄN</t>
        </is>
      </c>
      <c r="E480" t="inlineStr">
        <is>
          <t>LUDVIKA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56155-2025</t>
        </is>
      </c>
      <c r="B481" s="1" t="n">
        <v>45974</v>
      </c>
      <c r="C481" s="1" t="n">
        <v>46130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6579-2023</t>
        </is>
      </c>
      <c r="B482" s="1" t="n">
        <v>44960</v>
      </c>
      <c r="C482" s="1" t="n">
        <v>46130</v>
      </c>
      <c r="D482" t="inlineStr">
        <is>
          <t>DALARNAS LÄN</t>
        </is>
      </c>
      <c r="E482" t="inlineStr">
        <is>
          <t>LUDVIKA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53104-2024</t>
        </is>
      </c>
      <c r="B483" s="1" t="n">
        <v>45611.551875</v>
      </c>
      <c r="C483" s="1" t="n">
        <v>46130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34403-2025</t>
        </is>
      </c>
      <c r="B484" s="1" t="n">
        <v>45846</v>
      </c>
      <c r="C484" s="1" t="n">
        <v>46130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31043-2024</t>
        </is>
      </c>
      <c r="B485" s="1" t="n">
        <v>45502.30283564814</v>
      </c>
      <c r="C485" s="1" t="n">
        <v>46130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33345-2024</t>
        </is>
      </c>
      <c r="B486" s="1" t="n">
        <v>45519</v>
      </c>
      <c r="C486" s="1" t="n">
        <v>46130</v>
      </c>
      <c r="D486" t="inlineStr">
        <is>
          <t>DALARNAS LÄN</t>
        </is>
      </c>
      <c r="E486" t="inlineStr">
        <is>
          <t>LUDVIKA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56650-2025</t>
        </is>
      </c>
      <c r="B487" s="1" t="n">
        <v>45975</v>
      </c>
      <c r="C487" s="1" t="n">
        <v>46130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34492-2025</t>
        </is>
      </c>
      <c r="B488" s="1" t="n">
        <v>45847</v>
      </c>
      <c r="C488" s="1" t="n">
        <v>46130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48774-2024</t>
        </is>
      </c>
      <c r="B489" s="1" t="n">
        <v>45593</v>
      </c>
      <c r="C489" s="1" t="n">
        <v>46130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34522-2025</t>
        </is>
      </c>
      <c r="B490" s="1" t="n">
        <v>45847</v>
      </c>
      <c r="C490" s="1" t="n">
        <v>46130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59448-2024</t>
        </is>
      </c>
      <c r="B491" s="1" t="n">
        <v>45638.46208333333</v>
      </c>
      <c r="C491" s="1" t="n">
        <v>46130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21145-2023</t>
        </is>
      </c>
      <c r="B492" s="1" t="n">
        <v>45062.37524305555</v>
      </c>
      <c r="C492" s="1" t="n">
        <v>46130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34860-2025</t>
        </is>
      </c>
      <c r="B493" s="1" t="n">
        <v>45849</v>
      </c>
      <c r="C493" s="1" t="n">
        <v>46130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34861-2025</t>
        </is>
      </c>
      <c r="B494" s="1" t="n">
        <v>45849</v>
      </c>
      <c r="C494" s="1" t="n">
        <v>46130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34862-2025</t>
        </is>
      </c>
      <c r="B495" s="1" t="n">
        <v>45849</v>
      </c>
      <c r="C495" s="1" t="n">
        <v>46130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34455-2024</t>
        </is>
      </c>
      <c r="B496" s="1" t="n">
        <v>45525.56513888889</v>
      </c>
      <c r="C496" s="1" t="n">
        <v>46130</v>
      </c>
      <c r="D496" t="inlineStr">
        <is>
          <t>DALARNAS LÄN</t>
        </is>
      </c>
      <c r="E496" t="inlineStr">
        <is>
          <t>LUDVIKA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56641-2025</t>
        </is>
      </c>
      <c r="B497" s="1" t="n">
        <v>45975</v>
      </c>
      <c r="C497" s="1" t="n">
        <v>46130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45443-2024</t>
        </is>
      </c>
      <c r="B498" s="1" t="n">
        <v>45576</v>
      </c>
      <c r="C498" s="1" t="n">
        <v>46130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29654-2025</t>
        </is>
      </c>
      <c r="B499" s="1" t="n">
        <v>45825</v>
      </c>
      <c r="C499" s="1" t="n">
        <v>46130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35544-2025</t>
        </is>
      </c>
      <c r="B500" s="1" t="n">
        <v>45856</v>
      </c>
      <c r="C500" s="1" t="n">
        <v>46130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26823-2025</t>
        </is>
      </c>
      <c r="B501" s="1" t="n">
        <v>45810</v>
      </c>
      <c r="C501" s="1" t="n">
        <v>46130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49060-2023</t>
        </is>
      </c>
      <c r="B502" s="1" t="n">
        <v>45210</v>
      </c>
      <c r="C502" s="1" t="n">
        <v>46130</v>
      </c>
      <c r="D502" t="inlineStr">
        <is>
          <t>DALARNAS LÄN</t>
        </is>
      </c>
      <c r="E502" t="inlineStr">
        <is>
          <t>LUDVIKA</t>
        </is>
      </c>
      <c r="F502" t="inlineStr">
        <is>
          <t>Naturvårdsverket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54096-2024</t>
        </is>
      </c>
      <c r="B503" s="1" t="n">
        <v>45616.51402777778</v>
      </c>
      <c r="C503" s="1" t="n">
        <v>46130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32329-2024</t>
        </is>
      </c>
      <c r="B504" s="1" t="n">
        <v>45512</v>
      </c>
      <c r="C504" s="1" t="n">
        <v>46130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35876-2025</t>
        </is>
      </c>
      <c r="B505" s="1" t="n">
        <v>45862</v>
      </c>
      <c r="C505" s="1" t="n">
        <v>46130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57435-2025</t>
        </is>
      </c>
      <c r="B506" s="1" t="n">
        <v>45980</v>
      </c>
      <c r="C506" s="1" t="n">
        <v>46130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31010-2025</t>
        </is>
      </c>
      <c r="B507" s="1" t="n">
        <v>45832</v>
      </c>
      <c r="C507" s="1" t="n">
        <v>46130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31050-2025</t>
        </is>
      </c>
      <c r="B508" s="1" t="n">
        <v>45832</v>
      </c>
      <c r="C508" s="1" t="n">
        <v>46130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33001-2025</t>
        </is>
      </c>
      <c r="B509" s="1" t="n">
        <v>45840</v>
      </c>
      <c r="C509" s="1" t="n">
        <v>46130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31057-2025</t>
        </is>
      </c>
      <c r="B510" s="1" t="n">
        <v>45832</v>
      </c>
      <c r="C510" s="1" t="n">
        <v>46130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33122-2025</t>
        </is>
      </c>
      <c r="B511" s="1" t="n">
        <v>45840</v>
      </c>
      <c r="C511" s="1" t="n">
        <v>46130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33127-2025</t>
        </is>
      </c>
      <c r="B512" s="1" t="n">
        <v>45840</v>
      </c>
      <c r="C512" s="1" t="n">
        <v>46130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58072-2024</t>
        </is>
      </c>
      <c r="B513" s="1" t="n">
        <v>45632.01575231482</v>
      </c>
      <c r="C513" s="1" t="n">
        <v>46130</v>
      </c>
      <c r="D513" t="inlineStr">
        <is>
          <t>DALARNAS LÄN</t>
        </is>
      </c>
      <c r="E513" t="inlineStr">
        <is>
          <t>LUDVIKA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35957-2025</t>
        </is>
      </c>
      <c r="B514" s="1" t="n">
        <v>45863</v>
      </c>
      <c r="C514" s="1" t="n">
        <v>46130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58090-2024</t>
        </is>
      </c>
      <c r="B515" s="1" t="n">
        <v>45632.35070601852</v>
      </c>
      <c r="C515" s="1" t="n">
        <v>46130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35958-2025</t>
        </is>
      </c>
      <c r="B516" s="1" t="n">
        <v>45863</v>
      </c>
      <c r="C516" s="1" t="n">
        <v>46130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35962-2025</t>
        </is>
      </c>
      <c r="B517" s="1" t="n">
        <v>45863</v>
      </c>
      <c r="C517" s="1" t="n">
        <v>46130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59347-2024</t>
        </is>
      </c>
      <c r="B518" s="1" t="n">
        <v>45638.00060185185</v>
      </c>
      <c r="C518" s="1" t="n">
        <v>46130</v>
      </c>
      <c r="D518" t="inlineStr">
        <is>
          <t>DALARNAS LÄN</t>
        </is>
      </c>
      <c r="E518" t="inlineStr">
        <is>
          <t>LUDVIKA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60843-2024</t>
        </is>
      </c>
      <c r="B519" s="1" t="n">
        <v>45644.65412037037</v>
      </c>
      <c r="C519" s="1" t="n">
        <v>46130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34823-2025</t>
        </is>
      </c>
      <c r="B520" s="1" t="n">
        <v>45849</v>
      </c>
      <c r="C520" s="1" t="n">
        <v>46130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43055-2024</t>
        </is>
      </c>
      <c r="B521" s="1" t="n">
        <v>45567.45354166667</v>
      </c>
      <c r="C521" s="1" t="n">
        <v>46130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43240-2024</t>
        </is>
      </c>
      <c r="B522" s="1" t="n">
        <v>45568.00373842593</v>
      </c>
      <c r="C522" s="1" t="n">
        <v>46130</v>
      </c>
      <c r="D522" t="inlineStr">
        <is>
          <t>DALARNAS LÄN</t>
        </is>
      </c>
      <c r="E522" t="inlineStr">
        <is>
          <t>LUDVIKA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17677-2022</t>
        </is>
      </c>
      <c r="B523" s="1" t="n">
        <v>44680</v>
      </c>
      <c r="C523" s="1" t="n">
        <v>46130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36436-2025</t>
        </is>
      </c>
      <c r="B524" s="1" t="n">
        <v>45869</v>
      </c>
      <c r="C524" s="1" t="n">
        <v>46130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35708-2025</t>
        </is>
      </c>
      <c r="B525" s="1" t="n">
        <v>45860</v>
      </c>
      <c r="C525" s="1" t="n">
        <v>46130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57832-2025</t>
        </is>
      </c>
      <c r="B526" s="1" t="n">
        <v>45981</v>
      </c>
      <c r="C526" s="1" t="n">
        <v>46130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47940-2023</t>
        </is>
      </c>
      <c r="B527" s="1" t="n">
        <v>45204</v>
      </c>
      <c r="C527" s="1" t="n">
        <v>46130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36435-2025</t>
        </is>
      </c>
      <c r="B528" s="1" t="n">
        <v>45869</v>
      </c>
      <c r="C528" s="1" t="n">
        <v>46130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36437-2025</t>
        </is>
      </c>
      <c r="B529" s="1" t="n">
        <v>45869</v>
      </c>
      <c r="C529" s="1" t="n">
        <v>46130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36523-2025</t>
        </is>
      </c>
      <c r="B530" s="1" t="n">
        <v>45869</v>
      </c>
      <c r="C530" s="1" t="n">
        <v>46130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6151-2024</t>
        </is>
      </c>
      <c r="B531" s="1" t="n">
        <v>45337</v>
      </c>
      <c r="C531" s="1" t="n">
        <v>46130</v>
      </c>
      <c r="D531" t="inlineStr">
        <is>
          <t>DALARNAS LÄN</t>
        </is>
      </c>
      <c r="E531" t="inlineStr">
        <is>
          <t>LUDVIKA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57870-2025</t>
        </is>
      </c>
      <c r="B532" s="1" t="n">
        <v>45981</v>
      </c>
      <c r="C532" s="1" t="n">
        <v>46130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18187-2025</t>
        </is>
      </c>
      <c r="B533" s="1" t="n">
        <v>45761.66826388889</v>
      </c>
      <c r="C533" s="1" t="n">
        <v>46130</v>
      </c>
      <c r="D533" t="inlineStr">
        <is>
          <t>DALARNAS LÄN</t>
        </is>
      </c>
      <c r="E533" t="inlineStr">
        <is>
          <t>LUDVIKA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25273-2022</t>
        </is>
      </c>
      <c r="B534" s="1" t="n">
        <v>44729.99359953704</v>
      </c>
      <c r="C534" s="1" t="n">
        <v>46130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37121-2025</t>
        </is>
      </c>
      <c r="B535" s="1" t="n">
        <v>45875.51950231481</v>
      </c>
      <c r="C535" s="1" t="n">
        <v>46130</v>
      </c>
      <c r="D535" t="inlineStr">
        <is>
          <t>DALARNAS LÄN</t>
        </is>
      </c>
      <c r="E535" t="inlineStr">
        <is>
          <t>LUDVIKA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37129-2025</t>
        </is>
      </c>
      <c r="B536" s="1" t="n">
        <v>45875.54314814815</v>
      </c>
      <c r="C536" s="1" t="n">
        <v>46130</v>
      </c>
      <c r="D536" t="inlineStr">
        <is>
          <t>DALARNAS LÄN</t>
        </is>
      </c>
      <c r="E536" t="inlineStr">
        <is>
          <t>LUDVIKA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31550-2021</t>
        </is>
      </c>
      <c r="B537" s="1" t="n">
        <v>44369</v>
      </c>
      <c r="C537" s="1" t="n">
        <v>46130</v>
      </c>
      <c r="D537" t="inlineStr">
        <is>
          <t>DALARNAS LÄN</t>
        </is>
      </c>
      <c r="E537" t="inlineStr">
        <is>
          <t>LUDVIKA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58513-2025</t>
        </is>
      </c>
      <c r="B538" s="1" t="n">
        <v>45985</v>
      </c>
      <c r="C538" s="1" t="n">
        <v>46130</v>
      </c>
      <c r="D538" t="inlineStr">
        <is>
          <t>DALARNAS LÄN</t>
        </is>
      </c>
      <c r="E538" t="inlineStr">
        <is>
          <t>LUDVIKA</t>
        </is>
      </c>
      <c r="F538" t="inlineStr">
        <is>
          <t>Övriga Aktiebolag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34868-2025</t>
        </is>
      </c>
      <c r="B539" s="1" t="n">
        <v>45849</v>
      </c>
      <c r="C539" s="1" t="n">
        <v>46130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2838-2022</t>
        </is>
      </c>
      <c r="B540" s="1" t="n">
        <v>44581</v>
      </c>
      <c r="C540" s="1" t="n">
        <v>46130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38921-2025</t>
        </is>
      </c>
      <c r="B541" s="1" t="n">
        <v>45887.62774305556</v>
      </c>
      <c r="C541" s="1" t="n">
        <v>46130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39833-2025</t>
        </is>
      </c>
      <c r="B542" s="1" t="n">
        <v>45891.56180555555</v>
      </c>
      <c r="C542" s="1" t="n">
        <v>46130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47086-2025</t>
        </is>
      </c>
      <c r="B543" s="1" t="n">
        <v>45929.6437962963</v>
      </c>
      <c r="C543" s="1" t="n">
        <v>46130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47032-2025</t>
        </is>
      </c>
      <c r="B544" s="1" t="n">
        <v>45929.59041666667</v>
      </c>
      <c r="C544" s="1" t="n">
        <v>46130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59089-2025</t>
        </is>
      </c>
      <c r="B545" s="1" t="n">
        <v>45988.44615740741</v>
      </c>
      <c r="C545" s="1" t="n">
        <v>46130</v>
      </c>
      <c r="D545" t="inlineStr">
        <is>
          <t>DALARNAS LÄN</t>
        </is>
      </c>
      <c r="E545" t="inlineStr">
        <is>
          <t>LUDVIKA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HYPERLINK("https://klasma.github.io/Logging_2085/knärot/A 59089-2025 karta knärot.png", "A 59089-2025")</f>
        <v/>
      </c>
      <c r="V545">
        <f>HYPERLINK("https://klasma.github.io/Logging_2085/klagomål/A 59089-2025 FSC-klagomål.docx", "A 59089-2025")</f>
        <v/>
      </c>
      <c r="W545">
        <f>HYPERLINK("https://klasma.github.io/Logging_2085/klagomålsmail/A 59089-2025 FSC-klagomål mail.docx", "A 59089-2025")</f>
        <v/>
      </c>
      <c r="X545">
        <f>HYPERLINK("https://klasma.github.io/Logging_2085/tillsyn/A 59089-2025 tillsynsbegäran.docx", "A 59089-2025")</f>
        <v/>
      </c>
      <c r="Y545">
        <f>HYPERLINK("https://klasma.github.io/Logging_2085/tillsynsmail/A 59089-2025 tillsynsbegäran mail.docx", "A 59089-2025")</f>
        <v/>
      </c>
    </row>
    <row r="546" ht="15" customHeight="1">
      <c r="A546" t="inlineStr">
        <is>
          <t>A 59171-2025</t>
        </is>
      </c>
      <c r="B546" s="1" t="n">
        <v>45988</v>
      </c>
      <c r="C546" s="1" t="n">
        <v>46130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59176-2025</t>
        </is>
      </c>
      <c r="B547" s="1" t="n">
        <v>45988</v>
      </c>
      <c r="C547" s="1" t="n">
        <v>46130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40142-2022</t>
        </is>
      </c>
      <c r="B548" s="1" t="n">
        <v>44820.5415162037</v>
      </c>
      <c r="C548" s="1" t="n">
        <v>46130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40151-2022</t>
        </is>
      </c>
      <c r="B549" s="1" t="n">
        <v>44820.55396990741</v>
      </c>
      <c r="C549" s="1" t="n">
        <v>46130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42985-2025</t>
        </is>
      </c>
      <c r="B550" s="1" t="n">
        <v>45909.44322916667</v>
      </c>
      <c r="C550" s="1" t="n">
        <v>46130</v>
      </c>
      <c r="D550" t="inlineStr">
        <is>
          <t>DALARNAS LÄN</t>
        </is>
      </c>
      <c r="E550" t="inlineStr">
        <is>
          <t>LUDVIKA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34875-2025</t>
        </is>
      </c>
      <c r="B551" s="1" t="n">
        <v>45849</v>
      </c>
      <c r="C551" s="1" t="n">
        <v>46130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59186-2025</t>
        </is>
      </c>
      <c r="B552" s="1" t="n">
        <v>45988</v>
      </c>
      <c r="C552" s="1" t="n">
        <v>46130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27528-2025</t>
        </is>
      </c>
      <c r="B553" s="1" t="n">
        <v>45813</v>
      </c>
      <c r="C553" s="1" t="n">
        <v>46130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59435-2025</t>
        </is>
      </c>
      <c r="B554" s="1" t="n">
        <v>45989</v>
      </c>
      <c r="C554" s="1" t="n">
        <v>46130</v>
      </c>
      <c r="D554" t="inlineStr">
        <is>
          <t>DALARNAS LÄN</t>
        </is>
      </c>
      <c r="E554" t="inlineStr">
        <is>
          <t>LUDVIKA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59518-2025</t>
        </is>
      </c>
      <c r="B555" s="1" t="n">
        <v>45989</v>
      </c>
      <c r="C555" s="1" t="n">
        <v>46130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59444-2025</t>
        </is>
      </c>
      <c r="B556" s="1" t="n">
        <v>45989</v>
      </c>
      <c r="C556" s="1" t="n">
        <v>46130</v>
      </c>
      <c r="D556" t="inlineStr">
        <is>
          <t>DALARNAS LÄN</t>
        </is>
      </c>
      <c r="E556" t="inlineStr">
        <is>
          <t>LUDVIKA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59530-2025</t>
        </is>
      </c>
      <c r="B557" s="1" t="n">
        <v>45989</v>
      </c>
      <c r="C557" s="1" t="n">
        <v>46130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59439-2025</t>
        </is>
      </c>
      <c r="B558" s="1" t="n">
        <v>45989</v>
      </c>
      <c r="C558" s="1" t="n">
        <v>46130</v>
      </c>
      <c r="D558" t="inlineStr">
        <is>
          <t>DALARNAS LÄN</t>
        </is>
      </c>
      <c r="E558" t="inlineStr">
        <is>
          <t>LUDVIKA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59528-2025</t>
        </is>
      </c>
      <c r="B559" s="1" t="n">
        <v>45989</v>
      </c>
      <c r="C559" s="1" t="n">
        <v>46130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4544-2025</t>
        </is>
      </c>
      <c r="B560" s="1" t="n">
        <v>45687.39811342592</v>
      </c>
      <c r="C560" s="1" t="n">
        <v>46130</v>
      </c>
      <c r="D560" t="inlineStr">
        <is>
          <t>DALARNAS LÄN</t>
        </is>
      </c>
      <c r="E560" t="inlineStr">
        <is>
          <t>LUDVIKA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60005-2025</t>
        </is>
      </c>
      <c r="B561" s="1" t="n">
        <v>45993</v>
      </c>
      <c r="C561" s="1" t="n">
        <v>46130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18421-2025</t>
        </is>
      </c>
      <c r="B562" s="1" t="n">
        <v>45762.61923611111</v>
      </c>
      <c r="C562" s="1" t="n">
        <v>46130</v>
      </c>
      <c r="D562" t="inlineStr">
        <is>
          <t>DALARNAS LÄN</t>
        </is>
      </c>
      <c r="E562" t="inlineStr">
        <is>
          <t>LUDVIKA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30502-2021</t>
        </is>
      </c>
      <c r="B563" s="1" t="n">
        <v>44364.63512731482</v>
      </c>
      <c r="C563" s="1" t="n">
        <v>46130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60002-2025</t>
        </is>
      </c>
      <c r="B564" s="1" t="n">
        <v>45993</v>
      </c>
      <c r="C564" s="1" t="n">
        <v>46130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60454-2025</t>
        </is>
      </c>
      <c r="B565" s="1" t="n">
        <v>45995.51628472222</v>
      </c>
      <c r="C565" s="1" t="n">
        <v>46130</v>
      </c>
      <c r="D565" t="inlineStr">
        <is>
          <t>DALARNAS LÄN</t>
        </is>
      </c>
      <c r="E565" t="inlineStr">
        <is>
          <t>LUDVIKA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60452-2025</t>
        </is>
      </c>
      <c r="B566" s="1" t="n">
        <v>45995.50630787037</v>
      </c>
      <c r="C566" s="1" t="n">
        <v>46130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60455-2025</t>
        </is>
      </c>
      <c r="B567" s="1" t="n">
        <v>45995.51954861111</v>
      </c>
      <c r="C567" s="1" t="n">
        <v>46130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19226-2025</t>
        </is>
      </c>
      <c r="B568" s="1" t="n">
        <v>45769</v>
      </c>
      <c r="C568" s="1" t="n">
        <v>46130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19071-2025</t>
        </is>
      </c>
      <c r="B569" s="1" t="n">
        <v>45765.67115740741</v>
      </c>
      <c r="C569" s="1" t="n">
        <v>46130</v>
      </c>
      <c r="D569" t="inlineStr">
        <is>
          <t>DALARNAS LÄN</t>
        </is>
      </c>
      <c r="E569" t="inlineStr">
        <is>
          <t>LUDVIKA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4173-2025</t>
        </is>
      </c>
      <c r="B570" s="1" t="n">
        <v>45685.42758101852</v>
      </c>
      <c r="C570" s="1" t="n">
        <v>46130</v>
      </c>
      <c r="D570" t="inlineStr">
        <is>
          <t>DALARNAS LÄN</t>
        </is>
      </c>
      <c r="E570" t="inlineStr">
        <is>
          <t>LUDVIKA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61621-2022</t>
        </is>
      </c>
      <c r="B571" s="1" t="n">
        <v>44916.67578703703</v>
      </c>
      <c r="C571" s="1" t="n">
        <v>46130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61502-2025</t>
        </is>
      </c>
      <c r="B572" s="1" t="n">
        <v>46001.66116898148</v>
      </c>
      <c r="C572" s="1" t="n">
        <v>46130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61505-2025</t>
        </is>
      </c>
      <c r="B573" s="1" t="n">
        <v>46001.66863425926</v>
      </c>
      <c r="C573" s="1" t="n">
        <v>46130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61473-2025</t>
        </is>
      </c>
      <c r="B574" s="1" t="n">
        <v>46001.61622685185</v>
      </c>
      <c r="C574" s="1" t="n">
        <v>46130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30844-2024</t>
        </is>
      </c>
      <c r="B575" s="1" t="n">
        <v>45497</v>
      </c>
      <c r="C575" s="1" t="n">
        <v>46130</v>
      </c>
      <c r="D575" t="inlineStr">
        <is>
          <t>DALARNAS LÄN</t>
        </is>
      </c>
      <c r="E575" t="inlineStr">
        <is>
          <t>LUDVIKA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43115-2021</t>
        </is>
      </c>
      <c r="B576" s="1" t="n">
        <v>44431.63481481482</v>
      </c>
      <c r="C576" s="1" t="n">
        <v>46130</v>
      </c>
      <c r="D576" t="inlineStr">
        <is>
          <t>DALARNAS LÄN</t>
        </is>
      </c>
      <c r="E576" t="inlineStr">
        <is>
          <t>LUDVIKA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29535-2023</t>
        </is>
      </c>
      <c r="B577" s="1" t="n">
        <v>45106</v>
      </c>
      <c r="C577" s="1" t="n">
        <v>46130</v>
      </c>
      <c r="D577" t="inlineStr">
        <is>
          <t>DALARNAS LÄN</t>
        </is>
      </c>
      <c r="E577" t="inlineStr">
        <is>
          <t>LUDVIKA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62561-2025</t>
        </is>
      </c>
      <c r="B578" s="1" t="n">
        <v>46007.69107638889</v>
      </c>
      <c r="C578" s="1" t="n">
        <v>46130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62704-2025</t>
        </is>
      </c>
      <c r="B579" s="1" t="n">
        <v>46008</v>
      </c>
      <c r="C579" s="1" t="n">
        <v>46130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62367-2025</t>
        </is>
      </c>
      <c r="B580" s="1" t="n">
        <v>46007</v>
      </c>
      <c r="C580" s="1" t="n">
        <v>46130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62842-2025</t>
        </is>
      </c>
      <c r="B581" s="1" t="n">
        <v>46008.69097222222</v>
      </c>
      <c r="C581" s="1" t="n">
        <v>46130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62824-2025</t>
        </is>
      </c>
      <c r="B582" s="1" t="n">
        <v>46008</v>
      </c>
      <c r="C582" s="1" t="n">
        <v>46130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49166-2025</t>
        </is>
      </c>
      <c r="B583" s="1" t="n">
        <v>45938.36746527778</v>
      </c>
      <c r="C583" s="1" t="n">
        <v>46130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62695-2025</t>
        </is>
      </c>
      <c r="B584" s="1" t="n">
        <v>46008</v>
      </c>
      <c r="C584" s="1" t="n">
        <v>46130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62838-2025</t>
        </is>
      </c>
      <c r="B585" s="1" t="n">
        <v>46008</v>
      </c>
      <c r="C585" s="1" t="n">
        <v>46130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62688-2025</t>
        </is>
      </c>
      <c r="B586" s="1" t="n">
        <v>46008</v>
      </c>
      <c r="C586" s="1" t="n">
        <v>46130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62706-2025</t>
        </is>
      </c>
      <c r="B587" s="1" t="n">
        <v>46008</v>
      </c>
      <c r="C587" s="1" t="n">
        <v>46130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62845-2025</t>
        </is>
      </c>
      <c r="B588" s="1" t="n">
        <v>46008.69476851852</v>
      </c>
      <c r="C588" s="1" t="n">
        <v>46130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63117-2025</t>
        </is>
      </c>
      <c r="B589" s="1" t="n">
        <v>46009.77938657408</v>
      </c>
      <c r="C589" s="1" t="n">
        <v>46130</v>
      </c>
      <c r="D589" t="inlineStr">
        <is>
          <t>DALARNAS LÄN</t>
        </is>
      </c>
      <c r="E589" t="inlineStr">
        <is>
          <t>LUDVIKA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63299-2025</t>
        </is>
      </c>
      <c r="B590" s="1" t="n">
        <v>46010.60270833333</v>
      </c>
      <c r="C590" s="1" t="n">
        <v>46130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63222-2025</t>
        </is>
      </c>
      <c r="B591" s="1" t="n">
        <v>46010</v>
      </c>
      <c r="C591" s="1" t="n">
        <v>46130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16814-2024</t>
        </is>
      </c>
      <c r="B592" s="1" t="n">
        <v>45411.46208333333</v>
      </c>
      <c r="C592" s="1" t="n">
        <v>46130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63215-2025</t>
        </is>
      </c>
      <c r="B593" s="1" t="n">
        <v>46010</v>
      </c>
      <c r="C593" s="1" t="n">
        <v>46130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62930-2025</t>
        </is>
      </c>
      <c r="B594" s="1" t="n">
        <v>46009</v>
      </c>
      <c r="C594" s="1" t="n">
        <v>46130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35353-2024</t>
        </is>
      </c>
      <c r="B595" s="1" t="n">
        <v>45531.30570601852</v>
      </c>
      <c r="C595" s="1" t="n">
        <v>46130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62945-2025</t>
        </is>
      </c>
      <c r="B596" s="1" t="n">
        <v>46009.44271990741</v>
      </c>
      <c r="C596" s="1" t="n">
        <v>46130</v>
      </c>
      <c r="D596" t="inlineStr">
        <is>
          <t>DALARNAS LÄN</t>
        </is>
      </c>
      <c r="E596" t="inlineStr">
        <is>
          <t>LUDVIKA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2614-2023</t>
        </is>
      </c>
      <c r="B597" s="1" t="n">
        <v>44942</v>
      </c>
      <c r="C597" s="1" t="n">
        <v>46130</v>
      </c>
      <c r="D597" t="inlineStr">
        <is>
          <t>DALARNAS LÄN</t>
        </is>
      </c>
      <c r="E597" t="inlineStr">
        <is>
          <t>LUDVIKA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51080-2024</t>
        </is>
      </c>
      <c r="B598" s="1" t="n">
        <v>45603.4574074074</v>
      </c>
      <c r="C598" s="1" t="n">
        <v>46130</v>
      </c>
      <c r="D598" t="inlineStr">
        <is>
          <t>DALARNAS LÄN</t>
        </is>
      </c>
      <c r="E598" t="inlineStr">
        <is>
          <t>LUDVIKA</t>
        </is>
      </c>
      <c r="F598" t="inlineStr">
        <is>
          <t>Naturvårdsverket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25296-2022</t>
        </is>
      </c>
      <c r="B599" s="1" t="n">
        <v>44730.98890046297</v>
      </c>
      <c r="C599" s="1" t="n">
        <v>46130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13809-2025</t>
        </is>
      </c>
      <c r="B600" s="1" t="n">
        <v>45737.49886574074</v>
      </c>
      <c r="C600" s="1" t="n">
        <v>46130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59346-2024</t>
        </is>
      </c>
      <c r="B601" s="1" t="n">
        <v>45637.99482638889</v>
      </c>
      <c r="C601" s="1" t="n">
        <v>46130</v>
      </c>
      <c r="D601" t="inlineStr">
        <is>
          <t>DALARNAS LÄN</t>
        </is>
      </c>
      <c r="E601" t="inlineStr">
        <is>
          <t>LUDVIKA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58071-2024</t>
        </is>
      </c>
      <c r="B602" s="1" t="n">
        <v>45631.99221064815</v>
      </c>
      <c r="C602" s="1" t="n">
        <v>46130</v>
      </c>
      <c r="D602" t="inlineStr">
        <is>
          <t>DALARNAS LÄN</t>
        </is>
      </c>
      <c r="E602" t="inlineStr">
        <is>
          <t>LUDVIKA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28157-2023</t>
        </is>
      </c>
      <c r="B603" s="1" t="n">
        <v>45099.49403935186</v>
      </c>
      <c r="C603" s="1" t="n">
        <v>46130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41449-2024</t>
        </is>
      </c>
      <c r="B604" s="1" t="n">
        <v>45560.40314814815</v>
      </c>
      <c r="C604" s="1" t="n">
        <v>46130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8172-2024</t>
        </is>
      </c>
      <c r="B605" s="1" t="n">
        <v>45349</v>
      </c>
      <c r="C605" s="1" t="n">
        <v>46130</v>
      </c>
      <c r="D605" t="inlineStr">
        <is>
          <t>DALARNAS LÄN</t>
        </is>
      </c>
      <c r="E605" t="inlineStr">
        <is>
          <t>LUDVIKA</t>
        </is>
      </c>
      <c r="F605" t="inlineStr">
        <is>
          <t>Allmännings- och besparingsskogar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8175-2024</t>
        </is>
      </c>
      <c r="B606" s="1" t="n">
        <v>45349</v>
      </c>
      <c r="C606" s="1" t="n">
        <v>46130</v>
      </c>
      <c r="D606" t="inlineStr">
        <is>
          <t>DALARNAS LÄN</t>
        </is>
      </c>
      <c r="E606" t="inlineStr">
        <is>
          <t>LUDVIKA</t>
        </is>
      </c>
      <c r="F606" t="inlineStr">
        <is>
          <t>Allmännings- och besparingsskogar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61507-2023</t>
        </is>
      </c>
      <c r="B607" s="1" t="n">
        <v>45265</v>
      </c>
      <c r="C607" s="1" t="n">
        <v>46130</v>
      </c>
      <c r="D607" t="inlineStr">
        <is>
          <t>DALARNAS LÄN</t>
        </is>
      </c>
      <c r="E607" t="inlineStr">
        <is>
          <t>LUDVIKA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64100-2025</t>
        </is>
      </c>
      <c r="B608" s="1" t="n">
        <v>46021</v>
      </c>
      <c r="C608" s="1" t="n">
        <v>46130</v>
      </c>
      <c r="D608" t="inlineStr">
        <is>
          <t>DALARNAS LÄN</t>
        </is>
      </c>
      <c r="E608" t="inlineStr">
        <is>
          <t>LUDVIKA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17999-2025</t>
        </is>
      </c>
      <c r="B609" s="1" t="n">
        <v>45761</v>
      </c>
      <c r="C609" s="1" t="n">
        <v>46130</v>
      </c>
      <c r="D609" t="inlineStr">
        <is>
          <t>DALARNAS LÄN</t>
        </is>
      </c>
      <c r="E609" t="inlineStr">
        <is>
          <t>LUDVIKA</t>
        </is>
      </c>
      <c r="F609" t="inlineStr">
        <is>
          <t>Naturvårdsverket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990-2026</t>
        </is>
      </c>
      <c r="B610" s="1" t="n">
        <v>46030</v>
      </c>
      <c r="C610" s="1" t="n">
        <v>46130</v>
      </c>
      <c r="D610" t="inlineStr">
        <is>
          <t>DALARNAS LÄN</t>
        </is>
      </c>
      <c r="E610" t="inlineStr">
        <is>
          <t>LUDVIKA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33560-2023</t>
        </is>
      </c>
      <c r="B611" s="1" t="n">
        <v>45131</v>
      </c>
      <c r="C611" s="1" t="n">
        <v>46130</v>
      </c>
      <c r="D611" t="inlineStr">
        <is>
          <t>DALARNAS LÄN</t>
        </is>
      </c>
      <c r="E611" t="inlineStr">
        <is>
          <t>LUDVIKA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3687-2024</t>
        </is>
      </c>
      <c r="B612" s="1" t="n">
        <v>45321</v>
      </c>
      <c r="C612" s="1" t="n">
        <v>46130</v>
      </c>
      <c r="D612" t="inlineStr">
        <is>
          <t>DALARNAS LÄN</t>
        </is>
      </c>
      <c r="E612" t="inlineStr">
        <is>
          <t>LUDVIKA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661-2026</t>
        </is>
      </c>
      <c r="B613" s="1" t="n">
        <v>46029.58525462963</v>
      </c>
      <c r="C613" s="1" t="n">
        <v>46130</v>
      </c>
      <c r="D613" t="inlineStr">
        <is>
          <t>DALARNAS LÄN</t>
        </is>
      </c>
      <c r="E613" t="inlineStr">
        <is>
          <t>LUDVIKA</t>
        </is>
      </c>
      <c r="F613" t="inlineStr">
        <is>
          <t>Övriga Aktiebolag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65104-2023</t>
        </is>
      </c>
      <c r="B614" s="1" t="n">
        <v>45288</v>
      </c>
      <c r="C614" s="1" t="n">
        <v>46130</v>
      </c>
      <c r="D614" t="inlineStr">
        <is>
          <t>DALARNAS LÄN</t>
        </is>
      </c>
      <c r="E614" t="inlineStr">
        <is>
          <t>LUDVIKA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49951-2022</t>
        </is>
      </c>
      <c r="B615" s="1" t="n">
        <v>44865.36378472222</v>
      </c>
      <c r="C615" s="1" t="n">
        <v>46130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14986-2024</t>
        </is>
      </c>
      <c r="B616" s="1" t="n">
        <v>45399.34371527778</v>
      </c>
      <c r="C616" s="1" t="n">
        <v>46130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56119-2021</t>
        </is>
      </c>
      <c r="B617" s="1" t="n">
        <v>44477</v>
      </c>
      <c r="C617" s="1" t="n">
        <v>46130</v>
      </c>
      <c r="D617" t="inlineStr">
        <is>
          <t>DALARNAS LÄN</t>
        </is>
      </c>
      <c r="E617" t="inlineStr">
        <is>
          <t>LUDVIKA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2979-2026</t>
        </is>
      </c>
      <c r="B618" s="1" t="n">
        <v>46038.62740740741</v>
      </c>
      <c r="C618" s="1" t="n">
        <v>46130</v>
      </c>
      <c r="D618" t="inlineStr">
        <is>
          <t>DALARNAS LÄN</t>
        </is>
      </c>
      <c r="E618" t="inlineStr">
        <is>
          <t>LUDVIKA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2890-2026</t>
        </is>
      </c>
      <c r="B619" s="1" t="n">
        <v>46037</v>
      </c>
      <c r="C619" s="1" t="n">
        <v>46130</v>
      </c>
      <c r="D619" t="inlineStr">
        <is>
          <t>DALARNAS LÄN</t>
        </is>
      </c>
      <c r="E619" t="inlineStr">
        <is>
          <t>LUDVIKA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52351-2024</t>
        </is>
      </c>
      <c r="B620" s="1" t="n">
        <v>45609</v>
      </c>
      <c r="C620" s="1" t="n">
        <v>46130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43694-2024</t>
        </is>
      </c>
      <c r="B621" s="1" t="n">
        <v>45569</v>
      </c>
      <c r="C621" s="1" t="n">
        <v>46130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3602-2026</t>
        </is>
      </c>
      <c r="B622" s="1" t="n">
        <v>46042</v>
      </c>
      <c r="C622" s="1" t="n">
        <v>46130</v>
      </c>
      <c r="D622" t="inlineStr">
        <is>
          <t>DALARNAS LÄN</t>
        </is>
      </c>
      <c r="E622" t="inlineStr">
        <is>
          <t>LUDVIKA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61799-2025</t>
        </is>
      </c>
      <c r="B623" s="1" t="n">
        <v>46002</v>
      </c>
      <c r="C623" s="1" t="n">
        <v>46130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55633-2021</t>
        </is>
      </c>
      <c r="B624" s="1" t="n">
        <v>44476</v>
      </c>
      <c r="C624" s="1" t="n">
        <v>46130</v>
      </c>
      <c r="D624" t="inlineStr">
        <is>
          <t>DALARNAS LÄN</t>
        </is>
      </c>
      <c r="E624" t="inlineStr">
        <is>
          <t>LUDVIKA</t>
        </is>
      </c>
      <c r="F624" t="inlineStr">
        <is>
          <t>Övriga Aktiebolag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9386-2023</t>
        </is>
      </c>
      <c r="B625" s="1" t="n">
        <v>44981.40171296296</v>
      </c>
      <c r="C625" s="1" t="n">
        <v>46130</v>
      </c>
      <c r="D625" t="inlineStr">
        <is>
          <t>DALARNAS LÄN</t>
        </is>
      </c>
      <c r="E625" t="inlineStr">
        <is>
          <t>LUDVIKA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60138-2023</t>
        </is>
      </c>
      <c r="B626" s="1" t="n">
        <v>45258.49928240741</v>
      </c>
      <c r="C626" s="1" t="n">
        <v>46130</v>
      </c>
      <c r="D626" t="inlineStr">
        <is>
          <t>DALARNAS LÄN</t>
        </is>
      </c>
      <c r="E626" t="inlineStr">
        <is>
          <t>LUDVIKA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15851-2024</t>
        </is>
      </c>
      <c r="B627" s="1" t="n">
        <v>45404.89207175926</v>
      </c>
      <c r="C627" s="1" t="n">
        <v>46130</v>
      </c>
      <c r="D627" t="inlineStr">
        <is>
          <t>DALARNAS LÄN</t>
        </is>
      </c>
      <c r="E627" t="inlineStr">
        <is>
          <t>LUDVIKA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48922-2024</t>
        </is>
      </c>
      <c r="B628" s="1" t="n">
        <v>45594.37241898148</v>
      </c>
      <c r="C628" s="1" t="n">
        <v>46130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30123-2023</t>
        </is>
      </c>
      <c r="B629" s="1" t="n">
        <v>45110.48509259259</v>
      </c>
      <c r="C629" s="1" t="n">
        <v>46130</v>
      </c>
      <c r="D629" t="inlineStr">
        <is>
          <t>DALARNAS LÄN</t>
        </is>
      </c>
      <c r="E629" t="inlineStr">
        <is>
          <t>LUDVIKA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53981-2025</t>
        </is>
      </c>
      <c r="B630" s="1" t="n">
        <v>45961</v>
      </c>
      <c r="C630" s="1" t="n">
        <v>46130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9709-2026</t>
        </is>
      </c>
      <c r="B631" s="1" t="n">
        <v>46072</v>
      </c>
      <c r="C631" s="1" t="n">
        <v>46130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56790-2025</t>
        </is>
      </c>
      <c r="B632" s="1" t="n">
        <v>45978</v>
      </c>
      <c r="C632" s="1" t="n">
        <v>46130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53979-2025</t>
        </is>
      </c>
      <c r="B633" s="1" t="n">
        <v>45961</v>
      </c>
      <c r="C633" s="1" t="n">
        <v>46130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3275-2026</t>
        </is>
      </c>
      <c r="B634" s="1" t="n">
        <v>46041</v>
      </c>
      <c r="C634" s="1" t="n">
        <v>46130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70046-2021</t>
        </is>
      </c>
      <c r="B635" s="1" t="n">
        <v>44533</v>
      </c>
      <c r="C635" s="1" t="n">
        <v>46130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48760-2024</t>
        </is>
      </c>
      <c r="B636" s="1" t="n">
        <v>45593.60061342592</v>
      </c>
      <c r="C636" s="1" t="n">
        <v>46130</v>
      </c>
      <c r="D636" t="inlineStr">
        <is>
          <t>DALARNAS LÄN</t>
        </is>
      </c>
      <c r="E636" t="inlineStr">
        <is>
          <t>LUDVIKA</t>
        </is>
      </c>
      <c r="F636" t="inlineStr">
        <is>
          <t>Naturvårdsverket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4975-2026</t>
        </is>
      </c>
      <c r="B637" s="1" t="n">
        <v>46049</v>
      </c>
      <c r="C637" s="1" t="n">
        <v>46130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4170-2025</t>
        </is>
      </c>
      <c r="B638" s="1" t="n">
        <v>45685.42325231482</v>
      </c>
      <c r="C638" s="1" t="n">
        <v>46130</v>
      </c>
      <c r="D638" t="inlineStr">
        <is>
          <t>DALARNAS LÄN</t>
        </is>
      </c>
      <c r="E638" t="inlineStr">
        <is>
          <t>LUDVIKA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10973-2026</t>
        </is>
      </c>
      <c r="B639" s="1" t="n">
        <v>46079</v>
      </c>
      <c r="C639" s="1" t="n">
        <v>46130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43981-2024</t>
        </is>
      </c>
      <c r="B640" s="1" t="n">
        <v>45572.4962037037</v>
      </c>
      <c r="C640" s="1" t="n">
        <v>46130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30039-2024</t>
        </is>
      </c>
      <c r="B641" s="1" t="n">
        <v>45488</v>
      </c>
      <c r="C641" s="1" t="n">
        <v>46130</v>
      </c>
      <c r="D641" t="inlineStr">
        <is>
          <t>DALARNAS LÄN</t>
        </is>
      </c>
      <c r="E641" t="inlineStr">
        <is>
          <t>LUDVIKA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32995-2023</t>
        </is>
      </c>
      <c r="B642" s="1" t="n">
        <v>45113</v>
      </c>
      <c r="C642" s="1" t="n">
        <v>46130</v>
      </c>
      <c r="D642" t="inlineStr">
        <is>
          <t>DALARNAS LÄN</t>
        </is>
      </c>
      <c r="E642" t="inlineStr">
        <is>
          <t>LUDVIKA</t>
        </is>
      </c>
      <c r="F642" t="inlineStr">
        <is>
          <t>Kommuner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50714-2024</t>
        </is>
      </c>
      <c r="B643" s="1" t="n">
        <v>45602</v>
      </c>
      <c r="C643" s="1" t="n">
        <v>46130</v>
      </c>
      <c r="D643" t="inlineStr">
        <is>
          <t>DALARNAS LÄN</t>
        </is>
      </c>
      <c r="E643" t="inlineStr">
        <is>
          <t>LUDVIKA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32854-2023</t>
        </is>
      </c>
      <c r="B644" s="1" t="n">
        <v>45112</v>
      </c>
      <c r="C644" s="1" t="n">
        <v>46130</v>
      </c>
      <c r="D644" t="inlineStr">
        <is>
          <t>DALARNAS LÄN</t>
        </is>
      </c>
      <c r="E644" t="inlineStr">
        <is>
          <t>LUDVIKA</t>
        </is>
      </c>
      <c r="F644" t="inlineStr">
        <is>
          <t>Kommuner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48352-2023</t>
        </is>
      </c>
      <c r="B645" s="1" t="n">
        <v>45205</v>
      </c>
      <c r="C645" s="1" t="n">
        <v>46130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12.8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60788-2024</t>
        </is>
      </c>
      <c r="B646" s="1" t="n">
        <v>45644.59341435185</v>
      </c>
      <c r="C646" s="1" t="n">
        <v>46130</v>
      </c>
      <c r="D646" t="inlineStr">
        <is>
          <t>DALARNAS LÄN</t>
        </is>
      </c>
      <c r="E646" t="inlineStr">
        <is>
          <t>LUDVIKA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59667-2024</t>
        </is>
      </c>
      <c r="B647" s="1" t="n">
        <v>45639</v>
      </c>
      <c r="C647" s="1" t="n">
        <v>46130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43704-2024</t>
        </is>
      </c>
      <c r="B648" s="1" t="n">
        <v>45569.59278935185</v>
      </c>
      <c r="C648" s="1" t="n">
        <v>46130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49051-2024</t>
        </is>
      </c>
      <c r="B649" s="1" t="n">
        <v>45594.57820601852</v>
      </c>
      <c r="C649" s="1" t="n">
        <v>46130</v>
      </c>
      <c r="D649" t="inlineStr">
        <is>
          <t>DALARNAS LÄN</t>
        </is>
      </c>
      <c r="E649" t="inlineStr">
        <is>
          <t>LUDVIKA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37586-2024</t>
        </is>
      </c>
      <c r="B650" s="1" t="n">
        <v>45541.46269675926</v>
      </c>
      <c r="C650" s="1" t="n">
        <v>46130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55551-2024</t>
        </is>
      </c>
      <c r="B651" s="1" t="n">
        <v>45622.51221064815</v>
      </c>
      <c r="C651" s="1" t="n">
        <v>46130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57310-2024</t>
        </is>
      </c>
      <c r="B652" s="1" t="n">
        <v>45629.60636574074</v>
      </c>
      <c r="C652" s="1" t="n">
        <v>46130</v>
      </c>
      <c r="D652" t="inlineStr">
        <is>
          <t>DALARNAS LÄN</t>
        </is>
      </c>
      <c r="E652" t="inlineStr">
        <is>
          <t>LUDVIKA</t>
        </is>
      </c>
      <c r="F652" t="inlineStr">
        <is>
          <t>Naturvårdsverket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44520-2023</t>
        </is>
      </c>
      <c r="B653" s="1" t="n">
        <v>45189</v>
      </c>
      <c r="C653" s="1" t="n">
        <v>46130</v>
      </c>
      <c r="D653" t="inlineStr">
        <is>
          <t>DALARNAS LÄN</t>
        </is>
      </c>
      <c r="E653" t="inlineStr">
        <is>
          <t>LUDVIKA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45045-2023</t>
        </is>
      </c>
      <c r="B654" s="1" t="n">
        <v>45191.34273148148</v>
      </c>
      <c r="C654" s="1" t="n">
        <v>46130</v>
      </c>
      <c r="D654" t="inlineStr">
        <is>
          <t>DALARNAS LÄN</t>
        </is>
      </c>
      <c r="E654" t="inlineStr">
        <is>
          <t>LUDVIKA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55510-2024</t>
        </is>
      </c>
      <c r="B655" s="1" t="n">
        <v>45622.46479166667</v>
      </c>
      <c r="C655" s="1" t="n">
        <v>46130</v>
      </c>
      <c r="D655" t="inlineStr">
        <is>
          <t>DALARNAS LÄN</t>
        </is>
      </c>
      <c r="E655" t="inlineStr">
        <is>
          <t>LUDVIKA</t>
        </is>
      </c>
      <c r="F655" t="inlineStr">
        <is>
          <t>Naturvårdsverket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54154-2024</t>
        </is>
      </c>
      <c r="B656" s="1" t="n">
        <v>45616.60813657408</v>
      </c>
      <c r="C656" s="1" t="n">
        <v>46130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49045-2024</t>
        </is>
      </c>
      <c r="B657" s="1" t="n">
        <v>45594.57032407408</v>
      </c>
      <c r="C657" s="1" t="n">
        <v>46130</v>
      </c>
      <c r="D657" t="inlineStr">
        <is>
          <t>DALARNAS LÄN</t>
        </is>
      </c>
      <c r="E657" t="inlineStr">
        <is>
          <t>LUDVIKA</t>
        </is>
      </c>
      <c r="F657" t="inlineStr">
        <is>
          <t>Naturvårdsverket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46620-2023</t>
        </is>
      </c>
      <c r="B658" s="1" t="n">
        <v>45198.41046296297</v>
      </c>
      <c r="C658" s="1" t="n">
        <v>46130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7683-2026</t>
        </is>
      </c>
      <c r="B659" s="1" t="n">
        <v>46062</v>
      </c>
      <c r="C659" s="1" t="n">
        <v>46130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7714-2026</t>
        </is>
      </c>
      <c r="B660" s="1" t="n">
        <v>46062</v>
      </c>
      <c r="C660" s="1" t="n">
        <v>46130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7941-2026</t>
        </is>
      </c>
      <c r="B661" s="1" t="n">
        <v>46063</v>
      </c>
      <c r="C661" s="1" t="n">
        <v>46130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32301-2024</t>
        </is>
      </c>
      <c r="B662" s="1" t="n">
        <v>45512.44429398148</v>
      </c>
      <c r="C662" s="1" t="n">
        <v>46130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49669-2024</t>
        </is>
      </c>
      <c r="B663" s="1" t="n">
        <v>45596.65178240741</v>
      </c>
      <c r="C663" s="1" t="n">
        <v>46130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55462-2024</t>
        </is>
      </c>
      <c r="B664" s="1" t="n">
        <v>45622.42880787037</v>
      </c>
      <c r="C664" s="1" t="n">
        <v>46130</v>
      </c>
      <c r="D664" t="inlineStr">
        <is>
          <t>DALARNAS LÄN</t>
        </is>
      </c>
      <c r="E664" t="inlineStr">
        <is>
          <t>LUDVIKA</t>
        </is>
      </c>
      <c r="F664" t="inlineStr">
        <is>
          <t>Naturvårdsverket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55474-2024</t>
        </is>
      </c>
      <c r="B665" s="1" t="n">
        <v>45622.43456018518</v>
      </c>
      <c r="C665" s="1" t="n">
        <v>46130</v>
      </c>
      <c r="D665" t="inlineStr">
        <is>
          <t>DALARNAS LÄN</t>
        </is>
      </c>
      <c r="E665" t="inlineStr">
        <is>
          <t>LUDVIKA</t>
        </is>
      </c>
      <c r="F665" t="inlineStr">
        <is>
          <t>Naturvårdsverket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8728-2026</t>
        </is>
      </c>
      <c r="B666" s="1" t="n">
        <v>46066</v>
      </c>
      <c r="C666" s="1" t="n">
        <v>46130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28134-2023</t>
        </is>
      </c>
      <c r="B667" s="1" t="n">
        <v>45099.48079861111</v>
      </c>
      <c r="C667" s="1" t="n">
        <v>46130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8731-2026</t>
        </is>
      </c>
      <c r="B668" s="1" t="n">
        <v>46066</v>
      </c>
      <c r="C668" s="1" t="n">
        <v>46130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56615-2025</t>
        </is>
      </c>
      <c r="B669" s="1" t="n">
        <v>45975.59326388889</v>
      </c>
      <c r="C669" s="1" t="n">
        <v>46130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4550-2025</t>
        </is>
      </c>
      <c r="B670" s="1" t="n">
        <v>45687.40626157408</v>
      </c>
      <c r="C670" s="1" t="n">
        <v>46130</v>
      </c>
      <c r="D670" t="inlineStr">
        <is>
          <t>DALARNAS LÄN</t>
        </is>
      </c>
      <c r="E670" t="inlineStr">
        <is>
          <t>LUDVIKA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32015-2021</t>
        </is>
      </c>
      <c r="B671" s="1" t="n">
        <v>44370</v>
      </c>
      <c r="C671" s="1" t="n">
        <v>46130</v>
      </c>
      <c r="D671" t="inlineStr">
        <is>
          <t>DALARNAS LÄN</t>
        </is>
      </c>
      <c r="E671" t="inlineStr">
        <is>
          <t>LUDVIKA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39849-2023</t>
        </is>
      </c>
      <c r="B672" s="1" t="n">
        <v>45168.36769675926</v>
      </c>
      <c r="C672" s="1" t="n">
        <v>46130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52347-2024</t>
        </is>
      </c>
      <c r="B673" s="1" t="n">
        <v>45609</v>
      </c>
      <c r="C673" s="1" t="n">
        <v>46130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41495-2024</t>
        </is>
      </c>
      <c r="B674" s="1" t="n">
        <v>45560.45458333333</v>
      </c>
      <c r="C674" s="1" t="n">
        <v>46130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48589-2023</t>
        </is>
      </c>
      <c r="B675" s="1" t="n">
        <v>45208</v>
      </c>
      <c r="C675" s="1" t="n">
        <v>46130</v>
      </c>
      <c r="D675" t="inlineStr">
        <is>
          <t>DALARNAS LÄN</t>
        </is>
      </c>
      <c r="E675" t="inlineStr">
        <is>
          <t>LUDVIKA</t>
        </is>
      </c>
      <c r="F675" t="inlineStr">
        <is>
          <t>Naturvårdsverket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30813-2025</t>
        </is>
      </c>
      <c r="B676" s="1" t="n">
        <v>45831.6599537037</v>
      </c>
      <c r="C676" s="1" t="n">
        <v>46130</v>
      </c>
      <c r="D676" t="inlineStr">
        <is>
          <t>DALARNAS LÄN</t>
        </is>
      </c>
      <c r="E676" t="inlineStr">
        <is>
          <t>LUDVIKA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59356-2024</t>
        </is>
      </c>
      <c r="B677" s="1" t="n">
        <v>45638.31543981482</v>
      </c>
      <c r="C677" s="1" t="n">
        <v>46130</v>
      </c>
      <c r="D677" t="inlineStr">
        <is>
          <t>DALARNAS LÄN</t>
        </is>
      </c>
      <c r="E677" t="inlineStr">
        <is>
          <t>LUDVIKA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33673-2022</t>
        </is>
      </c>
      <c r="B678" s="1" t="n">
        <v>44789</v>
      </c>
      <c r="C678" s="1" t="n">
        <v>46130</v>
      </c>
      <c r="D678" t="inlineStr">
        <is>
          <t>DALARNAS LÄN</t>
        </is>
      </c>
      <c r="E678" t="inlineStr">
        <is>
          <t>LUDVIKA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39437-2023</t>
        </is>
      </c>
      <c r="B679" s="1" t="n">
        <v>45166.70038194444</v>
      </c>
      <c r="C679" s="1" t="n">
        <v>46130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52230-2023</t>
        </is>
      </c>
      <c r="B680" s="1" t="n">
        <v>45224</v>
      </c>
      <c r="C680" s="1" t="n">
        <v>46130</v>
      </c>
      <c r="D680" t="inlineStr">
        <is>
          <t>DALARNAS LÄN</t>
        </is>
      </c>
      <c r="E680" t="inlineStr">
        <is>
          <t>LUDVIKA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20368-2025</t>
        </is>
      </c>
      <c r="B681" s="1" t="n">
        <v>45775.41047453704</v>
      </c>
      <c r="C681" s="1" t="n">
        <v>46130</v>
      </c>
      <c r="D681" t="inlineStr">
        <is>
          <t>DALARNAS LÄN</t>
        </is>
      </c>
      <c r="E681" t="inlineStr">
        <is>
          <t>LUDVIKA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21741-2022</t>
        </is>
      </c>
      <c r="B682" s="1" t="n">
        <v>44708.380625</v>
      </c>
      <c r="C682" s="1" t="n">
        <v>46130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62368-2025</t>
        </is>
      </c>
      <c r="B683" s="1" t="n">
        <v>46007</v>
      </c>
      <c r="C683" s="1" t="n">
        <v>46130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18724-2022</t>
        </is>
      </c>
      <c r="B684" s="1" t="n">
        <v>44687.67511574074</v>
      </c>
      <c r="C684" s="1" t="n">
        <v>46130</v>
      </c>
      <c r="D684" t="inlineStr">
        <is>
          <t>DALARNAS LÄN</t>
        </is>
      </c>
      <c r="E684" t="inlineStr">
        <is>
          <t>LUDVIKA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49114-2023</t>
        </is>
      </c>
      <c r="B685" s="1" t="n">
        <v>45210</v>
      </c>
      <c r="C685" s="1" t="n">
        <v>46130</v>
      </c>
      <c r="D685" t="inlineStr">
        <is>
          <t>DALARNAS LÄN</t>
        </is>
      </c>
      <c r="E685" t="inlineStr">
        <is>
          <t>LUDVIKA</t>
        </is>
      </c>
      <c r="F685" t="inlineStr">
        <is>
          <t>Naturvårdsverket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45060-2022</t>
        </is>
      </c>
      <c r="B686" s="1" t="n">
        <v>44841.75935185186</v>
      </c>
      <c r="C686" s="1" t="n">
        <v>46130</v>
      </c>
      <c r="D686" t="inlineStr">
        <is>
          <t>DALARNAS LÄN</t>
        </is>
      </c>
      <c r="E686" t="inlineStr">
        <is>
          <t>LUDVIKA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34555-2023</t>
        </is>
      </c>
      <c r="B687" s="1" t="n">
        <v>45140.50491898148</v>
      </c>
      <c r="C687" s="1" t="n">
        <v>46130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16768-2025</t>
        </is>
      </c>
      <c r="B688" s="1" t="n">
        <v>45754</v>
      </c>
      <c r="C688" s="1" t="n">
        <v>46130</v>
      </c>
      <c r="D688" t="inlineStr">
        <is>
          <t>DALARNAS LÄN</t>
        </is>
      </c>
      <c r="E688" t="inlineStr">
        <is>
          <t>LUDVIKA</t>
        </is>
      </c>
      <c r="F688" t="inlineStr">
        <is>
          <t>Naturvårdsverket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55281-2024</t>
        </is>
      </c>
      <c r="B689" s="1" t="n">
        <v>45621.62696759259</v>
      </c>
      <c r="C689" s="1" t="n">
        <v>46130</v>
      </c>
      <c r="D689" t="inlineStr">
        <is>
          <t>DALARNAS LÄN</t>
        </is>
      </c>
      <c r="E689" t="inlineStr">
        <is>
          <t>LUDVIKA</t>
        </is>
      </c>
      <c r="F689" t="inlineStr">
        <is>
          <t>Naturvårdsverket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16748-2026</t>
        </is>
      </c>
      <c r="B690" s="1" t="n">
        <v>46113.38866898148</v>
      </c>
      <c r="C690" s="1" t="n">
        <v>46130</v>
      </c>
      <c r="D690" t="inlineStr">
        <is>
          <t>DALARNAS LÄN</t>
        </is>
      </c>
      <c r="E690" t="inlineStr">
        <is>
          <t>LUDVIKA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16843-2026</t>
        </is>
      </c>
      <c r="B691" s="1" t="n">
        <v>46113</v>
      </c>
      <c r="C691" s="1" t="n">
        <v>46130</v>
      </c>
      <c r="D691" t="inlineStr">
        <is>
          <t>DALARNAS LÄN</t>
        </is>
      </c>
      <c r="E691" t="inlineStr">
        <is>
          <t>LUDVIKA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61054-2024</t>
        </is>
      </c>
      <c r="B692" s="1" t="n">
        <v>45645</v>
      </c>
      <c r="C692" s="1" t="n">
        <v>46130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48615-2023</t>
        </is>
      </c>
      <c r="B693" s="1" t="n">
        <v>45208</v>
      </c>
      <c r="C693" s="1" t="n">
        <v>46130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56818-2023</t>
        </is>
      </c>
      <c r="B694" s="1" t="n">
        <v>45244.45287037037</v>
      </c>
      <c r="C694" s="1" t="n">
        <v>46130</v>
      </c>
      <c r="D694" t="inlineStr">
        <is>
          <t>DALARNAS LÄN</t>
        </is>
      </c>
      <c r="E694" t="inlineStr">
        <is>
          <t>LUDVIKA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10383-2026</t>
        </is>
      </c>
      <c r="B695" s="1" t="n">
        <v>46076.88342592592</v>
      </c>
      <c r="C695" s="1" t="n">
        <v>46130</v>
      </c>
      <c r="D695" t="inlineStr">
        <is>
          <t>DALARNAS LÄN</t>
        </is>
      </c>
      <c r="E695" t="inlineStr">
        <is>
          <t>LUDVIKA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37392-2023</t>
        </is>
      </c>
      <c r="B696" s="1" t="n">
        <v>45156</v>
      </c>
      <c r="C696" s="1" t="n">
        <v>46130</v>
      </c>
      <c r="D696" t="inlineStr">
        <is>
          <t>DALARNAS LÄN</t>
        </is>
      </c>
      <c r="E696" t="inlineStr">
        <is>
          <t>LUDVIKA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51208-2023</t>
        </is>
      </c>
      <c r="B697" s="1" t="n">
        <v>45219.4410300926</v>
      </c>
      <c r="C697" s="1" t="n">
        <v>46130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59206-2023</t>
        </is>
      </c>
      <c r="B698" s="1" t="n">
        <v>45253.47579861111</v>
      </c>
      <c r="C698" s="1" t="n">
        <v>46130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59351-2023</t>
        </is>
      </c>
      <c r="B699" s="1" t="n">
        <v>45253.65673611111</v>
      </c>
      <c r="C699" s="1" t="n">
        <v>46130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10381-2026</t>
        </is>
      </c>
      <c r="B700" s="1" t="n">
        <v>46076.86967592593</v>
      </c>
      <c r="C700" s="1" t="n">
        <v>46130</v>
      </c>
      <c r="D700" t="inlineStr">
        <is>
          <t>DALARNAS LÄN</t>
        </is>
      </c>
      <c r="E700" t="inlineStr">
        <is>
          <t>LUDVIKA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17245-2026</t>
        </is>
      </c>
      <c r="B701" s="1" t="n">
        <v>46119.43320601852</v>
      </c>
      <c r="C701" s="1" t="n">
        <v>46130</v>
      </c>
      <c r="D701" t="inlineStr">
        <is>
          <t>DALARNAS LÄN</t>
        </is>
      </c>
      <c r="E701" t="inlineStr">
        <is>
          <t>LUDVIKA</t>
        </is>
      </c>
      <c r="F701" t="inlineStr">
        <is>
          <t>Naturvårdsverket</t>
        </is>
      </c>
      <c r="G701" t="n">
        <v>19.8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52466-2023</t>
        </is>
      </c>
      <c r="B702" s="1" t="n">
        <v>45225.41042824074</v>
      </c>
      <c r="C702" s="1" t="n">
        <v>46130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17054-2026</t>
        </is>
      </c>
      <c r="B703" s="1" t="n">
        <v>46114</v>
      </c>
      <c r="C703" s="1" t="n">
        <v>46130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46656-2023</t>
        </is>
      </c>
      <c r="B704" s="1" t="n">
        <v>45198.46518518519</v>
      </c>
      <c r="C704" s="1" t="n">
        <v>46130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46185-2024</t>
        </is>
      </c>
      <c r="B705" s="1" t="n">
        <v>45581</v>
      </c>
      <c r="C705" s="1" t="n">
        <v>46130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48683-2023</t>
        </is>
      </c>
      <c r="B706" s="1" t="n">
        <v>45208.65275462963</v>
      </c>
      <c r="C706" s="1" t="n">
        <v>46130</v>
      </c>
      <c r="D706" t="inlineStr">
        <is>
          <t>DALARNAS LÄN</t>
        </is>
      </c>
      <c r="E706" t="inlineStr">
        <is>
          <t>LUDVIKA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57557-2023</t>
        </is>
      </c>
      <c r="B707" s="1" t="n">
        <v>45246</v>
      </c>
      <c r="C707" s="1" t="n">
        <v>46130</v>
      </c>
      <c r="D707" t="inlineStr">
        <is>
          <t>DALARNAS LÄN</t>
        </is>
      </c>
      <c r="E707" t="inlineStr">
        <is>
          <t>LUDVIKA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16807-2025</t>
        </is>
      </c>
      <c r="B708" s="1" t="n">
        <v>45754</v>
      </c>
      <c r="C708" s="1" t="n">
        <v>46130</v>
      </c>
      <c r="D708" t="inlineStr">
        <is>
          <t>DALARNAS LÄN</t>
        </is>
      </c>
      <c r="E708" t="inlineStr">
        <is>
          <t>LUDVIKA</t>
        </is>
      </c>
      <c r="F708" t="inlineStr">
        <is>
          <t>Naturvårdsverket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15128-2025</t>
        </is>
      </c>
      <c r="B709" s="1" t="n">
        <v>45744.38216435185</v>
      </c>
      <c r="C709" s="1" t="n">
        <v>46130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9725-2025</t>
        </is>
      </c>
      <c r="B710" s="1" t="n">
        <v>45716.41461805555</v>
      </c>
      <c r="C710" s="1" t="n">
        <v>46130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23101-2021</t>
        </is>
      </c>
      <c r="B711" s="1" t="n">
        <v>44330.486875</v>
      </c>
      <c r="C711" s="1" t="n">
        <v>46130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15008-2024</t>
        </is>
      </c>
      <c r="B712" s="1" t="n">
        <v>45399.42689814815</v>
      </c>
      <c r="C712" s="1" t="n">
        <v>46130</v>
      </c>
      <c r="D712" t="inlineStr">
        <is>
          <t>DALARNAS LÄN</t>
        </is>
      </c>
      <c r="E712" t="inlineStr">
        <is>
          <t>LUDVIKA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11672-2026</t>
        </is>
      </c>
      <c r="B713" s="1" t="n">
        <v>46084.55969907407</v>
      </c>
      <c r="C713" s="1" t="n">
        <v>46130</v>
      </c>
      <c r="D713" t="inlineStr">
        <is>
          <t>DALARNAS LÄN</t>
        </is>
      </c>
      <c r="E713" t="inlineStr">
        <is>
          <t>LUDVIKA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31270-2022</t>
        </is>
      </c>
      <c r="B714" s="1" t="n">
        <v>44771.61702546296</v>
      </c>
      <c r="C714" s="1" t="n">
        <v>46130</v>
      </c>
      <c r="D714" t="inlineStr">
        <is>
          <t>DALARNAS LÄN</t>
        </is>
      </c>
      <c r="E714" t="inlineStr">
        <is>
          <t>LUDVIKA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61309-2022</t>
        </is>
      </c>
      <c r="B715" s="1" t="n">
        <v>44915.64177083333</v>
      </c>
      <c r="C715" s="1" t="n">
        <v>46130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50347-2021</t>
        </is>
      </c>
      <c r="B716" s="1" t="n">
        <v>44459</v>
      </c>
      <c r="C716" s="1" t="n">
        <v>46130</v>
      </c>
      <c r="D716" t="inlineStr">
        <is>
          <t>DALARNAS LÄN</t>
        </is>
      </c>
      <c r="E716" t="inlineStr">
        <is>
          <t>LUDVIKA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48740-2022</t>
        </is>
      </c>
      <c r="B717" s="1" t="n">
        <v>44859</v>
      </c>
      <c r="C717" s="1" t="n">
        <v>46130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11821-2026</t>
        </is>
      </c>
      <c r="B718" s="1" t="n">
        <v>46085</v>
      </c>
      <c r="C718" s="1" t="n">
        <v>46130</v>
      </c>
      <c r="D718" t="inlineStr">
        <is>
          <t>DALARNAS LÄN</t>
        </is>
      </c>
      <c r="E718" t="inlineStr">
        <is>
          <t>LUDVIKA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20596-2021</t>
        </is>
      </c>
      <c r="B719" s="1" t="n">
        <v>44316</v>
      </c>
      <c r="C719" s="1" t="n">
        <v>46130</v>
      </c>
      <c r="D719" t="inlineStr">
        <is>
          <t>DALARNAS LÄN</t>
        </is>
      </c>
      <c r="E719" t="inlineStr">
        <is>
          <t>LUDVIKA</t>
        </is>
      </c>
      <c r="F719" t="inlineStr">
        <is>
          <t>Naturvårdsverket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18668-2026</t>
        </is>
      </c>
      <c r="B720" s="1" t="n">
        <v>46128.36306712963</v>
      </c>
      <c r="C720" s="1" t="n">
        <v>46130</v>
      </c>
      <c r="D720" t="inlineStr">
        <is>
          <t>DALARNAS LÄN</t>
        </is>
      </c>
      <c r="E720" t="inlineStr">
        <is>
          <t>LUDVIKA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12213-2026</t>
        </is>
      </c>
      <c r="B721" s="1" t="n">
        <v>46087</v>
      </c>
      <c r="C721" s="1" t="n">
        <v>46130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18829-2026</t>
        </is>
      </c>
      <c r="B722" s="1" t="n">
        <v>46128.85106481481</v>
      </c>
      <c r="C722" s="1" t="n">
        <v>46130</v>
      </c>
      <c r="D722" t="inlineStr">
        <is>
          <t>DALARNAS LÄN</t>
        </is>
      </c>
      <c r="E722" t="inlineStr">
        <is>
          <t>LUDVIKA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56621-2023</t>
        </is>
      </c>
      <c r="B723" s="1" t="n">
        <v>45243.68557870371</v>
      </c>
      <c r="C723" s="1" t="n">
        <v>46130</v>
      </c>
      <c r="D723" t="inlineStr">
        <is>
          <t>DALARNAS LÄN</t>
        </is>
      </c>
      <c r="E723" t="inlineStr">
        <is>
          <t>LUDVIKA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53996-2024</t>
        </is>
      </c>
      <c r="B724" s="1" t="n">
        <v>45616.35984953704</v>
      </c>
      <c r="C724" s="1" t="n">
        <v>46130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47999-2024</t>
        </is>
      </c>
      <c r="B725" s="1" t="n">
        <v>45589.44649305556</v>
      </c>
      <c r="C725" s="1" t="n">
        <v>46130</v>
      </c>
      <c r="D725" t="inlineStr">
        <is>
          <t>DALARNAS LÄN</t>
        </is>
      </c>
      <c r="E725" t="inlineStr">
        <is>
          <t>LUDVIKA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64171-2023</t>
        </is>
      </c>
      <c r="B726" s="1" t="n">
        <v>45279</v>
      </c>
      <c r="C726" s="1" t="n">
        <v>46130</v>
      </c>
      <c r="D726" t="inlineStr">
        <is>
          <t>DALARNAS LÄN</t>
        </is>
      </c>
      <c r="E726" t="inlineStr">
        <is>
          <t>LUDVIKA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57803-2023</t>
        </is>
      </c>
      <c r="B727" s="1" t="n">
        <v>45246</v>
      </c>
      <c r="C727" s="1" t="n">
        <v>46130</v>
      </c>
      <c r="D727" t="inlineStr">
        <is>
          <t>DALARNAS LÄN</t>
        </is>
      </c>
      <c r="E727" t="inlineStr">
        <is>
          <t>LUDVIKA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923-2024</t>
        </is>
      </c>
      <c r="B728" s="1" t="n">
        <v>45301</v>
      </c>
      <c r="C728" s="1" t="n">
        <v>46130</v>
      </c>
      <c r="D728" t="inlineStr">
        <is>
          <t>DALARNAS LÄN</t>
        </is>
      </c>
      <c r="E728" t="inlineStr">
        <is>
          <t>LUDVIKA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20427-2025</t>
        </is>
      </c>
      <c r="B729" s="1" t="n">
        <v>45775</v>
      </c>
      <c r="C729" s="1" t="n">
        <v>46130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50528-2024</t>
        </is>
      </c>
      <c r="B730" s="1" t="n">
        <v>45601.56344907408</v>
      </c>
      <c r="C730" s="1" t="n">
        <v>46130</v>
      </c>
      <c r="D730" t="inlineStr">
        <is>
          <t>DALARNAS LÄN</t>
        </is>
      </c>
      <c r="E730" t="inlineStr">
        <is>
          <t>LUDVIKA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53620-2022</t>
        </is>
      </c>
      <c r="B731" s="1" t="n">
        <v>44879.81773148148</v>
      </c>
      <c r="C731" s="1" t="n">
        <v>46130</v>
      </c>
      <c r="D731" t="inlineStr">
        <is>
          <t>DALARNAS LÄN</t>
        </is>
      </c>
      <c r="E731" t="inlineStr">
        <is>
          <t>LUDVIKA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7238-2023</t>
        </is>
      </c>
      <c r="B732" s="1" t="n">
        <v>44970.60710648148</v>
      </c>
      <c r="C732" s="1" t="n">
        <v>46130</v>
      </c>
      <c r="D732" t="inlineStr">
        <is>
          <t>DALARNAS LÄN</t>
        </is>
      </c>
      <c r="E732" t="inlineStr">
        <is>
          <t>LUDVIKA</t>
        </is>
      </c>
      <c r="F732" t="inlineStr">
        <is>
          <t>Övriga Aktiebolag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73703-2021</t>
        </is>
      </c>
      <c r="B733" s="1" t="n">
        <v>44552</v>
      </c>
      <c r="C733" s="1" t="n">
        <v>46130</v>
      </c>
      <c r="D733" t="inlineStr">
        <is>
          <t>DALARNAS LÄN</t>
        </is>
      </c>
      <c r="E733" t="inlineStr">
        <is>
          <t>LUDVIKA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25299-2022</t>
        </is>
      </c>
      <c r="B734" s="1" t="n">
        <v>44730.99318287037</v>
      </c>
      <c r="C734" s="1" t="n">
        <v>46130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5970-2022</t>
        </is>
      </c>
      <c r="B735" s="1" t="n">
        <v>44599</v>
      </c>
      <c r="C735" s="1" t="n">
        <v>46130</v>
      </c>
      <c r="D735" t="inlineStr">
        <is>
          <t>DALARNAS LÄN</t>
        </is>
      </c>
      <c r="E735" t="inlineStr">
        <is>
          <t>LUDVIKA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48642-2022</t>
        </is>
      </c>
      <c r="B736" s="1" t="n">
        <v>44859.42164351852</v>
      </c>
      <c r="C736" s="1" t="n">
        <v>46130</v>
      </c>
      <c r="D736" t="inlineStr">
        <is>
          <t>DALARNAS LÄN</t>
        </is>
      </c>
      <c r="E736" t="inlineStr">
        <is>
          <t>LUDVIKA</t>
        </is>
      </c>
      <c r="F736" t="inlineStr">
        <is>
          <t>Naturvårdsverket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5672-2023</t>
        </is>
      </c>
      <c r="B737" s="1" t="n">
        <v>44960.65628472222</v>
      </c>
      <c r="C737" s="1" t="n">
        <v>46130</v>
      </c>
      <c r="D737" t="inlineStr">
        <is>
          <t>DALARNAS LÄN</t>
        </is>
      </c>
      <c r="E737" t="inlineStr">
        <is>
          <t>LUDVIKA</t>
        </is>
      </c>
      <c r="F737" t="inlineStr">
        <is>
          <t>Naturvårdsverket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46074-2023</t>
        </is>
      </c>
      <c r="B738" s="1" t="n">
        <v>45196.46915509259</v>
      </c>
      <c r="C738" s="1" t="n">
        <v>46130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48288-2023</t>
        </is>
      </c>
      <c r="B739" s="1" t="n">
        <v>45205.5616087963</v>
      </c>
      <c r="C739" s="1" t="n">
        <v>46130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45309-2021</t>
        </is>
      </c>
      <c r="B740" s="1" t="n">
        <v>44439.68940972222</v>
      </c>
      <c r="C740" s="1" t="n">
        <v>46130</v>
      </c>
      <c r="D740" t="inlineStr">
        <is>
          <t>DALARNAS LÄN</t>
        </is>
      </c>
      <c r="E740" t="inlineStr">
        <is>
          <t>LUDVIKA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2603-2024</t>
        </is>
      </c>
      <c r="B741" s="1" t="n">
        <v>45313.73107638889</v>
      </c>
      <c r="C741" s="1" t="n">
        <v>46130</v>
      </c>
      <c r="D741" t="inlineStr">
        <is>
          <t>DALARNAS LÄN</t>
        </is>
      </c>
      <c r="E741" t="inlineStr">
        <is>
          <t>LUDVIKA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49035-2024</t>
        </is>
      </c>
      <c r="B742" s="1" t="n">
        <v>45594.55173611111</v>
      </c>
      <c r="C742" s="1" t="n">
        <v>46130</v>
      </c>
      <c r="D742" t="inlineStr">
        <is>
          <t>DALARNAS LÄN</t>
        </is>
      </c>
      <c r="E742" t="inlineStr">
        <is>
          <t>LUDVIKA</t>
        </is>
      </c>
      <c r="F742" t="inlineStr">
        <is>
          <t>Naturvårdsverket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49043-2024</t>
        </is>
      </c>
      <c r="B743" s="1" t="n">
        <v>45594.5666550926</v>
      </c>
      <c r="C743" s="1" t="n">
        <v>46130</v>
      </c>
      <c r="D743" t="inlineStr">
        <is>
          <t>DALARNAS LÄN</t>
        </is>
      </c>
      <c r="E743" t="inlineStr">
        <is>
          <t>LUDVIKA</t>
        </is>
      </c>
      <c r="F743" t="inlineStr">
        <is>
          <t>Naturvårdsverket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18708-2023</t>
        </is>
      </c>
      <c r="B744" s="1" t="n">
        <v>45043</v>
      </c>
      <c r="C744" s="1" t="n">
        <v>46130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23245-2021</t>
        </is>
      </c>
      <c r="B745" s="1" t="n">
        <v>44333</v>
      </c>
      <c r="C745" s="1" t="n">
        <v>46130</v>
      </c>
      <c r="D745" t="inlineStr">
        <is>
          <t>DALARNAS LÄN</t>
        </is>
      </c>
      <c r="E745" t="inlineStr">
        <is>
          <t>LUDVIKA</t>
        </is>
      </c>
      <c r="F745" t="inlineStr">
        <is>
          <t>Kyrkan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39247-2021</t>
        </is>
      </c>
      <c r="B746" s="1" t="n">
        <v>44413</v>
      </c>
      <c r="C746" s="1" t="n">
        <v>46130</v>
      </c>
      <c r="D746" t="inlineStr">
        <is>
          <t>DALARNAS LÄN</t>
        </is>
      </c>
      <c r="E746" t="inlineStr">
        <is>
          <t>LUDVIKA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59050-2022</t>
        </is>
      </c>
      <c r="B747" s="1" t="n">
        <v>44903</v>
      </c>
      <c r="C747" s="1" t="n">
        <v>46130</v>
      </c>
      <c r="D747" t="inlineStr">
        <is>
          <t>DALARNAS LÄN</t>
        </is>
      </c>
      <c r="E747" t="inlineStr">
        <is>
          <t>LUDVIKA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7243-2023</t>
        </is>
      </c>
      <c r="B748" s="1" t="n">
        <v>44970.61488425926</v>
      </c>
      <c r="C748" s="1" t="n">
        <v>46130</v>
      </c>
      <c r="D748" t="inlineStr">
        <is>
          <t>DALARNAS LÄN</t>
        </is>
      </c>
      <c r="E748" t="inlineStr">
        <is>
          <t>LUDVIKA</t>
        </is>
      </c>
      <c r="F748" t="inlineStr">
        <is>
          <t>Övriga Aktiebolag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31958-2024</t>
        </is>
      </c>
      <c r="B749" s="1" t="n">
        <v>45510.51506944445</v>
      </c>
      <c r="C749" s="1" t="n">
        <v>46130</v>
      </c>
      <c r="D749" t="inlineStr">
        <is>
          <t>DALARNAS LÄN</t>
        </is>
      </c>
      <c r="E749" t="inlineStr">
        <is>
          <t>LUDVIKA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45405-2024</t>
        </is>
      </c>
      <c r="B750" s="1" t="n">
        <v>45576</v>
      </c>
      <c r="C750" s="1" t="n">
        <v>46130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38170-2023</t>
        </is>
      </c>
      <c r="B751" s="1" t="n">
        <v>45161.42324074074</v>
      </c>
      <c r="C751" s="1" t="n">
        <v>46130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42128-2024</t>
        </is>
      </c>
      <c r="B752" s="1" t="n">
        <v>45562.40503472222</v>
      </c>
      <c r="C752" s="1" t="n">
        <v>46130</v>
      </c>
      <c r="D752" t="inlineStr">
        <is>
          <t>DALARNAS LÄN</t>
        </is>
      </c>
      <c r="E752" t="inlineStr">
        <is>
          <t>LUDVIKA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56346-2022</t>
        </is>
      </c>
      <c r="B753" s="1" t="n">
        <v>44890</v>
      </c>
      <c r="C753" s="1" t="n">
        <v>46130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11237-2024</t>
        </is>
      </c>
      <c r="B754" s="1" t="n">
        <v>45371.61341435185</v>
      </c>
      <c r="C754" s="1" t="n">
        <v>46130</v>
      </c>
      <c r="D754" t="inlineStr">
        <is>
          <t>DALARNAS LÄN</t>
        </is>
      </c>
      <c r="E754" t="inlineStr">
        <is>
          <t>LUDVIKA</t>
        </is>
      </c>
      <c r="G754" t="n">
        <v>20.8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56672-2023</t>
        </is>
      </c>
      <c r="B755" s="1" t="n">
        <v>45243.89579861111</v>
      </c>
      <c r="C755" s="1" t="n">
        <v>46130</v>
      </c>
      <c r="D755" t="inlineStr">
        <is>
          <t>DALARNAS LÄN</t>
        </is>
      </c>
      <c r="E755" t="inlineStr">
        <is>
          <t>LUDVIKA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18435-2025</t>
        </is>
      </c>
      <c r="B756" s="1" t="n">
        <v>45762</v>
      </c>
      <c r="C756" s="1" t="n">
        <v>46130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11632-2024</t>
        </is>
      </c>
      <c r="B757" s="1" t="n">
        <v>45373.4712037037</v>
      </c>
      <c r="C757" s="1" t="n">
        <v>46130</v>
      </c>
      <c r="D757" t="inlineStr">
        <is>
          <t>DALARNAS LÄN</t>
        </is>
      </c>
      <c r="E757" t="inlineStr">
        <is>
          <t>LUDVIKA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57969-2024</t>
        </is>
      </c>
      <c r="B758" s="1" t="n">
        <v>45631.60126157408</v>
      </c>
      <c r="C758" s="1" t="n">
        <v>46130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41668-2023</t>
        </is>
      </c>
      <c r="B759" s="1" t="n">
        <v>45176.30253472222</v>
      </c>
      <c r="C759" s="1" t="n">
        <v>46130</v>
      </c>
      <c r="D759" t="inlineStr">
        <is>
          <t>DALARNAS LÄN</t>
        </is>
      </c>
      <c r="E759" t="inlineStr">
        <is>
          <t>LUDVIKA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20411-2023</t>
        </is>
      </c>
      <c r="B760" s="1" t="n">
        <v>45056.64452546297</v>
      </c>
      <c r="C760" s="1" t="n">
        <v>46130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59634-2024</t>
        </is>
      </c>
      <c r="B761" s="1" t="n">
        <v>45638.99978009259</v>
      </c>
      <c r="C761" s="1" t="n">
        <v>46130</v>
      </c>
      <c r="D761" t="inlineStr">
        <is>
          <t>DALARNAS LÄN</t>
        </is>
      </c>
      <c r="E761" t="inlineStr">
        <is>
          <t>LUDVIKA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39400-2023</t>
        </is>
      </c>
      <c r="B762" s="1" t="n">
        <v>45166.66240740741</v>
      </c>
      <c r="C762" s="1" t="n">
        <v>46130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51886-2022</t>
        </is>
      </c>
      <c r="B763" s="1" t="n">
        <v>44872</v>
      </c>
      <c r="C763" s="1" t="n">
        <v>46130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30113-2023</t>
        </is>
      </c>
      <c r="B764" s="1" t="n">
        <v>45110</v>
      </c>
      <c r="C764" s="1" t="n">
        <v>46130</v>
      </c>
      <c r="D764" t="inlineStr">
        <is>
          <t>DALARNAS LÄN</t>
        </is>
      </c>
      <c r="E764" t="inlineStr">
        <is>
          <t>LUDVIKA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39519-2024</t>
        </is>
      </c>
      <c r="B765" s="1" t="n">
        <v>45551.76079861111</v>
      </c>
      <c r="C765" s="1" t="n">
        <v>46130</v>
      </c>
      <c r="D765" t="inlineStr">
        <is>
          <t>DALARNAS LÄN</t>
        </is>
      </c>
      <c r="E765" t="inlineStr">
        <is>
          <t>LUDVIKA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36294-2023</t>
        </is>
      </c>
      <c r="B766" s="1" t="n">
        <v>45152.35784722222</v>
      </c>
      <c r="C766" s="1" t="n">
        <v>46130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36297-2023</t>
        </is>
      </c>
      <c r="B767" s="1" t="n">
        <v>45152.36019675926</v>
      </c>
      <c r="C767" s="1" t="n">
        <v>46130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6975-2023</t>
        </is>
      </c>
      <c r="B768" s="1" t="n">
        <v>44967.64229166666</v>
      </c>
      <c r="C768" s="1" t="n">
        <v>46130</v>
      </c>
      <c r="D768" t="inlineStr">
        <is>
          <t>DALARNAS LÄN</t>
        </is>
      </c>
      <c r="E768" t="inlineStr">
        <is>
          <t>LUDVIKA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40125-2024</t>
        </is>
      </c>
      <c r="B769" s="1" t="n">
        <v>45554.46881944445</v>
      </c>
      <c r="C769" s="1" t="n">
        <v>46130</v>
      </c>
      <c r="D769" t="inlineStr">
        <is>
          <t>DALARNAS LÄN</t>
        </is>
      </c>
      <c r="E769" t="inlineStr">
        <is>
          <t>LUDVIKA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45402-2024</t>
        </is>
      </c>
      <c r="B770" s="1" t="n">
        <v>45576</v>
      </c>
      <c r="C770" s="1" t="n">
        <v>46130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33839-2024</t>
        </is>
      </c>
      <c r="B771" s="1" t="n">
        <v>45520.63197916667</v>
      </c>
      <c r="C771" s="1" t="n">
        <v>46130</v>
      </c>
      <c r="D771" t="inlineStr">
        <is>
          <t>DALARNAS LÄN</t>
        </is>
      </c>
      <c r="E771" t="inlineStr">
        <is>
          <t>LUDVIKA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29114-2024</t>
        </is>
      </c>
      <c r="B772" s="1" t="n">
        <v>45481.9578125</v>
      </c>
      <c r="C772" s="1" t="n">
        <v>46130</v>
      </c>
      <c r="D772" t="inlineStr">
        <is>
          <t>DALARNAS LÄN</t>
        </is>
      </c>
      <c r="E772" t="inlineStr">
        <is>
          <t>LUDVIKA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57307-2024</t>
        </is>
      </c>
      <c r="B773" s="1" t="n">
        <v>45629.60449074074</v>
      </c>
      <c r="C773" s="1" t="n">
        <v>46130</v>
      </c>
      <c r="D773" t="inlineStr">
        <is>
          <t>DALARNAS LÄN</t>
        </is>
      </c>
      <c r="E773" t="inlineStr">
        <is>
          <t>LUDVIKA</t>
        </is>
      </c>
      <c r="F773" t="inlineStr">
        <is>
          <t>Naturvårdsverket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478-2024</t>
        </is>
      </c>
      <c r="B774" s="1" t="n">
        <v>45297</v>
      </c>
      <c r="C774" s="1" t="n">
        <v>46130</v>
      </c>
      <c r="D774" t="inlineStr">
        <is>
          <t>DALARNAS LÄN</t>
        </is>
      </c>
      <c r="E774" t="inlineStr">
        <is>
          <t>LUDVIKA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51015-2023</t>
        </is>
      </c>
      <c r="B775" s="1" t="n">
        <v>45218.58079861111</v>
      </c>
      <c r="C775" s="1" t="n">
        <v>46130</v>
      </c>
      <c r="D775" t="inlineStr">
        <is>
          <t>DALARNAS LÄN</t>
        </is>
      </c>
      <c r="E775" t="inlineStr">
        <is>
          <t>LUDVIKA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60660-2024</t>
        </is>
      </c>
      <c r="B776" s="1" t="n">
        <v>45644.44615740741</v>
      </c>
      <c r="C776" s="1" t="n">
        <v>46130</v>
      </c>
      <c r="D776" t="inlineStr">
        <is>
          <t>DALARNAS LÄN</t>
        </is>
      </c>
      <c r="E776" t="inlineStr">
        <is>
          <t>LUDVIKA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53048-2024</t>
        </is>
      </c>
      <c r="B777" s="1" t="n">
        <v>45611.45319444445</v>
      </c>
      <c r="C777" s="1" t="n">
        <v>46130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50777-2024</t>
        </is>
      </c>
      <c r="B778" s="1" t="n">
        <v>45602.4575</v>
      </c>
      <c r="C778" s="1" t="n">
        <v>46130</v>
      </c>
      <c r="D778" t="inlineStr">
        <is>
          <t>DALARNAS LÄN</t>
        </is>
      </c>
      <c r="E778" t="inlineStr">
        <is>
          <t>LUDVIKA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28507-2023</t>
        </is>
      </c>
      <c r="B779" s="1" t="n">
        <v>45103.46510416667</v>
      </c>
      <c r="C779" s="1" t="n">
        <v>46130</v>
      </c>
      <c r="D779" t="inlineStr">
        <is>
          <t>DALARNAS LÄN</t>
        </is>
      </c>
      <c r="E779" t="inlineStr">
        <is>
          <t>LUDVIKA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1047-2023</t>
        </is>
      </c>
      <c r="B780" s="1" t="n">
        <v>44929</v>
      </c>
      <c r="C780" s="1" t="n">
        <v>46130</v>
      </c>
      <c r="D780" t="inlineStr">
        <is>
          <t>DALARNAS LÄN</t>
        </is>
      </c>
      <c r="E780" t="inlineStr">
        <is>
          <t>LUDVIKA</t>
        </is>
      </c>
      <c r="F780" t="inlineStr">
        <is>
          <t>Kommuner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3470-2025</t>
        </is>
      </c>
      <c r="B781" s="1" t="n">
        <v>45680.5206712963</v>
      </c>
      <c r="C781" s="1" t="n">
        <v>46130</v>
      </c>
      <c r="D781" t="inlineStr">
        <is>
          <t>DALARNAS LÄN</t>
        </is>
      </c>
      <c r="E781" t="inlineStr">
        <is>
          <t>LUDVIKA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5576-2024</t>
        </is>
      </c>
      <c r="B782" s="1" t="n">
        <v>45334</v>
      </c>
      <c r="C782" s="1" t="n">
        <v>46130</v>
      </c>
      <c r="D782" t="inlineStr">
        <is>
          <t>DALARNAS LÄN</t>
        </is>
      </c>
      <c r="E782" t="inlineStr">
        <is>
          <t>LUDVIKA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55218-2024</t>
        </is>
      </c>
      <c r="B783" s="1" t="n">
        <v>45621.57195601852</v>
      </c>
      <c r="C783" s="1" t="n">
        <v>46130</v>
      </c>
      <c r="D783" t="inlineStr">
        <is>
          <t>DALARNAS LÄN</t>
        </is>
      </c>
      <c r="E783" t="inlineStr">
        <is>
          <t>LUDVIKA</t>
        </is>
      </c>
      <c r="F783" t="inlineStr">
        <is>
          <t>Naturvårdsverket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45543-2024</t>
        </is>
      </c>
      <c r="B784" s="1" t="n">
        <v>45579.33577546296</v>
      </c>
      <c r="C784" s="1" t="n">
        <v>46130</v>
      </c>
      <c r="D784" t="inlineStr">
        <is>
          <t>DALARNAS LÄN</t>
        </is>
      </c>
      <c r="E784" t="inlineStr">
        <is>
          <t>LUDVIKA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45544-2024</t>
        </is>
      </c>
      <c r="B785" s="1" t="n">
        <v>45579.33912037037</v>
      </c>
      <c r="C785" s="1" t="n">
        <v>46130</v>
      </c>
      <c r="D785" t="inlineStr">
        <is>
          <t>DALARNAS LÄN</t>
        </is>
      </c>
      <c r="E785" t="inlineStr">
        <is>
          <t>LUDVIKA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45547-2024</t>
        </is>
      </c>
      <c r="B786" s="1" t="n">
        <v>45579.34377314815</v>
      </c>
      <c r="C786" s="1" t="n">
        <v>46130</v>
      </c>
      <c r="D786" t="inlineStr">
        <is>
          <t>DALARNAS LÄN</t>
        </is>
      </c>
      <c r="E786" t="inlineStr">
        <is>
          <t>LUDVIKA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56996-2021</t>
        </is>
      </c>
      <c r="B787" s="1" t="n">
        <v>44482.46025462963</v>
      </c>
      <c r="C787" s="1" t="n">
        <v>46130</v>
      </c>
      <c r="D787" t="inlineStr">
        <is>
          <t>DALARNAS LÄN</t>
        </is>
      </c>
      <c r="E787" t="inlineStr">
        <is>
          <t>LUDVIKA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38223-2021</t>
        </is>
      </c>
      <c r="B788" s="1" t="n">
        <v>44405.60167824074</v>
      </c>
      <c r="C788" s="1" t="n">
        <v>46130</v>
      </c>
      <c r="D788" t="inlineStr">
        <is>
          <t>DALARNAS LÄN</t>
        </is>
      </c>
      <c r="E788" t="inlineStr">
        <is>
          <t>LUDVIKA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36296-2023</t>
        </is>
      </c>
      <c r="B789" s="1" t="n">
        <v>45152.3591087963</v>
      </c>
      <c r="C789" s="1" t="n">
        <v>46130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3277-2024</t>
        </is>
      </c>
      <c r="B790" s="1" t="n">
        <v>45317.4196875</v>
      </c>
      <c r="C790" s="1" t="n">
        <v>46130</v>
      </c>
      <c r="D790" t="inlineStr">
        <is>
          <t>DALARNAS LÄN</t>
        </is>
      </c>
      <c r="E790" t="inlineStr">
        <is>
          <t>LUDVIKA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35354-2024</t>
        </is>
      </c>
      <c r="B791" s="1" t="n">
        <v>45531.30974537037</v>
      </c>
      <c r="C791" s="1" t="n">
        <v>46130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12497-2024</t>
        </is>
      </c>
      <c r="B792" s="1" t="n">
        <v>45379.57112268519</v>
      </c>
      <c r="C792" s="1" t="n">
        <v>46130</v>
      </c>
      <c r="D792" t="inlineStr">
        <is>
          <t>DALARNAS LÄN</t>
        </is>
      </c>
      <c r="E792" t="inlineStr">
        <is>
          <t>LUDVIKA</t>
        </is>
      </c>
      <c r="F792" t="inlineStr">
        <is>
          <t>Naturvårdsverket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54089-2024</t>
        </is>
      </c>
      <c r="B793" s="1" t="n">
        <v>45616.50763888889</v>
      </c>
      <c r="C793" s="1" t="n">
        <v>46130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57247-2024</t>
        </is>
      </c>
      <c r="B794" s="1" t="n">
        <v>45629.55177083334</v>
      </c>
      <c r="C794" s="1" t="n">
        <v>46130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49805-2023</t>
        </is>
      </c>
      <c r="B795" s="1" t="n">
        <v>45212.65407407407</v>
      </c>
      <c r="C795" s="1" t="n">
        <v>46130</v>
      </c>
      <c r="D795" t="inlineStr">
        <is>
          <t>DALARNAS LÄN</t>
        </is>
      </c>
      <c r="E795" t="inlineStr">
        <is>
          <t>LUDVIKA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61384-2024</t>
        </is>
      </c>
      <c r="B796" s="1" t="n">
        <v>45646.40943287037</v>
      </c>
      <c r="C796" s="1" t="n">
        <v>46130</v>
      </c>
      <c r="D796" t="inlineStr">
        <is>
          <t>DALARNAS LÄN</t>
        </is>
      </c>
      <c r="E796" t="inlineStr">
        <is>
          <t>LUDVIKA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3280-2024</t>
        </is>
      </c>
      <c r="B797" s="1" t="n">
        <v>45317</v>
      </c>
      <c r="C797" s="1" t="n">
        <v>46130</v>
      </c>
      <c r="D797" t="inlineStr">
        <is>
          <t>DALARNAS LÄN</t>
        </is>
      </c>
      <c r="E797" t="inlineStr">
        <is>
          <t>LUDVIKA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29780-2024</t>
        </is>
      </c>
      <c r="B798" s="1" t="n">
        <v>45485.45513888889</v>
      </c>
      <c r="C798" s="1" t="n">
        <v>46130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14881-2025</t>
        </is>
      </c>
      <c r="B799" s="1" t="n">
        <v>45743.4653587963</v>
      </c>
      <c r="C799" s="1" t="n">
        <v>46130</v>
      </c>
      <c r="D799" t="inlineStr">
        <is>
          <t>DALARNAS LÄN</t>
        </is>
      </c>
      <c r="E799" t="inlineStr">
        <is>
          <t>LUDVIKA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15127-2025</t>
        </is>
      </c>
      <c r="B800" s="1" t="n">
        <v>45744.38049768518</v>
      </c>
      <c r="C800" s="1" t="n">
        <v>46130</v>
      </c>
      <c r="D800" t="inlineStr">
        <is>
          <t>DALARNAS LÄN</t>
        </is>
      </c>
      <c r="E800" t="inlineStr">
        <is>
          <t>LUDVIKA</t>
        </is>
      </c>
      <c r="F800" t="inlineStr">
        <is>
          <t>Bergvik skog väst AB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2026-04-18T10:20:50Z</dcterms:created>
  <dcterms:modified xmlns:dcterms="http://purl.org/dc/terms/" xmlns:xsi="http://www.w3.org/2001/XMLSchema-instance" xsi:type="dcterms:W3CDTF">2026-04-18T10:20:51Z</dcterms:modified>
</cp:coreProperties>
</file>
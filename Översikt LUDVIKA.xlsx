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45361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45361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45361</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45361</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45361</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45361</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45361</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45361</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45361</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45361</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45361</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45361</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45361</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45361</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45361</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45361</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45361</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45361</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45361</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45361</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45361</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45361</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45361</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45361</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45361</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45361</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45361</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45361</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45361</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45361</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27562-2020</t>
        </is>
      </c>
      <c r="B32" s="1" t="n">
        <v>43993</v>
      </c>
      <c r="C32" s="1" t="n">
        <v>45361</v>
      </c>
      <c r="D32" t="inlineStr">
        <is>
          <t>DALARNAS LÄN</t>
        </is>
      </c>
      <c r="E32" t="inlineStr">
        <is>
          <t>LUDVIKA</t>
        </is>
      </c>
      <c r="F32" t="inlineStr">
        <is>
          <t>Bergvik skog väst AB</t>
        </is>
      </c>
      <c r="G32" t="n">
        <v>2</v>
      </c>
      <c r="H32" t="n">
        <v>0</v>
      </c>
      <c r="I32" t="n">
        <v>1</v>
      </c>
      <c r="J32" t="n">
        <v>0</v>
      </c>
      <c r="K32" t="n">
        <v>0</v>
      </c>
      <c r="L32" t="n">
        <v>0</v>
      </c>
      <c r="M32" t="n">
        <v>0</v>
      </c>
      <c r="N32" t="n">
        <v>0</v>
      </c>
      <c r="O32" t="n">
        <v>0</v>
      </c>
      <c r="P32" t="n">
        <v>0</v>
      </c>
      <c r="Q32" t="n">
        <v>1</v>
      </c>
      <c r="R32" s="2" t="inlineStr">
        <is>
          <t>Skinnlav</t>
        </is>
      </c>
      <c r="S32">
        <f>HYPERLINK("https://klasma.github.io/Logging_2085/artfynd/A 27562-2020 artfynd.xlsx", "A 27562-2020")</f>
        <v/>
      </c>
      <c r="T32">
        <f>HYPERLINK("https://klasma.github.io/Logging_2085/kartor/A 27562-2020 karta.png", "A 27562-2020")</f>
        <v/>
      </c>
      <c r="V32">
        <f>HYPERLINK("https://klasma.github.io/Logging_2085/klagomål/A 27562-2020 FSC-klagomål.docx", "A 27562-2020")</f>
        <v/>
      </c>
      <c r="W32">
        <f>HYPERLINK("https://klasma.github.io/Logging_2085/klagomålsmail/A 27562-2020 FSC-klagomål mail.docx", "A 27562-2020")</f>
        <v/>
      </c>
      <c r="X32">
        <f>HYPERLINK("https://klasma.github.io/Logging_2085/tillsyn/A 27562-2020 tillsynsbegäran.docx", "A 27562-2020")</f>
        <v/>
      </c>
      <c r="Y32">
        <f>HYPERLINK("https://klasma.github.io/Logging_2085/tillsynsmail/A 27562-2020 tillsynsbegäran mail.docx", "A 27562-2020")</f>
        <v/>
      </c>
    </row>
    <row r="33" ht="15" customHeight="1">
      <c r="A33" t="inlineStr">
        <is>
          <t>A 64068-2020</t>
        </is>
      </c>
      <c r="B33" s="1" t="n">
        <v>44167</v>
      </c>
      <c r="C33" s="1" t="n">
        <v>45361</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69166-2020</t>
        </is>
      </c>
      <c r="B34" s="1" t="n">
        <v>44188</v>
      </c>
      <c r="C34" s="1" t="n">
        <v>45361</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38674-2021</t>
        </is>
      </c>
      <c r="B35" s="1" t="n">
        <v>44410</v>
      </c>
      <c r="C35" s="1" t="n">
        <v>45361</v>
      </c>
      <c r="D35" t="inlineStr">
        <is>
          <t>DALARNAS LÄN</t>
        </is>
      </c>
      <c r="E35" t="inlineStr">
        <is>
          <t>LUDVIKA</t>
        </is>
      </c>
      <c r="G35" t="n">
        <v>6.3</v>
      </c>
      <c r="H35" t="n">
        <v>0</v>
      </c>
      <c r="I35" t="n">
        <v>0</v>
      </c>
      <c r="J35" t="n">
        <v>1</v>
      </c>
      <c r="K35" t="n">
        <v>0</v>
      </c>
      <c r="L35" t="n">
        <v>0</v>
      </c>
      <c r="M35" t="n">
        <v>0</v>
      </c>
      <c r="N35" t="n">
        <v>0</v>
      </c>
      <c r="O35" t="n">
        <v>1</v>
      </c>
      <c r="P35" t="n">
        <v>0</v>
      </c>
      <c r="Q35" t="n">
        <v>1</v>
      </c>
      <c r="R35" s="2" t="inlineStr">
        <is>
          <t>Dvärgbägarlav</t>
        </is>
      </c>
      <c r="S35">
        <f>HYPERLINK("https://klasma.github.io/Logging_2085/artfynd/A 38674-2021 artfynd.xlsx", "A 38674-2021")</f>
        <v/>
      </c>
      <c r="T35">
        <f>HYPERLINK("https://klasma.github.io/Logging_2085/kartor/A 38674-2021 karta.png", "A 38674-2021")</f>
        <v/>
      </c>
      <c r="V35">
        <f>HYPERLINK("https://klasma.github.io/Logging_2085/klagomål/A 38674-2021 FSC-klagomål.docx", "A 38674-2021")</f>
        <v/>
      </c>
      <c r="W35">
        <f>HYPERLINK("https://klasma.github.io/Logging_2085/klagomålsmail/A 38674-2021 FSC-klagomål mail.docx", "A 38674-2021")</f>
        <v/>
      </c>
      <c r="X35">
        <f>HYPERLINK("https://klasma.github.io/Logging_2085/tillsyn/A 38674-2021 tillsynsbegäran.docx", "A 38674-2021")</f>
        <v/>
      </c>
      <c r="Y35">
        <f>HYPERLINK("https://klasma.github.io/Logging_2085/tillsynsmail/A 38674-2021 tillsynsbegäran mail.docx", "A 38674-2021")</f>
        <v/>
      </c>
    </row>
    <row r="36" ht="15" customHeight="1">
      <c r="A36" t="inlineStr">
        <is>
          <t>A 50052-2021</t>
        </is>
      </c>
      <c r="B36" s="1" t="n">
        <v>44456</v>
      </c>
      <c r="C36" s="1" t="n">
        <v>45361</v>
      </c>
      <c r="D36" t="inlineStr">
        <is>
          <t>DALARNAS LÄN</t>
        </is>
      </c>
      <c r="E36" t="inlineStr">
        <is>
          <t>LUDVIKA</t>
        </is>
      </c>
      <c r="F36" t="inlineStr">
        <is>
          <t>Bergvik skog väst AB</t>
        </is>
      </c>
      <c r="G36" t="n">
        <v>2</v>
      </c>
      <c r="H36" t="n">
        <v>1</v>
      </c>
      <c r="I36" t="n">
        <v>0</v>
      </c>
      <c r="J36" t="n">
        <v>0</v>
      </c>
      <c r="K36" t="n">
        <v>0</v>
      </c>
      <c r="L36" t="n">
        <v>0</v>
      </c>
      <c r="M36" t="n">
        <v>0</v>
      </c>
      <c r="N36" t="n">
        <v>0</v>
      </c>
      <c r="O36" t="n">
        <v>0</v>
      </c>
      <c r="P36" t="n">
        <v>0</v>
      </c>
      <c r="Q36" t="n">
        <v>1</v>
      </c>
      <c r="R36" s="2" t="inlineStr">
        <is>
          <t>Buskmus</t>
        </is>
      </c>
      <c r="S36">
        <f>HYPERLINK("https://klasma.github.io/Logging_2085/artfynd/A 50052-2021 artfynd.xlsx", "A 50052-2021")</f>
        <v/>
      </c>
      <c r="T36">
        <f>HYPERLINK("https://klasma.github.io/Logging_2085/kartor/A 50052-2021 karta.png", "A 50052-2021")</f>
        <v/>
      </c>
      <c r="V36">
        <f>HYPERLINK("https://klasma.github.io/Logging_2085/klagomål/A 50052-2021 FSC-klagomål.docx", "A 50052-2021")</f>
        <v/>
      </c>
      <c r="W36">
        <f>HYPERLINK("https://klasma.github.io/Logging_2085/klagomålsmail/A 50052-2021 FSC-klagomål mail.docx", "A 50052-2021")</f>
        <v/>
      </c>
      <c r="X36">
        <f>HYPERLINK("https://klasma.github.io/Logging_2085/tillsyn/A 50052-2021 tillsynsbegäran.docx", "A 50052-2021")</f>
        <v/>
      </c>
      <c r="Y36">
        <f>HYPERLINK("https://klasma.github.io/Logging_2085/tillsynsmail/A 50052-2021 tillsynsbegäran mail.docx", "A 50052-2021")</f>
        <v/>
      </c>
    </row>
    <row r="37" ht="15" customHeight="1">
      <c r="A37" t="inlineStr">
        <is>
          <t>A 72858-2021</t>
        </is>
      </c>
      <c r="B37" s="1" t="n">
        <v>44547</v>
      </c>
      <c r="C37" s="1" t="n">
        <v>45361</v>
      </c>
      <c r="D37" t="inlineStr">
        <is>
          <t>DALARNAS LÄN</t>
        </is>
      </c>
      <c r="E37" t="inlineStr">
        <is>
          <t>LUDVIKA</t>
        </is>
      </c>
      <c r="F37" t="inlineStr">
        <is>
          <t>Kommuner</t>
        </is>
      </c>
      <c r="G37" t="n">
        <v>7</v>
      </c>
      <c r="H37" t="n">
        <v>0</v>
      </c>
      <c r="I37" t="n">
        <v>0</v>
      </c>
      <c r="J37" t="n">
        <v>0</v>
      </c>
      <c r="K37" t="n">
        <v>1</v>
      </c>
      <c r="L37" t="n">
        <v>0</v>
      </c>
      <c r="M37" t="n">
        <v>0</v>
      </c>
      <c r="N37" t="n">
        <v>0</v>
      </c>
      <c r="O37" t="n">
        <v>1</v>
      </c>
      <c r="P37" t="n">
        <v>1</v>
      </c>
      <c r="Q37" t="n">
        <v>1</v>
      </c>
      <c r="R37" s="2" t="inlineStr">
        <is>
          <t>Rynkskinn</t>
        </is>
      </c>
      <c r="S37">
        <f>HYPERLINK("https://klasma.github.io/Logging_2085/artfynd/A 72858-2021 artfynd.xlsx", "A 72858-2021")</f>
        <v/>
      </c>
      <c r="T37">
        <f>HYPERLINK("https://klasma.github.io/Logging_2085/kartor/A 72858-2021 karta.png", "A 72858-2021")</f>
        <v/>
      </c>
      <c r="V37">
        <f>HYPERLINK("https://klasma.github.io/Logging_2085/klagomål/A 72858-2021 FSC-klagomål.docx", "A 72858-2021")</f>
        <v/>
      </c>
      <c r="W37">
        <f>HYPERLINK("https://klasma.github.io/Logging_2085/klagomålsmail/A 72858-2021 FSC-klagomål mail.docx", "A 72858-2021")</f>
        <v/>
      </c>
      <c r="X37">
        <f>HYPERLINK("https://klasma.github.io/Logging_2085/tillsyn/A 72858-2021 tillsynsbegäran.docx", "A 72858-2021")</f>
        <v/>
      </c>
      <c r="Y37">
        <f>HYPERLINK("https://klasma.github.io/Logging_2085/tillsynsmail/A 72858-2021 tillsynsbegäran mail.docx", "A 72858-2021")</f>
        <v/>
      </c>
    </row>
    <row r="38" ht="15" customHeight="1">
      <c r="A38" t="inlineStr">
        <is>
          <t>A 74401-2021</t>
        </is>
      </c>
      <c r="B38" s="1" t="n">
        <v>44560</v>
      </c>
      <c r="C38" s="1" t="n">
        <v>45361</v>
      </c>
      <c r="D38" t="inlineStr">
        <is>
          <t>DALARNAS LÄN</t>
        </is>
      </c>
      <c r="E38" t="inlineStr">
        <is>
          <t>LUDVIKA</t>
        </is>
      </c>
      <c r="F38" t="inlineStr">
        <is>
          <t>Kommuner</t>
        </is>
      </c>
      <c r="G38" t="n">
        <v>0.6</v>
      </c>
      <c r="H38" t="n">
        <v>0</v>
      </c>
      <c r="I38" t="n">
        <v>1</v>
      </c>
      <c r="J38" t="n">
        <v>0</v>
      </c>
      <c r="K38" t="n">
        <v>0</v>
      </c>
      <c r="L38" t="n">
        <v>0</v>
      </c>
      <c r="M38" t="n">
        <v>0</v>
      </c>
      <c r="N38" t="n">
        <v>0</v>
      </c>
      <c r="O38" t="n">
        <v>0</v>
      </c>
      <c r="P38" t="n">
        <v>0</v>
      </c>
      <c r="Q38" t="n">
        <v>1</v>
      </c>
      <c r="R38" s="2" t="inlineStr">
        <is>
          <t>Gullgröppa</t>
        </is>
      </c>
      <c r="S38">
        <f>HYPERLINK("https://klasma.github.io/Logging_2085/artfynd/A 74401-2021 artfynd.xlsx", "A 74401-2021")</f>
        <v/>
      </c>
      <c r="T38">
        <f>HYPERLINK("https://klasma.github.io/Logging_2085/kartor/A 74401-2021 karta.png", "A 74401-2021")</f>
        <v/>
      </c>
      <c r="V38">
        <f>HYPERLINK("https://klasma.github.io/Logging_2085/klagomål/A 74401-2021 FSC-klagomål.docx", "A 74401-2021")</f>
        <v/>
      </c>
      <c r="W38">
        <f>HYPERLINK("https://klasma.github.io/Logging_2085/klagomålsmail/A 74401-2021 FSC-klagomål mail.docx", "A 74401-2021")</f>
        <v/>
      </c>
      <c r="X38">
        <f>HYPERLINK("https://klasma.github.io/Logging_2085/tillsyn/A 74401-2021 tillsynsbegäran.docx", "A 74401-2021")</f>
        <v/>
      </c>
      <c r="Y38">
        <f>HYPERLINK("https://klasma.github.io/Logging_2085/tillsynsmail/A 74401-2021 tillsynsbegäran mail.docx", "A 74401-2021")</f>
        <v/>
      </c>
    </row>
    <row r="39" ht="15" customHeight="1">
      <c r="A39" t="inlineStr">
        <is>
          <t>A 927-2022</t>
        </is>
      </c>
      <c r="B39" s="1" t="n">
        <v>44571</v>
      </c>
      <c r="C39" s="1" t="n">
        <v>45361</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19512-2022</t>
        </is>
      </c>
      <c r="B40" s="1" t="n">
        <v>44693</v>
      </c>
      <c r="C40" s="1" t="n">
        <v>45361</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19717-2022</t>
        </is>
      </c>
      <c r="B41" s="1" t="n">
        <v>44694</v>
      </c>
      <c r="C41" s="1" t="n">
        <v>45361</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21499-2022</t>
        </is>
      </c>
      <c r="B42" s="1" t="n">
        <v>44706</v>
      </c>
      <c r="C42" s="1" t="n">
        <v>45361</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41028-2022</t>
        </is>
      </c>
      <c r="B43" s="1" t="n">
        <v>44825</v>
      </c>
      <c r="C43" s="1" t="n">
        <v>45361</v>
      </c>
      <c r="D43" t="inlineStr">
        <is>
          <t>DALARNAS LÄN</t>
        </is>
      </c>
      <c r="E43" t="inlineStr">
        <is>
          <t>LUDVIKA</t>
        </is>
      </c>
      <c r="F43" t="inlineStr">
        <is>
          <t>Naturvårdsverket</t>
        </is>
      </c>
      <c r="G43" t="n">
        <v>8.300000000000001</v>
      </c>
      <c r="H43" t="n">
        <v>0</v>
      </c>
      <c r="I43" t="n">
        <v>0</v>
      </c>
      <c r="J43" t="n">
        <v>1</v>
      </c>
      <c r="K43" t="n">
        <v>0</v>
      </c>
      <c r="L43" t="n">
        <v>0</v>
      </c>
      <c r="M43" t="n">
        <v>0</v>
      </c>
      <c r="N43" t="n">
        <v>0</v>
      </c>
      <c r="O43" t="n">
        <v>1</v>
      </c>
      <c r="P43" t="n">
        <v>0</v>
      </c>
      <c r="Q43" t="n">
        <v>1</v>
      </c>
      <c r="R43" s="2" t="inlineStr">
        <is>
          <t>Vårtsporigt stålskinn</t>
        </is>
      </c>
      <c r="S43">
        <f>HYPERLINK("https://klasma.github.io/Logging_2085/artfynd/A 41028-2022 artfynd.xlsx", "A 41028-2022")</f>
        <v/>
      </c>
      <c r="T43">
        <f>HYPERLINK("https://klasma.github.io/Logging_2085/kartor/A 41028-2022 karta.png", "A 41028-2022")</f>
        <v/>
      </c>
      <c r="V43">
        <f>HYPERLINK("https://klasma.github.io/Logging_2085/klagomål/A 41028-2022 FSC-klagomål.docx", "A 41028-2022")</f>
        <v/>
      </c>
      <c r="W43">
        <f>HYPERLINK("https://klasma.github.io/Logging_2085/klagomålsmail/A 41028-2022 FSC-klagomål mail.docx", "A 41028-2022")</f>
        <v/>
      </c>
      <c r="X43">
        <f>HYPERLINK("https://klasma.github.io/Logging_2085/tillsyn/A 41028-2022 tillsynsbegäran.docx", "A 41028-2022")</f>
        <v/>
      </c>
      <c r="Y43">
        <f>HYPERLINK("https://klasma.github.io/Logging_2085/tillsynsmail/A 41028-2022 tillsynsbegäran mail.docx", "A 41028-2022")</f>
        <v/>
      </c>
    </row>
    <row r="44" ht="15" customHeight="1">
      <c r="A44" t="inlineStr">
        <is>
          <t>A 42758-2022</t>
        </is>
      </c>
      <c r="B44" s="1" t="n">
        <v>44832</v>
      </c>
      <c r="C44" s="1" t="n">
        <v>45361</v>
      </c>
      <c r="D44" t="inlineStr">
        <is>
          <t>DALARNAS LÄN</t>
        </is>
      </c>
      <c r="E44" t="inlineStr">
        <is>
          <t>LUDVIKA</t>
        </is>
      </c>
      <c r="F44" t="inlineStr">
        <is>
          <t>Bergvik skog väst AB</t>
        </is>
      </c>
      <c r="G44" t="n">
        <v>1.6</v>
      </c>
      <c r="H44" t="n">
        <v>0</v>
      </c>
      <c r="I44" t="n">
        <v>0</v>
      </c>
      <c r="J44" t="n">
        <v>0</v>
      </c>
      <c r="K44" t="n">
        <v>1</v>
      </c>
      <c r="L44" t="n">
        <v>0</v>
      </c>
      <c r="M44" t="n">
        <v>0</v>
      </c>
      <c r="N44" t="n">
        <v>0</v>
      </c>
      <c r="O44" t="n">
        <v>1</v>
      </c>
      <c r="P44" t="n">
        <v>1</v>
      </c>
      <c r="Q44" t="n">
        <v>1</v>
      </c>
      <c r="R44" s="2" t="inlineStr">
        <is>
          <t>Aspgelélav</t>
        </is>
      </c>
      <c r="S44">
        <f>HYPERLINK("https://klasma.github.io/Logging_2085/artfynd/A 42758-2022 artfynd.xlsx", "A 42758-2022")</f>
        <v/>
      </c>
      <c r="T44">
        <f>HYPERLINK("https://klasma.github.io/Logging_2085/kartor/A 42758-2022 karta.png", "A 42758-2022")</f>
        <v/>
      </c>
      <c r="V44">
        <f>HYPERLINK("https://klasma.github.io/Logging_2085/klagomål/A 42758-2022 FSC-klagomål.docx", "A 42758-2022")</f>
        <v/>
      </c>
      <c r="W44">
        <f>HYPERLINK("https://klasma.github.io/Logging_2085/klagomålsmail/A 42758-2022 FSC-klagomål mail.docx", "A 42758-2022")</f>
        <v/>
      </c>
      <c r="X44">
        <f>HYPERLINK("https://klasma.github.io/Logging_2085/tillsyn/A 42758-2022 tillsynsbegäran.docx", "A 42758-2022")</f>
        <v/>
      </c>
      <c r="Y44">
        <f>HYPERLINK("https://klasma.github.io/Logging_2085/tillsynsmail/A 42758-2022 tillsynsbegäran mail.docx", "A 42758-2022")</f>
        <v/>
      </c>
    </row>
    <row r="45" ht="15" customHeight="1">
      <c r="A45" t="inlineStr">
        <is>
          <t>A 52452-2022</t>
        </is>
      </c>
      <c r="B45" s="1" t="n">
        <v>44874</v>
      </c>
      <c r="C45" s="1" t="n">
        <v>45361</v>
      </c>
      <c r="D45" t="inlineStr">
        <is>
          <t>DALARNAS LÄN</t>
        </is>
      </c>
      <c r="E45" t="inlineStr">
        <is>
          <t>LUDVIKA</t>
        </is>
      </c>
      <c r="F45" t="inlineStr">
        <is>
          <t>Bergvik skog väst AB</t>
        </is>
      </c>
      <c r="G45" t="n">
        <v>1.9</v>
      </c>
      <c r="H45" t="n">
        <v>0</v>
      </c>
      <c r="I45" t="n">
        <v>0</v>
      </c>
      <c r="J45" t="n">
        <v>1</v>
      </c>
      <c r="K45" t="n">
        <v>0</v>
      </c>
      <c r="L45" t="n">
        <v>0</v>
      </c>
      <c r="M45" t="n">
        <v>0</v>
      </c>
      <c r="N45" t="n">
        <v>0</v>
      </c>
      <c r="O45" t="n">
        <v>1</v>
      </c>
      <c r="P45" t="n">
        <v>0</v>
      </c>
      <c r="Q45" t="n">
        <v>1</v>
      </c>
      <c r="R45" s="2" t="inlineStr">
        <is>
          <t>Garnlav</t>
        </is>
      </c>
      <c r="S45">
        <f>HYPERLINK("https://klasma.github.io/Logging_2085/artfynd/A 52452-2022 artfynd.xlsx", "A 52452-2022")</f>
        <v/>
      </c>
      <c r="T45">
        <f>HYPERLINK("https://klasma.github.io/Logging_2085/kartor/A 52452-2022 karta.png", "A 52452-2022")</f>
        <v/>
      </c>
      <c r="V45">
        <f>HYPERLINK("https://klasma.github.io/Logging_2085/klagomål/A 52452-2022 FSC-klagomål.docx", "A 52452-2022")</f>
        <v/>
      </c>
      <c r="W45">
        <f>HYPERLINK("https://klasma.github.io/Logging_2085/klagomålsmail/A 52452-2022 FSC-klagomål mail.docx", "A 52452-2022")</f>
        <v/>
      </c>
      <c r="X45">
        <f>HYPERLINK("https://klasma.github.io/Logging_2085/tillsyn/A 52452-2022 tillsynsbegäran.docx", "A 52452-2022")</f>
        <v/>
      </c>
      <c r="Y45">
        <f>HYPERLINK("https://klasma.github.io/Logging_2085/tillsynsmail/A 52452-2022 tillsynsbegäran mail.docx", "A 52452-2022")</f>
        <v/>
      </c>
    </row>
    <row r="46" ht="15" customHeight="1">
      <c r="A46" t="inlineStr">
        <is>
          <t>A 55550-2022</t>
        </is>
      </c>
      <c r="B46" s="1" t="n">
        <v>44888</v>
      </c>
      <c r="C46" s="1" t="n">
        <v>45361</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17310-2023</t>
        </is>
      </c>
      <c r="B47" s="1" t="n">
        <v>45035</v>
      </c>
      <c r="C47" s="1" t="n">
        <v>45361</v>
      </c>
      <c r="D47" t="inlineStr">
        <is>
          <t>DALARNAS LÄN</t>
        </is>
      </c>
      <c r="E47" t="inlineStr">
        <is>
          <t>LUDVIKA</t>
        </is>
      </c>
      <c r="G47" t="n">
        <v>10.2</v>
      </c>
      <c r="H47" t="n">
        <v>0</v>
      </c>
      <c r="I47" t="n">
        <v>0</v>
      </c>
      <c r="J47" t="n">
        <v>1</v>
      </c>
      <c r="K47" t="n">
        <v>0</v>
      </c>
      <c r="L47" t="n">
        <v>0</v>
      </c>
      <c r="M47" t="n">
        <v>0</v>
      </c>
      <c r="N47" t="n">
        <v>0</v>
      </c>
      <c r="O47" t="n">
        <v>1</v>
      </c>
      <c r="P47" t="n">
        <v>0</v>
      </c>
      <c r="Q47" t="n">
        <v>1</v>
      </c>
      <c r="R47" s="2" t="inlineStr">
        <is>
          <t>Barrpraktbagge</t>
        </is>
      </c>
      <c r="S47">
        <f>HYPERLINK("https://klasma.github.io/Logging_2085/artfynd/A 17310-2023 artfynd.xlsx", "A 17310-2023")</f>
        <v/>
      </c>
      <c r="T47">
        <f>HYPERLINK("https://klasma.github.io/Logging_2085/kartor/A 17310-2023 karta.png", "A 17310-2023")</f>
        <v/>
      </c>
      <c r="V47">
        <f>HYPERLINK("https://klasma.github.io/Logging_2085/klagomål/A 17310-2023 FSC-klagomål.docx", "A 17310-2023")</f>
        <v/>
      </c>
      <c r="W47">
        <f>HYPERLINK("https://klasma.github.io/Logging_2085/klagomålsmail/A 17310-2023 FSC-klagomål mail.docx", "A 17310-2023")</f>
        <v/>
      </c>
      <c r="X47">
        <f>HYPERLINK("https://klasma.github.io/Logging_2085/tillsyn/A 17310-2023 tillsynsbegäran.docx", "A 17310-2023")</f>
        <v/>
      </c>
      <c r="Y47">
        <f>HYPERLINK("https://klasma.github.io/Logging_2085/tillsynsmail/A 17310-2023 tillsynsbegäran mail.docx", "A 17310-2023")</f>
        <v/>
      </c>
    </row>
    <row r="48" ht="15" customHeight="1">
      <c r="A48" t="inlineStr">
        <is>
          <t>A 18298-2023</t>
        </is>
      </c>
      <c r="B48" s="1" t="n">
        <v>45041</v>
      </c>
      <c r="C48" s="1" t="n">
        <v>45361</v>
      </c>
      <c r="D48" t="inlineStr">
        <is>
          <t>DALARNAS LÄN</t>
        </is>
      </c>
      <c r="E48" t="inlineStr">
        <is>
          <t>LUDVIKA</t>
        </is>
      </c>
      <c r="G48" t="n">
        <v>3.4</v>
      </c>
      <c r="H48" t="n">
        <v>1</v>
      </c>
      <c r="I48" t="n">
        <v>0</v>
      </c>
      <c r="J48" t="n">
        <v>0</v>
      </c>
      <c r="K48" t="n">
        <v>0</v>
      </c>
      <c r="L48" t="n">
        <v>0</v>
      </c>
      <c r="M48" t="n">
        <v>0</v>
      </c>
      <c r="N48" t="n">
        <v>0</v>
      </c>
      <c r="O48" t="n">
        <v>0</v>
      </c>
      <c r="P48" t="n">
        <v>0</v>
      </c>
      <c r="Q48" t="n">
        <v>1</v>
      </c>
      <c r="R48" s="2" t="inlineStr">
        <is>
          <t>Fläcknycklar</t>
        </is>
      </c>
      <c r="S48">
        <f>HYPERLINK("https://klasma.github.io/Logging_2085/artfynd/A 18298-2023 artfynd.xlsx", "A 18298-2023")</f>
        <v/>
      </c>
      <c r="T48">
        <f>HYPERLINK("https://klasma.github.io/Logging_2085/kartor/A 18298-2023 karta.png", "A 18298-2023")</f>
        <v/>
      </c>
      <c r="V48">
        <f>HYPERLINK("https://klasma.github.io/Logging_2085/klagomål/A 18298-2023 FSC-klagomål.docx", "A 18298-2023")</f>
        <v/>
      </c>
      <c r="W48">
        <f>HYPERLINK("https://klasma.github.io/Logging_2085/klagomålsmail/A 18298-2023 FSC-klagomål mail.docx", "A 18298-2023")</f>
        <v/>
      </c>
      <c r="X48">
        <f>HYPERLINK("https://klasma.github.io/Logging_2085/tillsyn/A 18298-2023 tillsynsbegäran.docx", "A 18298-2023")</f>
        <v/>
      </c>
      <c r="Y48">
        <f>HYPERLINK("https://klasma.github.io/Logging_2085/tillsynsmail/A 18298-2023 tillsynsbegäran mail.docx", "A 18298-2023")</f>
        <v/>
      </c>
    </row>
    <row r="49" ht="15" customHeight="1">
      <c r="A49" t="inlineStr">
        <is>
          <t>A 25588-2023</t>
        </is>
      </c>
      <c r="B49" s="1" t="n">
        <v>45089</v>
      </c>
      <c r="C49" s="1" t="n">
        <v>45361</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26850-2023</t>
        </is>
      </c>
      <c r="B50" s="1" t="n">
        <v>45093</v>
      </c>
      <c r="C50" s="1" t="n">
        <v>45361</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29144-2023</t>
        </is>
      </c>
      <c r="B51" s="1" t="n">
        <v>45105</v>
      </c>
      <c r="C51" s="1" t="n">
        <v>45361</v>
      </c>
      <c r="D51" t="inlineStr">
        <is>
          <t>DALARNAS LÄN</t>
        </is>
      </c>
      <c r="E51" t="inlineStr">
        <is>
          <t>LUDVIKA</t>
        </is>
      </c>
      <c r="F51" t="inlineStr">
        <is>
          <t>Allmännings- och besparingsskogar</t>
        </is>
      </c>
      <c r="G51" t="n">
        <v>7.2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30053-2023</t>
        </is>
      </c>
      <c r="B52" s="1" t="n">
        <v>45110</v>
      </c>
      <c r="C52" s="1" t="n">
        <v>45361</v>
      </c>
      <c r="D52" t="inlineStr">
        <is>
          <t>DALARNAS LÄN</t>
        </is>
      </c>
      <c r="E52" t="inlineStr">
        <is>
          <t>LUDVIKA</t>
        </is>
      </c>
      <c r="F52" t="inlineStr">
        <is>
          <t>Bergvik skog väst AB</t>
        </is>
      </c>
      <c r="G52" t="n">
        <v>6.8</v>
      </c>
      <c r="H52" t="n">
        <v>0</v>
      </c>
      <c r="I52" t="n">
        <v>0</v>
      </c>
      <c r="J52" t="n">
        <v>1</v>
      </c>
      <c r="K52" t="n">
        <v>0</v>
      </c>
      <c r="L52" t="n">
        <v>0</v>
      </c>
      <c r="M52" t="n">
        <v>0</v>
      </c>
      <c r="N52" t="n">
        <v>0</v>
      </c>
      <c r="O52" t="n">
        <v>1</v>
      </c>
      <c r="P52" t="n">
        <v>0</v>
      </c>
      <c r="Q52" t="n">
        <v>1</v>
      </c>
      <c r="R52" s="2" t="inlineStr">
        <is>
          <t>Garnlav</t>
        </is>
      </c>
      <c r="S52">
        <f>HYPERLINK("https://klasma.github.io/Logging_2085/artfynd/A 30053-2023 artfynd.xlsx", "A 30053-2023")</f>
        <v/>
      </c>
      <c r="T52">
        <f>HYPERLINK("https://klasma.github.io/Logging_2085/kartor/A 30053-2023 karta.png", "A 30053-2023")</f>
        <v/>
      </c>
      <c r="V52">
        <f>HYPERLINK("https://klasma.github.io/Logging_2085/klagomål/A 30053-2023 FSC-klagomål.docx", "A 30053-2023")</f>
        <v/>
      </c>
      <c r="W52">
        <f>HYPERLINK("https://klasma.github.io/Logging_2085/klagomålsmail/A 30053-2023 FSC-klagomål mail.docx", "A 30053-2023")</f>
        <v/>
      </c>
      <c r="X52">
        <f>HYPERLINK("https://klasma.github.io/Logging_2085/tillsyn/A 30053-2023 tillsynsbegäran.docx", "A 30053-2023")</f>
        <v/>
      </c>
      <c r="Y52">
        <f>HYPERLINK("https://klasma.github.io/Logging_2085/tillsynsmail/A 30053-2023 tillsynsbegäran mail.docx", "A 30053-2023")</f>
        <v/>
      </c>
    </row>
    <row r="53" ht="15" customHeight="1">
      <c r="A53" t="inlineStr">
        <is>
          <t>A 33055-2023</t>
        </is>
      </c>
      <c r="B53" s="1" t="n">
        <v>45126</v>
      </c>
      <c r="C53" s="1" t="n">
        <v>45361</v>
      </c>
      <c r="D53" t="inlineStr">
        <is>
          <t>DALARNAS LÄN</t>
        </is>
      </c>
      <c r="E53" t="inlineStr">
        <is>
          <t>LUDVIKA</t>
        </is>
      </c>
      <c r="F53" t="inlineStr">
        <is>
          <t>Bergvik skog väst AB</t>
        </is>
      </c>
      <c r="G53" t="n">
        <v>6</v>
      </c>
      <c r="H53" t="n">
        <v>0</v>
      </c>
      <c r="I53" t="n">
        <v>1</v>
      </c>
      <c r="J53" t="n">
        <v>0</v>
      </c>
      <c r="K53" t="n">
        <v>0</v>
      </c>
      <c r="L53" t="n">
        <v>0</v>
      </c>
      <c r="M53" t="n">
        <v>0</v>
      </c>
      <c r="N53" t="n">
        <v>0</v>
      </c>
      <c r="O53" t="n">
        <v>0</v>
      </c>
      <c r="P53" t="n">
        <v>0</v>
      </c>
      <c r="Q53" t="n">
        <v>1</v>
      </c>
      <c r="R53" s="2" t="inlineStr">
        <is>
          <t>Vedticka</t>
        </is>
      </c>
      <c r="S53">
        <f>HYPERLINK("https://klasma.github.io/Logging_2085/artfynd/A 33055-2023 artfynd.xlsx", "A 33055-2023")</f>
        <v/>
      </c>
      <c r="T53">
        <f>HYPERLINK("https://klasma.github.io/Logging_2085/kartor/A 33055-2023 karta.png", "A 33055-2023")</f>
        <v/>
      </c>
      <c r="V53">
        <f>HYPERLINK("https://klasma.github.io/Logging_2085/klagomål/A 33055-2023 FSC-klagomål.docx", "A 33055-2023")</f>
        <v/>
      </c>
      <c r="W53">
        <f>HYPERLINK("https://klasma.github.io/Logging_2085/klagomålsmail/A 33055-2023 FSC-klagomål mail.docx", "A 33055-2023")</f>
        <v/>
      </c>
      <c r="X53">
        <f>HYPERLINK("https://klasma.github.io/Logging_2085/tillsyn/A 33055-2023 tillsynsbegäran.docx", "A 33055-2023")</f>
        <v/>
      </c>
      <c r="Y53">
        <f>HYPERLINK("https://klasma.github.io/Logging_2085/tillsynsmail/A 33055-2023 tillsynsbegäran mail.docx", "A 33055-2023")</f>
        <v/>
      </c>
    </row>
    <row r="54" ht="15" customHeight="1">
      <c r="A54" t="inlineStr">
        <is>
          <t>A 34539-2023</t>
        </is>
      </c>
      <c r="B54" s="1" t="n">
        <v>45140</v>
      </c>
      <c r="C54" s="1" t="n">
        <v>45361</v>
      </c>
      <c r="D54" t="inlineStr">
        <is>
          <t>DALARNAS LÄN</t>
        </is>
      </c>
      <c r="E54" t="inlineStr">
        <is>
          <t>LUDVIKA</t>
        </is>
      </c>
      <c r="F54" t="inlineStr">
        <is>
          <t>Bergvik skog väst AB</t>
        </is>
      </c>
      <c r="G54" t="n">
        <v>6.1</v>
      </c>
      <c r="H54" t="n">
        <v>1</v>
      </c>
      <c r="I54" t="n">
        <v>0</v>
      </c>
      <c r="J54" t="n">
        <v>0</v>
      </c>
      <c r="K54" t="n">
        <v>0</v>
      </c>
      <c r="L54" t="n">
        <v>0</v>
      </c>
      <c r="M54" t="n">
        <v>0</v>
      </c>
      <c r="N54" t="n">
        <v>0</v>
      </c>
      <c r="O54" t="n">
        <v>0</v>
      </c>
      <c r="P54" t="n">
        <v>0</v>
      </c>
      <c r="Q54" t="n">
        <v>1</v>
      </c>
      <c r="R54" s="2" t="inlineStr">
        <is>
          <t>Gullviva</t>
        </is>
      </c>
      <c r="S54">
        <f>HYPERLINK("https://klasma.github.io/Logging_2085/artfynd/A 34539-2023 artfynd.xlsx", "A 34539-2023")</f>
        <v/>
      </c>
      <c r="T54">
        <f>HYPERLINK("https://klasma.github.io/Logging_2085/kartor/A 34539-2023 karta.png", "A 34539-2023")</f>
        <v/>
      </c>
      <c r="V54">
        <f>HYPERLINK("https://klasma.github.io/Logging_2085/klagomål/A 34539-2023 FSC-klagomål.docx", "A 34539-2023")</f>
        <v/>
      </c>
      <c r="W54">
        <f>HYPERLINK("https://klasma.github.io/Logging_2085/klagomålsmail/A 34539-2023 FSC-klagomål mail.docx", "A 34539-2023")</f>
        <v/>
      </c>
      <c r="X54">
        <f>HYPERLINK("https://klasma.github.io/Logging_2085/tillsyn/A 34539-2023 tillsynsbegäran.docx", "A 34539-2023")</f>
        <v/>
      </c>
      <c r="Y54">
        <f>HYPERLINK("https://klasma.github.io/Logging_2085/tillsynsmail/A 34539-2023 tillsynsbegäran mail.docx", "A 34539-2023")</f>
        <v/>
      </c>
    </row>
    <row r="55" ht="15" customHeight="1">
      <c r="A55" t="inlineStr">
        <is>
          <t>A 36559-2023</t>
        </is>
      </c>
      <c r="B55" s="1" t="n">
        <v>45153</v>
      </c>
      <c r="C55" s="1" t="n">
        <v>45361</v>
      </c>
      <c r="D55" t="inlineStr">
        <is>
          <t>DALARNAS LÄN</t>
        </is>
      </c>
      <c r="E55" t="inlineStr">
        <is>
          <t>LUDVIKA</t>
        </is>
      </c>
      <c r="F55" t="inlineStr">
        <is>
          <t>Bergvik skog väst AB</t>
        </is>
      </c>
      <c r="G55" t="n">
        <v>34.7</v>
      </c>
      <c r="H55" t="n">
        <v>0</v>
      </c>
      <c r="I55" t="n">
        <v>0</v>
      </c>
      <c r="J55" t="n">
        <v>1</v>
      </c>
      <c r="K55" t="n">
        <v>0</v>
      </c>
      <c r="L55" t="n">
        <v>0</v>
      </c>
      <c r="M55" t="n">
        <v>0</v>
      </c>
      <c r="N55" t="n">
        <v>0</v>
      </c>
      <c r="O55" t="n">
        <v>1</v>
      </c>
      <c r="P55" t="n">
        <v>0</v>
      </c>
      <c r="Q55" t="n">
        <v>1</v>
      </c>
      <c r="R55" s="2" t="inlineStr">
        <is>
          <t>Garnlav</t>
        </is>
      </c>
      <c r="S55">
        <f>HYPERLINK("https://klasma.github.io/Logging_2085/artfynd/A 36559-2023 artfynd.xlsx", "A 36559-2023")</f>
        <v/>
      </c>
      <c r="T55">
        <f>HYPERLINK("https://klasma.github.io/Logging_2085/kartor/A 36559-2023 karta.png", "A 36559-2023")</f>
        <v/>
      </c>
      <c r="V55">
        <f>HYPERLINK("https://klasma.github.io/Logging_2085/klagomål/A 36559-2023 FSC-klagomål.docx", "A 36559-2023")</f>
        <v/>
      </c>
      <c r="W55">
        <f>HYPERLINK("https://klasma.github.io/Logging_2085/klagomålsmail/A 36559-2023 FSC-klagomål mail.docx", "A 36559-2023")</f>
        <v/>
      </c>
      <c r="X55">
        <f>HYPERLINK("https://klasma.github.io/Logging_2085/tillsyn/A 36559-2023 tillsynsbegäran.docx", "A 36559-2023")</f>
        <v/>
      </c>
      <c r="Y55">
        <f>HYPERLINK("https://klasma.github.io/Logging_2085/tillsynsmail/A 36559-2023 tillsynsbegäran mail.docx", "A 36559-2023")</f>
        <v/>
      </c>
    </row>
    <row r="56" ht="15" customHeight="1">
      <c r="A56" t="inlineStr">
        <is>
          <t>A 42089-2023</t>
        </is>
      </c>
      <c r="B56" s="1" t="n">
        <v>45177</v>
      </c>
      <c r="C56" s="1" t="n">
        <v>45361</v>
      </c>
      <c r="D56" t="inlineStr">
        <is>
          <t>DALARNAS LÄN</t>
        </is>
      </c>
      <c r="E56" t="inlineStr">
        <is>
          <t>LUDVIKA</t>
        </is>
      </c>
      <c r="F56" t="inlineStr">
        <is>
          <t>Bergvik skog väst AB</t>
        </is>
      </c>
      <c r="G56" t="n">
        <v>2.5</v>
      </c>
      <c r="H56" t="n">
        <v>0</v>
      </c>
      <c r="I56" t="n">
        <v>0</v>
      </c>
      <c r="J56" t="n">
        <v>1</v>
      </c>
      <c r="K56" t="n">
        <v>0</v>
      </c>
      <c r="L56" t="n">
        <v>0</v>
      </c>
      <c r="M56" t="n">
        <v>0</v>
      </c>
      <c r="N56" t="n">
        <v>0</v>
      </c>
      <c r="O56" t="n">
        <v>1</v>
      </c>
      <c r="P56" t="n">
        <v>0</v>
      </c>
      <c r="Q56" t="n">
        <v>1</v>
      </c>
      <c r="R56" s="2" t="inlineStr">
        <is>
          <t>Ullticka</t>
        </is>
      </c>
      <c r="S56">
        <f>HYPERLINK("https://klasma.github.io/Logging_2085/artfynd/A 42089-2023 artfynd.xlsx", "A 42089-2023")</f>
        <v/>
      </c>
      <c r="T56">
        <f>HYPERLINK("https://klasma.github.io/Logging_2085/kartor/A 42089-2023 karta.png", "A 42089-2023")</f>
        <v/>
      </c>
      <c r="V56">
        <f>HYPERLINK("https://klasma.github.io/Logging_2085/klagomål/A 42089-2023 FSC-klagomål.docx", "A 42089-2023")</f>
        <v/>
      </c>
      <c r="W56">
        <f>HYPERLINK("https://klasma.github.io/Logging_2085/klagomålsmail/A 42089-2023 FSC-klagomål mail.docx", "A 42089-2023")</f>
        <v/>
      </c>
      <c r="X56">
        <f>HYPERLINK("https://klasma.github.io/Logging_2085/tillsyn/A 42089-2023 tillsynsbegäran.docx", "A 42089-2023")</f>
        <v/>
      </c>
      <c r="Y56">
        <f>HYPERLINK("https://klasma.github.io/Logging_2085/tillsynsmail/A 42089-2023 tillsynsbegäran mail.docx", "A 42089-2023")</f>
        <v/>
      </c>
    </row>
    <row r="57" ht="15" customHeight="1">
      <c r="A57" t="inlineStr">
        <is>
          <t>A 44578-2023</t>
        </is>
      </c>
      <c r="B57" s="1" t="n">
        <v>45189</v>
      </c>
      <c r="C57" s="1" t="n">
        <v>45361</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46398-2023</t>
        </is>
      </c>
      <c r="B58" s="1" t="n">
        <v>45197</v>
      </c>
      <c r="C58" s="1" t="n">
        <v>45361</v>
      </c>
      <c r="D58" t="inlineStr">
        <is>
          <t>DALARNAS LÄN</t>
        </is>
      </c>
      <c r="E58" t="inlineStr">
        <is>
          <t>LUDVIKA</t>
        </is>
      </c>
      <c r="G58" t="n">
        <v>2.1</v>
      </c>
      <c r="H58" t="n">
        <v>1</v>
      </c>
      <c r="I58" t="n">
        <v>0</v>
      </c>
      <c r="J58" t="n">
        <v>0</v>
      </c>
      <c r="K58" t="n">
        <v>1</v>
      </c>
      <c r="L58" t="n">
        <v>0</v>
      </c>
      <c r="M58" t="n">
        <v>0</v>
      </c>
      <c r="N58" t="n">
        <v>0</v>
      </c>
      <c r="O58" t="n">
        <v>1</v>
      </c>
      <c r="P58" t="n">
        <v>1</v>
      </c>
      <c r="Q58" t="n">
        <v>1</v>
      </c>
      <c r="R58" s="2" t="inlineStr">
        <is>
          <t>Knärot</t>
        </is>
      </c>
      <c r="S58">
        <f>HYPERLINK("https://klasma.github.io/Logging_2085/artfynd/A 46398-2023 artfynd.xlsx", "A 46398-2023")</f>
        <v/>
      </c>
      <c r="T58">
        <f>HYPERLINK("https://klasma.github.io/Logging_2085/kartor/A 46398-2023 karta.png", "A 46398-2023")</f>
        <v/>
      </c>
      <c r="U58">
        <f>HYPERLINK("https://klasma.github.io/Logging_2085/knärot/A 46398-2023 karta knärot.png", "A 46398-2023")</f>
        <v/>
      </c>
      <c r="V58">
        <f>HYPERLINK("https://klasma.github.io/Logging_2085/klagomål/A 46398-2023 FSC-klagomål.docx", "A 46398-2023")</f>
        <v/>
      </c>
      <c r="W58">
        <f>HYPERLINK("https://klasma.github.io/Logging_2085/klagomålsmail/A 46398-2023 FSC-klagomål mail.docx", "A 46398-2023")</f>
        <v/>
      </c>
      <c r="X58">
        <f>HYPERLINK("https://klasma.github.io/Logging_2085/tillsyn/A 46398-2023 tillsynsbegäran.docx", "A 46398-2023")</f>
        <v/>
      </c>
      <c r="Y58">
        <f>HYPERLINK("https://klasma.github.io/Logging_2085/tillsynsmail/A 46398-2023 tillsynsbegäran mail.docx", "A 46398-2023")</f>
        <v/>
      </c>
    </row>
    <row r="59" ht="15" customHeight="1">
      <c r="A59" t="inlineStr">
        <is>
          <t>A 48544-2023</t>
        </is>
      </c>
      <c r="B59" s="1" t="n">
        <v>45208</v>
      </c>
      <c r="C59" s="1" t="n">
        <v>45361</v>
      </c>
      <c r="D59" t="inlineStr">
        <is>
          <t>DALARNAS LÄN</t>
        </is>
      </c>
      <c r="E59" t="inlineStr">
        <is>
          <t>LUDVIKA</t>
        </is>
      </c>
      <c r="F59" t="inlineStr">
        <is>
          <t>Bergvik skog väst AB</t>
        </is>
      </c>
      <c r="G59" t="n">
        <v>0.9</v>
      </c>
      <c r="H59" t="n">
        <v>0</v>
      </c>
      <c r="I59" t="n">
        <v>0</v>
      </c>
      <c r="J59" t="n">
        <v>1</v>
      </c>
      <c r="K59" t="n">
        <v>0</v>
      </c>
      <c r="L59" t="n">
        <v>0</v>
      </c>
      <c r="M59" t="n">
        <v>0</v>
      </c>
      <c r="N59" t="n">
        <v>0</v>
      </c>
      <c r="O59" t="n">
        <v>1</v>
      </c>
      <c r="P59" t="n">
        <v>0</v>
      </c>
      <c r="Q59" t="n">
        <v>1</v>
      </c>
      <c r="R59" s="2" t="inlineStr">
        <is>
          <t>Garnlav</t>
        </is>
      </c>
      <c r="S59">
        <f>HYPERLINK("https://klasma.github.io/Logging_2085/artfynd/A 48544-2023 artfynd.xlsx", "A 48544-2023")</f>
        <v/>
      </c>
      <c r="T59">
        <f>HYPERLINK("https://klasma.github.io/Logging_2085/kartor/A 48544-2023 karta.png", "A 48544-2023")</f>
        <v/>
      </c>
      <c r="V59">
        <f>HYPERLINK("https://klasma.github.io/Logging_2085/klagomål/A 48544-2023 FSC-klagomål.docx", "A 48544-2023")</f>
        <v/>
      </c>
      <c r="W59">
        <f>HYPERLINK("https://klasma.github.io/Logging_2085/klagomålsmail/A 48544-2023 FSC-klagomål mail.docx", "A 48544-2023")</f>
        <v/>
      </c>
      <c r="X59">
        <f>HYPERLINK("https://klasma.github.io/Logging_2085/tillsyn/A 48544-2023 tillsynsbegäran.docx", "A 48544-2023")</f>
        <v/>
      </c>
      <c r="Y59">
        <f>HYPERLINK("https://klasma.github.io/Logging_2085/tillsynsmail/A 48544-2023 tillsynsbegäran mail.docx", "A 48544-2023")</f>
        <v/>
      </c>
    </row>
    <row r="60" ht="15" customHeight="1">
      <c r="A60" t="inlineStr">
        <is>
          <t>A 42791-2018</t>
        </is>
      </c>
      <c r="B60" s="1" t="n">
        <v>43355</v>
      </c>
      <c r="C60" s="1" t="n">
        <v>45361</v>
      </c>
      <c r="D60" t="inlineStr">
        <is>
          <t>DALARNAS LÄN</t>
        </is>
      </c>
      <c r="E60" t="inlineStr">
        <is>
          <t>LUDVIKA</t>
        </is>
      </c>
      <c r="G60" t="n">
        <v>0.6</v>
      </c>
      <c r="H60" t="n">
        <v>0</v>
      </c>
      <c r="I60" t="n">
        <v>0</v>
      </c>
      <c r="J60" t="n">
        <v>0</v>
      </c>
      <c r="K60" t="n">
        <v>0</v>
      </c>
      <c r="L60" t="n">
        <v>0</v>
      </c>
      <c r="M60" t="n">
        <v>0</v>
      </c>
      <c r="N60" t="n">
        <v>0</v>
      </c>
      <c r="O60" t="n">
        <v>0</v>
      </c>
      <c r="P60" t="n">
        <v>0</v>
      </c>
      <c r="Q60" t="n">
        <v>0</v>
      </c>
      <c r="R60" s="2" t="inlineStr"/>
    </row>
    <row r="61" ht="15" customHeight="1">
      <c r="A61" t="inlineStr">
        <is>
          <t>A 45612-2018</t>
        </is>
      </c>
      <c r="B61" s="1" t="n">
        <v>43363</v>
      </c>
      <c r="C61" s="1" t="n">
        <v>45361</v>
      </c>
      <c r="D61" t="inlineStr">
        <is>
          <t>DALARNAS LÄN</t>
        </is>
      </c>
      <c r="E61" t="inlineStr">
        <is>
          <t>LUDVIKA</t>
        </is>
      </c>
      <c r="G61" t="n">
        <v>1.5</v>
      </c>
      <c r="H61" t="n">
        <v>0</v>
      </c>
      <c r="I61" t="n">
        <v>0</v>
      </c>
      <c r="J61" t="n">
        <v>0</v>
      </c>
      <c r="K61" t="n">
        <v>0</v>
      </c>
      <c r="L61" t="n">
        <v>0</v>
      </c>
      <c r="M61" t="n">
        <v>0</v>
      </c>
      <c r="N61" t="n">
        <v>0</v>
      </c>
      <c r="O61" t="n">
        <v>0</v>
      </c>
      <c r="P61" t="n">
        <v>0</v>
      </c>
      <c r="Q61" t="n">
        <v>0</v>
      </c>
      <c r="R61" s="2" t="inlineStr"/>
    </row>
    <row r="62" ht="15" customHeight="1">
      <c r="A62" t="inlineStr">
        <is>
          <t>A 61742-2018</t>
        </is>
      </c>
      <c r="B62" s="1" t="n">
        <v>43384</v>
      </c>
      <c r="C62" s="1" t="n">
        <v>45361</v>
      </c>
      <c r="D62" t="inlineStr">
        <is>
          <t>DALARNAS LÄN</t>
        </is>
      </c>
      <c r="E62" t="inlineStr">
        <is>
          <t>LUDVIKA</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63876-2018</t>
        </is>
      </c>
      <c r="B63" s="1" t="n">
        <v>43385</v>
      </c>
      <c r="C63" s="1" t="n">
        <v>45361</v>
      </c>
      <c r="D63" t="inlineStr">
        <is>
          <t>DALARNAS LÄN</t>
        </is>
      </c>
      <c r="E63" t="inlineStr">
        <is>
          <t>LUDVIKA</t>
        </is>
      </c>
      <c r="F63" t="inlineStr">
        <is>
          <t>Bergvik skog väst AB</t>
        </is>
      </c>
      <c r="G63" t="n">
        <v>2.8</v>
      </c>
      <c r="H63" t="n">
        <v>0</v>
      </c>
      <c r="I63" t="n">
        <v>0</v>
      </c>
      <c r="J63" t="n">
        <v>0</v>
      </c>
      <c r="K63" t="n">
        <v>0</v>
      </c>
      <c r="L63" t="n">
        <v>0</v>
      </c>
      <c r="M63" t="n">
        <v>0</v>
      </c>
      <c r="N63" t="n">
        <v>0</v>
      </c>
      <c r="O63" t="n">
        <v>0</v>
      </c>
      <c r="P63" t="n">
        <v>0</v>
      </c>
      <c r="Q63" t="n">
        <v>0</v>
      </c>
      <c r="R63" s="2" t="inlineStr"/>
    </row>
    <row r="64" ht="15" customHeight="1">
      <c r="A64" t="inlineStr">
        <is>
          <t>A 62183-2018</t>
        </is>
      </c>
      <c r="B64" s="1" t="n">
        <v>43385</v>
      </c>
      <c r="C64" s="1" t="n">
        <v>45361</v>
      </c>
      <c r="D64" t="inlineStr">
        <is>
          <t>DALARNAS LÄN</t>
        </is>
      </c>
      <c r="E64" t="inlineStr">
        <is>
          <t>LUDVIKA</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62147-2018</t>
        </is>
      </c>
      <c r="B65" s="1" t="n">
        <v>43385</v>
      </c>
      <c r="C65" s="1" t="n">
        <v>45361</v>
      </c>
      <c r="D65" t="inlineStr">
        <is>
          <t>DALARNAS LÄN</t>
        </is>
      </c>
      <c r="E65" t="inlineStr">
        <is>
          <t>LUDVIKA</t>
        </is>
      </c>
      <c r="F65" t="inlineStr">
        <is>
          <t>Bergvik skog väst AB</t>
        </is>
      </c>
      <c r="G65" t="n">
        <v>5.6</v>
      </c>
      <c r="H65" t="n">
        <v>0</v>
      </c>
      <c r="I65" t="n">
        <v>0</v>
      </c>
      <c r="J65" t="n">
        <v>0</v>
      </c>
      <c r="K65" t="n">
        <v>0</v>
      </c>
      <c r="L65" t="n">
        <v>0</v>
      </c>
      <c r="M65" t="n">
        <v>0</v>
      </c>
      <c r="N65" t="n">
        <v>0</v>
      </c>
      <c r="O65" t="n">
        <v>0</v>
      </c>
      <c r="P65" t="n">
        <v>0</v>
      </c>
      <c r="Q65" t="n">
        <v>0</v>
      </c>
      <c r="R65" s="2" t="inlineStr"/>
    </row>
    <row r="66" ht="15" customHeight="1">
      <c r="A66" t="inlineStr">
        <is>
          <t>A 72671-2018</t>
        </is>
      </c>
      <c r="B66" s="1" t="n">
        <v>43389</v>
      </c>
      <c r="C66" s="1" t="n">
        <v>45361</v>
      </c>
      <c r="D66" t="inlineStr">
        <is>
          <t>DALARNAS LÄN</t>
        </is>
      </c>
      <c r="E66" t="inlineStr">
        <is>
          <t>LUDVIKA</t>
        </is>
      </c>
      <c r="F66" t="inlineStr">
        <is>
          <t>Bergvik skog väst AB</t>
        </is>
      </c>
      <c r="G66" t="n">
        <v>4.1</v>
      </c>
      <c r="H66" t="n">
        <v>0</v>
      </c>
      <c r="I66" t="n">
        <v>0</v>
      </c>
      <c r="J66" t="n">
        <v>0</v>
      </c>
      <c r="K66" t="n">
        <v>0</v>
      </c>
      <c r="L66" t="n">
        <v>0</v>
      </c>
      <c r="M66" t="n">
        <v>0</v>
      </c>
      <c r="N66" t="n">
        <v>0</v>
      </c>
      <c r="O66" t="n">
        <v>0</v>
      </c>
      <c r="P66" t="n">
        <v>0</v>
      </c>
      <c r="Q66" t="n">
        <v>0</v>
      </c>
      <c r="R66" s="2" t="inlineStr"/>
    </row>
    <row r="67" ht="15" customHeight="1">
      <c r="A67" t="inlineStr">
        <is>
          <t>A 72673-2018</t>
        </is>
      </c>
      <c r="B67" s="1" t="n">
        <v>43389</v>
      </c>
      <c r="C67" s="1" t="n">
        <v>45361</v>
      </c>
      <c r="D67" t="inlineStr">
        <is>
          <t>DALARNAS LÄN</t>
        </is>
      </c>
      <c r="E67" t="inlineStr">
        <is>
          <t>LUDVIKA</t>
        </is>
      </c>
      <c r="F67" t="inlineStr">
        <is>
          <t>Bergvik skog väst AB</t>
        </is>
      </c>
      <c r="G67" t="n">
        <v>5.6</v>
      </c>
      <c r="H67" t="n">
        <v>0</v>
      </c>
      <c r="I67" t="n">
        <v>0</v>
      </c>
      <c r="J67" t="n">
        <v>0</v>
      </c>
      <c r="K67" t="n">
        <v>0</v>
      </c>
      <c r="L67" t="n">
        <v>0</v>
      </c>
      <c r="M67" t="n">
        <v>0</v>
      </c>
      <c r="N67" t="n">
        <v>0</v>
      </c>
      <c r="O67" t="n">
        <v>0</v>
      </c>
      <c r="P67" t="n">
        <v>0</v>
      </c>
      <c r="Q67" t="n">
        <v>0</v>
      </c>
      <c r="R67" s="2" t="inlineStr"/>
    </row>
    <row r="68" ht="15" customHeight="1">
      <c r="A68" t="inlineStr">
        <is>
          <t>A 57057-2018</t>
        </is>
      </c>
      <c r="B68" s="1" t="n">
        <v>43403</v>
      </c>
      <c r="C68" s="1" t="n">
        <v>45361</v>
      </c>
      <c r="D68" t="inlineStr">
        <is>
          <t>DALARNAS LÄN</t>
        </is>
      </c>
      <c r="E68" t="inlineStr">
        <is>
          <t>LUDVIKA</t>
        </is>
      </c>
      <c r="F68" t="inlineStr">
        <is>
          <t>Bergvik skog väst AB</t>
        </is>
      </c>
      <c r="G68" t="n">
        <v>7.6</v>
      </c>
      <c r="H68" t="n">
        <v>0</v>
      </c>
      <c r="I68" t="n">
        <v>0</v>
      </c>
      <c r="J68" t="n">
        <v>0</v>
      </c>
      <c r="K68" t="n">
        <v>0</v>
      </c>
      <c r="L68" t="n">
        <v>0</v>
      </c>
      <c r="M68" t="n">
        <v>0</v>
      </c>
      <c r="N68" t="n">
        <v>0</v>
      </c>
      <c r="O68" t="n">
        <v>0</v>
      </c>
      <c r="P68" t="n">
        <v>0</v>
      </c>
      <c r="Q68" t="n">
        <v>0</v>
      </c>
      <c r="R68" s="2" t="inlineStr"/>
    </row>
    <row r="69" ht="15" customHeight="1">
      <c r="A69" t="inlineStr">
        <is>
          <t>A 57495-2018</t>
        </is>
      </c>
      <c r="B69" s="1" t="n">
        <v>43404</v>
      </c>
      <c r="C69" s="1" t="n">
        <v>45361</v>
      </c>
      <c r="D69" t="inlineStr">
        <is>
          <t>DALARNAS LÄN</t>
        </is>
      </c>
      <c r="E69" t="inlineStr">
        <is>
          <t>LUDVIKA</t>
        </is>
      </c>
      <c r="F69" t="inlineStr">
        <is>
          <t>Bergvik skog väst AB</t>
        </is>
      </c>
      <c r="G69" t="n">
        <v>5.3</v>
      </c>
      <c r="H69" t="n">
        <v>0</v>
      </c>
      <c r="I69" t="n">
        <v>0</v>
      </c>
      <c r="J69" t="n">
        <v>0</v>
      </c>
      <c r="K69" t="n">
        <v>0</v>
      </c>
      <c r="L69" t="n">
        <v>0</v>
      </c>
      <c r="M69" t="n">
        <v>0</v>
      </c>
      <c r="N69" t="n">
        <v>0</v>
      </c>
      <c r="O69" t="n">
        <v>0</v>
      </c>
      <c r="P69" t="n">
        <v>0</v>
      </c>
      <c r="Q69" t="n">
        <v>0</v>
      </c>
      <c r="R69" s="2" t="inlineStr"/>
    </row>
    <row r="70" ht="15" customHeight="1">
      <c r="A70" t="inlineStr">
        <is>
          <t>A 57527-2018</t>
        </is>
      </c>
      <c r="B70" s="1" t="n">
        <v>43404</v>
      </c>
      <c r="C70" s="1" t="n">
        <v>45361</v>
      </c>
      <c r="D70" t="inlineStr">
        <is>
          <t>DALARNAS LÄN</t>
        </is>
      </c>
      <c r="E70" t="inlineStr">
        <is>
          <t>LUDVIKA</t>
        </is>
      </c>
      <c r="G70" t="n">
        <v>2</v>
      </c>
      <c r="H70" t="n">
        <v>0</v>
      </c>
      <c r="I70" t="n">
        <v>0</v>
      </c>
      <c r="J70" t="n">
        <v>0</v>
      </c>
      <c r="K70" t="n">
        <v>0</v>
      </c>
      <c r="L70" t="n">
        <v>0</v>
      </c>
      <c r="M70" t="n">
        <v>0</v>
      </c>
      <c r="N70" t="n">
        <v>0</v>
      </c>
      <c r="O70" t="n">
        <v>0</v>
      </c>
      <c r="P70" t="n">
        <v>0</v>
      </c>
      <c r="Q70" t="n">
        <v>0</v>
      </c>
      <c r="R70" s="2" t="inlineStr"/>
    </row>
    <row r="71" ht="15" customHeight="1">
      <c r="A71" t="inlineStr">
        <is>
          <t>A 57519-2018</t>
        </is>
      </c>
      <c r="B71" s="1" t="n">
        <v>43404</v>
      </c>
      <c r="C71" s="1" t="n">
        <v>45361</v>
      </c>
      <c r="D71" t="inlineStr">
        <is>
          <t>DALARNAS LÄN</t>
        </is>
      </c>
      <c r="E71" t="inlineStr">
        <is>
          <t>LUDVIKA</t>
        </is>
      </c>
      <c r="G71" t="n">
        <v>3.8</v>
      </c>
      <c r="H71" t="n">
        <v>0</v>
      </c>
      <c r="I71" t="n">
        <v>0</v>
      </c>
      <c r="J71" t="n">
        <v>0</v>
      </c>
      <c r="K71" t="n">
        <v>0</v>
      </c>
      <c r="L71" t="n">
        <v>0</v>
      </c>
      <c r="M71" t="n">
        <v>0</v>
      </c>
      <c r="N71" t="n">
        <v>0</v>
      </c>
      <c r="O71" t="n">
        <v>0</v>
      </c>
      <c r="P71" t="n">
        <v>0</v>
      </c>
      <c r="Q71" t="n">
        <v>0</v>
      </c>
      <c r="R71" s="2" t="inlineStr"/>
    </row>
    <row r="72" ht="15" customHeight="1">
      <c r="A72" t="inlineStr">
        <is>
          <t>A 59781-2018</t>
        </is>
      </c>
      <c r="B72" s="1" t="n">
        <v>43411</v>
      </c>
      <c r="C72" s="1" t="n">
        <v>45361</v>
      </c>
      <c r="D72" t="inlineStr">
        <is>
          <t>DALARNAS LÄN</t>
        </is>
      </c>
      <c r="E72" t="inlineStr">
        <is>
          <t>LUDVIKA</t>
        </is>
      </c>
      <c r="G72" t="n">
        <v>0.9</v>
      </c>
      <c r="H72" t="n">
        <v>0</v>
      </c>
      <c r="I72" t="n">
        <v>0</v>
      </c>
      <c r="J72" t="n">
        <v>0</v>
      </c>
      <c r="K72" t="n">
        <v>0</v>
      </c>
      <c r="L72" t="n">
        <v>0</v>
      </c>
      <c r="M72" t="n">
        <v>0</v>
      </c>
      <c r="N72" t="n">
        <v>0</v>
      </c>
      <c r="O72" t="n">
        <v>0</v>
      </c>
      <c r="P72" t="n">
        <v>0</v>
      </c>
      <c r="Q72" t="n">
        <v>0</v>
      </c>
      <c r="R72" s="2" t="inlineStr"/>
    </row>
    <row r="73" ht="15" customHeight="1">
      <c r="A73" t="inlineStr">
        <is>
          <t>A 59786-2018</t>
        </is>
      </c>
      <c r="B73" s="1" t="n">
        <v>43411</v>
      </c>
      <c r="C73" s="1" t="n">
        <v>45361</v>
      </c>
      <c r="D73" t="inlineStr">
        <is>
          <t>DALARNAS LÄN</t>
        </is>
      </c>
      <c r="E73" t="inlineStr">
        <is>
          <t>LUDVIKA</t>
        </is>
      </c>
      <c r="G73" t="n">
        <v>2.1</v>
      </c>
      <c r="H73" t="n">
        <v>0</v>
      </c>
      <c r="I73" t="n">
        <v>0</v>
      </c>
      <c r="J73" t="n">
        <v>0</v>
      </c>
      <c r="K73" t="n">
        <v>0</v>
      </c>
      <c r="L73" t="n">
        <v>0</v>
      </c>
      <c r="M73" t="n">
        <v>0</v>
      </c>
      <c r="N73" t="n">
        <v>0</v>
      </c>
      <c r="O73" t="n">
        <v>0</v>
      </c>
      <c r="P73" t="n">
        <v>0</v>
      </c>
      <c r="Q73" t="n">
        <v>0</v>
      </c>
      <c r="R73" s="2" t="inlineStr"/>
    </row>
    <row r="74" ht="15" customHeight="1">
      <c r="A74" t="inlineStr">
        <is>
          <t>A 60285-2018</t>
        </is>
      </c>
      <c r="B74" s="1" t="n">
        <v>43413</v>
      </c>
      <c r="C74" s="1" t="n">
        <v>45361</v>
      </c>
      <c r="D74" t="inlineStr">
        <is>
          <t>DALARNAS LÄN</t>
        </is>
      </c>
      <c r="E74" t="inlineStr">
        <is>
          <t>LUDVIKA</t>
        </is>
      </c>
      <c r="F74" t="inlineStr">
        <is>
          <t>Kommuner</t>
        </is>
      </c>
      <c r="G74" t="n">
        <v>3.4</v>
      </c>
      <c r="H74" t="n">
        <v>0</v>
      </c>
      <c r="I74" t="n">
        <v>0</v>
      </c>
      <c r="J74" t="n">
        <v>0</v>
      </c>
      <c r="K74" t="n">
        <v>0</v>
      </c>
      <c r="L74" t="n">
        <v>0</v>
      </c>
      <c r="M74" t="n">
        <v>0</v>
      </c>
      <c r="N74" t="n">
        <v>0</v>
      </c>
      <c r="O74" t="n">
        <v>0</v>
      </c>
      <c r="P74" t="n">
        <v>0</v>
      </c>
      <c r="Q74" t="n">
        <v>0</v>
      </c>
      <c r="R74" s="2" t="inlineStr"/>
    </row>
    <row r="75" ht="15" customHeight="1">
      <c r="A75" t="inlineStr">
        <is>
          <t>A 62333-2018</t>
        </is>
      </c>
      <c r="B75" s="1" t="n">
        <v>43416</v>
      </c>
      <c r="C75" s="1" t="n">
        <v>45361</v>
      </c>
      <c r="D75" t="inlineStr">
        <is>
          <t>DALARNAS LÄN</t>
        </is>
      </c>
      <c r="E75" t="inlineStr">
        <is>
          <t>LUDVIKA</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61671-2018</t>
        </is>
      </c>
      <c r="B76" s="1" t="n">
        <v>43425</v>
      </c>
      <c r="C76" s="1" t="n">
        <v>45361</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63488-2018</t>
        </is>
      </c>
      <c r="B77" s="1" t="n">
        <v>43427</v>
      </c>
      <c r="C77" s="1" t="n">
        <v>45361</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66359-2018</t>
        </is>
      </c>
      <c r="B78" s="1" t="n">
        <v>43436</v>
      </c>
      <c r="C78" s="1" t="n">
        <v>45361</v>
      </c>
      <c r="D78" t="inlineStr">
        <is>
          <t>DALARNAS LÄN</t>
        </is>
      </c>
      <c r="E78" t="inlineStr">
        <is>
          <t>LUDVIKA</t>
        </is>
      </c>
      <c r="G78" t="n">
        <v>4.4</v>
      </c>
      <c r="H78" t="n">
        <v>0</v>
      </c>
      <c r="I78" t="n">
        <v>0</v>
      </c>
      <c r="J78" t="n">
        <v>0</v>
      </c>
      <c r="K78" t="n">
        <v>0</v>
      </c>
      <c r="L78" t="n">
        <v>0</v>
      </c>
      <c r="M78" t="n">
        <v>0</v>
      </c>
      <c r="N78" t="n">
        <v>0</v>
      </c>
      <c r="O78" t="n">
        <v>0</v>
      </c>
      <c r="P78" t="n">
        <v>0</v>
      </c>
      <c r="Q78" t="n">
        <v>0</v>
      </c>
      <c r="R78" s="2" t="inlineStr"/>
    </row>
    <row r="79" ht="15" customHeight="1">
      <c r="A79" t="inlineStr">
        <is>
          <t>A 69878-2018</t>
        </is>
      </c>
      <c r="B79" s="1" t="n">
        <v>43447</v>
      </c>
      <c r="C79" s="1" t="n">
        <v>45361</v>
      </c>
      <c r="D79" t="inlineStr">
        <is>
          <t>DALARNAS LÄN</t>
        </is>
      </c>
      <c r="E79" t="inlineStr">
        <is>
          <t>LUDVIKA</t>
        </is>
      </c>
      <c r="G79" t="n">
        <v>1.9</v>
      </c>
      <c r="H79" t="n">
        <v>0</v>
      </c>
      <c r="I79" t="n">
        <v>0</v>
      </c>
      <c r="J79" t="n">
        <v>0</v>
      </c>
      <c r="K79" t="n">
        <v>0</v>
      </c>
      <c r="L79" t="n">
        <v>0</v>
      </c>
      <c r="M79" t="n">
        <v>0</v>
      </c>
      <c r="N79" t="n">
        <v>0</v>
      </c>
      <c r="O79" t="n">
        <v>0</v>
      </c>
      <c r="P79" t="n">
        <v>0</v>
      </c>
      <c r="Q79" t="n">
        <v>0</v>
      </c>
      <c r="R79" s="2" t="inlineStr"/>
    </row>
    <row r="80" ht="15" customHeight="1">
      <c r="A80" t="inlineStr">
        <is>
          <t>A 70717-2018</t>
        </is>
      </c>
      <c r="B80" s="1" t="n">
        <v>43451</v>
      </c>
      <c r="C80" s="1" t="n">
        <v>45361</v>
      </c>
      <c r="D80" t="inlineStr">
        <is>
          <t>DALARNAS LÄN</t>
        </is>
      </c>
      <c r="E80" t="inlineStr">
        <is>
          <t>LUDVIKA</t>
        </is>
      </c>
      <c r="G80" t="n">
        <v>0.7</v>
      </c>
      <c r="H80" t="n">
        <v>0</v>
      </c>
      <c r="I80" t="n">
        <v>0</v>
      </c>
      <c r="J80" t="n">
        <v>0</v>
      </c>
      <c r="K80" t="n">
        <v>0</v>
      </c>
      <c r="L80" t="n">
        <v>0</v>
      </c>
      <c r="M80" t="n">
        <v>0</v>
      </c>
      <c r="N80" t="n">
        <v>0</v>
      </c>
      <c r="O80" t="n">
        <v>0</v>
      </c>
      <c r="P80" t="n">
        <v>0</v>
      </c>
      <c r="Q80" t="n">
        <v>0</v>
      </c>
      <c r="R80" s="2" t="inlineStr"/>
    </row>
    <row r="81" ht="15" customHeight="1">
      <c r="A81" t="inlineStr">
        <is>
          <t>A 71008-2018</t>
        </is>
      </c>
      <c r="B81" s="1" t="n">
        <v>43452</v>
      </c>
      <c r="C81" s="1" t="n">
        <v>45361</v>
      </c>
      <c r="D81" t="inlineStr">
        <is>
          <t>DALARNAS LÄN</t>
        </is>
      </c>
      <c r="E81" t="inlineStr">
        <is>
          <t>LUDVIKA</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947-2019</t>
        </is>
      </c>
      <c r="B82" s="1" t="n">
        <v>43472</v>
      </c>
      <c r="C82" s="1" t="n">
        <v>45361</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954-2019</t>
        </is>
      </c>
      <c r="B83" s="1" t="n">
        <v>43472</v>
      </c>
      <c r="C83" s="1" t="n">
        <v>45361</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950-2019</t>
        </is>
      </c>
      <c r="B84" s="1" t="n">
        <v>43472</v>
      </c>
      <c r="C84" s="1" t="n">
        <v>45361</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1474-2019</t>
        </is>
      </c>
      <c r="B85" s="1" t="n">
        <v>43473</v>
      </c>
      <c r="C85" s="1" t="n">
        <v>45361</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1745-2019</t>
        </is>
      </c>
      <c r="B86" s="1" t="n">
        <v>43474</v>
      </c>
      <c r="C86" s="1" t="n">
        <v>45361</v>
      </c>
      <c r="D86" t="inlineStr">
        <is>
          <t>DALARNAS LÄN</t>
        </is>
      </c>
      <c r="E86" t="inlineStr">
        <is>
          <t>LUDVIKA</t>
        </is>
      </c>
      <c r="F86" t="inlineStr">
        <is>
          <t>Naturvårdsverket</t>
        </is>
      </c>
      <c r="G86" t="n">
        <v>8.199999999999999</v>
      </c>
      <c r="H86" t="n">
        <v>0</v>
      </c>
      <c r="I86" t="n">
        <v>0</v>
      </c>
      <c r="J86" t="n">
        <v>0</v>
      </c>
      <c r="K86" t="n">
        <v>0</v>
      </c>
      <c r="L86" t="n">
        <v>0</v>
      </c>
      <c r="M86" t="n">
        <v>0</v>
      </c>
      <c r="N86" t="n">
        <v>0</v>
      </c>
      <c r="O86" t="n">
        <v>0</v>
      </c>
      <c r="P86" t="n">
        <v>0</v>
      </c>
      <c r="Q86" t="n">
        <v>0</v>
      </c>
      <c r="R86" s="2" t="inlineStr"/>
    </row>
    <row r="87" ht="15" customHeight="1">
      <c r="A87" t="inlineStr">
        <is>
          <t>A 3336-2019</t>
        </is>
      </c>
      <c r="B87" s="1" t="n">
        <v>43474</v>
      </c>
      <c r="C87" s="1" t="n">
        <v>45361</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3319-2019</t>
        </is>
      </c>
      <c r="B88" s="1" t="n">
        <v>43474</v>
      </c>
      <c r="C88" s="1" t="n">
        <v>45361</v>
      </c>
      <c r="D88" t="inlineStr">
        <is>
          <t>DALARNAS LÄN</t>
        </is>
      </c>
      <c r="E88" t="inlineStr">
        <is>
          <t>LUDVIKA</t>
        </is>
      </c>
      <c r="G88" t="n">
        <v>1.5</v>
      </c>
      <c r="H88" t="n">
        <v>0</v>
      </c>
      <c r="I88" t="n">
        <v>0</v>
      </c>
      <c r="J88" t="n">
        <v>0</v>
      </c>
      <c r="K88" t="n">
        <v>0</v>
      </c>
      <c r="L88" t="n">
        <v>0</v>
      </c>
      <c r="M88" t="n">
        <v>0</v>
      </c>
      <c r="N88" t="n">
        <v>0</v>
      </c>
      <c r="O88" t="n">
        <v>0</v>
      </c>
      <c r="P88" t="n">
        <v>0</v>
      </c>
      <c r="Q88" t="n">
        <v>0</v>
      </c>
      <c r="R88" s="2" t="inlineStr"/>
    </row>
    <row r="89" ht="15" customHeight="1">
      <c r="A89" t="inlineStr">
        <is>
          <t>A 6450-2019</t>
        </is>
      </c>
      <c r="B89" s="1" t="n">
        <v>43494</v>
      </c>
      <c r="C89" s="1" t="n">
        <v>45361</v>
      </c>
      <c r="D89" t="inlineStr">
        <is>
          <t>DALARNAS LÄN</t>
        </is>
      </c>
      <c r="E89" t="inlineStr">
        <is>
          <t>LUDVIKA</t>
        </is>
      </c>
      <c r="F89" t="inlineStr">
        <is>
          <t>Bergvik skog väst AB</t>
        </is>
      </c>
      <c r="G89" t="n">
        <v>26.8</v>
      </c>
      <c r="H89" t="n">
        <v>0</v>
      </c>
      <c r="I89" t="n">
        <v>0</v>
      </c>
      <c r="J89" t="n">
        <v>0</v>
      </c>
      <c r="K89" t="n">
        <v>0</v>
      </c>
      <c r="L89" t="n">
        <v>0</v>
      </c>
      <c r="M89" t="n">
        <v>0</v>
      </c>
      <c r="N89" t="n">
        <v>0</v>
      </c>
      <c r="O89" t="n">
        <v>0</v>
      </c>
      <c r="P89" t="n">
        <v>0</v>
      </c>
      <c r="Q89" t="n">
        <v>0</v>
      </c>
      <c r="R89" s="2" t="inlineStr"/>
    </row>
    <row r="90" ht="15" customHeight="1">
      <c r="A90" t="inlineStr">
        <is>
          <t>A 7510-2019</t>
        </is>
      </c>
      <c r="B90" s="1" t="n">
        <v>43497</v>
      </c>
      <c r="C90" s="1" t="n">
        <v>45361</v>
      </c>
      <c r="D90" t="inlineStr">
        <is>
          <t>DALARNAS LÄN</t>
        </is>
      </c>
      <c r="E90" t="inlineStr">
        <is>
          <t>LUDVIKA</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8436-2019</t>
        </is>
      </c>
      <c r="B91" s="1" t="n">
        <v>43500</v>
      </c>
      <c r="C91" s="1" t="n">
        <v>45361</v>
      </c>
      <c r="D91" t="inlineStr">
        <is>
          <t>DALARNAS LÄN</t>
        </is>
      </c>
      <c r="E91" t="inlineStr">
        <is>
          <t>LUDVIKA</t>
        </is>
      </c>
      <c r="G91" t="n">
        <v>2.4</v>
      </c>
      <c r="H91" t="n">
        <v>0</v>
      </c>
      <c r="I91" t="n">
        <v>0</v>
      </c>
      <c r="J91" t="n">
        <v>0</v>
      </c>
      <c r="K91" t="n">
        <v>0</v>
      </c>
      <c r="L91" t="n">
        <v>0</v>
      </c>
      <c r="M91" t="n">
        <v>0</v>
      </c>
      <c r="N91" t="n">
        <v>0</v>
      </c>
      <c r="O91" t="n">
        <v>0</v>
      </c>
      <c r="P91" t="n">
        <v>0</v>
      </c>
      <c r="Q91" t="n">
        <v>0</v>
      </c>
      <c r="R91" s="2" t="inlineStr"/>
    </row>
    <row r="92" ht="15" customHeight="1">
      <c r="A92" t="inlineStr">
        <is>
          <t>A 8637-2019</t>
        </is>
      </c>
      <c r="B92" s="1" t="n">
        <v>43501</v>
      </c>
      <c r="C92" s="1" t="n">
        <v>45361</v>
      </c>
      <c r="D92" t="inlineStr">
        <is>
          <t>DALARNAS LÄN</t>
        </is>
      </c>
      <c r="E92" t="inlineStr">
        <is>
          <t>LUDVIKA</t>
        </is>
      </c>
      <c r="F92" t="inlineStr">
        <is>
          <t>Bergvik skog väst AB</t>
        </is>
      </c>
      <c r="G92" t="n">
        <v>12.3</v>
      </c>
      <c r="H92" t="n">
        <v>0</v>
      </c>
      <c r="I92" t="n">
        <v>0</v>
      </c>
      <c r="J92" t="n">
        <v>0</v>
      </c>
      <c r="K92" t="n">
        <v>0</v>
      </c>
      <c r="L92" t="n">
        <v>0</v>
      </c>
      <c r="M92" t="n">
        <v>0</v>
      </c>
      <c r="N92" t="n">
        <v>0</v>
      </c>
      <c r="O92" t="n">
        <v>0</v>
      </c>
      <c r="P92" t="n">
        <v>0</v>
      </c>
      <c r="Q92" t="n">
        <v>0</v>
      </c>
      <c r="R92" s="2" t="inlineStr"/>
    </row>
    <row r="93" ht="15" customHeight="1">
      <c r="A93" t="inlineStr">
        <is>
          <t>A 8288-2019</t>
        </is>
      </c>
      <c r="B93" s="1" t="n">
        <v>43502</v>
      </c>
      <c r="C93" s="1" t="n">
        <v>45361</v>
      </c>
      <c r="D93" t="inlineStr">
        <is>
          <t>DALARNAS LÄN</t>
        </is>
      </c>
      <c r="E93" t="inlineStr">
        <is>
          <t>LUDVIKA</t>
        </is>
      </c>
      <c r="G93" t="n">
        <v>0.7</v>
      </c>
      <c r="H93" t="n">
        <v>0</v>
      </c>
      <c r="I93" t="n">
        <v>0</v>
      </c>
      <c r="J93" t="n">
        <v>0</v>
      </c>
      <c r="K93" t="n">
        <v>0</v>
      </c>
      <c r="L93" t="n">
        <v>0</v>
      </c>
      <c r="M93" t="n">
        <v>0</v>
      </c>
      <c r="N93" t="n">
        <v>0</v>
      </c>
      <c r="O93" t="n">
        <v>0</v>
      </c>
      <c r="P93" t="n">
        <v>0</v>
      </c>
      <c r="Q93" t="n">
        <v>0</v>
      </c>
      <c r="R93" s="2" t="inlineStr"/>
    </row>
    <row r="94" ht="15" customHeight="1">
      <c r="A94" t="inlineStr">
        <is>
          <t>A 13808-2019</t>
        </is>
      </c>
      <c r="B94" s="1" t="n">
        <v>43531</v>
      </c>
      <c r="C94" s="1" t="n">
        <v>45361</v>
      </c>
      <c r="D94" t="inlineStr">
        <is>
          <t>DALARNAS LÄN</t>
        </is>
      </c>
      <c r="E94" t="inlineStr">
        <is>
          <t>LUDVIKA</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13951-2019</t>
        </is>
      </c>
      <c r="B95" s="1" t="n">
        <v>43532</v>
      </c>
      <c r="C95" s="1" t="n">
        <v>45361</v>
      </c>
      <c r="D95" t="inlineStr">
        <is>
          <t>DALARNAS LÄN</t>
        </is>
      </c>
      <c r="E95" t="inlineStr">
        <is>
          <t>LUDVIKA</t>
        </is>
      </c>
      <c r="G95" t="n">
        <v>4.7</v>
      </c>
      <c r="H95" t="n">
        <v>0</v>
      </c>
      <c r="I95" t="n">
        <v>0</v>
      </c>
      <c r="J95" t="n">
        <v>0</v>
      </c>
      <c r="K95" t="n">
        <v>0</v>
      </c>
      <c r="L95" t="n">
        <v>0</v>
      </c>
      <c r="M95" t="n">
        <v>0</v>
      </c>
      <c r="N95" t="n">
        <v>0</v>
      </c>
      <c r="O95" t="n">
        <v>0</v>
      </c>
      <c r="P95" t="n">
        <v>0</v>
      </c>
      <c r="Q95" t="n">
        <v>0</v>
      </c>
      <c r="R95" s="2" t="inlineStr"/>
    </row>
    <row r="96" ht="15" customHeight="1">
      <c r="A96" t="inlineStr">
        <is>
          <t>A 16514-2019</t>
        </is>
      </c>
      <c r="B96" s="1" t="n">
        <v>43546</v>
      </c>
      <c r="C96" s="1" t="n">
        <v>45361</v>
      </c>
      <c r="D96" t="inlineStr">
        <is>
          <t>DALARNAS LÄN</t>
        </is>
      </c>
      <c r="E96" t="inlineStr">
        <is>
          <t>LUDVIKA</t>
        </is>
      </c>
      <c r="G96" t="n">
        <v>4.6</v>
      </c>
      <c r="H96" t="n">
        <v>0</v>
      </c>
      <c r="I96" t="n">
        <v>0</v>
      </c>
      <c r="J96" t="n">
        <v>0</v>
      </c>
      <c r="K96" t="n">
        <v>0</v>
      </c>
      <c r="L96" t="n">
        <v>0</v>
      </c>
      <c r="M96" t="n">
        <v>0</v>
      </c>
      <c r="N96" t="n">
        <v>0</v>
      </c>
      <c r="O96" t="n">
        <v>0</v>
      </c>
      <c r="P96" t="n">
        <v>0</v>
      </c>
      <c r="Q96" t="n">
        <v>0</v>
      </c>
      <c r="R96" s="2" t="inlineStr"/>
    </row>
    <row r="97" ht="15" customHeight="1">
      <c r="A97" t="inlineStr">
        <is>
          <t>A 17105-2019</t>
        </is>
      </c>
      <c r="B97" s="1" t="n">
        <v>43551</v>
      </c>
      <c r="C97" s="1" t="n">
        <v>45361</v>
      </c>
      <c r="D97" t="inlineStr">
        <is>
          <t>DALARNAS LÄN</t>
        </is>
      </c>
      <c r="E97" t="inlineStr">
        <is>
          <t>LUDVIKA</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17077-2019</t>
        </is>
      </c>
      <c r="B98" s="1" t="n">
        <v>43551</v>
      </c>
      <c r="C98" s="1" t="n">
        <v>45361</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17947-2019</t>
        </is>
      </c>
      <c r="B99" s="1" t="n">
        <v>43557</v>
      </c>
      <c r="C99" s="1" t="n">
        <v>45361</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45361</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45361</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45361</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45361</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45361</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45361</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45361</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45361</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45361</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45361</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45361</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45361</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45361</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45361</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45361</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45361</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45361</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45361</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45361</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45361</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45361</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45361</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45361</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45361</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45361</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45361</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45361</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45361</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45361</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45361</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45361</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45361</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45361</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45361</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45361</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45361</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45361</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45361</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45361</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45361</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45361</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45361</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45361</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45361</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45361</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45361</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45361</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45361</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45361</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45361</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45361</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45361</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45361</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45361</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45361</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45361</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45361</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45361</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45361</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45361</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45361</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45361</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45361</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45361</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45361</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45361</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45361</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45361</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45361</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45361</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45361</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45361</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45361</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45361</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45361</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45361</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45361</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45361</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45361</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45361</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45361</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45361</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45361</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45361</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45361</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45361</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45361</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45361</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45361</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45361</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45361</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45361</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45361</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45361</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45361</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45361</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45361</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45361</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45361</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45361</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45361</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45361</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45361</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45361</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45361</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45361</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45361</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45361</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45361</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45361</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45361</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45361</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45361</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45361</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45361</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45361</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45361</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45361</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45361</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45361</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45361</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45361</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45361</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45361</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45361</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45361</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45361</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45361</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45361</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45361</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45361</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45361</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54639-2020</t>
        </is>
      </c>
      <c r="B232" s="1" t="n">
        <v>44127</v>
      </c>
      <c r="C232" s="1" t="n">
        <v>45361</v>
      </c>
      <c r="D232" t="inlineStr">
        <is>
          <t>DALARNAS LÄN</t>
        </is>
      </c>
      <c r="E232" t="inlineStr">
        <is>
          <t>LUDVIKA</t>
        </is>
      </c>
      <c r="F232" t="inlineStr">
        <is>
          <t>Övriga Aktiebolag</t>
        </is>
      </c>
      <c r="G232" t="n">
        <v>25.9</v>
      </c>
      <c r="H232" t="n">
        <v>0</v>
      </c>
      <c r="I232" t="n">
        <v>0</v>
      </c>
      <c r="J232" t="n">
        <v>0</v>
      </c>
      <c r="K232" t="n">
        <v>0</v>
      </c>
      <c r="L232" t="n">
        <v>0</v>
      </c>
      <c r="M232" t="n">
        <v>0</v>
      </c>
      <c r="N232" t="n">
        <v>0</v>
      </c>
      <c r="O232" t="n">
        <v>0</v>
      </c>
      <c r="P232" t="n">
        <v>0</v>
      </c>
      <c r="Q232" t="n">
        <v>0</v>
      </c>
      <c r="R232" s="2" t="inlineStr"/>
    </row>
    <row r="233" ht="15" customHeight="1">
      <c r="A233" t="inlineStr">
        <is>
          <t>A 54641-2020</t>
        </is>
      </c>
      <c r="B233" s="1" t="n">
        <v>44127</v>
      </c>
      <c r="C233" s="1" t="n">
        <v>45361</v>
      </c>
      <c r="D233" t="inlineStr">
        <is>
          <t>DALARNAS LÄN</t>
        </is>
      </c>
      <c r="E233" t="inlineStr">
        <is>
          <t>LUDVIKA</t>
        </is>
      </c>
      <c r="F233" t="inlineStr">
        <is>
          <t>Övriga Aktiebolag</t>
        </is>
      </c>
      <c r="G233" t="n">
        <v>38.7</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45361</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45361</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45361</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45361</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45361</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45361</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45361</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45361</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45361</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45361</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45361</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45361</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45361</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45361</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45361</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45361</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45361</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45361</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45361</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45361</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45361</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45361</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45361</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45361</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45361</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45361</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45361</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45361</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45361</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45361</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45361</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45361</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45361</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45361</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45361</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45361</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45361</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45361</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45361</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45361</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45361</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45361</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45361</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45361</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45361</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45361</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45361</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45361</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45361</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45361</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45361</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45361</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45361</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45361</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45361</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45361</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45361</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45361</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45361</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45361</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45361</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45361</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45361</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45361</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45361</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45361</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45361</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45361</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45361</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45361</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45361</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45361</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45361</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45361</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45361</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45361</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45361</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45361</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45361</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45995-2021</t>
        </is>
      </c>
      <c r="B313" s="1" t="n">
        <v>44441</v>
      </c>
      <c r="C313" s="1" t="n">
        <v>45361</v>
      </c>
      <c r="D313" t="inlineStr">
        <is>
          <t>DALARNAS LÄN</t>
        </is>
      </c>
      <c r="E313" t="inlineStr">
        <is>
          <t>LUDVIKA</t>
        </is>
      </c>
      <c r="G313" t="n">
        <v>1.2</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45361</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45361</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45361</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45361</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45361</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45361</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45361</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45361</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45361</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45361</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45361</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45361</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45361</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45361</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45361</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45361</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45361</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45361</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45361</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45361</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45361</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45361</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45361</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45361</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45361</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45361</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45361</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45361</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45361</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45361</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45361</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45361</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45361</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45361</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45361</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45361</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45361</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45361</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45361</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45361</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45361</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45361</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45361</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45361</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45361</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45361</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45361</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45361</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45361</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45361</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45361</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45361</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45361</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45361</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45361</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45361</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45361</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45361</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45361</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45361</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45361</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45361</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45361</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45361</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45361</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45361</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45361</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45361</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45361</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45361</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45361</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45361</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45361</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45361</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45361</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45361</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45361</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45361</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45361</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45361</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45361</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45361</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45361</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45361</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45361</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45361</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45361</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45361</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45361</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45361</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45361</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45361</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45361</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45361</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45361</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45361</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45361</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45361</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45361</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45361</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45361</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45361</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45361</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45361</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45361</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45361</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45361</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45361</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45361</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45361</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45361</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45361</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45361</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45361</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45361</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45361</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45361</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45361</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45361</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45268-2022</t>
        </is>
      </c>
      <c r="B433" s="1" t="n">
        <v>44844</v>
      </c>
      <c r="C433" s="1" t="n">
        <v>45361</v>
      </c>
      <c r="D433" t="inlineStr">
        <is>
          <t>DALARNAS LÄN</t>
        </is>
      </c>
      <c r="E433" t="inlineStr">
        <is>
          <t>LUDVIKA</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45361</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45361</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45361</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45361</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45361</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45361</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45361</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45361</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45361</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45361</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45361</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45361</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45361</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45361</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45361</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45361</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45361</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45361</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45361</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45361</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45361</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45361</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45361</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45361</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45361</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45361</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45361</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45361</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45361</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45361</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45361</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45361</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45361</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45361</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45361</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45361</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45361</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45361</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45361</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45361</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45361</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45361</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45361</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45361</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45361</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45361</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45361</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45361</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45361</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45361</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45361</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45361</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45361</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45361</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45361</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381-2023</t>
        </is>
      </c>
      <c r="B489" s="1" t="n">
        <v>44929</v>
      </c>
      <c r="C489" s="1" t="n">
        <v>45361</v>
      </c>
      <c r="D489" t="inlineStr">
        <is>
          <t>DALARNAS LÄN</t>
        </is>
      </c>
      <c r="E489" t="inlineStr">
        <is>
          <t>LUDVIKA</t>
        </is>
      </c>
      <c r="G489" t="n">
        <v>7.9</v>
      </c>
      <c r="H489" t="n">
        <v>0</v>
      </c>
      <c r="I489" t="n">
        <v>0</v>
      </c>
      <c r="J489" t="n">
        <v>0</v>
      </c>
      <c r="K489" t="n">
        <v>0</v>
      </c>
      <c r="L489" t="n">
        <v>0</v>
      </c>
      <c r="M489" t="n">
        <v>0</v>
      </c>
      <c r="N489" t="n">
        <v>0</v>
      </c>
      <c r="O489" t="n">
        <v>0</v>
      </c>
      <c r="P489" t="n">
        <v>0</v>
      </c>
      <c r="Q489" t="n">
        <v>0</v>
      </c>
      <c r="R489" s="2" t="inlineStr"/>
    </row>
    <row r="490" ht="15" customHeight="1">
      <c r="A490" t="inlineStr">
        <is>
          <t>A 1047-2023</t>
        </is>
      </c>
      <c r="B490" s="1" t="n">
        <v>44929</v>
      </c>
      <c r="C490" s="1" t="n">
        <v>45361</v>
      </c>
      <c r="D490" t="inlineStr">
        <is>
          <t>DALARNAS LÄN</t>
        </is>
      </c>
      <c r="E490" t="inlineStr">
        <is>
          <t>LUDVIKA</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1647-2023</t>
        </is>
      </c>
      <c r="B491" s="1" t="n">
        <v>44937</v>
      </c>
      <c r="C491" s="1" t="n">
        <v>45361</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1852-2023</t>
        </is>
      </c>
      <c r="B492" s="1" t="n">
        <v>44938</v>
      </c>
      <c r="C492" s="1" t="n">
        <v>45361</v>
      </c>
      <c r="D492" t="inlineStr">
        <is>
          <t>DALARNAS LÄN</t>
        </is>
      </c>
      <c r="E492" t="inlineStr">
        <is>
          <t>LUDVIKA</t>
        </is>
      </c>
      <c r="G492" t="n">
        <v>4</v>
      </c>
      <c r="H492" t="n">
        <v>0</v>
      </c>
      <c r="I492" t="n">
        <v>0</v>
      </c>
      <c r="J492" t="n">
        <v>0</v>
      </c>
      <c r="K492" t="n">
        <v>0</v>
      </c>
      <c r="L492" t="n">
        <v>0</v>
      </c>
      <c r="M492" t="n">
        <v>0</v>
      </c>
      <c r="N492" t="n">
        <v>0</v>
      </c>
      <c r="O492" t="n">
        <v>0</v>
      </c>
      <c r="P492" t="n">
        <v>0</v>
      </c>
      <c r="Q492" t="n">
        <v>0</v>
      </c>
      <c r="R492" s="2" t="inlineStr"/>
    </row>
    <row r="493" ht="15" customHeight="1">
      <c r="A493" t="inlineStr">
        <is>
          <t>A 1878-2023</t>
        </is>
      </c>
      <c r="B493" s="1" t="n">
        <v>44939</v>
      </c>
      <c r="C493" s="1" t="n">
        <v>45361</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45361</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3509-2023</t>
        </is>
      </c>
      <c r="B495" s="1" t="n">
        <v>44950</v>
      </c>
      <c r="C495" s="1" t="n">
        <v>45361</v>
      </c>
      <c r="D495" t="inlineStr">
        <is>
          <t>DALARNAS LÄN</t>
        </is>
      </c>
      <c r="E495" t="inlineStr">
        <is>
          <t>LUDVIKA</t>
        </is>
      </c>
      <c r="F495" t="inlineStr">
        <is>
          <t>Naturvårdsverket</t>
        </is>
      </c>
      <c r="G495" t="n">
        <v>5.1</v>
      </c>
      <c r="H495" t="n">
        <v>0</v>
      </c>
      <c r="I495" t="n">
        <v>0</v>
      </c>
      <c r="J495" t="n">
        <v>0</v>
      </c>
      <c r="K495" t="n">
        <v>0</v>
      </c>
      <c r="L495" t="n">
        <v>0</v>
      </c>
      <c r="M495" t="n">
        <v>0</v>
      </c>
      <c r="N495" t="n">
        <v>0</v>
      </c>
      <c r="O495" t="n">
        <v>0</v>
      </c>
      <c r="P495" t="n">
        <v>0</v>
      </c>
      <c r="Q495" t="n">
        <v>0</v>
      </c>
      <c r="R495" s="2" t="inlineStr"/>
    </row>
    <row r="496" ht="15" customHeight="1">
      <c r="A496" t="inlineStr">
        <is>
          <t>A 4705-2023</t>
        </is>
      </c>
      <c r="B496" s="1" t="n">
        <v>44957</v>
      </c>
      <c r="C496" s="1" t="n">
        <v>45361</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4703-2023</t>
        </is>
      </c>
      <c r="B497" s="1" t="n">
        <v>44957</v>
      </c>
      <c r="C497" s="1" t="n">
        <v>45361</v>
      </c>
      <c r="D497" t="inlineStr">
        <is>
          <t>DALARNAS LÄN</t>
        </is>
      </c>
      <c r="E497" t="inlineStr">
        <is>
          <t>LUDVIKA</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4903-2023</t>
        </is>
      </c>
      <c r="B498" s="1" t="n">
        <v>44958</v>
      </c>
      <c r="C498" s="1" t="n">
        <v>45361</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4890-2023</t>
        </is>
      </c>
      <c r="B499" s="1" t="n">
        <v>44958</v>
      </c>
      <c r="C499" s="1" t="n">
        <v>45361</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5672-2023</t>
        </is>
      </c>
      <c r="B500" s="1" t="n">
        <v>44960</v>
      </c>
      <c r="C500" s="1" t="n">
        <v>45361</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5673-2023</t>
        </is>
      </c>
      <c r="B501" s="1" t="n">
        <v>44960</v>
      </c>
      <c r="C501" s="1" t="n">
        <v>45361</v>
      </c>
      <c r="D501" t="inlineStr">
        <is>
          <t>DALARNAS LÄN</t>
        </is>
      </c>
      <c r="E501" t="inlineStr">
        <is>
          <t>LUDVIKA</t>
        </is>
      </c>
      <c r="F501" t="inlineStr">
        <is>
          <t>Naturvårdsverket</t>
        </is>
      </c>
      <c r="G501" t="n">
        <v>0.7</v>
      </c>
      <c r="H501" t="n">
        <v>0</v>
      </c>
      <c r="I501" t="n">
        <v>0</v>
      </c>
      <c r="J501" t="n">
        <v>0</v>
      </c>
      <c r="K501" t="n">
        <v>0</v>
      </c>
      <c r="L501" t="n">
        <v>0</v>
      </c>
      <c r="M501" t="n">
        <v>0</v>
      </c>
      <c r="N501" t="n">
        <v>0</v>
      </c>
      <c r="O501" t="n">
        <v>0</v>
      </c>
      <c r="P501" t="n">
        <v>0</v>
      </c>
      <c r="Q501" t="n">
        <v>0</v>
      </c>
      <c r="R501" s="2" t="inlineStr"/>
    </row>
    <row r="502" ht="15" customHeight="1">
      <c r="A502" t="inlineStr">
        <is>
          <t>A 6579-2023</t>
        </is>
      </c>
      <c r="B502" s="1" t="n">
        <v>44960</v>
      </c>
      <c r="C502" s="1" t="n">
        <v>45361</v>
      </c>
      <c r="D502" t="inlineStr">
        <is>
          <t>DALARNAS LÄN</t>
        </is>
      </c>
      <c r="E502" t="inlineStr">
        <is>
          <t>LUDVIKA</t>
        </is>
      </c>
      <c r="G502" t="n">
        <v>3.4</v>
      </c>
      <c r="H502" t="n">
        <v>0</v>
      </c>
      <c r="I502" t="n">
        <v>0</v>
      </c>
      <c r="J502" t="n">
        <v>0</v>
      </c>
      <c r="K502" t="n">
        <v>0</v>
      </c>
      <c r="L502" t="n">
        <v>0</v>
      </c>
      <c r="M502" t="n">
        <v>0</v>
      </c>
      <c r="N502" t="n">
        <v>0</v>
      </c>
      <c r="O502" t="n">
        <v>0</v>
      </c>
      <c r="P502" t="n">
        <v>0</v>
      </c>
      <c r="Q502" t="n">
        <v>0</v>
      </c>
      <c r="R502" s="2" t="inlineStr"/>
    </row>
    <row r="503" ht="15" customHeight="1">
      <c r="A503" t="inlineStr">
        <is>
          <t>A 6593-2023</t>
        </is>
      </c>
      <c r="B503" s="1" t="n">
        <v>44960</v>
      </c>
      <c r="C503" s="1" t="n">
        <v>45361</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5599-2023</t>
        </is>
      </c>
      <c r="B504" s="1" t="n">
        <v>44960</v>
      </c>
      <c r="C504" s="1" t="n">
        <v>45361</v>
      </c>
      <c r="D504" t="inlineStr">
        <is>
          <t>DALARNAS LÄN</t>
        </is>
      </c>
      <c r="E504" t="inlineStr">
        <is>
          <t>LUDVIKA</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5752-2023</t>
        </is>
      </c>
      <c r="B505" s="1" t="n">
        <v>44963</v>
      </c>
      <c r="C505" s="1" t="n">
        <v>45361</v>
      </c>
      <c r="D505" t="inlineStr">
        <is>
          <t>DALARNAS LÄN</t>
        </is>
      </c>
      <c r="E505" t="inlineStr">
        <is>
          <t>LUDVIKA</t>
        </is>
      </c>
      <c r="F505" t="inlineStr">
        <is>
          <t>Bergvik skog väst AB</t>
        </is>
      </c>
      <c r="G505" t="n">
        <v>7.7</v>
      </c>
      <c r="H505" t="n">
        <v>0</v>
      </c>
      <c r="I505" t="n">
        <v>0</v>
      </c>
      <c r="J505" t="n">
        <v>0</v>
      </c>
      <c r="K505" t="n">
        <v>0</v>
      </c>
      <c r="L505" t="n">
        <v>0</v>
      </c>
      <c r="M505" t="n">
        <v>0</v>
      </c>
      <c r="N505" t="n">
        <v>0</v>
      </c>
      <c r="O505" t="n">
        <v>0</v>
      </c>
      <c r="P505" t="n">
        <v>0</v>
      </c>
      <c r="Q505" t="n">
        <v>0</v>
      </c>
      <c r="R505" s="2" t="inlineStr"/>
    </row>
    <row r="506" ht="15" customHeight="1">
      <c r="A506" t="inlineStr">
        <is>
          <t>A 6010-2023</t>
        </is>
      </c>
      <c r="B506" s="1" t="n">
        <v>44964</v>
      </c>
      <c r="C506" s="1" t="n">
        <v>45361</v>
      </c>
      <c r="D506" t="inlineStr">
        <is>
          <t>DALARNAS LÄN</t>
        </is>
      </c>
      <c r="E506" t="inlineStr">
        <is>
          <t>LUDVIKA</t>
        </is>
      </c>
      <c r="G506" t="n">
        <v>0.5</v>
      </c>
      <c r="H506" t="n">
        <v>0</v>
      </c>
      <c r="I506" t="n">
        <v>0</v>
      </c>
      <c r="J506" t="n">
        <v>0</v>
      </c>
      <c r="K506" t="n">
        <v>0</v>
      </c>
      <c r="L506" t="n">
        <v>0</v>
      </c>
      <c r="M506" t="n">
        <v>0</v>
      </c>
      <c r="N506" t="n">
        <v>0</v>
      </c>
      <c r="O506" t="n">
        <v>0</v>
      </c>
      <c r="P506" t="n">
        <v>0</v>
      </c>
      <c r="Q506" t="n">
        <v>0</v>
      </c>
      <c r="R506" s="2" t="inlineStr"/>
    </row>
    <row r="507" ht="15" customHeight="1">
      <c r="A507" t="inlineStr">
        <is>
          <t>A 6281-2023</t>
        </is>
      </c>
      <c r="B507" s="1" t="n">
        <v>44965</v>
      </c>
      <c r="C507" s="1" t="n">
        <v>45361</v>
      </c>
      <c r="D507" t="inlineStr">
        <is>
          <t>DALARNAS LÄN</t>
        </is>
      </c>
      <c r="E507" t="inlineStr">
        <is>
          <t>LUDVIKA</t>
        </is>
      </c>
      <c r="G507" t="n">
        <v>7.7</v>
      </c>
      <c r="H507" t="n">
        <v>0</v>
      </c>
      <c r="I507" t="n">
        <v>0</v>
      </c>
      <c r="J507" t="n">
        <v>0</v>
      </c>
      <c r="K507" t="n">
        <v>0</v>
      </c>
      <c r="L507" t="n">
        <v>0</v>
      </c>
      <c r="M507" t="n">
        <v>0</v>
      </c>
      <c r="N507" t="n">
        <v>0</v>
      </c>
      <c r="O507" t="n">
        <v>0</v>
      </c>
      <c r="P507" t="n">
        <v>0</v>
      </c>
      <c r="Q507" t="n">
        <v>0</v>
      </c>
      <c r="R507" s="2" t="inlineStr"/>
    </row>
    <row r="508" ht="15" customHeight="1">
      <c r="A508" t="inlineStr">
        <is>
          <t>A 6564-2023</t>
        </is>
      </c>
      <c r="B508" s="1" t="n">
        <v>44966</v>
      </c>
      <c r="C508" s="1" t="n">
        <v>45361</v>
      </c>
      <c r="D508" t="inlineStr">
        <is>
          <t>DALARNAS LÄN</t>
        </is>
      </c>
      <c r="E508" t="inlineStr">
        <is>
          <t>LUDVIKA</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6975-2023</t>
        </is>
      </c>
      <c r="B509" s="1" t="n">
        <v>44967</v>
      </c>
      <c r="C509" s="1" t="n">
        <v>45361</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7243-2023</t>
        </is>
      </c>
      <c r="B510" s="1" t="n">
        <v>44970</v>
      </c>
      <c r="C510" s="1" t="n">
        <v>45361</v>
      </c>
      <c r="D510" t="inlineStr">
        <is>
          <t>DALARNAS LÄN</t>
        </is>
      </c>
      <c r="E510" t="inlineStr">
        <is>
          <t>LUDVIKA</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v>
      </c>
      <c r="C511" s="1" t="n">
        <v>45361</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7173-2023</t>
        </is>
      </c>
      <c r="B512" s="1" t="n">
        <v>44970</v>
      </c>
      <c r="C512" s="1" t="n">
        <v>45361</v>
      </c>
      <c r="D512" t="inlineStr">
        <is>
          <t>DALARNAS LÄN</t>
        </is>
      </c>
      <c r="E512" t="inlineStr">
        <is>
          <t>LUDVIKA</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7435-2023</t>
        </is>
      </c>
      <c r="B513" s="1" t="n">
        <v>44971</v>
      </c>
      <c r="C513" s="1" t="n">
        <v>45361</v>
      </c>
      <c r="D513" t="inlineStr">
        <is>
          <t>DALARNAS LÄN</t>
        </is>
      </c>
      <c r="E513" t="inlineStr">
        <is>
          <t>LUDVIKA</t>
        </is>
      </c>
      <c r="F513" t="inlineStr">
        <is>
          <t>Naturvårdsverket</t>
        </is>
      </c>
      <c r="G513" t="n">
        <v>0.8</v>
      </c>
      <c r="H513" t="n">
        <v>0</v>
      </c>
      <c r="I513" t="n">
        <v>0</v>
      </c>
      <c r="J513" t="n">
        <v>0</v>
      </c>
      <c r="K513" t="n">
        <v>0</v>
      </c>
      <c r="L513" t="n">
        <v>0</v>
      </c>
      <c r="M513" t="n">
        <v>0</v>
      </c>
      <c r="N513" t="n">
        <v>0</v>
      </c>
      <c r="O513" t="n">
        <v>0</v>
      </c>
      <c r="P513" t="n">
        <v>0</v>
      </c>
      <c r="Q513" t="n">
        <v>0</v>
      </c>
      <c r="R513" s="2" t="inlineStr"/>
    </row>
    <row r="514" ht="15" customHeight="1">
      <c r="A514" t="inlineStr">
        <is>
          <t>A 7539-2023</t>
        </is>
      </c>
      <c r="B514" s="1" t="n">
        <v>44972</v>
      </c>
      <c r="C514" s="1" t="n">
        <v>45361</v>
      </c>
      <c r="D514" t="inlineStr">
        <is>
          <t>DALARNAS LÄN</t>
        </is>
      </c>
      <c r="E514" t="inlineStr">
        <is>
          <t>LUDVIKA</t>
        </is>
      </c>
      <c r="G514" t="n">
        <v>0.6</v>
      </c>
      <c r="H514" t="n">
        <v>0</v>
      </c>
      <c r="I514" t="n">
        <v>0</v>
      </c>
      <c r="J514" t="n">
        <v>0</v>
      </c>
      <c r="K514" t="n">
        <v>0</v>
      </c>
      <c r="L514" t="n">
        <v>0</v>
      </c>
      <c r="M514" t="n">
        <v>0</v>
      </c>
      <c r="N514" t="n">
        <v>0</v>
      </c>
      <c r="O514" t="n">
        <v>0</v>
      </c>
      <c r="P514" t="n">
        <v>0</v>
      </c>
      <c r="Q514" t="n">
        <v>0</v>
      </c>
      <c r="R514" s="2" t="inlineStr"/>
    </row>
    <row r="515" ht="15" customHeight="1">
      <c r="A515" t="inlineStr">
        <is>
          <t>A 8076-2023</t>
        </is>
      </c>
      <c r="B515" s="1" t="n">
        <v>44974</v>
      </c>
      <c r="C515" s="1" t="n">
        <v>45361</v>
      </c>
      <c r="D515" t="inlineStr">
        <is>
          <t>DALARNAS LÄN</t>
        </is>
      </c>
      <c r="E515" t="inlineStr">
        <is>
          <t>LUDVIKA</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8703-2023</t>
        </is>
      </c>
      <c r="B516" s="1" t="n">
        <v>44978</v>
      </c>
      <c r="C516" s="1" t="n">
        <v>45361</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v>
      </c>
      <c r="C517" s="1" t="n">
        <v>45361</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11797-2023</t>
        </is>
      </c>
      <c r="B518" s="1" t="n">
        <v>44994</v>
      </c>
      <c r="C518" s="1" t="n">
        <v>45361</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11755-2023</t>
        </is>
      </c>
      <c r="B519" s="1" t="n">
        <v>44994</v>
      </c>
      <c r="C519" s="1" t="n">
        <v>45361</v>
      </c>
      <c r="D519" t="inlineStr">
        <is>
          <t>DALARNAS LÄN</t>
        </is>
      </c>
      <c r="E519" t="inlineStr">
        <is>
          <t>LUDVIKA</t>
        </is>
      </c>
      <c r="F519" t="inlineStr">
        <is>
          <t>Övriga Aktiebolag</t>
        </is>
      </c>
      <c r="G519" t="n">
        <v>7</v>
      </c>
      <c r="H519" t="n">
        <v>0</v>
      </c>
      <c r="I519" t="n">
        <v>0</v>
      </c>
      <c r="J519" t="n">
        <v>0</v>
      </c>
      <c r="K519" t="n">
        <v>0</v>
      </c>
      <c r="L519" t="n">
        <v>0</v>
      </c>
      <c r="M519" t="n">
        <v>0</v>
      </c>
      <c r="N519" t="n">
        <v>0</v>
      </c>
      <c r="O519" t="n">
        <v>0</v>
      </c>
      <c r="P519" t="n">
        <v>0</v>
      </c>
      <c r="Q519" t="n">
        <v>0</v>
      </c>
      <c r="R519" s="2" t="inlineStr"/>
    </row>
    <row r="520" ht="15" customHeight="1">
      <c r="A520" t="inlineStr">
        <is>
          <t>A 12096-2023</t>
        </is>
      </c>
      <c r="B520" s="1" t="n">
        <v>44998</v>
      </c>
      <c r="C520" s="1" t="n">
        <v>45361</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13180-2023</t>
        </is>
      </c>
      <c r="B521" s="1" t="n">
        <v>45002</v>
      </c>
      <c r="C521" s="1" t="n">
        <v>45361</v>
      </c>
      <c r="D521" t="inlineStr">
        <is>
          <t>DALARNAS LÄN</t>
        </is>
      </c>
      <c r="E521" t="inlineStr">
        <is>
          <t>LUDVIKA</t>
        </is>
      </c>
      <c r="F521" t="inlineStr">
        <is>
          <t>Bergvik skog väst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13215-2023</t>
        </is>
      </c>
      <c r="B522" s="1" t="n">
        <v>45002</v>
      </c>
      <c r="C522" s="1" t="n">
        <v>45361</v>
      </c>
      <c r="D522" t="inlineStr">
        <is>
          <t>DALARNAS LÄN</t>
        </is>
      </c>
      <c r="E522" t="inlineStr">
        <is>
          <t>LUDVIKA</t>
        </is>
      </c>
      <c r="G522" t="n">
        <v>1.2</v>
      </c>
      <c r="H522" t="n">
        <v>0</v>
      </c>
      <c r="I522" t="n">
        <v>0</v>
      </c>
      <c r="J522" t="n">
        <v>0</v>
      </c>
      <c r="K522" t="n">
        <v>0</v>
      </c>
      <c r="L522" t="n">
        <v>0</v>
      </c>
      <c r="M522" t="n">
        <v>0</v>
      </c>
      <c r="N522" t="n">
        <v>0</v>
      </c>
      <c r="O522" t="n">
        <v>0</v>
      </c>
      <c r="P522" t="n">
        <v>0</v>
      </c>
      <c r="Q522" t="n">
        <v>0</v>
      </c>
      <c r="R522" s="2" t="inlineStr"/>
    </row>
    <row r="523" ht="15" customHeight="1">
      <c r="A523" t="inlineStr">
        <is>
          <t>A 13217-2023</t>
        </is>
      </c>
      <c r="B523" s="1" t="n">
        <v>45002</v>
      </c>
      <c r="C523" s="1" t="n">
        <v>45361</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14632-2023</t>
        </is>
      </c>
      <c r="B524" s="1" t="n">
        <v>45013</v>
      </c>
      <c r="C524" s="1" t="n">
        <v>45361</v>
      </c>
      <c r="D524" t="inlineStr">
        <is>
          <t>DALARNAS LÄN</t>
        </is>
      </c>
      <c r="E524" t="inlineStr">
        <is>
          <t>LUDVIKA</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15754-2023</t>
        </is>
      </c>
      <c r="B525" s="1" t="n">
        <v>45021</v>
      </c>
      <c r="C525" s="1" t="n">
        <v>45361</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16630-2023</t>
        </is>
      </c>
      <c r="B526" s="1" t="n">
        <v>45030</v>
      </c>
      <c r="C526" s="1" t="n">
        <v>45361</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17032-2023</t>
        </is>
      </c>
      <c r="B527" s="1" t="n">
        <v>45034</v>
      </c>
      <c r="C527" s="1" t="n">
        <v>45361</v>
      </c>
      <c r="D527" t="inlineStr">
        <is>
          <t>DALARNAS LÄN</t>
        </is>
      </c>
      <c r="E527" t="inlineStr">
        <is>
          <t>LUDVIKA</t>
        </is>
      </c>
      <c r="F527" t="inlineStr">
        <is>
          <t>Naturvårdsverket</t>
        </is>
      </c>
      <c r="G527" t="n">
        <v>1</v>
      </c>
      <c r="H527" t="n">
        <v>0</v>
      </c>
      <c r="I527" t="n">
        <v>0</v>
      </c>
      <c r="J527" t="n">
        <v>0</v>
      </c>
      <c r="K527" t="n">
        <v>0</v>
      </c>
      <c r="L527" t="n">
        <v>0</v>
      </c>
      <c r="M527" t="n">
        <v>0</v>
      </c>
      <c r="N527" t="n">
        <v>0</v>
      </c>
      <c r="O527" t="n">
        <v>0</v>
      </c>
      <c r="P527" t="n">
        <v>0</v>
      </c>
      <c r="Q527" t="n">
        <v>0</v>
      </c>
      <c r="R527" s="2" t="inlineStr"/>
    </row>
    <row r="528" ht="15" customHeight="1">
      <c r="A528" t="inlineStr">
        <is>
          <t>A 17037-2023</t>
        </is>
      </c>
      <c r="B528" s="1" t="n">
        <v>45034</v>
      </c>
      <c r="C528" s="1" t="n">
        <v>45361</v>
      </c>
      <c r="D528" t="inlineStr">
        <is>
          <t>DALARNAS LÄN</t>
        </is>
      </c>
      <c r="E528" t="inlineStr">
        <is>
          <t>LUDVIKA</t>
        </is>
      </c>
      <c r="F528" t="inlineStr">
        <is>
          <t>Naturvårdsverket</t>
        </is>
      </c>
      <c r="G528" t="n">
        <v>1.4</v>
      </c>
      <c r="H528" t="n">
        <v>0</v>
      </c>
      <c r="I528" t="n">
        <v>0</v>
      </c>
      <c r="J528" t="n">
        <v>0</v>
      </c>
      <c r="K528" t="n">
        <v>0</v>
      </c>
      <c r="L528" t="n">
        <v>0</v>
      </c>
      <c r="M528" t="n">
        <v>0</v>
      </c>
      <c r="N528" t="n">
        <v>0</v>
      </c>
      <c r="O528" t="n">
        <v>0</v>
      </c>
      <c r="P528" t="n">
        <v>0</v>
      </c>
      <c r="Q528" t="n">
        <v>0</v>
      </c>
      <c r="R528" s="2" t="inlineStr"/>
    </row>
    <row r="529" ht="15" customHeight="1">
      <c r="A529" t="inlineStr">
        <is>
          <t>A 17035-2023</t>
        </is>
      </c>
      <c r="B529" s="1" t="n">
        <v>45034</v>
      </c>
      <c r="C529" s="1" t="n">
        <v>45361</v>
      </c>
      <c r="D529" t="inlineStr">
        <is>
          <t>DALARNAS LÄN</t>
        </is>
      </c>
      <c r="E529" t="inlineStr">
        <is>
          <t>LUDVIKA</t>
        </is>
      </c>
      <c r="F529" t="inlineStr">
        <is>
          <t>Naturvårdsverket</t>
        </is>
      </c>
      <c r="G529" t="n">
        <v>1.7</v>
      </c>
      <c r="H529" t="n">
        <v>0</v>
      </c>
      <c r="I529" t="n">
        <v>0</v>
      </c>
      <c r="J529" t="n">
        <v>0</v>
      </c>
      <c r="K529" t="n">
        <v>0</v>
      </c>
      <c r="L529" t="n">
        <v>0</v>
      </c>
      <c r="M529" t="n">
        <v>0</v>
      </c>
      <c r="N529" t="n">
        <v>0</v>
      </c>
      <c r="O529" t="n">
        <v>0</v>
      </c>
      <c r="P529" t="n">
        <v>0</v>
      </c>
      <c r="Q529" t="n">
        <v>0</v>
      </c>
      <c r="R529" s="2" t="inlineStr"/>
    </row>
    <row r="530" ht="15" customHeight="1">
      <c r="A530" t="inlineStr">
        <is>
          <t>A 17138-2023</t>
        </is>
      </c>
      <c r="B530" s="1" t="n">
        <v>45034</v>
      </c>
      <c r="C530" s="1" t="n">
        <v>45361</v>
      </c>
      <c r="D530" t="inlineStr">
        <is>
          <t>DALARNAS LÄN</t>
        </is>
      </c>
      <c r="E530" t="inlineStr">
        <is>
          <t>LUDVIKA</t>
        </is>
      </c>
      <c r="F530" t="inlineStr">
        <is>
          <t>Naturvårdsverket</t>
        </is>
      </c>
      <c r="G530" t="n">
        <v>2.7</v>
      </c>
      <c r="H530" t="n">
        <v>0</v>
      </c>
      <c r="I530" t="n">
        <v>0</v>
      </c>
      <c r="J530" t="n">
        <v>0</v>
      </c>
      <c r="K530" t="n">
        <v>0</v>
      </c>
      <c r="L530" t="n">
        <v>0</v>
      </c>
      <c r="M530" t="n">
        <v>0</v>
      </c>
      <c r="N530" t="n">
        <v>0</v>
      </c>
      <c r="O530" t="n">
        <v>0</v>
      </c>
      <c r="P530" t="n">
        <v>0</v>
      </c>
      <c r="Q530" t="n">
        <v>0</v>
      </c>
      <c r="R530" s="2" t="inlineStr"/>
    </row>
    <row r="531" ht="15" customHeight="1">
      <c r="A531" t="inlineStr">
        <is>
          <t>A 18585-2023</t>
        </is>
      </c>
      <c r="B531" s="1" t="n">
        <v>45043</v>
      </c>
      <c r="C531" s="1" t="n">
        <v>45361</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18708-2023</t>
        </is>
      </c>
      <c r="B532" s="1" t="n">
        <v>45043</v>
      </c>
      <c r="C532" s="1" t="n">
        <v>45361</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18660-2023</t>
        </is>
      </c>
      <c r="B533" s="1" t="n">
        <v>45043</v>
      </c>
      <c r="C533" s="1" t="n">
        <v>45361</v>
      </c>
      <c r="D533" t="inlineStr">
        <is>
          <t>DALARNAS LÄN</t>
        </is>
      </c>
      <c r="E533" t="inlineStr">
        <is>
          <t>LUDVIKA</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18936-2023</t>
        </is>
      </c>
      <c r="B534" s="1" t="n">
        <v>45044</v>
      </c>
      <c r="C534" s="1" t="n">
        <v>45361</v>
      </c>
      <c r="D534" t="inlineStr">
        <is>
          <t>DALARNAS LÄN</t>
        </is>
      </c>
      <c r="E534" t="inlineStr">
        <is>
          <t>LUDVIKA</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18850-2023</t>
        </is>
      </c>
      <c r="B535" s="1" t="n">
        <v>45044</v>
      </c>
      <c r="C535" s="1" t="n">
        <v>45361</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18864-2023</t>
        </is>
      </c>
      <c r="B536" s="1" t="n">
        <v>45044</v>
      </c>
      <c r="C536" s="1" t="n">
        <v>45361</v>
      </c>
      <c r="D536" t="inlineStr">
        <is>
          <t>DALARNAS LÄN</t>
        </is>
      </c>
      <c r="E536" t="inlineStr">
        <is>
          <t>LUDVIKA</t>
        </is>
      </c>
      <c r="F536" t="inlineStr">
        <is>
          <t>Naturvårdsverket</t>
        </is>
      </c>
      <c r="G536" t="n">
        <v>0.5</v>
      </c>
      <c r="H536" t="n">
        <v>0</v>
      </c>
      <c r="I536" t="n">
        <v>0</v>
      </c>
      <c r="J536" t="n">
        <v>0</v>
      </c>
      <c r="K536" t="n">
        <v>0</v>
      </c>
      <c r="L536" t="n">
        <v>0</v>
      </c>
      <c r="M536" t="n">
        <v>0</v>
      </c>
      <c r="N536" t="n">
        <v>0</v>
      </c>
      <c r="O536" t="n">
        <v>0</v>
      </c>
      <c r="P536" t="n">
        <v>0</v>
      </c>
      <c r="Q536" t="n">
        <v>0</v>
      </c>
      <c r="R536" s="2" t="inlineStr"/>
    </row>
    <row r="537" ht="15" customHeight="1">
      <c r="A537" t="inlineStr">
        <is>
          <t>A 19449-2023</t>
        </is>
      </c>
      <c r="B537" s="1" t="n">
        <v>45050</v>
      </c>
      <c r="C537" s="1" t="n">
        <v>45361</v>
      </c>
      <c r="D537" t="inlineStr">
        <is>
          <t>DALARNAS LÄN</t>
        </is>
      </c>
      <c r="E537" t="inlineStr">
        <is>
          <t>LUDVIKA</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19643-2023</t>
        </is>
      </c>
      <c r="B538" s="1" t="n">
        <v>45051</v>
      </c>
      <c r="C538" s="1" t="n">
        <v>45361</v>
      </c>
      <c r="D538" t="inlineStr">
        <is>
          <t>DALARNAS LÄN</t>
        </is>
      </c>
      <c r="E538" t="inlineStr">
        <is>
          <t>LUDVIKA</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19651-2023</t>
        </is>
      </c>
      <c r="B539" s="1" t="n">
        <v>45051</v>
      </c>
      <c r="C539" s="1" t="n">
        <v>45361</v>
      </c>
      <c r="D539" t="inlineStr">
        <is>
          <t>DALARNAS LÄN</t>
        </is>
      </c>
      <c r="E539" t="inlineStr">
        <is>
          <t>LUDVIKA</t>
        </is>
      </c>
      <c r="F539" t="inlineStr">
        <is>
          <t>Bergvik skog väst AB</t>
        </is>
      </c>
      <c r="G539" t="n">
        <v>7.4</v>
      </c>
      <c r="H539" t="n">
        <v>0</v>
      </c>
      <c r="I539" t="n">
        <v>0</v>
      </c>
      <c r="J539" t="n">
        <v>0</v>
      </c>
      <c r="K539" t="n">
        <v>0</v>
      </c>
      <c r="L539" t="n">
        <v>0</v>
      </c>
      <c r="M539" t="n">
        <v>0</v>
      </c>
      <c r="N539" t="n">
        <v>0</v>
      </c>
      <c r="O539" t="n">
        <v>0</v>
      </c>
      <c r="P539" t="n">
        <v>0</v>
      </c>
      <c r="Q539" t="n">
        <v>0</v>
      </c>
      <c r="R539" s="2" t="inlineStr"/>
    </row>
    <row r="540" ht="15" customHeight="1">
      <c r="A540" t="inlineStr">
        <is>
          <t>A 20225-2023</t>
        </is>
      </c>
      <c r="B540" s="1" t="n">
        <v>45054</v>
      </c>
      <c r="C540" s="1" t="n">
        <v>45361</v>
      </c>
      <c r="D540" t="inlineStr">
        <is>
          <t>DALARNAS LÄN</t>
        </is>
      </c>
      <c r="E540" t="inlineStr">
        <is>
          <t>LUDVIKA</t>
        </is>
      </c>
      <c r="G540" t="n">
        <v>4.7</v>
      </c>
      <c r="H540" t="n">
        <v>0</v>
      </c>
      <c r="I540" t="n">
        <v>0</v>
      </c>
      <c r="J540" t="n">
        <v>0</v>
      </c>
      <c r="K540" t="n">
        <v>0</v>
      </c>
      <c r="L540" t="n">
        <v>0</v>
      </c>
      <c r="M540" t="n">
        <v>0</v>
      </c>
      <c r="N540" t="n">
        <v>0</v>
      </c>
      <c r="O540" t="n">
        <v>0</v>
      </c>
      <c r="P540" t="n">
        <v>0</v>
      </c>
      <c r="Q540" t="n">
        <v>0</v>
      </c>
      <c r="R540" s="2" t="inlineStr"/>
    </row>
    <row r="541" ht="15" customHeight="1">
      <c r="A541" t="inlineStr">
        <is>
          <t>A 20202-2023</t>
        </is>
      </c>
      <c r="B541" s="1" t="n">
        <v>45055</v>
      </c>
      <c r="C541" s="1" t="n">
        <v>45361</v>
      </c>
      <c r="D541" t="inlineStr">
        <is>
          <t>DALARNAS LÄN</t>
        </is>
      </c>
      <c r="E541" t="inlineStr">
        <is>
          <t>LUDVIKA</t>
        </is>
      </c>
      <c r="G541" t="n">
        <v>2.2</v>
      </c>
      <c r="H541" t="n">
        <v>0</v>
      </c>
      <c r="I541" t="n">
        <v>0</v>
      </c>
      <c r="J541" t="n">
        <v>0</v>
      </c>
      <c r="K541" t="n">
        <v>0</v>
      </c>
      <c r="L541" t="n">
        <v>0</v>
      </c>
      <c r="M541" t="n">
        <v>0</v>
      </c>
      <c r="N541" t="n">
        <v>0</v>
      </c>
      <c r="O541" t="n">
        <v>0</v>
      </c>
      <c r="P541" t="n">
        <v>0</v>
      </c>
      <c r="Q541" t="n">
        <v>0</v>
      </c>
      <c r="R541" s="2" t="inlineStr"/>
    </row>
    <row r="542" ht="15" customHeight="1">
      <c r="A542" t="inlineStr">
        <is>
          <t>A 20559-2023</t>
        </is>
      </c>
      <c r="B542" s="1" t="n">
        <v>45055</v>
      </c>
      <c r="C542" s="1" t="n">
        <v>45361</v>
      </c>
      <c r="D542" t="inlineStr">
        <is>
          <t>DALARNAS LÄN</t>
        </is>
      </c>
      <c r="E542" t="inlineStr">
        <is>
          <t>LUDVIKA</t>
        </is>
      </c>
      <c r="G542" t="n">
        <v>3.8</v>
      </c>
      <c r="H542" t="n">
        <v>0</v>
      </c>
      <c r="I542" t="n">
        <v>0</v>
      </c>
      <c r="J542" t="n">
        <v>0</v>
      </c>
      <c r="K542" t="n">
        <v>0</v>
      </c>
      <c r="L542" t="n">
        <v>0</v>
      </c>
      <c r="M542" t="n">
        <v>0</v>
      </c>
      <c r="N542" t="n">
        <v>0</v>
      </c>
      <c r="O542" t="n">
        <v>0</v>
      </c>
      <c r="P542" t="n">
        <v>0</v>
      </c>
      <c r="Q542" t="n">
        <v>0</v>
      </c>
      <c r="R542" s="2" t="inlineStr"/>
    </row>
    <row r="543" ht="15" customHeight="1">
      <c r="A543" t="inlineStr">
        <is>
          <t>A 20411-2023</t>
        </is>
      </c>
      <c r="B543" s="1" t="n">
        <v>45056</v>
      </c>
      <c r="C543" s="1" t="n">
        <v>45361</v>
      </c>
      <c r="D543" t="inlineStr">
        <is>
          <t>DALARNAS LÄN</t>
        </is>
      </c>
      <c r="E543" t="inlineStr">
        <is>
          <t>LUDVIKA</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20688-2023</t>
        </is>
      </c>
      <c r="B544" s="1" t="n">
        <v>45058</v>
      </c>
      <c r="C544" s="1" t="n">
        <v>45361</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20826-2023</t>
        </is>
      </c>
      <c r="B545" s="1" t="n">
        <v>45058</v>
      </c>
      <c r="C545" s="1" t="n">
        <v>45361</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20764-2023</t>
        </is>
      </c>
      <c r="B546" s="1" t="n">
        <v>45058</v>
      </c>
      <c r="C546" s="1" t="n">
        <v>45361</v>
      </c>
      <c r="D546" t="inlineStr">
        <is>
          <t>DALARNAS LÄN</t>
        </is>
      </c>
      <c r="E546" t="inlineStr">
        <is>
          <t>LUDVIKA</t>
        </is>
      </c>
      <c r="F546" t="inlineStr">
        <is>
          <t>Bergvik skog väst AB</t>
        </is>
      </c>
      <c r="G546" t="n">
        <v>3.3</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v>
      </c>
      <c r="C547" s="1" t="n">
        <v>45361</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v>
      </c>
      <c r="C548" s="1" t="n">
        <v>45361</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21297-2023</t>
        </is>
      </c>
      <c r="B549" s="1" t="n">
        <v>45062</v>
      </c>
      <c r="C549" s="1" t="n">
        <v>45361</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21247-2023</t>
        </is>
      </c>
      <c r="B550" s="1" t="n">
        <v>45062</v>
      </c>
      <c r="C550" s="1" t="n">
        <v>45361</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21539-2023</t>
        </is>
      </c>
      <c r="B551" s="1" t="n">
        <v>45063</v>
      </c>
      <c r="C551" s="1" t="n">
        <v>45361</v>
      </c>
      <c r="D551" t="inlineStr">
        <is>
          <t>DALARNAS LÄN</t>
        </is>
      </c>
      <c r="E551" t="inlineStr">
        <is>
          <t>LUDVIKA</t>
        </is>
      </c>
      <c r="F551" t="inlineStr">
        <is>
          <t>Bergvik skog väst AB</t>
        </is>
      </c>
      <c r="G551" t="n">
        <v>7.4</v>
      </c>
      <c r="H551" t="n">
        <v>0</v>
      </c>
      <c r="I551" t="n">
        <v>0</v>
      </c>
      <c r="J551" t="n">
        <v>0</v>
      </c>
      <c r="K551" t="n">
        <v>0</v>
      </c>
      <c r="L551" t="n">
        <v>0</v>
      </c>
      <c r="M551" t="n">
        <v>0</v>
      </c>
      <c r="N551" t="n">
        <v>0</v>
      </c>
      <c r="O551" t="n">
        <v>0</v>
      </c>
      <c r="P551" t="n">
        <v>0</v>
      </c>
      <c r="Q551" t="n">
        <v>0</v>
      </c>
      <c r="R551" s="2" t="inlineStr"/>
    </row>
    <row r="552" ht="15" customHeight="1">
      <c r="A552" t="inlineStr">
        <is>
          <t>A 21370-2023</t>
        </is>
      </c>
      <c r="B552" s="1" t="n">
        <v>45063</v>
      </c>
      <c r="C552" s="1" t="n">
        <v>45361</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21369-2023</t>
        </is>
      </c>
      <c r="B553" s="1" t="n">
        <v>45063</v>
      </c>
      <c r="C553" s="1" t="n">
        <v>45361</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21554-2023</t>
        </is>
      </c>
      <c r="B554" s="1" t="n">
        <v>45063</v>
      </c>
      <c r="C554" s="1" t="n">
        <v>45361</v>
      </c>
      <c r="D554" t="inlineStr">
        <is>
          <t>DALARNAS LÄN</t>
        </is>
      </c>
      <c r="E554" t="inlineStr">
        <is>
          <t>LUDVIKA</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21548-2023</t>
        </is>
      </c>
      <c r="B555" s="1" t="n">
        <v>45063</v>
      </c>
      <c r="C555" s="1" t="n">
        <v>45361</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21551-2023</t>
        </is>
      </c>
      <c r="B556" s="1" t="n">
        <v>45063</v>
      </c>
      <c r="C556" s="1" t="n">
        <v>45361</v>
      </c>
      <c r="D556" t="inlineStr">
        <is>
          <t>DALARNAS LÄN</t>
        </is>
      </c>
      <c r="E556" t="inlineStr">
        <is>
          <t>LUDVIKA</t>
        </is>
      </c>
      <c r="G556" t="n">
        <v>8.4</v>
      </c>
      <c r="H556" t="n">
        <v>0</v>
      </c>
      <c r="I556" t="n">
        <v>0</v>
      </c>
      <c r="J556" t="n">
        <v>0</v>
      </c>
      <c r="K556" t="n">
        <v>0</v>
      </c>
      <c r="L556" t="n">
        <v>0</v>
      </c>
      <c r="M556" t="n">
        <v>0</v>
      </c>
      <c r="N556" t="n">
        <v>0</v>
      </c>
      <c r="O556" t="n">
        <v>0</v>
      </c>
      <c r="P556" t="n">
        <v>0</v>
      </c>
      <c r="Q556" t="n">
        <v>0</v>
      </c>
      <c r="R556" s="2" t="inlineStr"/>
    </row>
    <row r="557" ht="15" customHeight="1">
      <c r="A557" t="inlineStr">
        <is>
          <t>A 21598-2023</t>
        </is>
      </c>
      <c r="B557" s="1" t="n">
        <v>45063</v>
      </c>
      <c r="C557" s="1" t="n">
        <v>45361</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21649-2023</t>
        </is>
      </c>
      <c r="B558" s="1" t="n">
        <v>45063</v>
      </c>
      <c r="C558" s="1" t="n">
        <v>45361</v>
      </c>
      <c r="D558" t="inlineStr">
        <is>
          <t>DALARNAS LÄN</t>
        </is>
      </c>
      <c r="E558" t="inlineStr">
        <is>
          <t>LUDVIKA</t>
        </is>
      </c>
      <c r="F558" t="inlineStr">
        <is>
          <t>Bergvik skog väst AB</t>
        </is>
      </c>
      <c r="G558" t="n">
        <v>10.3</v>
      </c>
      <c r="H558" t="n">
        <v>0</v>
      </c>
      <c r="I558" t="n">
        <v>0</v>
      </c>
      <c r="J558" t="n">
        <v>0</v>
      </c>
      <c r="K558" t="n">
        <v>0</v>
      </c>
      <c r="L558" t="n">
        <v>0</v>
      </c>
      <c r="M558" t="n">
        <v>0</v>
      </c>
      <c r="N558" t="n">
        <v>0</v>
      </c>
      <c r="O558" t="n">
        <v>0</v>
      </c>
      <c r="P558" t="n">
        <v>0</v>
      </c>
      <c r="Q558" t="n">
        <v>0</v>
      </c>
      <c r="R558" s="2" t="inlineStr"/>
    </row>
    <row r="559" ht="15" customHeight="1">
      <c r="A559" t="inlineStr">
        <is>
          <t>A 21843-2023</t>
        </is>
      </c>
      <c r="B559" s="1" t="n">
        <v>45068</v>
      </c>
      <c r="C559" s="1" t="n">
        <v>45361</v>
      </c>
      <c r="D559" t="inlineStr">
        <is>
          <t>DALARNAS LÄN</t>
        </is>
      </c>
      <c r="E559" t="inlineStr">
        <is>
          <t>LUDVIKA</t>
        </is>
      </c>
      <c r="G559" t="n">
        <v>4.3</v>
      </c>
      <c r="H559" t="n">
        <v>0</v>
      </c>
      <c r="I559" t="n">
        <v>0</v>
      </c>
      <c r="J559" t="n">
        <v>0</v>
      </c>
      <c r="K559" t="n">
        <v>0</v>
      </c>
      <c r="L559" t="n">
        <v>0</v>
      </c>
      <c r="M559" t="n">
        <v>0</v>
      </c>
      <c r="N559" t="n">
        <v>0</v>
      </c>
      <c r="O559" t="n">
        <v>0</v>
      </c>
      <c r="P559" t="n">
        <v>0</v>
      </c>
      <c r="Q559" t="n">
        <v>0</v>
      </c>
      <c r="R559" s="2" t="inlineStr"/>
    </row>
    <row r="560" ht="15" customHeight="1">
      <c r="A560" t="inlineStr">
        <is>
          <t>A 21842-2023</t>
        </is>
      </c>
      <c r="B560" s="1" t="n">
        <v>45068</v>
      </c>
      <c r="C560" s="1" t="n">
        <v>45361</v>
      </c>
      <c r="D560" t="inlineStr">
        <is>
          <t>DALARNAS LÄN</t>
        </is>
      </c>
      <c r="E560" t="inlineStr">
        <is>
          <t>LUDVIKA</t>
        </is>
      </c>
      <c r="G560" t="n">
        <v>3.5</v>
      </c>
      <c r="H560" t="n">
        <v>0</v>
      </c>
      <c r="I560" t="n">
        <v>0</v>
      </c>
      <c r="J560" t="n">
        <v>0</v>
      </c>
      <c r="K560" t="n">
        <v>0</v>
      </c>
      <c r="L560" t="n">
        <v>0</v>
      </c>
      <c r="M560" t="n">
        <v>0</v>
      </c>
      <c r="N560" t="n">
        <v>0</v>
      </c>
      <c r="O560" t="n">
        <v>0</v>
      </c>
      <c r="P560" t="n">
        <v>0</v>
      </c>
      <c r="Q560" t="n">
        <v>0</v>
      </c>
      <c r="R560" s="2" t="inlineStr"/>
    </row>
    <row r="561" ht="15" customHeight="1">
      <c r="A561" t="inlineStr">
        <is>
          <t>A 21870-2023</t>
        </is>
      </c>
      <c r="B561" s="1" t="n">
        <v>45068</v>
      </c>
      <c r="C561" s="1" t="n">
        <v>45361</v>
      </c>
      <c r="D561" t="inlineStr">
        <is>
          <t>DALARNAS LÄN</t>
        </is>
      </c>
      <c r="E561" t="inlineStr">
        <is>
          <t>LUDVIKA</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21841-2023</t>
        </is>
      </c>
      <c r="B562" s="1" t="n">
        <v>45068</v>
      </c>
      <c r="C562" s="1" t="n">
        <v>45361</v>
      </c>
      <c r="D562" t="inlineStr">
        <is>
          <t>DALARNAS LÄN</t>
        </is>
      </c>
      <c r="E562" t="inlineStr">
        <is>
          <t>LUDVIKA</t>
        </is>
      </c>
      <c r="G562" t="n">
        <v>4.5</v>
      </c>
      <c r="H562" t="n">
        <v>0</v>
      </c>
      <c r="I562" t="n">
        <v>0</v>
      </c>
      <c r="J562" t="n">
        <v>0</v>
      </c>
      <c r="K562" t="n">
        <v>0</v>
      </c>
      <c r="L562" t="n">
        <v>0</v>
      </c>
      <c r="M562" t="n">
        <v>0</v>
      </c>
      <c r="N562" t="n">
        <v>0</v>
      </c>
      <c r="O562" t="n">
        <v>0</v>
      </c>
      <c r="P562" t="n">
        <v>0</v>
      </c>
      <c r="Q562" t="n">
        <v>0</v>
      </c>
      <c r="R562" s="2" t="inlineStr"/>
    </row>
    <row r="563" ht="15" customHeight="1">
      <c r="A563" t="inlineStr">
        <is>
          <t>A 21933-2023</t>
        </is>
      </c>
      <c r="B563" s="1" t="n">
        <v>45068</v>
      </c>
      <c r="C563" s="1" t="n">
        <v>45361</v>
      </c>
      <c r="D563" t="inlineStr">
        <is>
          <t>DALARNAS LÄN</t>
        </is>
      </c>
      <c r="E563" t="inlineStr">
        <is>
          <t>LUDVIKA</t>
        </is>
      </c>
      <c r="F563" t="inlineStr">
        <is>
          <t>Bergvik skog väst AB</t>
        </is>
      </c>
      <c r="G563" t="n">
        <v>12.5</v>
      </c>
      <c r="H563" t="n">
        <v>0</v>
      </c>
      <c r="I563" t="n">
        <v>0</v>
      </c>
      <c r="J563" t="n">
        <v>0</v>
      </c>
      <c r="K563" t="n">
        <v>0</v>
      </c>
      <c r="L563" t="n">
        <v>0</v>
      </c>
      <c r="M563" t="n">
        <v>0</v>
      </c>
      <c r="N563" t="n">
        <v>0</v>
      </c>
      <c r="O563" t="n">
        <v>0</v>
      </c>
      <c r="P563" t="n">
        <v>0</v>
      </c>
      <c r="Q563" t="n">
        <v>0</v>
      </c>
      <c r="R563" s="2" t="inlineStr"/>
    </row>
    <row r="564" ht="15" customHeight="1">
      <c r="A564" t="inlineStr">
        <is>
          <t>A 22149-2023</t>
        </is>
      </c>
      <c r="B564" s="1" t="n">
        <v>45069</v>
      </c>
      <c r="C564" s="1" t="n">
        <v>45361</v>
      </c>
      <c r="D564" t="inlineStr">
        <is>
          <t>DALARNAS LÄN</t>
        </is>
      </c>
      <c r="E564" t="inlineStr">
        <is>
          <t>LUDVIKA</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22151-2023</t>
        </is>
      </c>
      <c r="B565" s="1" t="n">
        <v>45069</v>
      </c>
      <c r="C565" s="1" t="n">
        <v>45361</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22286-2023</t>
        </is>
      </c>
      <c r="B566" s="1" t="n">
        <v>45070</v>
      </c>
      <c r="C566" s="1" t="n">
        <v>45361</v>
      </c>
      <c r="D566" t="inlineStr">
        <is>
          <t>DALARNAS LÄN</t>
        </is>
      </c>
      <c r="E566" t="inlineStr">
        <is>
          <t>LUDVIKA</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22306-2023</t>
        </is>
      </c>
      <c r="B567" s="1" t="n">
        <v>45070</v>
      </c>
      <c r="C567" s="1" t="n">
        <v>45361</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22375-2023</t>
        </is>
      </c>
      <c r="B568" s="1" t="n">
        <v>45070</v>
      </c>
      <c r="C568" s="1" t="n">
        <v>45361</v>
      </c>
      <c r="D568" t="inlineStr">
        <is>
          <t>DALARNAS LÄN</t>
        </is>
      </c>
      <c r="E568" t="inlineStr">
        <is>
          <t>LUDVIKA</t>
        </is>
      </c>
      <c r="F568" t="inlineStr">
        <is>
          <t>Bergvik skog väst AB</t>
        </is>
      </c>
      <c r="G568" t="n">
        <v>18.4</v>
      </c>
      <c r="H568" t="n">
        <v>0</v>
      </c>
      <c r="I568" t="n">
        <v>0</v>
      </c>
      <c r="J568" t="n">
        <v>0</v>
      </c>
      <c r="K568" t="n">
        <v>0</v>
      </c>
      <c r="L568" t="n">
        <v>0</v>
      </c>
      <c r="M568" t="n">
        <v>0</v>
      </c>
      <c r="N568" t="n">
        <v>0</v>
      </c>
      <c r="O568" t="n">
        <v>0</v>
      </c>
      <c r="P568" t="n">
        <v>0</v>
      </c>
      <c r="Q568" t="n">
        <v>0</v>
      </c>
      <c r="R568" s="2" t="inlineStr"/>
    </row>
    <row r="569" ht="15" customHeight="1">
      <c r="A569" t="inlineStr">
        <is>
          <t>A 22420-2023</t>
        </is>
      </c>
      <c r="B569" s="1" t="n">
        <v>45070</v>
      </c>
      <c r="C569" s="1" t="n">
        <v>45361</v>
      </c>
      <c r="D569" t="inlineStr">
        <is>
          <t>DALARNAS LÄN</t>
        </is>
      </c>
      <c r="E569" t="inlineStr">
        <is>
          <t>LUDVIKA</t>
        </is>
      </c>
      <c r="F569" t="inlineStr">
        <is>
          <t>Bergvik skog väst AB</t>
        </is>
      </c>
      <c r="G569" t="n">
        <v>6.5</v>
      </c>
      <c r="H569" t="n">
        <v>0</v>
      </c>
      <c r="I569" t="n">
        <v>0</v>
      </c>
      <c r="J569" t="n">
        <v>0</v>
      </c>
      <c r="K569" t="n">
        <v>0</v>
      </c>
      <c r="L569" t="n">
        <v>0</v>
      </c>
      <c r="M569" t="n">
        <v>0</v>
      </c>
      <c r="N569" t="n">
        <v>0</v>
      </c>
      <c r="O569" t="n">
        <v>0</v>
      </c>
      <c r="P569" t="n">
        <v>0</v>
      </c>
      <c r="Q569" t="n">
        <v>0</v>
      </c>
      <c r="R569" s="2" t="inlineStr"/>
    </row>
    <row r="570" ht="15" customHeight="1">
      <c r="A570" t="inlineStr">
        <is>
          <t>A 22555-2023</t>
        </is>
      </c>
      <c r="B570" s="1" t="n">
        <v>45071</v>
      </c>
      <c r="C570" s="1" t="n">
        <v>45361</v>
      </c>
      <c r="D570" t="inlineStr">
        <is>
          <t>DALARNAS LÄN</t>
        </is>
      </c>
      <c r="E570" t="inlineStr">
        <is>
          <t>LUDVIKA</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23999-2023</t>
        </is>
      </c>
      <c r="B571" s="1" t="n">
        <v>45078</v>
      </c>
      <c r="C571" s="1" t="n">
        <v>45361</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24224-2023</t>
        </is>
      </c>
      <c r="B572" s="1" t="n">
        <v>45079</v>
      </c>
      <c r="C572" s="1" t="n">
        <v>45361</v>
      </c>
      <c r="D572" t="inlineStr">
        <is>
          <t>DALARNAS LÄN</t>
        </is>
      </c>
      <c r="E572" t="inlineStr">
        <is>
          <t>LUDVIKA</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24256-2023</t>
        </is>
      </c>
      <c r="B573" s="1" t="n">
        <v>45079</v>
      </c>
      <c r="C573" s="1" t="n">
        <v>45361</v>
      </c>
      <c r="D573" t="inlineStr">
        <is>
          <t>DALARNAS LÄN</t>
        </is>
      </c>
      <c r="E573" t="inlineStr">
        <is>
          <t>LUDVIKA</t>
        </is>
      </c>
      <c r="F573" t="inlineStr">
        <is>
          <t>Bergvik skog väst AB</t>
        </is>
      </c>
      <c r="G573" t="n">
        <v>10.9</v>
      </c>
      <c r="H573" t="n">
        <v>0</v>
      </c>
      <c r="I573" t="n">
        <v>0</v>
      </c>
      <c r="J573" t="n">
        <v>0</v>
      </c>
      <c r="K573" t="n">
        <v>0</v>
      </c>
      <c r="L573" t="n">
        <v>0</v>
      </c>
      <c r="M573" t="n">
        <v>0</v>
      </c>
      <c r="N573" t="n">
        <v>0</v>
      </c>
      <c r="O573" t="n">
        <v>0</v>
      </c>
      <c r="P573" t="n">
        <v>0</v>
      </c>
      <c r="Q573" t="n">
        <v>0</v>
      </c>
      <c r="R573" s="2" t="inlineStr"/>
    </row>
    <row r="574" ht="15" customHeight="1">
      <c r="A574" t="inlineStr">
        <is>
          <t>A 24379-2023</t>
        </is>
      </c>
      <c r="B574" s="1" t="n">
        <v>45082</v>
      </c>
      <c r="C574" s="1" t="n">
        <v>45361</v>
      </c>
      <c r="D574" t="inlineStr">
        <is>
          <t>DALARNAS LÄN</t>
        </is>
      </c>
      <c r="E574" t="inlineStr">
        <is>
          <t>LUDVIKA</t>
        </is>
      </c>
      <c r="F574" t="inlineStr">
        <is>
          <t>Naturvårdsverket</t>
        </is>
      </c>
      <c r="G574" t="n">
        <v>2.1</v>
      </c>
      <c r="H574" t="n">
        <v>0</v>
      </c>
      <c r="I574" t="n">
        <v>0</v>
      </c>
      <c r="J574" t="n">
        <v>0</v>
      </c>
      <c r="K574" t="n">
        <v>0</v>
      </c>
      <c r="L574" t="n">
        <v>0</v>
      </c>
      <c r="M574" t="n">
        <v>0</v>
      </c>
      <c r="N574" t="n">
        <v>0</v>
      </c>
      <c r="O574" t="n">
        <v>0</v>
      </c>
      <c r="P574" t="n">
        <v>0</v>
      </c>
      <c r="Q574" t="n">
        <v>0</v>
      </c>
      <c r="R574" s="2" t="inlineStr"/>
    </row>
    <row r="575" ht="15" customHeight="1">
      <c r="A575" t="inlineStr">
        <is>
          <t>A 24469-2023</t>
        </is>
      </c>
      <c r="B575" s="1" t="n">
        <v>45082</v>
      </c>
      <c r="C575" s="1" t="n">
        <v>45361</v>
      </c>
      <c r="D575" t="inlineStr">
        <is>
          <t>DALARNAS LÄN</t>
        </is>
      </c>
      <c r="E575" t="inlineStr">
        <is>
          <t>LUDVIKA</t>
        </is>
      </c>
      <c r="F575" t="inlineStr">
        <is>
          <t>Naturvårdsverket</t>
        </is>
      </c>
      <c r="G575" t="n">
        <v>4</v>
      </c>
      <c r="H575" t="n">
        <v>0</v>
      </c>
      <c r="I575" t="n">
        <v>0</v>
      </c>
      <c r="J575" t="n">
        <v>0</v>
      </c>
      <c r="K575" t="n">
        <v>0</v>
      </c>
      <c r="L575" t="n">
        <v>0</v>
      </c>
      <c r="M575" t="n">
        <v>0</v>
      </c>
      <c r="N575" t="n">
        <v>0</v>
      </c>
      <c r="O575" t="n">
        <v>0</v>
      </c>
      <c r="P575" t="n">
        <v>0</v>
      </c>
      <c r="Q575" t="n">
        <v>0</v>
      </c>
      <c r="R575" s="2" t="inlineStr"/>
    </row>
    <row r="576" ht="15" customHeight="1">
      <c r="A576" t="inlineStr">
        <is>
          <t>A 24612-2023</t>
        </is>
      </c>
      <c r="B576" s="1" t="n">
        <v>45084</v>
      </c>
      <c r="C576" s="1" t="n">
        <v>45361</v>
      </c>
      <c r="D576" t="inlineStr">
        <is>
          <t>DALARNAS LÄN</t>
        </is>
      </c>
      <c r="E576" t="inlineStr">
        <is>
          <t>LUDVIKA</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25077-2023</t>
        </is>
      </c>
      <c r="B577" s="1" t="n">
        <v>45086</v>
      </c>
      <c r="C577" s="1" t="n">
        <v>45361</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25099-2023</t>
        </is>
      </c>
      <c r="B578" s="1" t="n">
        <v>45086</v>
      </c>
      <c r="C578" s="1" t="n">
        <v>45361</v>
      </c>
      <c r="D578" t="inlineStr">
        <is>
          <t>DALARNAS LÄN</t>
        </is>
      </c>
      <c r="E578" t="inlineStr">
        <is>
          <t>LUDVIKA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25624-2023</t>
        </is>
      </c>
      <c r="B579" s="1" t="n">
        <v>45089</v>
      </c>
      <c r="C579" s="1" t="n">
        <v>45361</v>
      </c>
      <c r="D579" t="inlineStr">
        <is>
          <t>DALARNAS LÄN</t>
        </is>
      </c>
      <c r="E579" t="inlineStr">
        <is>
          <t>LUDVIKA</t>
        </is>
      </c>
      <c r="F579" t="inlineStr">
        <is>
          <t>Bergvik skog väst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26147-2023</t>
        </is>
      </c>
      <c r="B580" s="1" t="n">
        <v>45091</v>
      </c>
      <c r="C580" s="1" t="n">
        <v>45361</v>
      </c>
      <c r="D580" t="inlineStr">
        <is>
          <t>DALARNAS LÄN</t>
        </is>
      </c>
      <c r="E580" t="inlineStr">
        <is>
          <t>LUDVIKA</t>
        </is>
      </c>
      <c r="F580" t="inlineStr">
        <is>
          <t>Naturvårdsverket</t>
        </is>
      </c>
      <c r="G580" t="n">
        <v>4.1</v>
      </c>
      <c r="H580" t="n">
        <v>0</v>
      </c>
      <c r="I580" t="n">
        <v>0</v>
      </c>
      <c r="J580" t="n">
        <v>0</v>
      </c>
      <c r="K580" t="n">
        <v>0</v>
      </c>
      <c r="L580" t="n">
        <v>0</v>
      </c>
      <c r="M580" t="n">
        <v>0</v>
      </c>
      <c r="N580" t="n">
        <v>0</v>
      </c>
      <c r="O580" t="n">
        <v>0</v>
      </c>
      <c r="P580" t="n">
        <v>0</v>
      </c>
      <c r="Q580" t="n">
        <v>0</v>
      </c>
      <c r="R580" s="2" t="inlineStr"/>
    </row>
    <row r="581" ht="15" customHeight="1">
      <c r="A581" t="inlineStr">
        <is>
          <t>A 26766-2023</t>
        </is>
      </c>
      <c r="B581" s="1" t="n">
        <v>45093</v>
      </c>
      <c r="C581" s="1" t="n">
        <v>45361</v>
      </c>
      <c r="D581" t="inlineStr">
        <is>
          <t>DALARNAS LÄN</t>
        </is>
      </c>
      <c r="E581" t="inlineStr">
        <is>
          <t>LUDVIKA</t>
        </is>
      </c>
      <c r="F581" t="inlineStr">
        <is>
          <t>Naturvårdsverket</t>
        </is>
      </c>
      <c r="G581" t="n">
        <v>1.6</v>
      </c>
      <c r="H581" t="n">
        <v>0</v>
      </c>
      <c r="I581" t="n">
        <v>0</v>
      </c>
      <c r="J581" t="n">
        <v>0</v>
      </c>
      <c r="K581" t="n">
        <v>0</v>
      </c>
      <c r="L581" t="n">
        <v>0</v>
      </c>
      <c r="M581" t="n">
        <v>0</v>
      </c>
      <c r="N581" t="n">
        <v>0</v>
      </c>
      <c r="O581" t="n">
        <v>0</v>
      </c>
      <c r="P581" t="n">
        <v>0</v>
      </c>
      <c r="Q581" t="n">
        <v>0</v>
      </c>
      <c r="R581" s="2" t="inlineStr"/>
    </row>
    <row r="582" ht="15" customHeight="1">
      <c r="A582" t="inlineStr">
        <is>
          <t>A 26884-2023</t>
        </is>
      </c>
      <c r="B582" s="1" t="n">
        <v>45093</v>
      </c>
      <c r="C582" s="1" t="n">
        <v>45361</v>
      </c>
      <c r="D582" t="inlineStr">
        <is>
          <t>DALARNAS LÄN</t>
        </is>
      </c>
      <c r="E582" t="inlineStr">
        <is>
          <t>LUDVIKA</t>
        </is>
      </c>
      <c r="F582" t="inlineStr">
        <is>
          <t>Naturvårdsverket</t>
        </is>
      </c>
      <c r="G582" t="n">
        <v>3.5</v>
      </c>
      <c r="H582" t="n">
        <v>0</v>
      </c>
      <c r="I582" t="n">
        <v>0</v>
      </c>
      <c r="J582" t="n">
        <v>0</v>
      </c>
      <c r="K582" t="n">
        <v>0</v>
      </c>
      <c r="L582" t="n">
        <v>0</v>
      </c>
      <c r="M582" t="n">
        <v>0</v>
      </c>
      <c r="N582" t="n">
        <v>0</v>
      </c>
      <c r="O582" t="n">
        <v>0</v>
      </c>
      <c r="P582" t="n">
        <v>0</v>
      </c>
      <c r="Q582" t="n">
        <v>0</v>
      </c>
      <c r="R582" s="2" t="inlineStr"/>
    </row>
    <row r="583" ht="15" customHeight="1">
      <c r="A583" t="inlineStr">
        <is>
          <t>A 26789-2023</t>
        </is>
      </c>
      <c r="B583" s="1" t="n">
        <v>45093</v>
      </c>
      <c r="C583" s="1" t="n">
        <v>45361</v>
      </c>
      <c r="D583" t="inlineStr">
        <is>
          <t>DALARNAS LÄN</t>
        </is>
      </c>
      <c r="E583" t="inlineStr">
        <is>
          <t>LUDVIKA</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27870-2023</t>
        </is>
      </c>
      <c r="B584" s="1" t="n">
        <v>45098</v>
      </c>
      <c r="C584" s="1" t="n">
        <v>45361</v>
      </c>
      <c r="D584" t="inlineStr">
        <is>
          <t>DALARNAS LÄN</t>
        </is>
      </c>
      <c r="E584" t="inlineStr">
        <is>
          <t>LUDVIKA</t>
        </is>
      </c>
      <c r="F584" t="inlineStr">
        <is>
          <t>Bergvik skog väst AB</t>
        </is>
      </c>
      <c r="G584" t="n">
        <v>24.7</v>
      </c>
      <c r="H584" t="n">
        <v>0</v>
      </c>
      <c r="I584" t="n">
        <v>0</v>
      </c>
      <c r="J584" t="n">
        <v>0</v>
      </c>
      <c r="K584" t="n">
        <v>0</v>
      </c>
      <c r="L584" t="n">
        <v>0</v>
      </c>
      <c r="M584" t="n">
        <v>0</v>
      </c>
      <c r="N584" t="n">
        <v>0</v>
      </c>
      <c r="O584" t="n">
        <v>0</v>
      </c>
      <c r="P584" t="n">
        <v>0</v>
      </c>
      <c r="Q584" t="n">
        <v>0</v>
      </c>
      <c r="R584" s="2" t="inlineStr"/>
    </row>
    <row r="585" ht="15" customHeight="1">
      <c r="A585" t="inlineStr">
        <is>
          <t>A 27917-2023</t>
        </is>
      </c>
      <c r="B585" s="1" t="n">
        <v>45098</v>
      </c>
      <c r="C585" s="1" t="n">
        <v>45361</v>
      </c>
      <c r="D585" t="inlineStr">
        <is>
          <t>DALARNAS LÄN</t>
        </is>
      </c>
      <c r="E585" t="inlineStr">
        <is>
          <t>LUDVIKA</t>
        </is>
      </c>
      <c r="F585" t="inlineStr">
        <is>
          <t>Bergvik skog väst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27954-2023</t>
        </is>
      </c>
      <c r="B586" s="1" t="n">
        <v>45098</v>
      </c>
      <c r="C586" s="1" t="n">
        <v>45361</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27929-2023</t>
        </is>
      </c>
      <c r="B587" s="1" t="n">
        <v>45098</v>
      </c>
      <c r="C587" s="1" t="n">
        <v>45361</v>
      </c>
      <c r="D587" t="inlineStr">
        <is>
          <t>DALARNAS LÄN</t>
        </is>
      </c>
      <c r="E587" t="inlineStr">
        <is>
          <t>LUDVIKA</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28144-2023</t>
        </is>
      </c>
      <c r="B588" s="1" t="n">
        <v>45099</v>
      </c>
      <c r="C588" s="1" t="n">
        <v>45361</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28134-2023</t>
        </is>
      </c>
      <c r="B589" s="1" t="n">
        <v>45099</v>
      </c>
      <c r="C589" s="1" t="n">
        <v>45361</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28125-2023</t>
        </is>
      </c>
      <c r="B590" s="1" t="n">
        <v>45099</v>
      </c>
      <c r="C590" s="1" t="n">
        <v>45361</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28138-2023</t>
        </is>
      </c>
      <c r="B591" s="1" t="n">
        <v>45099</v>
      </c>
      <c r="C591" s="1" t="n">
        <v>45361</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28157-2023</t>
        </is>
      </c>
      <c r="B592" s="1" t="n">
        <v>45099</v>
      </c>
      <c r="C592" s="1" t="n">
        <v>45361</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28141-2023</t>
        </is>
      </c>
      <c r="B593" s="1" t="n">
        <v>45099</v>
      </c>
      <c r="C593" s="1" t="n">
        <v>45361</v>
      </c>
      <c r="D593" t="inlineStr">
        <is>
          <t>DALARNAS LÄN</t>
        </is>
      </c>
      <c r="E593" t="inlineStr">
        <is>
          <t>LUDVIKA</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28150-2023</t>
        </is>
      </c>
      <c r="B594" s="1" t="n">
        <v>45099</v>
      </c>
      <c r="C594" s="1" t="n">
        <v>45361</v>
      </c>
      <c r="D594" t="inlineStr">
        <is>
          <t>DALARNAS LÄN</t>
        </is>
      </c>
      <c r="E594" t="inlineStr">
        <is>
          <t>LUDVIKA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28507-2023</t>
        </is>
      </c>
      <c r="B595" s="1" t="n">
        <v>45103</v>
      </c>
      <c r="C595" s="1" t="n">
        <v>45361</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29242-2023</t>
        </is>
      </c>
      <c r="B596" s="1" t="n">
        <v>45105</v>
      </c>
      <c r="C596" s="1" t="n">
        <v>45361</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31702-2023</t>
        </is>
      </c>
      <c r="B597" s="1" t="n">
        <v>45105</v>
      </c>
      <c r="C597" s="1" t="n">
        <v>45361</v>
      </c>
      <c r="D597" t="inlineStr">
        <is>
          <t>DALARNAS LÄN</t>
        </is>
      </c>
      <c r="E597" t="inlineStr">
        <is>
          <t>LUDVIKA</t>
        </is>
      </c>
      <c r="G597" t="n">
        <v>2.3</v>
      </c>
      <c r="H597" t="n">
        <v>0</v>
      </c>
      <c r="I597" t="n">
        <v>0</v>
      </c>
      <c r="J597" t="n">
        <v>0</v>
      </c>
      <c r="K597" t="n">
        <v>0</v>
      </c>
      <c r="L597" t="n">
        <v>0</v>
      </c>
      <c r="M597" t="n">
        <v>0</v>
      </c>
      <c r="N597" t="n">
        <v>0</v>
      </c>
      <c r="O597" t="n">
        <v>0</v>
      </c>
      <c r="P597" t="n">
        <v>0</v>
      </c>
      <c r="Q597" t="n">
        <v>0</v>
      </c>
      <c r="R597" s="2" t="inlineStr"/>
    </row>
    <row r="598" ht="15" customHeight="1">
      <c r="A598" t="inlineStr">
        <is>
          <t>A 29535-2023</t>
        </is>
      </c>
      <c r="B598" s="1" t="n">
        <v>45106</v>
      </c>
      <c r="C598" s="1" t="n">
        <v>45361</v>
      </c>
      <c r="D598" t="inlineStr">
        <is>
          <t>DALARNAS LÄN</t>
        </is>
      </c>
      <c r="E598" t="inlineStr">
        <is>
          <t>LUDVIKA</t>
        </is>
      </c>
      <c r="G598" t="n">
        <v>2.8</v>
      </c>
      <c r="H598" t="n">
        <v>0</v>
      </c>
      <c r="I598" t="n">
        <v>0</v>
      </c>
      <c r="J598" t="n">
        <v>0</v>
      </c>
      <c r="K598" t="n">
        <v>0</v>
      </c>
      <c r="L598" t="n">
        <v>0</v>
      </c>
      <c r="M598" t="n">
        <v>0</v>
      </c>
      <c r="N598" t="n">
        <v>0</v>
      </c>
      <c r="O598" t="n">
        <v>0</v>
      </c>
      <c r="P598" t="n">
        <v>0</v>
      </c>
      <c r="Q598" t="n">
        <v>0</v>
      </c>
      <c r="R598" s="2" t="inlineStr"/>
    </row>
    <row r="599" ht="15" customHeight="1">
      <c r="A599" t="inlineStr">
        <is>
          <t>A 29666-2023</t>
        </is>
      </c>
      <c r="B599" s="1" t="n">
        <v>45107</v>
      </c>
      <c r="C599" s="1" t="n">
        <v>45361</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29698-2023</t>
        </is>
      </c>
      <c r="B600" s="1" t="n">
        <v>45107</v>
      </c>
      <c r="C600" s="1" t="n">
        <v>45361</v>
      </c>
      <c r="D600" t="inlineStr">
        <is>
          <t>DALARNAS LÄN</t>
        </is>
      </c>
      <c r="E600" t="inlineStr">
        <is>
          <t>LUDVIKA</t>
        </is>
      </c>
      <c r="G600" t="n">
        <v>2.7</v>
      </c>
      <c r="H600" t="n">
        <v>0</v>
      </c>
      <c r="I600" t="n">
        <v>0</v>
      </c>
      <c r="J600" t="n">
        <v>0</v>
      </c>
      <c r="K600" t="n">
        <v>0</v>
      </c>
      <c r="L600" t="n">
        <v>0</v>
      </c>
      <c r="M600" t="n">
        <v>0</v>
      </c>
      <c r="N600" t="n">
        <v>0</v>
      </c>
      <c r="O600" t="n">
        <v>0</v>
      </c>
      <c r="P600" t="n">
        <v>0</v>
      </c>
      <c r="Q600" t="n">
        <v>0</v>
      </c>
      <c r="R600" s="2" t="inlineStr"/>
    </row>
    <row r="601" ht="15" customHeight="1">
      <c r="A601" t="inlineStr">
        <is>
          <t>A 30113-2023</t>
        </is>
      </c>
      <c r="B601" s="1" t="n">
        <v>45110</v>
      </c>
      <c r="C601" s="1" t="n">
        <v>45361</v>
      </c>
      <c r="D601" t="inlineStr">
        <is>
          <t>DALARNAS LÄN</t>
        </is>
      </c>
      <c r="E601" t="inlineStr">
        <is>
          <t>LUDVIKA</t>
        </is>
      </c>
      <c r="G601" t="n">
        <v>3.3</v>
      </c>
      <c r="H601" t="n">
        <v>0</v>
      </c>
      <c r="I601" t="n">
        <v>0</v>
      </c>
      <c r="J601" t="n">
        <v>0</v>
      </c>
      <c r="K601" t="n">
        <v>0</v>
      </c>
      <c r="L601" t="n">
        <v>0</v>
      </c>
      <c r="M601" t="n">
        <v>0</v>
      </c>
      <c r="N601" t="n">
        <v>0</v>
      </c>
      <c r="O601" t="n">
        <v>0</v>
      </c>
      <c r="P601" t="n">
        <v>0</v>
      </c>
      <c r="Q601" t="n">
        <v>0</v>
      </c>
      <c r="R601" s="2" t="inlineStr"/>
    </row>
    <row r="602" ht="15" customHeight="1">
      <c r="A602" t="inlineStr">
        <is>
          <t>A 30123-2023</t>
        </is>
      </c>
      <c r="B602" s="1" t="n">
        <v>45110</v>
      </c>
      <c r="C602" s="1" t="n">
        <v>45361</v>
      </c>
      <c r="D602" t="inlineStr">
        <is>
          <t>DALARNAS LÄN</t>
        </is>
      </c>
      <c r="E602" t="inlineStr">
        <is>
          <t>LUDVIKA</t>
        </is>
      </c>
      <c r="G602" t="n">
        <v>1.9</v>
      </c>
      <c r="H602" t="n">
        <v>0</v>
      </c>
      <c r="I602" t="n">
        <v>0</v>
      </c>
      <c r="J602" t="n">
        <v>0</v>
      </c>
      <c r="K602" t="n">
        <v>0</v>
      </c>
      <c r="L602" t="n">
        <v>0</v>
      </c>
      <c r="M602" t="n">
        <v>0</v>
      </c>
      <c r="N602" t="n">
        <v>0</v>
      </c>
      <c r="O602" t="n">
        <v>0</v>
      </c>
      <c r="P602" t="n">
        <v>0</v>
      </c>
      <c r="Q602" t="n">
        <v>0</v>
      </c>
      <c r="R602" s="2" t="inlineStr"/>
    </row>
    <row r="603" ht="15" customHeight="1">
      <c r="A603" t="inlineStr">
        <is>
          <t>A 30127-2023</t>
        </is>
      </c>
      <c r="B603" s="1" t="n">
        <v>45110</v>
      </c>
      <c r="C603" s="1" t="n">
        <v>45361</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30581-2023</t>
        </is>
      </c>
      <c r="B604" s="1" t="n">
        <v>45112</v>
      </c>
      <c r="C604" s="1" t="n">
        <v>45361</v>
      </c>
      <c r="D604" t="inlineStr">
        <is>
          <t>DALARNAS LÄN</t>
        </is>
      </c>
      <c r="E604" t="inlineStr">
        <is>
          <t>LUDVIKA</t>
        </is>
      </c>
      <c r="F604" t="inlineStr">
        <is>
          <t>Bergvik skog väst AB</t>
        </is>
      </c>
      <c r="G604" t="n">
        <v>14.4</v>
      </c>
      <c r="H604" t="n">
        <v>0</v>
      </c>
      <c r="I604" t="n">
        <v>0</v>
      </c>
      <c r="J604" t="n">
        <v>0</v>
      </c>
      <c r="K604" t="n">
        <v>0</v>
      </c>
      <c r="L604" t="n">
        <v>0</v>
      </c>
      <c r="M604" t="n">
        <v>0</v>
      </c>
      <c r="N604" t="n">
        <v>0</v>
      </c>
      <c r="O604" t="n">
        <v>0</v>
      </c>
      <c r="P604" t="n">
        <v>0</v>
      </c>
      <c r="Q604" t="n">
        <v>0</v>
      </c>
      <c r="R604" s="2" t="inlineStr"/>
    </row>
    <row r="605" ht="15" customHeight="1">
      <c r="A605" t="inlineStr">
        <is>
          <t>A 32852-2023</t>
        </is>
      </c>
      <c r="B605" s="1" t="n">
        <v>45112</v>
      </c>
      <c r="C605" s="1" t="n">
        <v>45361</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32854-2023</t>
        </is>
      </c>
      <c r="B606" s="1" t="n">
        <v>45112</v>
      </c>
      <c r="C606" s="1" t="n">
        <v>45361</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30892-2023</t>
        </is>
      </c>
      <c r="B607" s="1" t="n">
        <v>45113</v>
      </c>
      <c r="C607" s="1" t="n">
        <v>45361</v>
      </c>
      <c r="D607" t="inlineStr">
        <is>
          <t>DALARNAS LÄN</t>
        </is>
      </c>
      <c r="E607" t="inlineStr">
        <is>
          <t>LUDVIKA</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32995-2023</t>
        </is>
      </c>
      <c r="B608" s="1" t="n">
        <v>45113</v>
      </c>
      <c r="C608" s="1" t="n">
        <v>45361</v>
      </c>
      <c r="D608" t="inlineStr">
        <is>
          <t>DALARNAS LÄN</t>
        </is>
      </c>
      <c r="E608" t="inlineStr">
        <is>
          <t>LUDVIKA</t>
        </is>
      </c>
      <c r="F608" t="inlineStr">
        <is>
          <t>Kommuner</t>
        </is>
      </c>
      <c r="G608" t="n">
        <v>5.8</v>
      </c>
      <c r="H608" t="n">
        <v>0</v>
      </c>
      <c r="I608" t="n">
        <v>0</v>
      </c>
      <c r="J608" t="n">
        <v>0</v>
      </c>
      <c r="K608" t="n">
        <v>0</v>
      </c>
      <c r="L608" t="n">
        <v>0</v>
      </c>
      <c r="M608" t="n">
        <v>0</v>
      </c>
      <c r="N608" t="n">
        <v>0</v>
      </c>
      <c r="O608" t="n">
        <v>0</v>
      </c>
      <c r="P608" t="n">
        <v>0</v>
      </c>
      <c r="Q608" t="n">
        <v>0</v>
      </c>
      <c r="R608" s="2" t="inlineStr"/>
    </row>
    <row r="609" ht="15" customHeight="1">
      <c r="A609" t="inlineStr">
        <is>
          <t>A 31353-2023</t>
        </is>
      </c>
      <c r="B609" s="1" t="n">
        <v>45114</v>
      </c>
      <c r="C609" s="1" t="n">
        <v>45361</v>
      </c>
      <c r="D609" t="inlineStr">
        <is>
          <t>DALARNAS LÄN</t>
        </is>
      </c>
      <c r="E609" t="inlineStr">
        <is>
          <t>LUDVIKA</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31478-2023</t>
        </is>
      </c>
      <c r="B610" s="1" t="n">
        <v>45114</v>
      </c>
      <c r="C610" s="1" t="n">
        <v>45361</v>
      </c>
      <c r="D610" t="inlineStr">
        <is>
          <t>DALARNAS LÄN</t>
        </is>
      </c>
      <c r="E610" t="inlineStr">
        <is>
          <t>LUDVIKA</t>
        </is>
      </c>
      <c r="G610" t="n">
        <v>6.2</v>
      </c>
      <c r="H610" t="n">
        <v>0</v>
      </c>
      <c r="I610" t="n">
        <v>0</v>
      </c>
      <c r="J610" t="n">
        <v>0</v>
      </c>
      <c r="K610" t="n">
        <v>0</v>
      </c>
      <c r="L610" t="n">
        <v>0</v>
      </c>
      <c r="M610" t="n">
        <v>0</v>
      </c>
      <c r="N610" t="n">
        <v>0</v>
      </c>
      <c r="O610" t="n">
        <v>0</v>
      </c>
      <c r="P610" t="n">
        <v>0</v>
      </c>
      <c r="Q610" t="n">
        <v>0</v>
      </c>
      <c r="R610" s="2" t="inlineStr"/>
    </row>
    <row r="611" ht="15" customHeight="1">
      <c r="A611" t="inlineStr">
        <is>
          <t>A 31341-2023</t>
        </is>
      </c>
      <c r="B611" s="1" t="n">
        <v>45114</v>
      </c>
      <c r="C611" s="1" t="n">
        <v>45361</v>
      </c>
      <c r="D611" t="inlineStr">
        <is>
          <t>DALARNAS LÄN</t>
        </is>
      </c>
      <c r="E611" t="inlineStr">
        <is>
          <t>LUDVIKA</t>
        </is>
      </c>
      <c r="F611" t="inlineStr">
        <is>
          <t>Naturvårdsverket</t>
        </is>
      </c>
      <c r="G611" t="n">
        <v>2.4</v>
      </c>
      <c r="H611" t="n">
        <v>0</v>
      </c>
      <c r="I611" t="n">
        <v>0</v>
      </c>
      <c r="J611" t="n">
        <v>0</v>
      </c>
      <c r="K611" t="n">
        <v>0</v>
      </c>
      <c r="L611" t="n">
        <v>0</v>
      </c>
      <c r="M611" t="n">
        <v>0</v>
      </c>
      <c r="N611" t="n">
        <v>0</v>
      </c>
      <c r="O611" t="n">
        <v>0</v>
      </c>
      <c r="P611" t="n">
        <v>0</v>
      </c>
      <c r="Q611" t="n">
        <v>0</v>
      </c>
      <c r="R611" s="2" t="inlineStr"/>
    </row>
    <row r="612" ht="15" customHeight="1">
      <c r="A612" t="inlineStr">
        <is>
          <t>A 31477-2023</t>
        </is>
      </c>
      <c r="B612" s="1" t="n">
        <v>45114</v>
      </c>
      <c r="C612" s="1" t="n">
        <v>45361</v>
      </c>
      <c r="D612" t="inlineStr">
        <is>
          <t>DALARNAS LÄN</t>
        </is>
      </c>
      <c r="E612" t="inlineStr">
        <is>
          <t>LUDVIKA</t>
        </is>
      </c>
      <c r="G612" t="n">
        <v>3.4</v>
      </c>
      <c r="H612" t="n">
        <v>0</v>
      </c>
      <c r="I612" t="n">
        <v>0</v>
      </c>
      <c r="J612" t="n">
        <v>0</v>
      </c>
      <c r="K612" t="n">
        <v>0</v>
      </c>
      <c r="L612" t="n">
        <v>0</v>
      </c>
      <c r="M612" t="n">
        <v>0</v>
      </c>
      <c r="N612" t="n">
        <v>0</v>
      </c>
      <c r="O612" t="n">
        <v>0</v>
      </c>
      <c r="P612" t="n">
        <v>0</v>
      </c>
      <c r="Q612" t="n">
        <v>0</v>
      </c>
      <c r="R612" s="2" t="inlineStr"/>
    </row>
    <row r="613" ht="15" customHeight="1">
      <c r="A613" t="inlineStr">
        <is>
          <t>A 31625-2023</t>
        </is>
      </c>
      <c r="B613" s="1" t="n">
        <v>45117</v>
      </c>
      <c r="C613" s="1" t="n">
        <v>45361</v>
      </c>
      <c r="D613" t="inlineStr">
        <is>
          <t>DALARNAS LÄN</t>
        </is>
      </c>
      <c r="E613" t="inlineStr">
        <is>
          <t>LUDVIKA</t>
        </is>
      </c>
      <c r="G613" t="n">
        <v>4.1</v>
      </c>
      <c r="H613" t="n">
        <v>0</v>
      </c>
      <c r="I613" t="n">
        <v>0</v>
      </c>
      <c r="J613" t="n">
        <v>0</v>
      </c>
      <c r="K613" t="n">
        <v>0</v>
      </c>
      <c r="L613" t="n">
        <v>0</v>
      </c>
      <c r="M613" t="n">
        <v>0</v>
      </c>
      <c r="N613" t="n">
        <v>0</v>
      </c>
      <c r="O613" t="n">
        <v>0</v>
      </c>
      <c r="P613" t="n">
        <v>0</v>
      </c>
      <c r="Q613" t="n">
        <v>0</v>
      </c>
      <c r="R613" s="2" t="inlineStr"/>
    </row>
    <row r="614" ht="15" customHeight="1">
      <c r="A614" t="inlineStr">
        <is>
          <t>A 33535-2023</t>
        </is>
      </c>
      <c r="B614" s="1" t="n">
        <v>45118</v>
      </c>
      <c r="C614" s="1" t="n">
        <v>45361</v>
      </c>
      <c r="D614" t="inlineStr">
        <is>
          <t>DALARNAS LÄN</t>
        </is>
      </c>
      <c r="E614" t="inlineStr">
        <is>
          <t>LUDVIKA</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32119-2023</t>
        </is>
      </c>
      <c r="B615" s="1" t="n">
        <v>45119</v>
      </c>
      <c r="C615" s="1" t="n">
        <v>45361</v>
      </c>
      <c r="D615" t="inlineStr">
        <is>
          <t>DALARNAS LÄN</t>
        </is>
      </c>
      <c r="E615" t="inlineStr">
        <is>
          <t>LUDVIKA</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32091-2023</t>
        </is>
      </c>
      <c r="B616" s="1" t="n">
        <v>45119</v>
      </c>
      <c r="C616" s="1" t="n">
        <v>45361</v>
      </c>
      <c r="D616" t="inlineStr">
        <is>
          <t>DALARNAS LÄN</t>
        </is>
      </c>
      <c r="E616" t="inlineStr">
        <is>
          <t>LUDVIKA</t>
        </is>
      </c>
      <c r="F616" t="inlineStr">
        <is>
          <t>Bergvik skog väst AB</t>
        </is>
      </c>
      <c r="G616" t="n">
        <v>7.3</v>
      </c>
      <c r="H616" t="n">
        <v>0</v>
      </c>
      <c r="I616" t="n">
        <v>0</v>
      </c>
      <c r="J616" t="n">
        <v>0</v>
      </c>
      <c r="K616" t="n">
        <v>0</v>
      </c>
      <c r="L616" t="n">
        <v>0</v>
      </c>
      <c r="M616" t="n">
        <v>0</v>
      </c>
      <c r="N616" t="n">
        <v>0</v>
      </c>
      <c r="O616" t="n">
        <v>0</v>
      </c>
      <c r="P616" t="n">
        <v>0</v>
      </c>
      <c r="Q616" t="n">
        <v>0</v>
      </c>
      <c r="R616" s="2" t="inlineStr"/>
    </row>
    <row r="617" ht="15" customHeight="1">
      <c r="A617" t="inlineStr">
        <is>
          <t>A 32124-2023</t>
        </is>
      </c>
      <c r="B617" s="1" t="n">
        <v>45119</v>
      </c>
      <c r="C617" s="1" t="n">
        <v>45361</v>
      </c>
      <c r="D617" t="inlineStr">
        <is>
          <t>DALARNAS LÄN</t>
        </is>
      </c>
      <c r="E617" t="inlineStr">
        <is>
          <t>LUDVIKA</t>
        </is>
      </c>
      <c r="F617" t="inlineStr">
        <is>
          <t>Naturvårdsverket</t>
        </is>
      </c>
      <c r="G617" t="n">
        <v>1.5</v>
      </c>
      <c r="H617" t="n">
        <v>0</v>
      </c>
      <c r="I617" t="n">
        <v>0</v>
      </c>
      <c r="J617" t="n">
        <v>0</v>
      </c>
      <c r="K617" t="n">
        <v>0</v>
      </c>
      <c r="L617" t="n">
        <v>0</v>
      </c>
      <c r="M617" t="n">
        <v>0</v>
      </c>
      <c r="N617" t="n">
        <v>0</v>
      </c>
      <c r="O617" t="n">
        <v>0</v>
      </c>
      <c r="P617" t="n">
        <v>0</v>
      </c>
      <c r="Q617" t="n">
        <v>0</v>
      </c>
      <c r="R617" s="2" t="inlineStr"/>
    </row>
    <row r="618" ht="15" customHeight="1">
      <c r="A618" t="inlineStr">
        <is>
          <t>A 32526-2023</t>
        </is>
      </c>
      <c r="B618" s="1" t="n">
        <v>45121</v>
      </c>
      <c r="C618" s="1" t="n">
        <v>45361</v>
      </c>
      <c r="D618" t="inlineStr">
        <is>
          <t>DALARNAS LÄN</t>
        </is>
      </c>
      <c r="E618" t="inlineStr">
        <is>
          <t>LUDVIKA</t>
        </is>
      </c>
      <c r="F618" t="inlineStr">
        <is>
          <t>Bergvik skog väst AB</t>
        </is>
      </c>
      <c r="G618" t="n">
        <v>5.1</v>
      </c>
      <c r="H618" t="n">
        <v>0</v>
      </c>
      <c r="I618" t="n">
        <v>0</v>
      </c>
      <c r="J618" t="n">
        <v>0</v>
      </c>
      <c r="K618" t="n">
        <v>0</v>
      </c>
      <c r="L618" t="n">
        <v>0</v>
      </c>
      <c r="M618" t="n">
        <v>0</v>
      </c>
      <c r="N618" t="n">
        <v>0</v>
      </c>
      <c r="O618" t="n">
        <v>0</v>
      </c>
      <c r="P618" t="n">
        <v>0</v>
      </c>
      <c r="Q618" t="n">
        <v>0</v>
      </c>
      <c r="R618" s="2" t="inlineStr"/>
    </row>
    <row r="619" ht="15" customHeight="1">
      <c r="A619" t="inlineStr">
        <is>
          <t>A 32527-2023</t>
        </is>
      </c>
      <c r="B619" s="1" t="n">
        <v>45121</v>
      </c>
      <c r="C619" s="1" t="n">
        <v>45361</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32927-2023</t>
        </is>
      </c>
      <c r="B620" s="1" t="n">
        <v>45125</v>
      </c>
      <c r="C620" s="1" t="n">
        <v>45361</v>
      </c>
      <c r="D620" t="inlineStr">
        <is>
          <t>DALARNAS LÄN</t>
        </is>
      </c>
      <c r="E620" t="inlineStr">
        <is>
          <t>LUDVIKA</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32930-2023</t>
        </is>
      </c>
      <c r="B621" s="1" t="n">
        <v>45125</v>
      </c>
      <c r="C621" s="1" t="n">
        <v>45361</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34041-2023</t>
        </is>
      </c>
      <c r="B622" s="1" t="n">
        <v>45125</v>
      </c>
      <c r="C622" s="1" t="n">
        <v>45361</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33063-2023</t>
        </is>
      </c>
      <c r="B623" s="1" t="n">
        <v>45126</v>
      </c>
      <c r="C623" s="1" t="n">
        <v>45361</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33275-2023</t>
        </is>
      </c>
      <c r="B624" s="1" t="n">
        <v>45127</v>
      </c>
      <c r="C624" s="1" t="n">
        <v>45361</v>
      </c>
      <c r="D624" t="inlineStr">
        <is>
          <t>DALARNAS LÄN</t>
        </is>
      </c>
      <c r="E624" t="inlineStr">
        <is>
          <t>LUDVIKA</t>
        </is>
      </c>
      <c r="F624" t="inlineStr">
        <is>
          <t>Naturvårdsverket</t>
        </is>
      </c>
      <c r="G624" t="n">
        <v>3.2</v>
      </c>
      <c r="H624" t="n">
        <v>0</v>
      </c>
      <c r="I624" t="n">
        <v>0</v>
      </c>
      <c r="J624" t="n">
        <v>0</v>
      </c>
      <c r="K624" t="n">
        <v>0</v>
      </c>
      <c r="L624" t="n">
        <v>0</v>
      </c>
      <c r="M624" t="n">
        <v>0</v>
      </c>
      <c r="N624" t="n">
        <v>0</v>
      </c>
      <c r="O624" t="n">
        <v>0</v>
      </c>
      <c r="P624" t="n">
        <v>0</v>
      </c>
      <c r="Q624" t="n">
        <v>0</v>
      </c>
      <c r="R624" s="2" t="inlineStr"/>
    </row>
    <row r="625" ht="15" customHeight="1">
      <c r="A625" t="inlineStr">
        <is>
          <t>A 33347-2023</t>
        </is>
      </c>
      <c r="B625" s="1" t="n">
        <v>45128</v>
      </c>
      <c r="C625" s="1" t="n">
        <v>45361</v>
      </c>
      <c r="D625" t="inlineStr">
        <is>
          <t>DALARNAS LÄN</t>
        </is>
      </c>
      <c r="E625" t="inlineStr">
        <is>
          <t>LUDVIKA</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33344-2023</t>
        </is>
      </c>
      <c r="B626" s="1" t="n">
        <v>45128</v>
      </c>
      <c r="C626" s="1" t="n">
        <v>45361</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33361-2023</t>
        </is>
      </c>
      <c r="B627" s="1" t="n">
        <v>45128</v>
      </c>
      <c r="C627" s="1" t="n">
        <v>45361</v>
      </c>
      <c r="D627" t="inlineStr">
        <is>
          <t>DALARNAS LÄN</t>
        </is>
      </c>
      <c r="E627" t="inlineStr">
        <is>
          <t>LUDVIKA</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33560-2023</t>
        </is>
      </c>
      <c r="B628" s="1" t="n">
        <v>45131</v>
      </c>
      <c r="C628" s="1" t="n">
        <v>45361</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34341-2023</t>
        </is>
      </c>
      <c r="B629" s="1" t="n">
        <v>45131</v>
      </c>
      <c r="C629" s="1" t="n">
        <v>45361</v>
      </c>
      <c r="D629" t="inlineStr">
        <is>
          <t>DALARNAS LÄN</t>
        </is>
      </c>
      <c r="E629" t="inlineStr">
        <is>
          <t>LUDVIKA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33620-2023</t>
        </is>
      </c>
      <c r="B630" s="1" t="n">
        <v>45132</v>
      </c>
      <c r="C630" s="1" t="n">
        <v>45361</v>
      </c>
      <c r="D630" t="inlineStr">
        <is>
          <t>DALARNAS LÄN</t>
        </is>
      </c>
      <c r="E630" t="inlineStr">
        <is>
          <t>LUDVIKA</t>
        </is>
      </c>
      <c r="F630" t="inlineStr">
        <is>
          <t>Bergvik skog väst AB</t>
        </is>
      </c>
      <c r="G630" t="n">
        <v>7.4</v>
      </c>
      <c r="H630" t="n">
        <v>0</v>
      </c>
      <c r="I630" t="n">
        <v>0</v>
      </c>
      <c r="J630" t="n">
        <v>0</v>
      </c>
      <c r="K630" t="n">
        <v>0</v>
      </c>
      <c r="L630" t="n">
        <v>0</v>
      </c>
      <c r="M630" t="n">
        <v>0</v>
      </c>
      <c r="N630" t="n">
        <v>0</v>
      </c>
      <c r="O630" t="n">
        <v>0</v>
      </c>
      <c r="P630" t="n">
        <v>0</v>
      </c>
      <c r="Q630" t="n">
        <v>0</v>
      </c>
      <c r="R630" s="2" t="inlineStr"/>
    </row>
    <row r="631" ht="15" customHeight="1">
      <c r="A631" t="inlineStr">
        <is>
          <t>A 33914-2023</t>
        </is>
      </c>
      <c r="B631" s="1" t="n">
        <v>45134</v>
      </c>
      <c r="C631" s="1" t="n">
        <v>45361</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33933-2023</t>
        </is>
      </c>
      <c r="B632" s="1" t="n">
        <v>45134</v>
      </c>
      <c r="C632" s="1" t="n">
        <v>45361</v>
      </c>
      <c r="D632" t="inlineStr">
        <is>
          <t>DALARNAS LÄN</t>
        </is>
      </c>
      <c r="E632" t="inlineStr">
        <is>
          <t>LUDVIKA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33916-2023</t>
        </is>
      </c>
      <c r="B633" s="1" t="n">
        <v>45134</v>
      </c>
      <c r="C633" s="1" t="n">
        <v>45361</v>
      </c>
      <c r="D633" t="inlineStr">
        <is>
          <t>DALARNAS LÄN</t>
        </is>
      </c>
      <c r="E633" t="inlineStr">
        <is>
          <t>LUDVIKA</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33917-2023</t>
        </is>
      </c>
      <c r="B634" s="1" t="n">
        <v>45134</v>
      </c>
      <c r="C634" s="1" t="n">
        <v>45361</v>
      </c>
      <c r="D634" t="inlineStr">
        <is>
          <t>DALARNAS LÄN</t>
        </is>
      </c>
      <c r="E634" t="inlineStr">
        <is>
          <t>LUDVIKA</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33947-2023</t>
        </is>
      </c>
      <c r="B635" s="1" t="n">
        <v>45134</v>
      </c>
      <c r="C635" s="1" t="n">
        <v>45361</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34024-2023</t>
        </is>
      </c>
      <c r="B636" s="1" t="n">
        <v>45135</v>
      </c>
      <c r="C636" s="1" t="n">
        <v>45361</v>
      </c>
      <c r="D636" t="inlineStr">
        <is>
          <t>DALARNAS LÄN</t>
        </is>
      </c>
      <c r="E636" t="inlineStr">
        <is>
          <t>LUDVIKA</t>
        </is>
      </c>
      <c r="F636" t="inlineStr">
        <is>
          <t>Bergvik skog väst AB</t>
        </is>
      </c>
      <c r="G636" t="n">
        <v>18.3</v>
      </c>
      <c r="H636" t="n">
        <v>0</v>
      </c>
      <c r="I636" t="n">
        <v>0</v>
      </c>
      <c r="J636" t="n">
        <v>0</v>
      </c>
      <c r="K636" t="n">
        <v>0</v>
      </c>
      <c r="L636" t="n">
        <v>0</v>
      </c>
      <c r="M636" t="n">
        <v>0</v>
      </c>
      <c r="N636" t="n">
        <v>0</v>
      </c>
      <c r="O636" t="n">
        <v>0</v>
      </c>
      <c r="P636" t="n">
        <v>0</v>
      </c>
      <c r="Q636" t="n">
        <v>0</v>
      </c>
      <c r="R636" s="2" t="inlineStr"/>
    </row>
    <row r="637" ht="15" customHeight="1">
      <c r="A637" t="inlineStr">
        <is>
          <t>A 34503-2023</t>
        </is>
      </c>
      <c r="B637" s="1" t="n">
        <v>45140</v>
      </c>
      <c r="C637" s="1" t="n">
        <v>45361</v>
      </c>
      <c r="D637" t="inlineStr">
        <is>
          <t>DALARNAS LÄN</t>
        </is>
      </c>
      <c r="E637" t="inlineStr">
        <is>
          <t>LUDVIKA</t>
        </is>
      </c>
      <c r="F637" t="inlineStr">
        <is>
          <t>Bergvik skog väst AB</t>
        </is>
      </c>
      <c r="G637" t="n">
        <v>7.4</v>
      </c>
      <c r="H637" t="n">
        <v>0</v>
      </c>
      <c r="I637" t="n">
        <v>0</v>
      </c>
      <c r="J637" t="n">
        <v>0</v>
      </c>
      <c r="K637" t="n">
        <v>0</v>
      </c>
      <c r="L637" t="n">
        <v>0</v>
      </c>
      <c r="M637" t="n">
        <v>0</v>
      </c>
      <c r="N637" t="n">
        <v>0</v>
      </c>
      <c r="O637" t="n">
        <v>0</v>
      </c>
      <c r="P637" t="n">
        <v>0</v>
      </c>
      <c r="Q637" t="n">
        <v>0</v>
      </c>
      <c r="R637" s="2" t="inlineStr"/>
    </row>
    <row r="638" ht="15" customHeight="1">
      <c r="A638" t="inlineStr">
        <is>
          <t>A 34555-2023</t>
        </is>
      </c>
      <c r="B638" s="1" t="n">
        <v>45140</v>
      </c>
      <c r="C638" s="1" t="n">
        <v>45361</v>
      </c>
      <c r="D638" t="inlineStr">
        <is>
          <t>DALARNAS LÄN</t>
        </is>
      </c>
      <c r="E638" t="inlineStr">
        <is>
          <t>LUDVIKA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34895-2023</t>
        </is>
      </c>
      <c r="B639" s="1" t="n">
        <v>45142</v>
      </c>
      <c r="C639" s="1" t="n">
        <v>45361</v>
      </c>
      <c r="D639" t="inlineStr">
        <is>
          <t>DALARNAS LÄN</t>
        </is>
      </c>
      <c r="E639" t="inlineStr">
        <is>
          <t>LUDVIKA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35791-2023</t>
        </is>
      </c>
      <c r="B640" s="1" t="n">
        <v>45148</v>
      </c>
      <c r="C640" s="1" t="n">
        <v>45361</v>
      </c>
      <c r="D640" t="inlineStr">
        <is>
          <t>DALARNAS LÄN</t>
        </is>
      </c>
      <c r="E640" t="inlineStr">
        <is>
          <t>LUDVIKA</t>
        </is>
      </c>
      <c r="F640" t="inlineStr">
        <is>
          <t>Bergvik skog väst AB</t>
        </is>
      </c>
      <c r="G640" t="n">
        <v>9.4</v>
      </c>
      <c r="H640" t="n">
        <v>0</v>
      </c>
      <c r="I640" t="n">
        <v>0</v>
      </c>
      <c r="J640" t="n">
        <v>0</v>
      </c>
      <c r="K640" t="n">
        <v>0</v>
      </c>
      <c r="L640" t="n">
        <v>0</v>
      </c>
      <c r="M640" t="n">
        <v>0</v>
      </c>
      <c r="N640" t="n">
        <v>0</v>
      </c>
      <c r="O640" t="n">
        <v>0</v>
      </c>
      <c r="P640" t="n">
        <v>0</v>
      </c>
      <c r="Q640" t="n">
        <v>0</v>
      </c>
      <c r="R640" s="2" t="inlineStr"/>
    </row>
    <row r="641" ht="15" customHeight="1">
      <c r="A641" t="inlineStr">
        <is>
          <t>A 35789-2023</t>
        </is>
      </c>
      <c r="B641" s="1" t="n">
        <v>45148</v>
      </c>
      <c r="C641" s="1" t="n">
        <v>45361</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36079-2023</t>
        </is>
      </c>
      <c r="B642" s="1" t="n">
        <v>45149</v>
      </c>
      <c r="C642" s="1" t="n">
        <v>45361</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36083-2023</t>
        </is>
      </c>
      <c r="B643" s="1" t="n">
        <v>45149</v>
      </c>
      <c r="C643" s="1" t="n">
        <v>45361</v>
      </c>
      <c r="D643" t="inlineStr">
        <is>
          <t>DALARNAS LÄN</t>
        </is>
      </c>
      <c r="E643" t="inlineStr">
        <is>
          <t>LUDVIKA</t>
        </is>
      </c>
      <c r="F643" t="inlineStr">
        <is>
          <t>Bergvik skog väst AB</t>
        </is>
      </c>
      <c r="G643" t="n">
        <v>12.1</v>
      </c>
      <c r="H643" t="n">
        <v>0</v>
      </c>
      <c r="I643" t="n">
        <v>0</v>
      </c>
      <c r="J643" t="n">
        <v>0</v>
      </c>
      <c r="K643" t="n">
        <v>0</v>
      </c>
      <c r="L643" t="n">
        <v>0</v>
      </c>
      <c r="M643" t="n">
        <v>0</v>
      </c>
      <c r="N643" t="n">
        <v>0</v>
      </c>
      <c r="O643" t="n">
        <v>0</v>
      </c>
      <c r="P643" t="n">
        <v>0</v>
      </c>
      <c r="Q643" t="n">
        <v>0</v>
      </c>
      <c r="R643" s="2" t="inlineStr"/>
    </row>
    <row r="644" ht="15" customHeight="1">
      <c r="A644" t="inlineStr">
        <is>
          <t>A 36073-2023</t>
        </is>
      </c>
      <c r="B644" s="1" t="n">
        <v>45149</v>
      </c>
      <c r="C644" s="1" t="n">
        <v>45361</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36296-2023</t>
        </is>
      </c>
      <c r="B645" s="1" t="n">
        <v>45152</v>
      </c>
      <c r="C645" s="1" t="n">
        <v>45361</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36294-2023</t>
        </is>
      </c>
      <c r="B646" s="1" t="n">
        <v>45152</v>
      </c>
      <c r="C646" s="1" t="n">
        <v>45361</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36297-2023</t>
        </is>
      </c>
      <c r="B647" s="1" t="n">
        <v>45152</v>
      </c>
      <c r="C647" s="1" t="n">
        <v>45361</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37008-2023</t>
        </is>
      </c>
      <c r="B648" s="1" t="n">
        <v>45155</v>
      </c>
      <c r="C648" s="1" t="n">
        <v>45361</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37273-2023</t>
        </is>
      </c>
      <c r="B649" s="1" t="n">
        <v>45156</v>
      </c>
      <c r="C649" s="1" t="n">
        <v>45361</v>
      </c>
      <c r="D649" t="inlineStr">
        <is>
          <t>DALARNAS LÄN</t>
        </is>
      </c>
      <c r="E649" t="inlineStr">
        <is>
          <t>LUDVIKA</t>
        </is>
      </c>
      <c r="G649" t="n">
        <v>4</v>
      </c>
      <c r="H649" t="n">
        <v>0</v>
      </c>
      <c r="I649" t="n">
        <v>0</v>
      </c>
      <c r="J649" t="n">
        <v>0</v>
      </c>
      <c r="K649" t="n">
        <v>0</v>
      </c>
      <c r="L649" t="n">
        <v>0</v>
      </c>
      <c r="M649" t="n">
        <v>0</v>
      </c>
      <c r="N649" t="n">
        <v>0</v>
      </c>
      <c r="O649" t="n">
        <v>0</v>
      </c>
      <c r="P649" t="n">
        <v>0</v>
      </c>
      <c r="Q649" t="n">
        <v>0</v>
      </c>
      <c r="R649" s="2" t="inlineStr"/>
    </row>
    <row r="650" ht="15" customHeight="1">
      <c r="A650" t="inlineStr">
        <is>
          <t>A 37272-2023</t>
        </is>
      </c>
      <c r="B650" s="1" t="n">
        <v>45156</v>
      </c>
      <c r="C650" s="1" t="n">
        <v>45361</v>
      </c>
      <c r="D650" t="inlineStr">
        <is>
          <t>DALARNAS LÄN</t>
        </is>
      </c>
      <c r="E650" t="inlineStr">
        <is>
          <t>LUDVIKA</t>
        </is>
      </c>
      <c r="G650" t="n">
        <v>6</v>
      </c>
      <c r="H650" t="n">
        <v>0</v>
      </c>
      <c r="I650" t="n">
        <v>0</v>
      </c>
      <c r="J650" t="n">
        <v>0</v>
      </c>
      <c r="K650" t="n">
        <v>0</v>
      </c>
      <c r="L650" t="n">
        <v>0</v>
      </c>
      <c r="M650" t="n">
        <v>0</v>
      </c>
      <c r="N650" t="n">
        <v>0</v>
      </c>
      <c r="O650" t="n">
        <v>0</v>
      </c>
      <c r="P650" t="n">
        <v>0</v>
      </c>
      <c r="Q650" t="n">
        <v>0</v>
      </c>
      <c r="R650" s="2" t="inlineStr"/>
    </row>
    <row r="651" ht="15" customHeight="1">
      <c r="A651" t="inlineStr">
        <is>
          <t>A 37333-2023</t>
        </is>
      </c>
      <c r="B651" s="1" t="n">
        <v>45156</v>
      </c>
      <c r="C651" s="1" t="n">
        <v>45361</v>
      </c>
      <c r="D651" t="inlineStr">
        <is>
          <t>DALARNAS LÄN</t>
        </is>
      </c>
      <c r="E651" t="inlineStr">
        <is>
          <t>LUDVIKA</t>
        </is>
      </c>
      <c r="F651" t="inlineStr">
        <is>
          <t>Bergvik skog väst AB</t>
        </is>
      </c>
      <c r="G651" t="n">
        <v>5</v>
      </c>
      <c r="H651" t="n">
        <v>0</v>
      </c>
      <c r="I651" t="n">
        <v>0</v>
      </c>
      <c r="J651" t="n">
        <v>0</v>
      </c>
      <c r="K651" t="n">
        <v>0</v>
      </c>
      <c r="L651" t="n">
        <v>0</v>
      </c>
      <c r="M651" t="n">
        <v>0</v>
      </c>
      <c r="N651" t="n">
        <v>0</v>
      </c>
      <c r="O651" t="n">
        <v>0</v>
      </c>
      <c r="P651" t="n">
        <v>0</v>
      </c>
      <c r="Q651" t="n">
        <v>0</v>
      </c>
      <c r="R651" s="2" t="inlineStr"/>
    </row>
    <row r="652" ht="15" customHeight="1">
      <c r="A652" t="inlineStr">
        <is>
          <t>A 37366-2023</t>
        </is>
      </c>
      <c r="B652" s="1" t="n">
        <v>45156</v>
      </c>
      <c r="C652" s="1" t="n">
        <v>45361</v>
      </c>
      <c r="D652" t="inlineStr">
        <is>
          <t>DALARNAS LÄN</t>
        </is>
      </c>
      <c r="E652" t="inlineStr">
        <is>
          <t>LUDVIKA</t>
        </is>
      </c>
      <c r="F652" t="inlineStr">
        <is>
          <t>Bergvik skog väst AB</t>
        </is>
      </c>
      <c r="G652" t="n">
        <v>6.7</v>
      </c>
      <c r="H652" t="n">
        <v>0</v>
      </c>
      <c r="I652" t="n">
        <v>0</v>
      </c>
      <c r="J652" t="n">
        <v>0</v>
      </c>
      <c r="K652" t="n">
        <v>0</v>
      </c>
      <c r="L652" t="n">
        <v>0</v>
      </c>
      <c r="M652" t="n">
        <v>0</v>
      </c>
      <c r="N652" t="n">
        <v>0</v>
      </c>
      <c r="O652" t="n">
        <v>0</v>
      </c>
      <c r="P652" t="n">
        <v>0</v>
      </c>
      <c r="Q652" t="n">
        <v>0</v>
      </c>
      <c r="R652" s="2" t="inlineStr"/>
    </row>
    <row r="653" ht="15" customHeight="1">
      <c r="A653" t="inlineStr">
        <is>
          <t>A 37392-2023</t>
        </is>
      </c>
      <c r="B653" s="1" t="n">
        <v>45156</v>
      </c>
      <c r="C653" s="1" t="n">
        <v>45361</v>
      </c>
      <c r="D653" t="inlineStr">
        <is>
          <t>DALARNAS LÄN</t>
        </is>
      </c>
      <c r="E653" t="inlineStr">
        <is>
          <t>LUDVIKA</t>
        </is>
      </c>
      <c r="G653" t="n">
        <v>0.5</v>
      </c>
      <c r="H653" t="n">
        <v>0</v>
      </c>
      <c r="I653" t="n">
        <v>0</v>
      </c>
      <c r="J653" t="n">
        <v>0</v>
      </c>
      <c r="K653" t="n">
        <v>0</v>
      </c>
      <c r="L653" t="n">
        <v>0</v>
      </c>
      <c r="M653" t="n">
        <v>0</v>
      </c>
      <c r="N653" t="n">
        <v>0</v>
      </c>
      <c r="O653" t="n">
        <v>0</v>
      </c>
      <c r="P653" t="n">
        <v>0</v>
      </c>
      <c r="Q653" t="n">
        <v>0</v>
      </c>
      <c r="R653" s="2" t="inlineStr"/>
    </row>
    <row r="654" ht="15" customHeight="1">
      <c r="A654" t="inlineStr">
        <is>
          <t>A 38170-2023</t>
        </is>
      </c>
      <c r="B654" s="1" t="n">
        <v>45161</v>
      </c>
      <c r="C654" s="1" t="n">
        <v>45361</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38138-2023</t>
        </is>
      </c>
      <c r="B655" s="1" t="n">
        <v>45161</v>
      </c>
      <c r="C655" s="1" t="n">
        <v>45361</v>
      </c>
      <c r="D655" t="inlineStr">
        <is>
          <t>DALARNAS LÄN</t>
        </is>
      </c>
      <c r="E655" t="inlineStr">
        <is>
          <t>LUDVIKA</t>
        </is>
      </c>
      <c r="G655" t="n">
        <v>2.5</v>
      </c>
      <c r="H655" t="n">
        <v>0</v>
      </c>
      <c r="I655" t="n">
        <v>0</v>
      </c>
      <c r="J655" t="n">
        <v>0</v>
      </c>
      <c r="K655" t="n">
        <v>0</v>
      </c>
      <c r="L655" t="n">
        <v>0</v>
      </c>
      <c r="M655" t="n">
        <v>0</v>
      </c>
      <c r="N655" t="n">
        <v>0</v>
      </c>
      <c r="O655" t="n">
        <v>0</v>
      </c>
      <c r="P655" t="n">
        <v>0</v>
      </c>
      <c r="Q655" t="n">
        <v>0</v>
      </c>
      <c r="R655" s="2" t="inlineStr"/>
    </row>
    <row r="656" ht="15" customHeight="1">
      <c r="A656" t="inlineStr">
        <is>
          <t>A 38279-2023</t>
        </is>
      </c>
      <c r="B656" s="1" t="n">
        <v>45161</v>
      </c>
      <c r="C656" s="1" t="n">
        <v>45361</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38168-2023</t>
        </is>
      </c>
      <c r="B657" s="1" t="n">
        <v>45161</v>
      </c>
      <c r="C657" s="1" t="n">
        <v>45361</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38197-2023</t>
        </is>
      </c>
      <c r="B658" s="1" t="n">
        <v>45161</v>
      </c>
      <c r="C658" s="1" t="n">
        <v>45361</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38243-2023</t>
        </is>
      </c>
      <c r="B659" s="1" t="n">
        <v>45161</v>
      </c>
      <c r="C659" s="1" t="n">
        <v>45361</v>
      </c>
      <c r="D659" t="inlineStr">
        <is>
          <t>DALARNAS LÄN</t>
        </is>
      </c>
      <c r="E659" t="inlineStr">
        <is>
          <t>LUDVIKA</t>
        </is>
      </c>
      <c r="G659" t="n">
        <v>1.2</v>
      </c>
      <c r="H659" t="n">
        <v>0</v>
      </c>
      <c r="I659" t="n">
        <v>0</v>
      </c>
      <c r="J659" t="n">
        <v>0</v>
      </c>
      <c r="K659" t="n">
        <v>0</v>
      </c>
      <c r="L659" t="n">
        <v>0</v>
      </c>
      <c r="M659" t="n">
        <v>0</v>
      </c>
      <c r="N659" t="n">
        <v>0</v>
      </c>
      <c r="O659" t="n">
        <v>0</v>
      </c>
      <c r="P659" t="n">
        <v>0</v>
      </c>
      <c r="Q659" t="n">
        <v>0</v>
      </c>
      <c r="R659" s="2" t="inlineStr"/>
    </row>
    <row r="660" ht="15" customHeight="1">
      <c r="A660" t="inlineStr">
        <is>
          <t>A 38280-2023</t>
        </is>
      </c>
      <c r="B660" s="1" t="n">
        <v>45161</v>
      </c>
      <c r="C660" s="1" t="n">
        <v>45361</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38963-2023</t>
        </is>
      </c>
      <c r="B661" s="1" t="n">
        <v>45163</v>
      </c>
      <c r="C661" s="1" t="n">
        <v>45361</v>
      </c>
      <c r="D661" t="inlineStr">
        <is>
          <t>DALARNAS LÄN</t>
        </is>
      </c>
      <c r="E661" t="inlineStr">
        <is>
          <t>LUDVIKA</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38925-2023</t>
        </is>
      </c>
      <c r="B662" s="1" t="n">
        <v>45163</v>
      </c>
      <c r="C662" s="1" t="n">
        <v>45361</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39400-2023</t>
        </is>
      </c>
      <c r="B663" s="1" t="n">
        <v>45166</v>
      </c>
      <c r="C663" s="1" t="n">
        <v>45361</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39437-2023</t>
        </is>
      </c>
      <c r="B664" s="1" t="n">
        <v>45166</v>
      </c>
      <c r="C664" s="1" t="n">
        <v>45361</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39405-2023</t>
        </is>
      </c>
      <c r="B665" s="1" t="n">
        <v>45166</v>
      </c>
      <c r="C665" s="1" t="n">
        <v>45361</v>
      </c>
      <c r="D665" t="inlineStr">
        <is>
          <t>DALARNAS LÄN</t>
        </is>
      </c>
      <c r="E665" t="inlineStr">
        <is>
          <t>LUDVIKA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39417-2023</t>
        </is>
      </c>
      <c r="B666" s="1" t="n">
        <v>45166</v>
      </c>
      <c r="C666" s="1" t="n">
        <v>45361</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39438-2023</t>
        </is>
      </c>
      <c r="B667" s="1" t="n">
        <v>45166</v>
      </c>
      <c r="C667" s="1" t="n">
        <v>45361</v>
      </c>
      <c r="D667" t="inlineStr">
        <is>
          <t>DALARNAS LÄN</t>
        </is>
      </c>
      <c r="E667" t="inlineStr">
        <is>
          <t>LUDVIKA</t>
        </is>
      </c>
      <c r="F667" t="inlineStr">
        <is>
          <t>Bergvik skog väst AB</t>
        </is>
      </c>
      <c r="G667" t="n">
        <v>3.2</v>
      </c>
      <c r="H667" t="n">
        <v>0</v>
      </c>
      <c r="I667" t="n">
        <v>0</v>
      </c>
      <c r="J667" t="n">
        <v>0</v>
      </c>
      <c r="K667" t="n">
        <v>0</v>
      </c>
      <c r="L667" t="n">
        <v>0</v>
      </c>
      <c r="M667" t="n">
        <v>0</v>
      </c>
      <c r="N667" t="n">
        <v>0</v>
      </c>
      <c r="O667" t="n">
        <v>0</v>
      </c>
      <c r="P667" t="n">
        <v>0</v>
      </c>
      <c r="Q667" t="n">
        <v>0</v>
      </c>
      <c r="R667" s="2" t="inlineStr"/>
    </row>
    <row r="668" ht="15" customHeight="1">
      <c r="A668" t="inlineStr">
        <is>
          <t>A 39441-2023</t>
        </is>
      </c>
      <c r="B668" s="1" t="n">
        <v>45166</v>
      </c>
      <c r="C668" s="1" t="n">
        <v>45361</v>
      </c>
      <c r="D668" t="inlineStr">
        <is>
          <t>DALARNAS LÄN</t>
        </is>
      </c>
      <c r="E668" t="inlineStr">
        <is>
          <t>LUDVIKA</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39447-2023</t>
        </is>
      </c>
      <c r="B669" s="1" t="n">
        <v>45166</v>
      </c>
      <c r="C669" s="1" t="n">
        <v>45361</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39675-2023</t>
        </is>
      </c>
      <c r="B670" s="1" t="n">
        <v>45167</v>
      </c>
      <c r="C670" s="1" t="n">
        <v>45361</v>
      </c>
      <c r="D670" t="inlineStr">
        <is>
          <t>DALARNAS LÄN</t>
        </is>
      </c>
      <c r="E670" t="inlineStr">
        <is>
          <t>LUDVIKA</t>
        </is>
      </c>
      <c r="F670" t="inlineStr">
        <is>
          <t>Naturvårdsverket</t>
        </is>
      </c>
      <c r="G670" t="n">
        <v>0.9</v>
      </c>
      <c r="H670" t="n">
        <v>0</v>
      </c>
      <c r="I670" t="n">
        <v>0</v>
      </c>
      <c r="J670" t="n">
        <v>0</v>
      </c>
      <c r="K670" t="n">
        <v>0</v>
      </c>
      <c r="L670" t="n">
        <v>0</v>
      </c>
      <c r="M670" t="n">
        <v>0</v>
      </c>
      <c r="N670" t="n">
        <v>0</v>
      </c>
      <c r="O670" t="n">
        <v>0</v>
      </c>
      <c r="P670" t="n">
        <v>0</v>
      </c>
      <c r="Q670" t="n">
        <v>0</v>
      </c>
      <c r="R670" s="2" t="inlineStr"/>
    </row>
    <row r="671" ht="15" customHeight="1">
      <c r="A671" t="inlineStr">
        <is>
          <t>A 39673-2023</t>
        </is>
      </c>
      <c r="B671" s="1" t="n">
        <v>45167</v>
      </c>
      <c r="C671" s="1" t="n">
        <v>45361</v>
      </c>
      <c r="D671" t="inlineStr">
        <is>
          <t>DALARNAS LÄN</t>
        </is>
      </c>
      <c r="E671" t="inlineStr">
        <is>
          <t>LUDVIKA</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39678-2023</t>
        </is>
      </c>
      <c r="B672" s="1" t="n">
        <v>45167</v>
      </c>
      <c r="C672" s="1" t="n">
        <v>45361</v>
      </c>
      <c r="D672" t="inlineStr">
        <is>
          <t>DALARNAS LÄN</t>
        </is>
      </c>
      <c r="E672" t="inlineStr">
        <is>
          <t>LUDVIKA</t>
        </is>
      </c>
      <c r="F672" t="inlineStr">
        <is>
          <t>Naturvårdsverket</t>
        </is>
      </c>
      <c r="G672" t="n">
        <v>1</v>
      </c>
      <c r="H672" t="n">
        <v>0</v>
      </c>
      <c r="I672" t="n">
        <v>0</v>
      </c>
      <c r="J672" t="n">
        <v>0</v>
      </c>
      <c r="K672" t="n">
        <v>0</v>
      </c>
      <c r="L672" t="n">
        <v>0</v>
      </c>
      <c r="M672" t="n">
        <v>0</v>
      </c>
      <c r="N672" t="n">
        <v>0</v>
      </c>
      <c r="O672" t="n">
        <v>0</v>
      </c>
      <c r="P672" t="n">
        <v>0</v>
      </c>
      <c r="Q672" t="n">
        <v>0</v>
      </c>
      <c r="R672" s="2" t="inlineStr"/>
    </row>
    <row r="673" ht="15" customHeight="1">
      <c r="A673" t="inlineStr">
        <is>
          <t>A 39670-2023</t>
        </is>
      </c>
      <c r="B673" s="1" t="n">
        <v>45167</v>
      </c>
      <c r="C673" s="1" t="n">
        <v>45361</v>
      </c>
      <c r="D673" t="inlineStr">
        <is>
          <t>DALARNAS LÄN</t>
        </is>
      </c>
      <c r="E673" t="inlineStr">
        <is>
          <t>LUDVIKA</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v>
      </c>
      <c r="C674" s="1" t="n">
        <v>45361</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39878-2023</t>
        </is>
      </c>
      <c r="B675" s="1" t="n">
        <v>45168</v>
      </c>
      <c r="C675" s="1" t="n">
        <v>45361</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40016-2023</t>
        </is>
      </c>
      <c r="B676" s="1" t="n">
        <v>45168</v>
      </c>
      <c r="C676" s="1" t="n">
        <v>45361</v>
      </c>
      <c r="D676" t="inlineStr">
        <is>
          <t>DALARNAS LÄN</t>
        </is>
      </c>
      <c r="E676" t="inlineStr">
        <is>
          <t>LUDVIKA</t>
        </is>
      </c>
      <c r="F676" t="inlineStr">
        <is>
          <t>Bergvik skog väst AB</t>
        </is>
      </c>
      <c r="G676" t="n">
        <v>7.6</v>
      </c>
      <c r="H676" t="n">
        <v>0</v>
      </c>
      <c r="I676" t="n">
        <v>0</v>
      </c>
      <c r="J676" t="n">
        <v>0</v>
      </c>
      <c r="K676" t="n">
        <v>0</v>
      </c>
      <c r="L676" t="n">
        <v>0</v>
      </c>
      <c r="M676" t="n">
        <v>0</v>
      </c>
      <c r="N676" t="n">
        <v>0</v>
      </c>
      <c r="O676" t="n">
        <v>0</v>
      </c>
      <c r="P676" t="n">
        <v>0</v>
      </c>
      <c r="Q676" t="n">
        <v>0</v>
      </c>
      <c r="R676" s="2" t="inlineStr"/>
    </row>
    <row r="677" ht="15" customHeight="1">
      <c r="A677" t="inlineStr">
        <is>
          <t>A 39971-2023</t>
        </is>
      </c>
      <c r="B677" s="1" t="n">
        <v>45168</v>
      </c>
      <c r="C677" s="1" t="n">
        <v>45361</v>
      </c>
      <c r="D677" t="inlineStr">
        <is>
          <t>DALARNAS LÄN</t>
        </is>
      </c>
      <c r="E677" t="inlineStr">
        <is>
          <t>LUDVIKA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39886-2023</t>
        </is>
      </c>
      <c r="B678" s="1" t="n">
        <v>45168</v>
      </c>
      <c r="C678" s="1" t="n">
        <v>45361</v>
      </c>
      <c r="D678" t="inlineStr">
        <is>
          <t>DALARNAS LÄN</t>
        </is>
      </c>
      <c r="E678" t="inlineStr">
        <is>
          <t>LUDVIKA</t>
        </is>
      </c>
      <c r="F678" t="inlineStr">
        <is>
          <t>Bergvik skog väst AB</t>
        </is>
      </c>
      <c r="G678" t="n">
        <v>28.4</v>
      </c>
      <c r="H678" t="n">
        <v>0</v>
      </c>
      <c r="I678" t="n">
        <v>0</v>
      </c>
      <c r="J678" t="n">
        <v>0</v>
      </c>
      <c r="K678" t="n">
        <v>0</v>
      </c>
      <c r="L678" t="n">
        <v>0</v>
      </c>
      <c r="M678" t="n">
        <v>0</v>
      </c>
      <c r="N678" t="n">
        <v>0</v>
      </c>
      <c r="O678" t="n">
        <v>0</v>
      </c>
      <c r="P678" t="n">
        <v>0</v>
      </c>
      <c r="Q678" t="n">
        <v>0</v>
      </c>
      <c r="R678" s="2" t="inlineStr"/>
    </row>
    <row r="679" ht="15" customHeight="1">
      <c r="A679" t="inlineStr">
        <is>
          <t>A 40020-2023</t>
        </is>
      </c>
      <c r="B679" s="1" t="n">
        <v>45168</v>
      </c>
      <c r="C679" s="1" t="n">
        <v>45361</v>
      </c>
      <c r="D679" t="inlineStr">
        <is>
          <t>DALARNAS LÄN</t>
        </is>
      </c>
      <c r="E679" t="inlineStr">
        <is>
          <t>LUDVIKA</t>
        </is>
      </c>
      <c r="F679" t="inlineStr">
        <is>
          <t>Bergvik skog väst AB</t>
        </is>
      </c>
      <c r="G679" t="n">
        <v>8.4</v>
      </c>
      <c r="H679" t="n">
        <v>0</v>
      </c>
      <c r="I679" t="n">
        <v>0</v>
      </c>
      <c r="J679" t="n">
        <v>0</v>
      </c>
      <c r="K679" t="n">
        <v>0</v>
      </c>
      <c r="L679" t="n">
        <v>0</v>
      </c>
      <c r="M679" t="n">
        <v>0</v>
      </c>
      <c r="N679" t="n">
        <v>0</v>
      </c>
      <c r="O679" t="n">
        <v>0</v>
      </c>
      <c r="P679" t="n">
        <v>0</v>
      </c>
      <c r="Q679" t="n">
        <v>0</v>
      </c>
      <c r="R679" s="2" t="inlineStr"/>
    </row>
    <row r="680" ht="15" customHeight="1">
      <c r="A680" t="inlineStr">
        <is>
          <t>A 40489-2023</t>
        </is>
      </c>
      <c r="B680" s="1" t="n">
        <v>45170</v>
      </c>
      <c r="C680" s="1" t="n">
        <v>45361</v>
      </c>
      <c r="D680" t="inlineStr">
        <is>
          <t>DALARNAS LÄN</t>
        </is>
      </c>
      <c r="E680" t="inlineStr">
        <is>
          <t>LUDVIKA</t>
        </is>
      </c>
      <c r="F680" t="inlineStr">
        <is>
          <t>Sveaskog</t>
        </is>
      </c>
      <c r="G680" t="n">
        <v>22.5</v>
      </c>
      <c r="H680" t="n">
        <v>0</v>
      </c>
      <c r="I680" t="n">
        <v>0</v>
      </c>
      <c r="J680" t="n">
        <v>0</v>
      </c>
      <c r="K680" t="n">
        <v>0</v>
      </c>
      <c r="L680" t="n">
        <v>0</v>
      </c>
      <c r="M680" t="n">
        <v>0</v>
      </c>
      <c r="N680" t="n">
        <v>0</v>
      </c>
      <c r="O680" t="n">
        <v>0</v>
      </c>
      <c r="P680" t="n">
        <v>0</v>
      </c>
      <c r="Q680" t="n">
        <v>0</v>
      </c>
      <c r="R680" s="2" t="inlineStr"/>
    </row>
    <row r="681" ht="15" customHeight="1">
      <c r="A681" t="inlineStr">
        <is>
          <t>A 40499-2023</t>
        </is>
      </c>
      <c r="B681" s="1" t="n">
        <v>45170</v>
      </c>
      <c r="C681" s="1" t="n">
        <v>45361</v>
      </c>
      <c r="D681" t="inlineStr">
        <is>
          <t>DALARNAS LÄN</t>
        </is>
      </c>
      <c r="E681" t="inlineStr">
        <is>
          <t>LUDVIKA</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40672-2023</t>
        </is>
      </c>
      <c r="B682" s="1" t="n">
        <v>45170</v>
      </c>
      <c r="C682" s="1" t="n">
        <v>45361</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40646-2023</t>
        </is>
      </c>
      <c r="B683" s="1" t="n">
        <v>45170</v>
      </c>
      <c r="C683" s="1" t="n">
        <v>45361</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40473-2023</t>
        </is>
      </c>
      <c r="B684" s="1" t="n">
        <v>45170</v>
      </c>
      <c r="C684" s="1" t="n">
        <v>45361</v>
      </c>
      <c r="D684" t="inlineStr">
        <is>
          <t>DALARNAS LÄN</t>
        </is>
      </c>
      <c r="E684" t="inlineStr">
        <is>
          <t>LUDVIKA</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40687-2023</t>
        </is>
      </c>
      <c r="B685" s="1" t="n">
        <v>45170</v>
      </c>
      <c r="C685" s="1" t="n">
        <v>45361</v>
      </c>
      <c r="D685" t="inlineStr">
        <is>
          <t>DALARNAS LÄN</t>
        </is>
      </c>
      <c r="E685" t="inlineStr">
        <is>
          <t>LUDVIKA</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40869-2023</t>
        </is>
      </c>
      <c r="B686" s="1" t="n">
        <v>45173</v>
      </c>
      <c r="C686" s="1" t="n">
        <v>45361</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41177-2023</t>
        </is>
      </c>
      <c r="B687" s="1" t="n">
        <v>45174</v>
      </c>
      <c r="C687" s="1" t="n">
        <v>45361</v>
      </c>
      <c r="D687" t="inlineStr">
        <is>
          <t>DALARNAS LÄN</t>
        </is>
      </c>
      <c r="E687" t="inlineStr">
        <is>
          <t>LUDVIKA</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41628-2023</t>
        </is>
      </c>
      <c r="B688" s="1" t="n">
        <v>45175</v>
      </c>
      <c r="C688" s="1" t="n">
        <v>45361</v>
      </c>
      <c r="D688" t="inlineStr">
        <is>
          <t>DALARNAS LÄN</t>
        </is>
      </c>
      <c r="E688" t="inlineStr">
        <is>
          <t>LUDVIKA</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41627-2023</t>
        </is>
      </c>
      <c r="B689" s="1" t="n">
        <v>45175</v>
      </c>
      <c r="C689" s="1" t="n">
        <v>45361</v>
      </c>
      <c r="D689" t="inlineStr">
        <is>
          <t>DALARNAS LÄN</t>
        </is>
      </c>
      <c r="E689" t="inlineStr">
        <is>
          <t>LUDVIKA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41631-2023</t>
        </is>
      </c>
      <c r="B690" s="1" t="n">
        <v>45175</v>
      </c>
      <c r="C690" s="1" t="n">
        <v>45361</v>
      </c>
      <c r="D690" t="inlineStr">
        <is>
          <t>DALARNAS LÄN</t>
        </is>
      </c>
      <c r="E690" t="inlineStr">
        <is>
          <t>LUDVIKA</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41668-2023</t>
        </is>
      </c>
      <c r="B691" s="1" t="n">
        <v>45176</v>
      </c>
      <c r="C691" s="1" t="n">
        <v>45361</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41993-2023</t>
        </is>
      </c>
      <c r="B692" s="1" t="n">
        <v>45177</v>
      </c>
      <c r="C692" s="1" t="n">
        <v>45361</v>
      </c>
      <c r="D692" t="inlineStr">
        <is>
          <t>DALARNAS LÄN</t>
        </is>
      </c>
      <c r="E692" t="inlineStr">
        <is>
          <t>LUDVIKA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41988-2023</t>
        </is>
      </c>
      <c r="B693" s="1" t="n">
        <v>45177</v>
      </c>
      <c r="C693" s="1" t="n">
        <v>45361</v>
      </c>
      <c r="D693" t="inlineStr">
        <is>
          <t>DALARNAS LÄN</t>
        </is>
      </c>
      <c r="E693" t="inlineStr">
        <is>
          <t>LUDVIKA</t>
        </is>
      </c>
      <c r="F693" t="inlineStr">
        <is>
          <t>Sveaskog</t>
        </is>
      </c>
      <c r="G693" t="n">
        <v>22.2</v>
      </c>
      <c r="H693" t="n">
        <v>0</v>
      </c>
      <c r="I693" t="n">
        <v>0</v>
      </c>
      <c r="J693" t="n">
        <v>0</v>
      </c>
      <c r="K693" t="n">
        <v>0</v>
      </c>
      <c r="L693" t="n">
        <v>0</v>
      </c>
      <c r="M693" t="n">
        <v>0</v>
      </c>
      <c r="N693" t="n">
        <v>0</v>
      </c>
      <c r="O693" t="n">
        <v>0</v>
      </c>
      <c r="P693" t="n">
        <v>0</v>
      </c>
      <c r="Q693" t="n">
        <v>0</v>
      </c>
      <c r="R693" s="2" t="inlineStr"/>
    </row>
    <row r="694" ht="15" customHeight="1">
      <c r="A694" t="inlineStr">
        <is>
          <t>A 42022-2023</t>
        </is>
      </c>
      <c r="B694" s="1" t="n">
        <v>45177</v>
      </c>
      <c r="C694" s="1" t="n">
        <v>45361</v>
      </c>
      <c r="D694" t="inlineStr">
        <is>
          <t>DALARNAS LÄN</t>
        </is>
      </c>
      <c r="E694" t="inlineStr">
        <is>
          <t>LUDVIKA</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41991-2023</t>
        </is>
      </c>
      <c r="B695" s="1" t="n">
        <v>45177</v>
      </c>
      <c r="C695" s="1" t="n">
        <v>45361</v>
      </c>
      <c r="D695" t="inlineStr">
        <is>
          <t>DALARNAS LÄN</t>
        </is>
      </c>
      <c r="E695" t="inlineStr">
        <is>
          <t>LUDVIKA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45361</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45361</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45361</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45361</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45361</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45361</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45361</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45361</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45361</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45361</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45361</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45361</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45361</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45361</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45361</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45361</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45361</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45361</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45361</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45361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45361</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45361</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45361</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45361</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45361</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45361</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45361</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45361</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45361</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45361</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45361</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45361</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45361</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45361</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45361</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45361</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45361</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45361</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45361</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45361</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45361</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45361</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45361</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45361</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45361</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45361</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45361</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45361</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45361</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45361</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45361</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45361</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45361</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45361</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45361</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45361</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45361</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45361</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45361</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45361</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45361</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45361</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45361</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45361</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45361</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45361</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45361</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45361</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45361</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45361</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45361</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45361</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45361</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45361</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45361</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45361</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45361</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45361</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45361</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45361</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45361</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45361</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45361</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45361</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45361</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45361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45361</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45361</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45361</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45361</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45361</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45361</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45361</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45361</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45361</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45361</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45361</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45361</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45361</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45361</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45361</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45361</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45361</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45361</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45361</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45361</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45361</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45361</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45361</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45361</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45361</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45361</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45361</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45361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45361</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45361</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45361</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45361</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45361</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45361</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45361</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45361</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45361</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45361</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45361</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45361</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45361</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45361</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45361</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45361</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45361</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45361</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45361</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45361</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45361</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45361</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45361</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45361</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45361</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45361</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45361</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45361</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45361</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8170-2024</t>
        </is>
      </c>
      <c r="B839" s="1" t="n">
        <v>45349</v>
      </c>
      <c r="C839" s="1" t="n">
        <v>45361</v>
      </c>
      <c r="D839" t="inlineStr">
        <is>
          <t>DALARNAS LÄN</t>
        </is>
      </c>
      <c r="E839" t="inlineStr">
        <is>
          <t>LUDVIKA</t>
        </is>
      </c>
      <c r="F839" t="inlineStr">
        <is>
          <t>Allmännings- och besparingsskogar</t>
        </is>
      </c>
      <c r="G839" t="n">
        <v>5.7</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45361</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8172-2024</t>
        </is>
      </c>
      <c r="B841" s="1" t="n">
        <v>45349</v>
      </c>
      <c r="C841" s="1" t="n">
        <v>45361</v>
      </c>
      <c r="D841" t="inlineStr">
        <is>
          <t>DALARNAS LÄN</t>
        </is>
      </c>
      <c r="E841" t="inlineStr">
        <is>
          <t>LUDVIKA</t>
        </is>
      </c>
      <c r="F841" t="inlineStr">
        <is>
          <t>Allmännings- och besparingsskogar</t>
        </is>
      </c>
      <c r="G841" t="n">
        <v>2</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45361</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45361</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2024-03-10T17:23:35Z</dcterms:created>
  <dcterms:modified xmlns:dcterms="http://purl.org/dc/terms/" xmlns:xsi="http://www.w3.org/2001/XMLSchema-instance" xsi:type="dcterms:W3CDTF">2024-03-10T17:23:36Z</dcterms:modified>
</cp:coreProperties>
</file>
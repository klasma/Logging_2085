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46305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46305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46305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46305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46305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46305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46305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46305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46305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46305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46305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46305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46305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46305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46305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46305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46305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46305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46305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46305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46305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46305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46305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46305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46305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46305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46305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33885-2025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45842</v>
      </c>
      <c r="E29" s="1" t="n">
        <v>46305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2.6</v>
      </c>
      <c r="J29" t="n">
        <v>2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10</v>
      </c>
      <c r="U29" t="n">
        <v>10</v>
      </c>
      <c r="V29" s="2" t="inlineStr">
        <is>
          <t>Garnlav
Knärot
Dropptaggsvamp
Ullticka
Nästlav
Tjäder</t>
        </is>
      </c>
      <c r="W29">
        <f>HYPERLINK("https://klasma.github.io/Logging_2085/artfynd/A 33885-2025 artfynd.xlsx", "A 33885-2025")</f>
        <v/>
      </c>
      <c r="X29">
        <f>HYPERLINK("https://klasma.github.io/Logging_2085/kartor/A 33885-2025 karta.png", "A 33885-2025")</f>
        <v/>
      </c>
      <c r="Y29">
        <f>HYPERLINK("https://klasma.github.io/Logging_2085/kartor_geotiff/A 33885-2025 georefererad karta.tif", "A 33885-2025")</f>
        <v/>
      </c>
      <c r="Z29">
        <f>HYPERLINK("https://klasma.github.io/Logging_2085/knärot/A 33885-2025 karta knärot.png", "A 33885-2025")</f>
        <v/>
      </c>
      <c r="AA29">
        <f>HYPERLINK("https://klasma.github.io/Logging_2085/klagomål/A 33885-2025 FSC-klagomål.docx", "A 33885-2025")</f>
        <v/>
      </c>
      <c r="AB29">
        <f>HYPERLINK("https://klasma.github.io/Logging_2085/klagomålsmail/A 33885-2025 FSC-klagomål mail.docx", "A 33885-2025")</f>
        <v/>
      </c>
      <c r="AC29">
        <f>HYPERLINK("https://klasma.github.io/Logging_2085/tillsyn/A 33885-2025 tillsynsbegäran.docx", "A 33885-2025")</f>
        <v/>
      </c>
      <c r="AD29">
        <f>HYPERLINK("https://klasma.github.io/Logging_2085/tillsynsmail/A 33885-2025 tillsynsbegäran mail.docx", "A 33885-2025")</f>
        <v/>
      </c>
      <c r="AE29">
        <f>HYPERLINK("https://klasma.github.io/Logging_2085/fåglar/A 33885-2025 prioriterade fågelarter.docx", "A 33885-2025")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46305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46305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46305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46305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46305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46305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46305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46305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46305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46305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46305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23491-2026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46305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7.9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6</v>
      </c>
      <c r="V41" s="2" t="inlineStr">
        <is>
          <t>Garnlav
Tretåig hackspett
Korallrot
Spillkråka
Tjäder</t>
        </is>
      </c>
      <c r="W41">
        <f>HYPERLINK("https://klasma.github.io/Logging_2085/artfynd/A 23491-2026 artfynd.xlsx", "A 23491-2026")</f>
        <v/>
      </c>
      <c r="X41">
        <f>HYPERLINK("https://klasma.github.io/Logging_2085/kartor/A 23491-2026 karta.png", "A 23491-2026")</f>
        <v/>
      </c>
      <c r="Y41">
        <f>HYPERLINK("https://klasma.github.io/Logging_2085/kartor_geotiff/A 23491-2026 georefererad karta.tif", "A 23491-2026")</f>
        <v/>
      </c>
      <c r="AA41">
        <f>HYPERLINK("https://klasma.github.io/Logging_2085/klagomål/A 23491-2026 FSC-klagomål.docx", "A 23491-2026")</f>
        <v/>
      </c>
      <c r="AB41">
        <f>HYPERLINK("https://klasma.github.io/Logging_2085/klagomålsmail/A 23491-2026 FSC-klagomål mail.docx", "A 23491-2026")</f>
        <v/>
      </c>
      <c r="AC41">
        <f>HYPERLINK("https://klasma.github.io/Logging_2085/tillsyn/A 23491-2026 tillsynsbegäran.docx", "A 23491-2026")</f>
        <v/>
      </c>
      <c r="AD41">
        <f>HYPERLINK("https://klasma.github.io/Logging_2085/tillsynsmail/A 23491-2026 tillsynsbegäran mail.docx", "A 23491-2026")</f>
        <v/>
      </c>
      <c r="AE41">
        <f>HYPERLINK("https://klasma.github.io/Logging_2085/fåglar/A 23491-2026 prioriterade fågelarter.docx", "A 23491-2026")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46305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46305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46305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46305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46305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46305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46305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46305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46305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46305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38635-2026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46283</v>
      </c>
      <c r="E52" s="1" t="n">
        <v>46305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2.2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Lunglav
Mörk husmossa
Vedticka
Vågbandad barkbock</t>
        </is>
      </c>
      <c r="W52">
        <f>HYPERLINK("https://klasma.github.io/Logging_2085/artfynd/A 38635-2026 artfynd.xlsx", "A 38635-2026")</f>
        <v/>
      </c>
      <c r="X52">
        <f>HYPERLINK("https://klasma.github.io/Logging_2085/kartor/A 38635-2026 karta.png", "A 38635-2026")</f>
        <v/>
      </c>
      <c r="Y52">
        <f>HYPERLINK("https://klasma.github.io/Logging_2085/kartor_geotiff/A 38635-2026 georefererad karta.tif", "A 38635-2026")</f>
        <v/>
      </c>
      <c r="AA52">
        <f>HYPERLINK("https://klasma.github.io/Logging_2085/klagomål/A 38635-2026 FSC-klagomål.docx", "A 38635-2026")</f>
        <v/>
      </c>
      <c r="AB52">
        <f>HYPERLINK("https://klasma.github.io/Logging_2085/klagomålsmail/A 38635-2026 FSC-klagomål mail.docx", "A 38635-2026")</f>
        <v/>
      </c>
      <c r="AC52">
        <f>HYPERLINK("https://klasma.github.io/Logging_2085/tillsyn/A 38635-2026 tillsynsbegäran.docx", "A 38635-2026")</f>
        <v/>
      </c>
      <c r="AD52">
        <f>HYPERLINK("https://klasma.github.io/Logging_2085/tillsynsmail/A 38635-2026 tillsynsbegäran mail.docx", "A 38635-2026")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46305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Vårärt
Järpe
Spillkråka
Tjäder</t>
        </is>
      </c>
      <c r="W53">
        <f>HYPERLINK("https://klasma.github.io/Logging_2085/artfynd/A 23682-2026 artfynd.xlsx", "A 23682-2026")</f>
        <v/>
      </c>
      <c r="X53">
        <f>HYPERLINK("https://klasma.github.io/Logging_2085/kartor/A 23682-2026 karta.png", "A 23682-2026")</f>
        <v/>
      </c>
      <c r="Y53">
        <f>HYPERLINK("https://klasma.github.io/Logging_2085/kartor_geotiff/A 23682-2026 georefererad karta.tif", "A 23682-2026")</f>
        <v/>
      </c>
      <c r="AA53">
        <f>HYPERLINK("https://klasma.github.io/Logging_2085/klagomål/A 23682-2026 FSC-klagomål.docx", "A 23682-2026")</f>
        <v/>
      </c>
      <c r="AB53">
        <f>HYPERLINK("https://klasma.github.io/Logging_2085/klagomålsmail/A 23682-2026 FSC-klagomål mail.docx", "A 23682-2026")</f>
        <v/>
      </c>
      <c r="AC53">
        <f>HYPERLINK("https://klasma.github.io/Logging_2085/tillsyn/A 23682-2026 tillsynsbegäran.docx", "A 23682-2026")</f>
        <v/>
      </c>
      <c r="AD53">
        <f>HYPERLINK("https://klasma.github.io/Logging_2085/tillsynsmail/A 23682-2026 tillsynsbegäran mail.docx", "A 23682-2026")</f>
        <v/>
      </c>
      <c r="AE53">
        <f>HYPERLINK("https://klasma.github.io/Logging_2085/fåglar/A 23682-2026 prioriterade fågelarter.docx", "A 23682-2026")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46305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46305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35101-2026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46260</v>
      </c>
      <c r="E56" s="1" t="n">
        <v>46305</v>
      </c>
      <c r="F56" t="inlineStr">
        <is>
          <t>DALARNAS LÄN</t>
        </is>
      </c>
      <c r="G56" t="inlineStr">
        <is>
          <t>LUDVIKA</t>
        </is>
      </c>
      <c r="I56" t="n">
        <v>2.3</v>
      </c>
      <c r="J56" t="n">
        <v>3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7</v>
      </c>
      <c r="U56" t="n">
        <v>7</v>
      </c>
      <c r="V56" s="2" t="inlineStr">
        <is>
          <t>Tretåig hackspett
Rödgul trumpetsvamp
Järpe
Spillkråka</t>
        </is>
      </c>
      <c r="W56">
        <f>HYPERLINK("https://klasma.github.io/Logging_2085/artfynd/A 35101-2026 artfynd.xlsx", "A 35101-2026")</f>
        <v/>
      </c>
      <c r="X56">
        <f>HYPERLINK("https://klasma.github.io/Logging_2085/kartor/A 35101-2026 karta.png", "A 35101-2026")</f>
        <v/>
      </c>
      <c r="Y56">
        <f>HYPERLINK("https://klasma.github.io/Logging_2085/kartor_geotiff/A 35101-2026 georefererad karta.tif", "A 35101-2026")</f>
        <v/>
      </c>
      <c r="AA56">
        <f>HYPERLINK("https://klasma.github.io/Logging_2085/klagomål/A 35101-2026 FSC-klagomål.docx", "A 35101-2026")</f>
        <v/>
      </c>
      <c r="AB56">
        <f>HYPERLINK("https://klasma.github.io/Logging_2085/klagomålsmail/A 35101-2026 FSC-klagomål mail.docx", "A 35101-2026")</f>
        <v/>
      </c>
      <c r="AC56">
        <f>HYPERLINK("https://klasma.github.io/Logging_2085/tillsyn/A 35101-2026 tillsynsbegäran.docx", "A 35101-2026")</f>
        <v/>
      </c>
      <c r="AD56">
        <f>HYPERLINK("https://klasma.github.io/Logging_2085/tillsynsmail/A 35101-2026 tillsynsbegäran mail.docx", "A 35101-2026")</f>
        <v/>
      </c>
      <c r="AE56">
        <f>HYPERLINK("https://klasma.github.io/Logging_2085/fåglar/A 35101-2026 prioriterade fågelarter.docx", "A 35101-2026")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46305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35820-2026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46265</v>
      </c>
      <c r="E58" s="1" t="n">
        <v>46305</v>
      </c>
      <c r="F58" t="inlineStr">
        <is>
          <t>DALARNAS LÄN</t>
        </is>
      </c>
      <c r="G58" t="inlineStr">
        <is>
          <t>LUDVIKA</t>
        </is>
      </c>
      <c r="H58" t="inlineStr">
        <is>
          <t>Naturvårdsverket</t>
        </is>
      </c>
      <c r="I58" t="n">
        <v>4.3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4</v>
      </c>
      <c r="T58" t="n">
        <v>4</v>
      </c>
      <c r="U58" t="n">
        <v>0</v>
      </c>
      <c r="V58" s="2" t="inlineStr">
        <is>
          <t>Garnlav
Kortskaftad ärgspik
Vedtrappmossa
Spillkråka</t>
        </is>
      </c>
      <c r="W58">
        <f>HYPERLINK("https://klasma.github.io/Logging_2085/artfynd/A 35820-2026 artfynd.xlsx", "A 35820-2026")</f>
        <v/>
      </c>
      <c r="X58">
        <f>HYPERLINK("https://klasma.github.io/Logging_2085/kartor/A 35820-2026 karta.png", "A 35820-2026")</f>
        <v/>
      </c>
      <c r="Y58">
        <f>HYPERLINK("https://klasma.github.io/Logging_2085/kartor_geotiff/A 35820-2026 georefererad karta.tif", "A 35820-2026")</f>
        <v/>
      </c>
      <c r="AA58">
        <f>HYPERLINK("https://klasma.github.io/Logging_2085/klagomål/A 35820-2026 FSC-klagomål.docx", "A 35820-2026")</f>
        <v/>
      </c>
      <c r="AB58">
        <f>HYPERLINK("https://klasma.github.io/Logging_2085/klagomålsmail/A 35820-2026 FSC-klagomål mail.docx", "A 35820-2026")</f>
        <v/>
      </c>
      <c r="AC58">
        <f>HYPERLINK("https://klasma.github.io/Logging_2085/tillsyn/A 35820-2026 tillsynsbegäran.docx", "A 35820-2026")</f>
        <v/>
      </c>
      <c r="AD58">
        <f>HYPERLINK("https://klasma.github.io/Logging_2085/tillsynsmail/A 35820-2026 tillsynsbegäran mail.docx", "A 35820-2026")</f>
        <v/>
      </c>
      <c r="AE58">
        <f>HYPERLINK("https://klasma.github.io/Logging_2085/fåglar/A 35820-2026 prioriterade fågelarter.docx", "A 35820-2026")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46305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46305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46305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46305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46305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46305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46305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18759-2026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46305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3.5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11</v>
      </c>
      <c r="U66" t="n">
        <v>0</v>
      </c>
      <c r="V66" s="2" t="inlineStr">
        <is>
          <t>Knärot
Dropptaggsvamp
Nattviol</t>
        </is>
      </c>
      <c r="W66">
        <f>HYPERLINK("https://klasma.github.io/Logging_2085/artfynd/A 18759-2026 artfynd.xlsx", "A 18759-2026")</f>
        <v/>
      </c>
      <c r="X66">
        <f>HYPERLINK("https://klasma.github.io/Logging_2085/kartor/A 18759-2026 karta.png", "A 18759-2026")</f>
        <v/>
      </c>
      <c r="Y66">
        <f>HYPERLINK("https://klasma.github.io/Logging_2085/kartor_geotiff/A 18759-2026 georefererad karta.tif", "A 18759-2026")</f>
        <v/>
      </c>
      <c r="Z66">
        <f>HYPERLINK("https://klasma.github.io/Logging_2085/knärot/A 18759-2026 karta knärot.png", "A 18759-2026")</f>
        <v/>
      </c>
      <c r="AA66">
        <f>HYPERLINK("https://klasma.github.io/Logging_2085/klagomål/A 18759-2026 FSC-klagomål.docx", "A 18759-2026")</f>
        <v/>
      </c>
      <c r="AB66">
        <f>HYPERLINK("https://klasma.github.io/Logging_2085/klagomålsmail/A 18759-2026 FSC-klagomål mail.docx", "A 18759-2026")</f>
        <v/>
      </c>
      <c r="AC66">
        <f>HYPERLINK("https://klasma.github.io/Logging_2085/tillsyn/A 18759-2026 tillsynsbegäran.docx", "A 18759-2026")</f>
        <v/>
      </c>
      <c r="AD66">
        <f>HYPERLINK("https://klasma.github.io/Logging_2085/tillsynsmail/A 18759-2026 tillsynsbegäran mail.docx", "A 18759-2026")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46305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46305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46305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21369-2023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45063</v>
      </c>
      <c r="E70" s="1" t="n">
        <v>46305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0.4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Skogsalm
Tibast</t>
        </is>
      </c>
      <c r="W70">
        <f>HYPERLINK("https://klasma.github.io/Logging_2085/artfynd/A 21369-2023 artfynd.xlsx", "A 21369-2023")</f>
        <v/>
      </c>
      <c r="X70">
        <f>HYPERLINK("https://klasma.github.io/Logging_2085/kartor/A 21369-2023 karta.png", "A 21369-2023")</f>
        <v/>
      </c>
      <c r="Y70">
        <f>HYPERLINK("https://klasma.github.io/Logging_2085/kartor_geotiff/A 21369-2023 georefererad karta.tif", "A 21369-2023")</f>
        <v/>
      </c>
      <c r="AA70">
        <f>HYPERLINK("https://klasma.github.io/Logging_2085/klagomål/A 21369-2023 FSC-klagomål.docx", "A 21369-2023")</f>
        <v/>
      </c>
      <c r="AB70">
        <f>HYPERLINK("https://klasma.github.io/Logging_2085/klagomålsmail/A 21369-2023 FSC-klagomål mail.docx", "A 21369-2023")</f>
        <v/>
      </c>
      <c r="AC70">
        <f>HYPERLINK("https://klasma.github.io/Logging_2085/tillsyn/A 21369-2023 tillsynsbegäran.docx", "A 21369-2023")</f>
        <v/>
      </c>
      <c r="AD70">
        <f>HYPERLINK("https://klasma.github.io/Logging_2085/tillsynsmail/A 21369-2023 tillsynsbegäran mail.docx", "A 21369-2023")</f>
        <v/>
      </c>
    </row>
    <row r="71" ht="15" customHeight="1">
      <c r="A71" t="inlineStr">
        <is>
          <t>A 11755-2023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46305</v>
      </c>
      <c r="F71" t="inlineStr">
        <is>
          <t>DALARNAS LÄN</t>
        </is>
      </c>
      <c r="G71" t="inlineStr">
        <is>
          <t>LUDVIKA</t>
        </is>
      </c>
      <c r="H71" t="inlineStr">
        <is>
          <t>Övriga Aktiebolag</t>
        </is>
      </c>
      <c r="I71" t="n">
        <v>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Spillkråka</t>
        </is>
      </c>
      <c r="W71">
        <f>HYPERLINK("https://klasma.github.io/Logging_2085/artfynd/A 11755-2023 artfynd.xlsx", "A 11755-2023")</f>
        <v/>
      </c>
      <c r="X71">
        <f>HYPERLINK("https://klasma.github.io/Logging_2085/kartor/A 11755-2023 karta.png", "A 11755-2023")</f>
        <v/>
      </c>
      <c r="Y71">
        <f>HYPERLINK("https://klasma.github.io/Logging_2085/kartor_geotiff/A 11755-2023 georefererad karta.tif", "A 11755-2023")</f>
        <v/>
      </c>
      <c r="AA71">
        <f>HYPERLINK("https://klasma.github.io/Logging_2085/klagomål/A 11755-2023 FSC-klagomål.docx", "A 11755-2023")</f>
        <v/>
      </c>
      <c r="AB71">
        <f>HYPERLINK("https://klasma.github.io/Logging_2085/klagomålsmail/A 11755-2023 FSC-klagomål mail.docx", "A 11755-2023")</f>
        <v/>
      </c>
      <c r="AC71">
        <f>HYPERLINK("https://klasma.github.io/Logging_2085/tillsyn/A 11755-2023 tillsynsbegäran.docx", "A 11755-2023")</f>
        <v/>
      </c>
      <c r="AD71">
        <f>HYPERLINK("https://klasma.github.io/Logging_2085/tillsynsmail/A 11755-2023 tillsynsbegäran mail.docx", "A 11755-2023")</f>
        <v/>
      </c>
      <c r="AE71">
        <f>HYPERLINK("https://klasma.github.io/Logging_2085/fåglar/A 11755-2023 prioriterade fågelarter.docx", "A 11755-2023")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46305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33155-2024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45518</v>
      </c>
      <c r="E73" s="1" t="n">
        <v>46305</v>
      </c>
      <c r="F73" t="inlineStr">
        <is>
          <t>DALARNAS LÄN</t>
        </is>
      </c>
      <c r="G73" t="inlineStr">
        <is>
          <t>LUDVIKA</t>
        </is>
      </c>
      <c r="I73" t="n">
        <v>2.9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Brunpudrad nållav
Tretåig hackspett</t>
        </is>
      </c>
      <c r="W73">
        <f>HYPERLINK("https://klasma.github.io/Logging_2085/artfynd/A 33155-2024 artfynd.xlsx", "A 33155-2024")</f>
        <v/>
      </c>
      <c r="X73">
        <f>HYPERLINK("https://klasma.github.io/Logging_2085/kartor/A 33155-2024 karta.png", "A 33155-2024")</f>
        <v/>
      </c>
      <c r="Y73">
        <f>HYPERLINK("https://klasma.github.io/Logging_2085/kartor_geotiff/A 33155-2024 georefererad karta.tif", "A 33155-2024")</f>
        <v/>
      </c>
      <c r="AA73">
        <f>HYPERLINK("https://klasma.github.io/Logging_2085/klagomål/A 33155-2024 FSC-klagomål.docx", "A 33155-2024")</f>
        <v/>
      </c>
      <c r="AB73">
        <f>HYPERLINK("https://klasma.github.io/Logging_2085/klagomålsmail/A 33155-2024 FSC-klagomål mail.docx", "A 33155-2024")</f>
        <v/>
      </c>
      <c r="AC73">
        <f>HYPERLINK("https://klasma.github.io/Logging_2085/tillsyn/A 33155-2024 tillsynsbegäran.docx", "A 33155-2024")</f>
        <v/>
      </c>
      <c r="AD73">
        <f>HYPERLINK("https://klasma.github.io/Logging_2085/tillsynsmail/A 33155-2024 tillsynsbegäran mail.docx", "A 33155-2024")</f>
        <v/>
      </c>
      <c r="AE73">
        <f>HYPERLINK("https://klasma.github.io/Logging_2085/fåglar/A 33155-2024 prioriterade fågelarter.docx", "A 33155-2024")</f>
        <v/>
      </c>
    </row>
    <row r="74" ht="15" customHeight="1">
      <c r="A74" t="inlineStr">
        <is>
          <t>A 45791-2025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45923</v>
      </c>
      <c r="E74" s="1" t="n">
        <v>46305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3.2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Vitfläckig guldvinge
Fläcknycklar</t>
        </is>
      </c>
      <c r="W74">
        <f>HYPERLINK("https://klasma.github.io/Logging_2085/artfynd/A 45791-2025 artfynd.xlsx", "A 45791-2025")</f>
        <v/>
      </c>
      <c r="X74">
        <f>HYPERLINK("https://klasma.github.io/Logging_2085/kartor/A 45791-2025 karta.png", "A 45791-2025")</f>
        <v/>
      </c>
      <c r="Y74">
        <f>HYPERLINK("https://klasma.github.io/Logging_2085/kartor_geotiff/A 45791-2025 georefererad karta.tif", "A 45791-2025")</f>
        <v/>
      </c>
      <c r="AA74">
        <f>HYPERLINK("https://klasma.github.io/Logging_2085/klagomål/A 45791-2025 FSC-klagomål.docx", "A 45791-2025")</f>
        <v/>
      </c>
      <c r="AB74">
        <f>HYPERLINK("https://klasma.github.io/Logging_2085/klagomålsmail/A 45791-2025 FSC-klagomål mail.docx", "A 45791-2025")</f>
        <v/>
      </c>
      <c r="AC74">
        <f>HYPERLINK("https://klasma.github.io/Logging_2085/tillsyn/A 45791-2025 tillsynsbegäran.docx", "A 45791-2025")</f>
        <v/>
      </c>
      <c r="AD74">
        <f>HYPERLINK("https://klasma.github.io/Logging_2085/tillsynsmail/A 45791-2025 tillsynsbegäran mail.docx", "A 45791-2025")</f>
        <v/>
      </c>
    </row>
    <row r="75" ht="15" customHeight="1">
      <c r="A75" t="inlineStr">
        <is>
          <t>A 42558-2022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44831</v>
      </c>
      <c r="E75" s="1" t="n">
        <v>46305</v>
      </c>
      <c r="F75" t="inlineStr">
        <is>
          <t>DALARNAS LÄN</t>
        </is>
      </c>
      <c r="G75" t="inlineStr">
        <is>
          <t>LUDVIKA</t>
        </is>
      </c>
      <c r="H75" t="inlineStr">
        <is>
          <t>Naturvårdsverket</t>
        </is>
      </c>
      <c r="I75" t="n">
        <v>4.9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Gräddporing
Lopplummer (aggregat)</t>
        </is>
      </c>
      <c r="W75">
        <f>HYPERLINK("https://klasma.github.io/Logging_2085/artfynd/A 42558-2022 artfynd.xlsx", "A 42558-2022")</f>
        <v/>
      </c>
      <c r="X75">
        <f>HYPERLINK("https://klasma.github.io/Logging_2085/kartor/A 42558-2022 karta.png", "A 42558-2022")</f>
        <v/>
      </c>
      <c r="Y75">
        <f>HYPERLINK("https://klasma.github.io/Logging_2085/kartor_geotiff/A 42558-2022 georefererad karta.tif", "A 42558-2022")</f>
        <v/>
      </c>
      <c r="AA75">
        <f>HYPERLINK("https://klasma.github.io/Logging_2085/klagomål/A 42558-2022 FSC-klagomål.docx", "A 42558-2022")</f>
        <v/>
      </c>
      <c r="AB75">
        <f>HYPERLINK("https://klasma.github.io/Logging_2085/klagomålsmail/A 42558-2022 FSC-klagomål mail.docx", "A 42558-2022")</f>
        <v/>
      </c>
      <c r="AC75">
        <f>HYPERLINK("https://klasma.github.io/Logging_2085/tillsyn/A 42558-2022 tillsynsbegäran.docx", "A 42558-2022")</f>
        <v/>
      </c>
      <c r="AD75">
        <f>HYPERLINK("https://klasma.github.io/Logging_2085/tillsynsmail/A 42558-2022 tillsynsbegäran mail.docx", "A 42558-2022")</f>
        <v/>
      </c>
    </row>
    <row r="76" ht="15" customHeight="1">
      <c r="A76" t="inlineStr">
        <is>
          <t>A 49051-2024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46305</v>
      </c>
      <c r="F76" t="inlineStr">
        <is>
          <t>DALARNAS LÄN</t>
        </is>
      </c>
      <c r="G76" t="inlineStr">
        <is>
          <t>LUDVIKA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2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0</v>
      </c>
      <c r="V76" s="2" t="inlineStr">
        <is>
          <t>Ladparasitspik
Vedkastanjelav</t>
        </is>
      </c>
      <c r="W76">
        <f>HYPERLINK("https://klasma.github.io/Logging_2085/artfynd/A 49051-2024 artfynd.xlsx", "A 49051-2024")</f>
        <v/>
      </c>
      <c r="X76">
        <f>HYPERLINK("https://klasma.github.io/Logging_2085/kartor/A 49051-2024 karta.png", "A 49051-2024")</f>
        <v/>
      </c>
      <c r="Y76">
        <f>HYPERLINK("https://klasma.github.io/Logging_2085/kartor_geotiff/A 49051-2024 georefererad karta.tif", "A 49051-2024")</f>
        <v/>
      </c>
      <c r="AA76">
        <f>HYPERLINK("https://klasma.github.io/Logging_2085/klagomål/A 49051-2024 FSC-klagomål.docx", "A 49051-2024")</f>
        <v/>
      </c>
      <c r="AB76">
        <f>HYPERLINK("https://klasma.github.io/Logging_2085/klagomålsmail/A 49051-2024 FSC-klagomål mail.docx", "A 49051-2024")</f>
        <v/>
      </c>
      <c r="AC76">
        <f>HYPERLINK("https://klasma.github.io/Logging_2085/tillsyn/A 49051-2024 tillsynsbegäran.docx", "A 49051-2024")</f>
        <v/>
      </c>
      <c r="AD76">
        <f>HYPERLINK("https://klasma.github.io/Logging_2085/tillsynsmail/A 49051-2024 tillsynsbegäran mail.docx", "A 49051-2024")</f>
        <v/>
      </c>
    </row>
    <row r="77" ht="15" customHeight="1">
      <c r="A77" t="inlineStr">
        <is>
          <t>A 49767-2025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46305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4</v>
      </c>
      <c r="V77" s="2" t="inlineStr">
        <is>
          <t>Garnlav
Tretåig hackspett</t>
        </is>
      </c>
      <c r="W77">
        <f>HYPERLINK("https://klasma.github.io/Logging_2085/artfynd/A 49767-2025 artfynd.xlsx", "A 49767-2025")</f>
        <v/>
      </c>
      <c r="X77">
        <f>HYPERLINK("https://klasma.github.io/Logging_2085/kartor/A 49767-2025 karta.png", "A 49767-2025")</f>
        <v/>
      </c>
      <c r="Y77">
        <f>HYPERLINK("https://klasma.github.io/Logging_2085/kartor_geotiff/A 49767-2025 georefererad karta.tif", "A 49767-2025")</f>
        <v/>
      </c>
      <c r="AA77">
        <f>HYPERLINK("https://klasma.github.io/Logging_2085/klagomål/A 49767-2025 FSC-klagomål.docx", "A 49767-2025")</f>
        <v/>
      </c>
      <c r="AB77">
        <f>HYPERLINK("https://klasma.github.io/Logging_2085/klagomålsmail/A 49767-2025 FSC-klagomål mail.docx", "A 49767-2025")</f>
        <v/>
      </c>
      <c r="AC77">
        <f>HYPERLINK("https://klasma.github.io/Logging_2085/tillsyn/A 49767-2025 tillsynsbegäran.docx", "A 49767-2025")</f>
        <v/>
      </c>
      <c r="AD77">
        <f>HYPERLINK("https://klasma.github.io/Logging_2085/tillsynsmail/A 49767-2025 tillsynsbegäran mail.docx", "A 49767-2025")</f>
        <v/>
      </c>
      <c r="AE77">
        <f>HYPERLINK("https://klasma.github.io/Logging_2085/fåglar/A 49767-2025 prioriterade fågelarter.docx", "A 49767-2025")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46305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56179-2025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46305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Gultoppig fingersvamp
Kortskaftad ärgspik</t>
        </is>
      </c>
      <c r="W79">
        <f>HYPERLINK("https://klasma.github.io/Logging_2085/artfynd/A 56179-2025 artfynd.xlsx", "A 56179-2025")</f>
        <v/>
      </c>
      <c r="X79">
        <f>HYPERLINK("https://klasma.github.io/Logging_2085/kartor/A 56179-2025 karta.png", "A 56179-2025")</f>
        <v/>
      </c>
      <c r="Y79">
        <f>HYPERLINK("https://klasma.github.io/Logging_2085/kartor_geotiff/A 56179-2025 georefererad karta.tif", "A 56179-2025")</f>
        <v/>
      </c>
      <c r="Z79">
        <f>HYPERLINK("https://klasma.github.io/Logging_2085/knärot/A 56179-2025 karta knärot.png", "A 56179-2025")</f>
        <v/>
      </c>
      <c r="AA79">
        <f>HYPERLINK("https://klasma.github.io/Logging_2085/klagomål/A 56179-2025 FSC-klagomål.docx", "A 56179-2025")</f>
        <v/>
      </c>
      <c r="AB79">
        <f>HYPERLINK("https://klasma.github.io/Logging_2085/klagomålsmail/A 56179-2025 FSC-klagomål mail.docx", "A 56179-2025")</f>
        <v/>
      </c>
      <c r="AC79">
        <f>HYPERLINK("https://klasma.github.io/Logging_2085/tillsyn/A 56179-2025 tillsynsbegäran.docx", "A 56179-2025")</f>
        <v/>
      </c>
      <c r="AD79">
        <f>HYPERLINK("https://klasma.github.io/Logging_2085/tillsynsmail/A 56179-2025 tillsynsbegäran mail.docx", "A 56179-2025")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46305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t="n">
        <v>8</v>
      </c>
      <c r="V80" s="2" t="inlineStr">
        <is>
          <t>Nordfladdermus
Fläcknycklar</t>
        </is>
      </c>
      <c r="W80">
        <f>HYPERLINK("https://klasma.github.io/Logging_2085/artfynd/A 3809-2024 artfynd.xlsx", "A 3809-2024")</f>
        <v/>
      </c>
      <c r="X80">
        <f>HYPERLINK("https://klasma.github.io/Logging_2085/kartor/A 3809-2024 karta.png", "A 3809-2024")</f>
        <v/>
      </c>
      <c r="Y80">
        <f>HYPERLINK("https://klasma.github.io/Logging_2085/kartor_geotiff/A 3809-2024 georefererad karta.tif", "A 3809-2024")</f>
        <v/>
      </c>
      <c r="AA80">
        <f>HYPERLINK("https://klasma.github.io/Logging_2085/klagomål/A 3809-2024 FSC-klagomål.docx", "A 3809-2024")</f>
        <v/>
      </c>
      <c r="AB80">
        <f>HYPERLINK("https://klasma.github.io/Logging_2085/klagomålsmail/A 3809-2024 FSC-klagomål mail.docx", "A 3809-2024")</f>
        <v/>
      </c>
      <c r="AC80">
        <f>HYPERLINK("https://klasma.github.io/Logging_2085/tillsyn/A 3809-2024 tillsynsbegäran.docx", "A 3809-2024")</f>
        <v/>
      </c>
      <c r="AD80">
        <f>HYPERLINK("https://klasma.github.io/Logging_2085/tillsynsmail/A 3809-2024 tillsynsbegäran mail.docx", "A 3809-2024")</f>
        <v/>
      </c>
    </row>
    <row r="81" ht="15" customHeight="1">
      <c r="A81" t="inlineStr">
        <is>
          <t>A 56879-2025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46305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Tjäder</t>
        </is>
      </c>
      <c r="W81">
        <f>HYPERLINK("https://klasma.github.io/Logging_2085/artfynd/A 56879-2025 artfynd.xlsx", "A 56879-2025")</f>
        <v/>
      </c>
      <c r="X81">
        <f>HYPERLINK("https://klasma.github.io/Logging_2085/kartor/A 56879-2025 karta.png", "A 56879-2025")</f>
        <v/>
      </c>
      <c r="Y81">
        <f>HYPERLINK("https://klasma.github.io/Logging_2085/kartor_geotiff/A 56879-2025 georefererad karta.tif", "A 56879-2025")</f>
        <v/>
      </c>
      <c r="AA81">
        <f>HYPERLINK("https://klasma.github.io/Logging_2085/klagomål/A 56879-2025 FSC-klagomål.docx", "A 56879-2025")</f>
        <v/>
      </c>
      <c r="AB81">
        <f>HYPERLINK("https://klasma.github.io/Logging_2085/klagomålsmail/A 56879-2025 FSC-klagomål mail.docx", "A 56879-2025")</f>
        <v/>
      </c>
      <c r="AC81">
        <f>HYPERLINK("https://klasma.github.io/Logging_2085/tillsyn/A 56879-2025 tillsynsbegäran.docx", "A 56879-2025")</f>
        <v/>
      </c>
      <c r="AD81">
        <f>HYPERLINK("https://klasma.github.io/Logging_2085/tillsynsmail/A 56879-2025 tillsynsbegäran mail.docx", "A 56879-2025")</f>
        <v/>
      </c>
      <c r="AE81">
        <f>HYPERLINK("https://klasma.github.io/Logging_2085/fåglar/A 56879-2025 prioriterade fågelarter.docx", "A 56879-2025")</f>
        <v/>
      </c>
    </row>
    <row r="82" ht="15" customHeight="1">
      <c r="A82" t="inlineStr">
        <is>
          <t>A 62275-2022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46305</v>
      </c>
      <c r="F82" t="inlineStr">
        <is>
          <t>DALARNAS LÄN</t>
        </is>
      </c>
      <c r="G82" t="inlineStr">
        <is>
          <t>LUDVIKA</t>
        </is>
      </c>
      <c r="I82" t="n">
        <v>4.6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5</v>
      </c>
      <c r="U82" t="n">
        <v>5</v>
      </c>
      <c r="V82" s="2" t="inlineStr">
        <is>
          <t>Knärot
Brunklöver</t>
        </is>
      </c>
      <c r="W82">
        <f>HYPERLINK("https://klasma.github.io/Logging_2085/artfynd/A 62275-2022 artfynd.xlsx", "A 62275-2022")</f>
        <v/>
      </c>
      <c r="X82">
        <f>HYPERLINK("https://klasma.github.io/Logging_2085/kartor/A 62275-2022 karta.png", "A 62275-2022")</f>
        <v/>
      </c>
      <c r="Y82">
        <f>HYPERLINK("https://klasma.github.io/Logging_2085/kartor_geotiff/A 62275-2022 georefererad karta.tif", "A 62275-2022")</f>
        <v/>
      </c>
      <c r="Z82">
        <f>HYPERLINK("https://klasma.github.io/Logging_2085/knärot/A 62275-2022 karta knärot.png", "A 62275-2022")</f>
        <v/>
      </c>
      <c r="AA82">
        <f>HYPERLINK("https://klasma.github.io/Logging_2085/klagomål/A 62275-2022 FSC-klagomål.docx", "A 62275-2022")</f>
        <v/>
      </c>
      <c r="AB82">
        <f>HYPERLINK("https://klasma.github.io/Logging_2085/klagomålsmail/A 62275-2022 FSC-klagomål mail.docx", "A 62275-2022")</f>
        <v/>
      </c>
      <c r="AC82">
        <f>HYPERLINK("https://klasma.github.io/Logging_2085/tillsyn/A 62275-2022 tillsynsbegäran.docx", "A 62275-2022")</f>
        <v/>
      </c>
      <c r="AD82">
        <f>HYPERLINK("https://klasma.github.io/Logging_2085/tillsynsmail/A 62275-2022 tillsynsbegäran mail.docx", "A 62275-2022")</f>
        <v/>
      </c>
    </row>
    <row r="83" ht="15" customHeight="1">
      <c r="A83" t="inlineStr">
        <is>
          <t>A 21876-2026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46305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Tretåig hackspett</t>
        </is>
      </c>
      <c r="W83">
        <f>HYPERLINK("https://klasma.github.io/Logging_2085/artfynd/A 21876-2026 artfynd.xlsx", "A 21876-2026")</f>
        <v/>
      </c>
      <c r="X83">
        <f>HYPERLINK("https://klasma.github.io/Logging_2085/kartor/A 21876-2026 karta.png", "A 21876-2026")</f>
        <v/>
      </c>
      <c r="Y83">
        <f>HYPERLINK("https://klasma.github.io/Logging_2085/kartor_geotiff/A 21876-2026 georefererad karta.tif", "A 21876-2026")</f>
        <v/>
      </c>
      <c r="AA83">
        <f>HYPERLINK("https://klasma.github.io/Logging_2085/klagomål/A 21876-2026 FSC-klagomål.docx", "A 21876-2026")</f>
        <v/>
      </c>
      <c r="AB83">
        <f>HYPERLINK("https://klasma.github.io/Logging_2085/klagomålsmail/A 21876-2026 FSC-klagomål mail.docx", "A 21876-2026")</f>
        <v/>
      </c>
      <c r="AC83">
        <f>HYPERLINK("https://klasma.github.io/Logging_2085/tillsyn/A 21876-2026 tillsynsbegäran.docx", "A 21876-2026")</f>
        <v/>
      </c>
      <c r="AD83">
        <f>HYPERLINK("https://klasma.github.io/Logging_2085/tillsynsmail/A 21876-2026 tillsynsbegäran mail.docx", "A 21876-2026")</f>
        <v/>
      </c>
      <c r="AE83">
        <f>HYPERLINK("https://klasma.github.io/Logging_2085/fåglar/A 21876-2026 prioriterade fågelarter.docx", "A 21876-2026")</f>
        <v/>
      </c>
    </row>
    <row r="84" ht="15" customHeight="1">
      <c r="A84" t="inlineStr">
        <is>
          <t>A 18024-2026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46125</v>
      </c>
      <c r="E84" s="1" t="n">
        <v>46305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Skinnlav
Svavelriska</t>
        </is>
      </c>
      <c r="W84">
        <f>HYPERLINK("https://klasma.github.io/Logging_2085/artfynd/A 18024-2026 artfynd.xlsx", "A 18024-2026")</f>
        <v/>
      </c>
      <c r="X84">
        <f>HYPERLINK("https://klasma.github.io/Logging_2085/kartor/A 18024-2026 karta.png", "A 18024-2026")</f>
        <v/>
      </c>
      <c r="Y84">
        <f>HYPERLINK("https://klasma.github.io/Logging_2085/kartor_geotiff/A 18024-2026 georefererad karta.tif", "A 18024-2026")</f>
        <v/>
      </c>
      <c r="AA84">
        <f>HYPERLINK("https://klasma.github.io/Logging_2085/klagomål/A 18024-2026 FSC-klagomål.docx", "A 18024-2026")</f>
        <v/>
      </c>
      <c r="AB84">
        <f>HYPERLINK("https://klasma.github.io/Logging_2085/klagomålsmail/A 18024-2026 FSC-klagomål mail.docx", "A 18024-2026")</f>
        <v/>
      </c>
      <c r="AC84">
        <f>HYPERLINK("https://klasma.github.io/Logging_2085/tillsyn/A 18024-2026 tillsynsbegäran.docx", "A 18024-2026")</f>
        <v/>
      </c>
      <c r="AD84">
        <f>HYPERLINK("https://klasma.github.io/Logging_2085/tillsynsmail/A 18024-2026 tillsynsbegäran mail.docx", "A 18024-2026")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46305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55399-2025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46305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11.5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HYPERLINK("https://klasma.github.io/Logging_2085/artfynd/A 55399-2025 artfynd.xlsx", "A 55399-2025")</f>
        <v/>
      </c>
      <c r="X86">
        <f>HYPERLINK("https://klasma.github.io/Logging_2085/kartor/A 55399-2025 karta.png", "A 55399-2025")</f>
        <v/>
      </c>
      <c r="Y86">
        <f>HYPERLINK("https://klasma.github.io/Logging_2085/kartor_geotiff/A 55399-2025 georefererad karta.tif", "A 55399-2025")</f>
        <v/>
      </c>
      <c r="AA86">
        <f>HYPERLINK("https://klasma.github.io/Logging_2085/klagomål/A 55399-2025 FSC-klagomål.docx", "A 55399-2025")</f>
        <v/>
      </c>
      <c r="AB86">
        <f>HYPERLINK("https://klasma.github.io/Logging_2085/klagomålsmail/A 55399-2025 FSC-klagomål mail.docx", "A 55399-2025")</f>
        <v/>
      </c>
      <c r="AC86">
        <f>HYPERLINK("https://klasma.github.io/Logging_2085/tillsyn/A 55399-2025 tillsynsbegäran.docx", "A 55399-2025")</f>
        <v/>
      </c>
      <c r="AD86">
        <f>HYPERLINK("https://klasma.github.io/Logging_2085/tillsynsmail/A 55399-2025 tillsynsbegäran mail.docx", "A 55399-2025")</f>
        <v/>
      </c>
      <c r="AE86">
        <f>HYPERLINK("https://klasma.github.io/Logging_2085/fåglar/A 55399-2025 prioriterade fågelarter.docx", "A 55399-2025")</f>
        <v/>
      </c>
    </row>
    <row r="87" ht="15" customHeight="1">
      <c r="A87" t="inlineStr">
        <is>
          <t>A 28727-2026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46305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14</v>
      </c>
      <c r="J87" t="n">
        <v>0</v>
      </c>
      <c r="K87" t="n">
        <v>1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Mindre märgborre</t>
        </is>
      </c>
      <c r="W87">
        <f>HYPERLINK("https://klasma.github.io/Logging_2085/artfynd/A 28727-2026 artfynd.xlsx", "A 28727-2026")</f>
        <v/>
      </c>
      <c r="X87">
        <f>HYPERLINK("https://klasma.github.io/Logging_2085/kartor/A 28727-2026 karta.png", "A 28727-2026")</f>
        <v/>
      </c>
      <c r="Y87">
        <f>HYPERLINK("https://klasma.github.io/Logging_2085/kartor_geotiff/A 28727-2026 georefererad karta.tif", "A 28727-2026")</f>
        <v/>
      </c>
      <c r="AA87">
        <f>HYPERLINK("https://klasma.github.io/Logging_2085/klagomål/A 28727-2026 FSC-klagomål.docx", "A 28727-2026")</f>
        <v/>
      </c>
      <c r="AB87">
        <f>HYPERLINK("https://klasma.github.io/Logging_2085/klagomålsmail/A 28727-2026 FSC-klagomål mail.docx", "A 28727-2026")</f>
        <v/>
      </c>
      <c r="AC87">
        <f>HYPERLINK("https://klasma.github.io/Logging_2085/tillsyn/A 28727-2026 tillsynsbegäran.docx", "A 28727-2026")</f>
        <v/>
      </c>
      <c r="AD87">
        <f>HYPERLINK("https://klasma.github.io/Logging_2085/tillsynsmail/A 28727-2026 tillsynsbegäran mail.docx", "A 28727-2026")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46305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28639-2026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46198</v>
      </c>
      <c r="E89" s="1" t="n">
        <v>46305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 taggsvamp
Motaggsvamp</t>
        </is>
      </c>
      <c r="W89">
        <f>HYPERLINK("https://klasma.github.io/Logging_2085/artfynd/A 28639-2026 artfynd.xlsx", "A 28639-2026")</f>
        <v/>
      </c>
      <c r="X89">
        <f>HYPERLINK("https://klasma.github.io/Logging_2085/kartor/A 28639-2026 karta.png", "A 28639-2026")</f>
        <v/>
      </c>
      <c r="Y89">
        <f>HYPERLINK("https://klasma.github.io/Logging_2085/kartor_geotiff/A 28639-2026 georefererad karta.tif", "A 28639-2026")</f>
        <v/>
      </c>
      <c r="AA89">
        <f>HYPERLINK("https://klasma.github.io/Logging_2085/klagomål/A 28639-2026 FSC-klagomål.docx", "A 28639-2026")</f>
        <v/>
      </c>
      <c r="AB89">
        <f>HYPERLINK("https://klasma.github.io/Logging_2085/klagomålsmail/A 28639-2026 FSC-klagomål mail.docx", "A 28639-2026")</f>
        <v/>
      </c>
      <c r="AC89">
        <f>HYPERLINK("https://klasma.github.io/Logging_2085/tillsyn/A 28639-2026 tillsynsbegäran.docx", "A 28639-2026")</f>
        <v/>
      </c>
      <c r="AD89">
        <f>HYPERLINK("https://klasma.github.io/Logging_2085/tillsynsmail/A 28639-2026 tillsynsbegäran mail.docx", "A 28639-2026")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46305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46305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8202-2025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46305</v>
      </c>
      <c r="F92" t="inlineStr">
        <is>
          <t>DALARNAS LÄN</t>
        </is>
      </c>
      <c r="G92" t="inlineStr">
        <is>
          <t>LUDVIKA</t>
        </is>
      </c>
      <c r="I92" t="n">
        <v>6.4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7</v>
      </c>
      <c r="U92" t="n">
        <v>7</v>
      </c>
      <c r="V92" s="2" t="inlineStr">
        <is>
          <t>Tretåig hackspett
Spillkråka</t>
        </is>
      </c>
      <c r="W92">
        <f>HYPERLINK("https://klasma.github.io/Logging_2085/artfynd/A 8202-2025 artfynd.xlsx", "A 8202-2025")</f>
        <v/>
      </c>
      <c r="X92">
        <f>HYPERLINK("https://klasma.github.io/Logging_2085/kartor/A 8202-2025 karta.png", "A 8202-2025")</f>
        <v/>
      </c>
      <c r="Y92">
        <f>HYPERLINK("https://klasma.github.io/Logging_2085/kartor_geotiff/A 8202-2025 georefererad karta.tif", "A 8202-2025")</f>
        <v/>
      </c>
      <c r="AA92">
        <f>HYPERLINK("https://klasma.github.io/Logging_2085/klagomål/A 8202-2025 FSC-klagomål.docx", "A 8202-2025")</f>
        <v/>
      </c>
      <c r="AB92">
        <f>HYPERLINK("https://klasma.github.io/Logging_2085/klagomålsmail/A 8202-2025 FSC-klagomål mail.docx", "A 8202-2025")</f>
        <v/>
      </c>
      <c r="AC92">
        <f>HYPERLINK("https://klasma.github.io/Logging_2085/tillsyn/A 8202-2025 tillsynsbegäran.docx", "A 8202-2025")</f>
        <v/>
      </c>
      <c r="AD92">
        <f>HYPERLINK("https://klasma.github.io/Logging_2085/tillsynsmail/A 8202-2025 tillsynsbegäran mail.docx", "A 8202-2025")</f>
        <v/>
      </c>
      <c r="AE92">
        <f>HYPERLINK("https://klasma.github.io/Logging_2085/fåglar/A 8202-2025 prioriterade fågelarter.docx", "A 8202-2025")</f>
        <v/>
      </c>
    </row>
    <row r="93" ht="15" customHeight="1">
      <c r="A93" t="inlineStr">
        <is>
          <t>A 35104-2026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46260</v>
      </c>
      <c r="E93" s="1" t="n">
        <v>46305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Knärot
Rödgul trumpetsvamp</t>
        </is>
      </c>
      <c r="W93">
        <f>HYPERLINK("https://klasma.github.io/Logging_2085/artfynd/A 35104-2026 artfynd.xlsx", "A 35104-2026")</f>
        <v/>
      </c>
      <c r="X93">
        <f>HYPERLINK("https://klasma.github.io/Logging_2085/kartor/A 35104-2026 karta.png", "A 35104-2026")</f>
        <v/>
      </c>
      <c r="Y93">
        <f>HYPERLINK("https://klasma.github.io/Logging_2085/kartor_geotiff/A 35104-2026 georefererad karta.tif", "A 35104-2026")</f>
        <v/>
      </c>
      <c r="Z93">
        <f>HYPERLINK("https://klasma.github.io/Logging_2085/knärot/A 35104-2026 karta knärot.png", "A 35104-2026")</f>
        <v/>
      </c>
      <c r="AA93">
        <f>HYPERLINK("https://klasma.github.io/Logging_2085/klagomål/A 35104-2026 FSC-klagomål.docx", "A 35104-2026")</f>
        <v/>
      </c>
      <c r="AB93">
        <f>HYPERLINK("https://klasma.github.io/Logging_2085/klagomålsmail/A 35104-2026 FSC-klagomål mail.docx", "A 35104-2026")</f>
        <v/>
      </c>
      <c r="AC93">
        <f>HYPERLINK("https://klasma.github.io/Logging_2085/tillsyn/A 35104-2026 tillsynsbegäran.docx", "A 35104-2026")</f>
        <v/>
      </c>
      <c r="AD93">
        <f>HYPERLINK("https://klasma.github.io/Logging_2085/tillsynsmail/A 35104-2026 tillsynsbegäran mail.docx", "A 35104-2026")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46305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19512-2022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46305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2.8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Tretåig hackspett
Nästlav</t>
        </is>
      </c>
      <c r="W95">
        <f>HYPERLINK("https://klasma.github.io/Logging_2085/artfynd/A 19512-2022 artfynd.xlsx", "A 19512-2022")</f>
        <v/>
      </c>
      <c r="X95">
        <f>HYPERLINK("https://klasma.github.io/Logging_2085/kartor/A 19512-2022 karta.png", "A 19512-2022")</f>
        <v/>
      </c>
      <c r="Y95">
        <f>HYPERLINK("https://klasma.github.io/Logging_2085/kartor_geotiff/A 19512-2022 georefererad karta.tif", "A 19512-2022")</f>
        <v/>
      </c>
      <c r="AA95">
        <f>HYPERLINK("https://klasma.github.io/Logging_2085/klagomål/A 19512-2022 FSC-klagomål.docx", "A 19512-2022")</f>
        <v/>
      </c>
      <c r="AB95">
        <f>HYPERLINK("https://klasma.github.io/Logging_2085/klagomålsmail/A 19512-2022 FSC-klagomål mail.docx", "A 19512-2022")</f>
        <v/>
      </c>
      <c r="AC95">
        <f>HYPERLINK("https://klasma.github.io/Logging_2085/tillsyn/A 19512-2022 tillsynsbegäran.docx", "A 19512-2022")</f>
        <v/>
      </c>
      <c r="AD95">
        <f>HYPERLINK("https://klasma.github.io/Logging_2085/tillsynsmail/A 19512-2022 tillsynsbegäran mail.docx", "A 19512-2022")</f>
        <v/>
      </c>
      <c r="AE95">
        <f>HYPERLINK("https://klasma.github.io/Logging_2085/fåglar/A 19512-2022 prioriterade fågelarter.docx", "A 19512-2022")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46305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46305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46305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46305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46305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17987-2025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46305</v>
      </c>
      <c r="F101" t="inlineStr">
        <is>
          <t>DALARNAS LÄN</t>
        </is>
      </c>
      <c r="G101" t="inlineStr">
        <is>
          <t>LUDVIKA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HYPERLINK("https://klasma.github.io/Logging_2085/artfynd/A 17987-2025 artfynd.xlsx", "A 17987-2025")</f>
        <v/>
      </c>
      <c r="X101">
        <f>HYPERLINK("https://klasma.github.io/Logging_2085/kartor/A 17987-2025 karta.png", "A 17987-2025")</f>
        <v/>
      </c>
      <c r="Y101">
        <f>HYPERLINK("https://klasma.github.io/Logging_2085/kartor_geotiff/A 17987-2025 georefererad karta.tif", "A 17987-2025")</f>
        <v/>
      </c>
      <c r="AA101">
        <f>HYPERLINK("https://klasma.github.io/Logging_2085/klagomål/A 17987-2025 FSC-klagomål.docx", "A 17987-2025")</f>
        <v/>
      </c>
      <c r="AB101">
        <f>HYPERLINK("https://klasma.github.io/Logging_2085/klagomålsmail/A 17987-2025 FSC-klagomål mail.docx", "A 17987-2025")</f>
        <v/>
      </c>
      <c r="AC101">
        <f>HYPERLINK("https://klasma.github.io/Logging_2085/tillsyn/A 17987-2025 tillsynsbegäran.docx", "A 17987-2025")</f>
        <v/>
      </c>
      <c r="AD101">
        <f>HYPERLINK("https://klasma.github.io/Logging_2085/tillsynsmail/A 17987-2025 tillsynsbegäran mail.docx", "A 17987-2025")</f>
        <v/>
      </c>
      <c r="AE101">
        <f>HYPERLINK("https://klasma.github.io/Logging_2085/fåglar/A 17987-2025 prioriterade fågelarter.docx", "A 17987-2025")</f>
        <v/>
      </c>
    </row>
    <row r="102" ht="15" customHeight="1">
      <c r="A102" t="inlineStr">
        <is>
          <t>A 25588-2023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45089</v>
      </c>
      <c r="E102" s="1" t="n">
        <v>46305</v>
      </c>
      <c r="F102" t="inlineStr">
        <is>
          <t>DALARNAS LÄN</t>
        </is>
      </c>
      <c r="G102" t="inlineStr">
        <is>
          <t>LUDVIKA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Garnlav</t>
        </is>
      </c>
      <c r="W102">
        <f>HYPERLINK("https://klasma.github.io/Logging_2085/artfynd/A 25588-2023 artfynd.xlsx", "A 25588-2023")</f>
        <v/>
      </c>
      <c r="X102">
        <f>HYPERLINK("https://klasma.github.io/Logging_2085/kartor/A 25588-2023 karta.png", "A 25588-2023")</f>
        <v/>
      </c>
      <c r="Y102">
        <f>HYPERLINK("https://klasma.github.io/Logging_2085/kartor_geotiff/A 25588-2023 georefererad karta.tif", "A 25588-2023")</f>
        <v/>
      </c>
      <c r="AA102">
        <f>HYPERLINK("https://klasma.github.io/Logging_2085/klagomål/A 25588-2023 FSC-klagomål.docx", "A 25588-2023")</f>
        <v/>
      </c>
      <c r="AB102">
        <f>HYPERLINK("https://klasma.github.io/Logging_2085/klagomålsmail/A 25588-2023 FSC-klagomål mail.docx", "A 25588-2023")</f>
        <v/>
      </c>
      <c r="AC102">
        <f>HYPERLINK("https://klasma.github.io/Logging_2085/tillsyn/A 25588-2023 tillsynsbegäran.docx", "A 25588-2023")</f>
        <v/>
      </c>
      <c r="AD102">
        <f>HYPERLINK("https://klasma.github.io/Logging_2085/tillsynsmail/A 25588-2023 tillsynsbegäran mail.docx", "A 25588-2023")</f>
        <v/>
      </c>
    </row>
    <row r="103" ht="15" customHeight="1">
      <c r="A103" t="inlineStr">
        <is>
          <t>A 12093-2023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44998</v>
      </c>
      <c r="E103" s="1" t="n">
        <v>46305</v>
      </c>
      <c r="F103" t="inlineStr">
        <is>
          <t>DALARNAS LÄN</t>
        </is>
      </c>
      <c r="G103" t="inlineStr">
        <is>
          <t>LUDVIKA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Bitter taggsvamp</t>
        </is>
      </c>
      <c r="W103">
        <f>HYPERLINK("https://klasma.github.io/Logging_2085/artfynd/A 12093-2023 artfynd.xlsx", "A 12093-2023")</f>
        <v/>
      </c>
      <c r="X103">
        <f>HYPERLINK("https://klasma.github.io/Logging_2085/kartor/A 12093-2023 karta.png", "A 12093-2023")</f>
        <v/>
      </c>
      <c r="Y103">
        <f>HYPERLINK("https://klasma.github.io/Logging_2085/kartor_geotiff/A 12093-2023 georefererad karta.tif", "A 12093-2023")</f>
        <v/>
      </c>
      <c r="AA103">
        <f>HYPERLINK("https://klasma.github.io/Logging_2085/klagomål/A 12093-2023 FSC-klagomål.docx", "A 12093-2023")</f>
        <v/>
      </c>
      <c r="AB103">
        <f>HYPERLINK("https://klasma.github.io/Logging_2085/klagomålsmail/A 12093-2023 FSC-klagomål mail.docx", "A 12093-2023")</f>
        <v/>
      </c>
      <c r="AC103">
        <f>HYPERLINK("https://klasma.github.io/Logging_2085/tillsyn/A 12093-2023 tillsynsbegäran.docx", "A 12093-2023")</f>
        <v/>
      </c>
      <c r="AD103">
        <f>HYPERLINK("https://klasma.github.io/Logging_2085/tillsynsmail/A 12093-2023 tillsynsbegäran mail.docx", "A 12093-2023")</f>
        <v/>
      </c>
    </row>
    <row r="104" ht="15" customHeight="1">
      <c r="A104" t="inlineStr">
        <is>
          <t>A 25448-2024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45463</v>
      </c>
      <c r="E104" s="1" t="n">
        <v>46305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24.7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Blåsippa</t>
        </is>
      </c>
      <c r="W104">
        <f>HYPERLINK("https://klasma.github.io/Logging_2085/artfynd/A 25448-2024 artfynd.xlsx", "A 25448-2024")</f>
        <v/>
      </c>
      <c r="X104">
        <f>HYPERLINK("https://klasma.github.io/Logging_2085/kartor/A 25448-2024 karta.png", "A 25448-2024")</f>
        <v/>
      </c>
      <c r="Y104">
        <f>HYPERLINK("https://klasma.github.io/Logging_2085/kartor_geotiff/A 25448-2024 georefererad karta.tif", "A 25448-2024")</f>
        <v/>
      </c>
      <c r="AA104">
        <f>HYPERLINK("https://klasma.github.io/Logging_2085/klagomål/A 25448-2024 FSC-klagomål.docx", "A 25448-2024")</f>
        <v/>
      </c>
      <c r="AB104">
        <f>HYPERLINK("https://klasma.github.io/Logging_2085/klagomålsmail/A 25448-2024 FSC-klagomål mail.docx", "A 25448-2024")</f>
        <v/>
      </c>
      <c r="AC104">
        <f>HYPERLINK("https://klasma.github.io/Logging_2085/tillsyn/A 25448-2024 tillsynsbegäran.docx", "A 25448-2024")</f>
        <v/>
      </c>
      <c r="AD104">
        <f>HYPERLINK("https://klasma.github.io/Logging_2085/tillsynsmail/A 25448-2024 tillsynsbegäran mail.docx", "A 25448-2024")</f>
        <v/>
      </c>
    </row>
    <row r="105" ht="15" customHeight="1">
      <c r="A105" t="inlineStr">
        <is>
          <t>A 33560-2023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45131</v>
      </c>
      <c r="E105" s="1" t="n">
        <v>46305</v>
      </c>
      <c r="F105" t="inlineStr">
        <is>
          <t>DALARNAS LÄN</t>
        </is>
      </c>
      <c r="G105" t="inlineStr">
        <is>
          <t>LUDVIKA</t>
        </is>
      </c>
      <c r="I105" t="n">
        <v>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vattensalamander</t>
        </is>
      </c>
      <c r="W105">
        <f>HYPERLINK("https://klasma.github.io/Logging_2085/artfynd/A 33560-2023 artfynd.xlsx", "A 33560-2023")</f>
        <v/>
      </c>
      <c r="X105">
        <f>HYPERLINK("https://klasma.github.io/Logging_2085/kartor/A 33560-2023 karta.png", "A 33560-2023")</f>
        <v/>
      </c>
      <c r="Y105">
        <f>HYPERLINK("https://klasma.github.io/Logging_2085/kartor_geotiff/A 33560-2023 georefererad karta.tif", "A 33560-2023")</f>
        <v/>
      </c>
      <c r="AA105">
        <f>HYPERLINK("https://klasma.github.io/Logging_2085/klagomål/A 33560-2023 FSC-klagomål.docx", "A 33560-2023")</f>
        <v/>
      </c>
      <c r="AB105">
        <f>HYPERLINK("https://klasma.github.io/Logging_2085/klagomålsmail/A 33560-2023 FSC-klagomål mail.docx", "A 33560-2023")</f>
        <v/>
      </c>
      <c r="AC105">
        <f>HYPERLINK("https://klasma.github.io/Logging_2085/tillsyn/A 33560-2023 tillsynsbegäran.docx", "A 33560-2023")</f>
        <v/>
      </c>
      <c r="AD105">
        <f>HYPERLINK("https://klasma.github.io/Logging_2085/tillsynsmail/A 33560-2023 tillsynsbegäran mail.docx", "A 33560-2023")</f>
        <v/>
      </c>
    </row>
    <row r="106" ht="15" customHeight="1">
      <c r="A106" t="inlineStr">
        <is>
          <t>A 3687-2024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46305</v>
      </c>
      <c r="F106" t="inlineStr">
        <is>
          <t>DALARNAS LÄN</t>
        </is>
      </c>
      <c r="G106" t="inlineStr">
        <is>
          <t>LUDVIKA</t>
        </is>
      </c>
      <c r="I106" t="n">
        <v>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Nordfladdermus</t>
        </is>
      </c>
      <c r="W106">
        <f>HYPERLINK("https://klasma.github.io/Logging_2085/artfynd/A 3687-2024 artfynd.xlsx", "A 3687-2024")</f>
        <v/>
      </c>
      <c r="X106">
        <f>HYPERLINK("https://klasma.github.io/Logging_2085/kartor/A 3687-2024 karta.png", "A 3687-2024")</f>
        <v/>
      </c>
      <c r="Y106">
        <f>HYPERLINK("https://klasma.github.io/Logging_2085/kartor_geotiff/A 3687-2024 georefererad karta.tif", "A 3687-2024")</f>
        <v/>
      </c>
      <c r="AA106">
        <f>HYPERLINK("https://klasma.github.io/Logging_2085/klagomål/A 3687-2024 FSC-klagomål.docx", "A 3687-2024")</f>
        <v/>
      </c>
      <c r="AB106">
        <f>HYPERLINK("https://klasma.github.io/Logging_2085/klagomålsmail/A 3687-2024 FSC-klagomål mail.docx", "A 3687-2024")</f>
        <v/>
      </c>
      <c r="AC106">
        <f>HYPERLINK("https://klasma.github.io/Logging_2085/tillsyn/A 3687-2024 tillsynsbegäran.docx", "A 3687-2024")</f>
        <v/>
      </c>
      <c r="AD106">
        <f>HYPERLINK("https://klasma.github.io/Logging_2085/tillsynsmail/A 3687-2024 tillsynsbegäran mail.docx", "A 3687-2024")</f>
        <v/>
      </c>
    </row>
    <row r="107" ht="15" customHeight="1">
      <c r="A107" t="inlineStr">
        <is>
          <t>A 1047-2023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44929</v>
      </c>
      <c r="E107" s="1" t="n">
        <v>46305</v>
      </c>
      <c r="F107" t="inlineStr">
        <is>
          <t>DALARNAS LÄN</t>
        </is>
      </c>
      <c r="G107" t="inlineStr">
        <is>
          <t>LUDVIKA</t>
        </is>
      </c>
      <c r="H107" t="inlineStr">
        <is>
          <t>Kommuner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Ullticka</t>
        </is>
      </c>
      <c r="W107">
        <f>HYPERLINK("https://klasma.github.io/Logging_2085/artfynd/A 1047-2023 artfynd.xlsx", "A 1047-2023")</f>
        <v/>
      </c>
      <c r="X107">
        <f>HYPERLINK("https://klasma.github.io/Logging_2085/kartor/A 1047-2023 karta.png", "A 1047-2023")</f>
        <v/>
      </c>
      <c r="Y107">
        <f>HYPERLINK("https://klasma.github.io/Logging_2085/kartor_geotiff/A 1047-2023 georefererad karta.tif", "A 1047-2023")</f>
        <v/>
      </c>
      <c r="AA107">
        <f>HYPERLINK("https://klasma.github.io/Logging_2085/klagomål/A 1047-2023 FSC-klagomål.docx", "A 1047-2023")</f>
        <v/>
      </c>
      <c r="AB107">
        <f>HYPERLINK("https://klasma.github.io/Logging_2085/klagomålsmail/A 1047-2023 FSC-klagomål mail.docx", "A 1047-2023")</f>
        <v/>
      </c>
      <c r="AC107">
        <f>HYPERLINK("https://klasma.github.io/Logging_2085/tillsyn/A 1047-2023 tillsynsbegäran.docx", "A 1047-2023")</f>
        <v/>
      </c>
      <c r="AD107">
        <f>HYPERLINK("https://klasma.github.io/Logging_2085/tillsynsmail/A 1047-2023 tillsynsbegäran mail.docx", "A 1047-2023")</f>
        <v/>
      </c>
    </row>
    <row r="108" ht="15" customHeight="1">
      <c r="A108" t="inlineStr">
        <is>
          <t>A 29882-2024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45486</v>
      </c>
      <c r="E108" s="1" t="n">
        <v>46305</v>
      </c>
      <c r="F108" t="inlineStr">
        <is>
          <t>DALARNAS LÄN</t>
        </is>
      </c>
      <c r="G108" t="inlineStr">
        <is>
          <t>LUDVIKA</t>
        </is>
      </c>
      <c r="I108" t="n">
        <v>1.3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29882-2024 artfynd.xlsx", "A 29882-2024")</f>
        <v/>
      </c>
      <c r="X108">
        <f>HYPERLINK("https://klasma.github.io/Logging_2085/kartor/A 29882-2024 karta.png", "A 29882-2024")</f>
        <v/>
      </c>
      <c r="Y108">
        <f>HYPERLINK("https://klasma.github.io/Logging_2085/kartor_geotiff/A 29882-2024 georefererad karta.tif", "A 29882-2024")</f>
        <v/>
      </c>
      <c r="AA108">
        <f>HYPERLINK("https://klasma.github.io/Logging_2085/klagomål/A 29882-2024 FSC-klagomål.docx", "A 29882-2024")</f>
        <v/>
      </c>
      <c r="AB108">
        <f>HYPERLINK("https://klasma.github.io/Logging_2085/klagomålsmail/A 29882-2024 FSC-klagomål mail.docx", "A 29882-2024")</f>
        <v/>
      </c>
      <c r="AC108">
        <f>HYPERLINK("https://klasma.github.io/Logging_2085/tillsyn/A 29882-2024 tillsynsbegäran.docx", "A 29882-2024")</f>
        <v/>
      </c>
      <c r="AD108">
        <f>HYPERLINK("https://klasma.github.io/Logging_2085/tillsynsmail/A 29882-2024 tillsynsbegäran mail.docx", "A 29882-2024")</f>
        <v/>
      </c>
      <c r="AE108">
        <f>HYPERLINK("https://klasma.github.io/Logging_2085/fåglar/A 29882-2024 prioriterade fågelarter.docx", "A 29882-2024")</f>
        <v/>
      </c>
    </row>
    <row r="109" ht="15" customHeight="1">
      <c r="A109" t="inlineStr">
        <is>
          <t>A 45858-2025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46305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1.3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Granbarkgnagare</t>
        </is>
      </c>
      <c r="W109">
        <f>HYPERLINK("https://klasma.github.io/Logging_2085/artfynd/A 45858-2025 artfynd.xlsx", "A 45858-2025")</f>
        <v/>
      </c>
      <c r="X109">
        <f>HYPERLINK("https://klasma.github.io/Logging_2085/kartor/A 45858-2025 karta.png", "A 45858-2025")</f>
        <v/>
      </c>
      <c r="Y109">
        <f>HYPERLINK("https://klasma.github.io/Logging_2085/kartor_geotiff/A 45858-2025 georefererad karta.tif", "A 45858-2025")</f>
        <v/>
      </c>
      <c r="AA109">
        <f>HYPERLINK("https://klasma.github.io/Logging_2085/klagomål/A 45858-2025 FSC-klagomål.docx", "A 45858-2025")</f>
        <v/>
      </c>
      <c r="AB109">
        <f>HYPERLINK("https://klasma.github.io/Logging_2085/klagomålsmail/A 45858-2025 FSC-klagomål mail.docx", "A 45858-2025")</f>
        <v/>
      </c>
      <c r="AC109">
        <f>HYPERLINK("https://klasma.github.io/Logging_2085/tillsyn/A 45858-2025 tillsynsbegäran.docx", "A 45858-2025")</f>
        <v/>
      </c>
      <c r="AD109">
        <f>HYPERLINK("https://klasma.github.io/Logging_2085/tillsynsmail/A 45858-2025 tillsynsbegäran mail.docx", "A 45858-2025")</f>
        <v/>
      </c>
    </row>
    <row r="110" ht="15" customHeight="1">
      <c r="A110" t="inlineStr">
        <is>
          <t>A 23102-2025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46305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groda</t>
        </is>
      </c>
      <c r="W110">
        <f>HYPERLINK("https://klasma.github.io/Logging_2085/artfynd/A 23102-2025 artfynd.xlsx", "A 23102-2025")</f>
        <v/>
      </c>
      <c r="X110">
        <f>HYPERLINK("https://klasma.github.io/Logging_2085/kartor/A 23102-2025 karta.png", "A 23102-2025")</f>
        <v/>
      </c>
      <c r="Y110">
        <f>HYPERLINK("https://klasma.github.io/Logging_2085/kartor_geotiff/A 23102-2025 georefererad karta.tif", "A 23102-2025")</f>
        <v/>
      </c>
      <c r="AA110">
        <f>HYPERLINK("https://klasma.github.io/Logging_2085/klagomål/A 23102-2025 FSC-klagomål.docx", "A 23102-2025")</f>
        <v/>
      </c>
      <c r="AB110">
        <f>HYPERLINK("https://klasma.github.io/Logging_2085/klagomålsmail/A 23102-2025 FSC-klagomål mail.docx", "A 23102-2025")</f>
        <v/>
      </c>
      <c r="AC110">
        <f>HYPERLINK("https://klasma.github.io/Logging_2085/tillsyn/A 23102-2025 tillsynsbegäran.docx", "A 23102-2025")</f>
        <v/>
      </c>
      <c r="AD110">
        <f>HYPERLINK("https://klasma.github.io/Logging_2085/tillsynsmail/A 23102-2025 tillsynsbegäran mail.docx", "A 23102-2025")</f>
        <v/>
      </c>
    </row>
    <row r="111" ht="15" customHeight="1">
      <c r="A111" t="inlineStr">
        <is>
          <t>A 55550-2022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44888</v>
      </c>
      <c r="E111" s="1" t="n">
        <v>46305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Ögonpyrola</t>
        </is>
      </c>
      <c r="W111">
        <f>HYPERLINK("https://klasma.github.io/Logging_2085/artfynd/A 55550-2022 artfynd.xlsx", "A 55550-2022")</f>
        <v/>
      </c>
      <c r="X111">
        <f>HYPERLINK("https://klasma.github.io/Logging_2085/kartor/A 55550-2022 karta.png", "A 55550-2022")</f>
        <v/>
      </c>
      <c r="Y111">
        <f>HYPERLINK("https://klasma.github.io/Logging_2085/kartor_geotiff/A 55550-2022 georefererad karta.tif", "A 55550-2022")</f>
        <v/>
      </c>
      <c r="AA111">
        <f>HYPERLINK("https://klasma.github.io/Logging_2085/klagomål/A 55550-2022 FSC-klagomål.docx", "A 55550-2022")</f>
        <v/>
      </c>
      <c r="AB111">
        <f>HYPERLINK("https://klasma.github.io/Logging_2085/klagomålsmail/A 55550-2022 FSC-klagomål mail.docx", "A 55550-2022")</f>
        <v/>
      </c>
      <c r="AC111">
        <f>HYPERLINK("https://klasma.github.io/Logging_2085/tillsyn/A 55550-2022 tillsynsbegäran.docx", "A 55550-2022")</f>
        <v/>
      </c>
      <c r="AD111">
        <f>HYPERLINK("https://klasma.github.io/Logging_2085/tillsynsmail/A 55550-2022 tillsynsbegäran mail.docx", "A 55550-2022")</f>
        <v/>
      </c>
    </row>
    <row r="112" ht="15" customHeight="1">
      <c r="A112" t="inlineStr">
        <is>
          <t>A 26850-2023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46305</v>
      </c>
      <c r="F112" t="inlineStr">
        <is>
          <t>DALARNAS LÄN</t>
        </is>
      </c>
      <c r="G112" t="inlineStr">
        <is>
          <t>LUDVIKA</t>
        </is>
      </c>
      <c r="H112" t="inlineStr">
        <is>
          <t>Naturvårdsverket</t>
        </is>
      </c>
      <c r="I112" t="n">
        <v>2.7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HYPERLINK("https://klasma.github.io/Logging_2085/artfynd/A 26850-2023 artfynd.xlsx", "A 26850-2023")</f>
        <v/>
      </c>
      <c r="X112">
        <f>HYPERLINK("https://klasma.github.io/Logging_2085/kartor/A 26850-2023 karta.png", "A 26850-2023")</f>
        <v/>
      </c>
      <c r="Y112">
        <f>HYPERLINK("https://klasma.github.io/Logging_2085/kartor_geotiff/A 26850-2023 georefererad karta.tif", "A 26850-2023")</f>
        <v/>
      </c>
      <c r="AA112">
        <f>HYPERLINK("https://klasma.github.io/Logging_2085/klagomål/A 26850-2023 FSC-klagomål.docx", "A 26850-2023")</f>
        <v/>
      </c>
      <c r="AB112">
        <f>HYPERLINK("https://klasma.github.io/Logging_2085/klagomålsmail/A 26850-2023 FSC-klagomål mail.docx", "A 26850-2023")</f>
        <v/>
      </c>
      <c r="AC112">
        <f>HYPERLINK("https://klasma.github.io/Logging_2085/tillsyn/A 26850-2023 tillsynsbegäran.docx", "A 26850-2023")</f>
        <v/>
      </c>
      <c r="AD112">
        <f>HYPERLINK("https://klasma.github.io/Logging_2085/tillsynsmail/A 26850-2023 tillsynsbegäran mail.docx", "A 26850-2023")</f>
        <v/>
      </c>
    </row>
    <row r="113" ht="15" customHeight="1">
      <c r="A113" t="inlineStr">
        <is>
          <t>A 400-2023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46305</v>
      </c>
      <c r="F113" t="inlineStr">
        <is>
          <t>DALARNAS LÄN</t>
        </is>
      </c>
      <c r="G113" t="inlineStr">
        <is>
          <t>LUDVIKA</t>
        </is>
      </c>
      <c r="I113" t="n">
        <v>3.6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400-2023 artfynd.xlsx", "A 400-2023")</f>
        <v/>
      </c>
      <c r="X113">
        <f>HYPERLINK("https://klasma.github.io/Logging_2085/kartor/A 400-2023 karta.png", "A 400-2023")</f>
        <v/>
      </c>
      <c r="Y113">
        <f>HYPERLINK("https://klasma.github.io/Logging_2085/kartor_geotiff/A 400-2023 georefererad karta.tif", "A 400-2023")</f>
        <v/>
      </c>
      <c r="AA113">
        <f>HYPERLINK("https://klasma.github.io/Logging_2085/klagomål/A 400-2023 FSC-klagomål.docx", "A 400-2023")</f>
        <v/>
      </c>
      <c r="AB113">
        <f>HYPERLINK("https://klasma.github.io/Logging_2085/klagomålsmail/A 400-2023 FSC-klagomål mail.docx", "A 400-2023")</f>
        <v/>
      </c>
      <c r="AC113">
        <f>HYPERLINK("https://klasma.github.io/Logging_2085/tillsyn/A 400-2023 tillsynsbegäran.docx", "A 400-2023")</f>
        <v/>
      </c>
      <c r="AD113">
        <f>HYPERLINK("https://klasma.github.io/Logging_2085/tillsynsmail/A 400-2023 tillsynsbegäran mail.docx", "A 400-2023")</f>
        <v/>
      </c>
    </row>
    <row r="114" ht="15" customHeight="1">
      <c r="A114" t="inlineStr">
        <is>
          <t>A 31478-2023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45114</v>
      </c>
      <c r="E114" s="1" t="n">
        <v>46305</v>
      </c>
      <c r="F114" t="inlineStr">
        <is>
          <t>DALARNAS LÄN</t>
        </is>
      </c>
      <c r="G114" t="inlineStr">
        <is>
          <t>LUDVIKA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HYPERLINK("https://klasma.github.io/Logging_2085/artfynd/A 31478-2023 artfynd.xlsx", "A 31478-2023")</f>
        <v/>
      </c>
      <c r="X114">
        <f>HYPERLINK("https://klasma.github.io/Logging_2085/kartor/A 31478-2023 karta.png", "A 31478-2023")</f>
        <v/>
      </c>
      <c r="Y114">
        <f>HYPERLINK("https://klasma.github.io/Logging_2085/kartor_geotiff/A 31478-2023 georefererad karta.tif", "A 31478-2023")</f>
        <v/>
      </c>
      <c r="AA114">
        <f>HYPERLINK("https://klasma.github.io/Logging_2085/klagomål/A 31478-2023 FSC-klagomål.docx", "A 31478-2023")</f>
        <v/>
      </c>
      <c r="AB114">
        <f>HYPERLINK("https://klasma.github.io/Logging_2085/klagomålsmail/A 31478-2023 FSC-klagomål mail.docx", "A 31478-2023")</f>
        <v/>
      </c>
      <c r="AC114">
        <f>HYPERLINK("https://klasma.github.io/Logging_2085/tillsyn/A 31478-2023 tillsynsbegäran.docx", "A 31478-2023")</f>
        <v/>
      </c>
      <c r="AD114">
        <f>HYPERLINK("https://klasma.github.io/Logging_2085/tillsynsmail/A 31478-2023 tillsynsbegäran mail.docx", "A 31478-2023")</f>
        <v/>
      </c>
    </row>
    <row r="115" ht="15" customHeight="1">
      <c r="A115" t="inlineStr">
        <is>
          <t>A 21499-2022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44706</v>
      </c>
      <c r="E115" s="1" t="n">
        <v>46305</v>
      </c>
      <c r="F115" t="inlineStr">
        <is>
          <t>DALARNAS LÄN</t>
        </is>
      </c>
      <c r="G115" t="inlineStr">
        <is>
          <t>LUDVIKA</t>
        </is>
      </c>
      <c r="I115" t="n">
        <v>4.3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Strimspindling</t>
        </is>
      </c>
      <c r="W115">
        <f>HYPERLINK("https://klasma.github.io/Logging_2085/artfynd/A 21499-2022 artfynd.xlsx", "A 21499-2022")</f>
        <v/>
      </c>
      <c r="X115">
        <f>HYPERLINK("https://klasma.github.io/Logging_2085/kartor/A 21499-2022 karta.png", "A 21499-2022")</f>
        <v/>
      </c>
      <c r="Y115">
        <f>HYPERLINK("https://klasma.github.io/Logging_2085/kartor_geotiff/A 21499-2022 georefererad karta.tif", "A 21499-2022")</f>
        <v/>
      </c>
      <c r="AA115">
        <f>HYPERLINK("https://klasma.github.io/Logging_2085/klagomål/A 21499-2022 FSC-klagomål.docx", "A 21499-2022")</f>
        <v/>
      </c>
      <c r="AB115">
        <f>HYPERLINK("https://klasma.github.io/Logging_2085/klagomålsmail/A 21499-2022 FSC-klagomål mail.docx", "A 21499-2022")</f>
        <v/>
      </c>
      <c r="AC115">
        <f>HYPERLINK("https://klasma.github.io/Logging_2085/tillsyn/A 21499-2022 tillsynsbegäran.docx", "A 21499-2022")</f>
        <v/>
      </c>
      <c r="AD115">
        <f>HYPERLINK("https://klasma.github.io/Logging_2085/tillsynsmail/A 21499-2022 tillsynsbegäran mail.docx", "A 21499-2022")</f>
        <v/>
      </c>
    </row>
    <row r="116" ht="15" customHeight="1">
      <c r="A116" t="inlineStr">
        <is>
          <t>A 6579-2023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44960</v>
      </c>
      <c r="E116" s="1" t="n">
        <v>46305</v>
      </c>
      <c r="F116" t="inlineStr">
        <is>
          <t>DALARNAS LÄN</t>
        </is>
      </c>
      <c r="G116" t="inlineStr">
        <is>
          <t>LUDVIKA</t>
        </is>
      </c>
      <c r="I116" t="n">
        <v>3.4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HYPERLINK("https://klasma.github.io/Logging_2085/artfynd/A 6579-2023 artfynd.xlsx", "A 6579-2023")</f>
        <v/>
      </c>
      <c r="X116">
        <f>HYPERLINK("https://klasma.github.io/Logging_2085/kartor/A 6579-2023 karta.png", "A 6579-2023")</f>
        <v/>
      </c>
      <c r="Y116">
        <f>HYPERLINK("https://klasma.github.io/Logging_2085/kartor_geotiff/A 6579-2023 georefererad karta.tif", "A 6579-2023")</f>
        <v/>
      </c>
      <c r="AA116">
        <f>HYPERLINK("https://klasma.github.io/Logging_2085/klagomål/A 6579-2023 FSC-klagomål.docx", "A 6579-2023")</f>
        <v/>
      </c>
      <c r="AB116">
        <f>HYPERLINK("https://klasma.github.io/Logging_2085/klagomålsmail/A 6579-2023 FSC-klagomål mail.docx", "A 6579-2023")</f>
        <v/>
      </c>
      <c r="AC116">
        <f>HYPERLINK("https://klasma.github.io/Logging_2085/tillsyn/A 6579-2023 tillsynsbegäran.docx", "A 6579-2023")</f>
        <v/>
      </c>
      <c r="AD116">
        <f>HYPERLINK("https://klasma.github.io/Logging_2085/tillsynsmail/A 6579-2023 tillsynsbegäran mail.docx", "A 6579-2023")</f>
        <v/>
      </c>
    </row>
    <row r="117" ht="15" customHeight="1">
      <c r="A117" t="inlineStr">
        <is>
          <t>A 36050-2025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45866</v>
      </c>
      <c r="E117" s="1" t="n">
        <v>46305</v>
      </c>
      <c r="F117" t="inlineStr">
        <is>
          <t>DALARNAS LÄN</t>
        </is>
      </c>
      <c r="G117" t="inlineStr">
        <is>
          <t>LUDVIKA</t>
        </is>
      </c>
      <c r="I117" t="n">
        <v>1.4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HYPERLINK("https://klasma.github.io/Logging_2085/artfynd/A 36050-2025 artfynd.xlsx", "A 36050-2025")</f>
        <v/>
      </c>
      <c r="X117">
        <f>HYPERLINK("https://klasma.github.io/Logging_2085/kartor/A 36050-2025 karta.png", "A 36050-2025")</f>
        <v/>
      </c>
      <c r="Y117">
        <f>HYPERLINK("https://klasma.github.io/Logging_2085/kartor_geotiff/A 36050-2025 georefererad karta.tif", "A 36050-2025")</f>
        <v/>
      </c>
      <c r="AA117">
        <f>HYPERLINK("https://klasma.github.io/Logging_2085/klagomål/A 36050-2025 FSC-klagomål.docx", "A 36050-2025")</f>
        <v/>
      </c>
      <c r="AB117">
        <f>HYPERLINK("https://klasma.github.io/Logging_2085/klagomålsmail/A 36050-2025 FSC-klagomål mail.docx", "A 36050-2025")</f>
        <v/>
      </c>
      <c r="AC117">
        <f>HYPERLINK("https://klasma.github.io/Logging_2085/tillsyn/A 36050-2025 tillsynsbegäran.docx", "A 36050-2025")</f>
        <v/>
      </c>
      <c r="AD117">
        <f>HYPERLINK("https://klasma.github.io/Logging_2085/tillsynsmail/A 36050-2025 tillsynsbegäran mail.docx", "A 36050-2025")</f>
        <v/>
      </c>
      <c r="AE117">
        <f>HYPERLINK("https://klasma.github.io/Logging_2085/fåglar/A 36050-2025 prioriterade fågelarter.docx", "A 36050-2025")</f>
        <v/>
      </c>
    </row>
    <row r="118" ht="15" customHeight="1">
      <c r="A118" t="inlineStr">
        <is>
          <t>A 29733-2025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46305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10.4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Stuplav</t>
        </is>
      </c>
      <c r="W118">
        <f>HYPERLINK("https://klasma.github.io/Logging_2085/artfynd/A 29733-2025 artfynd.xlsx", "A 29733-2025")</f>
        <v/>
      </c>
      <c r="X118">
        <f>HYPERLINK("https://klasma.github.io/Logging_2085/kartor/A 29733-2025 karta.png", "A 29733-2025")</f>
        <v/>
      </c>
      <c r="Y118">
        <f>HYPERLINK("https://klasma.github.io/Logging_2085/kartor_geotiff/A 29733-2025 georefererad karta.tif", "A 29733-2025")</f>
        <v/>
      </c>
      <c r="AA118">
        <f>HYPERLINK("https://klasma.github.io/Logging_2085/klagomål/A 29733-2025 FSC-klagomål.docx", "A 29733-2025")</f>
        <v/>
      </c>
      <c r="AB118">
        <f>HYPERLINK("https://klasma.github.io/Logging_2085/klagomålsmail/A 29733-2025 FSC-klagomål mail.docx", "A 29733-2025")</f>
        <v/>
      </c>
      <c r="AC118">
        <f>HYPERLINK("https://klasma.github.io/Logging_2085/tillsyn/A 29733-2025 tillsynsbegäran.docx", "A 29733-2025")</f>
        <v/>
      </c>
      <c r="AD118">
        <f>HYPERLINK("https://klasma.github.io/Logging_2085/tillsynsmail/A 29733-2025 tillsynsbegäran mail.docx", "A 29733-2025")</f>
        <v/>
      </c>
    </row>
    <row r="119" ht="15" customHeight="1">
      <c r="A119" t="inlineStr">
        <is>
          <t>A 44578-2023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46305</v>
      </c>
      <c r="F119" t="inlineStr">
        <is>
          <t>DALARNAS LÄN</t>
        </is>
      </c>
      <c r="G119" t="inlineStr">
        <is>
          <t>LUDVIKA</t>
        </is>
      </c>
      <c r="H119" t="inlineStr">
        <is>
          <t>Övriga Aktiebolag</t>
        </is>
      </c>
      <c r="I119" t="n">
        <v>12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Dofttaggsvamp</t>
        </is>
      </c>
      <c r="W119">
        <f>HYPERLINK("https://klasma.github.io/Logging_2085/artfynd/A 44578-2023 artfynd.xlsx", "A 44578-2023")</f>
        <v/>
      </c>
      <c r="X119">
        <f>HYPERLINK("https://klasma.github.io/Logging_2085/kartor/A 44578-2023 karta.png", "A 44578-2023")</f>
        <v/>
      </c>
      <c r="Y119">
        <f>HYPERLINK("https://klasma.github.io/Logging_2085/kartor_geotiff/A 44578-2023 georefererad karta.tif", "A 44578-2023")</f>
        <v/>
      </c>
      <c r="AA119">
        <f>HYPERLINK("https://klasma.github.io/Logging_2085/klagomål/A 44578-2023 FSC-klagomål.docx", "A 44578-2023")</f>
        <v/>
      </c>
      <c r="AB119">
        <f>HYPERLINK("https://klasma.github.io/Logging_2085/klagomålsmail/A 44578-2023 FSC-klagomål mail.docx", "A 44578-2023")</f>
        <v/>
      </c>
      <c r="AC119">
        <f>HYPERLINK("https://klasma.github.io/Logging_2085/tillsyn/A 44578-2023 tillsynsbegäran.docx", "A 44578-2023")</f>
        <v/>
      </c>
      <c r="AD119">
        <f>HYPERLINK("https://klasma.github.io/Logging_2085/tillsynsmail/A 44578-2023 tillsynsbegäran mail.docx", "A 44578-2023")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46305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Gullgröppa</t>
        </is>
      </c>
      <c r="W120">
        <f>HYPERLINK("https://klasma.github.io/Logging_2085/artfynd/A 74401-2021 artfynd.xlsx", "A 74401-2021")</f>
        <v/>
      </c>
      <c r="X120">
        <f>HYPERLINK("https://klasma.github.io/Logging_2085/kartor/A 74401-2021 karta.png", "A 74401-2021")</f>
        <v/>
      </c>
      <c r="Y120">
        <f>HYPERLINK("https://klasma.github.io/Logging_2085/kartor_geotiff/A 74401-2021 georefererad karta.tif", "A 74401-2021")</f>
        <v/>
      </c>
      <c r="AA120">
        <f>HYPERLINK("https://klasma.github.io/Logging_2085/klagomål/A 74401-2021 FSC-klagomål.docx", "A 74401-2021")</f>
        <v/>
      </c>
      <c r="AB120">
        <f>HYPERLINK("https://klasma.github.io/Logging_2085/klagomålsmail/A 74401-2021 FSC-klagomål mail.docx", "A 74401-2021")</f>
        <v/>
      </c>
      <c r="AC120">
        <f>HYPERLINK("https://klasma.github.io/Logging_2085/tillsyn/A 74401-2021 tillsynsbegäran.docx", "A 74401-2021")</f>
        <v/>
      </c>
      <c r="AD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18189-2025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45761</v>
      </c>
      <c r="E121" s="1" t="n">
        <v>46305</v>
      </c>
      <c r="F121" t="inlineStr">
        <is>
          <t>DALARNAS LÄN</t>
        </is>
      </c>
      <c r="G121" t="inlineStr">
        <is>
          <t>LUDVIKA</t>
        </is>
      </c>
      <c r="I121" t="n">
        <v>0.9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HYPERLINK("https://klasma.github.io/Logging_2085/artfynd/A 18189-2025 artfynd.xlsx", "A 18189-2025")</f>
        <v/>
      </c>
      <c r="X121">
        <f>HYPERLINK("https://klasma.github.io/Logging_2085/kartor/A 18189-2025 karta.png", "A 18189-2025")</f>
        <v/>
      </c>
      <c r="Y121">
        <f>HYPERLINK("https://klasma.github.io/Logging_2085/kartor_geotiff/A 18189-2025 georefererad karta.tif", "A 18189-2025")</f>
        <v/>
      </c>
      <c r="AA121">
        <f>HYPERLINK("https://klasma.github.io/Logging_2085/klagomål/A 18189-2025 FSC-klagomål.docx", "A 18189-2025")</f>
        <v/>
      </c>
      <c r="AB121">
        <f>HYPERLINK("https://klasma.github.io/Logging_2085/klagomålsmail/A 18189-2025 FSC-klagomål mail.docx", "A 18189-2025")</f>
        <v/>
      </c>
      <c r="AC121">
        <f>HYPERLINK("https://klasma.github.io/Logging_2085/tillsyn/A 18189-2025 tillsynsbegäran.docx", "A 18189-2025")</f>
        <v/>
      </c>
      <c r="AD121">
        <f>HYPERLINK("https://klasma.github.io/Logging_2085/tillsynsmail/A 18189-2025 tillsynsbegäran mail.docx", "A 18189-2025")</f>
        <v/>
      </c>
    </row>
    <row r="122" ht="15" customHeight="1">
      <c r="A122" t="inlineStr">
        <is>
          <t>A 59873-2025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46305</v>
      </c>
      <c r="F122" t="inlineStr">
        <is>
          <t>DALARNAS LÄN</t>
        </is>
      </c>
      <c r="G122" t="inlineStr">
        <is>
          <t>LUDVIKA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Lateritticka</t>
        </is>
      </c>
      <c r="W122">
        <f>HYPERLINK("https://klasma.github.io/Logging_2085/artfynd/A 59873-2025 artfynd.xlsx", "A 59873-2025")</f>
        <v/>
      </c>
      <c r="X122">
        <f>HYPERLINK("https://klasma.github.io/Logging_2085/kartor/A 59873-2025 karta.png", "A 59873-2025")</f>
        <v/>
      </c>
      <c r="Y122">
        <f>HYPERLINK("https://klasma.github.io/Logging_2085/kartor_geotiff/A 59873-2025 georefererad karta.tif", "A 59873-2025")</f>
        <v/>
      </c>
      <c r="AA122">
        <f>HYPERLINK("https://klasma.github.io/Logging_2085/klagomål/A 59873-2025 FSC-klagomål.docx", "A 59873-2025")</f>
        <v/>
      </c>
      <c r="AB122">
        <f>HYPERLINK("https://klasma.github.io/Logging_2085/klagomålsmail/A 59873-2025 FSC-klagomål mail.docx", "A 59873-2025")</f>
        <v/>
      </c>
      <c r="AC122">
        <f>HYPERLINK("https://klasma.github.io/Logging_2085/tillsyn/A 59873-2025 tillsynsbegäran.docx", "A 59873-2025")</f>
        <v/>
      </c>
      <c r="AD122">
        <f>HYPERLINK("https://klasma.github.io/Logging_2085/tillsynsmail/A 59873-2025 tillsynsbegäran mail.docx", "A 59873-2025")</f>
        <v/>
      </c>
    </row>
    <row r="123" ht="15" customHeight="1">
      <c r="A123" t="inlineStr">
        <is>
          <t>A 62676-2025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46305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HYPERLINK("https://klasma.github.io/Logging_2085/artfynd/A 62676-2025 artfynd.xlsx", "A 62676-2025")</f>
        <v/>
      </c>
      <c r="X123">
        <f>HYPERLINK("https://klasma.github.io/Logging_2085/kartor/A 62676-2025 karta.png", "A 62676-2025")</f>
        <v/>
      </c>
      <c r="Y123">
        <f>HYPERLINK("https://klasma.github.io/Logging_2085/kartor_geotiff/A 62676-2025 georefererad karta.tif", "A 62676-2025")</f>
        <v/>
      </c>
      <c r="AA123">
        <f>HYPERLINK("https://klasma.github.io/Logging_2085/klagomål/A 62676-2025 FSC-klagomål.docx", "A 62676-2025")</f>
        <v/>
      </c>
      <c r="AB123">
        <f>HYPERLINK("https://klasma.github.io/Logging_2085/klagomålsmail/A 62676-2025 FSC-klagomål mail.docx", "A 62676-2025")</f>
        <v/>
      </c>
      <c r="AC123">
        <f>HYPERLINK("https://klasma.github.io/Logging_2085/tillsyn/A 62676-2025 tillsynsbegäran.docx", "A 62676-2025")</f>
        <v/>
      </c>
      <c r="AD123">
        <f>HYPERLINK("https://klasma.github.io/Logging_2085/tillsynsmail/A 62676-2025 tillsynsbegäran mail.docx", "A 62676-2025")</f>
        <v/>
      </c>
    </row>
    <row r="124" ht="15" customHeight="1">
      <c r="A124" t="inlineStr">
        <is>
          <t>A 59947-2025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46305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Tjäder</t>
        </is>
      </c>
      <c r="W124">
        <f>HYPERLINK("https://klasma.github.io/Logging_2085/artfynd/A 59947-2025 artfynd.xlsx", "A 59947-2025")</f>
        <v/>
      </c>
      <c r="X124">
        <f>HYPERLINK("https://klasma.github.io/Logging_2085/kartor/A 59947-2025 karta.png", "A 59947-2025")</f>
        <v/>
      </c>
      <c r="Y124">
        <f>HYPERLINK("https://klasma.github.io/Logging_2085/kartor_geotiff/A 59947-2025 georefererad karta.tif", "A 59947-2025")</f>
        <v/>
      </c>
      <c r="AA124">
        <f>HYPERLINK("https://klasma.github.io/Logging_2085/klagomål/A 59947-2025 FSC-klagomål.docx", "A 59947-2025")</f>
        <v/>
      </c>
      <c r="AB124">
        <f>HYPERLINK("https://klasma.github.io/Logging_2085/klagomålsmail/A 59947-2025 FSC-klagomål mail.docx", "A 59947-2025")</f>
        <v/>
      </c>
      <c r="AC124">
        <f>HYPERLINK("https://klasma.github.io/Logging_2085/tillsyn/A 59947-2025 tillsynsbegäran.docx", "A 59947-2025")</f>
        <v/>
      </c>
      <c r="AD124">
        <f>HYPERLINK("https://klasma.github.io/Logging_2085/tillsynsmail/A 59947-2025 tillsynsbegäran mail.docx", "A 59947-2025")</f>
        <v/>
      </c>
      <c r="AE124">
        <f>HYPERLINK("https://klasma.github.io/Logging_2085/fåglar/A 59947-2025 prioriterade fågelarter.docx", "A 59947-2025")</f>
        <v/>
      </c>
    </row>
    <row r="125" ht="15" customHeight="1">
      <c r="A125" t="inlineStr">
        <is>
          <t>A 23720-2026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46163</v>
      </c>
      <c r="E125" s="1" t="n">
        <v>46305</v>
      </c>
      <c r="F125" t="inlineStr">
        <is>
          <t>DALARNAS LÄN</t>
        </is>
      </c>
      <c r="G125" t="inlineStr">
        <is>
          <t>LUDVIKA</t>
        </is>
      </c>
      <c r="I125" t="n">
        <v>3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Tretåig hackspett</t>
        </is>
      </c>
      <c r="W125">
        <f>HYPERLINK("https://klasma.github.io/Logging_2085/artfynd/A 23720-2026 artfynd.xlsx", "A 23720-2026")</f>
        <v/>
      </c>
      <c r="X125">
        <f>HYPERLINK("https://klasma.github.io/Logging_2085/kartor/A 23720-2026 karta.png", "A 23720-2026")</f>
        <v/>
      </c>
      <c r="Y125">
        <f>HYPERLINK("https://klasma.github.io/Logging_2085/kartor_geotiff/A 23720-2026 georefererad karta.tif", "A 23720-2026")</f>
        <v/>
      </c>
      <c r="AA125">
        <f>HYPERLINK("https://klasma.github.io/Logging_2085/klagomål/A 23720-2026 FSC-klagomål.docx", "A 23720-2026")</f>
        <v/>
      </c>
      <c r="AB125">
        <f>HYPERLINK("https://klasma.github.io/Logging_2085/klagomålsmail/A 23720-2026 FSC-klagomål mail.docx", "A 23720-2026")</f>
        <v/>
      </c>
      <c r="AC125">
        <f>HYPERLINK("https://klasma.github.io/Logging_2085/tillsyn/A 23720-2026 tillsynsbegäran.docx", "A 23720-2026")</f>
        <v/>
      </c>
      <c r="AD125">
        <f>HYPERLINK("https://klasma.github.io/Logging_2085/tillsynsmail/A 23720-2026 tillsynsbegäran mail.docx", "A 23720-2026")</f>
        <v/>
      </c>
      <c r="AE125">
        <f>HYPERLINK("https://klasma.github.io/Logging_2085/fåglar/A 23720-2026 prioriterade fågelarter.docx", "A 23720-2026")</f>
        <v/>
      </c>
    </row>
    <row r="126" ht="15" customHeight="1">
      <c r="A126" t="inlineStr">
        <is>
          <t>A 23778-2026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46164</v>
      </c>
      <c r="E126" s="1" t="n">
        <v>46305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23778-2026 artfynd.xlsx", "A 23778-2026")</f>
        <v/>
      </c>
      <c r="X126">
        <f>HYPERLINK("https://klasma.github.io/Logging_2085/kartor/A 23778-2026 karta.png", "A 23778-2026")</f>
        <v/>
      </c>
      <c r="Y126">
        <f>HYPERLINK("https://klasma.github.io/Logging_2085/kartor_geotiff/A 23778-2026 georefererad karta.tif", "A 23778-2026")</f>
        <v/>
      </c>
      <c r="AA126">
        <f>HYPERLINK("https://klasma.github.io/Logging_2085/klagomål/A 23778-2026 FSC-klagomål.docx", "A 23778-2026")</f>
        <v/>
      </c>
      <c r="AB126">
        <f>HYPERLINK("https://klasma.github.io/Logging_2085/klagomålsmail/A 23778-2026 FSC-klagomål mail.docx", "A 23778-2026")</f>
        <v/>
      </c>
      <c r="AC126">
        <f>HYPERLINK("https://klasma.github.io/Logging_2085/tillsyn/A 23778-2026 tillsynsbegäran.docx", "A 23778-2026")</f>
        <v/>
      </c>
      <c r="AD126">
        <f>HYPERLINK("https://klasma.github.io/Logging_2085/tillsynsmail/A 23778-2026 tillsynsbegäran mail.docx", "A 23778-2026")</f>
        <v/>
      </c>
      <c r="AE126">
        <f>HYPERLINK("https://klasma.github.io/Logging_2085/fåglar/A 23778-2026 prioriterade fågelarter.docx", "A 23778-2026")</f>
        <v/>
      </c>
    </row>
    <row r="127" ht="15" customHeight="1">
      <c r="A127" t="inlineStr">
        <is>
          <t>A 63005-2025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46009</v>
      </c>
      <c r="E127" s="1" t="n">
        <v>46305</v>
      </c>
      <c r="F127" t="inlineStr">
        <is>
          <t>DALARNAS LÄN</t>
        </is>
      </c>
      <c r="G127" t="inlineStr">
        <is>
          <t>LUDVIKA</t>
        </is>
      </c>
      <c r="I127" t="n">
        <v>4.4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63005-2025 artfynd.xlsx", "A 63005-2025")</f>
        <v/>
      </c>
      <c r="X127">
        <f>HYPERLINK("https://klasma.github.io/Logging_2085/kartor/A 63005-2025 karta.png", "A 63005-2025")</f>
        <v/>
      </c>
      <c r="Y127">
        <f>HYPERLINK("https://klasma.github.io/Logging_2085/kartor_geotiff/A 63005-2025 georefererad karta.tif", "A 63005-2025")</f>
        <v/>
      </c>
      <c r="AA127">
        <f>HYPERLINK("https://klasma.github.io/Logging_2085/klagomål/A 63005-2025 FSC-klagomål.docx", "A 63005-2025")</f>
        <v/>
      </c>
      <c r="AB127">
        <f>HYPERLINK("https://klasma.github.io/Logging_2085/klagomålsmail/A 63005-2025 FSC-klagomål mail.docx", "A 63005-2025")</f>
        <v/>
      </c>
      <c r="AC127">
        <f>HYPERLINK("https://klasma.github.io/Logging_2085/tillsyn/A 63005-2025 tillsynsbegäran.docx", "A 63005-2025")</f>
        <v/>
      </c>
      <c r="AD127">
        <f>HYPERLINK("https://klasma.github.io/Logging_2085/tillsynsmail/A 63005-2025 tillsynsbegäran mail.docx", "A 63005-2025")</f>
        <v/>
      </c>
      <c r="AE127">
        <f>HYPERLINK("https://klasma.github.io/Logging_2085/fåglar/A 63005-2025 prioriterade fågelarter.docx", "A 63005-2025")</f>
        <v/>
      </c>
    </row>
    <row r="128" ht="15" customHeight="1">
      <c r="A128" t="inlineStr">
        <is>
          <t>A 25159-2026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46175</v>
      </c>
      <c r="E128" s="1" t="n">
        <v>46305</v>
      </c>
      <c r="F128" t="inlineStr">
        <is>
          <t>DALARNAS LÄN</t>
        </is>
      </c>
      <c r="G128" t="inlineStr">
        <is>
          <t>LUDVIKA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HYPERLINK("https://klasma.github.io/Logging_2085/artfynd/A 25159-2026 artfynd.xlsx", "A 25159-2026")</f>
        <v/>
      </c>
      <c r="X128">
        <f>HYPERLINK("https://klasma.github.io/Logging_2085/kartor/A 25159-2026 karta.png", "A 25159-2026")</f>
        <v/>
      </c>
      <c r="Y128">
        <f>HYPERLINK("https://klasma.github.io/Logging_2085/kartor_geotiff/A 25159-2026 georefererad karta.tif", "A 25159-2026")</f>
        <v/>
      </c>
      <c r="AA128">
        <f>HYPERLINK("https://klasma.github.io/Logging_2085/klagomål/A 25159-2026 FSC-klagomål.docx", "A 25159-2026")</f>
        <v/>
      </c>
      <c r="AB128">
        <f>HYPERLINK("https://klasma.github.io/Logging_2085/klagomålsmail/A 25159-2026 FSC-klagomål mail.docx", "A 25159-2026")</f>
        <v/>
      </c>
      <c r="AC128">
        <f>HYPERLINK("https://klasma.github.io/Logging_2085/tillsyn/A 25159-2026 tillsynsbegäran.docx", "A 25159-2026")</f>
        <v/>
      </c>
      <c r="AD128">
        <f>HYPERLINK("https://klasma.github.io/Logging_2085/tillsynsmail/A 25159-2026 tillsynsbegäran mail.docx", "A 25159-2026")</f>
        <v/>
      </c>
    </row>
    <row r="129" ht="15" customHeight="1">
      <c r="A129" t="inlineStr">
        <is>
          <t>A 56655-2025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46305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8.5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56655-2025 artfynd.xlsx", "A 56655-2025")</f>
        <v/>
      </c>
      <c r="X129">
        <f>HYPERLINK("https://klasma.github.io/Logging_2085/kartor/A 56655-2025 karta.png", "A 56655-2025")</f>
        <v/>
      </c>
      <c r="Y129">
        <f>HYPERLINK("https://klasma.github.io/Logging_2085/kartor_geotiff/A 56655-2025 georefererad karta.tif", "A 56655-2025")</f>
        <v/>
      </c>
      <c r="AA129">
        <f>HYPERLINK("https://klasma.github.io/Logging_2085/klagomål/A 56655-2025 FSC-klagomål.docx", "A 56655-2025")</f>
        <v/>
      </c>
      <c r="AB129">
        <f>HYPERLINK("https://klasma.github.io/Logging_2085/klagomålsmail/A 56655-2025 FSC-klagomål mail.docx", "A 56655-2025")</f>
        <v/>
      </c>
      <c r="AC129">
        <f>HYPERLINK("https://klasma.github.io/Logging_2085/tillsyn/A 56655-2025 tillsynsbegäran.docx", "A 56655-2025")</f>
        <v/>
      </c>
      <c r="AD129">
        <f>HYPERLINK("https://klasma.github.io/Logging_2085/tillsynsmail/A 56655-2025 tillsynsbegäran mail.docx", "A 56655-2025")</f>
        <v/>
      </c>
      <c r="AE129">
        <f>HYPERLINK("https://klasma.github.io/Logging_2085/fåglar/A 56655-2025 prioriterade fågelarter.docx", "A 56655-2025")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46305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46305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46305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A 37560-2026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46276</v>
      </c>
      <c r="E133" s="1" t="n">
        <v>46305</v>
      </c>
      <c r="F133" t="inlineStr">
        <is>
          <t>DALARNAS LÄN</t>
        </is>
      </c>
      <c r="G133" t="inlineStr">
        <is>
          <t>LUDVIKA</t>
        </is>
      </c>
      <c r="H133" t="inlineStr">
        <is>
          <t>Naturvårdsverket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HYPERLINK("https://klasma.github.io/Logging_2085/artfynd/A 37560-2026 artfynd.xlsx", "A 37560-2026")</f>
        <v/>
      </c>
      <c r="X133">
        <f>HYPERLINK("https://klasma.github.io/Logging_2085/kartor/A 37560-2026 karta.png", "A 37560-2026")</f>
        <v/>
      </c>
      <c r="Y133">
        <f>HYPERLINK("https://klasma.github.io/Logging_2085/kartor_geotiff/A 37560-2026 georefererad karta.tif", "A 37560-2026")</f>
        <v/>
      </c>
      <c r="AA133">
        <f>HYPERLINK("https://klasma.github.io/Logging_2085/klagomål/A 37560-2026 FSC-klagomål.docx", "A 37560-2026")</f>
        <v/>
      </c>
      <c r="AB133">
        <f>HYPERLINK("https://klasma.github.io/Logging_2085/klagomålsmail/A 37560-2026 FSC-klagomål mail.docx", "A 37560-2026")</f>
        <v/>
      </c>
      <c r="AC133">
        <f>HYPERLINK("https://klasma.github.io/Logging_2085/tillsyn/A 37560-2026 tillsynsbegäran.docx", "A 37560-2026")</f>
        <v/>
      </c>
      <c r="AD133">
        <f>HYPERLINK("https://klasma.github.io/Logging_2085/tillsynsmail/A 37560-2026 tillsynsbegäran mail.docx", "A 37560-2026")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46305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A 35652-2026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46305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HYPERLINK("https://klasma.github.io/Logging_2085/artfynd/A 35652-2026 artfynd.xlsx", "A 35652-2026")</f>
        <v/>
      </c>
      <c r="X135">
        <f>HYPERLINK("https://klasma.github.io/Logging_2085/kartor/A 35652-2026 karta.png", "A 35652-2026")</f>
        <v/>
      </c>
      <c r="Y135">
        <f>HYPERLINK("https://klasma.github.io/Logging_2085/kartor_geotiff/A 35652-2026 georefererad karta.tif", "A 35652-2026")</f>
        <v/>
      </c>
      <c r="AA135">
        <f>HYPERLINK("https://klasma.github.io/Logging_2085/klagomål/A 35652-2026 FSC-klagomål.docx", "A 35652-2026")</f>
        <v/>
      </c>
      <c r="AB135">
        <f>HYPERLINK("https://klasma.github.io/Logging_2085/klagomålsmail/A 35652-2026 FSC-klagomål mail.docx", "A 35652-2026")</f>
        <v/>
      </c>
      <c r="AC135">
        <f>HYPERLINK("https://klasma.github.io/Logging_2085/tillsyn/A 35652-2026 tillsynsbegäran.docx", "A 35652-2026")</f>
        <v/>
      </c>
      <c r="AD135">
        <f>HYPERLINK("https://klasma.github.io/Logging_2085/tillsynsmail/A 35652-2026 tillsynsbegäran mail.docx", "A 35652-2026")</f>
        <v/>
      </c>
    </row>
    <row r="136" ht="15" customHeight="1">
      <c r="A136" t="inlineStr">
        <is>
          <t>A 36478-2026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46305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Skogsalm</t>
        </is>
      </c>
      <c r="W136">
        <f>HYPERLINK("https://klasma.github.io/Logging_2085/artfynd/A 36478-2026 artfynd.xlsx", "A 36478-2026")</f>
        <v/>
      </c>
      <c r="X136">
        <f>HYPERLINK("https://klasma.github.io/Logging_2085/kartor/A 36478-2026 karta.png", "A 36478-2026")</f>
        <v/>
      </c>
      <c r="Y136">
        <f>HYPERLINK("https://klasma.github.io/Logging_2085/kartor_geotiff/A 36478-2026 georefererad karta.tif", "A 36478-2026")</f>
        <v/>
      </c>
      <c r="AA136">
        <f>HYPERLINK("https://klasma.github.io/Logging_2085/klagomål/A 36478-2026 FSC-klagomål.docx", "A 36478-2026")</f>
        <v/>
      </c>
      <c r="AB136">
        <f>HYPERLINK("https://klasma.github.io/Logging_2085/klagomålsmail/A 36478-2026 FSC-klagomål mail.docx", "A 36478-2026")</f>
        <v/>
      </c>
      <c r="AC136">
        <f>HYPERLINK("https://klasma.github.io/Logging_2085/tillsyn/A 36478-2026 tillsynsbegäran.docx", "A 36478-2026")</f>
        <v/>
      </c>
      <c r="AD136">
        <f>HYPERLINK("https://klasma.github.io/Logging_2085/tillsynsmail/A 36478-2026 tillsynsbegäran mail.docx", "A 36478-2026")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46305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46305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46305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46305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46305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74427-2021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44560</v>
      </c>
      <c r="E142" s="1" t="n">
        <v>46305</v>
      </c>
      <c r="F142" t="inlineStr">
        <is>
          <t>DALARNAS LÄN</t>
        </is>
      </c>
      <c r="G142" t="inlineStr">
        <is>
          <t>LUDVIKA</t>
        </is>
      </c>
      <c r="H142" t="inlineStr">
        <is>
          <t>Kommuner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44658</v>
      </c>
      <c r="E143" s="1" t="n">
        <v>46305</v>
      </c>
      <c r="F143" t="inlineStr">
        <is>
          <t>DALARNAS LÄN</t>
        </is>
      </c>
      <c r="G143" t="inlineStr">
        <is>
          <t>LUDVIKA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44827</v>
      </c>
      <c r="E144" s="1" t="n">
        <v>46305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46305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44590</v>
      </c>
      <c r="E146" s="1" t="n">
        <v>46305</v>
      </c>
      <c r="F146" t="inlineStr">
        <is>
          <t>DALARNAS LÄN</t>
        </is>
      </c>
      <c r="G146" t="inlineStr">
        <is>
          <t>LUDVIKA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46305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57076-2021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44482</v>
      </c>
      <c r="E148" s="1" t="n">
        <v>46305</v>
      </c>
      <c r="F148" t="inlineStr">
        <is>
          <t>DALARNAS LÄN</t>
        </is>
      </c>
      <c r="G148" t="inlineStr">
        <is>
          <t>LUDVIKA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46305</v>
      </c>
      <c r="F149" t="inlineStr">
        <is>
          <t>DALARNAS LÄN</t>
        </is>
      </c>
      <c r="G149" t="inlineStr">
        <is>
          <t>LUDVIKA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46305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46305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44482</v>
      </c>
      <c r="E152" s="1" t="n">
        <v>46305</v>
      </c>
      <c r="F152" t="inlineStr">
        <is>
          <t>DALARNAS LÄN</t>
        </is>
      </c>
      <c r="G152" t="inlineStr">
        <is>
          <t>LUDVIKA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63267-2021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44508</v>
      </c>
      <c r="E153" s="1" t="n">
        <v>46305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46305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44872</v>
      </c>
      <c r="E155" s="1" t="n">
        <v>46305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44730</v>
      </c>
      <c r="E156" s="1" t="n">
        <v>46305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46305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46305</v>
      </c>
      <c r="F158" t="inlineStr">
        <is>
          <t>DALARNAS LÄN</t>
        </is>
      </c>
      <c r="G158" t="inlineStr">
        <is>
          <t>LUDVIKA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45056</v>
      </c>
      <c r="E159" s="1" t="n">
        <v>46305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11436-2024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45372</v>
      </c>
      <c r="E160" s="1" t="n">
        <v>46305</v>
      </c>
      <c r="F160" t="inlineStr">
        <is>
          <t>DALARNAS LÄN</t>
        </is>
      </c>
      <c r="G160" t="inlineStr">
        <is>
          <t>LUDVIKA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39400-2023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45166</v>
      </c>
      <c r="E161" s="1" t="n">
        <v>46305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46305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39761-2022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44819</v>
      </c>
      <c r="E163" s="1" t="n">
        <v>46305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44942</v>
      </c>
      <c r="E164" s="1" t="n">
        <v>46305</v>
      </c>
      <c r="F164" t="inlineStr">
        <is>
          <t>DALARNAS LÄN</t>
        </is>
      </c>
      <c r="G164" t="inlineStr">
        <is>
          <t>LUDVIKA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46305</v>
      </c>
      <c r="F165" t="inlineStr">
        <is>
          <t>DALARNAS LÄN</t>
        </is>
      </c>
      <c r="G165" t="inlineStr">
        <is>
          <t>LUDVIKA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46305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44730</v>
      </c>
      <c r="E167" s="1" t="n">
        <v>46305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46305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46305</v>
      </c>
      <c r="F169" t="inlineStr">
        <is>
          <t>DALARNAS LÄN</t>
        </is>
      </c>
      <c r="G169" t="inlineStr">
        <is>
          <t>LUDVIKA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46305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44967</v>
      </c>
      <c r="E171" s="1" t="n">
        <v>46305</v>
      </c>
      <c r="F171" t="inlineStr">
        <is>
          <t>DALARNAS LÄN</t>
        </is>
      </c>
      <c r="G171" t="inlineStr">
        <is>
          <t>LUDVIKA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46305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40125-2024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45554</v>
      </c>
      <c r="E173" s="1" t="n">
        <v>46305</v>
      </c>
      <c r="F173" t="inlineStr">
        <is>
          <t>DALARNAS LÄN</t>
        </is>
      </c>
      <c r="G173" t="inlineStr">
        <is>
          <t>LUDVIKA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46305</v>
      </c>
      <c r="F174" t="inlineStr">
        <is>
          <t>DALARNAS LÄN</t>
        </is>
      </c>
      <c r="G174" t="inlineStr">
        <is>
          <t>LUDVIKA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28157-2023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46305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33839-2024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45520</v>
      </c>
      <c r="E176" s="1" t="n">
        <v>46305</v>
      </c>
      <c r="F176" t="inlineStr">
        <is>
          <t>DALARNAS LÄN</t>
        </is>
      </c>
      <c r="G176" t="inlineStr">
        <is>
          <t>LUDVIKA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46305</v>
      </c>
      <c r="F177" t="inlineStr">
        <is>
          <t>DALARNAS LÄN</t>
        </is>
      </c>
      <c r="G177" t="inlineStr">
        <is>
          <t>LUDVIKA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46305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46305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45481</v>
      </c>
      <c r="E180" s="1" t="n">
        <v>46305</v>
      </c>
      <c r="F180" t="inlineStr">
        <is>
          <t>DALARNAS LÄN</t>
        </is>
      </c>
      <c r="G180" t="inlineStr">
        <is>
          <t>LUDVIKA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46305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45297</v>
      </c>
      <c r="E182" s="1" t="n">
        <v>46305</v>
      </c>
      <c r="F182" t="inlineStr">
        <is>
          <t>DALARNAS LÄN</t>
        </is>
      </c>
      <c r="G182" t="inlineStr">
        <is>
          <t>LUDVIKA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45218</v>
      </c>
      <c r="E183" s="1" t="n">
        <v>46305</v>
      </c>
      <c r="F183" t="inlineStr">
        <is>
          <t>DALARNAS LÄN</t>
        </is>
      </c>
      <c r="G183" t="inlineStr">
        <is>
          <t>LUDVIKA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46305</v>
      </c>
      <c r="F184" t="inlineStr">
        <is>
          <t>DALARNAS LÄN</t>
        </is>
      </c>
      <c r="G184" t="inlineStr">
        <is>
          <t>LUDVIKA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46305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60660-2024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45644</v>
      </c>
      <c r="E186" s="1" t="n">
        <v>46305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44826</v>
      </c>
      <c r="E187" s="1" t="n">
        <v>46305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47496-2022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44853</v>
      </c>
      <c r="E188" s="1" t="n">
        <v>46305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31702-2023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45105</v>
      </c>
      <c r="E189" s="1" t="n">
        <v>46305</v>
      </c>
      <c r="F189" t="inlineStr">
        <is>
          <t>DALARNAS LÄN</t>
        </is>
      </c>
      <c r="G189" t="inlineStr">
        <is>
          <t>LUDVIKA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46305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45611</v>
      </c>
      <c r="E191" s="1" t="n">
        <v>46305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34845-2024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45526</v>
      </c>
      <c r="E192" s="1" t="n">
        <v>46305</v>
      </c>
      <c r="F192" t="inlineStr">
        <is>
          <t>DALARNAS LÄN</t>
        </is>
      </c>
      <c r="G192" t="inlineStr">
        <is>
          <t>LUDVIKA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46305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46305</v>
      </c>
      <c r="F194" t="inlineStr">
        <is>
          <t>DALARNAS LÄN</t>
        </is>
      </c>
      <c r="G194" t="inlineStr">
        <is>
          <t>LUDVIKA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48715-2022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46305</v>
      </c>
      <c r="F195" t="inlineStr">
        <is>
          <t>DALARNAS LÄN</t>
        </is>
      </c>
      <c r="G195" t="inlineStr">
        <is>
          <t>LUDVIKA</t>
        </is>
      </c>
      <c r="H195" t="inlineStr">
        <is>
          <t>Naturvårdsverket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46305</v>
      </c>
      <c r="F196" t="inlineStr">
        <is>
          <t>DALARNAS LÄN</t>
        </is>
      </c>
      <c r="G196" t="inlineStr">
        <is>
          <t>LUDVIKA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65104-2023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46305</v>
      </c>
      <c r="F197" t="inlineStr">
        <is>
          <t>DALARNAS LÄN</t>
        </is>
      </c>
      <c r="G197" t="inlineStr">
        <is>
          <t>LUDVIKA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46305</v>
      </c>
      <c r="F198" t="inlineStr">
        <is>
          <t>DALARNAS LÄN</t>
        </is>
      </c>
      <c r="G198" t="inlineStr">
        <is>
          <t>LUDVIKA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49951-2022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46305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3470-2025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45680</v>
      </c>
      <c r="E200" s="1" t="n">
        <v>46305</v>
      </c>
      <c r="F200" t="inlineStr">
        <is>
          <t>DALARNAS LÄN</t>
        </is>
      </c>
      <c r="G200" t="inlineStr">
        <is>
          <t>LUDVIKA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44883</v>
      </c>
      <c r="E201" s="1" t="n">
        <v>46305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44852</v>
      </c>
      <c r="E202" s="1" t="n">
        <v>46305</v>
      </c>
      <c r="F202" t="inlineStr">
        <is>
          <t>DALARNAS LÄN</t>
        </is>
      </c>
      <c r="G202" t="inlineStr">
        <is>
          <t>LUDVIKA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46305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46305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46305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46305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45579</v>
      </c>
      <c r="E207" s="1" t="n">
        <v>46305</v>
      </c>
      <c r="F207" t="inlineStr">
        <is>
          <t>DALARNAS LÄN</t>
        </is>
      </c>
      <c r="G207" t="inlineStr">
        <is>
          <t>LUDVIKA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45579</v>
      </c>
      <c r="E208" s="1" t="n">
        <v>46305</v>
      </c>
      <c r="F208" t="inlineStr">
        <is>
          <t>DALARNAS LÄN</t>
        </is>
      </c>
      <c r="G208" t="inlineStr">
        <is>
          <t>LUDVIKA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46305</v>
      </c>
      <c r="F209" t="inlineStr">
        <is>
          <t>DALARNAS LÄN</t>
        </is>
      </c>
      <c r="G209" t="inlineStr">
        <is>
          <t>LUDVIKA</t>
        </is>
      </c>
      <c r="H209" t="inlineStr">
        <is>
          <t>Övriga Aktiebolag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56996-2021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46305</v>
      </c>
      <c r="F210" t="inlineStr">
        <is>
          <t>DALARNAS LÄN</t>
        </is>
      </c>
      <c r="G210" t="inlineStr">
        <is>
          <t>LUDVIKA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46305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46305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45621</v>
      </c>
      <c r="E213" s="1" t="n">
        <v>46305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45502</v>
      </c>
      <c r="E214" s="1" t="n">
        <v>46305</v>
      </c>
      <c r="F214" t="inlineStr">
        <is>
          <t>DALARNAS LÄN</t>
        </is>
      </c>
      <c r="G214" t="inlineStr">
        <is>
          <t>LUDVIKA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46305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3277-2024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45317</v>
      </c>
      <c r="E216" s="1" t="n">
        <v>46305</v>
      </c>
      <c r="F216" t="inlineStr">
        <is>
          <t>DALARNAS LÄN</t>
        </is>
      </c>
      <c r="G216" t="inlineStr">
        <is>
          <t>LUDVIKA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46305</v>
      </c>
      <c r="F217" t="inlineStr">
        <is>
          <t>DALARNAS LÄN</t>
        </is>
      </c>
      <c r="G217" t="inlineStr">
        <is>
          <t>LUDVIKA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46305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46305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46305</v>
      </c>
      <c r="F220" t="inlineStr">
        <is>
          <t>DALARNAS LÄN</t>
        </is>
      </c>
      <c r="G220" t="inlineStr">
        <is>
          <t>LUDVIKA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45361-2022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44844</v>
      </c>
      <c r="E221" s="1" t="n">
        <v>46305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12497-2024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45379</v>
      </c>
      <c r="E222" s="1" t="n">
        <v>46305</v>
      </c>
      <c r="F222" t="inlineStr">
        <is>
          <t>DALARNAS LÄN</t>
        </is>
      </c>
      <c r="G222" t="inlineStr">
        <is>
          <t>LUDVIKA</t>
        </is>
      </c>
      <c r="H222" t="inlineStr">
        <is>
          <t>Naturvårdsverket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46305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46305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46305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8703-2023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46305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46305</v>
      </c>
      <c r="F227" t="inlineStr">
        <is>
          <t>DALARNAS LÄN</t>
        </is>
      </c>
      <c r="G227" t="inlineStr">
        <is>
          <t>LUDVIKA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46305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44994</v>
      </c>
      <c r="E229" s="1" t="n">
        <v>46305</v>
      </c>
      <c r="F229" t="inlineStr">
        <is>
          <t>DALARNAS LÄN</t>
        </is>
      </c>
      <c r="G229" t="inlineStr">
        <is>
          <t>LUDVIKA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61384-2024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46305</v>
      </c>
      <c r="F230" t="inlineStr">
        <is>
          <t>DALARNAS LÄN</t>
        </is>
      </c>
      <c r="G230" t="inlineStr">
        <is>
          <t>LUDVIKA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3280-2024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45317</v>
      </c>
      <c r="E231" s="1" t="n">
        <v>46305</v>
      </c>
      <c r="F231" t="inlineStr">
        <is>
          <t>DALARNAS LÄN</t>
        </is>
      </c>
      <c r="G231" t="inlineStr">
        <is>
          <t>LUDVIKA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65195-2021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46305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46305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46305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42005-2025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46305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42254-2024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45562</v>
      </c>
      <c r="E236" s="1" t="n">
        <v>46305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45258</v>
      </c>
      <c r="E237" s="1" t="n">
        <v>46305</v>
      </c>
      <c r="F237" t="inlineStr">
        <is>
          <t>DALARNAS LÄN</t>
        </is>
      </c>
      <c r="G237" t="inlineStr">
        <is>
          <t>LUDVIKA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36338-2025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45868</v>
      </c>
      <c r="E238" s="1" t="n">
        <v>46305</v>
      </c>
      <c r="F238" t="inlineStr">
        <is>
          <t>DALARNAS LÄN</t>
        </is>
      </c>
      <c r="G238" t="inlineStr">
        <is>
          <t>LUDVIKA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46305</v>
      </c>
      <c r="F239" t="inlineStr">
        <is>
          <t>DALARNAS LÄN</t>
        </is>
      </c>
      <c r="G239" t="inlineStr">
        <is>
          <t>LUDVIKA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46305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46305</v>
      </c>
      <c r="F241" t="inlineStr">
        <is>
          <t>DALARNAS LÄN</t>
        </is>
      </c>
      <c r="G241" t="inlineStr">
        <is>
          <t>LUDVIKA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46305</v>
      </c>
      <c r="F242" t="inlineStr">
        <is>
          <t>DALARNAS LÄN</t>
        </is>
      </c>
      <c r="G242" t="inlineStr">
        <is>
          <t>LUDVIKA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46305</v>
      </c>
      <c r="F243" t="inlineStr">
        <is>
          <t>DALARNAS LÄN</t>
        </is>
      </c>
      <c r="G243" t="inlineStr">
        <is>
          <t>LUDVIKA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46305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46305</v>
      </c>
      <c r="F245" t="inlineStr">
        <is>
          <t>DALARNAS LÄN</t>
        </is>
      </c>
      <c r="G245" t="inlineStr">
        <is>
          <t>LUDVIKA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46305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46305</v>
      </c>
      <c r="F247" t="inlineStr">
        <is>
          <t>DALARNAS LÄN</t>
        </is>
      </c>
      <c r="G247" t="inlineStr">
        <is>
          <t>LUDVIKA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46305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43449-2025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46305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70046-2021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44533</v>
      </c>
      <c r="E250" s="1" t="n">
        <v>46305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46305</v>
      </c>
      <c r="F251" t="inlineStr">
        <is>
          <t>DALARNAS LÄN</t>
        </is>
      </c>
      <c r="G251" t="inlineStr">
        <is>
          <t>LUDVIKA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46305</v>
      </c>
      <c r="F252" t="inlineStr">
        <is>
          <t>DALARNAS LÄN</t>
        </is>
      </c>
      <c r="G252" t="inlineStr">
        <is>
          <t>LUDVIKA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21891-2025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45784</v>
      </c>
      <c r="E253" s="1" t="n">
        <v>46305</v>
      </c>
      <c r="F253" t="inlineStr">
        <is>
          <t>DALARNAS LÄN</t>
        </is>
      </c>
      <c r="G253" t="inlineStr">
        <is>
          <t>LUDVIKA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45784</v>
      </c>
      <c r="E254" s="1" t="n">
        <v>46305</v>
      </c>
      <c r="F254" t="inlineStr">
        <is>
          <t>DALARNAS LÄN</t>
        </is>
      </c>
      <c r="G254" t="inlineStr">
        <is>
          <t>LUDVIKA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45545</v>
      </c>
      <c r="E255" s="1" t="n">
        <v>46305</v>
      </c>
      <c r="F255" t="inlineStr">
        <is>
          <t>DALARNAS LÄN</t>
        </is>
      </c>
      <c r="G255" t="inlineStr">
        <is>
          <t>LUDVIKA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56680-2022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46305</v>
      </c>
      <c r="F256" t="inlineStr">
        <is>
          <t>DALARNAS LÄN</t>
        </is>
      </c>
      <c r="G256" t="inlineStr">
        <is>
          <t>LUDVIKA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46305</v>
      </c>
      <c r="F257" t="inlineStr">
        <is>
          <t>DALARNAS LÄN</t>
        </is>
      </c>
      <c r="G257" t="inlineStr">
        <is>
          <t>LUDVIKA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45565</v>
      </c>
      <c r="E258" s="1" t="n">
        <v>46305</v>
      </c>
      <c r="F258" t="inlineStr">
        <is>
          <t>DALARNAS LÄN</t>
        </is>
      </c>
      <c r="G258" t="inlineStr">
        <is>
          <t>LUDVIKA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45460</v>
      </c>
      <c r="E259" s="1" t="n">
        <v>46305</v>
      </c>
      <c r="F259" t="inlineStr">
        <is>
          <t>DALARNAS LÄN</t>
        </is>
      </c>
      <c r="G259" t="inlineStr">
        <is>
          <t>LUDVIKA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45230</v>
      </c>
      <c r="E260" s="1" t="n">
        <v>46305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46305</v>
      </c>
      <c r="F261" t="inlineStr">
        <is>
          <t>DALARNAS LÄN</t>
        </is>
      </c>
      <c r="G261" t="inlineStr">
        <is>
          <t>LUDVIKA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45572</v>
      </c>
      <c r="E262" s="1" t="n">
        <v>46305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46305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45488</v>
      </c>
      <c r="E264" s="1" t="n">
        <v>46305</v>
      </c>
      <c r="F264" t="inlineStr">
        <is>
          <t>DALARNAS LÄN</t>
        </is>
      </c>
      <c r="G264" t="inlineStr">
        <is>
          <t>LUDVIKA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45609</v>
      </c>
      <c r="E265" s="1" t="n">
        <v>46305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46305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46305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45134</v>
      </c>
      <c r="E268" s="1" t="n">
        <v>46305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45789</v>
      </c>
      <c r="E269" s="1" t="n">
        <v>46305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46305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50240-2024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46305</v>
      </c>
      <c r="F271" t="inlineStr">
        <is>
          <t>DALARNAS LÄN</t>
        </is>
      </c>
      <c r="G271" t="inlineStr">
        <is>
          <t>LUDVIKA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36066-2024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45533</v>
      </c>
      <c r="E272" s="1" t="n">
        <v>46305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45569</v>
      </c>
      <c r="E273" s="1" t="n">
        <v>46305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43762-2025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45912</v>
      </c>
      <c r="E274" s="1" t="n">
        <v>46305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46305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46305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46305</v>
      </c>
      <c r="F277" t="inlineStr">
        <is>
          <t>DALARNAS LÄN</t>
        </is>
      </c>
      <c r="G277" t="inlineStr">
        <is>
          <t>LUDVIKA</t>
        </is>
      </c>
      <c r="H277" t="inlineStr">
        <is>
          <t>Kommuner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46024-2025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46305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46305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46305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46305</v>
      </c>
      <c r="F281" t="inlineStr">
        <is>
          <t>DALARNAS LÄN</t>
        </is>
      </c>
      <c r="G281" t="inlineStr">
        <is>
          <t>LUDVIKA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45789</v>
      </c>
      <c r="E282" s="1" t="n">
        <v>46305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46305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47233-2024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46305</v>
      </c>
      <c r="F284" t="inlineStr">
        <is>
          <t>DALARNAS LÄN</t>
        </is>
      </c>
      <c r="G284" t="inlineStr">
        <is>
          <t>LUDVIKA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46107-2024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45581</v>
      </c>
      <c r="E285" s="1" t="n">
        <v>46305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45940-2025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46305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46305</v>
      </c>
      <c r="F287" t="inlineStr">
        <is>
          <t>DALARNAS LÄN</t>
        </is>
      </c>
      <c r="G287" t="inlineStr">
        <is>
          <t>LUDVIKA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45112</v>
      </c>
      <c r="E288" s="1" t="n">
        <v>46305</v>
      </c>
      <c r="F288" t="inlineStr">
        <is>
          <t>DALARNAS LÄN</t>
        </is>
      </c>
      <c r="G288" t="inlineStr">
        <is>
          <t>LUDVIKA</t>
        </is>
      </c>
      <c r="H288" t="inlineStr">
        <is>
          <t>Kommuner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46305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45560</v>
      </c>
      <c r="E290" s="1" t="n">
        <v>46305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46305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46305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46305</v>
      </c>
      <c r="F293" t="inlineStr">
        <is>
          <t>DALARNAS LÄN</t>
        </is>
      </c>
      <c r="G293" t="inlineStr">
        <is>
          <t>LUDVIKA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45644</v>
      </c>
      <c r="E294" s="1" t="n">
        <v>46305</v>
      </c>
      <c r="F294" t="inlineStr">
        <is>
          <t>DALARNAS LÄN</t>
        </is>
      </c>
      <c r="G294" t="inlineStr">
        <is>
          <t>LUDVIKA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46305</v>
      </c>
      <c r="F295" t="inlineStr">
        <is>
          <t>DALARNAS LÄN</t>
        </is>
      </c>
      <c r="G295" t="inlineStr">
        <is>
          <t>LUDVIKA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46305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46305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46305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46305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45453</v>
      </c>
      <c r="E300" s="1" t="n">
        <v>46305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46305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45569</v>
      </c>
      <c r="E302" s="1" t="n">
        <v>46305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46305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46305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37586-2024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46305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46305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61278-2022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44915</v>
      </c>
      <c r="E307" s="1" t="n">
        <v>46305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30977-2024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45499</v>
      </c>
      <c r="E308" s="1" t="n">
        <v>46305</v>
      </c>
      <c r="F308" t="inlineStr">
        <is>
          <t>DALARNAS LÄN</t>
        </is>
      </c>
      <c r="G308" t="inlineStr">
        <is>
          <t>LUDVIKA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45189</v>
      </c>
      <c r="E309" s="1" t="n">
        <v>46305</v>
      </c>
      <c r="F309" t="inlineStr">
        <is>
          <t>DALARNAS LÄN</t>
        </is>
      </c>
      <c r="G309" t="inlineStr">
        <is>
          <t>LUDVIKA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45791</v>
      </c>
      <c r="E310" s="1" t="n">
        <v>46305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45045-2023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46305</v>
      </c>
      <c r="F311" t="inlineStr">
        <is>
          <t>DALARNAS LÄN</t>
        </is>
      </c>
      <c r="G311" t="inlineStr">
        <is>
          <t>LUDVIKA</t>
        </is>
      </c>
      <c r="H311" t="inlineStr">
        <is>
          <t>Sveaskog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46305</v>
      </c>
      <c r="F312" t="inlineStr">
        <is>
          <t>DALARNAS LÄN</t>
        </is>
      </c>
      <c r="G312" t="inlineStr">
        <is>
          <t>LUDVIKA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46305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23137-2025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45791</v>
      </c>
      <c r="E314" s="1" t="n">
        <v>46305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46305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45594</v>
      </c>
      <c r="E316" s="1" t="n">
        <v>46305</v>
      </c>
      <c r="F316" t="inlineStr">
        <is>
          <t>DALARNAS LÄN</t>
        </is>
      </c>
      <c r="G316" t="inlineStr">
        <is>
          <t>LUDVIKA</t>
        </is>
      </c>
      <c r="H316" t="inlineStr">
        <is>
          <t>Naturvårdsverket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46305</v>
      </c>
      <c r="F317" t="inlineStr">
        <is>
          <t>DALARNAS LÄN</t>
        </is>
      </c>
      <c r="G317" t="inlineStr">
        <is>
          <t>LUDVIKA</t>
        </is>
      </c>
      <c r="H317" t="inlineStr">
        <is>
          <t>Naturvårdsverket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45622</v>
      </c>
      <c r="E318" s="1" t="n">
        <v>46305</v>
      </c>
      <c r="F318" t="inlineStr">
        <is>
          <t>DALARNAS LÄN</t>
        </is>
      </c>
      <c r="G318" t="inlineStr">
        <is>
          <t>LUDVIKA</t>
        </is>
      </c>
      <c r="H318" t="inlineStr">
        <is>
          <t>Naturvårdsverket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46305</v>
      </c>
      <c r="F319" t="inlineStr">
        <is>
          <t>DALARNAS LÄN</t>
        </is>
      </c>
      <c r="G319" t="inlineStr">
        <is>
          <t>LUDVIKA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46305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25235-2025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45800</v>
      </c>
      <c r="E321" s="1" t="n">
        <v>46305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46305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45800</v>
      </c>
      <c r="E323" s="1" t="n">
        <v>46305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45559-2024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45579</v>
      </c>
      <c r="E324" s="1" t="n">
        <v>46305</v>
      </c>
      <c r="F324" t="inlineStr">
        <is>
          <t>DALARNAS LÄN</t>
        </is>
      </c>
      <c r="G324" t="inlineStr">
        <is>
          <t>LUDVIKA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32301-2024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45512</v>
      </c>
      <c r="E325" s="1" t="n">
        <v>46305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45805</v>
      </c>
      <c r="E326" s="1" t="n">
        <v>46305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46305</v>
      </c>
      <c r="F327" t="inlineStr">
        <is>
          <t>DALARNAS LÄN</t>
        </is>
      </c>
      <c r="G327" t="inlineStr">
        <is>
          <t>LUDVIKA</t>
        </is>
      </c>
      <c r="H327" t="inlineStr">
        <is>
          <t>Naturvårdsverket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46305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46305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26698-2025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45810</v>
      </c>
      <c r="E330" s="1" t="n">
        <v>46305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26628-2025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45810</v>
      </c>
      <c r="E331" s="1" t="n">
        <v>46305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26794-2025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45810</v>
      </c>
      <c r="E332" s="1" t="n">
        <v>46305</v>
      </c>
      <c r="F332" t="inlineStr">
        <is>
          <t>DALARNAS LÄN</t>
        </is>
      </c>
      <c r="G332" t="inlineStr">
        <is>
          <t>LUDVIKA</t>
        </is>
      </c>
      <c r="H332" t="inlineStr">
        <is>
          <t>Kommuner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14046-2025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46305</v>
      </c>
      <c r="F333" t="inlineStr">
        <is>
          <t>DALARNAS LÄN</t>
        </is>
      </c>
      <c r="G333" t="inlineStr">
        <is>
          <t>LUDVIKA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43839-2023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46305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45687</v>
      </c>
      <c r="E335" s="1" t="n">
        <v>46305</v>
      </c>
      <c r="F335" t="inlineStr">
        <is>
          <t>DALARNAS LÄN</t>
        </is>
      </c>
      <c r="G335" t="inlineStr">
        <is>
          <t>LUDVIKA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46305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45940</v>
      </c>
      <c r="E337" s="1" t="n">
        <v>46305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46305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45940</v>
      </c>
      <c r="E339" s="1" t="n">
        <v>46305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45208</v>
      </c>
      <c r="E340" s="1" t="n">
        <v>46305</v>
      </c>
      <c r="F340" t="inlineStr">
        <is>
          <t>DALARNAS LÄN</t>
        </is>
      </c>
      <c r="G340" t="inlineStr">
        <is>
          <t>LUDVIKA</t>
        </is>
      </c>
      <c r="H340" t="inlineStr">
        <is>
          <t>Naturvårdsverket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43700-2024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45569</v>
      </c>
      <c r="E341" s="1" t="n">
        <v>46305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33673-2022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44789</v>
      </c>
      <c r="E342" s="1" t="n">
        <v>46305</v>
      </c>
      <c r="F342" t="inlineStr">
        <is>
          <t>DALARNAS LÄN</t>
        </is>
      </c>
      <c r="G342" t="inlineStr">
        <is>
          <t>LUDVIKA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46305</v>
      </c>
      <c r="F343" t="inlineStr">
        <is>
          <t>DALARNAS LÄN</t>
        </is>
      </c>
      <c r="G343" t="inlineStr">
        <is>
          <t>LUDVIKA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55961-2024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45623</v>
      </c>
      <c r="E344" s="1" t="n">
        <v>46305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46305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46305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46305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39437-2023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46305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27448-2025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46305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44970</v>
      </c>
      <c r="E350" s="1" t="n">
        <v>46305</v>
      </c>
      <c r="F350" t="inlineStr">
        <is>
          <t>DALARNAS LÄN</t>
        </is>
      </c>
      <c r="G350" t="inlineStr">
        <is>
          <t>LUDVIKA</t>
        </is>
      </c>
      <c r="H350" t="inlineStr">
        <is>
          <t>Övriga Aktiebolag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21741-2022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44708</v>
      </c>
      <c r="E351" s="1" t="n">
        <v>46305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44687</v>
      </c>
      <c r="E352" s="1" t="n">
        <v>46305</v>
      </c>
      <c r="F352" t="inlineStr">
        <is>
          <t>DALARNAS LÄN</t>
        </is>
      </c>
      <c r="G352" t="inlineStr">
        <is>
          <t>LUDVIKA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45210</v>
      </c>
      <c r="E353" s="1" t="n">
        <v>46305</v>
      </c>
      <c r="F353" t="inlineStr">
        <is>
          <t>DALARNAS LÄN</t>
        </is>
      </c>
      <c r="G353" t="inlineStr">
        <is>
          <t>LUDVIKA</t>
        </is>
      </c>
      <c r="H353" t="inlineStr">
        <is>
          <t>Naturvårdsverket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46305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45060-2022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44841</v>
      </c>
      <c r="E355" s="1" t="n">
        <v>46305</v>
      </c>
      <c r="F355" t="inlineStr">
        <is>
          <t>DALARNAS LÄN</t>
        </is>
      </c>
      <c r="G355" t="inlineStr">
        <is>
          <t>LUDVIKA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46305</v>
      </c>
      <c r="F356" t="inlineStr">
        <is>
          <t>DALARNAS LÄN</t>
        </is>
      </c>
      <c r="G356" t="inlineStr">
        <is>
          <t>LUDVIKA</t>
        </is>
      </c>
      <c r="H356" t="inlineStr">
        <is>
          <t>Naturvårdsverket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46305</v>
      </c>
      <c r="F357" t="inlineStr">
        <is>
          <t>DALARNAS LÄN</t>
        </is>
      </c>
      <c r="G357" t="inlineStr">
        <is>
          <t>LUDVIKA</t>
        </is>
      </c>
      <c r="H357" t="inlineStr">
        <is>
          <t>Naturvårdsverket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56203-2024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45624</v>
      </c>
      <c r="E358" s="1" t="n">
        <v>46305</v>
      </c>
      <c r="F358" t="inlineStr">
        <is>
          <t>DALARNAS LÄN</t>
        </is>
      </c>
      <c r="G358" t="inlineStr">
        <is>
          <t>LUDVIKA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51043-2024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46305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45645</v>
      </c>
      <c r="E360" s="1" t="n">
        <v>46305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46305</v>
      </c>
      <c r="F361" t="inlineStr">
        <is>
          <t>DALARNAS LÄN</t>
        </is>
      </c>
      <c r="G361" t="inlineStr">
        <is>
          <t>LUDVIKA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46305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17.3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29966-2025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46305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56818-2023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45244</v>
      </c>
      <c r="E364" s="1" t="n">
        <v>46305</v>
      </c>
      <c r="F364" t="inlineStr">
        <is>
          <t>DALARNAS LÄN</t>
        </is>
      </c>
      <c r="G364" t="inlineStr">
        <is>
          <t>LUDVIKA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45952</v>
      </c>
      <c r="E365" s="1" t="n">
        <v>46305</v>
      </c>
      <c r="F365" t="inlineStr">
        <is>
          <t>DALARNAS LÄN</t>
        </is>
      </c>
      <c r="G365" t="inlineStr">
        <is>
          <t>LUDVIKA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29918-2025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45826</v>
      </c>
      <c r="E366" s="1" t="n">
        <v>46305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45625</v>
      </c>
      <c r="E367" s="1" t="n">
        <v>46305</v>
      </c>
      <c r="F367" t="inlineStr">
        <is>
          <t>DALARNAS LÄN</t>
        </is>
      </c>
      <c r="G367" t="inlineStr">
        <is>
          <t>LUDVIKA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45827</v>
      </c>
      <c r="E368" s="1" t="n">
        <v>46305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46305</v>
      </c>
      <c r="F369" t="inlineStr">
        <is>
          <t>DALARNAS LÄN</t>
        </is>
      </c>
      <c r="G369" t="inlineStr">
        <is>
          <t>LUDVIKA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46305</v>
      </c>
      <c r="F370" t="inlineStr">
        <is>
          <t>DALARNAS LÄN</t>
        </is>
      </c>
      <c r="G370" t="inlineStr">
        <is>
          <t>LUDVIKA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46305</v>
      </c>
      <c r="F371" t="inlineStr">
        <is>
          <t>DALARNAS LÄN</t>
        </is>
      </c>
      <c r="G371" t="inlineStr">
        <is>
          <t>LUDVIKA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48774-2024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45593</v>
      </c>
      <c r="E372" s="1" t="n">
        <v>46305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46305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30748-2025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46305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46305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52552-2025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45954</v>
      </c>
      <c r="E376" s="1" t="n">
        <v>46305</v>
      </c>
      <c r="F376" t="inlineStr">
        <is>
          <t>DALARNAS LÄN</t>
        </is>
      </c>
      <c r="G376" t="inlineStr">
        <is>
          <t>LUDVIKA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52484-2025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45954</v>
      </c>
      <c r="E377" s="1" t="n">
        <v>46305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45954</v>
      </c>
      <c r="E378" s="1" t="n">
        <v>46305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52459-2025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45954</v>
      </c>
      <c r="E379" s="1" t="n">
        <v>46305</v>
      </c>
      <c r="F379" t="inlineStr">
        <is>
          <t>DALARNAS LÄN</t>
        </is>
      </c>
      <c r="G379" t="inlineStr">
        <is>
          <t>LUDVIKA</t>
        </is>
      </c>
      <c r="H379" t="inlineStr">
        <is>
          <t>Övriga Aktiebolag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45954</v>
      </c>
      <c r="E380" s="1" t="n">
        <v>46305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46305</v>
      </c>
      <c r="F381" t="inlineStr">
        <is>
          <t>DALARNAS LÄN</t>
        </is>
      </c>
      <c r="G381" t="inlineStr">
        <is>
          <t>LUDVIKA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46305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52427-2025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45954</v>
      </c>
      <c r="E383" s="1" t="n">
        <v>46305</v>
      </c>
      <c r="F383" t="inlineStr">
        <is>
          <t>DALARNAS LÄN</t>
        </is>
      </c>
      <c r="G383" t="inlineStr">
        <is>
          <t>LUDVIKA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46305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52556-2025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45954</v>
      </c>
      <c r="E385" s="1" t="n">
        <v>46305</v>
      </c>
      <c r="F385" t="inlineStr">
        <is>
          <t>DALARNAS LÄN</t>
        </is>
      </c>
      <c r="G385" t="inlineStr">
        <is>
          <t>LUDVIKA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46305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45891</v>
      </c>
      <c r="E387" s="1" t="n">
        <v>46305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51208-2023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45219</v>
      </c>
      <c r="E388" s="1" t="n">
        <v>46305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46305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46305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45891</v>
      </c>
      <c r="E391" s="1" t="n">
        <v>46305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14.1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45062</v>
      </c>
      <c r="E392" s="1" t="n">
        <v>46305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46305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54035-2025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45963</v>
      </c>
      <c r="E394" s="1" t="n">
        <v>46305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46305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33244-2025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46305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46305</v>
      </c>
      <c r="F397" t="inlineStr">
        <is>
          <t>DALARNAS LÄN</t>
        </is>
      </c>
      <c r="G397" t="inlineStr">
        <is>
          <t>LUDVIKA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46305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46305</v>
      </c>
      <c r="F399" t="inlineStr">
        <is>
          <t>DALARNAS LÄN</t>
        </is>
      </c>
      <c r="G399" t="inlineStr">
        <is>
          <t>LUDVIKA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46656-2023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46305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54375-2025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46305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54341-2025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45965</v>
      </c>
      <c r="E402" s="1" t="n">
        <v>46305</v>
      </c>
      <c r="F402" t="inlineStr">
        <is>
          <t>DALARNAS LÄN</t>
        </is>
      </c>
      <c r="G402" t="inlineStr">
        <is>
          <t>LUDVIKA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45210</v>
      </c>
      <c r="E403" s="1" t="n">
        <v>46305</v>
      </c>
      <c r="F403" t="inlineStr">
        <is>
          <t>DALARNAS LÄN</t>
        </is>
      </c>
      <c r="G403" t="inlineStr">
        <is>
          <t>LUDVIKA</t>
        </is>
      </c>
      <c r="H403" t="inlineStr">
        <is>
          <t>Naturvårdsverket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48683-2023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45208</v>
      </c>
      <c r="E404" s="1" t="n">
        <v>46305</v>
      </c>
      <c r="F404" t="inlineStr">
        <is>
          <t>DALARNAS LÄN</t>
        </is>
      </c>
      <c r="G404" t="inlineStr">
        <is>
          <t>LUDVIKA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55211-2025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46305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45638</v>
      </c>
      <c r="E406" s="1" t="n">
        <v>46305</v>
      </c>
      <c r="F406" t="inlineStr">
        <is>
          <t>DALARNAS LÄN</t>
        </is>
      </c>
      <c r="G406" t="inlineStr">
        <is>
          <t>LUDVIKA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60843-2024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45644</v>
      </c>
      <c r="E407" s="1" t="n">
        <v>46305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55646-2025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45972</v>
      </c>
      <c r="E408" s="1" t="n">
        <v>46305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45568</v>
      </c>
      <c r="E409" s="1" t="n">
        <v>46305</v>
      </c>
      <c r="F409" t="inlineStr">
        <is>
          <t>DALARNAS LÄN</t>
        </is>
      </c>
      <c r="G409" t="inlineStr">
        <is>
          <t>LUDVIKA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34067-2025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45845</v>
      </c>
      <c r="E410" s="1" t="n">
        <v>46305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46305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55559-2025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46305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9.4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55426-2025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46305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46305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45502</v>
      </c>
      <c r="E415" s="1" t="n">
        <v>46305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46305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46305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46305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46305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46305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46305</v>
      </c>
      <c r="F421" t="inlineStr">
        <is>
          <t>DALARNAS LÄN</t>
        </is>
      </c>
      <c r="G421" t="inlineStr">
        <is>
          <t>LUDVIKA</t>
        </is>
      </c>
      <c r="I421" t="n">
        <v>12.7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16807-2025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46305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56030-2025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46305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46305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46305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56316-2025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46305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46305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46305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45525</v>
      </c>
      <c r="E429" s="1" t="n">
        <v>46305</v>
      </c>
      <c r="F429" t="inlineStr">
        <is>
          <t>DALARNAS LÄN</t>
        </is>
      </c>
      <c r="G429" t="inlineStr">
        <is>
          <t>LUDVIKA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45975</v>
      </c>
      <c r="E430" s="1" t="n">
        <v>46305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46305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29654-2025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46305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45512</v>
      </c>
      <c r="E433" s="1" t="n">
        <v>46305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45832</v>
      </c>
      <c r="E434" s="1" t="n">
        <v>46305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45832</v>
      </c>
      <c r="E435" s="1" t="n">
        <v>46305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46305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45832</v>
      </c>
      <c r="E437" s="1" t="n">
        <v>46305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43055-2024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45567</v>
      </c>
      <c r="E438" s="1" t="n">
        <v>46305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17677-2022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44680</v>
      </c>
      <c r="E439" s="1" t="n">
        <v>46305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2838-2022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44581</v>
      </c>
      <c r="E440" s="1" t="n">
        <v>46305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31270-2022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44771</v>
      </c>
      <c r="E441" s="1" t="n">
        <v>46305</v>
      </c>
      <c r="F441" t="inlineStr">
        <is>
          <t>DALARNAS LÄN</t>
        </is>
      </c>
      <c r="G441" t="inlineStr">
        <is>
          <t>LUDVIKA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45869</v>
      </c>
      <c r="E442" s="1" t="n">
        <v>46305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40142-2022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44820</v>
      </c>
      <c r="E443" s="1" t="n">
        <v>46305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44820</v>
      </c>
      <c r="E444" s="1" t="n">
        <v>46305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45337</v>
      </c>
      <c r="E445" s="1" t="n">
        <v>46305</v>
      </c>
      <c r="F445" t="inlineStr">
        <is>
          <t>DALARNAS LÄN</t>
        </is>
      </c>
      <c r="G445" t="inlineStr">
        <is>
          <t>LUDVIKA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44915</v>
      </c>
      <c r="E446" s="1" t="n">
        <v>46305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48740-2022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44859</v>
      </c>
      <c r="E447" s="1" t="n">
        <v>46305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45687</v>
      </c>
      <c r="E448" s="1" t="n">
        <v>46305</v>
      </c>
      <c r="F448" t="inlineStr">
        <is>
          <t>DALARNAS LÄN</t>
        </is>
      </c>
      <c r="G448" t="inlineStr">
        <is>
          <t>LUDVIKA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18187-2025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45761</v>
      </c>
      <c r="E449" s="1" t="n">
        <v>46305</v>
      </c>
      <c r="F449" t="inlineStr">
        <is>
          <t>DALARNAS LÄN</t>
        </is>
      </c>
      <c r="G449" t="inlineStr">
        <is>
          <t>LUDVIKA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45762</v>
      </c>
      <c r="E450" s="1" t="n">
        <v>46305</v>
      </c>
      <c r="F450" t="inlineStr">
        <is>
          <t>DALARNAS LÄN</t>
        </is>
      </c>
      <c r="G450" t="inlineStr">
        <is>
          <t>LUDVIKA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45875</v>
      </c>
      <c r="E451" s="1" t="n">
        <v>46305</v>
      </c>
      <c r="F451" t="inlineStr">
        <is>
          <t>DALARNAS LÄN</t>
        </is>
      </c>
      <c r="G451" t="inlineStr">
        <is>
          <t>LUDVIKA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57870-2025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45981</v>
      </c>
      <c r="E452" s="1" t="n">
        <v>46305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19071-2025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45765</v>
      </c>
      <c r="E453" s="1" t="n">
        <v>46305</v>
      </c>
      <c r="F453" t="inlineStr">
        <is>
          <t>DALARNAS LÄN</t>
        </is>
      </c>
      <c r="G453" t="inlineStr">
        <is>
          <t>LUDVIKA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56621-2023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46305</v>
      </c>
      <c r="F454" t="inlineStr">
        <is>
          <t>DALARNAS LÄN</t>
        </is>
      </c>
      <c r="G454" t="inlineStr">
        <is>
          <t>LUDVIKA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53996-2024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45616</v>
      </c>
      <c r="E455" s="1" t="n">
        <v>46305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46305</v>
      </c>
      <c r="F456" t="inlineStr">
        <is>
          <t>DALARNAS LÄN</t>
        </is>
      </c>
      <c r="G456" t="inlineStr">
        <is>
          <t>LUDVIKA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923-2024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45301</v>
      </c>
      <c r="E457" s="1" t="n">
        <v>46305</v>
      </c>
      <c r="F457" t="inlineStr">
        <is>
          <t>DALARNAS LÄN</t>
        </is>
      </c>
      <c r="G457" t="inlineStr">
        <is>
          <t>LUDVIKA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44916</v>
      </c>
      <c r="E458" s="1" t="n">
        <v>46305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45775</v>
      </c>
      <c r="E459" s="1" t="n">
        <v>46305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53620-2022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44879</v>
      </c>
      <c r="E460" s="1" t="n">
        <v>46305</v>
      </c>
      <c r="F460" t="inlineStr">
        <is>
          <t>DALARNAS LÄN</t>
        </is>
      </c>
      <c r="G460" t="inlineStr">
        <is>
          <t>LUDVIKA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46305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45891</v>
      </c>
      <c r="E462" s="1" t="n">
        <v>46305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47086-2025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46305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47032-2025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45929</v>
      </c>
      <c r="E464" s="1" t="n">
        <v>46305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30844-2024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45497</v>
      </c>
      <c r="E465" s="1" t="n">
        <v>46305</v>
      </c>
      <c r="F465" t="inlineStr">
        <is>
          <t>DALARNAS LÄN</t>
        </is>
      </c>
      <c r="G465" t="inlineStr">
        <is>
          <t>LUDVIKA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46305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45106</v>
      </c>
      <c r="E467" s="1" t="n">
        <v>46305</v>
      </c>
      <c r="F467" t="inlineStr">
        <is>
          <t>DALARNAS LÄN</t>
        </is>
      </c>
      <c r="G467" t="inlineStr">
        <is>
          <t>LUDVIKA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46305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42985-2025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45909</v>
      </c>
      <c r="E469" s="1" t="n">
        <v>46305</v>
      </c>
      <c r="F469" t="inlineStr">
        <is>
          <t>DALARNAS LÄN</t>
        </is>
      </c>
      <c r="G469" t="inlineStr">
        <is>
          <t>LUDVIKA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46305</v>
      </c>
      <c r="F470" t="inlineStr">
        <is>
          <t>DALARNAS LÄN</t>
        </is>
      </c>
      <c r="G470" t="inlineStr">
        <is>
          <t>LUDVIKA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46305</v>
      </c>
      <c r="F471" t="inlineStr">
        <is>
          <t>DALARNAS LÄN</t>
        </is>
      </c>
      <c r="G471" t="inlineStr">
        <is>
          <t>LUDVIKA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59530-2025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45989</v>
      </c>
      <c r="E472" s="1" t="n">
        <v>46305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59439-2025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45989</v>
      </c>
      <c r="E473" s="1" t="n">
        <v>46305</v>
      </c>
      <c r="F473" t="inlineStr">
        <is>
          <t>DALARNAS LÄN</t>
        </is>
      </c>
      <c r="G473" t="inlineStr">
        <is>
          <t>LUDVIKA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17054-2026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46114</v>
      </c>
      <c r="E474" s="1" t="n">
        <v>46305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44970</v>
      </c>
      <c r="E475" s="1" t="n">
        <v>46305</v>
      </c>
      <c r="F475" t="inlineStr">
        <is>
          <t>DALARNAS LÄN</t>
        </is>
      </c>
      <c r="G475" t="inlineStr">
        <is>
          <t>LUDVIKA</t>
        </is>
      </c>
      <c r="H475" t="inlineStr">
        <is>
          <t>Övriga Aktiebolag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46119</v>
      </c>
      <c r="E476" s="1" t="n">
        <v>46305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19.8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73703-2021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44552</v>
      </c>
      <c r="E477" s="1" t="n">
        <v>46305</v>
      </c>
      <c r="F477" t="inlineStr">
        <is>
          <t>DALARNAS LÄN</t>
        </is>
      </c>
      <c r="G477" t="inlineStr">
        <is>
          <t>LUDVIKA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46122</v>
      </c>
      <c r="E478" s="1" t="n">
        <v>46305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46305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46305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60454-2025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46305</v>
      </c>
      <c r="F481" t="inlineStr">
        <is>
          <t>DALARNAS LÄN</t>
        </is>
      </c>
      <c r="G481" t="inlineStr">
        <is>
          <t>LUDVIKA</t>
        </is>
      </c>
      <c r="I481" t="n">
        <v>7.2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46305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46305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46305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18357-2026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46126</v>
      </c>
      <c r="E485" s="1" t="n">
        <v>46305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18355-2026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46126</v>
      </c>
      <c r="E486" s="1" t="n">
        <v>46305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46305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44730</v>
      </c>
      <c r="E488" s="1" t="n">
        <v>46305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61502-2025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46001</v>
      </c>
      <c r="E489" s="1" t="n">
        <v>46305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61505-2025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46001</v>
      </c>
      <c r="E490" s="1" t="n">
        <v>46305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5970-2022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44599</v>
      </c>
      <c r="E491" s="1" t="n">
        <v>46305</v>
      </c>
      <c r="F491" t="inlineStr">
        <is>
          <t>DALARNAS LÄN</t>
        </is>
      </c>
      <c r="G491" t="inlineStr">
        <is>
          <t>LUDVIKA</t>
        </is>
      </c>
      <c r="I491" t="n">
        <v>8.4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18829-2026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46305</v>
      </c>
      <c r="F492" t="inlineStr">
        <is>
          <t>DALARNAS LÄN</t>
        </is>
      </c>
      <c r="G492" t="inlineStr">
        <is>
          <t>LUDVIKA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46305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48642-2022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44859</v>
      </c>
      <c r="E494" s="1" t="n">
        <v>46305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44960</v>
      </c>
      <c r="E495" s="1" t="n">
        <v>46305</v>
      </c>
      <c r="F495" t="inlineStr">
        <is>
          <t>DALARNAS LÄN</t>
        </is>
      </c>
      <c r="G495" t="inlineStr">
        <is>
          <t>LUDVIKA</t>
        </is>
      </c>
      <c r="H495" t="inlineStr">
        <is>
          <t>Naturvårdsverket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46305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62704-2025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46008</v>
      </c>
      <c r="E497" s="1" t="n">
        <v>46305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46007</v>
      </c>
      <c r="E498" s="1" t="n">
        <v>46305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62842-2025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46008</v>
      </c>
      <c r="E499" s="1" t="n">
        <v>46305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62824-2025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46305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62695-2025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46305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62838-2025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46008</v>
      </c>
      <c r="E502" s="1" t="n">
        <v>46305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46074-2023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45196</v>
      </c>
      <c r="E503" s="1" t="n">
        <v>46305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46135</v>
      </c>
      <c r="E504" s="1" t="n">
        <v>46305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45849</v>
      </c>
      <c r="E505" s="1" t="n">
        <v>46305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46305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62706-2025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46305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45205</v>
      </c>
      <c r="E508" s="1" t="n">
        <v>46305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62845-2025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46305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45960</v>
      </c>
      <c r="E510" s="1" t="n">
        <v>46305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46305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46305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62930-2025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46009</v>
      </c>
      <c r="E513" s="1" t="n">
        <v>46305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7714-2026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46305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62945-2025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46009</v>
      </c>
      <c r="E515" s="1" t="n">
        <v>46305</v>
      </c>
      <c r="F515" t="inlineStr">
        <is>
          <t>DALARNAS LÄN</t>
        </is>
      </c>
      <c r="G515" t="inlineStr">
        <is>
          <t>LUDVIKA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29578-2025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46305</v>
      </c>
      <c r="F516" t="inlineStr">
        <is>
          <t>DALARNAS LÄN</t>
        </is>
      </c>
      <c r="G516" t="inlineStr">
        <is>
          <t>LUDVIKA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34875-2025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45849</v>
      </c>
      <c r="E517" s="1" t="n">
        <v>46305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49035-2024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45594</v>
      </c>
      <c r="E518" s="1" t="n">
        <v>46305</v>
      </c>
      <c r="F518" t="inlineStr">
        <is>
          <t>DALARNAS LÄN</t>
        </is>
      </c>
      <c r="G518" t="inlineStr">
        <is>
          <t>LUDVIKA</t>
        </is>
      </c>
      <c r="H518" t="inlineStr">
        <is>
          <t>Naturvårdsverket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49043-2024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45594</v>
      </c>
      <c r="E519" s="1" t="n">
        <v>46305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18708-2023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45043</v>
      </c>
      <c r="E520" s="1" t="n">
        <v>46305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34070-2025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45845</v>
      </c>
      <c r="E521" s="1" t="n">
        <v>46305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8728-2026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46066</v>
      </c>
      <c r="E522" s="1" t="n">
        <v>46305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59050-2022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44903</v>
      </c>
      <c r="E523" s="1" t="n">
        <v>46305</v>
      </c>
      <c r="F523" t="inlineStr">
        <is>
          <t>DALARNAS LÄN</t>
        </is>
      </c>
      <c r="G523" t="inlineStr">
        <is>
          <t>LUDVIKA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45827</v>
      </c>
      <c r="E524" s="1" t="n">
        <v>46305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55151-2025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45968</v>
      </c>
      <c r="E525" s="1" t="n">
        <v>46305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46029</v>
      </c>
      <c r="E526" s="1" t="n">
        <v>46305</v>
      </c>
      <c r="F526" t="inlineStr">
        <is>
          <t>DALARNAS LÄN</t>
        </is>
      </c>
      <c r="G526" t="inlineStr">
        <is>
          <t>LUDVIKA</t>
        </is>
      </c>
      <c r="H526" t="inlineStr">
        <is>
          <t>Övriga Aktiebolag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46305</v>
      </c>
      <c r="F527" t="inlineStr">
        <is>
          <t>DALARNAS LÄN</t>
        </is>
      </c>
      <c r="G527" t="inlineStr">
        <is>
          <t>LUDVIKA</t>
        </is>
      </c>
      <c r="H527" t="inlineStr">
        <is>
          <t>Övriga Aktiebolag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45225</v>
      </c>
      <c r="E528" s="1" t="n">
        <v>46305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52912-2025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45954</v>
      </c>
      <c r="E529" s="1" t="n">
        <v>46305</v>
      </c>
      <c r="F529" t="inlineStr">
        <is>
          <t>DALARNAS LÄN</t>
        </is>
      </c>
      <c r="G529" t="inlineStr">
        <is>
          <t>LUDVIKA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59186-2025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45988</v>
      </c>
      <c r="E530" s="1" t="n">
        <v>46305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46305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32224-2025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45835</v>
      </c>
      <c r="E532" s="1" t="n">
        <v>46305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46002</v>
      </c>
      <c r="E533" s="1" t="n">
        <v>46305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35353-2024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45531</v>
      </c>
      <c r="E534" s="1" t="n">
        <v>46305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38170-2023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45161</v>
      </c>
      <c r="E535" s="1" t="n">
        <v>46305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42128-2024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45562</v>
      </c>
      <c r="E536" s="1" t="n">
        <v>46305</v>
      </c>
      <c r="F536" t="inlineStr">
        <is>
          <t>DALARNAS LÄN</t>
        </is>
      </c>
      <c r="G536" t="inlineStr">
        <is>
          <t>LUDVIKA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56346-2022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44890</v>
      </c>
      <c r="E537" s="1" t="n">
        <v>46305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42106-2024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45562</v>
      </c>
      <c r="E538" s="1" t="n">
        <v>46305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35708-2025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45860</v>
      </c>
      <c r="E539" s="1" t="n">
        <v>46305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45902</v>
      </c>
      <c r="E540" s="1" t="n">
        <v>46305</v>
      </c>
      <c r="F540" t="inlineStr">
        <is>
          <t>DALARNAS LÄN</t>
        </is>
      </c>
      <c r="G540" t="inlineStr">
        <is>
          <t>LUDVIKA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46305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46305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45961</v>
      </c>
      <c r="E543" s="1" t="n">
        <v>46305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11237-2024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45371</v>
      </c>
      <c r="E544" s="1" t="n">
        <v>46305</v>
      </c>
      <c r="F544" t="inlineStr">
        <is>
          <t>DALARNAS LÄN</t>
        </is>
      </c>
      <c r="G544" t="inlineStr">
        <is>
          <t>LUDVIKA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46305</v>
      </c>
      <c r="F545" t="inlineStr">
        <is>
          <t>DALARNAS LÄN</t>
        </is>
      </c>
      <c r="G545" t="inlineStr">
        <is>
          <t>LUDVIKA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46305</v>
      </c>
      <c r="F546" t="inlineStr">
        <is>
          <t>DALARNAS LÄN</t>
        </is>
      </c>
      <c r="G546" t="inlineStr">
        <is>
          <t>LUDVIKA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11632-2024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46305</v>
      </c>
      <c r="F547" t="inlineStr">
        <is>
          <t>DALARNAS LÄN</t>
        </is>
      </c>
      <c r="G547" t="inlineStr">
        <is>
          <t>LUDVIKA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47671-2024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46305</v>
      </c>
      <c r="F548" t="inlineStr">
        <is>
          <t>DALARNAS LÄN</t>
        </is>
      </c>
      <c r="G548" t="inlineStr">
        <is>
          <t>LUDVIKA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46305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46305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46305</v>
      </c>
      <c r="F551" t="inlineStr">
        <is>
          <t>DALARNAS LÄN</t>
        </is>
      </c>
      <c r="G551" t="inlineStr">
        <is>
          <t>LUDVIKA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20778-2026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46305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46305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20666-2026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46305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46142</v>
      </c>
      <c r="E555" s="1" t="n">
        <v>46305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46142</v>
      </c>
      <c r="E556" s="1" t="n">
        <v>46305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46305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21472-2026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46305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56615-2025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45975</v>
      </c>
      <c r="E559" s="1" t="n">
        <v>46305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46305</v>
      </c>
      <c r="F560" t="inlineStr">
        <is>
          <t>DALARNAS LÄN</t>
        </is>
      </c>
      <c r="G560" t="inlineStr">
        <is>
          <t>LUDVIKA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21798-2026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46150</v>
      </c>
      <c r="E561" s="1" t="n">
        <v>46305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52230-2023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45224</v>
      </c>
      <c r="E562" s="1" t="n">
        <v>46305</v>
      </c>
      <c r="F562" t="inlineStr">
        <is>
          <t>DALARNAS LÄN</t>
        </is>
      </c>
      <c r="G562" t="inlineStr">
        <is>
          <t>LUDVIKA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46150</v>
      </c>
      <c r="E563" s="1" t="n">
        <v>46305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62368-2025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46007</v>
      </c>
      <c r="E564" s="1" t="n">
        <v>46305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46305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55972-2025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45973</v>
      </c>
      <c r="E566" s="1" t="n">
        <v>46305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46305</v>
      </c>
      <c r="F567" t="inlineStr">
        <is>
          <t>DALARNAS LÄN</t>
        </is>
      </c>
      <c r="G567" t="inlineStr">
        <is>
          <t>LUDVIKA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46305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46305</v>
      </c>
      <c r="F569" t="inlineStr">
        <is>
          <t>DALARNAS LÄN</t>
        </is>
      </c>
      <c r="G569" t="inlineStr">
        <is>
          <t>LUDVIKA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45679</v>
      </c>
      <c r="E570" s="1" t="n">
        <v>46305</v>
      </c>
      <c r="F570" t="inlineStr">
        <is>
          <t>DALARNAS LÄN</t>
        </is>
      </c>
      <c r="G570" t="inlineStr">
        <is>
          <t>LUDVIKA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46305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46305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46305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9.800000000000001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22538-2026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46305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16843-2026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46305</v>
      </c>
      <c r="F575" t="inlineStr">
        <is>
          <t>DALARNAS LÄN</t>
        </is>
      </c>
      <c r="G575" t="inlineStr">
        <is>
          <t>LUDVIKA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22813-2026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46160</v>
      </c>
      <c r="E576" s="1" t="n">
        <v>46305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22830-2026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46160</v>
      </c>
      <c r="E577" s="1" t="n">
        <v>46305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46161</v>
      </c>
      <c r="E578" s="1" t="n">
        <v>46305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46305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24021-2026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46305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31380-2025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46305</v>
      </c>
      <c r="F581" t="inlineStr">
        <is>
          <t>DALARNAS LÄN</t>
        </is>
      </c>
      <c r="G581" t="inlineStr">
        <is>
          <t>LUDVIKA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31818-2025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45834</v>
      </c>
      <c r="E582" s="1" t="n">
        <v>46305</v>
      </c>
      <c r="F582" t="inlineStr">
        <is>
          <t>DALARNAS LÄN</t>
        </is>
      </c>
      <c r="G582" t="inlineStr">
        <is>
          <t>LUDVIKA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46038</v>
      </c>
      <c r="E583" s="1" t="n">
        <v>46305</v>
      </c>
      <c r="F583" t="inlineStr">
        <is>
          <t>DALARNAS LÄN</t>
        </is>
      </c>
      <c r="G583" t="inlineStr">
        <is>
          <t>LUDVIKA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24768-2026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46171</v>
      </c>
      <c r="E584" s="1" t="n">
        <v>46305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46171</v>
      </c>
      <c r="E585" s="1" t="n">
        <v>46305</v>
      </c>
      <c r="F585" t="inlineStr">
        <is>
          <t>DALARNAS LÄN</t>
        </is>
      </c>
      <c r="G585" t="inlineStr">
        <is>
          <t>LUDVIKA</t>
        </is>
      </c>
      <c r="H585" t="inlineStr">
        <is>
          <t>Naturvårdsverket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46171</v>
      </c>
      <c r="E586" s="1" t="n">
        <v>46305</v>
      </c>
      <c r="F586" t="inlineStr">
        <is>
          <t>DALARNAS LÄN</t>
        </is>
      </c>
      <c r="G586" t="inlineStr">
        <is>
          <t>LUDVIKA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46305</v>
      </c>
      <c r="F587" t="inlineStr">
        <is>
          <t>DALARNAS LÄN</t>
        </is>
      </c>
      <c r="G587" t="inlineStr">
        <is>
          <t>LUDVIKA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46305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46171</v>
      </c>
      <c r="E589" s="1" t="n">
        <v>46305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46171</v>
      </c>
      <c r="E590" s="1" t="n">
        <v>46305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46171</v>
      </c>
      <c r="E591" s="1" t="n">
        <v>46305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46305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46305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46305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46305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45938</v>
      </c>
      <c r="E596" s="1" t="n">
        <v>46305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46142</v>
      </c>
      <c r="E597" s="1" t="n">
        <v>46305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26382-2026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46183</v>
      </c>
      <c r="E598" s="1" t="n">
        <v>46305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46163</v>
      </c>
      <c r="E599" s="1" t="n">
        <v>46305</v>
      </c>
      <c r="F599" t="inlineStr">
        <is>
          <t>DALARNAS LÄN</t>
        </is>
      </c>
      <c r="G599" t="inlineStr">
        <is>
          <t>LUDVIKA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46305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26902-2026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46305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49669-2024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46305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26727-2026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46305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27609-2026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46190</v>
      </c>
      <c r="E604" s="1" t="n">
        <v>46305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46305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46190</v>
      </c>
      <c r="E606" s="1" t="n">
        <v>46305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26574-2026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46305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27554-2026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46305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27853-2026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46191</v>
      </c>
      <c r="E609" s="1" t="n">
        <v>46305</v>
      </c>
      <c r="F609" t="inlineStr">
        <is>
          <t>DALARNAS LÄN</t>
        </is>
      </c>
      <c r="G609" t="inlineStr">
        <is>
          <t>LUDVIKA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46305</v>
      </c>
      <c r="F610" t="inlineStr">
        <is>
          <t>DALARNAS LÄN</t>
        </is>
      </c>
      <c r="G610" t="inlineStr">
        <is>
          <t>LUDVIKA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46160</v>
      </c>
      <c r="E611" s="1" t="n">
        <v>46305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46146</v>
      </c>
      <c r="E612" s="1" t="n">
        <v>46305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46146</v>
      </c>
      <c r="E613" s="1" t="n">
        <v>46305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22824-2026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46160</v>
      </c>
      <c r="E614" s="1" t="n">
        <v>46305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9.9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46305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46305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46305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24693-2026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46305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10.4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46305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46305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46305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20974-2026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46142</v>
      </c>
      <c r="E622" s="1" t="n">
        <v>46305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46167</v>
      </c>
      <c r="E623" s="1" t="n">
        <v>46305</v>
      </c>
      <c r="F623" t="inlineStr">
        <is>
          <t>DALARNAS LÄN</t>
        </is>
      </c>
      <c r="G623" t="inlineStr">
        <is>
          <t>LUDVIKA</t>
        </is>
      </c>
      <c r="H623" t="inlineStr">
        <is>
          <t>Kommuner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30106-2026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46305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46305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28062-2026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46195</v>
      </c>
      <c r="E626" s="1" t="n">
        <v>46305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46305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46305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28132-2026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46305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22276-2026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46154</v>
      </c>
      <c r="E630" s="1" t="n">
        <v>46305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28801-2026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46305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46195</v>
      </c>
      <c r="E632" s="1" t="n">
        <v>46305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46305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46305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28162-2026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46305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46305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28067-2026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46305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28116-2026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46305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28158-2026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46305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45685</v>
      </c>
      <c r="E640" s="1" t="n">
        <v>46305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46305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28073-2026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46195</v>
      </c>
      <c r="E642" s="1" t="n">
        <v>46305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46217</v>
      </c>
      <c r="E643" s="1" t="n">
        <v>46305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46218</v>
      </c>
      <c r="E644" s="1" t="n">
        <v>46305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31350-2026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46219</v>
      </c>
      <c r="E645" s="1" t="n">
        <v>46305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35837-2026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46265</v>
      </c>
      <c r="E646" s="1" t="n">
        <v>46305</v>
      </c>
      <c r="F646" t="inlineStr">
        <is>
          <t>DALARNAS LÄN</t>
        </is>
      </c>
      <c r="G646" t="inlineStr">
        <is>
          <t>LUDVIKA</t>
        </is>
      </c>
      <c r="H646" t="inlineStr">
        <is>
          <t>Kyrkan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46305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36065-2026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46267</v>
      </c>
      <c r="E648" s="1" t="n">
        <v>46305</v>
      </c>
      <c r="F648" t="inlineStr">
        <is>
          <t>DALARNAS LÄN</t>
        </is>
      </c>
      <c r="G648" t="inlineStr">
        <is>
          <t>LUDVIKA</t>
        </is>
      </c>
      <c r="I648" t="n">
        <v>8.5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31776-2026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46230</v>
      </c>
      <c r="E649" s="1" t="n">
        <v>46305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36820-2026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46272</v>
      </c>
      <c r="E650" s="1" t="n">
        <v>46305</v>
      </c>
      <c r="F650" t="inlineStr">
        <is>
          <t>DALARNAS LÄN</t>
        </is>
      </c>
      <c r="G650" t="inlineStr">
        <is>
          <t>LUDVIKA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46305</v>
      </c>
      <c r="F651" t="inlineStr">
        <is>
          <t>DALARNAS LÄN</t>
        </is>
      </c>
      <c r="G651" t="inlineStr">
        <is>
          <t>LUDVIKA</t>
        </is>
      </c>
      <c r="H651" t="inlineStr">
        <is>
          <t>Naturvårdsverket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37052-2026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46273</v>
      </c>
      <c r="E652" s="1" t="n">
        <v>46305</v>
      </c>
      <c r="F652" t="inlineStr">
        <is>
          <t>DALARNAS LÄN</t>
        </is>
      </c>
      <c r="G652" t="inlineStr">
        <is>
          <t>LUDVIKA</t>
        </is>
      </c>
      <c r="I652" t="n">
        <v>8.5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46230</v>
      </c>
      <c r="E653" s="1" t="n">
        <v>46305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37015-2026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46273</v>
      </c>
      <c r="E654" s="1" t="n">
        <v>46305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37033-2026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46273</v>
      </c>
      <c r="E655" s="1" t="n">
        <v>46305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10.1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46273</v>
      </c>
      <c r="E656" s="1" t="n">
        <v>46305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46267</v>
      </c>
      <c r="E657" s="1" t="n">
        <v>46305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36073-2026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46267</v>
      </c>
      <c r="E658" s="1" t="n">
        <v>46305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37359-2026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46275</v>
      </c>
      <c r="E659" s="1" t="n">
        <v>46305</v>
      </c>
      <c r="F659" t="inlineStr">
        <is>
          <t>DALARNAS LÄN</t>
        </is>
      </c>
      <c r="G659" t="inlineStr">
        <is>
          <t>LUDVIKA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37626-2026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46276</v>
      </c>
      <c r="E660" s="1" t="n">
        <v>46305</v>
      </c>
      <c r="F660" t="inlineStr">
        <is>
          <t>DALARNAS LÄN</t>
        </is>
      </c>
      <c r="G660" t="inlineStr">
        <is>
          <t>LUDVIKA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46280</v>
      </c>
      <c r="E661" s="1" t="n">
        <v>46305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46305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37719-2026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46279</v>
      </c>
      <c r="E663" s="1" t="n">
        <v>46305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46305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46305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46279</v>
      </c>
      <c r="E666" s="1" t="n">
        <v>46305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38160-2026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46281</v>
      </c>
      <c r="E667" s="1" t="n">
        <v>46305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46282</v>
      </c>
      <c r="E668" s="1" t="n">
        <v>46305</v>
      </c>
      <c r="F668" t="inlineStr">
        <is>
          <t>DALARNAS LÄN</t>
        </is>
      </c>
      <c r="G668" t="inlineStr">
        <is>
          <t>LUDVIKA</t>
        </is>
      </c>
      <c r="H668" t="inlineStr">
        <is>
          <t>Naturvårdsverket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32752-2026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46241</v>
      </c>
      <c r="E669" s="1" t="n">
        <v>46305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46241</v>
      </c>
      <c r="E670" s="1" t="n">
        <v>46305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32749-2026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46241</v>
      </c>
      <c r="E671" s="1" t="n">
        <v>46305</v>
      </c>
      <c r="F671" t="inlineStr">
        <is>
          <t>DALARNAS LÄN</t>
        </is>
      </c>
      <c r="G671" t="inlineStr">
        <is>
          <t>LUDVIKA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38638-2026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46283</v>
      </c>
      <c r="E672" s="1" t="n">
        <v>46305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38620-2026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46305</v>
      </c>
      <c r="F673" t="inlineStr">
        <is>
          <t>DALARNAS LÄN</t>
        </is>
      </c>
      <c r="G673" t="inlineStr">
        <is>
          <t>LUDVIKA</t>
        </is>
      </c>
      <c r="H673" t="inlineStr">
        <is>
          <t>Naturvårdsverket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32780-2026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46241</v>
      </c>
      <c r="E674" s="1" t="n">
        <v>46305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32755-2026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46241</v>
      </c>
      <c r="E675" s="1" t="n">
        <v>46305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38656-2026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46283</v>
      </c>
      <c r="E676" s="1" t="n">
        <v>46305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38661-2026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46283</v>
      </c>
      <c r="E677" s="1" t="n">
        <v>46305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6.5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39093-2026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46287</v>
      </c>
      <c r="E678" s="1" t="n">
        <v>46305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39104-2026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46287</v>
      </c>
      <c r="E679" s="1" t="n">
        <v>46305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39435-2026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46288</v>
      </c>
      <c r="E680" s="1" t="n">
        <v>46305</v>
      </c>
      <c r="F680" t="inlineStr">
        <is>
          <t>DALARNAS LÄN</t>
        </is>
      </c>
      <c r="G680" t="inlineStr">
        <is>
          <t>LUDVIKA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33419-2026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46247</v>
      </c>
      <c r="E681" s="1" t="n">
        <v>46305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46305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46247</v>
      </c>
      <c r="E683" s="1" t="n">
        <v>46305</v>
      </c>
      <c r="F683" t="inlineStr">
        <is>
          <t>DALARNAS LÄN</t>
        </is>
      </c>
      <c r="G683" t="inlineStr">
        <is>
          <t>LUDVIKA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38869-2026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46286</v>
      </c>
      <c r="E684" s="1" t="n">
        <v>46305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39789-2026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46290</v>
      </c>
      <c r="E685" s="1" t="n">
        <v>46305</v>
      </c>
      <c r="F685" t="inlineStr">
        <is>
          <t>DALARNAS LÄN</t>
        </is>
      </c>
      <c r="G685" t="inlineStr">
        <is>
          <t>LUDVIKA</t>
        </is>
      </c>
      <c r="H685" t="inlineStr">
        <is>
          <t>Naturvårdsverket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39777-2026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46290</v>
      </c>
      <c r="E686" s="1" t="n">
        <v>46305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39854-2026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46290</v>
      </c>
      <c r="E687" s="1" t="n">
        <v>46305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38831-2026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46286</v>
      </c>
      <c r="E688" s="1" t="n">
        <v>46305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46305</v>
      </c>
      <c r="F689" t="inlineStr">
        <is>
          <t>DALARNAS LÄN</t>
        </is>
      </c>
      <c r="G689" t="inlineStr">
        <is>
          <t>LUDVIKA</t>
        </is>
      </c>
      <c r="H689" t="inlineStr">
        <is>
          <t>Naturvårdsverket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39878-2026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46290</v>
      </c>
      <c r="E690" s="1" t="n">
        <v>46305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40431-2026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46294</v>
      </c>
      <c r="E691" s="1" t="n">
        <v>46305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46248</v>
      </c>
      <c r="E692" s="1" t="n">
        <v>46305</v>
      </c>
      <c r="F692" t="inlineStr">
        <is>
          <t>DALARNAS LÄN</t>
        </is>
      </c>
      <c r="G692" t="inlineStr">
        <is>
          <t>LUDVIKA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40438-2026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46294</v>
      </c>
      <c r="E693" s="1" t="n">
        <v>46305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40445-2026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46294</v>
      </c>
      <c r="E694" s="1" t="n">
        <v>46305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40392-2026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46294</v>
      </c>
      <c r="E695" s="1" t="n">
        <v>46305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40384-2026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46294</v>
      </c>
      <c r="E696" s="1" t="n">
        <v>46305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46305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34638-2026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46255</v>
      </c>
      <c r="E698" s="1" t="n">
        <v>46305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34631-2026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46305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46305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17913-2026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46122</v>
      </c>
      <c r="E701" s="1" t="n">
        <v>46305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34558-2026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46305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34599-2026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46255</v>
      </c>
      <c r="E703" s="1" t="n">
        <v>46305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46255</v>
      </c>
      <c r="E704" s="1" t="n">
        <v>46305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46301</v>
      </c>
      <c r="E705" s="1" t="n">
        <v>46305</v>
      </c>
      <c r="F705" t="inlineStr">
        <is>
          <t>DALARNAS LÄN</t>
        </is>
      </c>
      <c r="G705" t="inlineStr">
        <is>
          <t>LUDVIKA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34796-2026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46258</v>
      </c>
      <c r="E706" s="1" t="n">
        <v>46305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34147-2026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46253</v>
      </c>
      <c r="E707" s="1" t="n">
        <v>46305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34780-2026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46258</v>
      </c>
      <c r="E708" s="1" t="n">
        <v>46305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35490-2026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46262</v>
      </c>
      <c r="E709" s="1" t="n">
        <v>46305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33397-2026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46247</v>
      </c>
      <c r="E710" s="1" t="n">
        <v>46305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21345-2026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46147</v>
      </c>
      <c r="E711" s="1" t="n">
        <v>46305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29734-2026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46305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46260</v>
      </c>
      <c r="E713" s="1" t="n">
        <v>46305</v>
      </c>
      <c r="F713" t="inlineStr">
        <is>
          <t>DALARNAS LÄN</t>
        </is>
      </c>
      <c r="G713" t="inlineStr">
        <is>
          <t>LUDVIKA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46260</v>
      </c>
      <c r="E714" s="1" t="n">
        <v>46305</v>
      </c>
      <c r="F714" t="inlineStr">
        <is>
          <t>DALARNAS LÄN</t>
        </is>
      </c>
      <c r="G714" t="inlineStr">
        <is>
          <t>LUDVIKA</t>
        </is>
      </c>
      <c r="I714" t="n">
        <v>0.3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35648-2026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46265</v>
      </c>
      <c r="E715" s="1" t="n">
        <v>46305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35103-2026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46260</v>
      </c>
      <c r="E716" s="1" t="n">
        <v>46305</v>
      </c>
      <c r="F716" t="inlineStr">
        <is>
          <t>DALARNAS LÄN</t>
        </is>
      </c>
      <c r="G716" t="inlineStr">
        <is>
          <t>LUDVIKA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31393-2026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46220</v>
      </c>
      <c r="E717" s="1" t="n">
        <v>46305</v>
      </c>
      <c r="F717" t="inlineStr">
        <is>
          <t>DALARNAS LÄN</t>
        </is>
      </c>
      <c r="G717" t="inlineStr">
        <is>
          <t>LUDVIKA</t>
        </is>
      </c>
      <c r="H717" t="inlineStr">
        <is>
          <t>Naturvårdsverket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2837-2023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45167</v>
      </c>
      <c r="E718" s="1" t="n">
        <v>46305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1122-2023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45015</v>
      </c>
      <c r="E719" s="1" t="n">
        <v>46305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115.7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3660-2023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45216</v>
      </c>
      <c r="E720" s="1" t="n">
        <v>46305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5.9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1246-2024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45400</v>
      </c>
      <c r="E721" s="1" t="n">
        <v>46305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35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1096-2024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45391</v>
      </c>
      <c r="E722" s="1" t="n">
        <v>46305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26.7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4863-2022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44805</v>
      </c>
      <c r="E723" s="1" t="n">
        <v>46305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1113-2023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46305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37.9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1815-2026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46190</v>
      </c>
      <c r="E725" s="1" t="n">
        <v>46305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2026-10-10T02:02:45Z</dcterms:created>
  <dcterms:modified xmlns:dcterms="http://purl.org/dc/terms/" xmlns:xsi="http://www.w3.org/2001/XMLSchema-instance" xsi:type="dcterms:W3CDTF">2026-10-10T02:02:45Z</dcterms:modified>
</cp:coreProperties>
</file>
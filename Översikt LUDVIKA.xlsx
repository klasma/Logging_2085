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46297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46297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46297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46297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46297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46297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46297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46297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46297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46297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46297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46297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46297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46297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46297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46297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46297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46297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46297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46297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31070-2026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46216</v>
      </c>
      <c r="E40" s="1" t="n">
        <v>46297</v>
      </c>
      <c r="F40" t="inlineStr">
        <is>
          <t>DALARNAS LÄN</t>
        </is>
      </c>
      <c r="G40" t="inlineStr">
        <is>
          <t>LUDVIKA</t>
        </is>
      </c>
      <c r="I40" t="n">
        <v>8.9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13</v>
      </c>
      <c r="U40" t="n">
        <v>11</v>
      </c>
      <c r="V40" s="2" t="inlineStr">
        <is>
          <t>Knärot
Blåsippa
Spillkråka
Sälg
Tjäder</t>
        </is>
      </c>
      <c r="W40">
        <f>HYPERLINK("https://klasma.github.io/Logging_2085/artfynd/A 31070-2026 artfynd.xlsx", "A 31070-2026")</f>
        <v/>
      </c>
      <c r="X40">
        <f>HYPERLINK("https://klasma.github.io/Logging_2085/kartor/A 31070-2026 karta.png", "A 31070-2026")</f>
        <v/>
      </c>
      <c r="Y40">
        <f>HYPERLINK("https://klasma.github.io/Logging_2085/kartor_geotiff/A 31070-2026 georefererad karta.tif", "A 31070-2026")</f>
        <v/>
      </c>
      <c r="Z40">
        <f>HYPERLINK("https://klasma.github.io/Logging_2085/knärot/A 31070-2026 karta knärot.png", "A 31070-2026")</f>
        <v/>
      </c>
      <c r="AA40">
        <f>HYPERLINK("https://klasma.github.io/Logging_2085/klagomål/A 31070-2026 FSC-klagomål.docx", "A 31070-2026")</f>
        <v/>
      </c>
      <c r="AB40">
        <f>HYPERLINK("https://klasma.github.io/Logging_2085/klagomålsmail/A 31070-2026 FSC-klagomål mail.docx", "A 31070-2026")</f>
        <v/>
      </c>
      <c r="AC40">
        <f>HYPERLINK("https://klasma.github.io/Logging_2085/tillsyn/A 31070-2026 tillsynsbegäran.docx", "A 31070-2026")</f>
        <v/>
      </c>
      <c r="AD40">
        <f>HYPERLINK("https://klasma.github.io/Logging_2085/tillsynsmail/A 31070-2026 tillsynsbegäran mail.docx", "A 31070-2026")</f>
        <v/>
      </c>
      <c r="AE40">
        <f>HYPERLINK("https://klasma.github.io/Logging_2085/fåglar/A 31070-2026 prioriterade fågelarter.docx", "A 31070-2026")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46297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46297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46297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46297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46297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46297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46297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35101-2026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46260</v>
      </c>
      <c r="E49" s="1" t="n">
        <v>46297</v>
      </c>
      <c r="F49" t="inlineStr">
        <is>
          <t>DALARNAS LÄN</t>
        </is>
      </c>
      <c r="G49" t="inlineStr">
        <is>
          <t>LUDVIKA</t>
        </is>
      </c>
      <c r="I49" t="n">
        <v>2.3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7</v>
      </c>
      <c r="U49" t="n">
        <v>7</v>
      </c>
      <c r="V49" s="2" t="inlineStr">
        <is>
          <t>Tretåig hackspett
Rödgul trumpetsvamp
Järpe
Spillkråka</t>
        </is>
      </c>
      <c r="W49">
        <f>HYPERLINK("https://klasma.github.io/Logging_2085/artfynd/A 35101-2026 artfynd.xlsx", "A 35101-2026")</f>
        <v/>
      </c>
      <c r="X49">
        <f>HYPERLINK("https://klasma.github.io/Logging_2085/kartor/A 35101-2026 karta.png", "A 35101-2026")</f>
        <v/>
      </c>
      <c r="Y49">
        <f>HYPERLINK("https://klasma.github.io/Logging_2085/kartor_geotiff/A 35101-2026 georefererad karta.tif", "A 35101-2026")</f>
        <v/>
      </c>
      <c r="AA49">
        <f>HYPERLINK("https://klasma.github.io/Logging_2085/klagomål/A 35101-2026 FSC-klagomål.docx", "A 35101-2026")</f>
        <v/>
      </c>
      <c r="AB49">
        <f>HYPERLINK("https://klasma.github.io/Logging_2085/klagomålsmail/A 35101-2026 FSC-klagomål mail.docx", "A 35101-2026")</f>
        <v/>
      </c>
      <c r="AC49">
        <f>HYPERLINK("https://klasma.github.io/Logging_2085/tillsyn/A 35101-2026 tillsynsbegäran.docx", "A 35101-2026")</f>
        <v/>
      </c>
      <c r="AD49">
        <f>HYPERLINK("https://klasma.github.io/Logging_2085/tillsynsmail/A 35101-2026 tillsynsbegäran mail.docx", "A 35101-2026")</f>
        <v/>
      </c>
      <c r="AE49">
        <f>HYPERLINK("https://klasma.github.io/Logging_2085/fåglar/A 35101-2026 prioriterade fågelarter.docx", "A 35101-2026")</f>
        <v/>
      </c>
    </row>
    <row r="50" ht="15" customHeight="1">
      <c r="A50" t="inlineStr">
        <is>
          <t>A 35100-2026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46260</v>
      </c>
      <c r="E50" s="1" t="n">
        <v>46297</v>
      </c>
      <c r="F50" t="inlineStr">
        <is>
          <t>DALARNAS LÄN</t>
        </is>
      </c>
      <c r="G50" t="inlineStr">
        <is>
          <t>LUDVIKA</t>
        </is>
      </c>
      <c r="I50" t="n">
        <v>1.6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Knärot
Trådticka
Spillkråka
Sälg</t>
        </is>
      </c>
      <c r="W50">
        <f>HYPERLINK("https://klasma.github.io/Logging_2085/artfynd/A 35100-2026 artfynd.xlsx", "A 35100-2026")</f>
        <v/>
      </c>
      <c r="X50">
        <f>HYPERLINK("https://klasma.github.io/Logging_2085/kartor/A 35100-2026 karta.png", "A 35100-2026")</f>
        <v/>
      </c>
      <c r="Y50">
        <f>HYPERLINK("https://klasma.github.io/Logging_2085/kartor_geotiff/A 35100-2026 georefererad karta.tif", "A 35100-2026")</f>
        <v/>
      </c>
      <c r="Z50">
        <f>HYPERLINK("https://klasma.github.io/Logging_2085/knärot/A 35100-2026 karta knärot.png", "A 35100-2026")</f>
        <v/>
      </c>
      <c r="AA50">
        <f>HYPERLINK("https://klasma.github.io/Logging_2085/klagomål/A 35100-2026 FSC-klagomål.docx", "A 35100-2026")</f>
        <v/>
      </c>
      <c r="AB50">
        <f>HYPERLINK("https://klasma.github.io/Logging_2085/klagomålsmail/A 35100-2026 FSC-klagomål mail.docx", "A 35100-2026")</f>
        <v/>
      </c>
      <c r="AC50">
        <f>HYPERLINK("https://klasma.github.io/Logging_2085/tillsyn/A 35100-2026 tillsynsbegäran.docx", "A 35100-2026")</f>
        <v/>
      </c>
      <c r="AD50">
        <f>HYPERLINK("https://klasma.github.io/Logging_2085/tillsynsmail/A 35100-2026 tillsynsbegäran mail.docx", "A 35100-2026")</f>
        <v/>
      </c>
      <c r="AE50">
        <f>HYPERLINK("https://klasma.github.io/Logging_2085/fåglar/A 35100-2026 prioriterade fågelarter.docx", "A 35100-2026")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46297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46297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46297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38635-2026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46283</v>
      </c>
      <c r="E54" s="1" t="n">
        <v>46297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Lunglav
Mörk husmossa
Vedticka
Vågbandad barkbock</t>
        </is>
      </c>
      <c r="W54">
        <f>HYPERLINK("https://klasma.github.io/Logging_2085/artfynd/A 38635-2026 artfynd.xlsx", "A 38635-2026")</f>
        <v/>
      </c>
      <c r="X54">
        <f>HYPERLINK("https://klasma.github.io/Logging_2085/kartor/A 38635-2026 karta.png", "A 38635-2026")</f>
        <v/>
      </c>
      <c r="Y54">
        <f>HYPERLINK("https://klasma.github.io/Logging_2085/kartor_geotiff/A 38635-2026 georefererad karta.tif", "A 38635-2026")</f>
        <v/>
      </c>
      <c r="AA54">
        <f>HYPERLINK("https://klasma.github.io/Logging_2085/klagomål/A 38635-2026 FSC-klagomål.docx", "A 38635-2026")</f>
        <v/>
      </c>
      <c r="AB54">
        <f>HYPERLINK("https://klasma.github.io/Logging_2085/klagomålsmail/A 38635-2026 FSC-klagomål mail.docx", "A 38635-2026")</f>
        <v/>
      </c>
      <c r="AC54">
        <f>HYPERLINK("https://klasma.github.io/Logging_2085/tillsyn/A 38635-2026 tillsynsbegäran.docx", "A 38635-2026")</f>
        <v/>
      </c>
      <c r="AD54">
        <f>HYPERLINK("https://klasma.github.io/Logging_2085/tillsynsmail/A 38635-2026 tillsynsbegäran mail.docx", "A 38635-2026")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46297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46297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A 11705-2024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46297</v>
      </c>
      <c r="F57" t="inlineStr">
        <is>
          <t>DALARNAS LÄN</t>
        </is>
      </c>
      <c r="G57" t="inlineStr">
        <is>
          <t>LUDVIKA</t>
        </is>
      </c>
      <c r="I57" t="n">
        <v>35.4</v>
      </c>
      <c r="J57" t="n">
        <v>2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45</v>
      </c>
      <c r="U57" t="n">
        <v>45</v>
      </c>
      <c r="V57" s="2" t="inlineStr">
        <is>
          <t>Garnlav
Kortskaftad ärgspik
Tretåig hackspett
Spillkråka</t>
        </is>
      </c>
      <c r="W57">
        <f>HYPERLINK("https://klasma.github.io/Logging_2085/artfynd/A 11705-2024 artfynd.xlsx", "A 11705-2024")</f>
        <v/>
      </c>
      <c r="X57">
        <f>HYPERLINK("https://klasma.github.io/Logging_2085/kartor/A 11705-2024 karta.png", "A 11705-2024")</f>
        <v/>
      </c>
      <c r="Y57">
        <f>HYPERLINK("https://klasma.github.io/Logging_2085/kartor_geotiff/A 11705-2024 georefererad karta.tif", "A 11705-2024")</f>
        <v/>
      </c>
      <c r="AA57">
        <f>HYPERLINK("https://klasma.github.io/Logging_2085/klagomål/A 11705-2024 FSC-klagomål.docx", "A 11705-2024")</f>
        <v/>
      </c>
      <c r="AB57">
        <f>HYPERLINK("https://klasma.github.io/Logging_2085/klagomålsmail/A 11705-2024 FSC-klagomål mail.docx", "A 11705-2024")</f>
        <v/>
      </c>
      <c r="AC57">
        <f>HYPERLINK("https://klasma.github.io/Logging_2085/tillsyn/A 11705-2024 tillsynsbegäran.docx", "A 11705-2024")</f>
        <v/>
      </c>
      <c r="AD57">
        <f>HYPERLINK("https://klasma.github.io/Logging_2085/tillsynsmail/A 11705-2024 tillsynsbegäran mail.docx", "A 11705-2024")</f>
        <v/>
      </c>
      <c r="AE57">
        <f>HYPERLINK("https://klasma.github.io/Logging_2085/fåglar/A 11705-2024 prioriterade fågelarter.docx", "A 11705-2024")</f>
        <v/>
      </c>
    </row>
    <row r="58" ht="15" customHeight="1">
      <c r="A58" t="inlineStr">
        <is>
          <t>A 47044-2025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46297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2.7</v>
      </c>
      <c r="J58" t="n">
        <v>4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4</v>
      </c>
      <c r="T58" t="n">
        <v>4</v>
      </c>
      <c r="U58" t="n">
        <v>4</v>
      </c>
      <c r="V58" s="2" t="inlineStr">
        <is>
          <t>Duvhök
Tretåig hackspett
Järpe
Tjäder</t>
        </is>
      </c>
      <c r="W58">
        <f>HYPERLINK("https://klasma.github.io/Logging_2085/artfynd/A 47044-2025 artfynd.xlsx", "A 47044-2025")</f>
        <v/>
      </c>
      <c r="X58">
        <f>HYPERLINK("https://klasma.github.io/Logging_2085/kartor/A 47044-2025 karta.png", "A 47044-2025")</f>
        <v/>
      </c>
      <c r="Y58">
        <f>HYPERLINK("https://klasma.github.io/Logging_2085/kartor_geotiff/A 47044-2025 georefererad karta.tif", "A 47044-2025")</f>
        <v/>
      </c>
      <c r="AA58">
        <f>HYPERLINK("https://klasma.github.io/Logging_2085/klagomål/A 47044-2025 FSC-klagomål.docx", "A 47044-2025")</f>
        <v/>
      </c>
      <c r="AB58">
        <f>HYPERLINK("https://klasma.github.io/Logging_2085/klagomålsmail/A 47044-2025 FSC-klagomål mail.docx", "A 47044-2025")</f>
        <v/>
      </c>
      <c r="AC58">
        <f>HYPERLINK("https://klasma.github.io/Logging_2085/tillsyn/A 47044-2025 tillsynsbegäran.docx", "A 47044-2025")</f>
        <v/>
      </c>
      <c r="AD58">
        <f>HYPERLINK("https://klasma.github.io/Logging_2085/tillsynsmail/A 47044-2025 tillsynsbegäran mail.docx", "A 47044-2025")</f>
        <v/>
      </c>
      <c r="AE58">
        <f>HYPERLINK("https://klasma.github.io/Logging_2085/fåglar/A 47044-2025 prioriterade fågelarter.docx", "A 47044-2025")</f>
        <v/>
      </c>
    </row>
    <row r="59" ht="15" customHeight="1">
      <c r="A59" t="inlineStr">
        <is>
          <t>S 1284-2022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44624</v>
      </c>
      <c r="E59" s="1" t="n">
        <v>46297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374</v>
      </c>
      <c r="J59" t="n">
        <v>3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3</v>
      </c>
      <c r="V59" s="2" t="inlineStr">
        <is>
          <t>Korallblylav
Purpurknipprot
Järpe
Orre</t>
        </is>
      </c>
      <c r="W59">
        <f>HYPERLINK("https://klasma.github.io/Logging_2085/artfynd/S 1284-2022 artfynd.xlsx", "S 1284-2022")</f>
        <v/>
      </c>
      <c r="X59">
        <f>HYPERLINK("https://klasma.github.io/Logging_2085/kartor/S 1284-2022 karta.png", "S 1284-2022")</f>
        <v/>
      </c>
      <c r="Y59">
        <f>HYPERLINK("https://klasma.github.io/Logging_2085/kartor_geotiff/S 1284-2022 georefererad karta.tif", "S 1284-2022")</f>
        <v/>
      </c>
      <c r="AA59">
        <f>HYPERLINK("https://klasma.github.io/Logging_2085/klagomål/S 1284-2022 FSC-klagomål.docx", "S 1284-2022")</f>
        <v/>
      </c>
      <c r="AB59">
        <f>HYPERLINK("https://klasma.github.io/Logging_2085/klagomålsmail/S 1284-2022 FSC-klagomål mail.docx", "S 1284-2022")</f>
        <v/>
      </c>
      <c r="AC59">
        <f>HYPERLINK("https://klasma.github.io/Logging_2085/tillsyn/S 1284-2022 tillsynsbegäran.docx", "S 1284-2022")</f>
        <v/>
      </c>
      <c r="AD59">
        <f>HYPERLINK("https://klasma.github.io/Logging_2085/tillsynsmail/S 1284-2022 tillsynsbegäran mail.docx", "S 1284-2022")</f>
        <v/>
      </c>
      <c r="AE59">
        <f>HYPERLINK("https://klasma.github.io/Logging_2085/fåglar/S 1284-2022 prioriterade fågelarter.docx", "S 1284-2022")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46297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46297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46297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46297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24425-2026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46168</v>
      </c>
      <c r="E64" s="1" t="n">
        <v>46297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5.6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Tretåig hackspett
Spillkråka
Sälg</t>
        </is>
      </c>
      <c r="W64">
        <f>HYPERLINK("https://klasma.github.io/Logging_2085/artfynd/A 24425-2026 artfynd.xlsx", "A 24425-2026")</f>
        <v/>
      </c>
      <c r="X64">
        <f>HYPERLINK("https://klasma.github.io/Logging_2085/kartor/A 24425-2026 karta.png", "A 24425-2026")</f>
        <v/>
      </c>
      <c r="Y64">
        <f>HYPERLINK("https://klasma.github.io/Logging_2085/kartor_geotiff/A 24425-2026 georefererad karta.tif", "A 24425-2026")</f>
        <v/>
      </c>
      <c r="AA64">
        <f>HYPERLINK("https://klasma.github.io/Logging_2085/klagomål/A 24425-2026 FSC-klagomål.docx", "A 24425-2026")</f>
        <v/>
      </c>
      <c r="AB64">
        <f>HYPERLINK("https://klasma.github.io/Logging_2085/klagomålsmail/A 24425-2026 FSC-klagomål mail.docx", "A 24425-2026")</f>
        <v/>
      </c>
      <c r="AC64">
        <f>HYPERLINK("https://klasma.github.io/Logging_2085/tillsyn/A 24425-2026 tillsynsbegäran.docx", "A 24425-2026")</f>
        <v/>
      </c>
      <c r="AD64">
        <f>HYPERLINK("https://klasma.github.io/Logging_2085/tillsynsmail/A 24425-2026 tillsynsbegäran mail.docx", "A 24425-2026")</f>
        <v/>
      </c>
      <c r="AE64">
        <f>HYPERLINK("https://klasma.github.io/Logging_2085/fåglar/A 24425-2026 prioriterade fågelarter.docx", "A 24425-2026")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46297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46297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S 1583-2026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46170</v>
      </c>
      <c r="E67" s="1" t="n">
        <v>46297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3.5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Ullticka
Vedticka
Spillkråka</t>
        </is>
      </c>
      <c r="W67">
        <f>HYPERLINK("https://klasma.github.io/Logging_2085/artfynd/S 1583-2026 artfynd.xlsx", "S 1583-2026")</f>
        <v/>
      </c>
      <c r="X67">
        <f>HYPERLINK("https://klasma.github.io/Logging_2085/kartor/S 1583-2026 karta.png", "S 1583-2026")</f>
        <v/>
      </c>
      <c r="Y67">
        <f>HYPERLINK("https://klasma.github.io/Logging_2085/kartor_geotiff/S 1583-2026 georefererad karta.tif", "S 1583-2026")</f>
        <v/>
      </c>
      <c r="AA67">
        <f>HYPERLINK("https://klasma.github.io/Logging_2085/klagomål/S 1583-2026 FSC-klagomål.docx", "S 1583-2026")</f>
        <v/>
      </c>
      <c r="AB67">
        <f>HYPERLINK("https://klasma.github.io/Logging_2085/klagomålsmail/S 1583-2026 FSC-klagomål mail.docx", "S 1583-2026")</f>
        <v/>
      </c>
      <c r="AC67">
        <f>HYPERLINK("https://klasma.github.io/Logging_2085/tillsyn/S 1583-2026 tillsynsbegäran.docx", "S 1583-2026")</f>
        <v/>
      </c>
      <c r="AD67">
        <f>HYPERLINK("https://klasma.github.io/Logging_2085/tillsynsmail/S 1583-2026 tillsynsbegäran mail.docx", "S 1583-2026")</f>
        <v/>
      </c>
      <c r="AE67">
        <f>HYPERLINK("https://klasma.github.io/Logging_2085/fåglar/S 1583-2026 prioriterade fågelarter.docx", "S 1583-2026")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46297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42558-2022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44831</v>
      </c>
      <c r="E69" s="1" t="n">
        <v>46297</v>
      </c>
      <c r="F69" t="inlineStr">
        <is>
          <t>DALARNAS LÄN</t>
        </is>
      </c>
      <c r="G69" t="inlineStr">
        <is>
          <t>LUDVIKA</t>
        </is>
      </c>
      <c r="H69" t="inlineStr">
        <is>
          <t>Naturvårdsverket</t>
        </is>
      </c>
      <c r="I69" t="n">
        <v>4.9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Gräddporing
Lopplummer (aggregat)</t>
        </is>
      </c>
      <c r="W69">
        <f>HYPERLINK("https://klasma.github.io/Logging_2085/artfynd/A 42558-2022 artfynd.xlsx", "A 42558-2022")</f>
        <v/>
      </c>
      <c r="X69">
        <f>HYPERLINK("https://klasma.github.io/Logging_2085/kartor/A 42558-2022 karta.png", "A 42558-2022")</f>
        <v/>
      </c>
      <c r="Y69">
        <f>HYPERLINK("https://klasma.github.io/Logging_2085/kartor_geotiff/A 42558-2022 georefererad karta.tif", "A 42558-2022")</f>
        <v/>
      </c>
      <c r="AA69">
        <f>HYPERLINK("https://klasma.github.io/Logging_2085/klagomål/A 42558-2022 FSC-klagomål.docx", "A 42558-2022")</f>
        <v/>
      </c>
      <c r="AB69">
        <f>HYPERLINK("https://klasma.github.io/Logging_2085/klagomålsmail/A 42558-2022 FSC-klagomål mail.docx", "A 42558-2022")</f>
        <v/>
      </c>
      <c r="AC69">
        <f>HYPERLINK("https://klasma.github.io/Logging_2085/tillsyn/A 42558-2022 tillsynsbegäran.docx", "A 42558-2022")</f>
        <v/>
      </c>
      <c r="AD69">
        <f>HYPERLINK("https://klasma.github.io/Logging_2085/tillsynsmail/A 42558-2022 tillsynsbegäran mail.docx", "A 42558-2022")</f>
        <v/>
      </c>
    </row>
    <row r="70" ht="15" customHeight="1">
      <c r="A70" t="inlineStr">
        <is>
          <t>A 11755-2023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46297</v>
      </c>
      <c r="F70" t="inlineStr">
        <is>
          <t>DALARNAS LÄN</t>
        </is>
      </c>
      <c r="G70" t="inlineStr">
        <is>
          <t>LUDVIKA</t>
        </is>
      </c>
      <c r="H70" t="inlineStr">
        <is>
          <t>Övriga Aktiebolag</t>
        </is>
      </c>
      <c r="I70" t="n">
        <v>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Garnlav
Spillkråka</t>
        </is>
      </c>
      <c r="W70">
        <f>HYPERLINK("https://klasma.github.io/Logging_2085/artfynd/A 11755-2023 artfynd.xlsx", "A 11755-2023")</f>
        <v/>
      </c>
      <c r="X70">
        <f>HYPERLINK("https://klasma.github.io/Logging_2085/kartor/A 11755-2023 karta.png", "A 11755-2023")</f>
        <v/>
      </c>
      <c r="Y70">
        <f>HYPERLINK("https://klasma.github.io/Logging_2085/kartor_geotiff/A 11755-2023 georefererad karta.tif", "A 11755-2023")</f>
        <v/>
      </c>
      <c r="AA70">
        <f>HYPERLINK("https://klasma.github.io/Logging_2085/klagomål/A 11755-2023 FSC-klagomål.docx", "A 11755-2023")</f>
        <v/>
      </c>
      <c r="AB70">
        <f>HYPERLINK("https://klasma.github.io/Logging_2085/klagomålsmail/A 11755-2023 FSC-klagomål mail.docx", "A 11755-2023")</f>
        <v/>
      </c>
      <c r="AC70">
        <f>HYPERLINK("https://klasma.github.io/Logging_2085/tillsyn/A 11755-2023 tillsynsbegäran.docx", "A 11755-2023")</f>
        <v/>
      </c>
      <c r="AD70">
        <f>HYPERLINK("https://klasma.github.io/Logging_2085/tillsynsmail/A 11755-2023 tillsynsbegäran mail.docx", "A 11755-2023")</f>
        <v/>
      </c>
      <c r="AE70">
        <f>HYPERLINK("https://klasma.github.io/Logging_2085/fåglar/A 11755-2023 prioriterade fågelarter.docx", "A 11755-2023")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46297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45225-2024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45575</v>
      </c>
      <c r="E72" s="1" t="n">
        <v>46297</v>
      </c>
      <c r="F72" t="inlineStr">
        <is>
          <t>DALARNAS LÄN</t>
        </is>
      </c>
      <c r="G72" t="inlineStr">
        <is>
          <t>LUDVIKA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Kungsfågel
Ärtsångare</t>
        </is>
      </c>
      <c r="W72">
        <f>HYPERLINK("https://klasma.github.io/Logging_2085/artfynd/A 45225-2024 artfynd.xlsx", "A 45225-2024")</f>
        <v/>
      </c>
      <c r="X72">
        <f>HYPERLINK("https://klasma.github.io/Logging_2085/kartor/A 45225-2024 karta.png", "A 45225-2024")</f>
        <v/>
      </c>
      <c r="Y72">
        <f>HYPERLINK("https://klasma.github.io/Logging_2085/kartor_geotiff/A 45225-2024 georefererad karta.tif", "A 45225-2024")</f>
        <v/>
      </c>
      <c r="AA72">
        <f>HYPERLINK("https://klasma.github.io/Logging_2085/klagomål/A 45225-2024 FSC-klagomål.docx", "A 45225-2024")</f>
        <v/>
      </c>
      <c r="AB72">
        <f>HYPERLINK("https://klasma.github.io/Logging_2085/klagomålsmail/A 45225-2024 FSC-klagomål mail.docx", "A 45225-2024")</f>
        <v/>
      </c>
      <c r="AC72">
        <f>HYPERLINK("https://klasma.github.io/Logging_2085/tillsyn/A 45225-2024 tillsynsbegäran.docx", "A 45225-2024")</f>
        <v/>
      </c>
      <c r="AD72">
        <f>HYPERLINK("https://klasma.github.io/Logging_2085/tillsynsmail/A 45225-2024 tillsynsbegäran mail.docx", "A 45225-2024")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46297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46297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46297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46297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62275-2022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46297</v>
      </c>
      <c r="F78" t="inlineStr">
        <is>
          <t>DALARNAS LÄN</t>
        </is>
      </c>
      <c r="G78" t="inlineStr">
        <is>
          <t>LUDVIKA</t>
        </is>
      </c>
      <c r="I78" t="n">
        <v>4.6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5</v>
      </c>
      <c r="U78" t="n">
        <v>5</v>
      </c>
      <c r="V78" s="2" t="inlineStr">
        <is>
          <t>Knärot
Brunklöver</t>
        </is>
      </c>
      <c r="W78">
        <f>HYPERLINK("https://klasma.github.io/Logging_2085/artfynd/A 62275-2022 artfynd.xlsx", "A 62275-2022")</f>
        <v/>
      </c>
      <c r="X78">
        <f>HYPERLINK("https://klasma.github.io/Logging_2085/kartor/A 62275-2022 karta.png", "A 62275-2022")</f>
        <v/>
      </c>
      <c r="Y78">
        <f>HYPERLINK("https://klasma.github.io/Logging_2085/kartor_geotiff/A 62275-2022 georefererad karta.tif", "A 62275-2022")</f>
        <v/>
      </c>
      <c r="Z78">
        <f>HYPERLINK("https://klasma.github.io/Logging_2085/knärot/A 62275-2022 karta knärot.png", "A 62275-2022")</f>
        <v/>
      </c>
      <c r="AA78">
        <f>HYPERLINK("https://klasma.github.io/Logging_2085/klagomål/A 62275-2022 FSC-klagomål.docx", "A 62275-2022")</f>
        <v/>
      </c>
      <c r="AB78">
        <f>HYPERLINK("https://klasma.github.io/Logging_2085/klagomålsmail/A 62275-2022 FSC-klagomål mail.docx", "A 62275-2022")</f>
        <v/>
      </c>
      <c r="AC78">
        <f>HYPERLINK("https://klasma.github.io/Logging_2085/tillsyn/A 62275-2022 tillsynsbegäran.docx", "A 62275-2022")</f>
        <v/>
      </c>
      <c r="AD78">
        <f>HYPERLINK("https://klasma.github.io/Logging_2085/tillsynsmail/A 62275-2022 tillsynsbegäran mail.docx", "A 62275-2022")</f>
        <v/>
      </c>
    </row>
    <row r="79" ht="15" customHeight="1">
      <c r="A79" t="inlineStr">
        <is>
          <t>A 21876-2026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46297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Tretåig hackspett</t>
        </is>
      </c>
      <c r="W79">
        <f>HYPERLINK("https://klasma.github.io/Logging_2085/artfynd/A 21876-2026 artfynd.xlsx", "A 21876-2026")</f>
        <v/>
      </c>
      <c r="X79">
        <f>HYPERLINK("https://klasma.github.io/Logging_2085/kartor/A 21876-2026 karta.png", "A 21876-2026")</f>
        <v/>
      </c>
      <c r="Y79">
        <f>HYPERLINK("https://klasma.github.io/Logging_2085/kartor_geotiff/A 21876-2026 georefererad karta.tif", "A 21876-2026")</f>
        <v/>
      </c>
      <c r="AA79">
        <f>HYPERLINK("https://klasma.github.io/Logging_2085/klagomål/A 21876-2026 FSC-klagomål.docx", "A 21876-2026")</f>
        <v/>
      </c>
      <c r="AB79">
        <f>HYPERLINK("https://klasma.github.io/Logging_2085/klagomålsmail/A 21876-2026 FSC-klagomål mail.docx", "A 21876-2026")</f>
        <v/>
      </c>
      <c r="AC79">
        <f>HYPERLINK("https://klasma.github.io/Logging_2085/tillsyn/A 21876-2026 tillsynsbegäran.docx", "A 21876-2026")</f>
        <v/>
      </c>
      <c r="AD79">
        <f>HYPERLINK("https://klasma.github.io/Logging_2085/tillsynsmail/A 21876-2026 tillsynsbegäran mail.docx", "A 21876-2026")</f>
        <v/>
      </c>
      <c r="AE79">
        <f>HYPERLINK("https://klasma.github.io/Logging_2085/fåglar/A 21876-2026 prioriterade fågelarter.docx", "A 21876-2026")</f>
        <v/>
      </c>
    </row>
    <row r="80" ht="15" customHeight="1">
      <c r="A80" t="inlineStr">
        <is>
          <t>A 18024-2026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46125</v>
      </c>
      <c r="E80" s="1" t="n">
        <v>46297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Skinnlav
Svavelriska</t>
        </is>
      </c>
      <c r="W80">
        <f>HYPERLINK("https://klasma.github.io/Logging_2085/artfynd/A 18024-2026 artfynd.xlsx", "A 18024-2026")</f>
        <v/>
      </c>
      <c r="X80">
        <f>HYPERLINK("https://klasma.github.io/Logging_2085/kartor/A 18024-2026 karta.png", "A 18024-2026")</f>
        <v/>
      </c>
      <c r="Y80">
        <f>HYPERLINK("https://klasma.github.io/Logging_2085/kartor_geotiff/A 18024-2026 georefererad karta.tif", "A 18024-2026")</f>
        <v/>
      </c>
      <c r="AA80">
        <f>HYPERLINK("https://klasma.github.io/Logging_2085/klagomål/A 18024-2026 FSC-klagomål.docx", "A 18024-2026")</f>
        <v/>
      </c>
      <c r="AB80">
        <f>HYPERLINK("https://klasma.github.io/Logging_2085/klagomålsmail/A 18024-2026 FSC-klagomål mail.docx", "A 18024-2026")</f>
        <v/>
      </c>
      <c r="AC80">
        <f>HYPERLINK("https://klasma.github.io/Logging_2085/tillsyn/A 18024-2026 tillsynsbegäran.docx", "A 18024-2026")</f>
        <v/>
      </c>
      <c r="AD80">
        <f>HYPERLINK("https://klasma.github.io/Logging_2085/tillsynsmail/A 18024-2026 tillsynsbegäran mail.docx", "A 18024-2026")</f>
        <v/>
      </c>
    </row>
    <row r="81" ht="15" customHeight="1">
      <c r="A81" t="inlineStr">
        <is>
          <t>A 33155-2024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45518</v>
      </c>
      <c r="E81" s="1" t="n">
        <v>46297</v>
      </c>
      <c r="F81" t="inlineStr">
        <is>
          <t>DALARNAS LÄN</t>
        </is>
      </c>
      <c r="G81" t="inlineStr">
        <is>
          <t>LUDVIKA</t>
        </is>
      </c>
      <c r="I81" t="n">
        <v>2.9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Brunpudrad nållav
Tretåig hackspett</t>
        </is>
      </c>
      <c r="W81">
        <f>HYPERLINK("https://klasma.github.io/Logging_2085/artfynd/A 33155-2024 artfynd.xlsx", "A 33155-2024")</f>
        <v/>
      </c>
      <c r="X81">
        <f>HYPERLINK("https://klasma.github.io/Logging_2085/kartor/A 33155-2024 karta.png", "A 33155-2024")</f>
        <v/>
      </c>
      <c r="Y81">
        <f>HYPERLINK("https://klasma.github.io/Logging_2085/kartor_geotiff/A 33155-2024 georefererad karta.tif", "A 33155-2024")</f>
        <v/>
      </c>
      <c r="AA81">
        <f>HYPERLINK("https://klasma.github.io/Logging_2085/klagomål/A 33155-2024 FSC-klagomål.docx", "A 33155-2024")</f>
        <v/>
      </c>
      <c r="AB81">
        <f>HYPERLINK("https://klasma.github.io/Logging_2085/klagomålsmail/A 33155-2024 FSC-klagomål mail.docx", "A 33155-2024")</f>
        <v/>
      </c>
      <c r="AC81">
        <f>HYPERLINK("https://klasma.github.io/Logging_2085/tillsyn/A 33155-2024 tillsynsbegäran.docx", "A 33155-2024")</f>
        <v/>
      </c>
      <c r="AD81">
        <f>HYPERLINK("https://klasma.github.io/Logging_2085/tillsynsmail/A 33155-2024 tillsynsbegäran mail.docx", "A 33155-2024")</f>
        <v/>
      </c>
      <c r="AE81">
        <f>HYPERLINK("https://klasma.github.io/Logging_2085/fåglar/A 33155-2024 prioriterade fågelarter.docx", "A 33155-2024")</f>
        <v/>
      </c>
    </row>
    <row r="82" ht="15" customHeight="1">
      <c r="A82" t="inlineStr">
        <is>
          <t>A 49051-2024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46297</v>
      </c>
      <c r="F82" t="inlineStr">
        <is>
          <t>DALARNAS LÄN</t>
        </is>
      </c>
      <c r="G82" t="inlineStr">
        <is>
          <t>LUDVIKA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2</v>
      </c>
      <c r="O82" t="n">
        <v>0</v>
      </c>
      <c r="P82" t="n">
        <v>0</v>
      </c>
      <c r="Q82" t="n">
        <v>2</v>
      </c>
      <c r="R82" t="n">
        <v>2</v>
      </c>
      <c r="S82" t="n">
        <v>2</v>
      </c>
      <c r="T82" t="n">
        <v>2</v>
      </c>
      <c r="U82" t="n">
        <v>0</v>
      </c>
      <c r="V82" s="2" t="inlineStr">
        <is>
          <t>Ladparasitspik
Vedkastanjelav</t>
        </is>
      </c>
      <c r="W82">
        <f>HYPERLINK("https://klasma.github.io/Logging_2085/artfynd/A 49051-2024 artfynd.xlsx", "A 49051-2024")</f>
        <v/>
      </c>
      <c r="X82">
        <f>HYPERLINK("https://klasma.github.io/Logging_2085/kartor/A 49051-2024 karta.png", "A 49051-2024")</f>
        <v/>
      </c>
      <c r="Y82">
        <f>HYPERLINK("https://klasma.github.io/Logging_2085/kartor_geotiff/A 49051-2024 georefererad karta.tif", "A 49051-2024")</f>
        <v/>
      </c>
      <c r="AA82">
        <f>HYPERLINK("https://klasma.github.io/Logging_2085/klagomål/A 49051-2024 FSC-klagomål.docx", "A 49051-2024")</f>
        <v/>
      </c>
      <c r="AB82">
        <f>HYPERLINK("https://klasma.github.io/Logging_2085/klagomålsmail/A 49051-2024 FSC-klagomål mail.docx", "A 49051-2024")</f>
        <v/>
      </c>
      <c r="AC82">
        <f>HYPERLINK("https://klasma.github.io/Logging_2085/tillsyn/A 49051-2024 tillsynsbegäran.docx", "A 49051-2024")</f>
        <v/>
      </c>
      <c r="AD82">
        <f>HYPERLINK("https://klasma.github.io/Logging_2085/tillsynsmail/A 49051-2024 tillsynsbegäran mail.docx", "A 49051-2024")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46297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55399-2025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46297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11.5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HYPERLINK("https://klasma.github.io/Logging_2085/artfynd/A 55399-2025 artfynd.xlsx", "A 55399-2025")</f>
        <v/>
      </c>
      <c r="X84">
        <f>HYPERLINK("https://klasma.github.io/Logging_2085/kartor/A 55399-2025 karta.png", "A 55399-2025")</f>
        <v/>
      </c>
      <c r="Y84">
        <f>HYPERLINK("https://klasma.github.io/Logging_2085/kartor_geotiff/A 55399-2025 georefererad karta.tif", "A 55399-2025")</f>
        <v/>
      </c>
      <c r="AA84">
        <f>HYPERLINK("https://klasma.github.io/Logging_2085/klagomål/A 55399-2025 FSC-klagomål.docx", "A 55399-2025")</f>
        <v/>
      </c>
      <c r="AB84">
        <f>HYPERLINK("https://klasma.github.io/Logging_2085/klagomålsmail/A 55399-2025 FSC-klagomål mail.docx", "A 55399-2025")</f>
        <v/>
      </c>
      <c r="AC84">
        <f>HYPERLINK("https://klasma.github.io/Logging_2085/tillsyn/A 55399-2025 tillsynsbegäran.docx", "A 55399-2025")</f>
        <v/>
      </c>
      <c r="AD84">
        <f>HYPERLINK("https://klasma.github.io/Logging_2085/tillsynsmail/A 55399-2025 tillsynsbegäran mail.docx", "A 55399-2025")</f>
        <v/>
      </c>
      <c r="AE84">
        <f>HYPERLINK("https://klasma.github.io/Logging_2085/fåglar/A 55399-2025 prioriterade fågelarter.docx", "A 55399-2025")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46297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24426-2026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46297</v>
      </c>
      <c r="F86" t="inlineStr">
        <is>
          <t>DALARNAS LÄN</t>
        </is>
      </c>
      <c r="G86" t="inlineStr">
        <is>
          <t>LUDVIKA</t>
        </is>
      </c>
      <c r="H86" t="inlineStr">
        <is>
          <t>Övriga Aktiebolag</t>
        </is>
      </c>
      <c r="I86" t="n">
        <v>12.4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Spillkråka
Sälg</t>
        </is>
      </c>
      <c r="W86">
        <f>HYPERLINK("https://klasma.github.io/Logging_2085/artfynd/A 24426-2026 artfynd.xlsx", "A 24426-2026")</f>
        <v/>
      </c>
      <c r="X86">
        <f>HYPERLINK("https://klasma.github.io/Logging_2085/kartor/A 24426-2026 karta.png", "A 24426-2026")</f>
        <v/>
      </c>
      <c r="Y86">
        <f>HYPERLINK("https://klasma.github.io/Logging_2085/kartor_geotiff/A 24426-2026 georefererad karta.tif", "A 24426-2026")</f>
        <v/>
      </c>
      <c r="AA86">
        <f>HYPERLINK("https://klasma.github.io/Logging_2085/klagomål/A 24426-2026 FSC-klagomål.docx", "A 24426-2026")</f>
        <v/>
      </c>
      <c r="AB86">
        <f>HYPERLINK("https://klasma.github.io/Logging_2085/klagomålsmail/A 24426-2026 FSC-klagomål mail.docx", "A 24426-2026")</f>
        <v/>
      </c>
      <c r="AC86">
        <f>HYPERLINK("https://klasma.github.io/Logging_2085/tillsyn/A 24426-2026 tillsynsbegäran.docx", "A 24426-2026")</f>
        <v/>
      </c>
      <c r="AD86">
        <f>HYPERLINK("https://klasma.github.io/Logging_2085/tillsynsmail/A 24426-2026 tillsynsbegäran mail.docx", "A 24426-2026")</f>
        <v/>
      </c>
      <c r="AE86">
        <f>HYPERLINK("https://klasma.github.io/Logging_2085/fåglar/A 24426-2026 prioriterade fågelarter.docx", "A 24426-2026")</f>
        <v/>
      </c>
    </row>
    <row r="87" ht="15" customHeight="1">
      <c r="A87" t="inlineStr">
        <is>
          <t>A 28639-2026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46297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Blå taggsvamp
Motaggsvamp</t>
        </is>
      </c>
      <c r="W87">
        <f>HYPERLINK("https://klasma.github.io/Logging_2085/artfynd/A 28639-2026 artfynd.xlsx", "A 28639-2026")</f>
        <v/>
      </c>
      <c r="X87">
        <f>HYPERLINK("https://klasma.github.io/Logging_2085/kartor/A 28639-2026 karta.png", "A 28639-2026")</f>
        <v/>
      </c>
      <c r="Y87">
        <f>HYPERLINK("https://klasma.github.io/Logging_2085/kartor_geotiff/A 28639-2026 georefererad karta.tif", "A 28639-2026")</f>
        <v/>
      </c>
      <c r="AA87">
        <f>HYPERLINK("https://klasma.github.io/Logging_2085/klagomål/A 28639-2026 FSC-klagomål.docx", "A 28639-2026")</f>
        <v/>
      </c>
      <c r="AB87">
        <f>HYPERLINK("https://klasma.github.io/Logging_2085/klagomålsmail/A 28639-2026 FSC-klagomål mail.docx", "A 28639-2026")</f>
        <v/>
      </c>
      <c r="AC87">
        <f>HYPERLINK("https://klasma.github.io/Logging_2085/tillsyn/A 28639-2026 tillsynsbegäran.docx", "A 28639-2026")</f>
        <v/>
      </c>
      <c r="AD87">
        <f>HYPERLINK("https://klasma.github.io/Logging_2085/tillsynsmail/A 28639-2026 tillsynsbegäran mail.docx", "A 28639-2026")</f>
        <v/>
      </c>
    </row>
    <row r="88" ht="15" customHeight="1">
      <c r="A88" t="inlineStr">
        <is>
          <t>A 35099-2026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46297</v>
      </c>
      <c r="F88" t="inlineStr">
        <is>
          <t>DALARNAS LÄN</t>
        </is>
      </c>
      <c r="G88" t="inlineStr">
        <is>
          <t>LUDVIKA</t>
        </is>
      </c>
      <c r="I88" t="n">
        <v>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5</v>
      </c>
      <c r="V88" s="2" t="inlineStr">
        <is>
          <t>Knärot
Sälg</t>
        </is>
      </c>
      <c r="W88">
        <f>HYPERLINK("https://klasma.github.io/Logging_2085/artfynd/A 35099-2026 artfynd.xlsx", "A 35099-2026")</f>
        <v/>
      </c>
      <c r="X88">
        <f>HYPERLINK("https://klasma.github.io/Logging_2085/kartor/A 35099-2026 karta.png", "A 35099-2026")</f>
        <v/>
      </c>
      <c r="Y88">
        <f>HYPERLINK("https://klasma.github.io/Logging_2085/kartor_geotiff/A 35099-2026 georefererad karta.tif", "A 35099-2026")</f>
        <v/>
      </c>
      <c r="Z88">
        <f>HYPERLINK("https://klasma.github.io/Logging_2085/knärot/A 35099-2026 karta knärot.png", "A 35099-2026")</f>
        <v/>
      </c>
      <c r="AA88">
        <f>HYPERLINK("https://klasma.github.io/Logging_2085/klagomål/A 35099-2026 FSC-klagomål.docx", "A 35099-2026")</f>
        <v/>
      </c>
      <c r="AB88">
        <f>HYPERLINK("https://klasma.github.io/Logging_2085/klagomålsmail/A 35099-2026 FSC-klagomål mail.docx", "A 35099-2026")</f>
        <v/>
      </c>
      <c r="AC88">
        <f>HYPERLINK("https://klasma.github.io/Logging_2085/tillsyn/A 35099-2026 tillsynsbegäran.docx", "A 35099-2026")</f>
        <v/>
      </c>
      <c r="AD88">
        <f>HYPERLINK("https://klasma.github.io/Logging_2085/tillsynsmail/A 35099-2026 tillsynsbegäran mail.docx", "A 35099-2026")</f>
        <v/>
      </c>
    </row>
    <row r="89" ht="15" customHeight="1">
      <c r="A89" t="inlineStr">
        <is>
          <t>A 35104-2026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46297</v>
      </c>
      <c r="F89" t="inlineStr">
        <is>
          <t>DALARNAS LÄN</t>
        </is>
      </c>
      <c r="G89" t="inlineStr">
        <is>
          <t>LUDVIKA</t>
        </is>
      </c>
      <c r="I89" t="n">
        <v>1.4</v>
      </c>
      <c r="J89" t="n">
        <v>1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Rödgul trumpetsvamp</t>
        </is>
      </c>
      <c r="W89">
        <f>HYPERLINK("https://klasma.github.io/Logging_2085/artfynd/A 35104-2026 artfynd.xlsx", "A 35104-2026")</f>
        <v/>
      </c>
      <c r="X89">
        <f>HYPERLINK("https://klasma.github.io/Logging_2085/kartor/A 35104-2026 karta.png", "A 35104-2026")</f>
        <v/>
      </c>
      <c r="Y89">
        <f>HYPERLINK("https://klasma.github.io/Logging_2085/kartor_geotiff/A 35104-2026 georefererad karta.tif", "A 35104-2026")</f>
        <v/>
      </c>
      <c r="Z89">
        <f>HYPERLINK("https://klasma.github.io/Logging_2085/knärot/A 35104-2026 karta knärot.png", "A 35104-2026")</f>
        <v/>
      </c>
      <c r="AA89">
        <f>HYPERLINK("https://klasma.github.io/Logging_2085/klagomål/A 35104-2026 FSC-klagomål.docx", "A 35104-2026")</f>
        <v/>
      </c>
      <c r="AB89">
        <f>HYPERLINK("https://klasma.github.io/Logging_2085/klagomålsmail/A 35104-2026 FSC-klagomål mail.docx", "A 35104-2026")</f>
        <v/>
      </c>
      <c r="AC89">
        <f>HYPERLINK("https://klasma.github.io/Logging_2085/tillsyn/A 35104-2026 tillsynsbegäran.docx", "A 35104-2026")</f>
        <v/>
      </c>
      <c r="AD89">
        <f>HYPERLINK("https://klasma.github.io/Logging_2085/tillsynsmail/A 35104-2026 tillsynsbegäran mail.docx", "A 35104-2026")</f>
        <v/>
      </c>
    </row>
    <row r="90" ht="15" customHeight="1">
      <c r="A90" t="inlineStr">
        <is>
          <t>A 3809-2024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46297</v>
      </c>
      <c r="F90" t="inlineStr">
        <is>
          <t>DALARNAS LÄN</t>
        </is>
      </c>
      <c r="G90" t="inlineStr">
        <is>
          <t>LUDVIKA</t>
        </is>
      </c>
      <c r="I90" t="n">
        <v>0.5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8</v>
      </c>
      <c r="U90" t="n">
        <v>8</v>
      </c>
      <c r="V90" s="2" t="inlineStr">
        <is>
          <t>Nordfladdermus
Fläcknycklar</t>
        </is>
      </c>
      <c r="W90">
        <f>HYPERLINK("https://klasma.github.io/Logging_2085/artfynd/A 3809-2024 artfynd.xlsx", "A 3809-2024")</f>
        <v/>
      </c>
      <c r="X90">
        <f>HYPERLINK("https://klasma.github.io/Logging_2085/kartor/A 3809-2024 karta.png", "A 3809-2024")</f>
        <v/>
      </c>
      <c r="Y90">
        <f>HYPERLINK("https://klasma.github.io/Logging_2085/kartor_geotiff/A 3809-2024 georefererad karta.tif", "A 3809-2024")</f>
        <v/>
      </c>
      <c r="AA90">
        <f>HYPERLINK("https://klasma.github.io/Logging_2085/klagomål/A 3809-2024 FSC-klagomål.docx", "A 3809-2024")</f>
        <v/>
      </c>
      <c r="AB90">
        <f>HYPERLINK("https://klasma.github.io/Logging_2085/klagomålsmail/A 3809-2024 FSC-klagomål mail.docx", "A 3809-2024")</f>
        <v/>
      </c>
      <c r="AC90">
        <f>HYPERLINK("https://klasma.github.io/Logging_2085/tillsyn/A 3809-2024 tillsynsbegäran.docx", "A 3809-2024")</f>
        <v/>
      </c>
      <c r="AD90">
        <f>HYPERLINK("https://klasma.github.io/Logging_2085/tillsynsmail/A 3809-2024 tillsynsbegäran mail.docx", "A 3809-2024")</f>
        <v/>
      </c>
    </row>
    <row r="91" ht="15" customHeight="1">
      <c r="A91" t="inlineStr">
        <is>
          <t>A 49763-2025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46297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2</v>
      </c>
      <c r="V91" s="2" t="inlineStr">
        <is>
          <t>Dvärgbägarlav
Vedticka</t>
        </is>
      </c>
      <c r="W91">
        <f>HYPERLINK("https://klasma.github.io/Logging_2085/artfynd/A 49763-2025 artfynd.xlsx", "A 49763-2025")</f>
        <v/>
      </c>
      <c r="X91">
        <f>HYPERLINK("https://klasma.github.io/Logging_2085/kartor/A 49763-2025 karta.png", "A 49763-2025")</f>
        <v/>
      </c>
      <c r="Y91">
        <f>HYPERLINK("https://klasma.github.io/Logging_2085/kartor_geotiff/A 49763-2025 georefererad karta.tif", "A 49763-2025")</f>
        <v/>
      </c>
      <c r="AA91">
        <f>HYPERLINK("https://klasma.github.io/Logging_2085/klagomål/A 49763-2025 FSC-klagomål.docx", "A 49763-2025")</f>
        <v/>
      </c>
      <c r="AB91">
        <f>HYPERLINK("https://klasma.github.io/Logging_2085/klagomålsmail/A 49763-2025 FSC-klagomål mail.docx", "A 49763-2025")</f>
        <v/>
      </c>
      <c r="AC91">
        <f>HYPERLINK("https://klasma.github.io/Logging_2085/tillsyn/A 49763-2025 tillsynsbegäran.docx", "A 49763-2025")</f>
        <v/>
      </c>
      <c r="AD91">
        <f>HYPERLINK("https://klasma.github.io/Logging_2085/tillsynsmail/A 49763-2025 tillsynsbegäran mail.docx", "A 49763-2025")</f>
        <v/>
      </c>
    </row>
    <row r="92" ht="15" customHeight="1">
      <c r="A92" t="inlineStr">
        <is>
          <t>A 56826-2025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46297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4.5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8</v>
      </c>
      <c r="U92" t="n">
        <v>8</v>
      </c>
      <c r="V92" s="2" t="inlineStr">
        <is>
          <t>Garnlav
Tretåig hackspett</t>
        </is>
      </c>
      <c r="W92">
        <f>HYPERLINK("https://klasma.github.io/Logging_2085/artfynd/A 56826-2025 artfynd.xlsx", "A 56826-2025")</f>
        <v/>
      </c>
      <c r="X92">
        <f>HYPERLINK("https://klasma.github.io/Logging_2085/kartor/A 56826-2025 karta.png", "A 56826-2025")</f>
        <v/>
      </c>
      <c r="Y92">
        <f>HYPERLINK("https://klasma.github.io/Logging_2085/kartor_geotiff/A 56826-2025 georefererad karta.tif", "A 56826-2025")</f>
        <v/>
      </c>
      <c r="AA92">
        <f>HYPERLINK("https://klasma.github.io/Logging_2085/klagomål/A 56826-2025 FSC-klagomål.docx", "A 56826-2025")</f>
        <v/>
      </c>
      <c r="AB92">
        <f>HYPERLINK("https://klasma.github.io/Logging_2085/klagomålsmail/A 56826-2025 FSC-klagomål mail.docx", "A 56826-2025")</f>
        <v/>
      </c>
      <c r="AC92">
        <f>HYPERLINK("https://klasma.github.io/Logging_2085/tillsyn/A 56826-2025 tillsynsbegäran.docx", "A 56826-2025")</f>
        <v/>
      </c>
      <c r="AD92">
        <f>HYPERLINK("https://klasma.github.io/Logging_2085/tillsynsmail/A 56826-2025 tillsynsbegäran mail.docx", "A 56826-2025")</f>
        <v/>
      </c>
      <c r="AE92">
        <f>HYPERLINK("https://klasma.github.io/Logging_2085/fåglar/A 56826-2025 prioriterade fågelarter.docx", "A 56826-2025")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2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Brun gräsfjäril
Tvåblad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19512-2022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46297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2.8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Tretåig hackspett
Nästlav</t>
        </is>
      </c>
      <c r="W94">
        <f>HYPERLINK("https://klasma.github.io/Logging_2085/artfynd/A 19512-2022 artfynd.xlsx", "A 19512-2022")</f>
        <v/>
      </c>
      <c r="X94">
        <f>HYPERLINK("https://klasma.github.io/Logging_2085/kartor/A 19512-2022 karta.png", "A 19512-2022")</f>
        <v/>
      </c>
      <c r="Y94">
        <f>HYPERLINK("https://klasma.github.io/Logging_2085/kartor_geotiff/A 19512-2022 georefererad karta.tif", "A 19512-2022")</f>
        <v/>
      </c>
      <c r="AA94">
        <f>HYPERLINK("https://klasma.github.io/Logging_2085/klagomål/A 19512-2022 FSC-klagomål.docx", "A 19512-2022")</f>
        <v/>
      </c>
      <c r="AB94">
        <f>HYPERLINK("https://klasma.github.io/Logging_2085/klagomålsmail/A 19512-2022 FSC-klagomål mail.docx", "A 19512-2022")</f>
        <v/>
      </c>
      <c r="AC94">
        <f>HYPERLINK("https://klasma.github.io/Logging_2085/tillsyn/A 19512-2022 tillsynsbegäran.docx", "A 19512-2022")</f>
        <v/>
      </c>
      <c r="AD94">
        <f>HYPERLINK("https://klasma.github.io/Logging_2085/tillsynsmail/A 19512-2022 tillsynsbegäran mail.docx", "A 19512-2022")</f>
        <v/>
      </c>
      <c r="AE94">
        <f>HYPERLINK("https://klasma.github.io/Logging_2085/fåglar/A 19512-2022 prioriterade fågelarter.docx", "A 19512-2022")</f>
        <v/>
      </c>
    </row>
    <row r="95" ht="15" customHeight="1">
      <c r="A95" t="inlineStr">
        <is>
          <t>A 8202-2025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46297</v>
      </c>
      <c r="F95" t="inlineStr">
        <is>
          <t>DALARNAS LÄN</t>
        </is>
      </c>
      <c r="G95" t="inlineStr">
        <is>
          <t>LUDVIKA</t>
        </is>
      </c>
      <c r="I95" t="n">
        <v>6.4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7</v>
      </c>
      <c r="U95" t="n">
        <v>7</v>
      </c>
      <c r="V95" s="2" t="inlineStr">
        <is>
          <t>Tretåig hackspett
Spillkråka</t>
        </is>
      </c>
      <c r="W95">
        <f>HYPERLINK("https://klasma.github.io/Logging_2085/artfynd/A 8202-2025 artfynd.xlsx", "A 8202-2025")</f>
        <v/>
      </c>
      <c r="X95">
        <f>HYPERLINK("https://klasma.github.io/Logging_2085/kartor/A 8202-2025 karta.png", "A 8202-2025")</f>
        <v/>
      </c>
      <c r="Y95">
        <f>HYPERLINK("https://klasma.github.io/Logging_2085/kartor_geotiff/A 8202-2025 georefererad karta.tif", "A 8202-2025")</f>
        <v/>
      </c>
      <c r="AA95">
        <f>HYPERLINK("https://klasma.github.io/Logging_2085/klagomål/A 8202-2025 FSC-klagomål.docx", "A 8202-2025")</f>
        <v/>
      </c>
      <c r="AB95">
        <f>HYPERLINK("https://klasma.github.io/Logging_2085/klagomålsmail/A 8202-2025 FSC-klagomål mail.docx", "A 8202-2025")</f>
        <v/>
      </c>
      <c r="AC95">
        <f>HYPERLINK("https://klasma.github.io/Logging_2085/tillsyn/A 8202-2025 tillsynsbegäran.docx", "A 8202-2025")</f>
        <v/>
      </c>
      <c r="AD95">
        <f>HYPERLINK("https://klasma.github.io/Logging_2085/tillsynsmail/A 8202-2025 tillsynsbegäran mail.docx", "A 8202-2025")</f>
        <v/>
      </c>
      <c r="AE95">
        <f>HYPERLINK("https://klasma.github.io/Logging_2085/fåglar/A 8202-2025 prioriterade fågelarter.docx", "A 8202-2025")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46297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46297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46297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46297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46297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46297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Blåsippa</t>
        </is>
      </c>
      <c r="W101">
        <f>HYPERLINK("https://klasma.github.io/Logging_2085/artfynd/A 25448-2024 artfynd.xlsx", "A 25448-2024")</f>
        <v/>
      </c>
      <c r="X101">
        <f>HYPERLINK("https://klasma.github.io/Logging_2085/kartor/A 25448-2024 karta.png", "A 25448-2024")</f>
        <v/>
      </c>
      <c r="Y101">
        <f>HYPERLINK("https://klasma.github.io/Logging_2085/kartor_geotiff/A 25448-2024 georefererad karta.tif", "A 25448-2024")</f>
        <v/>
      </c>
      <c r="AA101">
        <f>HYPERLINK("https://klasma.github.io/Logging_2085/klagomål/A 25448-2024 FSC-klagomål.docx", "A 25448-2024")</f>
        <v/>
      </c>
      <c r="AB101">
        <f>HYPERLINK("https://klasma.github.io/Logging_2085/klagomålsmail/A 25448-2024 FSC-klagomål mail.docx", "A 25448-2024")</f>
        <v/>
      </c>
      <c r="AC101">
        <f>HYPERLINK("https://klasma.github.io/Logging_2085/tillsyn/A 25448-2024 tillsynsbegäran.docx", "A 25448-2024")</f>
        <v/>
      </c>
      <c r="AD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23102-2025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46297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0.8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HYPERLINK("https://klasma.github.io/Logging_2085/artfynd/A 23102-2025 artfynd.xlsx", "A 23102-2025")</f>
        <v/>
      </c>
      <c r="X102">
        <f>HYPERLINK("https://klasma.github.io/Logging_2085/kartor/A 23102-2025 karta.png", "A 23102-2025")</f>
        <v/>
      </c>
      <c r="Y102">
        <f>HYPERLINK("https://klasma.github.io/Logging_2085/kartor_geotiff/A 23102-2025 georefererad karta.tif", "A 23102-2025")</f>
        <v/>
      </c>
      <c r="AA102">
        <f>HYPERLINK("https://klasma.github.io/Logging_2085/klagomål/A 23102-2025 FSC-klagomål.docx", "A 23102-2025")</f>
        <v/>
      </c>
      <c r="AB102">
        <f>HYPERLINK("https://klasma.github.io/Logging_2085/klagomålsmail/A 23102-2025 FSC-klagomål mail.docx", "A 23102-2025")</f>
        <v/>
      </c>
      <c r="AC102">
        <f>HYPERLINK("https://klasma.github.io/Logging_2085/tillsyn/A 23102-2025 tillsynsbegäran.docx", "A 23102-2025")</f>
        <v/>
      </c>
      <c r="AD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59947-2025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45993</v>
      </c>
      <c r="E103" s="1" t="n">
        <v>46297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HYPERLINK("https://klasma.github.io/Logging_2085/artfynd/A 59947-2025 artfynd.xlsx", "A 59947-2025")</f>
        <v/>
      </c>
      <c r="X103">
        <f>HYPERLINK("https://klasma.github.io/Logging_2085/kartor/A 59947-2025 karta.png", "A 59947-2025")</f>
        <v/>
      </c>
      <c r="Y103">
        <f>HYPERLINK("https://klasma.github.io/Logging_2085/kartor_geotiff/A 59947-2025 georefererad karta.tif", "A 59947-2025")</f>
        <v/>
      </c>
      <c r="AA103">
        <f>HYPERLINK("https://klasma.github.io/Logging_2085/klagomål/A 59947-2025 FSC-klagomål.docx", "A 59947-2025")</f>
        <v/>
      </c>
      <c r="AB103">
        <f>HYPERLINK("https://klasma.github.io/Logging_2085/klagomålsmail/A 59947-2025 FSC-klagomål mail.docx", "A 59947-2025")</f>
        <v/>
      </c>
      <c r="AC103">
        <f>HYPERLINK("https://klasma.github.io/Logging_2085/tillsyn/A 59947-2025 tillsynsbegäran.docx", "A 59947-2025")</f>
        <v/>
      </c>
      <c r="AD103">
        <f>HYPERLINK("https://klasma.github.io/Logging_2085/tillsynsmail/A 59947-2025 tillsynsbegäran mail.docx", "A 59947-2025")</f>
        <v/>
      </c>
      <c r="AE103">
        <f>HYPERLINK("https://klasma.github.io/Logging_2085/fåglar/A 59947-2025 prioriterade fågelarter.docx", "A 59947-2025")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46297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55550-2022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46297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Ögonpyrola</t>
        </is>
      </c>
      <c r="W105">
        <f>HYPERLINK("https://klasma.github.io/Logging_2085/artfynd/A 55550-2022 artfynd.xlsx", "A 55550-2022")</f>
        <v/>
      </c>
      <c r="X105">
        <f>HYPERLINK("https://klasma.github.io/Logging_2085/kartor/A 55550-2022 karta.png", "A 55550-2022")</f>
        <v/>
      </c>
      <c r="Y105">
        <f>HYPERLINK("https://klasma.github.io/Logging_2085/kartor_geotiff/A 55550-2022 georefererad karta.tif", "A 55550-2022")</f>
        <v/>
      </c>
      <c r="AA105">
        <f>HYPERLINK("https://klasma.github.io/Logging_2085/klagomål/A 55550-2022 FSC-klagomål.docx", "A 55550-2022")</f>
        <v/>
      </c>
      <c r="AB105">
        <f>HYPERLINK("https://klasma.github.io/Logging_2085/klagomålsmail/A 55550-2022 FSC-klagomål mail.docx", "A 55550-2022")</f>
        <v/>
      </c>
      <c r="AC105">
        <f>HYPERLINK("https://klasma.github.io/Logging_2085/tillsyn/A 55550-2022 tillsynsbegäran.docx", "A 55550-2022")</f>
        <v/>
      </c>
      <c r="AD105">
        <f>HYPERLINK("https://klasma.github.io/Logging_2085/tillsynsmail/A 55550-2022 tillsynsbegäran mail.docx", "A 55550-2022")</f>
        <v/>
      </c>
    </row>
    <row r="106" ht="15" customHeight="1">
      <c r="A106" t="inlineStr">
        <is>
          <t>A 26850-2023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46297</v>
      </c>
      <c r="F106" t="inlineStr">
        <is>
          <t>DALARNAS LÄN</t>
        </is>
      </c>
      <c r="G106" t="inlineStr">
        <is>
          <t>LUDVIKA</t>
        </is>
      </c>
      <c r="H106" t="inlineStr">
        <is>
          <t>Naturvårdsverket</t>
        </is>
      </c>
      <c r="I106" t="n">
        <v>2.7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HYPERLINK("https://klasma.github.io/Logging_2085/artfynd/A 26850-2023 artfynd.xlsx", "A 26850-2023")</f>
        <v/>
      </c>
      <c r="X106">
        <f>HYPERLINK("https://klasma.github.io/Logging_2085/kartor/A 26850-2023 karta.png", "A 26850-2023")</f>
        <v/>
      </c>
      <c r="Y106">
        <f>HYPERLINK("https://klasma.github.io/Logging_2085/kartor_geotiff/A 26850-2023 georefererad karta.tif", "A 26850-2023")</f>
        <v/>
      </c>
      <c r="AA106">
        <f>HYPERLINK("https://klasma.github.io/Logging_2085/klagomål/A 26850-2023 FSC-klagomål.docx", "A 26850-2023")</f>
        <v/>
      </c>
      <c r="AB106">
        <f>HYPERLINK("https://klasma.github.io/Logging_2085/klagomålsmail/A 26850-2023 FSC-klagomål mail.docx", "A 26850-2023")</f>
        <v/>
      </c>
      <c r="AC106">
        <f>HYPERLINK("https://klasma.github.io/Logging_2085/tillsyn/A 26850-2023 tillsynsbegäran.docx", "A 26850-2023")</f>
        <v/>
      </c>
      <c r="AD106">
        <f>HYPERLINK("https://klasma.github.io/Logging_2085/tillsynsmail/A 26850-2023 tillsynsbegäran mail.docx", "A 26850-2023")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46297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400-2023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46297</v>
      </c>
      <c r="F108" t="inlineStr">
        <is>
          <t>DALARNAS LÄN</t>
        </is>
      </c>
      <c r="G108" t="inlineStr">
        <is>
          <t>LUDVIKA</t>
        </is>
      </c>
      <c r="I108" t="n">
        <v>3.6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Nordfladdermus</t>
        </is>
      </c>
      <c r="W108">
        <f>HYPERLINK("https://klasma.github.io/Logging_2085/artfynd/A 400-2023 artfynd.xlsx", "A 400-2023")</f>
        <v/>
      </c>
      <c r="X108">
        <f>HYPERLINK("https://klasma.github.io/Logging_2085/kartor/A 400-2023 karta.png", "A 400-2023")</f>
        <v/>
      </c>
      <c r="Y108">
        <f>HYPERLINK("https://klasma.github.io/Logging_2085/kartor_geotiff/A 400-2023 georefererad karta.tif", "A 400-2023")</f>
        <v/>
      </c>
      <c r="AA108">
        <f>HYPERLINK("https://klasma.github.io/Logging_2085/klagomål/A 400-2023 FSC-klagomål.docx", "A 400-2023")</f>
        <v/>
      </c>
      <c r="AB108">
        <f>HYPERLINK("https://klasma.github.io/Logging_2085/klagomålsmail/A 400-2023 FSC-klagomål mail.docx", "A 400-2023")</f>
        <v/>
      </c>
      <c r="AC108">
        <f>HYPERLINK("https://klasma.github.io/Logging_2085/tillsyn/A 400-2023 tillsynsbegäran.docx", "A 400-2023")</f>
        <v/>
      </c>
      <c r="AD108">
        <f>HYPERLINK("https://klasma.github.io/Logging_2085/tillsynsmail/A 400-2023 tillsynsbegäran mail.docx", "A 400-2023")</f>
        <v/>
      </c>
    </row>
    <row r="109" ht="15" customHeight="1">
      <c r="A109" t="inlineStr">
        <is>
          <t>A 31478-2023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45114</v>
      </c>
      <c r="E109" s="1" t="n">
        <v>46297</v>
      </c>
      <c r="F109" t="inlineStr">
        <is>
          <t>DALARNAS LÄN</t>
        </is>
      </c>
      <c r="G109" t="inlineStr">
        <is>
          <t>LUDVIKA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HYPERLINK("https://klasma.github.io/Logging_2085/artfynd/A 31478-2023 artfynd.xlsx", "A 31478-2023")</f>
        <v/>
      </c>
      <c r="X109">
        <f>HYPERLINK("https://klasma.github.io/Logging_2085/kartor/A 31478-2023 karta.png", "A 31478-2023")</f>
        <v/>
      </c>
      <c r="Y109">
        <f>HYPERLINK("https://klasma.github.io/Logging_2085/kartor_geotiff/A 31478-2023 georefererad karta.tif", "A 31478-2023")</f>
        <v/>
      </c>
      <c r="AA109">
        <f>HYPERLINK("https://klasma.github.io/Logging_2085/klagomål/A 31478-2023 FSC-klagomål.docx", "A 31478-2023")</f>
        <v/>
      </c>
      <c r="AB109">
        <f>HYPERLINK("https://klasma.github.io/Logging_2085/klagomålsmail/A 31478-2023 FSC-klagomål mail.docx", "A 31478-2023")</f>
        <v/>
      </c>
      <c r="AC109">
        <f>HYPERLINK("https://klasma.github.io/Logging_2085/tillsyn/A 31478-2023 tillsynsbegäran.docx", "A 31478-2023")</f>
        <v/>
      </c>
      <c r="AD109">
        <f>HYPERLINK("https://klasma.github.io/Logging_2085/tillsynsmail/A 31478-2023 tillsynsbegäran mail.docx", "A 31478-2023")</f>
        <v/>
      </c>
    </row>
    <row r="110" ht="15" customHeight="1">
      <c r="A110" t="inlineStr">
        <is>
          <t>A 6579-2023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44960</v>
      </c>
      <c r="E110" s="1" t="n">
        <v>46297</v>
      </c>
      <c r="F110" t="inlineStr">
        <is>
          <t>DALARNAS LÄN</t>
        </is>
      </c>
      <c r="G110" t="inlineStr">
        <is>
          <t>LUDVIKA</t>
        </is>
      </c>
      <c r="I110" t="n">
        <v>3.4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Blomkålssvamp</t>
        </is>
      </c>
      <c r="W110">
        <f>HYPERLINK("https://klasma.github.io/Logging_2085/artfynd/A 6579-2023 artfynd.xlsx", "A 6579-2023")</f>
        <v/>
      </c>
      <c r="X110">
        <f>HYPERLINK("https://klasma.github.io/Logging_2085/kartor/A 6579-2023 karta.png", "A 6579-2023")</f>
        <v/>
      </c>
      <c r="Y110">
        <f>HYPERLINK("https://klasma.github.io/Logging_2085/kartor_geotiff/A 6579-2023 georefererad karta.tif", "A 6579-2023")</f>
        <v/>
      </c>
      <c r="AA110">
        <f>HYPERLINK("https://klasma.github.io/Logging_2085/klagomål/A 6579-2023 FSC-klagomål.docx", "A 6579-2023")</f>
        <v/>
      </c>
      <c r="AB110">
        <f>HYPERLINK("https://klasma.github.io/Logging_2085/klagomålsmail/A 6579-2023 FSC-klagomål mail.docx", "A 6579-2023")</f>
        <v/>
      </c>
      <c r="AC110">
        <f>HYPERLINK("https://klasma.github.io/Logging_2085/tillsyn/A 6579-2023 tillsynsbegäran.docx", "A 6579-2023")</f>
        <v/>
      </c>
      <c r="AD110">
        <f>HYPERLINK("https://klasma.github.io/Logging_2085/tillsynsmail/A 6579-2023 tillsynsbegäran mail.docx", "A 6579-2023")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46297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Lateritticka</t>
        </is>
      </c>
      <c r="W111">
        <f>HYPERLINK("https://klasma.github.io/Logging_2085/artfynd/A 59873-2025 artfynd.xlsx", "A 59873-2025")</f>
        <v/>
      </c>
      <c r="X111">
        <f>HYPERLINK("https://klasma.github.io/Logging_2085/kartor/A 59873-2025 karta.png", "A 59873-2025")</f>
        <v/>
      </c>
      <c r="Y111">
        <f>HYPERLINK("https://klasma.github.io/Logging_2085/kartor_geotiff/A 59873-2025 georefererad karta.tif", "A 59873-2025")</f>
        <v/>
      </c>
      <c r="AA111">
        <f>HYPERLINK("https://klasma.github.io/Logging_2085/klagomål/A 59873-2025 FSC-klagomål.docx", "A 59873-2025")</f>
        <v/>
      </c>
      <c r="AB111">
        <f>HYPERLINK("https://klasma.github.io/Logging_2085/klagomålsmail/A 59873-2025 FSC-klagomål mail.docx", "A 59873-2025")</f>
        <v/>
      </c>
      <c r="AC111">
        <f>HYPERLINK("https://klasma.github.io/Logging_2085/tillsyn/A 59873-2025 tillsynsbegäran.docx", "A 59873-2025")</f>
        <v/>
      </c>
      <c r="AD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44578-2023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46297</v>
      </c>
      <c r="F112" t="inlineStr">
        <is>
          <t>DALARNAS LÄN</t>
        </is>
      </c>
      <c r="G112" t="inlineStr">
        <is>
          <t>LUDVIKA</t>
        </is>
      </c>
      <c r="H112" t="inlineStr">
        <is>
          <t>Övriga Aktiebolag</t>
        </is>
      </c>
      <c r="I112" t="n">
        <v>12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Dofttaggsvamp</t>
        </is>
      </c>
      <c r="W112">
        <f>HYPERLINK("https://klasma.github.io/Logging_2085/artfynd/A 44578-2023 artfynd.xlsx", "A 44578-2023")</f>
        <v/>
      </c>
      <c r="X112">
        <f>HYPERLINK("https://klasma.github.io/Logging_2085/kartor/A 44578-2023 karta.png", "A 44578-2023")</f>
        <v/>
      </c>
      <c r="Y112">
        <f>HYPERLINK("https://klasma.github.io/Logging_2085/kartor_geotiff/A 44578-2023 georefererad karta.tif", "A 44578-2023")</f>
        <v/>
      </c>
      <c r="AA112">
        <f>HYPERLINK("https://klasma.github.io/Logging_2085/klagomål/A 44578-2023 FSC-klagomål.docx", "A 44578-2023")</f>
        <v/>
      </c>
      <c r="AB112">
        <f>HYPERLINK("https://klasma.github.io/Logging_2085/klagomålsmail/A 44578-2023 FSC-klagomål mail.docx", "A 44578-2023")</f>
        <v/>
      </c>
      <c r="AC112">
        <f>HYPERLINK("https://klasma.github.io/Logging_2085/tillsyn/A 44578-2023 tillsynsbegäran.docx", "A 44578-2023")</f>
        <v/>
      </c>
      <c r="AD112">
        <f>HYPERLINK("https://klasma.github.io/Logging_2085/tillsynsmail/A 44578-2023 tillsynsbegäran mail.docx", "A 44578-2023")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46297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29733-2025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46297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10.4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Stuplav</t>
        </is>
      </c>
      <c r="W114">
        <f>HYPERLINK("https://klasma.github.io/Logging_2085/artfynd/A 29733-2025 artfynd.xlsx", "A 29733-2025")</f>
        <v/>
      </c>
      <c r="X114">
        <f>HYPERLINK("https://klasma.github.io/Logging_2085/kartor/A 29733-2025 karta.png", "A 29733-2025")</f>
        <v/>
      </c>
      <c r="Y114">
        <f>HYPERLINK("https://klasma.github.io/Logging_2085/kartor_geotiff/A 29733-2025 georefererad karta.tif", "A 29733-2025")</f>
        <v/>
      </c>
      <c r="AA114">
        <f>HYPERLINK("https://klasma.github.io/Logging_2085/klagomål/A 29733-2025 FSC-klagomål.docx", "A 29733-2025")</f>
        <v/>
      </c>
      <c r="AB114">
        <f>HYPERLINK("https://klasma.github.io/Logging_2085/klagomålsmail/A 29733-2025 FSC-klagomål mail.docx", "A 29733-2025")</f>
        <v/>
      </c>
      <c r="AC114">
        <f>HYPERLINK("https://klasma.github.io/Logging_2085/tillsyn/A 29733-2025 tillsynsbegäran.docx", "A 29733-2025")</f>
        <v/>
      </c>
      <c r="AD114">
        <f>HYPERLINK("https://klasma.github.io/Logging_2085/tillsynsmail/A 29733-2025 tillsynsbegäran mail.docx", "A 29733-2025")</f>
        <v/>
      </c>
    </row>
    <row r="115" ht="15" customHeight="1">
      <c r="A115" t="inlineStr">
        <is>
          <t>A 74401-2021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46297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0.6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Gullgröppa</t>
        </is>
      </c>
      <c r="W115">
        <f>HYPERLINK("https://klasma.github.io/Logging_2085/artfynd/A 74401-2021 artfynd.xlsx", "A 74401-2021")</f>
        <v/>
      </c>
      <c r="X115">
        <f>HYPERLINK("https://klasma.github.io/Logging_2085/kartor/A 74401-2021 karta.png", "A 74401-2021")</f>
        <v/>
      </c>
      <c r="Y115">
        <f>HYPERLINK("https://klasma.github.io/Logging_2085/kartor_geotiff/A 74401-2021 georefererad karta.tif", "A 74401-2021")</f>
        <v/>
      </c>
      <c r="AA115">
        <f>HYPERLINK("https://klasma.github.io/Logging_2085/klagomål/A 74401-2021 FSC-klagomål.docx", "A 74401-2021")</f>
        <v/>
      </c>
      <c r="AB115">
        <f>HYPERLINK("https://klasma.github.io/Logging_2085/klagomålsmail/A 74401-2021 FSC-klagomål mail.docx", "A 74401-2021")</f>
        <v/>
      </c>
      <c r="AC115">
        <f>HYPERLINK("https://klasma.github.io/Logging_2085/tillsyn/A 74401-2021 tillsynsbegäran.docx", "A 74401-2021")</f>
        <v/>
      </c>
      <c r="AD115">
        <f>HYPERLINK("https://klasma.github.io/Logging_2085/tillsynsmail/A 74401-2021 tillsynsbegäran mail.docx", "A 74401-2021")</f>
        <v/>
      </c>
    </row>
    <row r="116" ht="15" customHeight="1">
      <c r="A116" t="inlineStr">
        <is>
          <t>A 17987-2025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46297</v>
      </c>
      <c r="F116" t="inlineStr">
        <is>
          <t>DALARNAS LÄN</t>
        </is>
      </c>
      <c r="G116" t="inlineStr">
        <is>
          <t>LUDVIKA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HYPERLINK("https://klasma.github.io/Logging_2085/artfynd/A 17987-2025 artfynd.xlsx", "A 17987-2025")</f>
        <v/>
      </c>
      <c r="X116">
        <f>HYPERLINK("https://klasma.github.io/Logging_2085/kartor/A 17987-2025 karta.png", "A 17987-2025")</f>
        <v/>
      </c>
      <c r="Y116">
        <f>HYPERLINK("https://klasma.github.io/Logging_2085/kartor_geotiff/A 17987-2025 georefererad karta.tif", "A 17987-2025")</f>
        <v/>
      </c>
      <c r="AA116">
        <f>HYPERLINK("https://klasma.github.io/Logging_2085/klagomål/A 17987-2025 FSC-klagomål.docx", "A 17987-2025")</f>
        <v/>
      </c>
      <c r="AB116">
        <f>HYPERLINK("https://klasma.github.io/Logging_2085/klagomålsmail/A 17987-2025 FSC-klagomål mail.docx", "A 17987-2025")</f>
        <v/>
      </c>
      <c r="AC116">
        <f>HYPERLINK("https://klasma.github.io/Logging_2085/tillsyn/A 17987-2025 tillsynsbegäran.docx", "A 17987-2025")</f>
        <v/>
      </c>
      <c r="AD116">
        <f>HYPERLINK("https://klasma.github.io/Logging_2085/tillsynsmail/A 17987-2025 tillsynsbegäran mail.docx", "A 17987-2025")</f>
        <v/>
      </c>
      <c r="AE116">
        <f>HYPERLINK("https://klasma.github.io/Logging_2085/fåglar/A 17987-2025 prioriterade fågelarter.docx", "A 17987-2025")</f>
        <v/>
      </c>
    </row>
    <row r="117" ht="15" customHeight="1">
      <c r="A117" t="inlineStr">
        <is>
          <t>A 21880-2026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46297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21880-2026 artfynd.xlsx", "A 21880-2026")</f>
        <v/>
      </c>
      <c r="X117">
        <f>HYPERLINK("https://klasma.github.io/Logging_2085/kartor/A 21880-2026 karta.png", "A 21880-2026")</f>
        <v/>
      </c>
      <c r="Y117">
        <f>HYPERLINK("https://klasma.github.io/Logging_2085/kartor_geotiff/A 21880-2026 georefererad karta.tif", "A 21880-2026")</f>
        <v/>
      </c>
      <c r="AA117">
        <f>HYPERLINK("https://klasma.github.io/Logging_2085/klagomål/A 21880-2026 FSC-klagomål.docx", "A 21880-2026")</f>
        <v/>
      </c>
      <c r="AB117">
        <f>HYPERLINK("https://klasma.github.io/Logging_2085/klagomålsmail/A 21880-2026 FSC-klagomål mail.docx", "A 21880-2026")</f>
        <v/>
      </c>
      <c r="AC117">
        <f>HYPERLINK("https://klasma.github.io/Logging_2085/tillsyn/A 21880-2026 tillsynsbegäran.docx", "A 21880-2026")</f>
        <v/>
      </c>
      <c r="AD117">
        <f>HYPERLINK("https://klasma.github.io/Logging_2085/tillsynsmail/A 21880-2026 tillsynsbegäran mail.docx", "A 21880-2026")</f>
        <v/>
      </c>
      <c r="AE117">
        <f>HYPERLINK("https://klasma.github.io/Logging_2085/fåglar/A 21880-2026 prioriterade fågelarter.docx", "A 21880-2026")</f>
        <v/>
      </c>
    </row>
    <row r="118" ht="15" customHeight="1">
      <c r="A118" t="inlineStr">
        <is>
          <t>A 25588-2023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46297</v>
      </c>
      <c r="F118" t="inlineStr">
        <is>
          <t>DALARNAS LÄN</t>
        </is>
      </c>
      <c r="G118" t="inlineStr">
        <is>
          <t>LUDVIKA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HYPERLINK("https://klasma.github.io/Logging_2085/artfynd/A 25588-2023 artfynd.xlsx", "A 25588-2023")</f>
        <v/>
      </c>
      <c r="X118">
        <f>HYPERLINK("https://klasma.github.io/Logging_2085/kartor/A 25588-2023 karta.png", "A 25588-2023")</f>
        <v/>
      </c>
      <c r="Y118">
        <f>HYPERLINK("https://klasma.github.io/Logging_2085/kartor_geotiff/A 25588-2023 georefererad karta.tif", "A 25588-2023")</f>
        <v/>
      </c>
      <c r="AA118">
        <f>HYPERLINK("https://klasma.github.io/Logging_2085/klagomål/A 25588-2023 FSC-klagomål.docx", "A 25588-2023")</f>
        <v/>
      </c>
      <c r="AB118">
        <f>HYPERLINK("https://klasma.github.io/Logging_2085/klagomålsmail/A 25588-2023 FSC-klagomål mail.docx", "A 25588-2023")</f>
        <v/>
      </c>
      <c r="AC118">
        <f>HYPERLINK("https://klasma.github.io/Logging_2085/tillsyn/A 25588-2023 tillsynsbegäran.docx", "A 25588-2023")</f>
        <v/>
      </c>
      <c r="AD118">
        <f>HYPERLINK("https://klasma.github.io/Logging_2085/tillsynsmail/A 25588-2023 tillsynsbegäran mail.docx", "A 25588-2023")</f>
        <v/>
      </c>
    </row>
    <row r="119" ht="15" customHeight="1">
      <c r="A119" t="inlineStr">
        <is>
          <t>A 12093-2023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46297</v>
      </c>
      <c r="F119" t="inlineStr">
        <is>
          <t>DALARNAS LÄN</t>
        </is>
      </c>
      <c r="G119" t="inlineStr">
        <is>
          <t>LUDVIKA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Bitter taggsvamp</t>
        </is>
      </c>
      <c r="W119">
        <f>HYPERLINK("https://klasma.github.io/Logging_2085/artfynd/A 12093-2023 artfynd.xlsx", "A 12093-2023")</f>
        <v/>
      </c>
      <c r="X119">
        <f>HYPERLINK("https://klasma.github.io/Logging_2085/kartor/A 12093-2023 karta.png", "A 12093-2023")</f>
        <v/>
      </c>
      <c r="Y119">
        <f>HYPERLINK("https://klasma.github.io/Logging_2085/kartor_geotiff/A 12093-2023 georefererad karta.tif", "A 12093-2023")</f>
        <v/>
      </c>
      <c r="AA119">
        <f>HYPERLINK("https://klasma.github.io/Logging_2085/klagomål/A 12093-2023 FSC-klagomål.docx", "A 12093-2023")</f>
        <v/>
      </c>
      <c r="AB119">
        <f>HYPERLINK("https://klasma.github.io/Logging_2085/klagomålsmail/A 12093-2023 FSC-klagomål mail.docx", "A 12093-2023")</f>
        <v/>
      </c>
      <c r="AC119">
        <f>HYPERLINK("https://klasma.github.io/Logging_2085/tillsyn/A 12093-2023 tillsynsbegäran.docx", "A 12093-2023")</f>
        <v/>
      </c>
      <c r="AD119">
        <f>HYPERLINK("https://klasma.github.io/Logging_2085/tillsynsmail/A 12093-2023 tillsynsbegäran mail.docx", "A 12093-2023")</f>
        <v/>
      </c>
    </row>
    <row r="120" ht="15" customHeight="1">
      <c r="A120" t="inlineStr">
        <is>
          <t>A 33560-2023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45131</v>
      </c>
      <c r="E120" s="1" t="n">
        <v>46297</v>
      </c>
      <c r="F120" t="inlineStr">
        <is>
          <t>DALARNAS LÄN</t>
        </is>
      </c>
      <c r="G120" t="inlineStr">
        <is>
          <t>LUDVIKA</t>
        </is>
      </c>
      <c r="I120" t="n">
        <v>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vattensalamander</t>
        </is>
      </c>
      <c r="W120">
        <f>HYPERLINK("https://klasma.github.io/Logging_2085/artfynd/A 33560-2023 artfynd.xlsx", "A 33560-2023")</f>
        <v/>
      </c>
      <c r="X120">
        <f>HYPERLINK("https://klasma.github.io/Logging_2085/kartor/A 33560-2023 karta.png", "A 33560-2023")</f>
        <v/>
      </c>
      <c r="Y120">
        <f>HYPERLINK("https://klasma.github.io/Logging_2085/kartor_geotiff/A 33560-2023 georefererad karta.tif", "A 33560-2023")</f>
        <v/>
      </c>
      <c r="AA120">
        <f>HYPERLINK("https://klasma.github.io/Logging_2085/klagomål/A 33560-2023 FSC-klagomål.docx", "A 33560-2023")</f>
        <v/>
      </c>
      <c r="AB120">
        <f>HYPERLINK("https://klasma.github.io/Logging_2085/klagomålsmail/A 33560-2023 FSC-klagomål mail.docx", "A 33560-2023")</f>
        <v/>
      </c>
      <c r="AC120">
        <f>HYPERLINK("https://klasma.github.io/Logging_2085/tillsyn/A 33560-2023 tillsynsbegäran.docx", "A 33560-2023")</f>
        <v/>
      </c>
      <c r="AD120">
        <f>HYPERLINK("https://klasma.github.io/Logging_2085/tillsynsmail/A 33560-2023 tillsynsbegäran mail.docx", "A 33560-2023")</f>
        <v/>
      </c>
    </row>
    <row r="121" ht="15" customHeight="1">
      <c r="A121" t="inlineStr">
        <is>
          <t>A 3687-2024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46297</v>
      </c>
      <c r="F121" t="inlineStr">
        <is>
          <t>DALARNAS LÄN</t>
        </is>
      </c>
      <c r="G121" t="inlineStr">
        <is>
          <t>LUDVIKA</t>
        </is>
      </c>
      <c r="I121" t="n">
        <v>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3687-2024 artfynd.xlsx", "A 3687-2024")</f>
        <v/>
      </c>
      <c r="X121">
        <f>HYPERLINK("https://klasma.github.io/Logging_2085/kartor/A 3687-2024 karta.png", "A 3687-2024")</f>
        <v/>
      </c>
      <c r="Y121">
        <f>HYPERLINK("https://klasma.github.io/Logging_2085/kartor_geotiff/A 3687-2024 georefererad karta.tif", "A 3687-2024")</f>
        <v/>
      </c>
      <c r="AA121">
        <f>HYPERLINK("https://klasma.github.io/Logging_2085/klagomål/A 3687-2024 FSC-klagomål.docx", "A 3687-2024")</f>
        <v/>
      </c>
      <c r="AB121">
        <f>HYPERLINK("https://klasma.github.io/Logging_2085/klagomålsmail/A 3687-2024 FSC-klagomål mail.docx", "A 3687-2024")</f>
        <v/>
      </c>
      <c r="AC121">
        <f>HYPERLINK("https://klasma.github.io/Logging_2085/tillsyn/A 3687-2024 tillsynsbegäran.docx", "A 3687-2024")</f>
        <v/>
      </c>
      <c r="AD121">
        <f>HYPERLINK("https://klasma.github.io/Logging_2085/tillsynsmail/A 3687-2024 tillsynsbegäran mail.docx", "A 3687-2024")</f>
        <v/>
      </c>
    </row>
    <row r="122" ht="15" customHeight="1">
      <c r="A122" t="inlineStr">
        <is>
          <t>A 56119-2021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44477</v>
      </c>
      <c r="E122" s="1" t="n">
        <v>46297</v>
      </c>
      <c r="F122" t="inlineStr">
        <is>
          <t>DALARNAS LÄN</t>
        </is>
      </c>
      <c r="G122" t="inlineStr">
        <is>
          <t>LUDVIKA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HYPERLINK("https://klasma.github.io/Logging_2085/artfynd/A 56119-2021 artfynd.xlsx", "A 56119-2021")</f>
        <v/>
      </c>
      <c r="X122">
        <f>HYPERLINK("https://klasma.github.io/Logging_2085/kartor/A 56119-2021 karta.png", "A 56119-2021")</f>
        <v/>
      </c>
      <c r="Y122">
        <f>HYPERLINK("https://klasma.github.io/Logging_2085/kartor_geotiff/A 56119-2021 georefererad karta.tif", "A 56119-2021")</f>
        <v/>
      </c>
      <c r="AA122">
        <f>HYPERLINK("https://klasma.github.io/Logging_2085/klagomål/A 56119-2021 FSC-klagomål.docx", "A 56119-2021")</f>
        <v/>
      </c>
      <c r="AB122">
        <f>HYPERLINK("https://klasma.github.io/Logging_2085/klagomålsmail/A 56119-2021 FSC-klagomål mail.docx", "A 56119-2021")</f>
        <v/>
      </c>
      <c r="AC122">
        <f>HYPERLINK("https://klasma.github.io/Logging_2085/tillsyn/A 56119-2021 tillsynsbegäran.docx", "A 56119-2021")</f>
        <v/>
      </c>
      <c r="AD122">
        <f>HYPERLINK("https://klasma.github.io/Logging_2085/tillsynsmail/A 56119-2021 tillsynsbegäran mail.docx", "A 56119-2021")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46297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46297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46297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46297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46297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46297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46297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21499-2022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44706</v>
      </c>
      <c r="E130" s="1" t="n">
        <v>46297</v>
      </c>
      <c r="F130" t="inlineStr">
        <is>
          <t>DALARNAS LÄN</t>
        </is>
      </c>
      <c r="G130" t="inlineStr">
        <is>
          <t>LUDVIKA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Strimspindling</t>
        </is>
      </c>
      <c r="W130">
        <f>HYPERLINK("https://klasma.github.io/Logging_2085/artfynd/A 21499-2022 artfynd.xlsx", "A 21499-2022")</f>
        <v/>
      </c>
      <c r="X130">
        <f>HYPERLINK("https://klasma.github.io/Logging_2085/kartor/A 21499-2022 karta.png", "A 21499-2022")</f>
        <v/>
      </c>
      <c r="Y130">
        <f>HYPERLINK("https://klasma.github.io/Logging_2085/kartor_geotiff/A 21499-2022 georefererad karta.tif", "A 21499-2022")</f>
        <v/>
      </c>
      <c r="AA130">
        <f>HYPERLINK("https://klasma.github.io/Logging_2085/klagomål/A 21499-2022 FSC-klagomål.docx", "A 21499-2022")</f>
        <v/>
      </c>
      <c r="AB130">
        <f>HYPERLINK("https://klasma.github.io/Logging_2085/klagomålsmail/A 21499-2022 FSC-klagomål mail.docx", "A 21499-2022")</f>
        <v/>
      </c>
      <c r="AC130">
        <f>HYPERLINK("https://klasma.github.io/Logging_2085/tillsyn/A 21499-2022 tillsynsbegäran.docx", "A 21499-2022")</f>
        <v/>
      </c>
      <c r="AD130">
        <f>HYPERLINK("https://klasma.github.io/Logging_2085/tillsynsmail/A 21499-2022 tillsynsbegäran mail.docx", "A 21499-2022")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46297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A 35652-2026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46297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HYPERLINK("https://klasma.github.io/Logging_2085/artfynd/A 35652-2026 artfynd.xlsx", "A 35652-2026")</f>
        <v/>
      </c>
      <c r="X132">
        <f>HYPERLINK("https://klasma.github.io/Logging_2085/kartor/A 35652-2026 karta.png", "A 35652-2026")</f>
        <v/>
      </c>
      <c r="Y132">
        <f>HYPERLINK("https://klasma.github.io/Logging_2085/kartor_geotiff/A 35652-2026 georefererad karta.tif", "A 35652-2026")</f>
        <v/>
      </c>
      <c r="AA132">
        <f>HYPERLINK("https://klasma.github.io/Logging_2085/klagomål/A 35652-2026 FSC-klagomål.docx", "A 35652-2026")</f>
        <v/>
      </c>
      <c r="AB132">
        <f>HYPERLINK("https://klasma.github.io/Logging_2085/klagomålsmail/A 35652-2026 FSC-klagomål mail.docx", "A 35652-2026")</f>
        <v/>
      </c>
      <c r="AC132">
        <f>HYPERLINK("https://klasma.github.io/Logging_2085/tillsyn/A 35652-2026 tillsynsbegäran.docx", "A 35652-2026")</f>
        <v/>
      </c>
      <c r="AD132">
        <f>HYPERLINK("https://klasma.github.io/Logging_2085/tillsynsmail/A 35652-2026 tillsynsbegäran mail.docx", "A 35652-2026")</f>
        <v/>
      </c>
    </row>
    <row r="133" ht="15" customHeight="1">
      <c r="A133" t="inlineStr">
        <is>
          <t>A 18189-2025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45761</v>
      </c>
      <c r="E133" s="1" t="n">
        <v>46297</v>
      </c>
      <c r="F133" t="inlineStr">
        <is>
          <t>DALARNAS LÄN</t>
        </is>
      </c>
      <c r="G133" t="inlineStr">
        <is>
          <t>LUDVIKA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Fläcknycklar</t>
        </is>
      </c>
      <c r="W133">
        <f>HYPERLINK("https://klasma.github.io/Logging_2085/artfynd/A 18189-2025 artfynd.xlsx", "A 18189-2025")</f>
        <v/>
      </c>
      <c r="X133">
        <f>HYPERLINK("https://klasma.github.io/Logging_2085/kartor/A 18189-2025 karta.png", "A 18189-2025")</f>
        <v/>
      </c>
      <c r="Y133">
        <f>HYPERLINK("https://klasma.github.io/Logging_2085/kartor_geotiff/A 18189-2025 georefererad karta.tif", "A 18189-2025")</f>
        <v/>
      </c>
      <c r="AA133">
        <f>HYPERLINK("https://klasma.github.io/Logging_2085/klagomål/A 18189-2025 FSC-klagomål.docx", "A 18189-2025")</f>
        <v/>
      </c>
      <c r="AB133">
        <f>HYPERLINK("https://klasma.github.io/Logging_2085/klagomålsmail/A 18189-2025 FSC-klagomål mail.docx", "A 18189-2025")</f>
        <v/>
      </c>
      <c r="AC133">
        <f>HYPERLINK("https://klasma.github.io/Logging_2085/tillsyn/A 18189-2025 tillsynsbegäran.docx", "A 18189-2025")</f>
        <v/>
      </c>
      <c r="AD133">
        <f>HYPERLINK("https://klasma.github.io/Logging_2085/tillsynsmail/A 18189-2025 tillsynsbegäran mail.docx", "A 18189-2025")</f>
        <v/>
      </c>
    </row>
    <row r="134" ht="15" customHeight="1">
      <c r="A134" t="inlineStr">
        <is>
          <t>A 36478-2026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46269</v>
      </c>
      <c r="E134" s="1" t="n">
        <v>46297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Skogsalm</t>
        </is>
      </c>
      <c r="W134">
        <f>HYPERLINK("https://klasma.github.io/Logging_2085/artfynd/A 36478-2026 artfynd.xlsx", "A 36478-2026")</f>
        <v/>
      </c>
      <c r="X134">
        <f>HYPERLINK("https://klasma.github.io/Logging_2085/kartor/A 36478-2026 karta.png", "A 36478-2026")</f>
        <v/>
      </c>
      <c r="Y134">
        <f>HYPERLINK("https://klasma.github.io/Logging_2085/kartor_geotiff/A 36478-2026 georefererad karta.tif", "A 36478-2026")</f>
        <v/>
      </c>
      <c r="AA134">
        <f>HYPERLINK("https://klasma.github.io/Logging_2085/klagomål/A 36478-2026 FSC-klagomål.docx", "A 36478-2026")</f>
        <v/>
      </c>
      <c r="AB134">
        <f>HYPERLINK("https://klasma.github.io/Logging_2085/klagomålsmail/A 36478-2026 FSC-klagomål mail.docx", "A 36478-2026")</f>
        <v/>
      </c>
      <c r="AC134">
        <f>HYPERLINK("https://klasma.github.io/Logging_2085/tillsyn/A 36478-2026 tillsynsbegäran.docx", "A 36478-2026")</f>
        <v/>
      </c>
      <c r="AD134">
        <f>HYPERLINK("https://klasma.github.io/Logging_2085/tillsynsmail/A 36478-2026 tillsynsbegäran mail.docx", "A 36478-2026")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46297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33399-2026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46297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0.8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HYPERLINK("https://klasma.github.io/Logging_2085/artfynd/A 33399-2026 artfynd.xlsx", "A 33399-2026")</f>
        <v/>
      </c>
      <c r="X136">
        <f>HYPERLINK("https://klasma.github.io/Logging_2085/kartor/A 33399-2026 karta.png", "A 33399-2026")</f>
        <v/>
      </c>
      <c r="Y136">
        <f>HYPERLINK("https://klasma.github.io/Logging_2085/kartor_geotiff/A 33399-2026 georefererad karta.tif", "A 33399-2026")</f>
        <v/>
      </c>
      <c r="AA136">
        <f>HYPERLINK("https://klasma.github.io/Logging_2085/klagomål/A 33399-2026 FSC-klagomål.docx", "A 33399-2026")</f>
        <v/>
      </c>
      <c r="AB136">
        <f>HYPERLINK("https://klasma.github.io/Logging_2085/klagomålsmail/A 33399-2026 FSC-klagomål mail.docx", "A 33399-2026")</f>
        <v/>
      </c>
      <c r="AC136">
        <f>HYPERLINK("https://klasma.github.io/Logging_2085/tillsyn/A 33399-2026 tillsynsbegäran.docx", "A 33399-2026")</f>
        <v/>
      </c>
      <c r="AD136">
        <f>HYPERLINK("https://klasma.github.io/Logging_2085/tillsynsmail/A 33399-2026 tillsynsbegäran mail.docx", "A 33399-2026")</f>
        <v/>
      </c>
      <c r="AE136">
        <f>HYPERLINK("https://klasma.github.io/Logging_2085/fåglar/A 33399-2026 prioriterade fågelarter.docx", "A 33399-2026")</f>
        <v/>
      </c>
    </row>
    <row r="137" ht="15" customHeight="1">
      <c r="A137" t="inlineStr">
        <is>
          <t>A 1047-2023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46297</v>
      </c>
      <c r="F137" t="inlineStr">
        <is>
          <t>DALARNAS LÄN</t>
        </is>
      </c>
      <c r="G137" t="inlineStr">
        <is>
          <t>LUDVIKA</t>
        </is>
      </c>
      <c r="H137" t="inlineStr">
        <is>
          <t>Kommuner</t>
        </is>
      </c>
      <c r="I137" t="n">
        <v>3.2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HYPERLINK("https://klasma.github.io/Logging_2085/artfynd/A 1047-2023 artfynd.xlsx", "A 1047-2023")</f>
        <v/>
      </c>
      <c r="X137">
        <f>HYPERLINK("https://klasma.github.io/Logging_2085/kartor/A 1047-2023 karta.png", "A 1047-2023")</f>
        <v/>
      </c>
      <c r="Y137">
        <f>HYPERLINK("https://klasma.github.io/Logging_2085/kartor_geotiff/A 1047-2023 georefererad karta.tif", "A 1047-2023")</f>
        <v/>
      </c>
      <c r="AA137">
        <f>HYPERLINK("https://klasma.github.io/Logging_2085/klagomål/A 1047-2023 FSC-klagomål.docx", "A 1047-2023")</f>
        <v/>
      </c>
      <c r="AB137">
        <f>HYPERLINK("https://klasma.github.io/Logging_2085/klagomålsmail/A 1047-2023 FSC-klagomål mail.docx", "A 1047-2023")</f>
        <v/>
      </c>
      <c r="AC137">
        <f>HYPERLINK("https://klasma.github.io/Logging_2085/tillsyn/A 1047-2023 tillsynsbegäran.docx", "A 1047-2023")</f>
        <v/>
      </c>
      <c r="AD137">
        <f>HYPERLINK("https://klasma.github.io/Logging_2085/tillsynsmail/A 1047-2023 tillsynsbegäran mail.docx", "A 1047-2023")</f>
        <v/>
      </c>
    </row>
    <row r="138" ht="15" customHeight="1">
      <c r="A138" t="inlineStr">
        <is>
          <t>A 29882-2024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45486</v>
      </c>
      <c r="E138" s="1" t="n">
        <v>46297</v>
      </c>
      <c r="F138" t="inlineStr">
        <is>
          <t>DALARNAS LÄN</t>
        </is>
      </c>
      <c r="G138" t="inlineStr">
        <is>
          <t>LUDVIKA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Spillkråka</t>
        </is>
      </c>
      <c r="W138">
        <f>HYPERLINK("https://klasma.github.io/Logging_2085/artfynd/A 29882-2024 artfynd.xlsx", "A 29882-2024")</f>
        <v/>
      </c>
      <c r="X138">
        <f>HYPERLINK("https://klasma.github.io/Logging_2085/kartor/A 29882-2024 karta.png", "A 29882-2024")</f>
        <v/>
      </c>
      <c r="Y138">
        <f>HYPERLINK("https://klasma.github.io/Logging_2085/kartor_geotiff/A 29882-2024 georefererad karta.tif", "A 29882-2024")</f>
        <v/>
      </c>
      <c r="AA138">
        <f>HYPERLINK("https://klasma.github.io/Logging_2085/klagomål/A 29882-2024 FSC-klagomål.docx", "A 29882-2024")</f>
        <v/>
      </c>
      <c r="AB138">
        <f>HYPERLINK("https://klasma.github.io/Logging_2085/klagomålsmail/A 29882-2024 FSC-klagomål mail.docx", "A 29882-2024")</f>
        <v/>
      </c>
      <c r="AC138">
        <f>HYPERLINK("https://klasma.github.io/Logging_2085/tillsyn/A 29882-2024 tillsynsbegäran.docx", "A 29882-2024")</f>
        <v/>
      </c>
      <c r="AD138">
        <f>HYPERLINK("https://klasma.github.io/Logging_2085/tillsynsmail/A 29882-2024 tillsynsbegäran mail.docx", "A 29882-2024")</f>
        <v/>
      </c>
      <c r="AE138">
        <f>HYPERLINK("https://klasma.github.io/Logging_2085/fåglar/A 29882-2024 prioriterade fågelarter.docx", "A 29882-2024")</f>
        <v/>
      </c>
    </row>
    <row r="139" ht="15" customHeight="1">
      <c r="A139" t="inlineStr">
        <is>
          <t>A 31273-2022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44771</v>
      </c>
      <c r="E139" s="1" t="n">
        <v>46297</v>
      </c>
      <c r="F139" t="inlineStr">
        <is>
          <t>DALARNAS LÄN</t>
        </is>
      </c>
      <c r="G139" t="inlineStr">
        <is>
          <t>LUDVIKA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46297</v>
      </c>
      <c r="F140" t="inlineStr">
        <is>
          <t>DALARNAS LÄN</t>
        </is>
      </c>
      <c r="G140" t="inlineStr">
        <is>
          <t>LUDVIKA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62152-2021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46297</v>
      </c>
      <c r="F141" t="inlineStr">
        <is>
          <t>DALARNAS LÄN</t>
        </is>
      </c>
      <c r="G141" t="inlineStr">
        <is>
          <t>LUDVIKA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46297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46297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46297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46297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46297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46297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46297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46297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46297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46297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46297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46297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46297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46297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46297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46297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46297</v>
      </c>
      <c r="F158" t="inlineStr">
        <is>
          <t>DALARNAS LÄN</t>
        </is>
      </c>
      <c r="G158" t="inlineStr">
        <is>
          <t>LUDVIKA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63267-2021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44508</v>
      </c>
      <c r="E159" s="1" t="n">
        <v>46297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46297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46297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46297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46297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45335</v>
      </c>
      <c r="E164" s="1" t="n">
        <v>46297</v>
      </c>
      <c r="F164" t="inlineStr">
        <is>
          <t>DALARNAS LÄN</t>
        </is>
      </c>
      <c r="G164" t="inlineStr">
        <is>
          <t>LUDVIKA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46297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46297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46297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41400-2022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46297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34845-2024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45526</v>
      </c>
      <c r="E169" s="1" t="n">
        <v>46297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46297</v>
      </c>
      <c r="F170" t="inlineStr">
        <is>
          <t>DALARNAS LÄN</t>
        </is>
      </c>
      <c r="G170" t="inlineStr">
        <is>
          <t>LUDVIKA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46297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11436-2024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45372</v>
      </c>
      <c r="E172" s="1" t="n">
        <v>46297</v>
      </c>
      <c r="F172" t="inlineStr">
        <is>
          <t>DALARNAS LÄN</t>
        </is>
      </c>
      <c r="G172" t="inlineStr">
        <is>
          <t>LUDVIKA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46297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46297</v>
      </c>
      <c r="F174" t="inlineStr">
        <is>
          <t>DALARNAS LÄN</t>
        </is>
      </c>
      <c r="G174" t="inlineStr">
        <is>
          <t>LUDVIKA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31702-2023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45105</v>
      </c>
      <c r="E175" s="1" t="n">
        <v>46297</v>
      </c>
      <c r="F175" t="inlineStr">
        <is>
          <t>DALARNAS LÄN</t>
        </is>
      </c>
      <c r="G175" t="inlineStr">
        <is>
          <t>LUDVIKA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32119-2023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46297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46297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47496-2022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44853</v>
      </c>
      <c r="E178" s="1" t="n">
        <v>46297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46297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45786</v>
      </c>
      <c r="E180" s="1" t="n">
        <v>46297</v>
      </c>
      <c r="F180" t="inlineStr">
        <is>
          <t>DALARNAS LÄN</t>
        </is>
      </c>
      <c r="G180" t="inlineStr">
        <is>
          <t>LUDVIKA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46297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46297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46297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46297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46297</v>
      </c>
      <c r="F185" t="inlineStr">
        <is>
          <t>DALARNAS LÄN</t>
        </is>
      </c>
      <c r="G185" t="inlineStr">
        <is>
          <t>LUDVIKA</t>
        </is>
      </c>
      <c r="H185" t="inlineStr">
        <is>
          <t>Övriga Aktiebolag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44883</v>
      </c>
      <c r="E186" s="1" t="n">
        <v>46297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46297</v>
      </c>
      <c r="F187" t="inlineStr">
        <is>
          <t>DALARNAS LÄN</t>
        </is>
      </c>
      <c r="G187" t="inlineStr">
        <is>
          <t>LUDVIKA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46297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37538-2024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46297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46297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46297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45537</v>
      </c>
      <c r="E192" s="1" t="n">
        <v>46297</v>
      </c>
      <c r="F192" t="inlineStr">
        <is>
          <t>DALARNAS LÄN</t>
        </is>
      </c>
      <c r="G192" t="inlineStr">
        <is>
          <t>LUDVIKA</t>
        </is>
      </c>
      <c r="H192" t="inlineStr">
        <is>
          <t>Övriga Aktiebolag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46297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46002</v>
      </c>
      <c r="E194" s="1" t="n">
        <v>46297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46297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61278-2022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46297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45502</v>
      </c>
      <c r="E197" s="1" t="n">
        <v>46297</v>
      </c>
      <c r="F197" t="inlineStr">
        <is>
          <t>DALARNAS LÄN</t>
        </is>
      </c>
      <c r="G197" t="inlineStr">
        <is>
          <t>LUDVIKA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30977-2024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45499</v>
      </c>
      <c r="E198" s="1" t="n">
        <v>46297</v>
      </c>
      <c r="F198" t="inlineStr">
        <is>
          <t>DALARNAS LÄN</t>
        </is>
      </c>
      <c r="G198" t="inlineStr">
        <is>
          <t>LUDVIKA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46297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46297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46297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46297</v>
      </c>
      <c r="F202" t="inlineStr">
        <is>
          <t>DALARNAS LÄN</t>
        </is>
      </c>
      <c r="G202" t="inlineStr">
        <is>
          <t>LUDVIKA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46297</v>
      </c>
      <c r="F203" t="inlineStr">
        <is>
          <t>DALARNAS LÄN</t>
        </is>
      </c>
      <c r="G203" t="inlineStr">
        <is>
          <t>LUDVIKA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46297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46297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46297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44895</v>
      </c>
      <c r="E207" s="1" t="n">
        <v>46297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46297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46297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44978</v>
      </c>
      <c r="E210" s="1" t="n">
        <v>46297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46297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46297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46297</v>
      </c>
      <c r="F213" t="inlineStr">
        <is>
          <t>DALARNAS LÄN</t>
        </is>
      </c>
      <c r="G213" t="inlineStr">
        <is>
          <t>LUDVIKA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46297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46297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46297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45776</v>
      </c>
      <c r="E217" s="1" t="n">
        <v>46297</v>
      </c>
      <c r="F217" t="inlineStr">
        <is>
          <t>DALARNAS LÄN</t>
        </is>
      </c>
      <c r="G217" t="inlineStr">
        <is>
          <t>LUDVIKA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65195-2021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46297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46297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46297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45770</v>
      </c>
      <c r="E221" s="1" t="n">
        <v>46297</v>
      </c>
      <c r="F221" t="inlineStr">
        <is>
          <t>DALARNAS LÄN</t>
        </is>
      </c>
      <c r="G221" t="inlineStr">
        <is>
          <t>LUDVIKA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36338-2025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45868</v>
      </c>
      <c r="E222" s="1" t="n">
        <v>46297</v>
      </c>
      <c r="F222" t="inlineStr">
        <is>
          <t>DALARNAS LÄN</t>
        </is>
      </c>
      <c r="G222" t="inlineStr">
        <is>
          <t>LUDVIKA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46297</v>
      </c>
      <c r="F223" t="inlineStr">
        <is>
          <t>DALARNAS LÄN</t>
        </is>
      </c>
      <c r="G223" t="inlineStr">
        <is>
          <t>LUDVIKA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25235-2025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45800</v>
      </c>
      <c r="E224" s="1" t="n">
        <v>46297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46297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46297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46297</v>
      </c>
      <c r="F227" t="inlineStr">
        <is>
          <t>DALARNAS LÄN</t>
        </is>
      </c>
      <c r="G227" t="inlineStr">
        <is>
          <t>LUDVIKA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46297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46297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46297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46297</v>
      </c>
      <c r="F231" t="inlineStr">
        <is>
          <t>DALARNAS LÄN</t>
        </is>
      </c>
      <c r="G231" t="inlineStr">
        <is>
          <t>LUDVIKA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45519</v>
      </c>
      <c r="E232" s="1" t="n">
        <v>46297</v>
      </c>
      <c r="F232" t="inlineStr">
        <is>
          <t>DALARNAS LÄN</t>
        </is>
      </c>
      <c r="G232" t="inlineStr">
        <is>
          <t>LUDVIKA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46297</v>
      </c>
      <c r="F233" t="inlineStr">
        <is>
          <t>DALARNAS LÄN</t>
        </is>
      </c>
      <c r="G233" t="inlineStr">
        <is>
          <t>LUDVIKA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46297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56615-2025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45975</v>
      </c>
      <c r="E235" s="1" t="n">
        <v>46297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46297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46297</v>
      </c>
      <c r="F237" t="inlineStr">
        <is>
          <t>DALARNAS LÄN</t>
        </is>
      </c>
      <c r="G237" t="inlineStr">
        <is>
          <t>LUDVIKA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46297</v>
      </c>
      <c r="F238" t="inlineStr">
        <is>
          <t>DALARNAS LÄN</t>
        </is>
      </c>
      <c r="G238" t="inlineStr">
        <is>
          <t>LUDVIKA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45224</v>
      </c>
      <c r="E239" s="1" t="n">
        <v>46297</v>
      </c>
      <c r="F239" t="inlineStr">
        <is>
          <t>DALARNAS LÄN</t>
        </is>
      </c>
      <c r="G239" t="inlineStr">
        <is>
          <t>LUDVIKA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46297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46297</v>
      </c>
      <c r="F241" t="inlineStr">
        <is>
          <t>DALARNAS LÄN</t>
        </is>
      </c>
      <c r="G241" t="inlineStr">
        <is>
          <t>LUDVIKA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46297</v>
      </c>
      <c r="F242" t="inlineStr">
        <is>
          <t>DALARNAS LÄN</t>
        </is>
      </c>
      <c r="G242" t="inlineStr">
        <is>
          <t>LUDVIKA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46297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46297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46297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46297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46297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46297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46297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46297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46297</v>
      </c>
      <c r="F251" t="inlineStr">
        <is>
          <t>DALARNAS LÄN</t>
        </is>
      </c>
      <c r="G251" t="inlineStr">
        <is>
          <t>LUDVIKA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46297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46297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46297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51029-2024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46297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46297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46297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46297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46297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46297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45940</v>
      </c>
      <c r="E261" s="1" t="n">
        <v>46297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26698-2025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45810</v>
      </c>
      <c r="E262" s="1" t="n">
        <v>46297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46297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26628-2025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45810</v>
      </c>
      <c r="E264" s="1" t="n">
        <v>46297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46297</v>
      </c>
      <c r="F265" t="inlineStr">
        <is>
          <t>DALARNAS LÄN</t>
        </is>
      </c>
      <c r="G265" t="inlineStr">
        <is>
          <t>LUDVIKA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26794-2025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45810</v>
      </c>
      <c r="E266" s="1" t="n">
        <v>46297</v>
      </c>
      <c r="F266" t="inlineStr">
        <is>
          <t>DALARNAS LÄN</t>
        </is>
      </c>
      <c r="G266" t="inlineStr">
        <is>
          <t>LUDVIKA</t>
        </is>
      </c>
      <c r="H266" t="inlineStr">
        <is>
          <t>Kommuner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46297</v>
      </c>
      <c r="F267" t="inlineStr">
        <is>
          <t>DALARNAS LÄN</t>
        </is>
      </c>
      <c r="G267" t="inlineStr">
        <is>
          <t>LUDVIKA</t>
        </is>
      </c>
      <c r="H267" t="inlineStr">
        <is>
          <t>Naturvårdsverket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46297</v>
      </c>
      <c r="F268" t="inlineStr">
        <is>
          <t>DALARNAS LÄN</t>
        </is>
      </c>
      <c r="G268" t="inlineStr">
        <is>
          <t>LUDVIKA</t>
        </is>
      </c>
      <c r="H268" t="inlineStr">
        <is>
          <t>Naturvårdsverket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46297</v>
      </c>
      <c r="F269" t="inlineStr">
        <is>
          <t>DALARNAS LÄN</t>
        </is>
      </c>
      <c r="G269" t="inlineStr">
        <is>
          <t>LUDVIKA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45761</v>
      </c>
      <c r="E270" s="1" t="n">
        <v>46297</v>
      </c>
      <c r="F270" t="inlineStr">
        <is>
          <t>DALARNAS LÄN</t>
        </is>
      </c>
      <c r="G270" t="inlineStr">
        <is>
          <t>LUDVIKA</t>
        </is>
      </c>
      <c r="H270" t="inlineStr">
        <is>
          <t>Naturvårdsverket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52552-2025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45954</v>
      </c>
      <c r="E271" s="1" t="n">
        <v>46297</v>
      </c>
      <c r="F271" t="inlineStr">
        <is>
          <t>DALARNAS LÄN</t>
        </is>
      </c>
      <c r="G271" t="inlineStr">
        <is>
          <t>LUDVIKA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46297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46297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52459-2025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45954</v>
      </c>
      <c r="E274" s="1" t="n">
        <v>46297</v>
      </c>
      <c r="F274" t="inlineStr">
        <is>
          <t>DALARNAS LÄN</t>
        </is>
      </c>
      <c r="G274" t="inlineStr">
        <is>
          <t>LUDVIKA</t>
        </is>
      </c>
      <c r="H274" t="inlineStr">
        <is>
          <t>Övriga Aktiebolag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46297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46297</v>
      </c>
      <c r="F276" t="inlineStr">
        <is>
          <t>DALARNAS LÄN</t>
        </is>
      </c>
      <c r="G276" t="inlineStr">
        <is>
          <t>LUDVIKA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46297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52427-2025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45954</v>
      </c>
      <c r="E278" s="1" t="n">
        <v>46297</v>
      </c>
      <c r="F278" t="inlineStr">
        <is>
          <t>DALARNAS LÄN</t>
        </is>
      </c>
      <c r="G278" t="inlineStr">
        <is>
          <t>LUDVIKA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46297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45579</v>
      </c>
      <c r="E280" s="1" t="n">
        <v>46297</v>
      </c>
      <c r="F280" t="inlineStr">
        <is>
          <t>DALARNAS LÄN</t>
        </is>
      </c>
      <c r="G280" t="inlineStr">
        <is>
          <t>LUDVIKA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52556-2025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45954</v>
      </c>
      <c r="E281" s="1" t="n">
        <v>46297</v>
      </c>
      <c r="F281" t="inlineStr">
        <is>
          <t>DALARNAS LÄN</t>
        </is>
      </c>
      <c r="G281" t="inlineStr">
        <is>
          <t>LUDVIKA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43700-2024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45569</v>
      </c>
      <c r="E282" s="1" t="n">
        <v>46297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46297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46297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46297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46297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46297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45813</v>
      </c>
      <c r="E288" s="1" t="n">
        <v>46297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46297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46297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46297</v>
      </c>
      <c r="F291" t="inlineStr">
        <is>
          <t>DALARNAS LÄN</t>
        </is>
      </c>
      <c r="G291" t="inlineStr">
        <is>
          <t>LUDVIKA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46297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46297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54341-2025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45965</v>
      </c>
      <c r="E294" s="1" t="n">
        <v>46297</v>
      </c>
      <c r="F294" t="inlineStr">
        <is>
          <t>DALARNAS LÄN</t>
        </is>
      </c>
      <c r="G294" t="inlineStr">
        <is>
          <t>LUDVIKA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46297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46297</v>
      </c>
      <c r="F296" t="inlineStr">
        <is>
          <t>DALARNAS LÄN</t>
        </is>
      </c>
      <c r="G296" t="inlineStr">
        <is>
          <t>LUDVIKA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46297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45968</v>
      </c>
      <c r="E298" s="1" t="n">
        <v>46297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46297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46297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46297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46297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46297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46297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46297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46119</v>
      </c>
      <c r="E306" s="1" t="n">
        <v>46297</v>
      </c>
      <c r="F306" t="inlineStr">
        <is>
          <t>DALARNAS LÄN</t>
        </is>
      </c>
      <c r="G306" t="inlineStr">
        <is>
          <t>LUDVIKA</t>
        </is>
      </c>
      <c r="H306" t="inlineStr">
        <is>
          <t>Naturvårdsverket</t>
        </is>
      </c>
      <c r="I306" t="n">
        <v>19.8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46297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46297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46297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56002-2025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46297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56219-2025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46297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46297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46297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46297</v>
      </c>
      <c r="F314" t="inlineStr">
        <is>
          <t>DALARNAS LÄN</t>
        </is>
      </c>
      <c r="G314" t="inlineStr">
        <is>
          <t>LUDVIKA</t>
        </is>
      </c>
      <c r="H314" t="inlineStr">
        <is>
          <t>Övriga Aktiebolag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46297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46297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56155-2025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46297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46297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46122</v>
      </c>
      <c r="E319" s="1" t="n">
        <v>46297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46297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46297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22000-2022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44711</v>
      </c>
      <c r="E322" s="1" t="n">
        <v>46297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46297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46297</v>
      </c>
      <c r="F324" t="inlineStr">
        <is>
          <t>DALARNAS LÄN</t>
        </is>
      </c>
      <c r="G324" t="inlineStr">
        <is>
          <t>LUDVIKA</t>
        </is>
      </c>
      <c r="H324" t="inlineStr">
        <is>
          <t>Naturvårdsverket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46297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45624</v>
      </c>
      <c r="E326" s="1" t="n">
        <v>46297</v>
      </c>
      <c r="F326" t="inlineStr">
        <is>
          <t>DALARNAS LÄN</t>
        </is>
      </c>
      <c r="G326" t="inlineStr">
        <is>
          <t>LUDVIKA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46297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46297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18362-2026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46126</v>
      </c>
      <c r="E329" s="1" t="n">
        <v>46297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51043-2024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45603</v>
      </c>
      <c r="E330" s="1" t="n">
        <v>46297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46297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45625</v>
      </c>
      <c r="E332" s="1" t="n">
        <v>46297</v>
      </c>
      <c r="F332" t="inlineStr">
        <is>
          <t>DALARNAS LÄN</t>
        </is>
      </c>
      <c r="G332" t="inlineStr">
        <is>
          <t>LUDVIKA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46297</v>
      </c>
      <c r="F333" t="inlineStr">
        <is>
          <t>DALARNAS LÄN</t>
        </is>
      </c>
      <c r="G333" t="inlineStr">
        <is>
          <t>LUDVIKA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46297</v>
      </c>
      <c r="F334" t="inlineStr">
        <is>
          <t>DALARNAS LÄN</t>
        </is>
      </c>
      <c r="G334" t="inlineStr">
        <is>
          <t>LUDVIKA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46297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19610-2026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46134</v>
      </c>
      <c r="E336" s="1" t="n">
        <v>46297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45519</v>
      </c>
      <c r="E337" s="1" t="n">
        <v>46297</v>
      </c>
      <c r="F337" t="inlineStr">
        <is>
          <t>DALARNAS LÄN</t>
        </is>
      </c>
      <c r="G337" t="inlineStr">
        <is>
          <t>LUDVIKA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45593</v>
      </c>
      <c r="E338" s="1" t="n">
        <v>46297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46297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45891</v>
      </c>
      <c r="E340" s="1" t="n">
        <v>46297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45929</v>
      </c>
      <c r="E341" s="1" t="n">
        <v>46297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45929</v>
      </c>
      <c r="E342" s="1" t="n">
        <v>46297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45062</v>
      </c>
      <c r="E343" s="1" t="n">
        <v>46297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45988</v>
      </c>
      <c r="E344" s="1" t="n">
        <v>46297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46297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46297</v>
      </c>
      <c r="F346" t="inlineStr">
        <is>
          <t>DALARNAS LÄN</t>
        </is>
      </c>
      <c r="G346" t="inlineStr">
        <is>
          <t>LUDVIKA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46297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46297</v>
      </c>
      <c r="F348" t="inlineStr">
        <is>
          <t>DALARNAS LÄN</t>
        </is>
      </c>
      <c r="G348" t="inlineStr">
        <is>
          <t>LUDVIKA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46297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46297</v>
      </c>
      <c r="F350" t="inlineStr">
        <is>
          <t>DALARNAS LÄN</t>
        </is>
      </c>
      <c r="G350" t="inlineStr">
        <is>
          <t>LUDVIKA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46297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46297</v>
      </c>
      <c r="F352" t="inlineStr">
        <is>
          <t>DALARNAS LÄN</t>
        </is>
      </c>
      <c r="G352" t="inlineStr">
        <is>
          <t>LUDVIKA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46297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46297</v>
      </c>
      <c r="F354" t="inlineStr">
        <is>
          <t>DALARNAS LÄN</t>
        </is>
      </c>
      <c r="G354" t="inlineStr">
        <is>
          <t>LUDVIKA</t>
        </is>
      </c>
      <c r="H354" t="inlineStr">
        <is>
          <t>Naturvårdsverket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46297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46136</v>
      </c>
      <c r="E356" s="1" t="n">
        <v>46297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59347-2024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46297</v>
      </c>
      <c r="F357" t="inlineStr">
        <is>
          <t>DALARNAS LÄN</t>
        </is>
      </c>
      <c r="G357" t="inlineStr">
        <is>
          <t>LUDVIKA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46297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45568</v>
      </c>
      <c r="E359" s="1" t="n">
        <v>46297</v>
      </c>
      <c r="F359" t="inlineStr">
        <is>
          <t>DALARNAS LÄN</t>
        </is>
      </c>
      <c r="G359" t="inlineStr">
        <is>
          <t>LUDVIKA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46297</v>
      </c>
      <c r="F360" t="inlineStr">
        <is>
          <t>DALARNAS LÄN</t>
        </is>
      </c>
      <c r="G360" t="inlineStr">
        <is>
          <t>LUDVIKA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46297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46297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46297</v>
      </c>
      <c r="F363" t="inlineStr">
        <is>
          <t>DALARNAS LÄN</t>
        </is>
      </c>
      <c r="G363" t="inlineStr">
        <is>
          <t>LUDVIKA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45849</v>
      </c>
      <c r="E364" s="1" t="n">
        <v>46297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46297</v>
      </c>
      <c r="F365" t="inlineStr">
        <is>
          <t>DALARNAS LÄN</t>
        </is>
      </c>
      <c r="G365" t="inlineStr">
        <is>
          <t>LUDVIKA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46297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34070-2025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46297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46297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46297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46297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46297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44729</v>
      </c>
      <c r="E372" s="1" t="n">
        <v>46297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45968</v>
      </c>
      <c r="E373" s="1" t="n">
        <v>46297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46297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46297</v>
      </c>
      <c r="F375" t="inlineStr">
        <is>
          <t>DALARNAS LÄN</t>
        </is>
      </c>
      <c r="G375" t="inlineStr">
        <is>
          <t>LUDVIKA</t>
        </is>
      </c>
      <c r="I375" t="n">
        <v>9.800000000000001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46297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46297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45826</v>
      </c>
      <c r="E378" s="1" t="n">
        <v>46297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46297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2838-2022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44581</v>
      </c>
      <c r="E380" s="1" t="n">
        <v>46297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46297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46297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62367-2025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46297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46297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46297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62824-2025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46297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44820</v>
      </c>
      <c r="E387" s="1" t="n">
        <v>46297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44820</v>
      </c>
      <c r="E388" s="1" t="n">
        <v>46297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46297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46297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46297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46297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46297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63222-2025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46297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46297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46297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46297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46297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46297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46297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62945-2025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46009</v>
      </c>
      <c r="E401" s="1" t="n">
        <v>46297</v>
      </c>
      <c r="F401" t="inlineStr">
        <is>
          <t>DALARNAS LÄN</t>
        </is>
      </c>
      <c r="G401" t="inlineStr">
        <is>
          <t>LUDVIKA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46297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46297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45840</v>
      </c>
      <c r="E404" s="1" t="n">
        <v>46297</v>
      </c>
      <c r="F404" t="inlineStr">
        <is>
          <t>DALARNAS LÄN</t>
        </is>
      </c>
      <c r="G404" t="inlineStr">
        <is>
          <t>LUDVIKA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34067-2025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45845</v>
      </c>
      <c r="E405" s="1" t="n">
        <v>46297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45687</v>
      </c>
      <c r="E406" s="1" t="n">
        <v>46297</v>
      </c>
      <c r="F406" t="inlineStr">
        <is>
          <t>DALARNAS LÄN</t>
        </is>
      </c>
      <c r="G406" t="inlineStr">
        <is>
          <t>LUDVIKA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45502</v>
      </c>
      <c r="E407" s="1" t="n">
        <v>46297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46297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46297</v>
      </c>
      <c r="F409" t="inlineStr">
        <is>
          <t>DALARNAS LÄN</t>
        </is>
      </c>
      <c r="G409" t="inlineStr">
        <is>
          <t>LUDVIKA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46297</v>
      </c>
      <c r="F410" t="inlineStr">
        <is>
          <t>DALARNAS LÄN</t>
        </is>
      </c>
      <c r="G410" t="inlineStr">
        <is>
          <t>LUDVIKA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46297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46297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46297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45832</v>
      </c>
      <c r="E414" s="1" t="n">
        <v>46297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45832</v>
      </c>
      <c r="E415" s="1" t="n">
        <v>46297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46297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45860</v>
      </c>
      <c r="E417" s="1" t="n">
        <v>46297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46297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45567</v>
      </c>
      <c r="E419" s="1" t="n">
        <v>46297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44680</v>
      </c>
      <c r="E420" s="1" t="n">
        <v>46297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45869</v>
      </c>
      <c r="E421" s="1" t="n">
        <v>46297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45337</v>
      </c>
      <c r="E422" s="1" t="n">
        <v>46297</v>
      </c>
      <c r="F422" t="inlineStr">
        <is>
          <t>DALARNAS LÄN</t>
        </is>
      </c>
      <c r="G422" t="inlineStr">
        <is>
          <t>LUDVIKA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46297</v>
      </c>
      <c r="F423" t="inlineStr">
        <is>
          <t>DALARNAS LÄN</t>
        </is>
      </c>
      <c r="G423" t="inlineStr">
        <is>
          <t>LUDVIKA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46297</v>
      </c>
      <c r="F424" t="inlineStr">
        <is>
          <t>DALARNAS LÄN</t>
        </is>
      </c>
      <c r="G424" t="inlineStr">
        <is>
          <t>LUDVIKA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46297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45761</v>
      </c>
      <c r="E426" s="1" t="n">
        <v>46297</v>
      </c>
      <c r="F426" t="inlineStr">
        <is>
          <t>DALARNAS LÄN</t>
        </is>
      </c>
      <c r="G426" t="inlineStr">
        <is>
          <t>LUDVIKA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45875</v>
      </c>
      <c r="E427" s="1" t="n">
        <v>46297</v>
      </c>
      <c r="F427" t="inlineStr">
        <is>
          <t>DALARNAS LÄN</t>
        </is>
      </c>
      <c r="G427" t="inlineStr">
        <is>
          <t>LUDVIKA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44916</v>
      </c>
      <c r="E428" s="1" t="n">
        <v>46297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46297</v>
      </c>
      <c r="F429" t="inlineStr">
        <is>
          <t>DALARNAS LÄN</t>
        </is>
      </c>
      <c r="G429" t="inlineStr">
        <is>
          <t>LUDVIKA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46297</v>
      </c>
      <c r="F430" t="inlineStr">
        <is>
          <t>DALARNAS LÄN</t>
        </is>
      </c>
      <c r="G430" t="inlineStr">
        <is>
          <t>LUDVIKA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46297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20778-2026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46297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46185-2024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46297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30844-2024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45497</v>
      </c>
      <c r="E434" s="1" t="n">
        <v>46297</v>
      </c>
      <c r="F434" t="inlineStr">
        <is>
          <t>DALARNAS LÄN</t>
        </is>
      </c>
      <c r="G434" t="inlineStr">
        <is>
          <t>LUDVIKA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46297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45106</v>
      </c>
      <c r="E436" s="1" t="n">
        <v>46297</v>
      </c>
      <c r="F436" t="inlineStr">
        <is>
          <t>DALARNAS LÄN</t>
        </is>
      </c>
      <c r="G436" t="inlineStr">
        <is>
          <t>LUDVIKA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46297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46297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46297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45411</v>
      </c>
      <c r="E440" s="1" t="n">
        <v>46297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46297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46297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46150</v>
      </c>
      <c r="E443" s="1" t="n">
        <v>46297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44942</v>
      </c>
      <c r="E444" s="1" t="n">
        <v>46297</v>
      </c>
      <c r="F444" t="inlineStr">
        <is>
          <t>DALARNAS LÄN</t>
        </is>
      </c>
      <c r="G444" t="inlineStr">
        <is>
          <t>LUDVIKA</t>
        </is>
      </c>
      <c r="I444" t="n">
        <v>13.1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45603</v>
      </c>
      <c r="E445" s="1" t="n">
        <v>46297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46150</v>
      </c>
      <c r="E446" s="1" t="n">
        <v>46297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21462-2026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46297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25296-2022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44730</v>
      </c>
      <c r="E448" s="1" t="n">
        <v>46297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59346-2024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46297</v>
      </c>
      <c r="F449" t="inlineStr">
        <is>
          <t>DALARNAS LÄN</t>
        </is>
      </c>
      <c r="G449" t="inlineStr">
        <is>
          <t>LUDVIKA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46297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45265</v>
      </c>
      <c r="E451" s="1" t="n">
        <v>46297</v>
      </c>
      <c r="F451" t="inlineStr">
        <is>
          <t>DALARNAS LÄN</t>
        </is>
      </c>
      <c r="G451" t="inlineStr">
        <is>
          <t>LUDVIKA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46297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45883</v>
      </c>
      <c r="E453" s="1" t="n">
        <v>46297</v>
      </c>
      <c r="F453" t="inlineStr">
        <is>
          <t>DALARNAS LÄN</t>
        </is>
      </c>
      <c r="G453" t="inlineStr">
        <is>
          <t>LUDVIKA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46297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46297</v>
      </c>
      <c r="F455" t="inlineStr">
        <is>
          <t>DALARNAS LÄN</t>
        </is>
      </c>
      <c r="G455" t="inlineStr">
        <is>
          <t>LUDVIKA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45679</v>
      </c>
      <c r="E456" s="1" t="n">
        <v>46297</v>
      </c>
      <c r="F456" t="inlineStr">
        <is>
          <t>DALARNAS LÄN</t>
        </is>
      </c>
      <c r="G456" t="inlineStr">
        <is>
          <t>LUDVIKA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46297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46297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46297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9.800000000000001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46297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16843-2026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46297</v>
      </c>
      <c r="F461" t="inlineStr">
        <is>
          <t>DALARNAS LÄN</t>
        </is>
      </c>
      <c r="G461" t="inlineStr">
        <is>
          <t>LUDVIKA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46297</v>
      </c>
      <c r="F462" t="inlineStr">
        <is>
          <t>DALARNAS LÄN</t>
        </is>
      </c>
      <c r="G462" t="inlineStr">
        <is>
          <t>LUDVIKA</t>
        </is>
      </c>
      <c r="H462" t="inlineStr">
        <is>
          <t>Naturvårdsverket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65104-2023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46297</v>
      </c>
      <c r="F463" t="inlineStr">
        <is>
          <t>DALARNAS LÄN</t>
        </is>
      </c>
      <c r="G463" t="inlineStr">
        <is>
          <t>LUDVIKA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46297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46297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49951-2022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44865</v>
      </c>
      <c r="E466" s="1" t="n">
        <v>46297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14986-2024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45399</v>
      </c>
      <c r="E467" s="1" t="n">
        <v>46297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45569</v>
      </c>
      <c r="E468" s="1" t="n">
        <v>46297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45791</v>
      </c>
      <c r="E469" s="1" t="n">
        <v>46297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55633-2021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44476</v>
      </c>
      <c r="E470" s="1" t="n">
        <v>46297</v>
      </c>
      <c r="F470" t="inlineStr">
        <is>
          <t>DALARNAS LÄN</t>
        </is>
      </c>
      <c r="G470" t="inlineStr">
        <is>
          <t>LUDVIKA</t>
        </is>
      </c>
      <c r="H470" t="inlineStr">
        <is>
          <t>Övriga Aktiebolag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46297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46297</v>
      </c>
      <c r="F472" t="inlineStr">
        <is>
          <t>DALARNAS LÄN</t>
        </is>
      </c>
      <c r="G472" t="inlineStr">
        <is>
          <t>LUDVIKA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46297</v>
      </c>
      <c r="F473" t="inlineStr">
        <is>
          <t>DALARNAS LÄN</t>
        </is>
      </c>
      <c r="G473" t="inlineStr">
        <is>
          <t>LUDVIKA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46038</v>
      </c>
      <c r="E474" s="1" t="n">
        <v>46297</v>
      </c>
      <c r="F474" t="inlineStr">
        <is>
          <t>DALARNAS LÄN</t>
        </is>
      </c>
      <c r="G474" t="inlineStr">
        <is>
          <t>LUDVIKA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46297</v>
      </c>
      <c r="F475" t="inlineStr">
        <is>
          <t>DALARNAS LÄN</t>
        </is>
      </c>
      <c r="G475" t="inlineStr">
        <is>
          <t>LUDVIKA</t>
        </is>
      </c>
      <c r="H475" t="inlineStr">
        <is>
          <t>Naturvårdsverket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46297</v>
      </c>
      <c r="F476" t="inlineStr">
        <is>
          <t>DALARNAS LÄN</t>
        </is>
      </c>
      <c r="G476" t="inlineStr">
        <is>
          <t>LUDVIKA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45404</v>
      </c>
      <c r="E477" s="1" t="n">
        <v>46297</v>
      </c>
      <c r="F477" t="inlineStr">
        <is>
          <t>DALARNAS LÄN</t>
        </is>
      </c>
      <c r="G477" t="inlineStr">
        <is>
          <t>LUDVIKA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45110</v>
      </c>
      <c r="E478" s="1" t="n">
        <v>46297</v>
      </c>
      <c r="F478" t="inlineStr">
        <is>
          <t>DALARNAS LÄN</t>
        </is>
      </c>
      <c r="G478" t="inlineStr">
        <is>
          <t>LUDVIKA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46171</v>
      </c>
      <c r="E479" s="1" t="n">
        <v>46297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46297</v>
      </c>
      <c r="F480" t="inlineStr">
        <is>
          <t>DALARNAS LÄN</t>
        </is>
      </c>
      <c r="G480" t="inlineStr">
        <is>
          <t>LUDVIKA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70046-2021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44533</v>
      </c>
      <c r="E481" s="1" t="n">
        <v>46297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46297</v>
      </c>
      <c r="F482" t="inlineStr">
        <is>
          <t>DALARNAS LÄN</t>
        </is>
      </c>
      <c r="G482" t="inlineStr">
        <is>
          <t>LUDVIKA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46171</v>
      </c>
      <c r="E483" s="1" t="n">
        <v>46297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46297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46297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46297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46297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46297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25320-2026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46176</v>
      </c>
      <c r="E489" s="1" t="n">
        <v>46297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46297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46297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46297</v>
      </c>
      <c r="F492" t="inlineStr">
        <is>
          <t>DALARNAS LÄN</t>
        </is>
      </c>
      <c r="G492" t="inlineStr">
        <is>
          <t>LUDVIKA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49166-2025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46297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32995-2023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46297</v>
      </c>
      <c r="F494" t="inlineStr">
        <is>
          <t>DALARNAS LÄN</t>
        </is>
      </c>
      <c r="G494" t="inlineStr">
        <is>
          <t>LUDVIKA</t>
        </is>
      </c>
      <c r="H494" t="inlineStr">
        <is>
          <t>Kommuner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46297</v>
      </c>
      <c r="F495" t="inlineStr">
        <is>
          <t>DALARNAS LÄN</t>
        </is>
      </c>
      <c r="G495" t="inlineStr">
        <is>
          <t>LUDVIKA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32854-2023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45112</v>
      </c>
      <c r="E496" s="1" t="n">
        <v>46297</v>
      </c>
      <c r="F496" t="inlineStr">
        <is>
          <t>DALARNAS LÄN</t>
        </is>
      </c>
      <c r="G496" t="inlineStr">
        <is>
          <t>LUDVIKA</t>
        </is>
      </c>
      <c r="H496" t="inlineStr">
        <is>
          <t>Kommuner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45644</v>
      </c>
      <c r="E497" s="1" t="n">
        <v>46297</v>
      </c>
      <c r="F497" t="inlineStr">
        <is>
          <t>DALARNAS LÄN</t>
        </is>
      </c>
      <c r="G497" t="inlineStr">
        <is>
          <t>LUDVIKA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45639</v>
      </c>
      <c r="E498" s="1" t="n">
        <v>46297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46297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46297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37586-2024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45541</v>
      </c>
      <c r="E501" s="1" t="n">
        <v>46297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55551-2024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45622</v>
      </c>
      <c r="E502" s="1" t="n">
        <v>46297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46297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46297</v>
      </c>
      <c r="F504" t="inlineStr">
        <is>
          <t>DALARNAS LÄN</t>
        </is>
      </c>
      <c r="G504" t="inlineStr">
        <is>
          <t>LUDVIKA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46297</v>
      </c>
      <c r="F505" t="inlineStr">
        <is>
          <t>DALARNAS LÄN</t>
        </is>
      </c>
      <c r="G505" t="inlineStr">
        <is>
          <t>LUDVIKA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45045-2023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46297</v>
      </c>
      <c r="F506" t="inlineStr">
        <is>
          <t>DALARNAS LÄN</t>
        </is>
      </c>
      <c r="G506" t="inlineStr">
        <is>
          <t>LUDVIKA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55510-2024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45622</v>
      </c>
      <c r="E507" s="1" t="n">
        <v>46297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49045-2024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45594</v>
      </c>
      <c r="E508" s="1" t="n">
        <v>46297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45198</v>
      </c>
      <c r="E509" s="1" t="n">
        <v>46297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46297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46297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46297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45512</v>
      </c>
      <c r="E513" s="1" t="n">
        <v>46297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46297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46297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46297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46297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46297</v>
      </c>
      <c r="F518" t="inlineStr">
        <is>
          <t>DALARNAS LÄN</t>
        </is>
      </c>
      <c r="G518" t="inlineStr">
        <is>
          <t>LUDVIKA</t>
        </is>
      </c>
      <c r="H518" t="inlineStr">
        <is>
          <t>Naturvårdsverket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46297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46297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46297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46297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46191</v>
      </c>
      <c r="E523" s="1" t="n">
        <v>46297</v>
      </c>
      <c r="F523" t="inlineStr">
        <is>
          <t>DALARNAS LÄN</t>
        </is>
      </c>
      <c r="G523" t="inlineStr">
        <is>
          <t>LUDVIKA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4550-2025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45687</v>
      </c>
      <c r="E524" s="1" t="n">
        <v>46297</v>
      </c>
      <c r="F524" t="inlineStr">
        <is>
          <t>DALARNAS LÄN</t>
        </is>
      </c>
      <c r="G524" t="inlineStr">
        <is>
          <t>LUDVIKA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39849-2023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46297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46297</v>
      </c>
      <c r="F526" t="inlineStr">
        <is>
          <t>DALARNAS LÄN</t>
        </is>
      </c>
      <c r="G526" t="inlineStr">
        <is>
          <t>LUDVIKA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48589-2023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45208</v>
      </c>
      <c r="E527" s="1" t="n">
        <v>46297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46297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33673-2022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44789</v>
      </c>
      <c r="E529" s="1" t="n">
        <v>46297</v>
      </c>
      <c r="F529" t="inlineStr">
        <is>
          <t>DALARNAS LÄN</t>
        </is>
      </c>
      <c r="G529" t="inlineStr">
        <is>
          <t>LUDVIKA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46297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46297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46297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9.9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45166</v>
      </c>
      <c r="E533" s="1" t="n">
        <v>46297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46297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46160</v>
      </c>
      <c r="E535" s="1" t="n">
        <v>46297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46297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21741-2022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44708</v>
      </c>
      <c r="E537" s="1" t="n">
        <v>46297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18724-2022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44687</v>
      </c>
      <c r="E538" s="1" t="n">
        <v>46297</v>
      </c>
      <c r="F538" t="inlineStr">
        <is>
          <t>DALARNAS LÄN</t>
        </is>
      </c>
      <c r="G538" t="inlineStr">
        <is>
          <t>LUDVIKA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46297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49114-2023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45210</v>
      </c>
      <c r="E540" s="1" t="n">
        <v>46297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45060-2022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44841</v>
      </c>
      <c r="E541" s="1" t="n">
        <v>46297</v>
      </c>
      <c r="F541" t="inlineStr">
        <is>
          <t>DALARNAS LÄN</t>
        </is>
      </c>
      <c r="G541" t="inlineStr">
        <is>
          <t>LUDVIKA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45754</v>
      </c>
      <c r="E542" s="1" t="n">
        <v>46297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46297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45645</v>
      </c>
      <c r="E544" s="1" t="n">
        <v>46297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27608-2026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46297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29791-2026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46205</v>
      </c>
      <c r="E546" s="1" t="n">
        <v>46297</v>
      </c>
      <c r="F546" t="inlineStr">
        <is>
          <t>DALARNAS LÄN</t>
        </is>
      </c>
      <c r="G546" t="inlineStr">
        <is>
          <t>LUDVIKA</t>
        </is>
      </c>
      <c r="H546" t="inlineStr">
        <is>
          <t>Naturvårdsverket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56818-2023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46297</v>
      </c>
      <c r="F547" t="inlineStr">
        <is>
          <t>DALARNAS LÄN</t>
        </is>
      </c>
      <c r="G547" t="inlineStr">
        <is>
          <t>LUDVIKA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46297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37392-2023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45156</v>
      </c>
      <c r="E549" s="1" t="n">
        <v>46297</v>
      </c>
      <c r="F549" t="inlineStr">
        <is>
          <t>DALARNAS LÄN</t>
        </is>
      </c>
      <c r="G549" t="inlineStr">
        <is>
          <t>LUDVIKA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46297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51208-2023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45219</v>
      </c>
      <c r="E551" s="1" t="n">
        <v>46297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46297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59351-2023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45253</v>
      </c>
      <c r="E553" s="1" t="n">
        <v>46297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46297</v>
      </c>
      <c r="F554" t="inlineStr">
        <is>
          <t>DALARNAS LÄN</t>
        </is>
      </c>
      <c r="G554" t="inlineStr">
        <is>
          <t>LUDVIKA</t>
        </is>
      </c>
      <c r="H554" t="inlineStr">
        <is>
          <t>Kommuner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46297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46297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28062-2026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46195</v>
      </c>
      <c r="E557" s="1" t="n">
        <v>46297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46297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48683-2023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45208</v>
      </c>
      <c r="E559" s="1" t="n">
        <v>46297</v>
      </c>
      <c r="F559" t="inlineStr">
        <is>
          <t>DALARNAS LÄN</t>
        </is>
      </c>
      <c r="G559" t="inlineStr">
        <is>
          <t>LUDVIKA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46297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46297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46297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46297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46297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46297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46297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46297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46297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28132-2026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46297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46297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46297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57557-2023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45246</v>
      </c>
      <c r="E572" s="1" t="n">
        <v>46297</v>
      </c>
      <c r="F572" t="inlineStr">
        <is>
          <t>DALARNAS LÄN</t>
        </is>
      </c>
      <c r="G572" t="inlineStr">
        <is>
          <t>LUDVIKA</t>
        </is>
      </c>
      <c r="I572" t="n">
        <v>12.7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46297</v>
      </c>
      <c r="F573" t="inlineStr">
        <is>
          <t>DALARNAS LÄN</t>
        </is>
      </c>
      <c r="G573" t="inlineStr">
        <is>
          <t>LUDVIKA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46297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46297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27989-2026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46297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46297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46297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45744</v>
      </c>
      <c r="E579" s="1" t="n">
        <v>46297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46297</v>
      </c>
      <c r="F580" t="inlineStr">
        <is>
          <t>DALARNAS LÄN</t>
        </is>
      </c>
      <c r="G580" t="inlineStr">
        <is>
          <t>LUDVIKA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35103-2026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46297</v>
      </c>
      <c r="F581" t="inlineStr">
        <is>
          <t>DALARNAS LÄN</t>
        </is>
      </c>
      <c r="G581" t="inlineStr">
        <is>
          <t>LUDVIKA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46297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20973-2026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46142</v>
      </c>
      <c r="E583" s="1" t="n">
        <v>46297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46297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46297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28116-2026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46297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46297</v>
      </c>
      <c r="F588" t="inlineStr">
        <is>
          <t>DALARNAS LÄN</t>
        </is>
      </c>
      <c r="G588" t="inlineStr">
        <is>
          <t>LUDVIKA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46297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46297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46297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46297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31350-2026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46219</v>
      </c>
      <c r="E593" s="1" t="n">
        <v>46297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46262</v>
      </c>
      <c r="E594" s="1" t="n">
        <v>46297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31270-2022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44771</v>
      </c>
      <c r="E595" s="1" t="n">
        <v>46297</v>
      </c>
      <c r="F595" t="inlineStr">
        <is>
          <t>DALARNAS LÄN</t>
        </is>
      </c>
      <c r="G595" t="inlineStr">
        <is>
          <t>LUDVIKA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46297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35837-2026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46297</v>
      </c>
      <c r="F597" t="inlineStr">
        <is>
          <t>DALARNAS LÄN</t>
        </is>
      </c>
      <c r="G597" t="inlineStr">
        <is>
          <t>LUDVIKA</t>
        </is>
      </c>
      <c r="H597" t="inlineStr">
        <is>
          <t>Kyrkan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46220</v>
      </c>
      <c r="E598" s="1" t="n">
        <v>46297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61309-2022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44915</v>
      </c>
      <c r="E599" s="1" t="n">
        <v>46297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48740-2022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44859</v>
      </c>
      <c r="E600" s="1" t="n">
        <v>46297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46225</v>
      </c>
      <c r="E601" s="1" t="n">
        <v>46297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46267</v>
      </c>
      <c r="E602" s="1" t="n">
        <v>46297</v>
      </c>
      <c r="F602" t="inlineStr">
        <is>
          <t>DALARNAS LÄN</t>
        </is>
      </c>
      <c r="G602" t="inlineStr">
        <is>
          <t>LUDVIKA</t>
        </is>
      </c>
      <c r="I602" t="n">
        <v>8.5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45243</v>
      </c>
      <c r="E603" s="1" t="n">
        <v>46297</v>
      </c>
      <c r="F603" t="inlineStr">
        <is>
          <t>DALARNAS LÄN</t>
        </is>
      </c>
      <c r="G603" t="inlineStr">
        <is>
          <t>LUDVIKA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53996-2024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45616</v>
      </c>
      <c r="E604" s="1" t="n">
        <v>46297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64171-2023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45279</v>
      </c>
      <c r="E605" s="1" t="n">
        <v>46297</v>
      </c>
      <c r="F605" t="inlineStr">
        <is>
          <t>DALARNAS LÄN</t>
        </is>
      </c>
      <c r="G605" t="inlineStr">
        <is>
          <t>LUDVIKA</t>
        </is>
      </c>
      <c r="I605" t="n">
        <v>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923-2024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45301</v>
      </c>
      <c r="E606" s="1" t="n">
        <v>46297</v>
      </c>
      <c r="F606" t="inlineStr">
        <is>
          <t>DALARNAS LÄN</t>
        </is>
      </c>
      <c r="G606" t="inlineStr">
        <is>
          <t>LUDVIKA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20427-2025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45775</v>
      </c>
      <c r="E607" s="1" t="n">
        <v>46297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46230</v>
      </c>
      <c r="E608" s="1" t="n">
        <v>46297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46297</v>
      </c>
      <c r="F609" t="inlineStr">
        <is>
          <t>DALARNAS LÄN</t>
        </is>
      </c>
      <c r="G609" t="inlineStr">
        <is>
          <t>LUDVIKA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46297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53620-2022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44879</v>
      </c>
      <c r="E611" s="1" t="n">
        <v>46297</v>
      </c>
      <c r="F611" t="inlineStr">
        <is>
          <t>DALARNAS LÄN</t>
        </is>
      </c>
      <c r="G611" t="inlineStr">
        <is>
          <t>LUDVIKA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46297</v>
      </c>
      <c r="F612" t="inlineStr">
        <is>
          <t>DALARNAS LÄN</t>
        </is>
      </c>
      <c r="G612" t="inlineStr">
        <is>
          <t>LUDVIKA</t>
        </is>
      </c>
      <c r="I612" t="n">
        <v>8.5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31778-2026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46230</v>
      </c>
      <c r="E613" s="1" t="n">
        <v>46297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37015-2026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46273</v>
      </c>
      <c r="E614" s="1" t="n">
        <v>46297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37033-2026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46273</v>
      </c>
      <c r="E615" s="1" t="n">
        <v>46297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10.1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46297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46297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36073-2026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46297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46297</v>
      </c>
      <c r="F619" t="inlineStr">
        <is>
          <t>DALARNAS LÄN</t>
        </is>
      </c>
      <c r="G619" t="inlineStr">
        <is>
          <t>LUDVIKA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7238-2023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44970</v>
      </c>
      <c r="E620" s="1" t="n">
        <v>46297</v>
      </c>
      <c r="F620" t="inlineStr">
        <is>
          <t>DALARNAS LÄN</t>
        </is>
      </c>
      <c r="G620" t="inlineStr">
        <is>
          <t>LUDVIKA</t>
        </is>
      </c>
      <c r="H620" t="inlineStr">
        <is>
          <t>Övriga Aktiebolag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73703-2021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44552</v>
      </c>
      <c r="E621" s="1" t="n">
        <v>46297</v>
      </c>
      <c r="F621" t="inlineStr">
        <is>
          <t>DALARNAS LÄN</t>
        </is>
      </c>
      <c r="G621" t="inlineStr">
        <is>
          <t>LUDVIKA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25299-2022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44730</v>
      </c>
      <c r="E622" s="1" t="n">
        <v>46297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5970-2022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44599</v>
      </c>
      <c r="E623" s="1" t="n">
        <v>46297</v>
      </c>
      <c r="F623" t="inlineStr">
        <is>
          <t>DALARNAS LÄN</t>
        </is>
      </c>
      <c r="G623" t="inlineStr">
        <is>
          <t>LUDVIKA</t>
        </is>
      </c>
      <c r="I623" t="n">
        <v>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46275</v>
      </c>
      <c r="E624" s="1" t="n">
        <v>46297</v>
      </c>
      <c r="F624" t="inlineStr">
        <is>
          <t>DALARNAS LÄN</t>
        </is>
      </c>
      <c r="G624" t="inlineStr">
        <is>
          <t>LUDVIKA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46276</v>
      </c>
      <c r="E625" s="1" t="n">
        <v>46297</v>
      </c>
      <c r="F625" t="inlineStr">
        <is>
          <t>DALARNAS LÄN</t>
        </is>
      </c>
      <c r="G625" t="inlineStr">
        <is>
          <t>LUDVIKA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48642-2022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44859</v>
      </c>
      <c r="E626" s="1" t="n">
        <v>46297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46280</v>
      </c>
      <c r="E627" s="1" t="n">
        <v>46297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46297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46297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46297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46233</v>
      </c>
      <c r="E631" s="1" t="n">
        <v>46297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37955-2026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46297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46074-2023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46297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46279</v>
      </c>
      <c r="E634" s="1" t="n">
        <v>46297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48288-2023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45205</v>
      </c>
      <c r="E635" s="1" t="n">
        <v>46297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38160-2026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46281</v>
      </c>
      <c r="E636" s="1" t="n">
        <v>46297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38357-2026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46282</v>
      </c>
      <c r="E637" s="1" t="n">
        <v>46297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49035-2024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45594</v>
      </c>
      <c r="E638" s="1" t="n">
        <v>46297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49043-2024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45594</v>
      </c>
      <c r="E639" s="1" t="n">
        <v>46297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18708-2023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45043</v>
      </c>
      <c r="E640" s="1" t="n">
        <v>46297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46241</v>
      </c>
      <c r="E641" s="1" t="n">
        <v>46297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59050-2022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44903</v>
      </c>
      <c r="E642" s="1" t="n">
        <v>46297</v>
      </c>
      <c r="F642" t="inlineStr">
        <is>
          <t>DALARNAS LÄN</t>
        </is>
      </c>
      <c r="G642" t="inlineStr">
        <is>
          <t>LUDVIKA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46297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7243-2023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44970</v>
      </c>
      <c r="E644" s="1" t="n">
        <v>46297</v>
      </c>
      <c r="F644" t="inlineStr">
        <is>
          <t>DALARNAS LÄN</t>
        </is>
      </c>
      <c r="G644" t="inlineStr">
        <is>
          <t>LUDVIKA</t>
        </is>
      </c>
      <c r="H644" t="inlineStr">
        <is>
          <t>Övriga Aktiebolag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32749-2026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46241</v>
      </c>
      <c r="E645" s="1" t="n">
        <v>46297</v>
      </c>
      <c r="F645" t="inlineStr">
        <is>
          <t>DALARNAS LÄN</t>
        </is>
      </c>
      <c r="G645" t="inlineStr">
        <is>
          <t>LUDVIKA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46283</v>
      </c>
      <c r="E646" s="1" t="n">
        <v>46297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38620-2026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46297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46297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46241</v>
      </c>
      <c r="E649" s="1" t="n">
        <v>46297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38656-2026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46283</v>
      </c>
      <c r="E650" s="1" t="n">
        <v>46297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38661-2026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46297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46297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39104-2026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46297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38170-2023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45161</v>
      </c>
      <c r="E654" s="1" t="n">
        <v>46297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42128-2024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46297</v>
      </c>
      <c r="F655" t="inlineStr">
        <is>
          <t>DALARNAS LÄN</t>
        </is>
      </c>
      <c r="G655" t="inlineStr">
        <is>
          <t>LUDVIKA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56346-2022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44890</v>
      </c>
      <c r="E656" s="1" t="n">
        <v>46297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39435-2026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46288</v>
      </c>
      <c r="E657" s="1" t="n">
        <v>46297</v>
      </c>
      <c r="F657" t="inlineStr">
        <is>
          <t>DALARNAS LÄN</t>
        </is>
      </c>
      <c r="G657" t="inlineStr">
        <is>
          <t>LUDVIKA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46247</v>
      </c>
      <c r="E658" s="1" t="n">
        <v>46297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11237-2024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45371</v>
      </c>
      <c r="E659" s="1" t="n">
        <v>46297</v>
      </c>
      <c r="F659" t="inlineStr">
        <is>
          <t>DALARNAS LÄN</t>
        </is>
      </c>
      <c r="G659" t="inlineStr">
        <is>
          <t>LUDVIKA</t>
        </is>
      </c>
      <c r="I659" t="n">
        <v>20.8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39855-2026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46290</v>
      </c>
      <c r="E660" s="1" t="n">
        <v>46297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45243</v>
      </c>
      <c r="E661" s="1" t="n">
        <v>46297</v>
      </c>
      <c r="F661" t="inlineStr">
        <is>
          <t>DALARNAS LÄN</t>
        </is>
      </c>
      <c r="G661" t="inlineStr">
        <is>
          <t>LUDVIKA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46297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46247</v>
      </c>
      <c r="E663" s="1" t="n">
        <v>46297</v>
      </c>
      <c r="F663" t="inlineStr">
        <is>
          <t>DALARNAS LÄN</t>
        </is>
      </c>
      <c r="G663" t="inlineStr">
        <is>
          <t>LUDVIKA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38869-2026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46286</v>
      </c>
      <c r="E664" s="1" t="n">
        <v>46297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45373</v>
      </c>
      <c r="E665" s="1" t="n">
        <v>46297</v>
      </c>
      <c r="F665" t="inlineStr">
        <is>
          <t>DALARNAS LÄN</t>
        </is>
      </c>
      <c r="G665" t="inlineStr">
        <is>
          <t>LUDVIKA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46297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45631</v>
      </c>
      <c r="E667" s="1" t="n">
        <v>46297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45176</v>
      </c>
      <c r="E668" s="1" t="n">
        <v>46297</v>
      </c>
      <c r="F668" t="inlineStr">
        <is>
          <t>DALARNAS LÄN</t>
        </is>
      </c>
      <c r="G668" t="inlineStr">
        <is>
          <t>LUDVIKA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45056</v>
      </c>
      <c r="E669" s="1" t="n">
        <v>46297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39777-2026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46290</v>
      </c>
      <c r="E670" s="1" t="n">
        <v>46297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39400-2023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45166</v>
      </c>
      <c r="E671" s="1" t="n">
        <v>46297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39854-2026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46290</v>
      </c>
      <c r="E672" s="1" t="n">
        <v>46297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38831-2026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46286</v>
      </c>
      <c r="E673" s="1" t="n">
        <v>46297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30113-2023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45110</v>
      </c>
      <c r="E674" s="1" t="n">
        <v>46297</v>
      </c>
      <c r="F674" t="inlineStr">
        <is>
          <t>DALARNAS LÄN</t>
        </is>
      </c>
      <c r="G674" t="inlineStr">
        <is>
          <t>LUDVIKA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39879-2026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46290</v>
      </c>
      <c r="E675" s="1" t="n">
        <v>46297</v>
      </c>
      <c r="F675" t="inlineStr">
        <is>
          <t>DALARNAS LÄN</t>
        </is>
      </c>
      <c r="G675" t="inlineStr">
        <is>
          <t>LUDVIKA</t>
        </is>
      </c>
      <c r="H675" t="inlineStr">
        <is>
          <t>Naturvårdsverket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39878-2026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46290</v>
      </c>
      <c r="E676" s="1" t="n">
        <v>46297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40431-2026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46294</v>
      </c>
      <c r="E677" s="1" t="n">
        <v>46297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39519-2024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46297</v>
      </c>
      <c r="F678" t="inlineStr">
        <is>
          <t>DALARNAS LÄN</t>
        </is>
      </c>
      <c r="G678" t="inlineStr">
        <is>
          <t>LUDVIKA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46248</v>
      </c>
      <c r="E679" s="1" t="n">
        <v>46297</v>
      </c>
      <c r="F679" t="inlineStr">
        <is>
          <t>DALARNAS LÄN</t>
        </is>
      </c>
      <c r="G679" t="inlineStr">
        <is>
          <t>LUDVIKA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46297</v>
      </c>
      <c r="F680" t="inlineStr">
        <is>
          <t>DALARNAS LÄN</t>
        </is>
      </c>
      <c r="G680" t="inlineStr">
        <is>
          <t>LUDVIKA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40125-2024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45554</v>
      </c>
      <c r="E681" s="1" t="n">
        <v>46297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40438-2026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46294</v>
      </c>
      <c r="E682" s="1" t="n">
        <v>46297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40445-2026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46294</v>
      </c>
      <c r="E683" s="1" t="n">
        <v>46297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40392-2026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46294</v>
      </c>
      <c r="E684" s="1" t="n">
        <v>46297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33839-2024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45520</v>
      </c>
      <c r="E685" s="1" t="n">
        <v>46297</v>
      </c>
      <c r="F685" t="inlineStr">
        <is>
          <t>DALARNAS LÄN</t>
        </is>
      </c>
      <c r="G685" t="inlineStr">
        <is>
          <t>LUDVIKA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46294</v>
      </c>
      <c r="E686" s="1" t="n">
        <v>46297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45481</v>
      </c>
      <c r="E687" s="1" t="n">
        <v>46297</v>
      </c>
      <c r="F687" t="inlineStr">
        <is>
          <t>DALARNAS LÄN</t>
        </is>
      </c>
      <c r="G687" t="inlineStr">
        <is>
          <t>LUDVIKA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45297</v>
      </c>
      <c r="E688" s="1" t="n">
        <v>46297</v>
      </c>
      <c r="F688" t="inlineStr">
        <is>
          <t>DALARNAS LÄN</t>
        </is>
      </c>
      <c r="G688" t="inlineStr">
        <is>
          <t>LUDVIKA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51015-2023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45218</v>
      </c>
      <c r="E689" s="1" t="n">
        <v>46297</v>
      </c>
      <c r="F689" t="inlineStr">
        <is>
          <t>DALARNAS LÄN</t>
        </is>
      </c>
      <c r="G689" t="inlineStr">
        <is>
          <t>LUDVIKA</t>
        </is>
      </c>
      <c r="I689" t="n">
        <v>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60660-2024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45644</v>
      </c>
      <c r="E690" s="1" t="n">
        <v>46297</v>
      </c>
      <c r="F690" t="inlineStr">
        <is>
          <t>DALARNAS LÄN</t>
        </is>
      </c>
      <c r="G690" t="inlineStr">
        <is>
          <t>LUDVIKA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46297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53048-2024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45611</v>
      </c>
      <c r="E692" s="1" t="n">
        <v>46297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50777-2024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45602</v>
      </c>
      <c r="E693" s="1" t="n">
        <v>46297</v>
      </c>
      <c r="F693" t="inlineStr">
        <is>
          <t>DALARNAS LÄN</t>
        </is>
      </c>
      <c r="G693" t="inlineStr">
        <is>
          <t>LUDVIKA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45103</v>
      </c>
      <c r="E694" s="1" t="n">
        <v>46297</v>
      </c>
      <c r="F694" t="inlineStr">
        <is>
          <t>DALARNAS LÄN</t>
        </is>
      </c>
      <c r="G694" t="inlineStr">
        <is>
          <t>LUDVIKA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3470-2025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45680</v>
      </c>
      <c r="E695" s="1" t="n">
        <v>46297</v>
      </c>
      <c r="F695" t="inlineStr">
        <is>
          <t>DALARNAS LÄN</t>
        </is>
      </c>
      <c r="G695" t="inlineStr">
        <is>
          <t>LUDVIKA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45579</v>
      </c>
      <c r="E696" s="1" t="n">
        <v>46297</v>
      </c>
      <c r="F696" t="inlineStr">
        <is>
          <t>DALARNAS LÄN</t>
        </is>
      </c>
      <c r="G696" t="inlineStr">
        <is>
          <t>LUDVIKA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45547-2024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45579</v>
      </c>
      <c r="E697" s="1" t="n">
        <v>46297</v>
      </c>
      <c r="F697" t="inlineStr">
        <is>
          <t>DALARNAS LÄN</t>
        </is>
      </c>
      <c r="G697" t="inlineStr">
        <is>
          <t>LUDVIKA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56996-2021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44482</v>
      </c>
      <c r="E698" s="1" t="n">
        <v>46297</v>
      </c>
      <c r="F698" t="inlineStr">
        <is>
          <t>DALARNAS LÄN</t>
        </is>
      </c>
      <c r="G698" t="inlineStr">
        <is>
          <t>LUDVIKA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3277-2024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45317</v>
      </c>
      <c r="E699" s="1" t="n">
        <v>46297</v>
      </c>
      <c r="F699" t="inlineStr">
        <is>
          <t>DALARNAS LÄN</t>
        </is>
      </c>
      <c r="G699" t="inlineStr">
        <is>
          <t>LUDVIKA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12497-2024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45379</v>
      </c>
      <c r="E700" s="1" t="n">
        <v>46297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49805-2023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45212</v>
      </c>
      <c r="E701" s="1" t="n">
        <v>46297</v>
      </c>
      <c r="F701" t="inlineStr">
        <is>
          <t>DALARNAS LÄN</t>
        </is>
      </c>
      <c r="G701" t="inlineStr">
        <is>
          <t>LUDVIKA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61384-2024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45646</v>
      </c>
      <c r="E702" s="1" t="n">
        <v>46297</v>
      </c>
      <c r="F702" t="inlineStr">
        <is>
          <t>DALARNAS LÄN</t>
        </is>
      </c>
      <c r="G702" t="inlineStr">
        <is>
          <t>LUDVIKA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3280-2024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45317</v>
      </c>
      <c r="E703" s="1" t="n">
        <v>46297</v>
      </c>
      <c r="F703" t="inlineStr">
        <is>
          <t>DALARNAS LÄN</t>
        </is>
      </c>
      <c r="G703" t="inlineStr">
        <is>
          <t>LUDVIKA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29780-2024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45485</v>
      </c>
      <c r="E704" s="1" t="n">
        <v>46297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14881-2025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45743</v>
      </c>
      <c r="E705" s="1" t="n">
        <v>46297</v>
      </c>
      <c r="F705" t="inlineStr">
        <is>
          <t>DALARNAS LÄN</t>
        </is>
      </c>
      <c r="G705" t="inlineStr">
        <is>
          <t>LUDVIKA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21891-2025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46297</v>
      </c>
      <c r="F706" t="inlineStr">
        <is>
          <t>DALARNAS LÄN</t>
        </is>
      </c>
      <c r="G706" t="inlineStr">
        <is>
          <t>LUDVIKA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21893-2025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45784</v>
      </c>
      <c r="E707" s="1" t="n">
        <v>46297</v>
      </c>
      <c r="F707" t="inlineStr">
        <is>
          <t>DALARNAS LÄN</t>
        </is>
      </c>
      <c r="G707" t="inlineStr">
        <is>
          <t>LUDVIKA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38359-2024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45545</v>
      </c>
      <c r="E708" s="1" t="n">
        <v>46297</v>
      </c>
      <c r="F708" t="inlineStr">
        <is>
          <t>DALARNAS LÄN</t>
        </is>
      </c>
      <c r="G708" t="inlineStr">
        <is>
          <t>LUDVIKA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45565</v>
      </c>
      <c r="E709" s="1" t="n">
        <v>46297</v>
      </c>
      <c r="F709" t="inlineStr">
        <is>
          <t>DALARNAS LÄN</t>
        </is>
      </c>
      <c r="G709" t="inlineStr">
        <is>
          <t>LUDVIKA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46297</v>
      </c>
      <c r="F710" t="inlineStr">
        <is>
          <t>DALARNAS LÄN</t>
        </is>
      </c>
      <c r="G710" t="inlineStr">
        <is>
          <t>LUDVIKA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53602-2023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45230</v>
      </c>
      <c r="E711" s="1" t="n">
        <v>46297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46095-2024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45581</v>
      </c>
      <c r="E712" s="1" t="n">
        <v>46297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52359-2024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46297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46093-2024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45581</v>
      </c>
      <c r="E714" s="1" t="n">
        <v>46297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33914-2023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45134</v>
      </c>
      <c r="E715" s="1" t="n">
        <v>46297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22606-2025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45789</v>
      </c>
      <c r="E716" s="1" t="n">
        <v>46297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22610-2025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45789</v>
      </c>
      <c r="E717" s="1" t="n">
        <v>46297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46297</v>
      </c>
      <c r="F718" t="inlineStr">
        <is>
          <t>DALARNAS LÄN</t>
        </is>
      </c>
      <c r="G718" t="inlineStr">
        <is>
          <t>LUDVIKA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36066-2024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46297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43702-2024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45569</v>
      </c>
      <c r="E720" s="1" t="n">
        <v>46297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22599-2025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45789</v>
      </c>
      <c r="E721" s="1" t="n">
        <v>46297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22594-2025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45789</v>
      </c>
      <c r="E722" s="1" t="n">
        <v>46297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45586</v>
      </c>
      <c r="E723" s="1" t="n">
        <v>46297</v>
      </c>
      <c r="F723" t="inlineStr">
        <is>
          <t>DALARNAS LÄN</t>
        </is>
      </c>
      <c r="G723" t="inlineStr">
        <is>
          <t>LUDVIKA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46107-2024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45581</v>
      </c>
      <c r="E724" s="1" t="n">
        <v>46297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41539-2024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45560</v>
      </c>
      <c r="E725" s="1" t="n">
        <v>46297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2837-2023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45167</v>
      </c>
      <c r="E726" s="1" t="n">
        <v>46297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1122-2023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45015</v>
      </c>
      <c r="E727" s="1" t="n">
        <v>46297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115.7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3660-2023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45216</v>
      </c>
      <c r="E728" s="1" t="n">
        <v>46297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1246-2024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45400</v>
      </c>
      <c r="E729" s="1" t="n">
        <v>46297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1096-2024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45391</v>
      </c>
      <c r="E730" s="1" t="n">
        <v>46297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26.7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4863-2022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44805</v>
      </c>
      <c r="E731" s="1" t="n">
        <v>46297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1113-2023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45015</v>
      </c>
      <c r="E732" s="1" t="n">
        <v>46297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37.9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>
      <c r="A733" t="inlineStr">
        <is>
          <t>S 1815-2026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46190</v>
      </c>
      <c r="E733" s="1" t="n">
        <v>46297</v>
      </c>
      <c r="F733" t="inlineStr">
        <is>
          <t>DALARNAS LÄN</t>
        </is>
      </c>
      <c r="G733" t="inlineStr">
        <is>
          <t>LUDVIKA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2026-10-02T02:04:19Z</dcterms:created>
  <dcterms:modified xmlns:dcterms="http://purl.org/dc/terms/" xmlns:xsi="http://www.w3.org/2001/XMLSchema-instance" xsi:type="dcterms:W3CDTF">2026-10-02T02:04:20Z</dcterms:modified>
</cp:coreProperties>
</file>
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46000</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46000</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46000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46000</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46000</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3635-2021</t>
        </is>
      </c>
      <c r="B8" s="1" t="n">
        <v>44221</v>
      </c>
      <c r="C8" s="1" t="n">
        <v>46000</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46000</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33461-2025</t>
        </is>
      </c>
      <c r="B10" s="1" t="n">
        <v>45841</v>
      </c>
      <c r="C10" s="1" t="n">
        <v>46000</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57277-2024</t>
        </is>
      </c>
      <c r="B11" s="1" t="n">
        <v>45629.57699074074</v>
      </c>
      <c r="C11" s="1" t="n">
        <v>46000</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47701-2024</t>
        </is>
      </c>
      <c r="B12" s="1" t="n">
        <v>45588.46537037037</v>
      </c>
      <c r="C12" s="1" t="n">
        <v>46000</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34485-2025</t>
        </is>
      </c>
      <c r="B13" s="1" t="n">
        <v>45847</v>
      </c>
      <c r="C13" s="1" t="n">
        <v>46000</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22685-2025</t>
        </is>
      </c>
      <c r="B14" s="1" t="n">
        <v>45786</v>
      </c>
      <c r="C14" s="1" t="n">
        <v>46000</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31749-2024</t>
        </is>
      </c>
      <c r="B15" s="1" t="n">
        <v>45509.42555555556</v>
      </c>
      <c r="C15" s="1" t="n">
        <v>46000</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46000</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25287-2025</t>
        </is>
      </c>
      <c r="B17" s="1" t="n">
        <v>45800</v>
      </c>
      <c r="C17" s="1" t="n">
        <v>46000</v>
      </c>
      <c r="D17" t="inlineStr">
        <is>
          <t>DALARNAS LÄN</t>
        </is>
      </c>
      <c r="E17" t="inlineStr">
        <is>
          <t>LUDVIKA</t>
        </is>
      </c>
      <c r="F17" t="inlineStr">
        <is>
          <t>Bergvik skog väst AB</t>
        </is>
      </c>
      <c r="G17" t="n">
        <v>8.6</v>
      </c>
      <c r="H17" t="n">
        <v>2</v>
      </c>
      <c r="I17" t="n">
        <v>1</v>
      </c>
      <c r="J17" t="n">
        <v>5</v>
      </c>
      <c r="K17" t="n">
        <v>0</v>
      </c>
      <c r="L17" t="n">
        <v>0</v>
      </c>
      <c r="M17" t="n">
        <v>0</v>
      </c>
      <c r="N17" t="n">
        <v>0</v>
      </c>
      <c r="O17" t="n">
        <v>5</v>
      </c>
      <c r="P17" t="n">
        <v>0</v>
      </c>
      <c r="Q17" t="n">
        <v>6</v>
      </c>
      <c r="R17" s="2" t="inlineStr">
        <is>
          <t>Garnlav
Kolflarnlav
Talltita
Tretåig hackspett
Vedskivlav
Nästlav</t>
        </is>
      </c>
      <c r="S17">
        <f>HYPERLINK("https://klasma.github.io/Logging_2085/artfynd/A 25287-2025 artfynd.xlsx", "A 25287-2025")</f>
        <v/>
      </c>
      <c r="T17">
        <f>HYPERLINK("https://klasma.github.io/Logging_2085/kartor/A 25287-2025 karta.png", "A 25287-2025")</f>
        <v/>
      </c>
      <c r="V17">
        <f>HYPERLINK("https://klasma.github.io/Logging_2085/klagomål/A 25287-2025 FSC-klagomål.docx", "A 25287-2025")</f>
        <v/>
      </c>
      <c r="W17">
        <f>HYPERLINK("https://klasma.github.io/Logging_2085/klagomålsmail/A 25287-2025 FSC-klagomål mail.docx", "A 25287-2025")</f>
        <v/>
      </c>
      <c r="X17">
        <f>HYPERLINK("https://klasma.github.io/Logging_2085/tillsyn/A 25287-2025 tillsynsbegäran.docx", "A 25287-2025")</f>
        <v/>
      </c>
      <c r="Y17">
        <f>HYPERLINK("https://klasma.github.io/Logging_2085/tillsynsmail/A 25287-2025 tillsynsbegäran mail.docx", "A 25287-2025")</f>
        <v/>
      </c>
      <c r="Z17">
        <f>HYPERLINK("https://klasma.github.io/Logging_2085/fåglar/A 25287-2025 prioriterade fågelarter.docx", "A 25287-2025")</f>
        <v/>
      </c>
    </row>
    <row r="18" ht="15" customHeight="1">
      <c r="A18" t="inlineStr">
        <is>
          <t>A 33885-2025</t>
        </is>
      </c>
      <c r="B18" s="1" t="n">
        <v>45842</v>
      </c>
      <c r="C18" s="1" t="n">
        <v>46000</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50453-2025</t>
        </is>
      </c>
      <c r="B19" s="1" t="n">
        <v>45945</v>
      </c>
      <c r="C19" s="1" t="n">
        <v>46000</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55406-2025</t>
        </is>
      </c>
      <c r="B20" s="1" t="n">
        <v>45971</v>
      </c>
      <c r="C20" s="1" t="n">
        <v>46000</v>
      </c>
      <c r="D20" t="inlineStr">
        <is>
          <t>DALARNAS LÄN</t>
        </is>
      </c>
      <c r="E20" t="inlineStr">
        <is>
          <t>LUDVIKA</t>
        </is>
      </c>
      <c r="F20" t="inlineStr">
        <is>
          <t>Bergvik skog väst AB</t>
        </is>
      </c>
      <c r="G20" t="n">
        <v>25</v>
      </c>
      <c r="H20" t="n">
        <v>4</v>
      </c>
      <c r="I20" t="n">
        <v>2</v>
      </c>
      <c r="J20" t="n">
        <v>0</v>
      </c>
      <c r="K20" t="n">
        <v>0</v>
      </c>
      <c r="L20" t="n">
        <v>0</v>
      </c>
      <c r="M20" t="n">
        <v>0</v>
      </c>
      <c r="N20" t="n">
        <v>0</v>
      </c>
      <c r="O20" t="n">
        <v>0</v>
      </c>
      <c r="P20" t="n">
        <v>0</v>
      </c>
      <c r="Q20" t="n">
        <v>5</v>
      </c>
      <c r="R20" s="2" t="inlineStr">
        <is>
          <t>Gullgröppa
Plattlummer
Nattviol
Blåsippa
Revlummer</t>
        </is>
      </c>
      <c r="S20">
        <f>HYPERLINK("https://klasma.github.io/Logging_2085/artfynd/A 55406-2025 artfynd.xlsx", "A 55406-2025")</f>
        <v/>
      </c>
      <c r="T20">
        <f>HYPERLINK("https://klasma.github.io/Logging_2085/kartor/A 55406-2025 karta.png", "A 55406-2025")</f>
        <v/>
      </c>
      <c r="U20">
        <f>HYPERLINK("https://klasma.github.io/Logging_2085/knärot/A 55406-2025 karta knärot.png", "A 55406-2025")</f>
        <v/>
      </c>
      <c r="V20">
        <f>HYPERLINK("https://klasma.github.io/Logging_2085/klagomål/A 55406-2025 FSC-klagomål.docx", "A 55406-2025")</f>
        <v/>
      </c>
      <c r="W20">
        <f>HYPERLINK("https://klasma.github.io/Logging_2085/klagomålsmail/A 55406-2025 FSC-klagomål mail.docx", "A 55406-2025")</f>
        <v/>
      </c>
      <c r="X20">
        <f>HYPERLINK("https://klasma.github.io/Logging_2085/tillsyn/A 55406-2025 tillsynsbegäran.docx", "A 55406-2025")</f>
        <v/>
      </c>
      <c r="Y20">
        <f>HYPERLINK("https://klasma.github.io/Logging_2085/tillsynsmail/A 55406-2025 tillsynsbegäran mail.docx", "A 55406-2025")</f>
        <v/>
      </c>
    </row>
    <row r="21" ht="15" customHeight="1">
      <c r="A21" t="inlineStr">
        <is>
          <t>A 34913-2025</t>
        </is>
      </c>
      <c r="B21" s="1" t="n">
        <v>45849.53956018519</v>
      </c>
      <c r="C21" s="1" t="n">
        <v>46000</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HYPERLINK("https://klasma.github.io/Logging_2085/artfynd/A 34913-2025 artfynd.xlsx", "A 34913-2025")</f>
        <v/>
      </c>
      <c r="T21">
        <f>HYPERLINK("https://klasma.github.io/Logging_2085/kartor/A 34913-2025 karta.png", "A 34913-2025")</f>
        <v/>
      </c>
      <c r="V21">
        <f>HYPERLINK("https://klasma.github.io/Logging_2085/klagomål/A 34913-2025 FSC-klagomål.docx", "A 34913-2025")</f>
        <v/>
      </c>
      <c r="W21">
        <f>HYPERLINK("https://klasma.github.io/Logging_2085/klagomålsmail/A 34913-2025 FSC-klagomål mail.docx", "A 34913-2025")</f>
        <v/>
      </c>
      <c r="X21">
        <f>HYPERLINK("https://klasma.github.io/Logging_2085/tillsyn/A 34913-2025 tillsynsbegäran.docx", "A 34913-2025")</f>
        <v/>
      </c>
      <c r="Y21">
        <f>HYPERLINK("https://klasma.github.io/Logging_2085/tillsynsmail/A 34913-2025 tillsynsbegäran mail.docx", "A 34913-2025")</f>
        <v/>
      </c>
    </row>
    <row r="22" ht="15" customHeight="1">
      <c r="A22" t="inlineStr">
        <is>
          <t>A 53053-2024</t>
        </is>
      </c>
      <c r="B22" s="1" t="n">
        <v>45611.45895833334</v>
      </c>
      <c r="C22" s="1" t="n">
        <v>46000</v>
      </c>
      <c r="D22" t="inlineStr">
        <is>
          <t>DALARNAS LÄN</t>
        </is>
      </c>
      <c r="E22" t="inlineStr">
        <is>
          <t>LUDVIKA</t>
        </is>
      </c>
      <c r="F22" t="inlineStr">
        <is>
          <t>Bergvik skog väst AB</t>
        </is>
      </c>
      <c r="G22" t="n">
        <v>17.3</v>
      </c>
      <c r="H22" t="n">
        <v>1</v>
      </c>
      <c r="I22" t="n">
        <v>1</v>
      </c>
      <c r="J22" t="n">
        <v>3</v>
      </c>
      <c r="K22" t="n">
        <v>1</v>
      </c>
      <c r="L22" t="n">
        <v>0</v>
      </c>
      <c r="M22" t="n">
        <v>0</v>
      </c>
      <c r="N22" t="n">
        <v>0</v>
      </c>
      <c r="O22" t="n">
        <v>4</v>
      </c>
      <c r="P22" t="n">
        <v>1</v>
      </c>
      <c r="Q22" t="n">
        <v>5</v>
      </c>
      <c r="R22" s="2" t="inlineStr">
        <is>
          <t>Knärot
Garnlav
Ullticka
Vedtrappmossa
Dropptaggsvamp</t>
        </is>
      </c>
      <c r="S22">
        <f>HYPERLINK("https://klasma.github.io/Logging_2085/artfynd/A 53053-2024 artfynd.xlsx", "A 53053-2024")</f>
        <v/>
      </c>
      <c r="T22">
        <f>HYPERLINK("https://klasma.github.io/Logging_2085/kartor/A 53053-2024 karta.png", "A 53053-2024")</f>
        <v/>
      </c>
      <c r="U22">
        <f>HYPERLINK("https://klasma.github.io/Logging_2085/knärot/A 53053-2024 karta knärot.png", "A 53053-2024")</f>
        <v/>
      </c>
      <c r="V22">
        <f>HYPERLINK("https://klasma.github.io/Logging_2085/klagomål/A 53053-2024 FSC-klagomål.docx", "A 53053-2024")</f>
        <v/>
      </c>
      <c r="W22">
        <f>HYPERLINK("https://klasma.github.io/Logging_2085/klagomålsmail/A 53053-2024 FSC-klagomål mail.docx", "A 53053-2024")</f>
        <v/>
      </c>
      <c r="X22">
        <f>HYPERLINK("https://klasma.github.io/Logging_2085/tillsyn/A 53053-2024 tillsynsbegäran.docx", "A 53053-2024")</f>
        <v/>
      </c>
      <c r="Y22">
        <f>HYPERLINK("https://klasma.github.io/Logging_2085/tillsynsmail/A 53053-2024 tillsynsbegäran mail.docx", "A 53053-2024")</f>
        <v/>
      </c>
    </row>
    <row r="23" ht="15" customHeight="1">
      <c r="A23" t="inlineStr">
        <is>
          <t>A 44535-2021</t>
        </is>
      </c>
      <c r="B23" s="1" t="n">
        <v>44435</v>
      </c>
      <c r="C23" s="1" t="n">
        <v>46000</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23094-2025</t>
        </is>
      </c>
      <c r="B24" s="1" t="n">
        <v>45791.34482638889</v>
      </c>
      <c r="C24" s="1" t="n">
        <v>46000</v>
      </c>
      <c r="D24" t="inlineStr">
        <is>
          <t>DALARNAS LÄN</t>
        </is>
      </c>
      <c r="E24" t="inlineStr">
        <is>
          <t>LUDVIKA</t>
        </is>
      </c>
      <c r="F24" t="inlineStr">
        <is>
          <t>Bergvik skog väst AB</t>
        </is>
      </c>
      <c r="G24" t="n">
        <v>2.9</v>
      </c>
      <c r="H24" t="n">
        <v>2</v>
      </c>
      <c r="I24" t="n">
        <v>2</v>
      </c>
      <c r="J24" t="n">
        <v>0</v>
      </c>
      <c r="K24" t="n">
        <v>0</v>
      </c>
      <c r="L24" t="n">
        <v>0</v>
      </c>
      <c r="M24" t="n">
        <v>0</v>
      </c>
      <c r="N24" t="n">
        <v>0</v>
      </c>
      <c r="O24" t="n">
        <v>0</v>
      </c>
      <c r="P24" t="n">
        <v>0</v>
      </c>
      <c r="Q24" t="n">
        <v>4</v>
      </c>
      <c r="R24" s="2" t="inlineStr">
        <is>
          <t>Fällmossa
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23099-2025</t>
        </is>
      </c>
      <c r="B25" s="1" t="n">
        <v>45791.35133101852</v>
      </c>
      <c r="C25" s="1" t="n">
        <v>46000</v>
      </c>
      <c r="D25" t="inlineStr">
        <is>
          <t>DALARNAS LÄN</t>
        </is>
      </c>
      <c r="E25" t="inlineStr">
        <is>
          <t>LUDVIKA</t>
        </is>
      </c>
      <c r="F25" t="inlineStr">
        <is>
          <t>Bergvik skog väst AB</t>
        </is>
      </c>
      <c r="G25" t="n">
        <v>1.5</v>
      </c>
      <c r="H25" t="n">
        <v>0</v>
      </c>
      <c r="I25" t="n">
        <v>3</v>
      </c>
      <c r="J25" t="n">
        <v>1</v>
      </c>
      <c r="K25" t="n">
        <v>0</v>
      </c>
      <c r="L25" t="n">
        <v>0</v>
      </c>
      <c r="M25" t="n">
        <v>0</v>
      </c>
      <c r="N25" t="n">
        <v>0</v>
      </c>
      <c r="O25" t="n">
        <v>1</v>
      </c>
      <c r="P25" t="n">
        <v>0</v>
      </c>
      <c r="Q25" t="n">
        <v>4</v>
      </c>
      <c r="R25" s="2" t="inlineStr">
        <is>
          <t>Vedtrappmossa
Blek stjärnmossa
Guldlockmossa
Platt fjädermossa</t>
        </is>
      </c>
      <c r="S25">
        <f>HYPERLINK("https://klasma.github.io/Logging_2085/artfynd/A 23099-2025 artfynd.xlsx", "A 23099-2025")</f>
        <v/>
      </c>
      <c r="T25">
        <f>HYPERLINK("https://klasma.github.io/Logging_2085/kartor/A 23099-2025 karta.png", "A 23099-2025")</f>
        <v/>
      </c>
      <c r="V25">
        <f>HYPERLINK("https://klasma.github.io/Logging_2085/klagomål/A 23099-2025 FSC-klagomål.docx", "A 23099-2025")</f>
        <v/>
      </c>
      <c r="W25">
        <f>HYPERLINK("https://klasma.github.io/Logging_2085/klagomålsmail/A 23099-2025 FSC-klagomål mail.docx", "A 23099-2025")</f>
        <v/>
      </c>
      <c r="X25">
        <f>HYPERLINK("https://klasma.github.io/Logging_2085/tillsyn/A 23099-2025 tillsynsbegäran.docx", "A 23099-2025")</f>
        <v/>
      </c>
      <c r="Y25">
        <f>HYPERLINK("https://klasma.github.io/Logging_2085/tillsynsmail/A 23099-2025 tillsynsbegäran mail.docx", "A 23099-2025")</f>
        <v/>
      </c>
    </row>
    <row r="26" ht="15" customHeight="1">
      <c r="A26" t="inlineStr">
        <is>
          <t>A 41456-2025</t>
        </is>
      </c>
      <c r="B26" s="1" t="n">
        <v>45901.44197916667</v>
      </c>
      <c r="C26" s="1" t="n">
        <v>46000</v>
      </c>
      <c r="D26" t="inlineStr">
        <is>
          <t>DALARNAS LÄN</t>
        </is>
      </c>
      <c r="E26" t="inlineStr">
        <is>
          <t>LUDVIKA</t>
        </is>
      </c>
      <c r="G26" t="n">
        <v>1.9</v>
      </c>
      <c r="H26" t="n">
        <v>1</v>
      </c>
      <c r="I26" t="n">
        <v>0</v>
      </c>
      <c r="J26" t="n">
        <v>3</v>
      </c>
      <c r="K26" t="n">
        <v>1</v>
      </c>
      <c r="L26" t="n">
        <v>0</v>
      </c>
      <c r="M26" t="n">
        <v>0</v>
      </c>
      <c r="N26" t="n">
        <v>0</v>
      </c>
      <c r="O26" t="n">
        <v>4</v>
      </c>
      <c r="P26" t="n">
        <v>1</v>
      </c>
      <c r="Q26" t="n">
        <v>4</v>
      </c>
      <c r="R26" s="2" t="inlineStr">
        <is>
          <t>Aspgelélav
Granticka
Järpe
Lunglav</t>
        </is>
      </c>
      <c r="S26">
        <f>HYPERLINK("https://klasma.github.io/Logging_2085/artfynd/A 41456-2025 artfynd.xlsx", "A 41456-2025")</f>
        <v/>
      </c>
      <c r="T26">
        <f>HYPERLINK("https://klasma.github.io/Logging_2085/kartor/A 41456-2025 karta.png", "A 41456-2025")</f>
        <v/>
      </c>
      <c r="V26">
        <f>HYPERLINK("https://klasma.github.io/Logging_2085/klagomål/A 41456-2025 FSC-klagomål.docx", "A 41456-2025")</f>
        <v/>
      </c>
      <c r="W26">
        <f>HYPERLINK("https://klasma.github.io/Logging_2085/klagomålsmail/A 41456-2025 FSC-klagomål mail.docx", "A 41456-2025")</f>
        <v/>
      </c>
      <c r="X26">
        <f>HYPERLINK("https://klasma.github.io/Logging_2085/tillsyn/A 41456-2025 tillsynsbegäran.docx", "A 41456-2025")</f>
        <v/>
      </c>
      <c r="Y26">
        <f>HYPERLINK("https://klasma.github.io/Logging_2085/tillsynsmail/A 41456-2025 tillsynsbegäran mail.docx", "A 41456-2025")</f>
        <v/>
      </c>
      <c r="Z26">
        <f>HYPERLINK("https://klasma.github.io/Logging_2085/fåglar/A 41456-2025 prioriterade fågelarter.docx", "A 41456-2025")</f>
        <v/>
      </c>
    </row>
    <row r="27" ht="15" customHeight="1">
      <c r="A27" t="inlineStr">
        <is>
          <t>A 42712-2025</t>
        </is>
      </c>
      <c r="B27" s="1" t="n">
        <v>45908</v>
      </c>
      <c r="C27" s="1" t="n">
        <v>46000</v>
      </c>
      <c r="D27" t="inlineStr">
        <is>
          <t>DALARNAS LÄN</t>
        </is>
      </c>
      <c r="E27" t="inlineStr">
        <is>
          <t>LUDVIKA</t>
        </is>
      </c>
      <c r="F27" t="inlineStr">
        <is>
          <t>Bergvik skog väst AB</t>
        </is>
      </c>
      <c r="G27" t="n">
        <v>9.300000000000001</v>
      </c>
      <c r="H27" t="n">
        <v>1</v>
      </c>
      <c r="I27" t="n">
        <v>0</v>
      </c>
      <c r="J27" t="n">
        <v>4</v>
      </c>
      <c r="K27" t="n">
        <v>0</v>
      </c>
      <c r="L27" t="n">
        <v>0</v>
      </c>
      <c r="M27" t="n">
        <v>0</v>
      </c>
      <c r="N27" t="n">
        <v>0</v>
      </c>
      <c r="O27" t="n">
        <v>4</v>
      </c>
      <c r="P27" t="n">
        <v>0</v>
      </c>
      <c r="Q27" t="n">
        <v>4</v>
      </c>
      <c r="R27" s="2" t="inlineStr">
        <is>
          <t>Garnlav
Kolflarnlav
Mörk kolflarnlav
Varglav</t>
        </is>
      </c>
      <c r="S27">
        <f>HYPERLINK("https://klasma.github.io/Logging_2085/artfynd/A 42712-2025 artfynd.xlsx", "A 42712-2025")</f>
        <v/>
      </c>
      <c r="T27">
        <f>HYPERLINK("https://klasma.github.io/Logging_2085/kartor/A 42712-2025 karta.png", "A 42712-2025")</f>
        <v/>
      </c>
      <c r="V27">
        <f>HYPERLINK("https://klasma.github.io/Logging_2085/klagomål/A 42712-2025 FSC-klagomål.docx", "A 42712-2025")</f>
        <v/>
      </c>
      <c r="W27">
        <f>HYPERLINK("https://klasma.github.io/Logging_2085/klagomålsmail/A 42712-2025 FSC-klagomål mail.docx", "A 42712-2025")</f>
        <v/>
      </c>
      <c r="X27">
        <f>HYPERLINK("https://klasma.github.io/Logging_2085/tillsyn/A 42712-2025 tillsynsbegäran.docx", "A 42712-2025")</f>
        <v/>
      </c>
      <c r="Y27">
        <f>HYPERLINK("https://klasma.github.io/Logging_2085/tillsynsmail/A 42712-2025 tillsynsbegäran mail.docx", "A 42712-2025")</f>
        <v/>
      </c>
    </row>
    <row r="28" ht="15" customHeight="1">
      <c r="A28" t="inlineStr">
        <is>
          <t>A 49783-2024</t>
        </is>
      </c>
      <c r="B28" s="1" t="n">
        <v>45597.35666666667</v>
      </c>
      <c r="C28" s="1" t="n">
        <v>46000</v>
      </c>
      <c r="D28" t="inlineStr">
        <is>
          <t>DALARNAS LÄN</t>
        </is>
      </c>
      <c r="E28" t="inlineStr">
        <is>
          <t>LUDVIKA</t>
        </is>
      </c>
      <c r="F28" t="inlineStr">
        <is>
          <t>Bergvik skog väst AB</t>
        </is>
      </c>
      <c r="G28" t="n">
        <v>20.9</v>
      </c>
      <c r="H28" t="n">
        <v>0</v>
      </c>
      <c r="I28" t="n">
        <v>0</v>
      </c>
      <c r="J28" t="n">
        <v>3</v>
      </c>
      <c r="K28" t="n">
        <v>0</v>
      </c>
      <c r="L28" t="n">
        <v>0</v>
      </c>
      <c r="M28" t="n">
        <v>0</v>
      </c>
      <c r="N28" t="n">
        <v>0</v>
      </c>
      <c r="O28" t="n">
        <v>4</v>
      </c>
      <c r="P28" t="n">
        <v>0</v>
      </c>
      <c r="Q28" t="n">
        <v>4</v>
      </c>
      <c r="R28" s="2" t="inlineStr">
        <is>
          <t>Gammelgransskål
Garnlav
Stjärntagging
Mörk kådsvartspik</t>
        </is>
      </c>
      <c r="S28">
        <f>HYPERLINK("https://klasma.github.io/Logging_2085/artfynd/A 49783-2024 artfynd.xlsx", "A 49783-2024")</f>
        <v/>
      </c>
      <c r="T28">
        <f>HYPERLINK("https://klasma.github.io/Logging_2085/kartor/A 49783-2024 karta.png", "A 49783-2024")</f>
        <v/>
      </c>
      <c r="V28">
        <f>HYPERLINK("https://klasma.github.io/Logging_2085/klagomål/A 49783-2024 FSC-klagomål.docx", "A 49783-2024")</f>
        <v/>
      </c>
      <c r="W28">
        <f>HYPERLINK("https://klasma.github.io/Logging_2085/klagomålsmail/A 49783-2024 FSC-klagomål mail.docx", "A 49783-2024")</f>
        <v/>
      </c>
      <c r="X28">
        <f>HYPERLINK("https://klasma.github.io/Logging_2085/tillsyn/A 49783-2024 tillsynsbegäran.docx", "A 49783-2024")</f>
        <v/>
      </c>
      <c r="Y28">
        <f>HYPERLINK("https://klasma.github.io/Logging_2085/tillsynsmail/A 49783-2024 tillsynsbegäran mail.docx", "A 49783-2024")</f>
        <v/>
      </c>
    </row>
    <row r="29" ht="15" customHeight="1">
      <c r="A29" t="inlineStr">
        <is>
          <t>A 22195-2025</t>
        </is>
      </c>
      <c r="B29" s="1" t="n">
        <v>45785</v>
      </c>
      <c r="C29" s="1" t="n">
        <v>46000</v>
      </c>
      <c r="D29" t="inlineStr">
        <is>
          <t>DALARNAS LÄN</t>
        </is>
      </c>
      <c r="E29" t="inlineStr">
        <is>
          <t>LUDVIKA</t>
        </is>
      </c>
      <c r="G29" t="n">
        <v>7.4</v>
      </c>
      <c r="H29" t="n">
        <v>4</v>
      </c>
      <c r="I29" t="n">
        <v>0</v>
      </c>
      <c r="J29" t="n">
        <v>3</v>
      </c>
      <c r="K29" t="n">
        <v>0</v>
      </c>
      <c r="L29" t="n">
        <v>0</v>
      </c>
      <c r="M29" t="n">
        <v>0</v>
      </c>
      <c r="N29" t="n">
        <v>0</v>
      </c>
      <c r="O29" t="n">
        <v>3</v>
      </c>
      <c r="P29" t="n">
        <v>0</v>
      </c>
      <c r="Q29" t="n">
        <v>4</v>
      </c>
      <c r="R29" s="2" t="inlineStr">
        <is>
          <t>Entita
Spillkråka
Talltita
Tjäder</t>
        </is>
      </c>
      <c r="S29">
        <f>HYPERLINK("https://klasma.github.io/Logging_2085/artfynd/A 22195-2025 artfynd.xlsx", "A 22195-2025")</f>
        <v/>
      </c>
      <c r="T29">
        <f>HYPERLINK("https://klasma.github.io/Logging_2085/kartor/A 22195-2025 karta.png", "A 22195-2025")</f>
        <v/>
      </c>
      <c r="V29">
        <f>HYPERLINK("https://klasma.github.io/Logging_2085/klagomål/A 22195-2025 FSC-klagomål.docx", "A 22195-2025")</f>
        <v/>
      </c>
      <c r="W29">
        <f>HYPERLINK("https://klasma.github.io/Logging_2085/klagomålsmail/A 22195-2025 FSC-klagomål mail.docx", "A 22195-2025")</f>
        <v/>
      </c>
      <c r="X29">
        <f>HYPERLINK("https://klasma.github.io/Logging_2085/tillsyn/A 22195-2025 tillsynsbegäran.docx", "A 22195-2025")</f>
        <v/>
      </c>
      <c r="Y29">
        <f>HYPERLINK("https://klasma.github.io/Logging_2085/tillsynsmail/A 22195-2025 tillsynsbegäran mail.docx", "A 22195-2025")</f>
        <v/>
      </c>
      <c r="Z29">
        <f>HYPERLINK("https://klasma.github.io/Logging_2085/fåglar/A 22195-2025 prioriterade fågelarter.docx", "A 22195-2025")</f>
        <v/>
      </c>
    </row>
    <row r="30" ht="15" customHeight="1">
      <c r="A30" t="inlineStr">
        <is>
          <t>A 51928-2024</t>
        </is>
      </c>
      <c r="B30" s="1" t="n">
        <v>45607.62311342593</v>
      </c>
      <c r="C30" s="1" t="n">
        <v>46000</v>
      </c>
      <c r="D30" t="inlineStr">
        <is>
          <t>DALARNAS LÄN</t>
        </is>
      </c>
      <c r="E30" t="inlineStr">
        <is>
          <t>LUDVIKA</t>
        </is>
      </c>
      <c r="F30" t="inlineStr">
        <is>
          <t>Bergvik skog väst AB</t>
        </is>
      </c>
      <c r="G30" t="n">
        <v>27.9</v>
      </c>
      <c r="H30" t="n">
        <v>0</v>
      </c>
      <c r="I30" t="n">
        <v>3</v>
      </c>
      <c r="J30" t="n">
        <v>1</v>
      </c>
      <c r="K30" t="n">
        <v>0</v>
      </c>
      <c r="L30" t="n">
        <v>0</v>
      </c>
      <c r="M30" t="n">
        <v>0</v>
      </c>
      <c r="N30" t="n">
        <v>0</v>
      </c>
      <c r="O30" t="n">
        <v>1</v>
      </c>
      <c r="P30" t="n">
        <v>0</v>
      </c>
      <c r="Q30" t="n">
        <v>4</v>
      </c>
      <c r="R30" s="2" t="inlineStr">
        <is>
          <t>Brunpudrad nållav
Gulnål
Kornig nållav
Vedticka</t>
        </is>
      </c>
      <c r="S30">
        <f>HYPERLINK("https://klasma.github.io/Logging_2085/artfynd/A 51928-2024 artfynd.xlsx", "A 51928-2024")</f>
        <v/>
      </c>
      <c r="T30">
        <f>HYPERLINK("https://klasma.github.io/Logging_2085/kartor/A 51928-2024 karta.png", "A 51928-2024")</f>
        <v/>
      </c>
      <c r="V30">
        <f>HYPERLINK("https://klasma.github.io/Logging_2085/klagomål/A 51928-2024 FSC-klagomål.docx", "A 51928-2024")</f>
        <v/>
      </c>
      <c r="W30">
        <f>HYPERLINK("https://klasma.github.io/Logging_2085/klagomålsmail/A 51928-2024 FSC-klagomål mail.docx", "A 51928-2024")</f>
        <v/>
      </c>
      <c r="X30">
        <f>HYPERLINK("https://klasma.github.io/Logging_2085/tillsyn/A 51928-2024 tillsynsbegäran.docx", "A 51928-2024")</f>
        <v/>
      </c>
      <c r="Y30">
        <f>HYPERLINK("https://klasma.github.io/Logging_2085/tillsynsmail/A 51928-2024 tillsynsbegäran mail.docx", "A 51928-2024")</f>
        <v/>
      </c>
    </row>
    <row r="31" ht="15" customHeight="1">
      <c r="A31" t="inlineStr">
        <is>
          <t>A 45268-2022</t>
        </is>
      </c>
      <c r="B31" s="1" t="n">
        <v>44844.50239583333</v>
      </c>
      <c r="C31" s="1" t="n">
        <v>46000</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46000</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46000</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25293-2025</t>
        </is>
      </c>
      <c r="B34" s="1" t="n">
        <v>45800</v>
      </c>
      <c r="C34" s="1" t="n">
        <v>46000</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46000</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55399-2025</t>
        </is>
      </c>
      <c r="B36" s="1" t="n">
        <v>45971</v>
      </c>
      <c r="C36" s="1" t="n">
        <v>46000</v>
      </c>
      <c r="D36" t="inlineStr">
        <is>
          <t>DALARNAS LÄN</t>
        </is>
      </c>
      <c r="E36" t="inlineStr">
        <is>
          <t>LUDVIKA</t>
        </is>
      </c>
      <c r="F36" t="inlineStr">
        <is>
          <t>Bergvik skog väst AB</t>
        </is>
      </c>
      <c r="G36" t="n">
        <v>11.5</v>
      </c>
      <c r="H36" t="n">
        <v>2</v>
      </c>
      <c r="I36" t="n">
        <v>0</v>
      </c>
      <c r="J36" t="n">
        <v>1</v>
      </c>
      <c r="K36" t="n">
        <v>0</v>
      </c>
      <c r="L36" t="n">
        <v>0</v>
      </c>
      <c r="M36" t="n">
        <v>0</v>
      </c>
      <c r="N36" t="n">
        <v>0</v>
      </c>
      <c r="O36" t="n">
        <v>1</v>
      </c>
      <c r="P36" t="n">
        <v>0</v>
      </c>
      <c r="Q36" t="n">
        <v>2</v>
      </c>
      <c r="R36" s="2" t="inlineStr">
        <is>
          <t>Spillkråka
Revlummer</t>
        </is>
      </c>
      <c r="S36">
        <f>HYPERLINK("https://klasma.github.io/Logging_2085/artfynd/A 55399-2025 artfynd.xlsx", "A 55399-2025")</f>
        <v/>
      </c>
      <c r="T36">
        <f>HYPERLINK("https://klasma.github.io/Logging_2085/kartor/A 55399-2025 karta.png", "A 55399-2025")</f>
        <v/>
      </c>
      <c r="V36">
        <f>HYPERLINK("https://klasma.github.io/Logging_2085/klagomål/A 55399-2025 FSC-klagomål.docx", "A 55399-2025")</f>
        <v/>
      </c>
      <c r="W36">
        <f>HYPERLINK("https://klasma.github.io/Logging_2085/klagomålsmail/A 55399-2025 FSC-klagomål mail.docx", "A 55399-2025")</f>
        <v/>
      </c>
      <c r="X36">
        <f>HYPERLINK("https://klasma.github.io/Logging_2085/tillsyn/A 55399-2025 tillsynsbegäran.docx", "A 55399-2025")</f>
        <v/>
      </c>
      <c r="Y36">
        <f>HYPERLINK("https://klasma.github.io/Logging_2085/tillsynsmail/A 55399-2025 tillsynsbegäran mail.docx", "A 55399-2025")</f>
        <v/>
      </c>
      <c r="Z36">
        <f>HYPERLINK("https://klasma.github.io/Logging_2085/fåglar/A 55399-2025 prioriterade fågelarter.docx", "A 55399-2025")</f>
        <v/>
      </c>
    </row>
    <row r="37" ht="15" customHeight="1">
      <c r="A37" t="inlineStr">
        <is>
          <t>A 49763-2025</t>
        </is>
      </c>
      <c r="B37" s="1" t="n">
        <v>45940</v>
      </c>
      <c r="C37" s="1" t="n">
        <v>46000</v>
      </c>
      <c r="D37" t="inlineStr">
        <is>
          <t>DALARNAS LÄN</t>
        </is>
      </c>
      <c r="E37" t="inlineStr">
        <is>
          <t>LUDVIKA</t>
        </is>
      </c>
      <c r="F37" t="inlineStr">
        <is>
          <t>Bergvik skog väst AB</t>
        </is>
      </c>
      <c r="G37" t="n">
        <v>6.9</v>
      </c>
      <c r="H37" t="n">
        <v>0</v>
      </c>
      <c r="I37" t="n">
        <v>1</v>
      </c>
      <c r="J37" t="n">
        <v>1</v>
      </c>
      <c r="K37" t="n">
        <v>0</v>
      </c>
      <c r="L37" t="n">
        <v>0</v>
      </c>
      <c r="M37" t="n">
        <v>0</v>
      </c>
      <c r="N37" t="n">
        <v>0</v>
      </c>
      <c r="O37" t="n">
        <v>1</v>
      </c>
      <c r="P37" t="n">
        <v>0</v>
      </c>
      <c r="Q37" t="n">
        <v>2</v>
      </c>
      <c r="R37" s="2" t="inlineStr">
        <is>
          <t>Dvärgbägarlav
Vedticka</t>
        </is>
      </c>
      <c r="S37">
        <f>HYPERLINK("https://klasma.github.io/Logging_2085/artfynd/A 49763-2025 artfynd.xlsx", "A 49763-2025")</f>
        <v/>
      </c>
      <c r="T37">
        <f>HYPERLINK("https://klasma.github.io/Logging_2085/kartor/A 49763-2025 karta.png", "A 49763-2025")</f>
        <v/>
      </c>
      <c r="V37">
        <f>HYPERLINK("https://klasma.github.io/Logging_2085/klagomål/A 49763-2025 FSC-klagomål.docx", "A 49763-2025")</f>
        <v/>
      </c>
      <c r="W37">
        <f>HYPERLINK("https://klasma.github.io/Logging_2085/klagomålsmail/A 49763-2025 FSC-klagomål mail.docx", "A 49763-2025")</f>
        <v/>
      </c>
      <c r="X37">
        <f>HYPERLINK("https://klasma.github.io/Logging_2085/tillsyn/A 49763-2025 tillsynsbegäran.docx", "A 49763-2025")</f>
        <v/>
      </c>
      <c r="Y37">
        <f>HYPERLINK("https://klasma.github.io/Logging_2085/tillsynsmail/A 49763-2025 tillsynsbegäran mail.docx", "A 49763-2025")</f>
        <v/>
      </c>
    </row>
    <row r="38" ht="15" customHeight="1">
      <c r="A38" t="inlineStr">
        <is>
          <t>A 49767-2025</t>
        </is>
      </c>
      <c r="B38" s="1" t="n">
        <v>45940</v>
      </c>
      <c r="C38" s="1" t="n">
        <v>46000</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25448-2024</t>
        </is>
      </c>
      <c r="B39" s="1" t="n">
        <v>45463</v>
      </c>
      <c r="C39" s="1" t="n">
        <v>46000</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12093-2023</t>
        </is>
      </c>
      <c r="B40" s="1" t="n">
        <v>44998.36106481482</v>
      </c>
      <c r="C40" s="1" t="n">
        <v>46000</v>
      </c>
      <c r="D40" t="inlineStr">
        <is>
          <t>DALARNAS LÄN</t>
        </is>
      </c>
      <c r="E40" t="inlineStr">
        <is>
          <t>LUDVIKA</t>
        </is>
      </c>
      <c r="G40" t="n">
        <v>3.2</v>
      </c>
      <c r="H40" t="n">
        <v>0</v>
      </c>
      <c r="I40" t="n">
        <v>0</v>
      </c>
      <c r="J40" t="n">
        <v>1</v>
      </c>
      <c r="K40" t="n">
        <v>1</v>
      </c>
      <c r="L40" t="n">
        <v>0</v>
      </c>
      <c r="M40" t="n">
        <v>0</v>
      </c>
      <c r="N40" t="n">
        <v>0</v>
      </c>
      <c r="O40" t="n">
        <v>2</v>
      </c>
      <c r="P40" t="n">
        <v>1</v>
      </c>
      <c r="Q40" t="n">
        <v>2</v>
      </c>
      <c r="R40" s="2" t="inlineStr">
        <is>
          <t>Bitter taggsvamp
Solfjäderlav</t>
        </is>
      </c>
      <c r="S40">
        <f>HYPERLINK("https://klasma.github.io/Logging_2085/artfynd/A 12093-2023 artfynd.xlsx", "A 12093-2023")</f>
        <v/>
      </c>
      <c r="T40">
        <f>HYPERLINK("https://klasma.github.io/Logging_2085/kartor/A 12093-2023 karta.png", "A 12093-2023")</f>
        <v/>
      </c>
      <c r="V40">
        <f>HYPERLINK("https://klasma.github.io/Logging_2085/klagomål/A 12093-2023 FSC-klagomål.docx", "A 12093-2023")</f>
        <v/>
      </c>
      <c r="W40">
        <f>HYPERLINK("https://klasma.github.io/Logging_2085/klagomålsmail/A 12093-2023 FSC-klagomål mail.docx", "A 12093-2023")</f>
        <v/>
      </c>
      <c r="X40">
        <f>HYPERLINK("https://klasma.github.io/Logging_2085/tillsyn/A 12093-2023 tillsynsbegäran.docx", "A 12093-2023")</f>
        <v/>
      </c>
      <c r="Y40">
        <f>HYPERLINK("https://klasma.github.io/Logging_2085/tillsynsmail/A 12093-2023 tillsynsbegäran mail.docx", "A 12093-2023")</f>
        <v/>
      </c>
    </row>
    <row r="41" ht="15" customHeight="1">
      <c r="A41" t="inlineStr">
        <is>
          <t>A 19542-2025</t>
        </is>
      </c>
      <c r="B41" s="1" t="n">
        <v>45770</v>
      </c>
      <c r="C41" s="1" t="n">
        <v>46000</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HYPERLINK("https://klasma.github.io/Logging_2085/artfynd/A 19542-2025 artfynd.xlsx", "A 19542-2025")</f>
        <v/>
      </c>
      <c r="T41">
        <f>HYPERLINK("https://klasma.github.io/Logging_2085/kartor/A 19542-2025 karta.png", "A 19542-2025")</f>
        <v/>
      </c>
      <c r="V41">
        <f>HYPERLINK("https://klasma.github.io/Logging_2085/klagomål/A 19542-2025 FSC-klagomål.docx", "A 19542-2025")</f>
        <v/>
      </c>
      <c r="W41">
        <f>HYPERLINK("https://klasma.github.io/Logging_2085/klagomålsmail/A 19542-2025 FSC-klagomål mail.docx", "A 19542-2025")</f>
        <v/>
      </c>
      <c r="X41">
        <f>HYPERLINK("https://klasma.github.io/Logging_2085/tillsyn/A 19542-2025 tillsynsbegäran.docx", "A 19542-2025")</f>
        <v/>
      </c>
      <c r="Y41">
        <f>HYPERLINK("https://klasma.github.io/Logging_2085/tillsynsmail/A 19542-2025 tillsynsbegäran mail.docx", "A 19542-2025")</f>
        <v/>
      </c>
    </row>
    <row r="42" ht="15" customHeight="1">
      <c r="A42" t="inlineStr">
        <is>
          <t>A 45995-2021</t>
        </is>
      </c>
      <c r="B42" s="1" t="n">
        <v>44441</v>
      </c>
      <c r="C42" s="1" t="n">
        <v>46000</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46000</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46000</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46000</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46000</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44578-2023</t>
        </is>
      </c>
      <c r="B47" s="1" t="n">
        <v>45189</v>
      </c>
      <c r="C47" s="1" t="n">
        <v>46000</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23085-2025</t>
        </is>
      </c>
      <c r="B48" s="1" t="n">
        <v>45791</v>
      </c>
      <c r="C48" s="1" t="n">
        <v>46000</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23102-2025</t>
        </is>
      </c>
      <c r="B49" s="1" t="n">
        <v>45791.35438657407</v>
      </c>
      <c r="C49" s="1" t="n">
        <v>46000</v>
      </c>
      <c r="D49" t="inlineStr">
        <is>
          <t>DALARNAS LÄN</t>
        </is>
      </c>
      <c r="E49" t="inlineStr">
        <is>
          <t>LUDVIKA</t>
        </is>
      </c>
      <c r="F49" t="inlineStr">
        <is>
          <t>Bergvik skog väst AB</t>
        </is>
      </c>
      <c r="G49" t="n">
        <v>0.8</v>
      </c>
      <c r="H49" t="n">
        <v>1</v>
      </c>
      <c r="I49" t="n">
        <v>0</v>
      </c>
      <c r="J49" t="n">
        <v>0</v>
      </c>
      <c r="K49" t="n">
        <v>0</v>
      </c>
      <c r="L49" t="n">
        <v>0</v>
      </c>
      <c r="M49" t="n">
        <v>0</v>
      </c>
      <c r="N49" t="n">
        <v>0</v>
      </c>
      <c r="O49" t="n">
        <v>0</v>
      </c>
      <c r="P49" t="n">
        <v>0</v>
      </c>
      <c r="Q49" t="n">
        <v>1</v>
      </c>
      <c r="R49" s="2" t="inlineStr">
        <is>
          <t>Vanlig groda</t>
        </is>
      </c>
      <c r="S49">
        <f>HYPERLINK("https://klasma.github.io/Logging_2085/artfynd/A 23102-2025 artfynd.xlsx", "A 23102-2025")</f>
        <v/>
      </c>
      <c r="T49">
        <f>HYPERLINK("https://klasma.github.io/Logging_2085/kartor/A 23102-2025 karta.png", "A 23102-2025")</f>
        <v/>
      </c>
      <c r="V49">
        <f>HYPERLINK("https://klasma.github.io/Logging_2085/klagomål/A 23102-2025 FSC-klagomål.docx", "A 23102-2025")</f>
        <v/>
      </c>
      <c r="W49">
        <f>HYPERLINK("https://klasma.github.io/Logging_2085/klagomålsmail/A 23102-2025 FSC-klagomål mail.docx", "A 23102-2025")</f>
        <v/>
      </c>
      <c r="X49">
        <f>HYPERLINK("https://klasma.github.io/Logging_2085/tillsyn/A 23102-2025 tillsynsbegäran.docx", "A 23102-2025")</f>
        <v/>
      </c>
      <c r="Y49">
        <f>HYPERLINK("https://klasma.github.io/Logging_2085/tillsynsmail/A 23102-2025 tillsynsbegäran mail.docx", "A 23102-2025")</f>
        <v/>
      </c>
    </row>
    <row r="50" ht="15" customHeight="1">
      <c r="A50" t="inlineStr">
        <is>
          <t>A 23107-2025</t>
        </is>
      </c>
      <c r="B50" s="1" t="n">
        <v>45791.36149305556</v>
      </c>
      <c r="C50" s="1" t="n">
        <v>46000</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42558-2022</t>
        </is>
      </c>
      <c r="B51" s="1" t="n">
        <v>44831</v>
      </c>
      <c r="C51" s="1" t="n">
        <v>46000</v>
      </c>
      <c r="D51" t="inlineStr">
        <is>
          <t>DALARNAS LÄN</t>
        </is>
      </c>
      <c r="E51" t="inlineStr">
        <is>
          <t>LUDVIKA</t>
        </is>
      </c>
      <c r="F51" t="inlineStr">
        <is>
          <t>Naturvårdsverket</t>
        </is>
      </c>
      <c r="G51" t="n">
        <v>4.9</v>
      </c>
      <c r="H51" t="n">
        <v>0</v>
      </c>
      <c r="I51" t="n">
        <v>0</v>
      </c>
      <c r="J51" t="n">
        <v>0</v>
      </c>
      <c r="K51" t="n">
        <v>1</v>
      </c>
      <c r="L51" t="n">
        <v>0</v>
      </c>
      <c r="M51" t="n">
        <v>0</v>
      </c>
      <c r="N51" t="n">
        <v>0</v>
      </c>
      <c r="O51" t="n">
        <v>1</v>
      </c>
      <c r="P51" t="n">
        <v>1</v>
      </c>
      <c r="Q51" t="n">
        <v>1</v>
      </c>
      <c r="R51" s="2" t="inlineStr">
        <is>
          <t>Gräddporing</t>
        </is>
      </c>
      <c r="S51">
        <f>HYPERLINK("https://klasma.github.io/Logging_2085/artfynd/A 42558-2022 artfynd.xlsx", "A 42558-2022")</f>
        <v/>
      </c>
      <c r="T51">
        <f>HYPERLINK("https://klasma.github.io/Logging_2085/kartor/A 42558-2022 karta.png", "A 42558-2022")</f>
        <v/>
      </c>
      <c r="V51">
        <f>HYPERLINK("https://klasma.github.io/Logging_2085/klagomål/A 42558-2022 FSC-klagomål.docx", "A 42558-2022")</f>
        <v/>
      </c>
      <c r="W51">
        <f>HYPERLINK("https://klasma.github.io/Logging_2085/klagomålsmail/A 42558-2022 FSC-klagomål mail.docx", "A 42558-2022")</f>
        <v/>
      </c>
      <c r="X51">
        <f>HYPERLINK("https://klasma.github.io/Logging_2085/tillsyn/A 42558-2022 tillsynsbegäran.docx", "A 42558-2022")</f>
        <v/>
      </c>
      <c r="Y51">
        <f>HYPERLINK("https://klasma.github.io/Logging_2085/tillsynsmail/A 42558-2022 tillsynsbegäran mail.docx", "A 42558-2022")</f>
        <v/>
      </c>
    </row>
    <row r="52" ht="15" customHeight="1">
      <c r="A52" t="inlineStr">
        <is>
          <t>A 25282-2025</t>
        </is>
      </c>
      <c r="B52" s="1" t="n">
        <v>45800</v>
      </c>
      <c r="C52" s="1" t="n">
        <v>46000</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19512-2022</t>
        </is>
      </c>
      <c r="B53" s="1" t="n">
        <v>44693</v>
      </c>
      <c r="C53" s="1" t="n">
        <v>46000</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55550-2022</t>
        </is>
      </c>
      <c r="B54" s="1" t="n">
        <v>44888</v>
      </c>
      <c r="C54" s="1" t="n">
        <v>46000</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37639-2024</t>
        </is>
      </c>
      <c r="B55" s="1" t="n">
        <v>45541.54527777778</v>
      </c>
      <c r="C55" s="1" t="n">
        <v>46000</v>
      </c>
      <c r="D55" t="inlineStr">
        <is>
          <t>DALARNAS LÄN</t>
        </is>
      </c>
      <c r="E55" t="inlineStr">
        <is>
          <t>LUDVIKA</t>
        </is>
      </c>
      <c r="F55" t="inlineStr">
        <is>
          <t>Bergvik skog väst AB</t>
        </is>
      </c>
      <c r="G55" t="n">
        <v>1.6</v>
      </c>
      <c r="H55" t="n">
        <v>0</v>
      </c>
      <c r="I55" t="n">
        <v>1</v>
      </c>
      <c r="J55" t="n">
        <v>0</v>
      </c>
      <c r="K55" t="n">
        <v>0</v>
      </c>
      <c r="L55" t="n">
        <v>0</v>
      </c>
      <c r="M55" t="n">
        <v>0</v>
      </c>
      <c r="N55" t="n">
        <v>0</v>
      </c>
      <c r="O55" t="n">
        <v>0</v>
      </c>
      <c r="P55" t="n">
        <v>0</v>
      </c>
      <c r="Q55" t="n">
        <v>1</v>
      </c>
      <c r="R55" s="2" t="inlineStr">
        <is>
          <t>Gulnål</t>
        </is>
      </c>
      <c r="S55">
        <f>HYPERLINK("https://klasma.github.io/Logging_2085/artfynd/A 37639-2024 artfynd.xlsx", "A 37639-2024")</f>
        <v/>
      </c>
      <c r="T55">
        <f>HYPERLINK("https://klasma.github.io/Logging_2085/kartor/A 37639-2024 karta.png", "A 37639-2024")</f>
        <v/>
      </c>
      <c r="V55">
        <f>HYPERLINK("https://klasma.github.io/Logging_2085/klagomål/A 37639-2024 FSC-klagomål.docx", "A 37639-2024")</f>
        <v/>
      </c>
      <c r="W55">
        <f>HYPERLINK("https://klasma.github.io/Logging_2085/klagomålsmail/A 37639-2024 FSC-klagomål mail.docx", "A 37639-2024")</f>
        <v/>
      </c>
      <c r="X55">
        <f>HYPERLINK("https://klasma.github.io/Logging_2085/tillsyn/A 37639-2024 tillsynsbegäran.docx", "A 37639-2024")</f>
        <v/>
      </c>
      <c r="Y55">
        <f>HYPERLINK("https://klasma.github.io/Logging_2085/tillsynsmail/A 37639-2024 tillsynsbegäran mail.docx", "A 37639-2024")</f>
        <v/>
      </c>
    </row>
    <row r="56" ht="15" customHeight="1">
      <c r="A56" t="inlineStr">
        <is>
          <t>A 33155-2024</t>
        </is>
      </c>
      <c r="B56" s="1" t="n">
        <v>45518.38504629629</v>
      </c>
      <c r="C56" s="1" t="n">
        <v>46000</v>
      </c>
      <c r="D56" t="inlineStr">
        <is>
          <t>DALARNAS LÄN</t>
        </is>
      </c>
      <c r="E56" t="inlineStr">
        <is>
          <t>LUDVIKA</t>
        </is>
      </c>
      <c r="G56" t="n">
        <v>2.9</v>
      </c>
      <c r="H56" t="n">
        <v>0</v>
      </c>
      <c r="I56" t="n">
        <v>0</v>
      </c>
      <c r="J56" t="n">
        <v>1</v>
      </c>
      <c r="K56" t="n">
        <v>0</v>
      </c>
      <c r="L56" t="n">
        <v>0</v>
      </c>
      <c r="M56" t="n">
        <v>0</v>
      </c>
      <c r="N56" t="n">
        <v>0</v>
      </c>
      <c r="O56" t="n">
        <v>1</v>
      </c>
      <c r="P56" t="n">
        <v>0</v>
      </c>
      <c r="Q56" t="n">
        <v>1</v>
      </c>
      <c r="R56" s="2" t="inlineStr">
        <is>
          <t>Brunpudrad nållav</t>
        </is>
      </c>
      <c r="S56">
        <f>HYPERLINK("https://klasma.github.io/Logging_2085/artfynd/A 33155-2024 artfynd.xlsx", "A 33155-2024")</f>
        <v/>
      </c>
      <c r="T56">
        <f>HYPERLINK("https://klasma.github.io/Logging_2085/kartor/A 33155-2024 karta.png", "A 33155-2024")</f>
        <v/>
      </c>
      <c r="V56">
        <f>HYPERLINK("https://klasma.github.io/Logging_2085/klagomål/A 33155-2024 FSC-klagomål.docx", "A 33155-2024")</f>
        <v/>
      </c>
      <c r="W56">
        <f>HYPERLINK("https://klasma.github.io/Logging_2085/klagomålsmail/A 33155-2024 FSC-klagomål mail.docx", "A 33155-2024")</f>
        <v/>
      </c>
      <c r="X56">
        <f>HYPERLINK("https://klasma.github.io/Logging_2085/tillsyn/A 33155-2024 tillsynsbegäran.docx", "A 33155-2024")</f>
        <v/>
      </c>
      <c r="Y56">
        <f>HYPERLINK("https://klasma.github.io/Logging_2085/tillsynsmail/A 33155-2024 tillsynsbegäran mail.docx", "A 33155-2024")</f>
        <v/>
      </c>
    </row>
    <row r="57" ht="15" customHeight="1">
      <c r="A57" t="inlineStr">
        <is>
          <t>A 43501-2025</t>
        </is>
      </c>
      <c r="B57" s="1" t="n">
        <v>45911</v>
      </c>
      <c r="C57" s="1" t="n">
        <v>46000</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36050-2025</t>
        </is>
      </c>
      <c r="B58" s="1" t="n">
        <v>45866</v>
      </c>
      <c r="C58" s="1" t="n">
        <v>46000</v>
      </c>
      <c r="D58" t="inlineStr">
        <is>
          <t>DALARNAS LÄN</t>
        </is>
      </c>
      <c r="E58" t="inlineStr">
        <is>
          <t>LUDVIKA</t>
        </is>
      </c>
      <c r="G58" t="n">
        <v>1.4</v>
      </c>
      <c r="H58" t="n">
        <v>1</v>
      </c>
      <c r="I58" t="n">
        <v>0</v>
      </c>
      <c r="J58" t="n">
        <v>1</v>
      </c>
      <c r="K58" t="n">
        <v>0</v>
      </c>
      <c r="L58" t="n">
        <v>0</v>
      </c>
      <c r="M58" t="n">
        <v>0</v>
      </c>
      <c r="N58" t="n">
        <v>0</v>
      </c>
      <c r="O58" t="n">
        <v>1</v>
      </c>
      <c r="P58" t="n">
        <v>0</v>
      </c>
      <c r="Q58" t="n">
        <v>1</v>
      </c>
      <c r="R58" s="2" t="inlineStr">
        <is>
          <t>Mindre hackspett</t>
        </is>
      </c>
      <c r="S58">
        <f>HYPERLINK("https://klasma.github.io/Logging_2085/artfynd/A 36050-2025 artfynd.xlsx", "A 36050-2025")</f>
        <v/>
      </c>
      <c r="T58">
        <f>HYPERLINK("https://klasma.github.io/Logging_2085/kartor/A 36050-2025 karta.png", "A 36050-2025")</f>
        <v/>
      </c>
      <c r="V58">
        <f>HYPERLINK("https://klasma.github.io/Logging_2085/klagomål/A 36050-2025 FSC-klagomål.docx", "A 36050-2025")</f>
        <v/>
      </c>
      <c r="W58">
        <f>HYPERLINK("https://klasma.github.io/Logging_2085/klagomålsmail/A 36050-2025 FSC-klagomål mail.docx", "A 36050-2025")</f>
        <v/>
      </c>
      <c r="X58">
        <f>HYPERLINK("https://klasma.github.io/Logging_2085/tillsyn/A 36050-2025 tillsynsbegäran.docx", "A 36050-2025")</f>
        <v/>
      </c>
      <c r="Y58">
        <f>HYPERLINK("https://klasma.github.io/Logging_2085/tillsynsmail/A 36050-2025 tillsynsbegäran mail.docx", "A 36050-2025")</f>
        <v/>
      </c>
      <c r="Z58">
        <f>HYPERLINK("https://klasma.github.io/Logging_2085/fåglar/A 36050-2025 prioriterade fågelarter.docx", "A 36050-2025")</f>
        <v/>
      </c>
    </row>
    <row r="59" ht="15" customHeight="1">
      <c r="A59" t="inlineStr">
        <is>
          <t>A 46912-2025</t>
        </is>
      </c>
      <c r="B59" s="1" t="n">
        <v>45929</v>
      </c>
      <c r="C59" s="1" t="n">
        <v>46000</v>
      </c>
      <c r="D59" t="inlineStr">
        <is>
          <t>DALARNAS LÄN</t>
        </is>
      </c>
      <c r="E59" t="inlineStr">
        <is>
          <t>LUDVIKA</t>
        </is>
      </c>
      <c r="F59" t="inlineStr">
        <is>
          <t>Bergvik skog väst AB</t>
        </is>
      </c>
      <c r="G59" t="n">
        <v>5.6</v>
      </c>
      <c r="H59" t="n">
        <v>0</v>
      </c>
      <c r="I59" t="n">
        <v>0</v>
      </c>
      <c r="J59" t="n">
        <v>1</v>
      </c>
      <c r="K59" t="n">
        <v>0</v>
      </c>
      <c r="L59" t="n">
        <v>0</v>
      </c>
      <c r="M59" t="n">
        <v>0</v>
      </c>
      <c r="N59" t="n">
        <v>0</v>
      </c>
      <c r="O59" t="n">
        <v>1</v>
      </c>
      <c r="P59" t="n">
        <v>0</v>
      </c>
      <c r="Q59" t="n">
        <v>1</v>
      </c>
      <c r="R59" s="2" t="inlineStr">
        <is>
          <t>Garnlav</t>
        </is>
      </c>
      <c r="S59">
        <f>HYPERLINK("https://klasma.github.io/Logging_2085/artfynd/A 46912-2025 artfynd.xlsx", "A 46912-2025")</f>
        <v/>
      </c>
      <c r="T59">
        <f>HYPERLINK("https://klasma.github.io/Logging_2085/kartor/A 46912-2025 karta.png", "A 46912-2025")</f>
        <v/>
      </c>
      <c r="V59">
        <f>HYPERLINK("https://klasma.github.io/Logging_2085/klagomål/A 46912-2025 FSC-klagomål.docx", "A 46912-2025")</f>
        <v/>
      </c>
      <c r="W59">
        <f>HYPERLINK("https://klasma.github.io/Logging_2085/klagomålsmail/A 46912-2025 FSC-klagomål mail.docx", "A 46912-2025")</f>
        <v/>
      </c>
      <c r="X59">
        <f>HYPERLINK("https://klasma.github.io/Logging_2085/tillsyn/A 46912-2025 tillsynsbegäran.docx", "A 46912-2025")</f>
        <v/>
      </c>
      <c r="Y59">
        <f>HYPERLINK("https://klasma.github.io/Logging_2085/tillsynsmail/A 46912-2025 tillsynsbegäran mail.docx", "A 46912-2025")</f>
        <v/>
      </c>
    </row>
    <row r="60" ht="15" customHeight="1">
      <c r="A60" t="inlineStr">
        <is>
          <t>A 55410-2025</t>
        </is>
      </c>
      <c r="B60" s="1" t="n">
        <v>45971</v>
      </c>
      <c r="C60" s="1" t="n">
        <v>46000</v>
      </c>
      <c r="D60" t="inlineStr">
        <is>
          <t>DALARNAS LÄN</t>
        </is>
      </c>
      <c r="E60" t="inlineStr">
        <is>
          <t>LUDVIKA</t>
        </is>
      </c>
      <c r="F60" t="inlineStr">
        <is>
          <t>Bergvik skog väst AB</t>
        </is>
      </c>
      <c r="G60" t="n">
        <v>2.7</v>
      </c>
      <c r="H60" t="n">
        <v>1</v>
      </c>
      <c r="I60" t="n">
        <v>0</v>
      </c>
      <c r="J60" t="n">
        <v>1</v>
      </c>
      <c r="K60" t="n">
        <v>0</v>
      </c>
      <c r="L60" t="n">
        <v>0</v>
      </c>
      <c r="M60" t="n">
        <v>0</v>
      </c>
      <c r="N60" t="n">
        <v>0</v>
      </c>
      <c r="O60" t="n">
        <v>1</v>
      </c>
      <c r="P60" t="n">
        <v>0</v>
      </c>
      <c r="Q60" t="n">
        <v>1</v>
      </c>
      <c r="R60" s="2" t="inlineStr">
        <is>
          <t>Järpe</t>
        </is>
      </c>
      <c r="S60">
        <f>HYPERLINK("https://klasma.github.io/Logging_2085/artfynd/A 55410-2025 artfynd.xlsx", "A 55410-2025")</f>
        <v/>
      </c>
      <c r="T60">
        <f>HYPERLINK("https://klasma.github.io/Logging_2085/kartor/A 55410-2025 karta.png", "A 55410-2025")</f>
        <v/>
      </c>
      <c r="V60">
        <f>HYPERLINK("https://klasma.github.io/Logging_2085/klagomål/A 55410-2025 FSC-klagomål.docx", "A 55410-2025")</f>
        <v/>
      </c>
      <c r="W60">
        <f>HYPERLINK("https://klasma.github.io/Logging_2085/klagomålsmail/A 55410-2025 FSC-klagomål mail.docx", "A 55410-2025")</f>
        <v/>
      </c>
      <c r="X60">
        <f>HYPERLINK("https://klasma.github.io/Logging_2085/tillsyn/A 55410-2025 tillsynsbegäran.docx", "A 55410-2025")</f>
        <v/>
      </c>
      <c r="Y60">
        <f>HYPERLINK("https://klasma.github.io/Logging_2085/tillsynsmail/A 55410-2025 tillsynsbegäran mail.docx", "A 55410-2025")</f>
        <v/>
      </c>
      <c r="Z60">
        <f>HYPERLINK("https://klasma.github.io/Logging_2085/fåglar/A 55410-2025 prioriterade fågelarter.docx", "A 55410-2025")</f>
        <v/>
      </c>
    </row>
    <row r="61" ht="15" customHeight="1">
      <c r="A61" t="inlineStr">
        <is>
          <t>A 29733-2025</t>
        </is>
      </c>
      <c r="B61" s="1" t="n">
        <v>45825</v>
      </c>
      <c r="C61" s="1" t="n">
        <v>46000</v>
      </c>
      <c r="D61" t="inlineStr">
        <is>
          <t>DALARNAS LÄN</t>
        </is>
      </c>
      <c r="E61" t="inlineStr">
        <is>
          <t>LUDVIKA</t>
        </is>
      </c>
      <c r="F61" t="inlineStr">
        <is>
          <t>Bergvik skog väst AB</t>
        </is>
      </c>
      <c r="G61" t="n">
        <v>10.4</v>
      </c>
      <c r="H61" t="n">
        <v>0</v>
      </c>
      <c r="I61" t="n">
        <v>1</v>
      </c>
      <c r="J61" t="n">
        <v>0</v>
      </c>
      <c r="K61" t="n">
        <v>0</v>
      </c>
      <c r="L61" t="n">
        <v>0</v>
      </c>
      <c r="M61" t="n">
        <v>0</v>
      </c>
      <c r="N61" t="n">
        <v>0</v>
      </c>
      <c r="O61" t="n">
        <v>0</v>
      </c>
      <c r="P61" t="n">
        <v>0</v>
      </c>
      <c r="Q61" t="n">
        <v>1</v>
      </c>
      <c r="R61" s="2" t="inlineStr">
        <is>
          <t>Stuplav</t>
        </is>
      </c>
      <c r="S61">
        <f>HYPERLINK("https://klasma.github.io/Logging_2085/artfynd/A 29733-2025 artfynd.xlsx", "A 29733-2025")</f>
        <v/>
      </c>
      <c r="T61">
        <f>HYPERLINK("https://klasma.github.io/Logging_2085/kartor/A 29733-2025 karta.png", "A 29733-2025")</f>
        <v/>
      </c>
      <c r="V61">
        <f>HYPERLINK("https://klasma.github.io/Logging_2085/klagomål/A 29733-2025 FSC-klagomål.docx", "A 29733-2025")</f>
        <v/>
      </c>
      <c r="W61">
        <f>HYPERLINK("https://klasma.github.io/Logging_2085/klagomålsmail/A 29733-2025 FSC-klagomål mail.docx", "A 29733-2025")</f>
        <v/>
      </c>
      <c r="X61">
        <f>HYPERLINK("https://klasma.github.io/Logging_2085/tillsyn/A 29733-2025 tillsynsbegäran.docx", "A 29733-2025")</f>
        <v/>
      </c>
      <c r="Y61">
        <f>HYPERLINK("https://klasma.github.io/Logging_2085/tillsynsmail/A 29733-2025 tillsynsbegäran mail.docx", "A 29733-2025")</f>
        <v/>
      </c>
    </row>
    <row r="62" ht="15" customHeight="1">
      <c r="A62" t="inlineStr">
        <is>
          <t>A 56179-2025</t>
        </is>
      </c>
      <c r="B62" s="1" t="n">
        <v>45974</v>
      </c>
      <c r="C62" s="1" t="n">
        <v>46000</v>
      </c>
      <c r="D62" t="inlineStr">
        <is>
          <t>DALARNAS LÄN</t>
        </is>
      </c>
      <c r="E62" t="inlineStr">
        <is>
          <t>LUDVIKA</t>
        </is>
      </c>
      <c r="F62" t="inlineStr">
        <is>
          <t>Bergvik skog väst AB</t>
        </is>
      </c>
      <c r="G62" t="n">
        <v>2.8</v>
      </c>
      <c r="H62" t="n">
        <v>0</v>
      </c>
      <c r="I62" t="n">
        <v>0</v>
      </c>
      <c r="J62" t="n">
        <v>1</v>
      </c>
      <c r="K62" t="n">
        <v>0</v>
      </c>
      <c r="L62" t="n">
        <v>0</v>
      </c>
      <c r="M62" t="n">
        <v>0</v>
      </c>
      <c r="N62" t="n">
        <v>0</v>
      </c>
      <c r="O62" t="n">
        <v>1</v>
      </c>
      <c r="P62" t="n">
        <v>0</v>
      </c>
      <c r="Q62" t="n">
        <v>1</v>
      </c>
      <c r="R62" s="2" t="inlineStr">
        <is>
          <t>Gultoppig fingersvamp</t>
        </is>
      </c>
      <c r="S62">
        <f>HYPERLINK("https://klasma.github.io/Logging_2085/artfynd/A 56179-2025 artfynd.xlsx", "A 56179-2025")</f>
        <v/>
      </c>
      <c r="T62">
        <f>HYPERLINK("https://klasma.github.io/Logging_2085/kartor/A 56179-2025 karta.png", "A 56179-2025")</f>
        <v/>
      </c>
      <c r="U62">
        <f>HYPERLINK("https://klasma.github.io/Logging_2085/knärot/A 56179-2025 karta knärot.png", "A 56179-2025")</f>
        <v/>
      </c>
      <c r="V62">
        <f>HYPERLINK("https://klasma.github.io/Logging_2085/klagomål/A 56179-2025 FSC-klagomål.docx", "A 56179-2025")</f>
        <v/>
      </c>
      <c r="W62">
        <f>HYPERLINK("https://klasma.github.io/Logging_2085/klagomålsmail/A 56179-2025 FSC-klagomål mail.docx", "A 56179-2025")</f>
        <v/>
      </c>
      <c r="X62">
        <f>HYPERLINK("https://klasma.github.io/Logging_2085/tillsyn/A 56179-2025 tillsynsbegäran.docx", "A 56179-2025")</f>
        <v/>
      </c>
      <c r="Y62">
        <f>HYPERLINK("https://klasma.github.io/Logging_2085/tillsynsmail/A 56179-2025 tillsynsbegäran mail.docx", "A 56179-2025")</f>
        <v/>
      </c>
    </row>
    <row r="63" ht="15" customHeight="1">
      <c r="A63" t="inlineStr">
        <is>
          <t>A 33162-2025</t>
        </is>
      </c>
      <c r="B63" s="1" t="n">
        <v>45840</v>
      </c>
      <c r="C63" s="1" t="n">
        <v>46000</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74401-2021</t>
        </is>
      </c>
      <c r="B64" s="1" t="n">
        <v>44560</v>
      </c>
      <c r="C64" s="1" t="n">
        <v>46000</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26850-2023</t>
        </is>
      </c>
      <c r="B65" s="1" t="n">
        <v>45093</v>
      </c>
      <c r="C65" s="1" t="n">
        <v>46000</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49660-2024</t>
        </is>
      </c>
      <c r="B66" s="1" t="n">
        <v>45596.63347222222</v>
      </c>
      <c r="C66" s="1" t="n">
        <v>46000</v>
      </c>
      <c r="D66" t="inlineStr">
        <is>
          <t>DALARNAS LÄN</t>
        </is>
      </c>
      <c r="E66" t="inlineStr">
        <is>
          <t>LUDVIKA</t>
        </is>
      </c>
      <c r="F66" t="inlineStr">
        <is>
          <t>Bergvik skog väst AB</t>
        </is>
      </c>
      <c r="G66" t="n">
        <v>0.9</v>
      </c>
      <c r="H66" t="n">
        <v>0</v>
      </c>
      <c r="I66" t="n">
        <v>1</v>
      </c>
      <c r="J66" t="n">
        <v>0</v>
      </c>
      <c r="K66" t="n">
        <v>0</v>
      </c>
      <c r="L66" t="n">
        <v>0</v>
      </c>
      <c r="M66" t="n">
        <v>0</v>
      </c>
      <c r="N66" t="n">
        <v>0</v>
      </c>
      <c r="O66" t="n">
        <v>0</v>
      </c>
      <c r="P66" t="n">
        <v>0</v>
      </c>
      <c r="Q66" t="n">
        <v>1</v>
      </c>
      <c r="R66" s="2" t="inlineStr">
        <is>
          <t>Mörk husmossa</t>
        </is>
      </c>
      <c r="S66">
        <f>HYPERLINK("https://klasma.github.io/Logging_2085/artfynd/A 49660-2024 artfynd.xlsx", "A 49660-2024")</f>
        <v/>
      </c>
      <c r="T66">
        <f>HYPERLINK("https://klasma.github.io/Logging_2085/kartor/A 49660-2024 karta.png", "A 49660-2024")</f>
        <v/>
      </c>
      <c r="V66">
        <f>HYPERLINK("https://klasma.github.io/Logging_2085/klagomål/A 49660-2024 FSC-klagomål.docx", "A 49660-2024")</f>
        <v/>
      </c>
      <c r="W66">
        <f>HYPERLINK("https://klasma.github.io/Logging_2085/klagomålsmail/A 49660-2024 FSC-klagomål mail.docx", "A 49660-2024")</f>
        <v/>
      </c>
      <c r="X66">
        <f>HYPERLINK("https://klasma.github.io/Logging_2085/tillsyn/A 49660-2024 tillsynsbegäran.docx", "A 49660-2024")</f>
        <v/>
      </c>
      <c r="Y66">
        <f>HYPERLINK("https://klasma.github.io/Logging_2085/tillsynsmail/A 49660-2024 tillsynsbegäran mail.docx", "A 49660-2024")</f>
        <v/>
      </c>
    </row>
    <row r="67" ht="15" customHeight="1">
      <c r="A67" t="inlineStr">
        <is>
          <t>A 50170-2025</t>
        </is>
      </c>
      <c r="B67" s="1" t="n">
        <v>45943</v>
      </c>
      <c r="C67" s="1" t="n">
        <v>46000</v>
      </c>
      <c r="D67" t="inlineStr">
        <is>
          <t>DALARNAS LÄN</t>
        </is>
      </c>
      <c r="E67" t="inlineStr">
        <is>
          <t>LUDVIKA</t>
        </is>
      </c>
      <c r="F67" t="inlineStr">
        <is>
          <t>Bergvik skog väst AB</t>
        </is>
      </c>
      <c r="G67" t="n">
        <v>2.5</v>
      </c>
      <c r="H67" t="n">
        <v>0</v>
      </c>
      <c r="I67" t="n">
        <v>1</v>
      </c>
      <c r="J67" t="n">
        <v>0</v>
      </c>
      <c r="K67" t="n">
        <v>0</v>
      </c>
      <c r="L67" t="n">
        <v>0</v>
      </c>
      <c r="M67" t="n">
        <v>0</v>
      </c>
      <c r="N67" t="n">
        <v>0</v>
      </c>
      <c r="O67" t="n">
        <v>0</v>
      </c>
      <c r="P67" t="n">
        <v>0</v>
      </c>
      <c r="Q67" t="n">
        <v>1</v>
      </c>
      <c r="R67" s="2" t="inlineStr">
        <is>
          <t>Gulnål</t>
        </is>
      </c>
      <c r="S67">
        <f>HYPERLINK("https://klasma.github.io/Logging_2085/artfynd/A 50170-2025 artfynd.xlsx", "A 50170-2025")</f>
        <v/>
      </c>
      <c r="T67">
        <f>HYPERLINK("https://klasma.github.io/Logging_2085/kartor/A 50170-2025 karta.png", "A 50170-2025")</f>
        <v/>
      </c>
      <c r="V67">
        <f>HYPERLINK("https://klasma.github.io/Logging_2085/klagomål/A 50170-2025 FSC-klagomål.docx", "A 50170-2025")</f>
        <v/>
      </c>
      <c r="W67">
        <f>HYPERLINK("https://klasma.github.io/Logging_2085/klagomålsmail/A 50170-2025 FSC-klagomål mail.docx", "A 50170-2025")</f>
        <v/>
      </c>
      <c r="X67">
        <f>HYPERLINK("https://klasma.github.io/Logging_2085/tillsyn/A 50170-2025 tillsynsbegäran.docx", "A 50170-2025")</f>
        <v/>
      </c>
      <c r="Y67">
        <f>HYPERLINK("https://klasma.github.io/Logging_2085/tillsynsmail/A 50170-2025 tillsynsbegäran mail.docx", "A 50170-2025")</f>
        <v/>
      </c>
    </row>
    <row r="68" ht="15" customHeight="1">
      <c r="A68" t="inlineStr">
        <is>
          <t>A 50454-2025</t>
        </is>
      </c>
      <c r="B68" s="1" t="n">
        <v>45945</v>
      </c>
      <c r="C68" s="1" t="n">
        <v>46000</v>
      </c>
      <c r="D68" t="inlineStr">
        <is>
          <t>DALARNAS LÄN</t>
        </is>
      </c>
      <c r="E68" t="inlineStr">
        <is>
          <t>LUDVIKA</t>
        </is>
      </c>
      <c r="F68" t="inlineStr">
        <is>
          <t>Bergvik skog väst AB</t>
        </is>
      </c>
      <c r="G68" t="n">
        <v>3.3</v>
      </c>
      <c r="H68" t="n">
        <v>0</v>
      </c>
      <c r="I68" t="n">
        <v>0</v>
      </c>
      <c r="J68" t="n">
        <v>1</v>
      </c>
      <c r="K68" t="n">
        <v>0</v>
      </c>
      <c r="L68" t="n">
        <v>0</v>
      </c>
      <c r="M68" t="n">
        <v>0</v>
      </c>
      <c r="N68" t="n">
        <v>0</v>
      </c>
      <c r="O68" t="n">
        <v>1</v>
      </c>
      <c r="P68" t="n">
        <v>0</v>
      </c>
      <c r="Q68" t="n">
        <v>1</v>
      </c>
      <c r="R68" s="2" t="inlineStr">
        <is>
          <t>Brunpudrad nållav</t>
        </is>
      </c>
      <c r="S68">
        <f>HYPERLINK("https://klasma.github.io/Logging_2085/artfynd/A 50454-2025 artfynd.xlsx", "A 50454-2025")</f>
        <v/>
      </c>
      <c r="T68">
        <f>HYPERLINK("https://klasma.github.io/Logging_2085/kartor/A 50454-2025 karta.png", "A 50454-2025")</f>
        <v/>
      </c>
      <c r="V68">
        <f>HYPERLINK("https://klasma.github.io/Logging_2085/klagomål/A 50454-2025 FSC-klagomål.docx", "A 50454-2025")</f>
        <v/>
      </c>
      <c r="W68">
        <f>HYPERLINK("https://klasma.github.io/Logging_2085/klagomålsmail/A 50454-2025 FSC-klagomål mail.docx", "A 50454-2025")</f>
        <v/>
      </c>
      <c r="X68">
        <f>HYPERLINK("https://klasma.github.io/Logging_2085/tillsyn/A 50454-2025 tillsynsbegäran.docx", "A 50454-2025")</f>
        <v/>
      </c>
      <c r="Y68">
        <f>HYPERLINK("https://klasma.github.io/Logging_2085/tillsynsmail/A 50454-2025 tillsynsbegäran mail.docx", "A 50454-2025")</f>
        <v/>
      </c>
    </row>
    <row r="69" ht="15" customHeight="1">
      <c r="A69" t="inlineStr">
        <is>
          <t>A 51105-2025</t>
        </is>
      </c>
      <c r="B69" s="1" t="n">
        <v>45947</v>
      </c>
      <c r="C69" s="1" t="n">
        <v>46000</v>
      </c>
      <c r="D69" t="inlineStr">
        <is>
          <t>DALARNAS LÄN</t>
        </is>
      </c>
      <c r="E69" t="inlineStr">
        <is>
          <t>LUDVIKA</t>
        </is>
      </c>
      <c r="F69" t="inlineStr">
        <is>
          <t>Bergvik skog väst AB</t>
        </is>
      </c>
      <c r="G69" t="n">
        <v>5.6</v>
      </c>
      <c r="H69" t="n">
        <v>1</v>
      </c>
      <c r="I69" t="n">
        <v>0</v>
      </c>
      <c r="J69" t="n">
        <v>1</v>
      </c>
      <c r="K69" t="n">
        <v>0</v>
      </c>
      <c r="L69" t="n">
        <v>0</v>
      </c>
      <c r="M69" t="n">
        <v>0</v>
      </c>
      <c r="N69" t="n">
        <v>0</v>
      </c>
      <c r="O69" t="n">
        <v>1</v>
      </c>
      <c r="P69" t="n">
        <v>0</v>
      </c>
      <c r="Q69" t="n">
        <v>1</v>
      </c>
      <c r="R69" s="2" t="inlineStr">
        <is>
          <t>Mindre hackspett</t>
        </is>
      </c>
      <c r="S69">
        <f>HYPERLINK("https://klasma.github.io/Logging_2085/artfynd/A 51105-2025 artfynd.xlsx", "A 51105-2025")</f>
        <v/>
      </c>
      <c r="T69">
        <f>HYPERLINK("https://klasma.github.io/Logging_2085/kartor/A 51105-2025 karta.png", "A 51105-2025")</f>
        <v/>
      </c>
      <c r="V69">
        <f>HYPERLINK("https://klasma.github.io/Logging_2085/klagomål/A 51105-2025 FSC-klagomål.docx", "A 51105-2025")</f>
        <v/>
      </c>
      <c r="W69">
        <f>HYPERLINK("https://klasma.github.io/Logging_2085/klagomålsmail/A 51105-2025 FSC-klagomål mail.docx", "A 51105-2025")</f>
        <v/>
      </c>
      <c r="X69">
        <f>HYPERLINK("https://klasma.github.io/Logging_2085/tillsyn/A 51105-2025 tillsynsbegäran.docx", "A 51105-2025")</f>
        <v/>
      </c>
      <c r="Y69">
        <f>HYPERLINK("https://klasma.github.io/Logging_2085/tillsynsmail/A 51105-2025 tillsynsbegäran mail.docx", "A 51105-2025")</f>
        <v/>
      </c>
      <c r="Z69">
        <f>HYPERLINK("https://klasma.github.io/Logging_2085/fåglar/A 51105-2025 prioriterade fågelarter.docx", "A 51105-2025")</f>
        <v/>
      </c>
    </row>
    <row r="70" ht="15" customHeight="1">
      <c r="A70" t="inlineStr">
        <is>
          <t>A 45225-2024</t>
        </is>
      </c>
      <c r="B70" s="1" t="n">
        <v>45575.77649305556</v>
      </c>
      <c r="C70" s="1" t="n">
        <v>46000</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25588-2023</t>
        </is>
      </c>
      <c r="B71" s="1" t="n">
        <v>45089</v>
      </c>
      <c r="C71" s="1" t="n">
        <v>46000</v>
      </c>
      <c r="D71" t="inlineStr">
        <is>
          <t>DALARNAS LÄN</t>
        </is>
      </c>
      <c r="E71" t="inlineStr">
        <is>
          <t>LUDVIKA</t>
        </is>
      </c>
      <c r="G71" t="n">
        <v>9.4</v>
      </c>
      <c r="H71" t="n">
        <v>0</v>
      </c>
      <c r="I71" t="n">
        <v>0</v>
      </c>
      <c r="J71" t="n">
        <v>1</v>
      </c>
      <c r="K71" t="n">
        <v>0</v>
      </c>
      <c r="L71" t="n">
        <v>0</v>
      </c>
      <c r="M71" t="n">
        <v>0</v>
      </c>
      <c r="N71" t="n">
        <v>0</v>
      </c>
      <c r="O71" t="n">
        <v>1</v>
      </c>
      <c r="P71" t="n">
        <v>0</v>
      </c>
      <c r="Q71" t="n">
        <v>1</v>
      </c>
      <c r="R71" s="2" t="inlineStr">
        <is>
          <t>Garnlav</t>
        </is>
      </c>
      <c r="S71">
        <f>HYPERLINK("https://klasma.github.io/Logging_2085/artfynd/A 25588-2023 artfynd.xlsx", "A 25588-2023")</f>
        <v/>
      </c>
      <c r="T71">
        <f>HYPERLINK("https://klasma.github.io/Logging_2085/kartor/A 25588-2023 karta.png", "A 25588-2023")</f>
        <v/>
      </c>
      <c r="V71">
        <f>HYPERLINK("https://klasma.github.io/Logging_2085/klagomål/A 25588-2023 FSC-klagomål.docx", "A 25588-2023")</f>
        <v/>
      </c>
      <c r="W71">
        <f>HYPERLINK("https://klasma.github.io/Logging_2085/klagomålsmail/A 25588-2023 FSC-klagomål mail.docx", "A 25588-2023")</f>
        <v/>
      </c>
      <c r="X71">
        <f>HYPERLINK("https://klasma.github.io/Logging_2085/tillsyn/A 25588-2023 tillsynsbegäran.docx", "A 25588-2023")</f>
        <v/>
      </c>
      <c r="Y71">
        <f>HYPERLINK("https://klasma.github.io/Logging_2085/tillsynsmail/A 25588-2023 tillsynsbegäran mail.docx", "A 25588-2023")</f>
        <v/>
      </c>
    </row>
    <row r="72" ht="15" customHeight="1">
      <c r="A72" t="inlineStr">
        <is>
          <t>A 29144-2023</t>
        </is>
      </c>
      <c r="B72" s="1" t="n">
        <v>45105</v>
      </c>
      <c r="C72" s="1" t="n">
        <v>46000</v>
      </c>
      <c r="D72" t="inlineStr">
        <is>
          <t>DALARNAS LÄN</t>
        </is>
      </c>
      <c r="E72" t="inlineStr">
        <is>
          <t>LUDVIKA</t>
        </is>
      </c>
      <c r="F72" t="inlineStr">
        <is>
          <t>Allmännings- och besparingsskogar</t>
        </is>
      </c>
      <c r="G72" t="n">
        <v>6.2</v>
      </c>
      <c r="H72" t="n">
        <v>1</v>
      </c>
      <c r="I72" t="n">
        <v>0</v>
      </c>
      <c r="J72" t="n">
        <v>0</v>
      </c>
      <c r="K72" t="n">
        <v>1</v>
      </c>
      <c r="L72" t="n">
        <v>0</v>
      </c>
      <c r="M72" t="n">
        <v>0</v>
      </c>
      <c r="N72" t="n">
        <v>0</v>
      </c>
      <c r="O72" t="n">
        <v>1</v>
      </c>
      <c r="P72" t="n">
        <v>1</v>
      </c>
      <c r="Q72" t="n">
        <v>1</v>
      </c>
      <c r="R72" s="2" t="inlineStr">
        <is>
          <t>Knärot</t>
        </is>
      </c>
      <c r="S72">
        <f>HYPERLINK("https://klasma.github.io/Logging_2085/artfynd/A 29144-2023 artfynd.xlsx", "A 29144-2023")</f>
        <v/>
      </c>
      <c r="T72">
        <f>HYPERLINK("https://klasma.github.io/Logging_2085/kartor/A 29144-2023 karta.png", "A 29144-2023")</f>
        <v/>
      </c>
      <c r="U72">
        <f>HYPERLINK("https://klasma.github.io/Logging_2085/knärot/A 29144-2023 karta knärot.png", "A 29144-2023")</f>
        <v/>
      </c>
      <c r="V72">
        <f>HYPERLINK("https://klasma.github.io/Logging_2085/klagomål/A 29144-2023 FSC-klagomål.docx", "A 29144-2023")</f>
        <v/>
      </c>
      <c r="W72">
        <f>HYPERLINK("https://klasma.github.io/Logging_2085/klagomålsmail/A 29144-2023 FSC-klagomål mail.docx", "A 29144-2023")</f>
        <v/>
      </c>
      <c r="X72">
        <f>HYPERLINK("https://klasma.github.io/Logging_2085/tillsyn/A 29144-2023 tillsynsbegäran.docx", "A 29144-2023")</f>
        <v/>
      </c>
      <c r="Y72">
        <f>HYPERLINK("https://klasma.github.io/Logging_2085/tillsynsmail/A 29144-2023 tillsynsbegäran mail.docx", "A 29144-2023")</f>
        <v/>
      </c>
    </row>
    <row r="73" ht="15" customHeight="1">
      <c r="A73" t="inlineStr">
        <is>
          <t>A 3809-2024</t>
        </is>
      </c>
      <c r="B73" s="1" t="n">
        <v>45321</v>
      </c>
      <c r="C73" s="1" t="n">
        <v>46000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17987-2025</t>
        </is>
      </c>
      <c r="B74" s="1" t="n">
        <v>45761.39600694444</v>
      </c>
      <c r="C74" s="1" t="n">
        <v>46000</v>
      </c>
      <c r="D74" t="inlineStr">
        <is>
          <t>DALARNAS LÄN</t>
        </is>
      </c>
      <c r="E74" t="inlineStr">
        <is>
          <t>LUDVIKA</t>
        </is>
      </c>
      <c r="G74" t="n">
        <v>0.5</v>
      </c>
      <c r="H74" t="n">
        <v>1</v>
      </c>
      <c r="I74" t="n">
        <v>0</v>
      </c>
      <c r="J74" t="n">
        <v>1</v>
      </c>
      <c r="K74" t="n">
        <v>0</v>
      </c>
      <c r="L74" t="n">
        <v>0</v>
      </c>
      <c r="M74" t="n">
        <v>0</v>
      </c>
      <c r="N74" t="n">
        <v>0</v>
      </c>
      <c r="O74" t="n">
        <v>1</v>
      </c>
      <c r="P74" t="n">
        <v>0</v>
      </c>
      <c r="Q74" t="n">
        <v>1</v>
      </c>
      <c r="R74" s="2" t="inlineStr">
        <is>
          <t>Talltita</t>
        </is>
      </c>
      <c r="S74">
        <f>HYPERLINK("https://klasma.github.io/Logging_2085/artfynd/A 17987-2025 artfynd.xlsx", "A 17987-2025")</f>
        <v/>
      </c>
      <c r="T74">
        <f>HYPERLINK("https://klasma.github.io/Logging_2085/kartor/A 17987-2025 karta.png", "A 17987-2025")</f>
        <v/>
      </c>
      <c r="V74">
        <f>HYPERLINK("https://klasma.github.io/Logging_2085/klagomål/A 17987-2025 FSC-klagomål.docx", "A 17987-2025")</f>
        <v/>
      </c>
      <c r="W74">
        <f>HYPERLINK("https://klasma.github.io/Logging_2085/klagomålsmail/A 17987-2025 FSC-klagomål mail.docx", "A 17987-2025")</f>
        <v/>
      </c>
      <c r="X74">
        <f>HYPERLINK("https://klasma.github.io/Logging_2085/tillsyn/A 17987-2025 tillsynsbegäran.docx", "A 17987-2025")</f>
        <v/>
      </c>
      <c r="Y74">
        <f>HYPERLINK("https://klasma.github.io/Logging_2085/tillsynsmail/A 17987-2025 tillsynsbegäran mail.docx", "A 17987-2025")</f>
        <v/>
      </c>
      <c r="Z74">
        <f>HYPERLINK("https://klasma.github.io/Logging_2085/fåglar/A 17987-2025 prioriterade fågelarter.docx", "A 17987-2025")</f>
        <v/>
      </c>
    </row>
    <row r="75" ht="15" customHeight="1">
      <c r="A75" t="inlineStr">
        <is>
          <t>A 21499-2022</t>
        </is>
      </c>
      <c r="B75" s="1" t="n">
        <v>44706</v>
      </c>
      <c r="C75" s="1" t="n">
        <v>46000</v>
      </c>
      <c r="D75" t="inlineStr">
        <is>
          <t>DALARNAS LÄN</t>
        </is>
      </c>
      <c r="E75" t="inlineStr">
        <is>
          <t>LUDVIKA</t>
        </is>
      </c>
      <c r="G75" t="n">
        <v>4.3</v>
      </c>
      <c r="H75" t="n">
        <v>0</v>
      </c>
      <c r="I75" t="n">
        <v>1</v>
      </c>
      <c r="J75" t="n">
        <v>0</v>
      </c>
      <c r="K75" t="n">
        <v>0</v>
      </c>
      <c r="L75" t="n">
        <v>0</v>
      </c>
      <c r="M75" t="n">
        <v>0</v>
      </c>
      <c r="N75" t="n">
        <v>0</v>
      </c>
      <c r="O75" t="n">
        <v>0</v>
      </c>
      <c r="P75" t="n">
        <v>0</v>
      </c>
      <c r="Q75" t="n">
        <v>1</v>
      </c>
      <c r="R75" s="2" t="inlineStr">
        <is>
          <t>Strimspindling</t>
        </is>
      </c>
      <c r="S75">
        <f>HYPERLINK("https://klasma.github.io/Logging_2085/artfynd/A 21499-2022 artfynd.xlsx", "A 21499-2022")</f>
        <v/>
      </c>
      <c r="T75">
        <f>HYPERLINK("https://klasma.github.io/Logging_2085/kartor/A 21499-2022 karta.png", "A 21499-2022")</f>
        <v/>
      </c>
      <c r="V75">
        <f>HYPERLINK("https://klasma.github.io/Logging_2085/klagomål/A 21499-2022 FSC-klagomål.docx", "A 21499-2022")</f>
        <v/>
      </c>
      <c r="W75">
        <f>HYPERLINK("https://klasma.github.io/Logging_2085/klagomålsmail/A 21499-2022 FSC-klagomål mail.docx", "A 21499-2022")</f>
        <v/>
      </c>
      <c r="X75">
        <f>HYPERLINK("https://klasma.github.io/Logging_2085/tillsyn/A 21499-2022 tillsynsbegäran.docx", "A 21499-2022")</f>
        <v/>
      </c>
      <c r="Y75">
        <f>HYPERLINK("https://klasma.github.io/Logging_2085/tillsynsmail/A 21499-2022 tillsynsbegäran mail.docx", "A 21499-2022")</f>
        <v/>
      </c>
    </row>
    <row r="76" ht="15" customHeight="1">
      <c r="A76" t="inlineStr">
        <is>
          <t>A 17959-2025</t>
        </is>
      </c>
      <c r="B76" s="1" t="n">
        <v>45761</v>
      </c>
      <c r="C76" s="1" t="n">
        <v>46000</v>
      </c>
      <c r="D76" t="inlineStr">
        <is>
          <t>DALARNAS LÄN</t>
        </is>
      </c>
      <c r="E76" t="inlineStr">
        <is>
          <t>LUDVIKA</t>
        </is>
      </c>
      <c r="F76" t="inlineStr">
        <is>
          <t>Bergvik skog väst AB</t>
        </is>
      </c>
      <c r="G76" t="n">
        <v>2.9</v>
      </c>
      <c r="H76" t="n">
        <v>0</v>
      </c>
      <c r="I76" t="n">
        <v>1</v>
      </c>
      <c r="J76" t="n">
        <v>0</v>
      </c>
      <c r="K76" t="n">
        <v>0</v>
      </c>
      <c r="L76" t="n">
        <v>0</v>
      </c>
      <c r="M76" t="n">
        <v>0</v>
      </c>
      <c r="N76" t="n">
        <v>0</v>
      </c>
      <c r="O76" t="n">
        <v>0</v>
      </c>
      <c r="P76" t="n">
        <v>0</v>
      </c>
      <c r="Q76" t="n">
        <v>1</v>
      </c>
      <c r="R76" s="2" t="inlineStr">
        <is>
          <t>Rödgul trumpetsvamp</t>
        </is>
      </c>
      <c r="S76">
        <f>HYPERLINK("https://klasma.github.io/Logging_2085/artfynd/A 17959-2025 artfynd.xlsx", "A 17959-2025")</f>
        <v/>
      </c>
      <c r="T76">
        <f>HYPERLINK("https://klasma.github.io/Logging_2085/kartor/A 17959-2025 karta.png", "A 17959-2025")</f>
        <v/>
      </c>
      <c r="V76">
        <f>HYPERLINK("https://klasma.github.io/Logging_2085/klagomål/A 17959-2025 FSC-klagomål.docx", "A 17959-2025")</f>
        <v/>
      </c>
      <c r="W76">
        <f>HYPERLINK("https://klasma.github.io/Logging_2085/klagomålsmail/A 17959-2025 FSC-klagomål mail.docx", "A 17959-2025")</f>
        <v/>
      </c>
      <c r="X76">
        <f>HYPERLINK("https://klasma.github.io/Logging_2085/tillsyn/A 17959-2025 tillsynsbegäran.docx", "A 17959-2025")</f>
        <v/>
      </c>
      <c r="Y76">
        <f>HYPERLINK("https://klasma.github.io/Logging_2085/tillsynsmail/A 17959-2025 tillsynsbegäran mail.docx", "A 17959-2025")</f>
        <v/>
      </c>
    </row>
    <row r="77" ht="15" customHeight="1">
      <c r="A77" t="inlineStr">
        <is>
          <t>A 20985-2025</t>
        </is>
      </c>
      <c r="B77" s="1" t="n">
        <v>45777</v>
      </c>
      <c r="C77" s="1" t="n">
        <v>46000</v>
      </c>
      <c r="D77" t="inlineStr">
        <is>
          <t>DALARNAS LÄN</t>
        </is>
      </c>
      <c r="E77" t="inlineStr">
        <is>
          <t>LUDVIKA</t>
        </is>
      </c>
      <c r="F77" t="inlineStr">
        <is>
          <t>Bergvik skog väst AB</t>
        </is>
      </c>
      <c r="G77" t="n">
        <v>5.8</v>
      </c>
      <c r="H77" t="n">
        <v>0</v>
      </c>
      <c r="I77" t="n">
        <v>0</v>
      </c>
      <c r="J77" t="n">
        <v>1</v>
      </c>
      <c r="K77" t="n">
        <v>0</v>
      </c>
      <c r="L77" t="n">
        <v>0</v>
      </c>
      <c r="M77" t="n">
        <v>0</v>
      </c>
      <c r="N77" t="n">
        <v>0</v>
      </c>
      <c r="O77" t="n">
        <v>1</v>
      </c>
      <c r="P77" t="n">
        <v>0</v>
      </c>
      <c r="Q77" t="n">
        <v>1</v>
      </c>
      <c r="R77" s="2" t="inlineStr">
        <is>
          <t>Garnlav</t>
        </is>
      </c>
      <c r="S77">
        <f>HYPERLINK("https://klasma.github.io/Logging_2085/artfynd/A 20985-2025 artfynd.xlsx", "A 20985-2025")</f>
        <v/>
      </c>
      <c r="T77">
        <f>HYPERLINK("https://klasma.github.io/Logging_2085/kartor/A 20985-2025 karta.png", "A 20985-2025")</f>
        <v/>
      </c>
      <c r="V77">
        <f>HYPERLINK("https://klasma.github.io/Logging_2085/klagomål/A 20985-2025 FSC-klagomål.docx", "A 20985-2025")</f>
        <v/>
      </c>
      <c r="W77">
        <f>HYPERLINK("https://klasma.github.io/Logging_2085/klagomålsmail/A 20985-2025 FSC-klagomål mail.docx", "A 20985-2025")</f>
        <v/>
      </c>
      <c r="X77">
        <f>HYPERLINK("https://klasma.github.io/Logging_2085/tillsyn/A 20985-2025 tillsynsbegäran.docx", "A 20985-2025")</f>
        <v/>
      </c>
      <c r="Y77">
        <f>HYPERLINK("https://klasma.github.io/Logging_2085/tillsynsmail/A 20985-2025 tillsynsbegäran mail.docx", "A 20985-2025")</f>
        <v/>
      </c>
    </row>
    <row r="78" ht="15" customHeight="1">
      <c r="A78" t="inlineStr">
        <is>
          <t>A 18025-2021</t>
        </is>
      </c>
      <c r="B78" s="1" t="n">
        <v>44302</v>
      </c>
      <c r="C78" s="1" t="n">
        <v>46000</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65699-2021</t>
        </is>
      </c>
      <c r="B79" s="1" t="n">
        <v>44516</v>
      </c>
      <c r="C79" s="1" t="n">
        <v>46000</v>
      </c>
      <c r="D79" t="inlineStr">
        <is>
          <t>DALARNAS LÄN</t>
        </is>
      </c>
      <c r="E79" t="inlineStr">
        <is>
          <t>LUDVIKA</t>
        </is>
      </c>
      <c r="G79" t="n">
        <v>1.4</v>
      </c>
      <c r="H79" t="n">
        <v>0</v>
      </c>
      <c r="I79" t="n">
        <v>0</v>
      </c>
      <c r="J79" t="n">
        <v>0</v>
      </c>
      <c r="K79" t="n">
        <v>0</v>
      </c>
      <c r="L79" t="n">
        <v>0</v>
      </c>
      <c r="M79" t="n">
        <v>0</v>
      </c>
      <c r="N79" t="n">
        <v>0</v>
      </c>
      <c r="O79" t="n">
        <v>0</v>
      </c>
      <c r="P79" t="n">
        <v>0</v>
      </c>
      <c r="Q79" t="n">
        <v>0</v>
      </c>
      <c r="R79" s="2" t="inlineStr"/>
    </row>
    <row r="80" ht="15" customHeight="1">
      <c r="A80" t="inlineStr">
        <is>
          <t>A 15020-2021</t>
        </is>
      </c>
      <c r="B80" s="1" t="n">
        <v>44281.58608796296</v>
      </c>
      <c r="C80" s="1" t="n">
        <v>46000</v>
      </c>
      <c r="D80" t="inlineStr">
        <is>
          <t>DALARNAS LÄN</t>
        </is>
      </c>
      <c r="E80" t="inlineStr">
        <is>
          <t>LUDVIKA</t>
        </is>
      </c>
      <c r="F80" t="inlineStr">
        <is>
          <t>Bergvik skog väst AB</t>
        </is>
      </c>
      <c r="G80" t="n">
        <v>0.4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46000</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46000</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29000-2021</t>
        </is>
      </c>
      <c r="B83" s="1" t="n">
        <v>44358</v>
      </c>
      <c r="C83" s="1" t="n">
        <v>46000</v>
      </c>
      <c r="D83" t="inlineStr">
        <is>
          <t>DALARNAS LÄN</t>
        </is>
      </c>
      <c r="E83" t="inlineStr">
        <is>
          <t>LUDVIKA</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46000</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46000</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46000</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46000</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46000</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46000</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46000</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46000</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46000</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46000</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46000</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46000</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46000</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46000</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31086-2021</t>
        </is>
      </c>
      <c r="B98" s="1" t="n">
        <v>44368.49107638889</v>
      </c>
      <c r="C98" s="1" t="n">
        <v>46000</v>
      </c>
      <c r="D98" t="inlineStr">
        <is>
          <t>DALARNAS LÄN</t>
        </is>
      </c>
      <c r="E98" t="inlineStr">
        <is>
          <t>LUDVIKA</t>
        </is>
      </c>
      <c r="G98" t="n">
        <v>0.8</v>
      </c>
      <c r="H98" t="n">
        <v>0</v>
      </c>
      <c r="I98" t="n">
        <v>0</v>
      </c>
      <c r="J98" t="n">
        <v>0</v>
      </c>
      <c r="K98" t="n">
        <v>0</v>
      </c>
      <c r="L98" t="n">
        <v>0</v>
      </c>
      <c r="M98" t="n">
        <v>0</v>
      </c>
      <c r="N98" t="n">
        <v>0</v>
      </c>
      <c r="O98" t="n">
        <v>0</v>
      </c>
      <c r="P98" t="n">
        <v>0</v>
      </c>
      <c r="Q98" t="n">
        <v>0</v>
      </c>
      <c r="R98" s="2" t="inlineStr"/>
    </row>
    <row r="99" ht="15" customHeight="1">
      <c r="A99" t="inlineStr">
        <is>
          <t>A 66188-2020</t>
        </is>
      </c>
      <c r="B99" s="1" t="n">
        <v>44174</v>
      </c>
      <c r="C99" s="1" t="n">
        <v>46000</v>
      </c>
      <c r="D99" t="inlineStr">
        <is>
          <t>DALARNAS LÄN</t>
        </is>
      </c>
      <c r="E99" t="inlineStr">
        <is>
          <t>LUDVIKA</t>
        </is>
      </c>
      <c r="G99" t="n">
        <v>3.5</v>
      </c>
      <c r="H99" t="n">
        <v>0</v>
      </c>
      <c r="I99" t="n">
        <v>0</v>
      </c>
      <c r="J99" t="n">
        <v>0</v>
      </c>
      <c r="K99" t="n">
        <v>0</v>
      </c>
      <c r="L99" t="n">
        <v>0</v>
      </c>
      <c r="M99" t="n">
        <v>0</v>
      </c>
      <c r="N99" t="n">
        <v>0</v>
      </c>
      <c r="O99" t="n">
        <v>0</v>
      </c>
      <c r="P99" t="n">
        <v>0</v>
      </c>
      <c r="Q99" t="n">
        <v>0</v>
      </c>
      <c r="R99" s="2" t="inlineStr"/>
    </row>
    <row r="100" ht="15" customHeight="1">
      <c r="A100" t="inlineStr">
        <is>
          <t>A 31925-2021</t>
        </is>
      </c>
      <c r="B100" s="1" t="n">
        <v>44370</v>
      </c>
      <c r="C100" s="1" t="n">
        <v>46000</v>
      </c>
      <c r="D100" t="inlineStr">
        <is>
          <t>DALARNAS LÄN</t>
        </is>
      </c>
      <c r="E100" t="inlineStr">
        <is>
          <t>LUDVIKA</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49977-2021</t>
        </is>
      </c>
      <c r="B101" s="1" t="n">
        <v>44456</v>
      </c>
      <c r="C101" s="1" t="n">
        <v>46000</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13051-2022</t>
        </is>
      </c>
      <c r="B102" s="1" t="n">
        <v>44643</v>
      </c>
      <c r="C102" s="1" t="n">
        <v>46000</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4569-2021</t>
        </is>
      </c>
      <c r="B103" s="1" t="n">
        <v>44224</v>
      </c>
      <c r="C103" s="1" t="n">
        <v>46000</v>
      </c>
      <c r="D103" t="inlineStr">
        <is>
          <t>DALARNAS LÄN</t>
        </is>
      </c>
      <c r="E103" t="inlineStr">
        <is>
          <t>LUDVIKA</t>
        </is>
      </c>
      <c r="F103" t="inlineStr">
        <is>
          <t>Kommuner</t>
        </is>
      </c>
      <c r="G103" t="n">
        <v>2.7</v>
      </c>
      <c r="H103" t="n">
        <v>0</v>
      </c>
      <c r="I103" t="n">
        <v>0</v>
      </c>
      <c r="J103" t="n">
        <v>0</v>
      </c>
      <c r="K103" t="n">
        <v>0</v>
      </c>
      <c r="L103" t="n">
        <v>0</v>
      </c>
      <c r="M103" t="n">
        <v>0</v>
      </c>
      <c r="N103" t="n">
        <v>0</v>
      </c>
      <c r="O103" t="n">
        <v>0</v>
      </c>
      <c r="P103" t="n">
        <v>0</v>
      </c>
      <c r="Q103" t="n">
        <v>0</v>
      </c>
      <c r="R103" s="2" t="inlineStr"/>
    </row>
    <row r="104" ht="15" customHeight="1">
      <c r="A104" t="inlineStr">
        <is>
          <t>A 50273-2021</t>
        </is>
      </c>
      <c r="B104" s="1" t="n">
        <v>44459.29900462963</v>
      </c>
      <c r="C104" s="1" t="n">
        <v>46000</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25297-2022</t>
        </is>
      </c>
      <c r="B105" s="1" t="n">
        <v>44730.99023148148</v>
      </c>
      <c r="C105" s="1" t="n">
        <v>46000</v>
      </c>
      <c r="D105" t="inlineStr">
        <is>
          <t>DALARNAS LÄN</t>
        </is>
      </c>
      <c r="E105" t="inlineStr">
        <is>
          <t>LUDVIKA</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33032-2021</t>
        </is>
      </c>
      <c r="B106" s="1" t="n">
        <v>44376.4954050926</v>
      </c>
      <c r="C106" s="1" t="n">
        <v>46000</v>
      </c>
      <c r="D106" t="inlineStr">
        <is>
          <t>DALARNAS LÄN</t>
        </is>
      </c>
      <c r="E106" t="inlineStr">
        <is>
          <t>LUDVIKA</t>
        </is>
      </c>
      <c r="F106" t="inlineStr">
        <is>
          <t>Bergvik skog väst AB</t>
        </is>
      </c>
      <c r="G106" t="n">
        <v>0.7</v>
      </c>
      <c r="H106" t="n">
        <v>0</v>
      </c>
      <c r="I106" t="n">
        <v>0</v>
      </c>
      <c r="J106" t="n">
        <v>0</v>
      </c>
      <c r="K106" t="n">
        <v>0</v>
      </c>
      <c r="L106" t="n">
        <v>0</v>
      </c>
      <c r="M106" t="n">
        <v>0</v>
      </c>
      <c r="N106" t="n">
        <v>0</v>
      </c>
      <c r="O106" t="n">
        <v>0</v>
      </c>
      <c r="P106" t="n">
        <v>0</v>
      </c>
      <c r="Q106" t="n">
        <v>0</v>
      </c>
      <c r="R106" s="2" t="inlineStr"/>
    </row>
    <row r="107" ht="15" customHeight="1">
      <c r="A107" t="inlineStr">
        <is>
          <t>A 57076-2021</t>
        </is>
      </c>
      <c r="B107" s="1" t="n">
        <v>44482</v>
      </c>
      <c r="C107" s="1" t="n">
        <v>46000</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46000</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46000</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32015-2021</t>
        </is>
      </c>
      <c r="B110" s="1" t="n">
        <v>44370</v>
      </c>
      <c r="C110" s="1" t="n">
        <v>46000</v>
      </c>
      <c r="D110" t="inlineStr">
        <is>
          <t>DALARNAS LÄN</t>
        </is>
      </c>
      <c r="E110" t="inlineStr">
        <is>
          <t>LUDVIKA</t>
        </is>
      </c>
      <c r="G110" t="n">
        <v>1.6</v>
      </c>
      <c r="H110" t="n">
        <v>0</v>
      </c>
      <c r="I110" t="n">
        <v>0</v>
      </c>
      <c r="J110" t="n">
        <v>0</v>
      </c>
      <c r="K110" t="n">
        <v>0</v>
      </c>
      <c r="L110" t="n">
        <v>0</v>
      </c>
      <c r="M110" t="n">
        <v>0</v>
      </c>
      <c r="N110" t="n">
        <v>0</v>
      </c>
      <c r="O110" t="n">
        <v>0</v>
      </c>
      <c r="P110" t="n">
        <v>0</v>
      </c>
      <c r="Q110" t="n">
        <v>0</v>
      </c>
      <c r="R110" s="2" t="inlineStr"/>
    </row>
    <row r="111" ht="15" customHeight="1">
      <c r="A111" t="inlineStr">
        <is>
          <t>A 37384-2021</t>
        </is>
      </c>
      <c r="B111" s="1" t="n">
        <v>44397</v>
      </c>
      <c r="C111" s="1" t="n">
        <v>46000</v>
      </c>
      <c r="D111" t="inlineStr">
        <is>
          <t>DALARNAS LÄN</t>
        </is>
      </c>
      <c r="E111" t="inlineStr">
        <is>
          <t>LUDVIKA</t>
        </is>
      </c>
      <c r="F111" t="inlineStr">
        <is>
          <t>Kommuner</t>
        </is>
      </c>
      <c r="G111" t="n">
        <v>5.5</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46000</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46000</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46000</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46000</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46000</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46000</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46000</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46000</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46000</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46000</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46000</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46000</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46000</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46000</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46000</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46000</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35731-2021</t>
        </is>
      </c>
      <c r="B128" s="1" t="n">
        <v>44386</v>
      </c>
      <c r="C128" s="1" t="n">
        <v>46000</v>
      </c>
      <c r="D128" t="inlineStr">
        <is>
          <t>DALARNAS LÄN</t>
        </is>
      </c>
      <c r="E128" t="inlineStr">
        <is>
          <t>LUDVIKA</t>
        </is>
      </c>
      <c r="F128" t="inlineStr">
        <is>
          <t>Kyrkan</t>
        </is>
      </c>
      <c r="G128" t="n">
        <v>2.7</v>
      </c>
      <c r="H128" t="n">
        <v>0</v>
      </c>
      <c r="I128" t="n">
        <v>0</v>
      </c>
      <c r="J128" t="n">
        <v>0</v>
      </c>
      <c r="K128" t="n">
        <v>0</v>
      </c>
      <c r="L128" t="n">
        <v>0</v>
      </c>
      <c r="M128" t="n">
        <v>0</v>
      </c>
      <c r="N128" t="n">
        <v>0</v>
      </c>
      <c r="O128" t="n">
        <v>0</v>
      </c>
      <c r="P128" t="n">
        <v>0</v>
      </c>
      <c r="Q128" t="n">
        <v>0</v>
      </c>
      <c r="R128" s="2" t="inlineStr"/>
    </row>
    <row r="129" ht="15" customHeight="1">
      <c r="A129" t="inlineStr">
        <is>
          <t>A 35720-2021</t>
        </is>
      </c>
      <c r="B129" s="1" t="n">
        <v>44386</v>
      </c>
      <c r="C129" s="1" t="n">
        <v>46000</v>
      </c>
      <c r="D129" t="inlineStr">
        <is>
          <t>DALARNAS LÄN</t>
        </is>
      </c>
      <c r="E129" t="inlineStr">
        <is>
          <t>LUDVIKA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46000</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57002-2021</t>
        </is>
      </c>
      <c r="B131" s="1" t="n">
        <v>44482.46922453704</v>
      </c>
      <c r="C131" s="1" t="n">
        <v>46000</v>
      </c>
      <c r="D131" t="inlineStr">
        <is>
          <t>DALARNAS LÄN</t>
        </is>
      </c>
      <c r="E131" t="inlineStr">
        <is>
          <t>LUDVIKA</t>
        </is>
      </c>
      <c r="G131" t="n">
        <v>3.5</v>
      </c>
      <c r="H131" t="n">
        <v>0</v>
      </c>
      <c r="I131" t="n">
        <v>0</v>
      </c>
      <c r="J131" t="n">
        <v>0</v>
      </c>
      <c r="K131" t="n">
        <v>0</v>
      </c>
      <c r="L131" t="n">
        <v>0</v>
      </c>
      <c r="M131" t="n">
        <v>0</v>
      </c>
      <c r="N131" t="n">
        <v>0</v>
      </c>
      <c r="O131" t="n">
        <v>0</v>
      </c>
      <c r="P131" t="n">
        <v>0</v>
      </c>
      <c r="Q131" t="n">
        <v>0</v>
      </c>
      <c r="R131" s="2" t="inlineStr"/>
    </row>
    <row r="132" ht="15" customHeight="1">
      <c r="A132" t="inlineStr">
        <is>
          <t>A 63267-2021</t>
        </is>
      </c>
      <c r="B132" s="1" t="n">
        <v>44508</v>
      </c>
      <c r="C132" s="1" t="n">
        <v>46000</v>
      </c>
      <c r="D132" t="inlineStr">
        <is>
          <t>DALARNAS LÄN</t>
        </is>
      </c>
      <c r="E132" t="inlineStr">
        <is>
          <t>LUDVIKA</t>
        </is>
      </c>
      <c r="F132" t="inlineStr">
        <is>
          <t>Bergvik skog väst AB</t>
        </is>
      </c>
      <c r="G132" t="n">
        <v>0.2</v>
      </c>
      <c r="H132" t="n">
        <v>0</v>
      </c>
      <c r="I132" t="n">
        <v>0</v>
      </c>
      <c r="J132" t="n">
        <v>0</v>
      </c>
      <c r="K132" t="n">
        <v>0</v>
      </c>
      <c r="L132" t="n">
        <v>0</v>
      </c>
      <c r="M132" t="n">
        <v>0</v>
      </c>
      <c r="N132" t="n">
        <v>0</v>
      </c>
      <c r="O132" t="n">
        <v>0</v>
      </c>
      <c r="P132" t="n">
        <v>0</v>
      </c>
      <c r="Q132" t="n">
        <v>0</v>
      </c>
      <c r="R132" s="2" t="inlineStr"/>
    </row>
    <row r="133" ht="15" customHeight="1">
      <c r="A133" t="inlineStr">
        <is>
          <t>A 54279-2021</t>
        </is>
      </c>
      <c r="B133" s="1" t="n">
        <v>44470</v>
      </c>
      <c r="C133" s="1" t="n">
        <v>46000</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46000</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56996-2021</t>
        </is>
      </c>
      <c r="B135" s="1" t="n">
        <v>44482.46025462963</v>
      </c>
      <c r="C135" s="1" t="n">
        <v>46000</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51886-2022</t>
        </is>
      </c>
      <c r="B136" s="1" t="n">
        <v>44872</v>
      </c>
      <c r="C136" s="1" t="n">
        <v>46000</v>
      </c>
      <c r="D136" t="inlineStr">
        <is>
          <t>DALARNAS LÄN</t>
        </is>
      </c>
      <c r="E136" t="inlineStr">
        <is>
          <t>LUDVIKA</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56686-2022</t>
        </is>
      </c>
      <c r="B137" s="1" t="n">
        <v>44893</v>
      </c>
      <c r="C137" s="1" t="n">
        <v>46000</v>
      </c>
      <c r="D137" t="inlineStr">
        <is>
          <t>DALARNAS LÄN</t>
        </is>
      </c>
      <c r="E137" t="inlineStr">
        <is>
          <t>LUDVIKA</t>
        </is>
      </c>
      <c r="G137" t="n">
        <v>0.7</v>
      </c>
      <c r="H137" t="n">
        <v>0</v>
      </c>
      <c r="I137" t="n">
        <v>0</v>
      </c>
      <c r="J137" t="n">
        <v>0</v>
      </c>
      <c r="K137" t="n">
        <v>0</v>
      </c>
      <c r="L137" t="n">
        <v>0</v>
      </c>
      <c r="M137" t="n">
        <v>0</v>
      </c>
      <c r="N137" t="n">
        <v>0</v>
      </c>
      <c r="O137" t="n">
        <v>0</v>
      </c>
      <c r="P137" t="n">
        <v>0</v>
      </c>
      <c r="Q137" t="n">
        <v>0</v>
      </c>
      <c r="R137" s="2" t="inlineStr"/>
    </row>
    <row r="138" ht="15" customHeight="1">
      <c r="A138" t="inlineStr">
        <is>
          <t>A 8162-2024</t>
        </is>
      </c>
      <c r="B138" s="1" t="n">
        <v>45349</v>
      </c>
      <c r="C138" s="1" t="n">
        <v>46000</v>
      </c>
      <c r="D138" t="inlineStr">
        <is>
          <t>DALARNAS LÄN</t>
        </is>
      </c>
      <c r="E138" t="inlineStr">
        <is>
          <t>LUDVIKA</t>
        </is>
      </c>
      <c r="F138" t="inlineStr">
        <is>
          <t>Allmännings- och besparingsskogar</t>
        </is>
      </c>
      <c r="G138" t="n">
        <v>6.9</v>
      </c>
      <c r="H138" t="n">
        <v>0</v>
      </c>
      <c r="I138" t="n">
        <v>0</v>
      </c>
      <c r="J138" t="n">
        <v>0</v>
      </c>
      <c r="K138" t="n">
        <v>0</v>
      </c>
      <c r="L138" t="n">
        <v>0</v>
      </c>
      <c r="M138" t="n">
        <v>0</v>
      </c>
      <c r="N138" t="n">
        <v>0</v>
      </c>
      <c r="O138" t="n">
        <v>0</v>
      </c>
      <c r="P138" t="n">
        <v>0</v>
      </c>
      <c r="Q138" t="n">
        <v>0</v>
      </c>
      <c r="R138" s="2" t="inlineStr"/>
      <c r="U138">
        <f>HYPERLINK("https://klasma.github.io/Logging_2085/knärot/A 8162-2024 karta knärot.png", "A 8162-2024")</f>
        <v/>
      </c>
      <c r="V138">
        <f>HYPERLINK("https://klasma.github.io/Logging_2085/klagomål/A 8162-2024 FSC-klagomål.docx", "A 8162-2024")</f>
        <v/>
      </c>
      <c r="W138">
        <f>HYPERLINK("https://klasma.github.io/Logging_2085/klagomålsmail/A 8162-2024 FSC-klagomål mail.docx", "A 8162-2024")</f>
        <v/>
      </c>
      <c r="X138">
        <f>HYPERLINK("https://klasma.github.io/Logging_2085/tillsyn/A 8162-2024 tillsynsbegäran.docx", "A 8162-2024")</f>
        <v/>
      </c>
      <c r="Y138">
        <f>HYPERLINK("https://klasma.github.io/Logging_2085/tillsynsmail/A 8162-2024 tillsynsbegäran mail.docx", "A 8162-2024")</f>
        <v/>
      </c>
    </row>
    <row r="139" ht="15" customHeight="1">
      <c r="A139" t="inlineStr">
        <is>
          <t>A 43694-2024</t>
        </is>
      </c>
      <c r="B139" s="1" t="n">
        <v>45569</v>
      </c>
      <c r="C139" s="1" t="n">
        <v>46000</v>
      </c>
      <c r="D139" t="inlineStr">
        <is>
          <t>DALARNAS LÄN</t>
        </is>
      </c>
      <c r="E139" t="inlineStr">
        <is>
          <t>LUDVIKA</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49043-2024</t>
        </is>
      </c>
      <c r="B140" s="1" t="n">
        <v>45594.5666550926</v>
      </c>
      <c r="C140" s="1" t="n">
        <v>46000</v>
      </c>
      <c r="D140" t="inlineStr">
        <is>
          <t>DALARNAS LÄN</t>
        </is>
      </c>
      <c r="E140" t="inlineStr">
        <is>
          <t>LUDVIKA</t>
        </is>
      </c>
      <c r="F140" t="inlineStr">
        <is>
          <t>Naturvårdsverket</t>
        </is>
      </c>
      <c r="G140" t="n">
        <v>2.3</v>
      </c>
      <c r="H140" t="n">
        <v>0</v>
      </c>
      <c r="I140" t="n">
        <v>0</v>
      </c>
      <c r="J140" t="n">
        <v>0</v>
      </c>
      <c r="K140" t="n">
        <v>0</v>
      </c>
      <c r="L140" t="n">
        <v>0</v>
      </c>
      <c r="M140" t="n">
        <v>0</v>
      </c>
      <c r="N140" t="n">
        <v>0</v>
      </c>
      <c r="O140" t="n">
        <v>0</v>
      </c>
      <c r="P140" t="n">
        <v>0</v>
      </c>
      <c r="Q140" t="n">
        <v>0</v>
      </c>
      <c r="R140" s="2" t="inlineStr"/>
    </row>
    <row r="141" ht="15" customHeight="1">
      <c r="A141" t="inlineStr">
        <is>
          <t>A 48922-2024</t>
        </is>
      </c>
      <c r="B141" s="1" t="n">
        <v>45594.37241898148</v>
      </c>
      <c r="C141" s="1" t="n">
        <v>46000</v>
      </c>
      <c r="D141" t="inlineStr">
        <is>
          <t>DALARNAS LÄN</t>
        </is>
      </c>
      <c r="E141" t="inlineStr">
        <is>
          <t>LUDVIKA</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39247-2021</t>
        </is>
      </c>
      <c r="B142" s="1" t="n">
        <v>44413</v>
      </c>
      <c r="C142" s="1" t="n">
        <v>46000</v>
      </c>
      <c r="D142" t="inlineStr">
        <is>
          <t>DALARNAS LÄN</t>
        </is>
      </c>
      <c r="E142" t="inlineStr">
        <is>
          <t>LUDVIKA</t>
        </is>
      </c>
      <c r="G142" t="n">
        <v>6</v>
      </c>
      <c r="H142" t="n">
        <v>0</v>
      </c>
      <c r="I142" t="n">
        <v>0</v>
      </c>
      <c r="J142" t="n">
        <v>0</v>
      </c>
      <c r="K142" t="n">
        <v>0</v>
      </c>
      <c r="L142" t="n">
        <v>0</v>
      </c>
      <c r="M142" t="n">
        <v>0</v>
      </c>
      <c r="N142" t="n">
        <v>0</v>
      </c>
      <c r="O142" t="n">
        <v>0</v>
      </c>
      <c r="P142" t="n">
        <v>0</v>
      </c>
      <c r="Q142" t="n">
        <v>0</v>
      </c>
      <c r="R142" s="2" t="inlineStr"/>
    </row>
    <row r="143" ht="15" customHeight="1">
      <c r="A143" t="inlineStr">
        <is>
          <t>A 49051-2024</t>
        </is>
      </c>
      <c r="B143" s="1" t="n">
        <v>45594.57820601852</v>
      </c>
      <c r="C143" s="1" t="n">
        <v>46000</v>
      </c>
      <c r="D143" t="inlineStr">
        <is>
          <t>DALARNAS LÄN</t>
        </is>
      </c>
      <c r="E143" t="inlineStr">
        <is>
          <t>LUDVIKA</t>
        </is>
      </c>
      <c r="G143" t="n">
        <v>1.8</v>
      </c>
      <c r="H143" t="n">
        <v>0</v>
      </c>
      <c r="I143" t="n">
        <v>0</v>
      </c>
      <c r="J143" t="n">
        <v>0</v>
      </c>
      <c r="K143" t="n">
        <v>0</v>
      </c>
      <c r="L143" t="n">
        <v>0</v>
      </c>
      <c r="M143" t="n">
        <v>0</v>
      </c>
      <c r="N143" t="n">
        <v>0</v>
      </c>
      <c r="O143" t="n">
        <v>0</v>
      </c>
      <c r="P143" t="n">
        <v>0</v>
      </c>
      <c r="Q143" t="n">
        <v>0</v>
      </c>
      <c r="R143" s="2" t="inlineStr"/>
    </row>
    <row r="144" ht="15" customHeight="1">
      <c r="A144" t="inlineStr">
        <is>
          <t>A 45060-2022</t>
        </is>
      </c>
      <c r="B144" s="1" t="n">
        <v>44841.75935185186</v>
      </c>
      <c r="C144" s="1" t="n">
        <v>46000</v>
      </c>
      <c r="D144" t="inlineStr">
        <is>
          <t>DALARNAS LÄN</t>
        </is>
      </c>
      <c r="E144" t="inlineStr">
        <is>
          <t>LUDVIKA</t>
        </is>
      </c>
      <c r="G144" t="n">
        <v>1.1</v>
      </c>
      <c r="H144" t="n">
        <v>0</v>
      </c>
      <c r="I144" t="n">
        <v>0</v>
      </c>
      <c r="J144" t="n">
        <v>0</v>
      </c>
      <c r="K144" t="n">
        <v>0</v>
      </c>
      <c r="L144" t="n">
        <v>0</v>
      </c>
      <c r="M144" t="n">
        <v>0</v>
      </c>
      <c r="N144" t="n">
        <v>0</v>
      </c>
      <c r="O144" t="n">
        <v>0</v>
      </c>
      <c r="P144" t="n">
        <v>0</v>
      </c>
      <c r="Q144" t="n">
        <v>0</v>
      </c>
      <c r="R144" s="2" t="inlineStr"/>
    </row>
    <row r="145" ht="15" customHeight="1">
      <c r="A145" t="inlineStr">
        <is>
          <t>A 22000-2022</t>
        </is>
      </c>
      <c r="B145" s="1" t="n">
        <v>44711</v>
      </c>
      <c r="C145" s="1" t="n">
        <v>46000</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56119-2021</t>
        </is>
      </c>
      <c r="B146" s="1" t="n">
        <v>44477</v>
      </c>
      <c r="C146" s="1" t="n">
        <v>46000</v>
      </c>
      <c r="D146" t="inlineStr">
        <is>
          <t>DALARNAS LÄN</t>
        </is>
      </c>
      <c r="E146" t="inlineStr">
        <is>
          <t>LUDVIKA</t>
        </is>
      </c>
      <c r="G146" t="n">
        <v>1.3</v>
      </c>
      <c r="H146" t="n">
        <v>0</v>
      </c>
      <c r="I146" t="n">
        <v>0</v>
      </c>
      <c r="J146" t="n">
        <v>0</v>
      </c>
      <c r="K146" t="n">
        <v>0</v>
      </c>
      <c r="L146" t="n">
        <v>0</v>
      </c>
      <c r="M146" t="n">
        <v>0</v>
      </c>
      <c r="N146" t="n">
        <v>0</v>
      </c>
      <c r="O146" t="n">
        <v>0</v>
      </c>
      <c r="P146" t="n">
        <v>0</v>
      </c>
      <c r="Q146" t="n">
        <v>0</v>
      </c>
      <c r="R146" s="2" t="inlineStr"/>
    </row>
    <row r="147" ht="15" customHeight="1">
      <c r="A147" t="inlineStr">
        <is>
          <t>A 53048-2024</t>
        </is>
      </c>
      <c r="B147" s="1" t="n">
        <v>45611.45319444445</v>
      </c>
      <c r="C147" s="1" t="n">
        <v>46000</v>
      </c>
      <c r="D147" t="inlineStr">
        <is>
          <t>DALARNAS LÄN</t>
        </is>
      </c>
      <c r="E147" t="inlineStr">
        <is>
          <t>LUDVIKA</t>
        </is>
      </c>
      <c r="F147" t="inlineStr">
        <is>
          <t>Bergvik skog väst AB</t>
        </is>
      </c>
      <c r="G147" t="n">
        <v>1</v>
      </c>
      <c r="H147" t="n">
        <v>0</v>
      </c>
      <c r="I147" t="n">
        <v>0</v>
      </c>
      <c r="J147" t="n">
        <v>0</v>
      </c>
      <c r="K147" t="n">
        <v>0</v>
      </c>
      <c r="L147" t="n">
        <v>0</v>
      </c>
      <c r="M147" t="n">
        <v>0</v>
      </c>
      <c r="N147" t="n">
        <v>0</v>
      </c>
      <c r="O147" t="n">
        <v>0</v>
      </c>
      <c r="P147" t="n">
        <v>0</v>
      </c>
      <c r="Q147" t="n">
        <v>0</v>
      </c>
      <c r="R147" s="2" t="inlineStr"/>
    </row>
    <row r="148" ht="15" customHeight="1">
      <c r="A148" t="inlineStr">
        <is>
          <t>A 3277-2024</t>
        </is>
      </c>
      <c r="B148" s="1" t="n">
        <v>45317.4196875</v>
      </c>
      <c r="C148" s="1" t="n">
        <v>46000</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43981-2024</t>
        </is>
      </c>
      <c r="B149" s="1" t="n">
        <v>45572.4962037037</v>
      </c>
      <c r="C149" s="1" t="n">
        <v>46000</v>
      </c>
      <c r="D149" t="inlineStr">
        <is>
          <t>DALARNAS LÄN</t>
        </is>
      </c>
      <c r="E149" t="inlineStr">
        <is>
          <t>LUDVIKA</t>
        </is>
      </c>
      <c r="F149" t="inlineStr">
        <is>
          <t>Bergvik skog väst AB</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51160-2023</t>
        </is>
      </c>
      <c r="B150" s="1" t="n">
        <v>45219.37885416667</v>
      </c>
      <c r="C150" s="1" t="n">
        <v>46000</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49805-2023</t>
        </is>
      </c>
      <c r="B151" s="1" t="n">
        <v>45212.65407407407</v>
      </c>
      <c r="C151" s="1" t="n">
        <v>46000</v>
      </c>
      <c r="D151" t="inlineStr">
        <is>
          <t>DALARNAS LÄN</t>
        </is>
      </c>
      <c r="E151" t="inlineStr">
        <is>
          <t>LUDVIKA</t>
        </is>
      </c>
      <c r="G151" t="n">
        <v>1.9</v>
      </c>
      <c r="H151" t="n">
        <v>0</v>
      </c>
      <c r="I151" t="n">
        <v>0</v>
      </c>
      <c r="J151" t="n">
        <v>0</v>
      </c>
      <c r="K151" t="n">
        <v>0</v>
      </c>
      <c r="L151" t="n">
        <v>0</v>
      </c>
      <c r="M151" t="n">
        <v>0</v>
      </c>
      <c r="N151" t="n">
        <v>0</v>
      </c>
      <c r="O151" t="n">
        <v>0</v>
      </c>
      <c r="P151" t="n">
        <v>0</v>
      </c>
      <c r="Q151" t="n">
        <v>0</v>
      </c>
      <c r="R151" s="2" t="inlineStr"/>
    </row>
    <row r="152" ht="15" customHeight="1">
      <c r="A152" t="inlineStr">
        <is>
          <t>A 55485-2024</t>
        </is>
      </c>
      <c r="B152" s="1" t="n">
        <v>45622.44318287037</v>
      </c>
      <c r="C152" s="1" t="n">
        <v>46000</v>
      </c>
      <c r="D152" t="inlineStr">
        <is>
          <t>DALARNAS LÄN</t>
        </is>
      </c>
      <c r="E152" t="inlineStr">
        <is>
          <t>LUDVIKA</t>
        </is>
      </c>
      <c r="F152" t="inlineStr">
        <is>
          <t>Naturvårdsverket</t>
        </is>
      </c>
      <c r="G152" t="n">
        <v>0.3</v>
      </c>
      <c r="H152" t="n">
        <v>0</v>
      </c>
      <c r="I152" t="n">
        <v>0</v>
      </c>
      <c r="J152" t="n">
        <v>0</v>
      </c>
      <c r="K152" t="n">
        <v>0</v>
      </c>
      <c r="L152" t="n">
        <v>0</v>
      </c>
      <c r="M152" t="n">
        <v>0</v>
      </c>
      <c r="N152" t="n">
        <v>0</v>
      </c>
      <c r="O152" t="n">
        <v>0</v>
      </c>
      <c r="P152" t="n">
        <v>0</v>
      </c>
      <c r="Q152" t="n">
        <v>0</v>
      </c>
      <c r="R152" s="2" t="inlineStr"/>
    </row>
    <row r="153" ht="15" customHeight="1">
      <c r="A153" t="inlineStr">
        <is>
          <t>A 33914-2023</t>
        </is>
      </c>
      <c r="B153" s="1" t="n">
        <v>45134.43274305556</v>
      </c>
      <c r="C153" s="1" t="n">
        <v>46000</v>
      </c>
      <c r="D153" t="inlineStr">
        <is>
          <t>DALARNAS LÄN</t>
        </is>
      </c>
      <c r="E153" t="inlineStr">
        <is>
          <t>LUDVIKA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22325-2025</t>
        </is>
      </c>
      <c r="B154" s="1" t="n">
        <v>45786</v>
      </c>
      <c r="C154" s="1" t="n">
        <v>46000</v>
      </c>
      <c r="D154" t="inlineStr">
        <is>
          <t>DALARNAS LÄN</t>
        </is>
      </c>
      <c r="E154" t="inlineStr">
        <is>
          <t>LUDVIKA</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46095-2024</t>
        </is>
      </c>
      <c r="B155" s="1" t="n">
        <v>45581.36174768519</v>
      </c>
      <c r="C155" s="1" t="n">
        <v>46000</v>
      </c>
      <c r="D155" t="inlineStr">
        <is>
          <t>DALARNAS LÄN</t>
        </is>
      </c>
      <c r="E155" t="inlineStr">
        <is>
          <t>LUDVIKA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41539-2024</t>
        </is>
      </c>
      <c r="B156" s="1" t="n">
        <v>45560.50243055556</v>
      </c>
      <c r="C156" s="1" t="n">
        <v>46000</v>
      </c>
      <c r="D156" t="inlineStr">
        <is>
          <t>DALARNAS LÄN</t>
        </is>
      </c>
      <c r="E156" t="inlineStr">
        <is>
          <t>LUDVIKA</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22328-2025</t>
        </is>
      </c>
      <c r="B157" s="1" t="n">
        <v>45786</v>
      </c>
      <c r="C157" s="1" t="n">
        <v>46000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22594-2025</t>
        </is>
      </c>
      <c r="B158" s="1" t="n">
        <v>45789</v>
      </c>
      <c r="C158" s="1" t="n">
        <v>46000</v>
      </c>
      <c r="D158" t="inlineStr">
        <is>
          <t>DALARNAS LÄN</t>
        </is>
      </c>
      <c r="E158" t="inlineStr">
        <is>
          <t>LUDVIKA</t>
        </is>
      </c>
      <c r="F158" t="inlineStr">
        <is>
          <t>Bergvik skog väst AB</t>
        </is>
      </c>
      <c r="G158" t="n">
        <v>3.1</v>
      </c>
      <c r="H158" t="n">
        <v>0</v>
      </c>
      <c r="I158" t="n">
        <v>0</v>
      </c>
      <c r="J158" t="n">
        <v>0</v>
      </c>
      <c r="K158" t="n">
        <v>0</v>
      </c>
      <c r="L158" t="n">
        <v>0</v>
      </c>
      <c r="M158" t="n">
        <v>0</v>
      </c>
      <c r="N158" t="n">
        <v>0</v>
      </c>
      <c r="O158" t="n">
        <v>0</v>
      </c>
      <c r="P158" t="n">
        <v>0</v>
      </c>
      <c r="Q158" t="n">
        <v>0</v>
      </c>
      <c r="R158" s="2" t="inlineStr"/>
    </row>
    <row r="159" ht="15" customHeight="1">
      <c r="A159" t="inlineStr">
        <is>
          <t>A 22606-2025</t>
        </is>
      </c>
      <c r="B159" s="1" t="n">
        <v>45789</v>
      </c>
      <c r="C159" s="1" t="n">
        <v>46000</v>
      </c>
      <c r="D159" t="inlineStr">
        <is>
          <t>DALARNAS LÄN</t>
        </is>
      </c>
      <c r="E159" t="inlineStr">
        <is>
          <t>LUDVIKA</t>
        </is>
      </c>
      <c r="F159" t="inlineStr">
        <is>
          <t>Bergvik skog väst AB</t>
        </is>
      </c>
      <c r="G159" t="n">
        <v>3.9</v>
      </c>
      <c r="H159" t="n">
        <v>0</v>
      </c>
      <c r="I159" t="n">
        <v>0</v>
      </c>
      <c r="J159" t="n">
        <v>0</v>
      </c>
      <c r="K159" t="n">
        <v>0</v>
      </c>
      <c r="L159" t="n">
        <v>0</v>
      </c>
      <c r="M159" t="n">
        <v>0</v>
      </c>
      <c r="N159" t="n">
        <v>0</v>
      </c>
      <c r="O159" t="n">
        <v>0</v>
      </c>
      <c r="P159" t="n">
        <v>0</v>
      </c>
      <c r="Q159" t="n">
        <v>0</v>
      </c>
      <c r="R159" s="2" t="inlineStr"/>
    </row>
    <row r="160" ht="15" customHeight="1">
      <c r="A160" t="inlineStr">
        <is>
          <t>A 22610-2025</t>
        </is>
      </c>
      <c r="B160" s="1" t="n">
        <v>45789</v>
      </c>
      <c r="C160" s="1" t="n">
        <v>46000</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46093-2024</t>
        </is>
      </c>
      <c r="B161" s="1" t="n">
        <v>45581.35516203703</v>
      </c>
      <c r="C161" s="1" t="n">
        <v>46000</v>
      </c>
      <c r="D161" t="inlineStr">
        <is>
          <t>DALARNAS LÄN</t>
        </is>
      </c>
      <c r="E161" t="inlineStr">
        <is>
          <t>LUDVIKA</t>
        </is>
      </c>
      <c r="F161" t="inlineStr">
        <is>
          <t>Bergvik skog väst AB</t>
        </is>
      </c>
      <c r="G161" t="n">
        <v>3.5</v>
      </c>
      <c r="H161" t="n">
        <v>0</v>
      </c>
      <c r="I161" t="n">
        <v>0</v>
      </c>
      <c r="J161" t="n">
        <v>0</v>
      </c>
      <c r="K161" t="n">
        <v>0</v>
      </c>
      <c r="L161" t="n">
        <v>0</v>
      </c>
      <c r="M161" t="n">
        <v>0</v>
      </c>
      <c r="N161" t="n">
        <v>0</v>
      </c>
      <c r="O161" t="n">
        <v>0</v>
      </c>
      <c r="P161" t="n">
        <v>0</v>
      </c>
      <c r="Q161" t="n">
        <v>0</v>
      </c>
      <c r="R161" s="2" t="inlineStr"/>
    </row>
    <row r="162" ht="15" customHeight="1">
      <c r="A162" t="inlineStr">
        <is>
          <t>A 46107-2024</t>
        </is>
      </c>
      <c r="B162" s="1" t="n">
        <v>45581.37739583333</v>
      </c>
      <c r="C162" s="1" t="n">
        <v>46000</v>
      </c>
      <c r="D162" t="inlineStr">
        <is>
          <t>DALARNAS LÄN</t>
        </is>
      </c>
      <c r="E162" t="inlineStr">
        <is>
          <t>LUDVIKA</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38625-2025</t>
        </is>
      </c>
      <c r="B163" s="1" t="n">
        <v>45884</v>
      </c>
      <c r="C163" s="1" t="n">
        <v>46000</v>
      </c>
      <c r="D163" t="inlineStr">
        <is>
          <t>DALARNAS LÄN</t>
        </is>
      </c>
      <c r="E163" t="inlineStr">
        <is>
          <t>LUDVIKA</t>
        </is>
      </c>
      <c r="F163" t="inlineStr">
        <is>
          <t>Bergvik skog väst AB</t>
        </is>
      </c>
      <c r="G163" t="n">
        <v>3.7</v>
      </c>
      <c r="H163" t="n">
        <v>0</v>
      </c>
      <c r="I163" t="n">
        <v>0</v>
      </c>
      <c r="J163" t="n">
        <v>0</v>
      </c>
      <c r="K163" t="n">
        <v>0</v>
      </c>
      <c r="L163" t="n">
        <v>0</v>
      </c>
      <c r="M163" t="n">
        <v>0</v>
      </c>
      <c r="N163" t="n">
        <v>0</v>
      </c>
      <c r="O163" t="n">
        <v>0</v>
      </c>
      <c r="P163" t="n">
        <v>0</v>
      </c>
      <c r="Q163" t="n">
        <v>0</v>
      </c>
      <c r="R163" s="2" t="inlineStr"/>
    </row>
    <row r="164" ht="15" customHeight="1">
      <c r="A164" t="inlineStr">
        <is>
          <t>A 38630-2025</t>
        </is>
      </c>
      <c r="B164" s="1" t="n">
        <v>45884</v>
      </c>
      <c r="C164" s="1" t="n">
        <v>46000</v>
      </c>
      <c r="D164" t="inlineStr">
        <is>
          <t>DALARNAS LÄN</t>
        </is>
      </c>
      <c r="E164" t="inlineStr">
        <is>
          <t>LUDVIKA</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37538-2024</t>
        </is>
      </c>
      <c r="B165" s="1" t="n">
        <v>45541.41780092593</v>
      </c>
      <c r="C165" s="1" t="n">
        <v>46000</v>
      </c>
      <c r="D165" t="inlineStr">
        <is>
          <t>DALARNAS LÄN</t>
        </is>
      </c>
      <c r="E165" t="inlineStr">
        <is>
          <t>LUDVIKA</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50240-2024</t>
        </is>
      </c>
      <c r="B166" s="1" t="n">
        <v>45600.56336805555</v>
      </c>
      <c r="C166" s="1" t="n">
        <v>46000</v>
      </c>
      <c r="D166" t="inlineStr">
        <is>
          <t>DALARNAS LÄN</t>
        </is>
      </c>
      <c r="E166" t="inlineStr">
        <is>
          <t>LUDVIKA</t>
        </is>
      </c>
      <c r="G166" t="n">
        <v>2.2</v>
      </c>
      <c r="H166" t="n">
        <v>0</v>
      </c>
      <c r="I166" t="n">
        <v>0</v>
      </c>
      <c r="J166" t="n">
        <v>0</v>
      </c>
      <c r="K166" t="n">
        <v>0</v>
      </c>
      <c r="L166" t="n">
        <v>0</v>
      </c>
      <c r="M166" t="n">
        <v>0</v>
      </c>
      <c r="N166" t="n">
        <v>0</v>
      </c>
      <c r="O166" t="n">
        <v>0</v>
      </c>
      <c r="P166" t="n">
        <v>0</v>
      </c>
      <c r="Q166" t="n">
        <v>0</v>
      </c>
      <c r="R166" s="2" t="inlineStr"/>
    </row>
    <row r="167" ht="15" customHeight="1">
      <c r="A167" t="inlineStr">
        <is>
          <t>A 22801-2025</t>
        </is>
      </c>
      <c r="B167" s="1" t="n">
        <v>45789.66861111111</v>
      </c>
      <c r="C167" s="1" t="n">
        <v>46000</v>
      </c>
      <c r="D167" t="inlineStr">
        <is>
          <t>DALARNAS LÄN</t>
        </is>
      </c>
      <c r="E167" t="inlineStr">
        <is>
          <t>LUDVIKA</t>
        </is>
      </c>
      <c r="G167" t="n">
        <v>1.6</v>
      </c>
      <c r="H167" t="n">
        <v>0</v>
      </c>
      <c r="I167" t="n">
        <v>0</v>
      </c>
      <c r="J167" t="n">
        <v>0</v>
      </c>
      <c r="K167" t="n">
        <v>0</v>
      </c>
      <c r="L167" t="n">
        <v>0</v>
      </c>
      <c r="M167" t="n">
        <v>0</v>
      </c>
      <c r="N167" t="n">
        <v>0</v>
      </c>
      <c r="O167" t="n">
        <v>0</v>
      </c>
      <c r="P167" t="n">
        <v>0</v>
      </c>
      <c r="Q167" t="n">
        <v>0</v>
      </c>
      <c r="R167" s="2" t="inlineStr"/>
    </row>
    <row r="168" ht="15" customHeight="1">
      <c r="A168" t="inlineStr">
        <is>
          <t>A 18189-2025</t>
        </is>
      </c>
      <c r="B168" s="1" t="n">
        <v>45761.67243055555</v>
      </c>
      <c r="C168" s="1" t="n">
        <v>46000</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43702-2024</t>
        </is>
      </c>
      <c r="B169" s="1" t="n">
        <v>45569.59144675926</v>
      </c>
      <c r="C169" s="1" t="n">
        <v>46000</v>
      </c>
      <c r="D169" t="inlineStr">
        <is>
          <t>DALARNAS LÄN</t>
        </is>
      </c>
      <c r="E169" t="inlineStr">
        <is>
          <t>LUDVIKA</t>
        </is>
      </c>
      <c r="F169" t="inlineStr">
        <is>
          <t>Bergvik skog väst AB</t>
        </is>
      </c>
      <c r="G169" t="n">
        <v>1.9</v>
      </c>
      <c r="H169" t="n">
        <v>0</v>
      </c>
      <c r="I169" t="n">
        <v>0</v>
      </c>
      <c r="J169" t="n">
        <v>0</v>
      </c>
      <c r="K169" t="n">
        <v>0</v>
      </c>
      <c r="L169" t="n">
        <v>0</v>
      </c>
      <c r="M169" t="n">
        <v>0</v>
      </c>
      <c r="N169" t="n">
        <v>0</v>
      </c>
      <c r="O169" t="n">
        <v>0</v>
      </c>
      <c r="P169" t="n">
        <v>0</v>
      </c>
      <c r="Q169" t="n">
        <v>0</v>
      </c>
      <c r="R169" s="2" t="inlineStr"/>
    </row>
    <row r="170" ht="15" customHeight="1">
      <c r="A170" t="inlineStr">
        <is>
          <t>A 29882-2024</t>
        </is>
      </c>
      <c r="B170" s="1" t="n">
        <v>45486</v>
      </c>
      <c r="C170" s="1" t="n">
        <v>46000</v>
      </c>
      <c r="D170" t="inlineStr">
        <is>
          <t>DALARNAS LÄN</t>
        </is>
      </c>
      <c r="E170" t="inlineStr">
        <is>
          <t>LUDVIKA</t>
        </is>
      </c>
      <c r="G170" t="n">
        <v>1.3</v>
      </c>
      <c r="H170" t="n">
        <v>0</v>
      </c>
      <c r="I170" t="n">
        <v>0</v>
      </c>
      <c r="J170" t="n">
        <v>0</v>
      </c>
      <c r="K170" t="n">
        <v>0</v>
      </c>
      <c r="L170" t="n">
        <v>0</v>
      </c>
      <c r="M170" t="n">
        <v>0</v>
      </c>
      <c r="N170" t="n">
        <v>0</v>
      </c>
      <c r="O170" t="n">
        <v>0</v>
      </c>
      <c r="P170" t="n">
        <v>0</v>
      </c>
      <c r="Q170" t="n">
        <v>0</v>
      </c>
      <c r="R170" s="2" t="inlineStr"/>
    </row>
    <row r="171" ht="15" customHeight="1">
      <c r="A171" t="inlineStr">
        <is>
          <t>A 24974-2025</t>
        </is>
      </c>
      <c r="B171" s="1" t="n">
        <v>45799</v>
      </c>
      <c r="C171" s="1" t="n">
        <v>46000</v>
      </c>
      <c r="D171" t="inlineStr">
        <is>
          <t>DALARNAS LÄN</t>
        </is>
      </c>
      <c r="E171" t="inlineStr">
        <is>
          <t>LUDVIKA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22330-2025</t>
        </is>
      </c>
      <c r="B172" s="1" t="n">
        <v>45786</v>
      </c>
      <c r="C172" s="1" t="n">
        <v>46000</v>
      </c>
      <c r="D172" t="inlineStr">
        <is>
          <t>DALARNAS LÄN</t>
        </is>
      </c>
      <c r="E172" t="inlineStr">
        <is>
          <t>LUDVIKA</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4544-2025</t>
        </is>
      </c>
      <c r="B173" s="1" t="n">
        <v>45687.39811342592</v>
      </c>
      <c r="C173" s="1" t="n">
        <v>46000</v>
      </c>
      <c r="D173" t="inlineStr">
        <is>
          <t>DALARNAS LÄN</t>
        </is>
      </c>
      <c r="E173" t="inlineStr">
        <is>
          <t>LUDVIKA</t>
        </is>
      </c>
      <c r="G173" t="n">
        <v>1.9</v>
      </c>
      <c r="H173" t="n">
        <v>0</v>
      </c>
      <c r="I173" t="n">
        <v>0</v>
      </c>
      <c r="J173" t="n">
        <v>0</v>
      </c>
      <c r="K173" t="n">
        <v>0</v>
      </c>
      <c r="L173" t="n">
        <v>0</v>
      </c>
      <c r="M173" t="n">
        <v>0</v>
      </c>
      <c r="N173" t="n">
        <v>0</v>
      </c>
      <c r="O173" t="n">
        <v>0</v>
      </c>
      <c r="P173" t="n">
        <v>0</v>
      </c>
      <c r="Q173" t="n">
        <v>0</v>
      </c>
      <c r="R173" s="2" t="inlineStr"/>
    </row>
    <row r="174" ht="15" customHeight="1">
      <c r="A174" t="inlineStr">
        <is>
          <t>A 24712-2024</t>
        </is>
      </c>
      <c r="B174" s="1" t="n">
        <v>45460.62337962963</v>
      </c>
      <c r="C174" s="1" t="n">
        <v>46000</v>
      </c>
      <c r="D174" t="inlineStr">
        <is>
          <t>DALARNAS LÄN</t>
        </is>
      </c>
      <c r="E174" t="inlineStr">
        <is>
          <t>LUDVIKA</t>
        </is>
      </c>
      <c r="G174" t="n">
        <v>4.2</v>
      </c>
      <c r="H174" t="n">
        <v>0</v>
      </c>
      <c r="I174" t="n">
        <v>0</v>
      </c>
      <c r="J174" t="n">
        <v>0</v>
      </c>
      <c r="K174" t="n">
        <v>0</v>
      </c>
      <c r="L174" t="n">
        <v>0</v>
      </c>
      <c r="M174" t="n">
        <v>0</v>
      </c>
      <c r="N174" t="n">
        <v>0</v>
      </c>
      <c r="O174" t="n">
        <v>0</v>
      </c>
      <c r="P174" t="n">
        <v>0</v>
      </c>
      <c r="Q174" t="n">
        <v>0</v>
      </c>
      <c r="R174" s="2" t="inlineStr"/>
    </row>
    <row r="175" ht="15" customHeight="1">
      <c r="A175" t="inlineStr">
        <is>
          <t>A 22599-2025</t>
        </is>
      </c>
      <c r="B175" s="1" t="n">
        <v>45789</v>
      </c>
      <c r="C175" s="1" t="n">
        <v>46000</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23082-2025</t>
        </is>
      </c>
      <c r="B176" s="1" t="n">
        <v>45791</v>
      </c>
      <c r="C176" s="1" t="n">
        <v>46000</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23088-2025</t>
        </is>
      </c>
      <c r="B177" s="1" t="n">
        <v>45791.34212962963</v>
      </c>
      <c r="C177" s="1" t="n">
        <v>46000</v>
      </c>
      <c r="D177" t="inlineStr">
        <is>
          <t>DALARNAS LÄN</t>
        </is>
      </c>
      <c r="E177" t="inlineStr">
        <is>
          <t>LUDVIKA</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23103-2025</t>
        </is>
      </c>
      <c r="B178" s="1" t="n">
        <v>45791</v>
      </c>
      <c r="C178" s="1" t="n">
        <v>46000</v>
      </c>
      <c r="D178" t="inlineStr">
        <is>
          <t>DALARNAS LÄN</t>
        </is>
      </c>
      <c r="E178" t="inlineStr">
        <is>
          <t>LUDVIKA</t>
        </is>
      </c>
      <c r="F178" t="inlineStr">
        <is>
          <t>Bergvik skog väst AB</t>
        </is>
      </c>
      <c r="G178" t="n">
        <v>15.9</v>
      </c>
      <c r="H178" t="n">
        <v>0</v>
      </c>
      <c r="I178" t="n">
        <v>0</v>
      </c>
      <c r="J178" t="n">
        <v>0</v>
      </c>
      <c r="K178" t="n">
        <v>0</v>
      </c>
      <c r="L178" t="n">
        <v>0</v>
      </c>
      <c r="M178" t="n">
        <v>0</v>
      </c>
      <c r="N178" t="n">
        <v>0</v>
      </c>
      <c r="O178" t="n">
        <v>0</v>
      </c>
      <c r="P178" t="n">
        <v>0</v>
      </c>
      <c r="Q178" t="n">
        <v>0</v>
      </c>
      <c r="R178" s="2" t="inlineStr"/>
    </row>
    <row r="179" ht="15" customHeight="1">
      <c r="A179" t="inlineStr">
        <is>
          <t>A 23105-2025</t>
        </is>
      </c>
      <c r="B179" s="1" t="n">
        <v>45791</v>
      </c>
      <c r="C179" s="1" t="n">
        <v>46000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51704-2024</t>
        </is>
      </c>
      <c r="B180" s="1" t="n">
        <v>45607.36243055556</v>
      </c>
      <c r="C180" s="1" t="n">
        <v>46000</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34280-2024</t>
        </is>
      </c>
      <c r="B181" s="1" t="n">
        <v>45524.62398148148</v>
      </c>
      <c r="C181" s="1" t="n">
        <v>46000</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36066-2024</t>
        </is>
      </c>
      <c r="B182" s="1" t="n">
        <v>45533.64466435185</v>
      </c>
      <c r="C182" s="1" t="n">
        <v>46000</v>
      </c>
      <c r="D182" t="inlineStr">
        <is>
          <t>DALARNAS LÄN</t>
        </is>
      </c>
      <c r="E182" t="inlineStr">
        <is>
          <t>LUDVIKA</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23086-2025</t>
        </is>
      </c>
      <c r="B183" s="1" t="n">
        <v>45791</v>
      </c>
      <c r="C183" s="1" t="n">
        <v>46000</v>
      </c>
      <c r="D183" t="inlineStr">
        <is>
          <t>DALARNAS LÄN</t>
        </is>
      </c>
      <c r="E183" t="inlineStr">
        <is>
          <t>LUDVIKA</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23087-2025</t>
        </is>
      </c>
      <c r="B184" s="1" t="n">
        <v>45791.3395949074</v>
      </c>
      <c r="C184" s="1" t="n">
        <v>46000</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31958-2024</t>
        </is>
      </c>
      <c r="B185" s="1" t="n">
        <v>45510.51506944445</v>
      </c>
      <c r="C185" s="1" t="n">
        <v>46000</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22850-2025</t>
        </is>
      </c>
      <c r="B186" s="1" t="n">
        <v>45790.34148148148</v>
      </c>
      <c r="C186" s="1" t="n">
        <v>46000</v>
      </c>
      <c r="D186" t="inlineStr">
        <is>
          <t>DALARNAS LÄN</t>
        </is>
      </c>
      <c r="E186" t="inlineStr">
        <is>
          <t>LUDVIKA</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47233-2024</t>
        </is>
      </c>
      <c r="B187" s="1" t="n">
        <v>45586.68033564815</v>
      </c>
      <c r="C187" s="1" t="n">
        <v>46000</v>
      </c>
      <c r="D187" t="inlineStr">
        <is>
          <t>DALARNAS LÄN</t>
        </is>
      </c>
      <c r="E187" t="inlineStr">
        <is>
          <t>LUDVIKA</t>
        </is>
      </c>
      <c r="G187" t="n">
        <v>9.5</v>
      </c>
      <c r="H187" t="n">
        <v>0</v>
      </c>
      <c r="I187" t="n">
        <v>0</v>
      </c>
      <c r="J187" t="n">
        <v>0</v>
      </c>
      <c r="K187" t="n">
        <v>0</v>
      </c>
      <c r="L187" t="n">
        <v>0</v>
      </c>
      <c r="M187" t="n">
        <v>0</v>
      </c>
      <c r="N187" t="n">
        <v>0</v>
      </c>
      <c r="O187" t="n">
        <v>0</v>
      </c>
      <c r="P187" t="n">
        <v>0</v>
      </c>
      <c r="Q187" t="n">
        <v>0</v>
      </c>
      <c r="R187" s="2" t="inlineStr"/>
    </row>
    <row r="188" ht="15" customHeight="1">
      <c r="A188" t="inlineStr">
        <is>
          <t>A 22686-2025</t>
        </is>
      </c>
      <c r="B188" s="1" t="n">
        <v>45786</v>
      </c>
      <c r="C188" s="1" t="n">
        <v>46000</v>
      </c>
      <c r="D188" t="inlineStr">
        <is>
          <t>DALARNAS LÄN</t>
        </is>
      </c>
      <c r="E188" t="inlineStr">
        <is>
          <t>LUDVIKA</t>
        </is>
      </c>
      <c r="G188" t="n">
        <v>2.1</v>
      </c>
      <c r="H188" t="n">
        <v>0</v>
      </c>
      <c r="I188" t="n">
        <v>0</v>
      </c>
      <c r="J188" t="n">
        <v>0</v>
      </c>
      <c r="K188" t="n">
        <v>0</v>
      </c>
      <c r="L188" t="n">
        <v>0</v>
      </c>
      <c r="M188" t="n">
        <v>0</v>
      </c>
      <c r="N188" t="n">
        <v>0</v>
      </c>
      <c r="O188" t="n">
        <v>0</v>
      </c>
      <c r="P188" t="n">
        <v>0</v>
      </c>
      <c r="Q188" t="n">
        <v>0</v>
      </c>
      <c r="R188" s="2" t="inlineStr"/>
    </row>
    <row r="189" ht="15" customHeight="1">
      <c r="A189" t="inlineStr">
        <is>
          <t>A 17999-2025</t>
        </is>
      </c>
      <c r="B189" s="1" t="n">
        <v>45761</v>
      </c>
      <c r="C189" s="1" t="n">
        <v>46000</v>
      </c>
      <c r="D189" t="inlineStr">
        <is>
          <t>DALARNAS LÄN</t>
        </is>
      </c>
      <c r="E189" t="inlineStr">
        <is>
          <t>LUDVIKA</t>
        </is>
      </c>
      <c r="F189" t="inlineStr">
        <is>
          <t>Naturvårdsverket</t>
        </is>
      </c>
      <c r="G189" t="n">
        <v>0.9</v>
      </c>
      <c r="H189" t="n">
        <v>0</v>
      </c>
      <c r="I189" t="n">
        <v>0</v>
      </c>
      <c r="J189" t="n">
        <v>0</v>
      </c>
      <c r="K189" t="n">
        <v>0</v>
      </c>
      <c r="L189" t="n">
        <v>0</v>
      </c>
      <c r="M189" t="n">
        <v>0</v>
      </c>
      <c r="N189" t="n">
        <v>0</v>
      </c>
      <c r="O189" t="n">
        <v>0</v>
      </c>
      <c r="P189" t="n">
        <v>0</v>
      </c>
      <c r="Q189" t="n">
        <v>0</v>
      </c>
      <c r="R189" s="2" t="inlineStr"/>
    </row>
    <row r="190" ht="15" customHeight="1">
      <c r="A190" t="inlineStr">
        <is>
          <t>A 45361-2022</t>
        </is>
      </c>
      <c r="B190" s="1" t="n">
        <v>44844.62275462963</v>
      </c>
      <c r="C190" s="1" t="n">
        <v>46000</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23521-2025</t>
        </is>
      </c>
      <c r="B191" s="1" t="n">
        <v>45792</v>
      </c>
      <c r="C191" s="1" t="n">
        <v>46000</v>
      </c>
      <c r="D191" t="inlineStr">
        <is>
          <t>DALARNAS LÄN</t>
        </is>
      </c>
      <c r="E191" t="inlineStr">
        <is>
          <t>LUDVIKA</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20449-2025</t>
        </is>
      </c>
      <c r="B192" s="1" t="n">
        <v>45775</v>
      </c>
      <c r="C192" s="1" t="n">
        <v>46000</v>
      </c>
      <c r="D192" t="inlineStr">
        <is>
          <t>DALARNAS LÄN</t>
        </is>
      </c>
      <c r="E192" t="inlineStr">
        <is>
          <t>LUDVIKA</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61278-2022</t>
        </is>
      </c>
      <c r="B193" s="1" t="n">
        <v>44915.6166087963</v>
      </c>
      <c r="C193" s="1" t="n">
        <v>46000</v>
      </c>
      <c r="D193" t="inlineStr">
        <is>
          <t>DALARNAS LÄN</t>
        </is>
      </c>
      <c r="E193" t="inlineStr">
        <is>
          <t>LUDVIKA</t>
        </is>
      </c>
      <c r="F193" t="inlineStr">
        <is>
          <t>Bergvik skog väst AB</t>
        </is>
      </c>
      <c r="G193" t="n">
        <v>2.2</v>
      </c>
      <c r="H193" t="n">
        <v>0</v>
      </c>
      <c r="I193" t="n">
        <v>0</v>
      </c>
      <c r="J193" t="n">
        <v>0</v>
      </c>
      <c r="K193" t="n">
        <v>0</v>
      </c>
      <c r="L193" t="n">
        <v>0</v>
      </c>
      <c r="M193" t="n">
        <v>0</v>
      </c>
      <c r="N193" t="n">
        <v>0</v>
      </c>
      <c r="O193" t="n">
        <v>0</v>
      </c>
      <c r="P193" t="n">
        <v>0</v>
      </c>
      <c r="Q193" t="n">
        <v>0</v>
      </c>
      <c r="R193" s="2" t="inlineStr"/>
    </row>
    <row r="194" ht="15" customHeight="1">
      <c r="A194" t="inlineStr">
        <is>
          <t>A 19677-2025</t>
        </is>
      </c>
      <c r="B194" s="1" t="n">
        <v>45770.75799768518</v>
      </c>
      <c r="C194" s="1" t="n">
        <v>46000</v>
      </c>
      <c r="D194" t="inlineStr">
        <is>
          <t>DALARNAS LÄN</t>
        </is>
      </c>
      <c r="E194" t="inlineStr">
        <is>
          <t>LUDVIKA</t>
        </is>
      </c>
      <c r="G194" t="n">
        <v>1.8</v>
      </c>
      <c r="H194" t="n">
        <v>0</v>
      </c>
      <c r="I194" t="n">
        <v>0</v>
      </c>
      <c r="J194" t="n">
        <v>0</v>
      </c>
      <c r="K194" t="n">
        <v>0</v>
      </c>
      <c r="L194" t="n">
        <v>0</v>
      </c>
      <c r="M194" t="n">
        <v>0</v>
      </c>
      <c r="N194" t="n">
        <v>0</v>
      </c>
      <c r="O194" t="n">
        <v>0</v>
      </c>
      <c r="P194" t="n">
        <v>0</v>
      </c>
      <c r="Q194" t="n">
        <v>0</v>
      </c>
      <c r="R194" s="2" t="inlineStr"/>
    </row>
    <row r="195" ht="15" customHeight="1">
      <c r="A195" t="inlineStr">
        <is>
          <t>A 23137-2025</t>
        </is>
      </c>
      <c r="B195" s="1" t="n">
        <v>45791.39229166666</v>
      </c>
      <c r="C195" s="1" t="n">
        <v>46000</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32301-2024</t>
        </is>
      </c>
      <c r="B196" s="1" t="n">
        <v>45512.44429398148</v>
      </c>
      <c r="C196" s="1" t="n">
        <v>46000</v>
      </c>
      <c r="D196" t="inlineStr">
        <is>
          <t>DALARNAS LÄN</t>
        </is>
      </c>
      <c r="E196" t="inlineStr">
        <is>
          <t>LUDVIKA</t>
        </is>
      </c>
      <c r="F196" t="inlineStr">
        <is>
          <t>Bergvik skog väst AB</t>
        </is>
      </c>
      <c r="G196" t="n">
        <v>2.8</v>
      </c>
      <c r="H196" t="n">
        <v>0</v>
      </c>
      <c r="I196" t="n">
        <v>0</v>
      </c>
      <c r="J196" t="n">
        <v>0</v>
      </c>
      <c r="K196" t="n">
        <v>0</v>
      </c>
      <c r="L196" t="n">
        <v>0</v>
      </c>
      <c r="M196" t="n">
        <v>0</v>
      </c>
      <c r="N196" t="n">
        <v>0</v>
      </c>
      <c r="O196" t="n">
        <v>0</v>
      </c>
      <c r="P196" t="n">
        <v>0</v>
      </c>
      <c r="Q196" t="n">
        <v>0</v>
      </c>
      <c r="R196" s="2" t="inlineStr"/>
    </row>
    <row r="197" ht="15" customHeight="1">
      <c r="A197" t="inlineStr">
        <is>
          <t>A 61054-2024</t>
        </is>
      </c>
      <c r="B197" s="1" t="n">
        <v>45645</v>
      </c>
      <c r="C197" s="1" t="n">
        <v>46000</v>
      </c>
      <c r="D197" t="inlineStr">
        <is>
          <t>DALARNAS LÄN</t>
        </is>
      </c>
      <c r="E197" t="inlineStr">
        <is>
          <t>LUDVIKA</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24081-2025</t>
        </is>
      </c>
      <c r="B198" s="1" t="n">
        <v>45796.5571875</v>
      </c>
      <c r="C198" s="1" t="n">
        <v>46000</v>
      </c>
      <c r="D198" t="inlineStr">
        <is>
          <t>DALARNAS LÄN</t>
        </is>
      </c>
      <c r="E198" t="inlineStr">
        <is>
          <t>LUDVIKA</t>
        </is>
      </c>
      <c r="G198" t="n">
        <v>1.4</v>
      </c>
      <c r="H198" t="n">
        <v>0</v>
      </c>
      <c r="I198" t="n">
        <v>0</v>
      </c>
      <c r="J198" t="n">
        <v>0</v>
      </c>
      <c r="K198" t="n">
        <v>0</v>
      </c>
      <c r="L198" t="n">
        <v>0</v>
      </c>
      <c r="M198" t="n">
        <v>0</v>
      </c>
      <c r="N198" t="n">
        <v>0</v>
      </c>
      <c r="O198" t="n">
        <v>0</v>
      </c>
      <c r="P198" t="n">
        <v>0</v>
      </c>
      <c r="Q198" t="n">
        <v>0</v>
      </c>
      <c r="R198" s="2" t="inlineStr"/>
    </row>
    <row r="199" ht="15" customHeight="1">
      <c r="A199" t="inlineStr">
        <is>
          <t>A 47071-2022</t>
        </is>
      </c>
      <c r="B199" s="1" t="n">
        <v>44852</v>
      </c>
      <c r="C199" s="1" t="n">
        <v>46000</v>
      </c>
      <c r="D199" t="inlineStr">
        <is>
          <t>DALARNAS LÄN</t>
        </is>
      </c>
      <c r="E199" t="inlineStr">
        <is>
          <t>LUDVIKA</t>
        </is>
      </c>
      <c r="G199" t="n">
        <v>1.2</v>
      </c>
      <c r="H199" t="n">
        <v>0</v>
      </c>
      <c r="I199" t="n">
        <v>0</v>
      </c>
      <c r="J199" t="n">
        <v>0</v>
      </c>
      <c r="K199" t="n">
        <v>0</v>
      </c>
      <c r="L199" t="n">
        <v>0</v>
      </c>
      <c r="M199" t="n">
        <v>0</v>
      </c>
      <c r="N199" t="n">
        <v>0</v>
      </c>
      <c r="O199" t="n">
        <v>0</v>
      </c>
      <c r="P199" t="n">
        <v>0</v>
      </c>
      <c r="Q199" t="n">
        <v>0</v>
      </c>
      <c r="R199" s="2" t="inlineStr"/>
    </row>
    <row r="200" ht="15" customHeight="1">
      <c r="A200" t="inlineStr">
        <is>
          <t>A 23097-2025</t>
        </is>
      </c>
      <c r="B200" s="1" t="n">
        <v>45791.3471875</v>
      </c>
      <c r="C200" s="1" t="n">
        <v>46000</v>
      </c>
      <c r="D200" t="inlineStr">
        <is>
          <t>DALARNAS LÄN</t>
        </is>
      </c>
      <c r="E200" t="inlineStr">
        <is>
          <t>LUDVIKA</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27644-2025</t>
        </is>
      </c>
      <c r="B201" s="1" t="n">
        <v>45813</v>
      </c>
      <c r="C201" s="1" t="n">
        <v>46000</v>
      </c>
      <c r="D201" t="inlineStr">
        <is>
          <t>DALARNAS LÄN</t>
        </is>
      </c>
      <c r="E201" t="inlineStr">
        <is>
          <t>LUDVIKA</t>
        </is>
      </c>
      <c r="F201" t="inlineStr">
        <is>
          <t>Bergvik skog väst AB</t>
        </is>
      </c>
      <c r="G201" t="n">
        <v>5.1</v>
      </c>
      <c r="H201" t="n">
        <v>0</v>
      </c>
      <c r="I201" t="n">
        <v>0</v>
      </c>
      <c r="J201" t="n">
        <v>0</v>
      </c>
      <c r="K201" t="n">
        <v>0</v>
      </c>
      <c r="L201" t="n">
        <v>0</v>
      </c>
      <c r="M201" t="n">
        <v>0</v>
      </c>
      <c r="N201" t="n">
        <v>0</v>
      </c>
      <c r="O201" t="n">
        <v>0</v>
      </c>
      <c r="P201" t="n">
        <v>0</v>
      </c>
      <c r="Q201" t="n">
        <v>0</v>
      </c>
      <c r="R201" s="2" t="inlineStr"/>
    </row>
    <row r="202" ht="15" customHeight="1">
      <c r="A202" t="inlineStr">
        <is>
          <t>A 35353-2024</t>
        </is>
      </c>
      <c r="B202" s="1" t="n">
        <v>45531.30570601852</v>
      </c>
      <c r="C202" s="1" t="n">
        <v>46000</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23443-2024</t>
        </is>
      </c>
      <c r="B203" s="1" t="n">
        <v>45453</v>
      </c>
      <c r="C203" s="1" t="n">
        <v>46000</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37549-2024</t>
        </is>
      </c>
      <c r="B204" s="1" t="n">
        <v>45541.43202546296</v>
      </c>
      <c r="C204" s="1" t="n">
        <v>46000</v>
      </c>
      <c r="D204" t="inlineStr">
        <is>
          <t>DALARNAS LÄN</t>
        </is>
      </c>
      <c r="E204" t="inlineStr">
        <is>
          <t>LUDVIKA</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20642-2025</t>
        </is>
      </c>
      <c r="B205" s="1" t="n">
        <v>45776.37806712963</v>
      </c>
      <c r="C205" s="1" t="n">
        <v>46000</v>
      </c>
      <c r="D205" t="inlineStr">
        <is>
          <t>DALARNAS LÄN</t>
        </is>
      </c>
      <c r="E205" t="inlineStr">
        <is>
          <t>LUDVIKA</t>
        </is>
      </c>
      <c r="G205" t="n">
        <v>0.8</v>
      </c>
      <c r="H205" t="n">
        <v>0</v>
      </c>
      <c r="I205" t="n">
        <v>0</v>
      </c>
      <c r="J205" t="n">
        <v>0</v>
      </c>
      <c r="K205" t="n">
        <v>0</v>
      </c>
      <c r="L205" t="n">
        <v>0</v>
      </c>
      <c r="M205" t="n">
        <v>0</v>
      </c>
      <c r="N205" t="n">
        <v>0</v>
      </c>
      <c r="O205" t="n">
        <v>0</v>
      </c>
      <c r="P205" t="n">
        <v>0</v>
      </c>
      <c r="Q205" t="n">
        <v>0</v>
      </c>
      <c r="R205" s="2" t="inlineStr"/>
    </row>
    <row r="206" ht="15" customHeight="1">
      <c r="A206" t="inlineStr">
        <is>
          <t>A 5672-2023</t>
        </is>
      </c>
      <c r="B206" s="1" t="n">
        <v>44960.65628472222</v>
      </c>
      <c r="C206" s="1" t="n">
        <v>46000</v>
      </c>
      <c r="D206" t="inlineStr">
        <is>
          <t>DALARNAS LÄN</t>
        </is>
      </c>
      <c r="E206" t="inlineStr">
        <is>
          <t>LUDVIKA</t>
        </is>
      </c>
      <c r="F206" t="inlineStr">
        <is>
          <t>Naturvårdsverket</t>
        </is>
      </c>
      <c r="G206" t="n">
        <v>2.7</v>
      </c>
      <c r="H206" t="n">
        <v>0</v>
      </c>
      <c r="I206" t="n">
        <v>0</v>
      </c>
      <c r="J206" t="n">
        <v>0</v>
      </c>
      <c r="K206" t="n">
        <v>0</v>
      </c>
      <c r="L206" t="n">
        <v>0</v>
      </c>
      <c r="M206" t="n">
        <v>0</v>
      </c>
      <c r="N206" t="n">
        <v>0</v>
      </c>
      <c r="O206" t="n">
        <v>0</v>
      </c>
      <c r="P206" t="n">
        <v>0</v>
      </c>
      <c r="Q206" t="n">
        <v>0</v>
      </c>
      <c r="R206" s="2" t="inlineStr"/>
    </row>
    <row r="207" ht="15" customHeight="1">
      <c r="A207" t="inlineStr">
        <is>
          <t>A 23111-2025</t>
        </is>
      </c>
      <c r="B207" s="1" t="n">
        <v>45791.36640046296</v>
      </c>
      <c r="C207" s="1" t="n">
        <v>46000</v>
      </c>
      <c r="D207" t="inlineStr">
        <is>
          <t>DALARNAS LÄN</t>
        </is>
      </c>
      <c r="E207" t="inlineStr">
        <is>
          <t>LUDVIKA</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24027-2025</t>
        </is>
      </c>
      <c r="B208" s="1" t="n">
        <v>45796</v>
      </c>
      <c r="C208" s="1" t="n">
        <v>46000</v>
      </c>
      <c r="D208" t="inlineStr">
        <is>
          <t>DALARNAS LÄN</t>
        </is>
      </c>
      <c r="E208" t="inlineStr">
        <is>
          <t>LUDVIKA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35713-2025</t>
        </is>
      </c>
      <c r="B209" s="1" t="n">
        <v>45860</v>
      </c>
      <c r="C209" s="1" t="n">
        <v>46000</v>
      </c>
      <c r="D209" t="inlineStr">
        <is>
          <t>DALARNAS LÄN</t>
        </is>
      </c>
      <c r="E209" t="inlineStr">
        <is>
          <t>LUDVIKA</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24783-2025</t>
        </is>
      </c>
      <c r="B210" s="1" t="n">
        <v>45799</v>
      </c>
      <c r="C210" s="1" t="n">
        <v>46000</v>
      </c>
      <c r="D210" t="inlineStr">
        <is>
          <t>DALARNAS LÄN</t>
        </is>
      </c>
      <c r="E210" t="inlineStr">
        <is>
          <t>LUDVIKA</t>
        </is>
      </c>
      <c r="F210" t="inlineStr">
        <is>
          <t>Bergvik skog väst AB</t>
        </is>
      </c>
      <c r="G210" t="n">
        <v>2.6</v>
      </c>
      <c r="H210" t="n">
        <v>0</v>
      </c>
      <c r="I210" t="n">
        <v>0</v>
      </c>
      <c r="J210" t="n">
        <v>0</v>
      </c>
      <c r="K210" t="n">
        <v>0</v>
      </c>
      <c r="L210" t="n">
        <v>0</v>
      </c>
      <c r="M210" t="n">
        <v>0</v>
      </c>
      <c r="N210" t="n">
        <v>0</v>
      </c>
      <c r="O210" t="n">
        <v>0</v>
      </c>
      <c r="P210" t="n">
        <v>0</v>
      </c>
      <c r="Q210" t="n">
        <v>0</v>
      </c>
      <c r="R210" s="2" t="inlineStr"/>
    </row>
    <row r="211" ht="15" customHeight="1">
      <c r="A211" t="inlineStr">
        <is>
          <t>A 24789-2025</t>
        </is>
      </c>
      <c r="B211" s="1" t="n">
        <v>45799</v>
      </c>
      <c r="C211" s="1" t="n">
        <v>46000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39754-2025</t>
        </is>
      </c>
      <c r="B212" s="1" t="n">
        <v>45891.41975694444</v>
      </c>
      <c r="C212" s="1" t="n">
        <v>46000</v>
      </c>
      <c r="D212" t="inlineStr">
        <is>
          <t>DALARNAS LÄN</t>
        </is>
      </c>
      <c r="E212" t="inlineStr">
        <is>
          <t>LUDVIKA</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19226-2025</t>
        </is>
      </c>
      <c r="B213" s="1" t="n">
        <v>45769</v>
      </c>
      <c r="C213" s="1" t="n">
        <v>46000</v>
      </c>
      <c r="D213" t="inlineStr">
        <is>
          <t>DALARNAS LÄN</t>
        </is>
      </c>
      <c r="E213" t="inlineStr">
        <is>
          <t>LUDVIKA</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13809-2025</t>
        </is>
      </c>
      <c r="B214" s="1" t="n">
        <v>45737.49886574074</v>
      </c>
      <c r="C214" s="1" t="n">
        <v>46000</v>
      </c>
      <c r="D214" t="inlineStr">
        <is>
          <t>DALARNAS LÄN</t>
        </is>
      </c>
      <c r="E214" t="inlineStr">
        <is>
          <t>LUDVIKA</t>
        </is>
      </c>
      <c r="F214" t="inlineStr">
        <is>
          <t>Bergvik skog väst AB</t>
        </is>
      </c>
      <c r="G214" t="n">
        <v>3.5</v>
      </c>
      <c r="H214" t="n">
        <v>0</v>
      </c>
      <c r="I214" t="n">
        <v>0</v>
      </c>
      <c r="J214" t="n">
        <v>0</v>
      </c>
      <c r="K214" t="n">
        <v>0</v>
      </c>
      <c r="L214" t="n">
        <v>0</v>
      </c>
      <c r="M214" t="n">
        <v>0</v>
      </c>
      <c r="N214" t="n">
        <v>0</v>
      </c>
      <c r="O214" t="n">
        <v>0</v>
      </c>
      <c r="P214" t="n">
        <v>0</v>
      </c>
      <c r="Q214" t="n">
        <v>0</v>
      </c>
      <c r="R214" s="2" t="inlineStr"/>
    </row>
    <row r="215" ht="15" customHeight="1">
      <c r="A215" t="inlineStr">
        <is>
          <t>A 23117-2025</t>
        </is>
      </c>
      <c r="B215" s="1" t="n">
        <v>45791.37006944444</v>
      </c>
      <c r="C215" s="1" t="n">
        <v>46000</v>
      </c>
      <c r="D215" t="inlineStr">
        <is>
          <t>DALARNAS LÄN</t>
        </is>
      </c>
      <c r="E215" t="inlineStr">
        <is>
          <t>LUDVIKA</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23139-2025</t>
        </is>
      </c>
      <c r="B216" s="1" t="n">
        <v>45791.3942824074</v>
      </c>
      <c r="C216" s="1" t="n">
        <v>46000</v>
      </c>
      <c r="D216" t="inlineStr">
        <is>
          <t>DALARNAS LÄN</t>
        </is>
      </c>
      <c r="E216" t="inlineStr">
        <is>
          <t>LUDVIKA</t>
        </is>
      </c>
      <c r="F216" t="inlineStr">
        <is>
          <t>Bergvik skog väst AB</t>
        </is>
      </c>
      <c r="G216" t="n">
        <v>0.8</v>
      </c>
      <c r="H216" t="n">
        <v>0</v>
      </c>
      <c r="I216" t="n">
        <v>0</v>
      </c>
      <c r="J216" t="n">
        <v>0</v>
      </c>
      <c r="K216" t="n">
        <v>0</v>
      </c>
      <c r="L216" t="n">
        <v>0</v>
      </c>
      <c r="M216" t="n">
        <v>0</v>
      </c>
      <c r="N216" t="n">
        <v>0</v>
      </c>
      <c r="O216" t="n">
        <v>0</v>
      </c>
      <c r="P216" t="n">
        <v>0</v>
      </c>
      <c r="Q216" t="n">
        <v>0</v>
      </c>
      <c r="R216" s="2" t="inlineStr"/>
    </row>
    <row r="217" ht="15" customHeight="1">
      <c r="A217" t="inlineStr">
        <is>
          <t>A 24628-2025</t>
        </is>
      </c>
      <c r="B217" s="1" t="n">
        <v>45798.59552083333</v>
      </c>
      <c r="C217" s="1" t="n">
        <v>46000</v>
      </c>
      <c r="D217" t="inlineStr">
        <is>
          <t>DALARNAS LÄN</t>
        </is>
      </c>
      <c r="E217" t="inlineStr">
        <is>
          <t>LUDVIKA</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24848-2025</t>
        </is>
      </c>
      <c r="B218" s="1" t="n">
        <v>45799</v>
      </c>
      <c r="C218" s="1" t="n">
        <v>46000</v>
      </c>
      <c r="D218" t="inlineStr">
        <is>
          <t>DALARNAS LÄN</t>
        </is>
      </c>
      <c r="E218" t="inlineStr">
        <is>
          <t>LUDVIKA</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33330-2024</t>
        </is>
      </c>
      <c r="B219" s="1" t="n">
        <v>45519</v>
      </c>
      <c r="C219" s="1" t="n">
        <v>46000</v>
      </c>
      <c r="D219" t="inlineStr">
        <is>
          <t>DALARNAS LÄN</t>
        </is>
      </c>
      <c r="E219" t="inlineStr">
        <is>
          <t>LUDVIKA</t>
        </is>
      </c>
      <c r="G219" t="n">
        <v>4.9</v>
      </c>
      <c r="H219" t="n">
        <v>0</v>
      </c>
      <c r="I219" t="n">
        <v>0</v>
      </c>
      <c r="J219" t="n">
        <v>0</v>
      </c>
      <c r="K219" t="n">
        <v>0</v>
      </c>
      <c r="L219" t="n">
        <v>0</v>
      </c>
      <c r="M219" t="n">
        <v>0</v>
      </c>
      <c r="N219" t="n">
        <v>0</v>
      </c>
      <c r="O219" t="n">
        <v>0</v>
      </c>
      <c r="P219" t="n">
        <v>0</v>
      </c>
      <c r="Q219" t="n">
        <v>0</v>
      </c>
      <c r="R219" s="2" t="inlineStr"/>
    </row>
    <row r="220" ht="15" customHeight="1">
      <c r="A220" t="inlineStr">
        <is>
          <t>A 24939-2025</t>
        </is>
      </c>
      <c r="B220" s="1" t="n">
        <v>45799</v>
      </c>
      <c r="C220" s="1" t="n">
        <v>46000</v>
      </c>
      <c r="D220" t="inlineStr">
        <is>
          <t>DALARNAS LÄN</t>
        </is>
      </c>
      <c r="E220" t="inlineStr">
        <is>
          <t>LUDVIKA</t>
        </is>
      </c>
      <c r="F220" t="inlineStr">
        <is>
          <t>Bergvik skog väst AB</t>
        </is>
      </c>
      <c r="G220" t="n">
        <v>15.6</v>
      </c>
      <c r="H220" t="n">
        <v>0</v>
      </c>
      <c r="I220" t="n">
        <v>0</v>
      </c>
      <c r="J220" t="n">
        <v>0</v>
      </c>
      <c r="K220" t="n">
        <v>0</v>
      </c>
      <c r="L220" t="n">
        <v>0</v>
      </c>
      <c r="M220" t="n">
        <v>0</v>
      </c>
      <c r="N220" t="n">
        <v>0</v>
      </c>
      <c r="O220" t="n">
        <v>0</v>
      </c>
      <c r="P220" t="n">
        <v>0</v>
      </c>
      <c r="Q220" t="n">
        <v>0</v>
      </c>
      <c r="R220" s="2" t="inlineStr"/>
    </row>
    <row r="221" ht="15" customHeight="1">
      <c r="A221" t="inlineStr">
        <is>
          <t>A 40246-2025</t>
        </is>
      </c>
      <c r="B221" s="1" t="n">
        <v>45895.00098379629</v>
      </c>
      <c r="C221" s="1" t="n">
        <v>46000</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30977-2024</t>
        </is>
      </c>
      <c r="B222" s="1" t="n">
        <v>45499</v>
      </c>
      <c r="C222" s="1" t="n">
        <v>46000</v>
      </c>
      <c r="D222" t="inlineStr">
        <is>
          <t>DALARNAS LÄN</t>
        </is>
      </c>
      <c r="E222" t="inlineStr">
        <is>
          <t>LUDVIKA</t>
        </is>
      </c>
      <c r="G222" t="n">
        <v>3.3</v>
      </c>
      <c r="H222" t="n">
        <v>0</v>
      </c>
      <c r="I222" t="n">
        <v>0</v>
      </c>
      <c r="J222" t="n">
        <v>0</v>
      </c>
      <c r="K222" t="n">
        <v>0</v>
      </c>
      <c r="L222" t="n">
        <v>0</v>
      </c>
      <c r="M222" t="n">
        <v>0</v>
      </c>
      <c r="N222" t="n">
        <v>0</v>
      </c>
      <c r="O222" t="n">
        <v>0</v>
      </c>
      <c r="P222" t="n">
        <v>0</v>
      </c>
      <c r="Q222" t="n">
        <v>0</v>
      </c>
      <c r="R222" s="2" t="inlineStr"/>
    </row>
    <row r="223" ht="15" customHeight="1">
      <c r="A223" t="inlineStr">
        <is>
          <t>A 25004-2025</t>
        </is>
      </c>
      <c r="B223" s="1" t="n">
        <v>45799</v>
      </c>
      <c r="C223" s="1" t="n">
        <v>46000</v>
      </c>
      <c r="D223" t="inlineStr">
        <is>
          <t>DALARNAS LÄN</t>
        </is>
      </c>
      <c r="E223" t="inlineStr">
        <is>
          <t>LUDVIKA</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52868-2023</t>
        </is>
      </c>
      <c r="B224" s="1" t="n">
        <v>45226.4590625</v>
      </c>
      <c r="C224" s="1" t="n">
        <v>46000</v>
      </c>
      <c r="D224" t="inlineStr">
        <is>
          <t>DALARNAS LÄN</t>
        </is>
      </c>
      <c r="E224" t="inlineStr">
        <is>
          <t>LUDVIKA</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24697-2025</t>
        </is>
      </c>
      <c r="B225" s="1" t="n">
        <v>45798</v>
      </c>
      <c r="C225" s="1" t="n">
        <v>46000</v>
      </c>
      <c r="D225" t="inlineStr">
        <is>
          <t>DALARNAS LÄN</t>
        </is>
      </c>
      <c r="E225" t="inlineStr">
        <is>
          <t>LUDVIKA</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24696-2025</t>
        </is>
      </c>
      <c r="B226" s="1" t="n">
        <v>45798</v>
      </c>
      <c r="C226" s="1" t="n">
        <v>46000</v>
      </c>
      <c r="D226" t="inlineStr">
        <is>
          <t>DALARNAS LÄN</t>
        </is>
      </c>
      <c r="E226" t="inlineStr">
        <is>
          <t>LUDVIKA</t>
        </is>
      </c>
      <c r="F226" t="inlineStr">
        <is>
          <t>Bergvik skog väst AB</t>
        </is>
      </c>
      <c r="G226" t="n">
        <v>7.1</v>
      </c>
      <c r="H226" t="n">
        <v>0</v>
      </c>
      <c r="I226" t="n">
        <v>0</v>
      </c>
      <c r="J226" t="n">
        <v>0</v>
      </c>
      <c r="K226" t="n">
        <v>0</v>
      </c>
      <c r="L226" t="n">
        <v>0</v>
      </c>
      <c r="M226" t="n">
        <v>0</v>
      </c>
      <c r="N226" t="n">
        <v>0</v>
      </c>
      <c r="O226" t="n">
        <v>0</v>
      </c>
      <c r="P226" t="n">
        <v>0</v>
      </c>
      <c r="Q226" t="n">
        <v>0</v>
      </c>
      <c r="R226" s="2" t="inlineStr"/>
    </row>
    <row r="227" ht="15" customHeight="1">
      <c r="A227" t="inlineStr">
        <is>
          <t>A 8202-2025</t>
        </is>
      </c>
      <c r="B227" s="1" t="n">
        <v>45708.43793981482</v>
      </c>
      <c r="C227" s="1" t="n">
        <v>46000</v>
      </c>
      <c r="D227" t="inlineStr">
        <is>
          <t>DALARNAS LÄN</t>
        </is>
      </c>
      <c r="E227" t="inlineStr">
        <is>
          <t>LUDVIKA</t>
        </is>
      </c>
      <c r="G227" t="n">
        <v>6.4</v>
      </c>
      <c r="H227" t="n">
        <v>0</v>
      </c>
      <c r="I227" t="n">
        <v>0</v>
      </c>
      <c r="J227" t="n">
        <v>0</v>
      </c>
      <c r="K227" t="n">
        <v>0</v>
      </c>
      <c r="L227" t="n">
        <v>0</v>
      </c>
      <c r="M227" t="n">
        <v>0</v>
      </c>
      <c r="N227" t="n">
        <v>0</v>
      </c>
      <c r="O227" t="n">
        <v>0</v>
      </c>
      <c r="P227" t="n">
        <v>0</v>
      </c>
      <c r="Q227" t="n">
        <v>0</v>
      </c>
      <c r="R227" s="2" t="inlineStr"/>
    </row>
    <row r="228" ht="15" customHeight="1">
      <c r="A228" t="inlineStr">
        <is>
          <t>A 25619-2025</t>
        </is>
      </c>
      <c r="B228" s="1" t="n">
        <v>45803</v>
      </c>
      <c r="C228" s="1" t="n">
        <v>46000</v>
      </c>
      <c r="D228" t="inlineStr">
        <is>
          <t>DALARNAS LÄN</t>
        </is>
      </c>
      <c r="E228" t="inlineStr">
        <is>
          <t>LUDVIKA</t>
        </is>
      </c>
      <c r="F228" t="inlineStr">
        <is>
          <t>Bergvik skog väst AB</t>
        </is>
      </c>
      <c r="G228" t="n">
        <v>2.5</v>
      </c>
      <c r="H228" t="n">
        <v>0</v>
      </c>
      <c r="I228" t="n">
        <v>0</v>
      </c>
      <c r="J228" t="n">
        <v>0</v>
      </c>
      <c r="K228" t="n">
        <v>0</v>
      </c>
      <c r="L228" t="n">
        <v>0</v>
      </c>
      <c r="M228" t="n">
        <v>0</v>
      </c>
      <c r="N228" t="n">
        <v>0</v>
      </c>
      <c r="O228" t="n">
        <v>0</v>
      </c>
      <c r="P228" t="n">
        <v>0</v>
      </c>
      <c r="Q228" t="n">
        <v>0</v>
      </c>
      <c r="R228" s="2" t="inlineStr"/>
    </row>
    <row r="229" ht="15" customHeight="1">
      <c r="A229" t="inlineStr">
        <is>
          <t>A 6579-2023</t>
        </is>
      </c>
      <c r="B229" s="1" t="n">
        <v>44960</v>
      </c>
      <c r="C229" s="1" t="n">
        <v>46000</v>
      </c>
      <c r="D229" t="inlineStr">
        <is>
          <t>DALARNAS LÄN</t>
        </is>
      </c>
      <c r="E229" t="inlineStr">
        <is>
          <t>LUDVIKA</t>
        </is>
      </c>
      <c r="G229" t="n">
        <v>3.4</v>
      </c>
      <c r="H229" t="n">
        <v>0</v>
      </c>
      <c r="I229" t="n">
        <v>0</v>
      </c>
      <c r="J229" t="n">
        <v>0</v>
      </c>
      <c r="K229" t="n">
        <v>0</v>
      </c>
      <c r="L229" t="n">
        <v>0</v>
      </c>
      <c r="M229" t="n">
        <v>0</v>
      </c>
      <c r="N229" t="n">
        <v>0</v>
      </c>
      <c r="O229" t="n">
        <v>0</v>
      </c>
      <c r="P229" t="n">
        <v>0</v>
      </c>
      <c r="Q229" t="n">
        <v>0</v>
      </c>
      <c r="R229" s="2" t="inlineStr"/>
    </row>
    <row r="230" ht="15" customHeight="1">
      <c r="A230" t="inlineStr">
        <is>
          <t>A 25644-2025</t>
        </is>
      </c>
      <c r="B230" s="1" t="n">
        <v>45803</v>
      </c>
      <c r="C230" s="1" t="n">
        <v>46000</v>
      </c>
      <c r="D230" t="inlineStr">
        <is>
          <t>DALARNAS LÄN</t>
        </is>
      </c>
      <c r="E230" t="inlineStr">
        <is>
          <t>LUDVIKA</t>
        </is>
      </c>
      <c r="F230" t="inlineStr">
        <is>
          <t>Bergvik skog väst AB</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25627-2025</t>
        </is>
      </c>
      <c r="B231" s="1" t="n">
        <v>45803</v>
      </c>
      <c r="C231" s="1" t="n">
        <v>46000</v>
      </c>
      <c r="D231" t="inlineStr">
        <is>
          <t>DALARNAS LÄN</t>
        </is>
      </c>
      <c r="E231" t="inlineStr">
        <is>
          <t>LUDVIKA</t>
        </is>
      </c>
      <c r="F231" t="inlineStr">
        <is>
          <t>Bergvik skog väst AB</t>
        </is>
      </c>
      <c r="G231" t="n">
        <v>7.7</v>
      </c>
      <c r="H231" t="n">
        <v>0</v>
      </c>
      <c r="I231" t="n">
        <v>0</v>
      </c>
      <c r="J231" t="n">
        <v>0</v>
      </c>
      <c r="K231" t="n">
        <v>0</v>
      </c>
      <c r="L231" t="n">
        <v>0</v>
      </c>
      <c r="M231" t="n">
        <v>0</v>
      </c>
      <c r="N231" t="n">
        <v>0</v>
      </c>
      <c r="O231" t="n">
        <v>0</v>
      </c>
      <c r="P231" t="n">
        <v>0</v>
      </c>
      <c r="Q231" t="n">
        <v>0</v>
      </c>
      <c r="R231" s="2" t="inlineStr"/>
    </row>
    <row r="232" ht="15" customHeight="1">
      <c r="A232" t="inlineStr">
        <is>
          <t>A 25140-2025</t>
        </is>
      </c>
      <c r="B232" s="1" t="n">
        <v>45800</v>
      </c>
      <c r="C232" s="1" t="n">
        <v>46000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25133-2025</t>
        </is>
      </c>
      <c r="B233" s="1" t="n">
        <v>45800</v>
      </c>
      <c r="C233" s="1" t="n">
        <v>46000</v>
      </c>
      <c r="D233" t="inlineStr">
        <is>
          <t>DALARNAS LÄN</t>
        </is>
      </c>
      <c r="E233" t="inlineStr">
        <is>
          <t>LUDVIKA</t>
        </is>
      </c>
      <c r="G233" t="n">
        <v>4.1</v>
      </c>
      <c r="H233" t="n">
        <v>0</v>
      </c>
      <c r="I233" t="n">
        <v>0</v>
      </c>
      <c r="J233" t="n">
        <v>0</v>
      </c>
      <c r="K233" t="n">
        <v>0</v>
      </c>
      <c r="L233" t="n">
        <v>0</v>
      </c>
      <c r="M233" t="n">
        <v>0</v>
      </c>
      <c r="N233" t="n">
        <v>0</v>
      </c>
      <c r="O233" t="n">
        <v>0</v>
      </c>
      <c r="P233" t="n">
        <v>0</v>
      </c>
      <c r="Q233" t="n">
        <v>0</v>
      </c>
      <c r="R233" s="2" t="inlineStr"/>
    </row>
    <row r="234" ht="15" customHeight="1">
      <c r="A234" t="inlineStr">
        <is>
          <t>A 8703-2023</t>
        </is>
      </c>
      <c r="B234" s="1" t="n">
        <v>44978</v>
      </c>
      <c r="C234" s="1" t="n">
        <v>46000</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57247-2024</t>
        </is>
      </c>
      <c r="B235" s="1" t="n">
        <v>45629.55177083334</v>
      </c>
      <c r="C235" s="1" t="n">
        <v>46000</v>
      </c>
      <c r="D235" t="inlineStr">
        <is>
          <t>DALARNAS LÄN</t>
        </is>
      </c>
      <c r="E235" t="inlineStr">
        <is>
          <t>LUDVIKA</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57310-2024</t>
        </is>
      </c>
      <c r="B236" s="1" t="n">
        <v>45629.60636574074</v>
      </c>
      <c r="C236" s="1" t="n">
        <v>46000</v>
      </c>
      <c r="D236" t="inlineStr">
        <is>
          <t>DALARNAS LÄN</t>
        </is>
      </c>
      <c r="E236" t="inlineStr">
        <is>
          <t>LUDVIKA</t>
        </is>
      </c>
      <c r="F236" t="inlineStr">
        <is>
          <t>Naturvårdsverket</t>
        </is>
      </c>
      <c r="G236" t="n">
        <v>1.4</v>
      </c>
      <c r="H236" t="n">
        <v>0</v>
      </c>
      <c r="I236" t="n">
        <v>0</v>
      </c>
      <c r="J236" t="n">
        <v>0</v>
      </c>
      <c r="K236" t="n">
        <v>0</v>
      </c>
      <c r="L236" t="n">
        <v>0</v>
      </c>
      <c r="M236" t="n">
        <v>0</v>
      </c>
      <c r="N236" t="n">
        <v>0</v>
      </c>
      <c r="O236" t="n">
        <v>0</v>
      </c>
      <c r="P236" t="n">
        <v>0</v>
      </c>
      <c r="Q236" t="n">
        <v>0</v>
      </c>
      <c r="R236" s="2" t="inlineStr"/>
    </row>
    <row r="237" ht="15" customHeight="1">
      <c r="A237" t="inlineStr">
        <is>
          <t>A 25277-2025</t>
        </is>
      </c>
      <c r="B237" s="1" t="n">
        <v>45800</v>
      </c>
      <c r="C237" s="1" t="n">
        <v>46000</v>
      </c>
      <c r="D237" t="inlineStr">
        <is>
          <t>DALARNAS LÄN</t>
        </is>
      </c>
      <c r="E237" t="inlineStr">
        <is>
          <t>LUDVIKA</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25296-2022</t>
        </is>
      </c>
      <c r="B238" s="1" t="n">
        <v>44730.98890046297</v>
      </c>
      <c r="C238" s="1" t="n">
        <v>46000</v>
      </c>
      <c r="D238" t="inlineStr">
        <is>
          <t>DALARNAS LÄN</t>
        </is>
      </c>
      <c r="E238" t="inlineStr">
        <is>
          <t>LUDVIKA</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23103-2024</t>
        </is>
      </c>
      <c r="B239" s="1" t="n">
        <v>45450</v>
      </c>
      <c r="C239" s="1" t="n">
        <v>46000</v>
      </c>
      <c r="D239" t="inlineStr">
        <is>
          <t>DALARNAS LÄN</t>
        </is>
      </c>
      <c r="E239" t="inlineStr">
        <is>
          <t>LUDVIKA</t>
        </is>
      </c>
      <c r="G239" t="n">
        <v>0.6</v>
      </c>
      <c r="H239" t="n">
        <v>0</v>
      </c>
      <c r="I239" t="n">
        <v>0</v>
      </c>
      <c r="J239" t="n">
        <v>0</v>
      </c>
      <c r="K239" t="n">
        <v>0</v>
      </c>
      <c r="L239" t="n">
        <v>0</v>
      </c>
      <c r="M239" t="n">
        <v>0</v>
      </c>
      <c r="N239" t="n">
        <v>0</v>
      </c>
      <c r="O239" t="n">
        <v>0</v>
      </c>
      <c r="P239" t="n">
        <v>0</v>
      </c>
      <c r="Q239" t="n">
        <v>0</v>
      </c>
      <c r="R239" s="2" t="inlineStr"/>
    </row>
    <row r="240" ht="15" customHeight="1">
      <c r="A240" t="inlineStr">
        <is>
          <t>A 31702-2023</t>
        </is>
      </c>
      <c r="B240" s="1" t="n">
        <v>45105</v>
      </c>
      <c r="C240" s="1" t="n">
        <v>46000</v>
      </c>
      <c r="D240" t="inlineStr">
        <is>
          <t>DALARNAS LÄN</t>
        </is>
      </c>
      <c r="E240" t="inlineStr">
        <is>
          <t>LUDVIKA</t>
        </is>
      </c>
      <c r="G240" t="n">
        <v>2.3</v>
      </c>
      <c r="H240" t="n">
        <v>0</v>
      </c>
      <c r="I240" t="n">
        <v>0</v>
      </c>
      <c r="J240" t="n">
        <v>0</v>
      </c>
      <c r="K240" t="n">
        <v>0</v>
      </c>
      <c r="L240" t="n">
        <v>0</v>
      </c>
      <c r="M240" t="n">
        <v>0</v>
      </c>
      <c r="N240" t="n">
        <v>0</v>
      </c>
      <c r="O240" t="n">
        <v>0</v>
      </c>
      <c r="P240" t="n">
        <v>0</v>
      </c>
      <c r="Q240" t="n">
        <v>0</v>
      </c>
      <c r="R240" s="2" t="inlineStr"/>
    </row>
    <row r="241" ht="15" customHeight="1">
      <c r="A241" t="inlineStr">
        <is>
          <t>A 25113-2025</t>
        </is>
      </c>
      <c r="B241" s="1" t="n">
        <v>45800</v>
      </c>
      <c r="C241" s="1" t="n">
        <v>46000</v>
      </c>
      <c r="D241" t="inlineStr">
        <is>
          <t>DALARNAS LÄN</t>
        </is>
      </c>
      <c r="E241" t="inlineStr">
        <is>
          <t>LUDVIKA</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59448-2024</t>
        </is>
      </c>
      <c r="B242" s="1" t="n">
        <v>45638.46208333333</v>
      </c>
      <c r="C242" s="1" t="n">
        <v>46000</v>
      </c>
      <c r="D242" t="inlineStr">
        <is>
          <t>DALARNAS LÄN</t>
        </is>
      </c>
      <c r="E242" t="inlineStr">
        <is>
          <t>LUDVIKA</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25235-2025</t>
        </is>
      </c>
      <c r="B243" s="1" t="n">
        <v>45800</v>
      </c>
      <c r="C243" s="1" t="n">
        <v>46000</v>
      </c>
      <c r="D243" t="inlineStr">
        <is>
          <t>DALARNAS LÄN</t>
        </is>
      </c>
      <c r="E243" t="inlineStr">
        <is>
          <t>LUDVIKA</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25150-2025</t>
        </is>
      </c>
      <c r="B244" s="1" t="n">
        <v>45800</v>
      </c>
      <c r="C244" s="1" t="n">
        <v>46000</v>
      </c>
      <c r="D244" t="inlineStr">
        <is>
          <t>DALARNAS LÄN</t>
        </is>
      </c>
      <c r="E244" t="inlineStr">
        <is>
          <t>LUDVIKA</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25157-2025</t>
        </is>
      </c>
      <c r="B245" s="1" t="n">
        <v>45800</v>
      </c>
      <c r="C245" s="1" t="n">
        <v>46000</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41269-2025</t>
        </is>
      </c>
      <c r="B246" s="1" t="n">
        <v>45898</v>
      </c>
      <c r="C246" s="1" t="n">
        <v>46000</v>
      </c>
      <c r="D246" t="inlineStr">
        <is>
          <t>DALARNAS LÄN</t>
        </is>
      </c>
      <c r="E246" t="inlineStr">
        <is>
          <t>LUDVIKA</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41099-2025</t>
        </is>
      </c>
      <c r="B247" s="1" t="n">
        <v>45898</v>
      </c>
      <c r="C247" s="1" t="n">
        <v>46000</v>
      </c>
      <c r="D247" t="inlineStr">
        <is>
          <t>DALARNAS LÄN</t>
        </is>
      </c>
      <c r="E247" t="inlineStr">
        <is>
          <t>LUDVIKA</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57193-2022</t>
        </is>
      </c>
      <c r="B248" s="1" t="n">
        <v>44895</v>
      </c>
      <c r="C248" s="1" t="n">
        <v>46000</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41394-2025</t>
        </is>
      </c>
      <c r="B249" s="1" t="n">
        <v>45901.31774305556</v>
      </c>
      <c r="C249" s="1" t="n">
        <v>46000</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41249-2025</t>
        </is>
      </c>
      <c r="B250" s="1" t="n">
        <v>45898</v>
      </c>
      <c r="C250" s="1" t="n">
        <v>46000</v>
      </c>
      <c r="D250" t="inlineStr">
        <is>
          <t>DALARNAS LÄN</t>
        </is>
      </c>
      <c r="E250" t="inlineStr">
        <is>
          <t>LUDVIKA</t>
        </is>
      </c>
      <c r="F250" t="inlineStr">
        <is>
          <t>Bergvik skog väst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41254-2025</t>
        </is>
      </c>
      <c r="B251" s="1" t="n">
        <v>45898.60778935185</v>
      </c>
      <c r="C251" s="1" t="n">
        <v>46000</v>
      </c>
      <c r="D251" t="inlineStr">
        <is>
          <t>DALARNAS LÄN</t>
        </is>
      </c>
      <c r="E251" t="inlineStr">
        <is>
          <t>LUDVIKA</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48740-2022</t>
        </is>
      </c>
      <c r="B252" s="1" t="n">
        <v>44859</v>
      </c>
      <c r="C252" s="1" t="n">
        <v>46000</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22807-2025</t>
        </is>
      </c>
      <c r="B253" s="1" t="n">
        <v>45789.67512731482</v>
      </c>
      <c r="C253" s="1" t="n">
        <v>46000</v>
      </c>
      <c r="D253" t="inlineStr">
        <is>
          <t>DALARNAS LÄN</t>
        </is>
      </c>
      <c r="E253" t="inlineStr">
        <is>
          <t>LUDVIKA</t>
        </is>
      </c>
      <c r="G253" t="n">
        <v>4.2</v>
      </c>
      <c r="H253" t="n">
        <v>0</v>
      </c>
      <c r="I253" t="n">
        <v>0</v>
      </c>
      <c r="J253" t="n">
        <v>0</v>
      </c>
      <c r="K253" t="n">
        <v>0</v>
      </c>
      <c r="L253" t="n">
        <v>0</v>
      </c>
      <c r="M253" t="n">
        <v>0</v>
      </c>
      <c r="N253" t="n">
        <v>0</v>
      </c>
      <c r="O253" t="n">
        <v>0</v>
      </c>
      <c r="P253" t="n">
        <v>0</v>
      </c>
      <c r="Q253" t="n">
        <v>0</v>
      </c>
      <c r="R253" s="2" t="inlineStr"/>
    </row>
    <row r="254" ht="15" customHeight="1">
      <c r="A254" t="inlineStr">
        <is>
          <t>A 49669-2024</t>
        </is>
      </c>
      <c r="B254" s="1" t="n">
        <v>45596.65178240741</v>
      </c>
      <c r="C254" s="1" t="n">
        <v>46000</v>
      </c>
      <c r="D254" t="inlineStr">
        <is>
          <t>DALARNAS LÄN</t>
        </is>
      </c>
      <c r="E254" t="inlineStr">
        <is>
          <t>LUDVIKA</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41109-2025</t>
        </is>
      </c>
      <c r="B255" s="1" t="n">
        <v>45898</v>
      </c>
      <c r="C255" s="1" t="n">
        <v>46000</v>
      </c>
      <c r="D255" t="inlineStr">
        <is>
          <t>DALARNAS LÄN</t>
        </is>
      </c>
      <c r="E255" t="inlineStr">
        <is>
          <t>LUDVIKA</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26150-2025</t>
        </is>
      </c>
      <c r="B256" s="1" t="n">
        <v>45805</v>
      </c>
      <c r="C256" s="1" t="n">
        <v>46000</v>
      </c>
      <c r="D256" t="inlineStr">
        <is>
          <t>DALARNAS LÄN</t>
        </is>
      </c>
      <c r="E256" t="inlineStr">
        <is>
          <t>LUDVIKA</t>
        </is>
      </c>
      <c r="F256" t="inlineStr">
        <is>
          <t>Bergvik skog väst AB</t>
        </is>
      </c>
      <c r="G256" t="n">
        <v>3.9</v>
      </c>
      <c r="H256" t="n">
        <v>0</v>
      </c>
      <c r="I256" t="n">
        <v>0</v>
      </c>
      <c r="J256" t="n">
        <v>0</v>
      </c>
      <c r="K256" t="n">
        <v>0</v>
      </c>
      <c r="L256" t="n">
        <v>0</v>
      </c>
      <c r="M256" t="n">
        <v>0</v>
      </c>
      <c r="N256" t="n">
        <v>0</v>
      </c>
      <c r="O256" t="n">
        <v>0</v>
      </c>
      <c r="P256" t="n">
        <v>0</v>
      </c>
      <c r="Q256" t="n">
        <v>0</v>
      </c>
      <c r="R256" s="2" t="inlineStr"/>
    </row>
    <row r="257" ht="15" customHeight="1">
      <c r="A257" t="inlineStr">
        <is>
          <t>A 11237-2024</t>
        </is>
      </c>
      <c r="B257" s="1" t="n">
        <v>45371.61341435185</v>
      </c>
      <c r="C257" s="1" t="n">
        <v>46000</v>
      </c>
      <c r="D257" t="inlineStr">
        <is>
          <t>DALARNAS LÄN</t>
        </is>
      </c>
      <c r="E257" t="inlineStr">
        <is>
          <t>LUDVIKA</t>
        </is>
      </c>
      <c r="G257" t="n">
        <v>20.8</v>
      </c>
      <c r="H257" t="n">
        <v>0</v>
      </c>
      <c r="I257" t="n">
        <v>0</v>
      </c>
      <c r="J257" t="n">
        <v>0</v>
      </c>
      <c r="K257" t="n">
        <v>0</v>
      </c>
      <c r="L257" t="n">
        <v>0</v>
      </c>
      <c r="M257" t="n">
        <v>0</v>
      </c>
      <c r="N257" t="n">
        <v>0</v>
      </c>
      <c r="O257" t="n">
        <v>0</v>
      </c>
      <c r="P257" t="n">
        <v>0</v>
      </c>
      <c r="Q257" t="n">
        <v>0</v>
      </c>
      <c r="R257" s="2" t="inlineStr"/>
    </row>
    <row r="258" ht="15" customHeight="1">
      <c r="A258" t="inlineStr">
        <is>
          <t>A 41900-2025</t>
        </is>
      </c>
      <c r="B258" s="1" t="n">
        <v>45903.39708333334</v>
      </c>
      <c r="C258" s="1" t="n">
        <v>46000</v>
      </c>
      <c r="D258" t="inlineStr">
        <is>
          <t>DALARNAS LÄN</t>
        </is>
      </c>
      <c r="E258" t="inlineStr">
        <is>
          <t>LUDVIKA</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41916-2025</t>
        </is>
      </c>
      <c r="B259" s="1" t="n">
        <v>45903.41763888889</v>
      </c>
      <c r="C259" s="1" t="n">
        <v>46000</v>
      </c>
      <c r="D259" t="inlineStr">
        <is>
          <t>DALARNAS LÄN</t>
        </is>
      </c>
      <c r="E259" t="inlineStr">
        <is>
          <t>LUDVIKA</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26320-2025</t>
        </is>
      </c>
      <c r="B260" s="1" t="n">
        <v>45805.65954861111</v>
      </c>
      <c r="C260" s="1" t="n">
        <v>46000</v>
      </c>
      <c r="D260" t="inlineStr">
        <is>
          <t>DALARNAS LÄN</t>
        </is>
      </c>
      <c r="E260" t="inlineStr">
        <is>
          <t>LUDVIKA</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26433-2025</t>
        </is>
      </c>
      <c r="B261" s="1" t="n">
        <v>45807.39702546296</v>
      </c>
      <c r="C261" s="1" t="n">
        <v>46000</v>
      </c>
      <c r="D261" t="inlineStr">
        <is>
          <t>DALARNAS LÄN</t>
        </is>
      </c>
      <c r="E261" t="inlineStr">
        <is>
          <t>LUDVIKA</t>
        </is>
      </c>
      <c r="G261" t="n">
        <v>0.6</v>
      </c>
      <c r="H261" t="n">
        <v>0</v>
      </c>
      <c r="I261" t="n">
        <v>0</v>
      </c>
      <c r="J261" t="n">
        <v>0</v>
      </c>
      <c r="K261" t="n">
        <v>0</v>
      </c>
      <c r="L261" t="n">
        <v>0</v>
      </c>
      <c r="M261" t="n">
        <v>0</v>
      </c>
      <c r="N261" t="n">
        <v>0</v>
      </c>
      <c r="O261" t="n">
        <v>0</v>
      </c>
      <c r="P261" t="n">
        <v>0</v>
      </c>
      <c r="Q261" t="n">
        <v>0</v>
      </c>
      <c r="R261" s="2" t="inlineStr"/>
    </row>
    <row r="262" ht="15" customHeight="1">
      <c r="A262" t="inlineStr">
        <is>
          <t>A 41890-2025</t>
        </is>
      </c>
      <c r="B262" s="1" t="n">
        <v>45903</v>
      </c>
      <c r="C262" s="1" t="n">
        <v>46000</v>
      </c>
      <c r="D262" t="inlineStr">
        <is>
          <t>DALARNAS LÄN</t>
        </is>
      </c>
      <c r="E262" t="inlineStr">
        <is>
          <t>LUDVIKA</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41731-2025</t>
        </is>
      </c>
      <c r="B263" s="1" t="n">
        <v>45902</v>
      </c>
      <c r="C263" s="1" t="n">
        <v>46000</v>
      </c>
      <c r="D263" t="inlineStr">
        <is>
          <t>DALARNAS LÄN</t>
        </is>
      </c>
      <c r="E263" t="inlineStr">
        <is>
          <t>LUDVIKA</t>
        </is>
      </c>
      <c r="F263" t="inlineStr">
        <is>
          <t>Bergvik skog väst AB</t>
        </is>
      </c>
      <c r="G263" t="n">
        <v>4.6</v>
      </c>
      <c r="H263" t="n">
        <v>0</v>
      </c>
      <c r="I263" t="n">
        <v>0</v>
      </c>
      <c r="J263" t="n">
        <v>0</v>
      </c>
      <c r="K263" t="n">
        <v>0</v>
      </c>
      <c r="L263" t="n">
        <v>0</v>
      </c>
      <c r="M263" t="n">
        <v>0</v>
      </c>
      <c r="N263" t="n">
        <v>0</v>
      </c>
      <c r="O263" t="n">
        <v>0</v>
      </c>
      <c r="P263" t="n">
        <v>0</v>
      </c>
      <c r="Q263" t="n">
        <v>0</v>
      </c>
      <c r="R263" s="2" t="inlineStr"/>
    </row>
    <row r="264" ht="15" customHeight="1">
      <c r="A264" t="inlineStr">
        <is>
          <t>A 41866-2025</t>
        </is>
      </c>
      <c r="B264" s="1" t="n">
        <v>45903</v>
      </c>
      <c r="C264" s="1" t="n">
        <v>46000</v>
      </c>
      <c r="D264" t="inlineStr">
        <is>
          <t>DALARNAS LÄN</t>
        </is>
      </c>
      <c r="E264" t="inlineStr">
        <is>
          <t>LUDVIKA</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42005-2025</t>
        </is>
      </c>
      <c r="B265" s="1" t="n">
        <v>45903.55486111111</v>
      </c>
      <c r="C265" s="1" t="n">
        <v>46000</v>
      </c>
      <c r="D265" t="inlineStr">
        <is>
          <t>DALARNAS LÄN</t>
        </is>
      </c>
      <c r="E265" t="inlineStr">
        <is>
          <t>LUDVIKA</t>
        </is>
      </c>
      <c r="F265" t="inlineStr">
        <is>
          <t>Bergvik skog väst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36862-2021</t>
        </is>
      </c>
      <c r="B266" s="1" t="n">
        <v>44393</v>
      </c>
      <c r="C266" s="1" t="n">
        <v>46000</v>
      </c>
      <c r="D266" t="inlineStr">
        <is>
          <t>DALARNAS LÄN</t>
        </is>
      </c>
      <c r="E266" t="inlineStr">
        <is>
          <t>LUDVIKA</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26942-2025</t>
        </is>
      </c>
      <c r="B267" s="1" t="n">
        <v>45811.42434027778</v>
      </c>
      <c r="C267" s="1" t="n">
        <v>46000</v>
      </c>
      <c r="D267" t="inlineStr">
        <is>
          <t>DALARNAS LÄN</t>
        </is>
      </c>
      <c r="E267" t="inlineStr">
        <is>
          <t>LUDVIKA</t>
        </is>
      </c>
      <c r="G267" t="n">
        <v>1.5</v>
      </c>
      <c r="H267" t="n">
        <v>0</v>
      </c>
      <c r="I267" t="n">
        <v>0</v>
      </c>
      <c r="J267" t="n">
        <v>0</v>
      </c>
      <c r="K267" t="n">
        <v>0</v>
      </c>
      <c r="L267" t="n">
        <v>0</v>
      </c>
      <c r="M267" t="n">
        <v>0</v>
      </c>
      <c r="N267" t="n">
        <v>0</v>
      </c>
      <c r="O267" t="n">
        <v>0</v>
      </c>
      <c r="P267" t="n">
        <v>0</v>
      </c>
      <c r="Q267" t="n">
        <v>0</v>
      </c>
      <c r="R267" s="2" t="inlineStr"/>
    </row>
    <row r="268" ht="15" customHeight="1">
      <c r="A268" t="inlineStr">
        <is>
          <t>A 29535-2023</t>
        </is>
      </c>
      <c r="B268" s="1" t="n">
        <v>45106</v>
      </c>
      <c r="C268" s="1" t="n">
        <v>46000</v>
      </c>
      <c r="D268" t="inlineStr">
        <is>
          <t>DALARNAS LÄN</t>
        </is>
      </c>
      <c r="E268" t="inlineStr">
        <is>
          <t>LUDVIKA</t>
        </is>
      </c>
      <c r="G268" t="n">
        <v>2.8</v>
      </c>
      <c r="H268" t="n">
        <v>0</v>
      </c>
      <c r="I268" t="n">
        <v>0</v>
      </c>
      <c r="J268" t="n">
        <v>0</v>
      </c>
      <c r="K268" t="n">
        <v>0</v>
      </c>
      <c r="L268" t="n">
        <v>0</v>
      </c>
      <c r="M268" t="n">
        <v>0</v>
      </c>
      <c r="N268" t="n">
        <v>0</v>
      </c>
      <c r="O268" t="n">
        <v>0</v>
      </c>
      <c r="P268" t="n">
        <v>0</v>
      </c>
      <c r="Q268" t="n">
        <v>0</v>
      </c>
      <c r="R268" s="2" t="inlineStr"/>
    </row>
    <row r="269" ht="15" customHeight="1">
      <c r="A269" t="inlineStr">
        <is>
          <t>A 26698-2025</t>
        </is>
      </c>
      <c r="B269" s="1" t="n">
        <v>45810.44368055555</v>
      </c>
      <c r="C269" s="1" t="n">
        <v>46000</v>
      </c>
      <c r="D269" t="inlineStr">
        <is>
          <t>DALARNAS LÄN</t>
        </is>
      </c>
      <c r="E269" t="inlineStr">
        <is>
          <t>LUDVIKA</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41828-2025</t>
        </is>
      </c>
      <c r="B270" s="1" t="n">
        <v>45902.67721064815</v>
      </c>
      <c r="C270" s="1" t="n">
        <v>46000</v>
      </c>
      <c r="D270" t="inlineStr">
        <is>
          <t>DALARNAS LÄN</t>
        </is>
      </c>
      <c r="E270" t="inlineStr">
        <is>
          <t>LUDVIKA</t>
        </is>
      </c>
      <c r="G270" t="n">
        <v>1.7</v>
      </c>
      <c r="H270" t="n">
        <v>0</v>
      </c>
      <c r="I270" t="n">
        <v>0</v>
      </c>
      <c r="J270" t="n">
        <v>0</v>
      </c>
      <c r="K270" t="n">
        <v>0</v>
      </c>
      <c r="L270" t="n">
        <v>0</v>
      </c>
      <c r="M270" t="n">
        <v>0</v>
      </c>
      <c r="N270" t="n">
        <v>0</v>
      </c>
      <c r="O270" t="n">
        <v>0</v>
      </c>
      <c r="P270" t="n">
        <v>0</v>
      </c>
      <c r="Q270" t="n">
        <v>0</v>
      </c>
      <c r="R270" s="2" t="inlineStr"/>
    </row>
    <row r="271" ht="15" customHeight="1">
      <c r="A271" t="inlineStr">
        <is>
          <t>A 41848-2025</t>
        </is>
      </c>
      <c r="B271" s="1" t="n">
        <v>45902.78278935186</v>
      </c>
      <c r="C271" s="1" t="n">
        <v>46000</v>
      </c>
      <c r="D271" t="inlineStr">
        <is>
          <t>DALARNAS LÄN</t>
        </is>
      </c>
      <c r="E271" t="inlineStr">
        <is>
          <t>LUDVIKA</t>
        </is>
      </c>
      <c r="G271" t="n">
        <v>2.9</v>
      </c>
      <c r="H271" t="n">
        <v>0</v>
      </c>
      <c r="I271" t="n">
        <v>0</v>
      </c>
      <c r="J271" t="n">
        <v>0</v>
      </c>
      <c r="K271" t="n">
        <v>0</v>
      </c>
      <c r="L271" t="n">
        <v>0</v>
      </c>
      <c r="M271" t="n">
        <v>0</v>
      </c>
      <c r="N271" t="n">
        <v>0</v>
      </c>
      <c r="O271" t="n">
        <v>0</v>
      </c>
      <c r="P271" t="n">
        <v>0</v>
      </c>
      <c r="Q271" t="n">
        <v>0</v>
      </c>
      <c r="R271" s="2" t="inlineStr"/>
    </row>
    <row r="272" ht="15" customHeight="1">
      <c r="A272" t="inlineStr">
        <is>
          <t>A 36338-2025</t>
        </is>
      </c>
      <c r="B272" s="1" t="n">
        <v>45868.4570949074</v>
      </c>
      <c r="C272" s="1" t="n">
        <v>46000</v>
      </c>
      <c r="D272" t="inlineStr">
        <is>
          <t>DALARNAS LÄN</t>
        </is>
      </c>
      <c r="E272" t="inlineStr">
        <is>
          <t>LUDVIKA</t>
        </is>
      </c>
      <c r="G272" t="n">
        <v>0.2</v>
      </c>
      <c r="H272" t="n">
        <v>0</v>
      </c>
      <c r="I272" t="n">
        <v>0</v>
      </c>
      <c r="J272" t="n">
        <v>0</v>
      </c>
      <c r="K272" t="n">
        <v>0</v>
      </c>
      <c r="L272" t="n">
        <v>0</v>
      </c>
      <c r="M272" t="n">
        <v>0</v>
      </c>
      <c r="N272" t="n">
        <v>0</v>
      </c>
      <c r="O272" t="n">
        <v>0</v>
      </c>
      <c r="P272" t="n">
        <v>0</v>
      </c>
      <c r="Q272" t="n">
        <v>0</v>
      </c>
      <c r="R272" s="2" t="inlineStr"/>
    </row>
    <row r="273" ht="15" customHeight="1">
      <c r="A273" t="inlineStr">
        <is>
          <t>A 26719-2025</t>
        </is>
      </c>
      <c r="B273" s="1" t="n">
        <v>45810</v>
      </c>
      <c r="C273" s="1" t="n">
        <v>46000</v>
      </c>
      <c r="D273" t="inlineStr">
        <is>
          <t>DALARNAS LÄN</t>
        </is>
      </c>
      <c r="E273" t="inlineStr">
        <is>
          <t>LUDVIKA</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16807-2025</t>
        </is>
      </c>
      <c r="B274" s="1" t="n">
        <v>45754</v>
      </c>
      <c r="C274" s="1" t="n">
        <v>46000</v>
      </c>
      <c r="D274" t="inlineStr">
        <is>
          <t>DALARNAS LÄN</t>
        </is>
      </c>
      <c r="E274" t="inlineStr">
        <is>
          <t>LUDVIKA</t>
        </is>
      </c>
      <c r="F274" t="inlineStr">
        <is>
          <t>Naturvårdsverket</t>
        </is>
      </c>
      <c r="G274" t="n">
        <v>0.6</v>
      </c>
      <c r="H274" t="n">
        <v>0</v>
      </c>
      <c r="I274" t="n">
        <v>0</v>
      </c>
      <c r="J274" t="n">
        <v>0</v>
      </c>
      <c r="K274" t="n">
        <v>0</v>
      </c>
      <c r="L274" t="n">
        <v>0</v>
      </c>
      <c r="M274" t="n">
        <v>0</v>
      </c>
      <c r="N274" t="n">
        <v>0</v>
      </c>
      <c r="O274" t="n">
        <v>0</v>
      </c>
      <c r="P274" t="n">
        <v>0</v>
      </c>
      <c r="Q274" t="n">
        <v>0</v>
      </c>
      <c r="R274" s="2" t="inlineStr"/>
    </row>
    <row r="275" ht="15" customHeight="1">
      <c r="A275" t="inlineStr">
        <is>
          <t>A 26794-2025</t>
        </is>
      </c>
      <c r="B275" s="1" t="n">
        <v>45810.59527777778</v>
      </c>
      <c r="C275" s="1" t="n">
        <v>46000</v>
      </c>
      <c r="D275" t="inlineStr">
        <is>
          <t>DALARNAS LÄN</t>
        </is>
      </c>
      <c r="E275" t="inlineStr">
        <is>
          <t>LUDVIKA</t>
        </is>
      </c>
      <c r="F275" t="inlineStr">
        <is>
          <t>Kommuner</t>
        </is>
      </c>
      <c r="G275" t="n">
        <v>3.1</v>
      </c>
      <c r="H275" t="n">
        <v>0</v>
      </c>
      <c r="I275" t="n">
        <v>0</v>
      </c>
      <c r="J275" t="n">
        <v>0</v>
      </c>
      <c r="K275" t="n">
        <v>0</v>
      </c>
      <c r="L275" t="n">
        <v>0</v>
      </c>
      <c r="M275" t="n">
        <v>0</v>
      </c>
      <c r="N275" t="n">
        <v>0</v>
      </c>
      <c r="O275" t="n">
        <v>0</v>
      </c>
      <c r="P275" t="n">
        <v>0</v>
      </c>
      <c r="Q275" t="n">
        <v>0</v>
      </c>
      <c r="R275" s="2" t="inlineStr"/>
    </row>
    <row r="276" ht="15" customHeight="1">
      <c r="A276" t="inlineStr">
        <is>
          <t>A 8172-2024</t>
        </is>
      </c>
      <c r="B276" s="1" t="n">
        <v>45349</v>
      </c>
      <c r="C276" s="1" t="n">
        <v>46000</v>
      </c>
      <c r="D276" t="inlineStr">
        <is>
          <t>DALARNAS LÄN</t>
        </is>
      </c>
      <c r="E276" t="inlineStr">
        <is>
          <t>LUDVIKA</t>
        </is>
      </c>
      <c r="F276" t="inlineStr">
        <is>
          <t>Allmännings- och besparingsskogar</t>
        </is>
      </c>
      <c r="G276" t="n">
        <v>2</v>
      </c>
      <c r="H276" t="n">
        <v>0</v>
      </c>
      <c r="I276" t="n">
        <v>0</v>
      </c>
      <c r="J276" t="n">
        <v>0</v>
      </c>
      <c r="K276" t="n">
        <v>0</v>
      </c>
      <c r="L276" t="n">
        <v>0</v>
      </c>
      <c r="M276" t="n">
        <v>0</v>
      </c>
      <c r="N276" t="n">
        <v>0</v>
      </c>
      <c r="O276" t="n">
        <v>0</v>
      </c>
      <c r="P276" t="n">
        <v>0</v>
      </c>
      <c r="Q276" t="n">
        <v>0</v>
      </c>
      <c r="R276" s="2" t="inlineStr"/>
    </row>
    <row r="277" ht="15" customHeight="1">
      <c r="A277" t="inlineStr">
        <is>
          <t>A 8175-2024</t>
        </is>
      </c>
      <c r="B277" s="1" t="n">
        <v>45349</v>
      </c>
      <c r="C277" s="1" t="n">
        <v>46000</v>
      </c>
      <c r="D277" t="inlineStr">
        <is>
          <t>DALARNAS LÄN</t>
        </is>
      </c>
      <c r="E277" t="inlineStr">
        <is>
          <t>LUDVIKA</t>
        </is>
      </c>
      <c r="F277" t="inlineStr">
        <is>
          <t>Allmännings- och besparingsskogar</t>
        </is>
      </c>
      <c r="G277" t="n">
        <v>3.8</v>
      </c>
      <c r="H277" t="n">
        <v>0</v>
      </c>
      <c r="I277" t="n">
        <v>0</v>
      </c>
      <c r="J277" t="n">
        <v>0</v>
      </c>
      <c r="K277" t="n">
        <v>0</v>
      </c>
      <c r="L277" t="n">
        <v>0</v>
      </c>
      <c r="M277" t="n">
        <v>0</v>
      </c>
      <c r="N277" t="n">
        <v>0</v>
      </c>
      <c r="O277" t="n">
        <v>0</v>
      </c>
      <c r="P277" t="n">
        <v>0</v>
      </c>
      <c r="Q277" t="n">
        <v>0</v>
      </c>
      <c r="R277" s="2" t="inlineStr"/>
    </row>
    <row r="278" ht="15" customHeight="1">
      <c r="A278" t="inlineStr">
        <is>
          <t>A 26628-2025</t>
        </is>
      </c>
      <c r="B278" s="1" t="n">
        <v>45810.34362268518</v>
      </c>
      <c r="C278" s="1" t="n">
        <v>46000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42337-2025</t>
        </is>
      </c>
      <c r="B279" s="1" t="n">
        <v>45904.70763888889</v>
      </c>
      <c r="C279" s="1" t="n">
        <v>46000</v>
      </c>
      <c r="D279" t="inlineStr">
        <is>
          <t>DALARNAS LÄN</t>
        </is>
      </c>
      <c r="E279" t="inlineStr">
        <is>
          <t>LUDVIKA</t>
        </is>
      </c>
      <c r="G279" t="n">
        <v>9.4</v>
      </c>
      <c r="H279" t="n">
        <v>0</v>
      </c>
      <c r="I279" t="n">
        <v>0</v>
      </c>
      <c r="J279" t="n">
        <v>0</v>
      </c>
      <c r="K279" t="n">
        <v>0</v>
      </c>
      <c r="L279" t="n">
        <v>0</v>
      </c>
      <c r="M279" t="n">
        <v>0</v>
      </c>
      <c r="N279" t="n">
        <v>0</v>
      </c>
      <c r="O279" t="n">
        <v>0</v>
      </c>
      <c r="P279" t="n">
        <v>0</v>
      </c>
      <c r="Q279" t="n">
        <v>0</v>
      </c>
      <c r="R279" s="2" t="inlineStr"/>
    </row>
    <row r="280" ht="15" customHeight="1">
      <c r="A280" t="inlineStr">
        <is>
          <t>A 42264-2025</t>
        </is>
      </c>
      <c r="B280" s="1" t="n">
        <v>45904.59947916667</v>
      </c>
      <c r="C280" s="1" t="n">
        <v>46000</v>
      </c>
      <c r="D280" t="inlineStr">
        <is>
          <t>DALARNAS LÄN</t>
        </is>
      </c>
      <c r="E280" t="inlineStr">
        <is>
          <t>LUDVIKA</t>
        </is>
      </c>
      <c r="F280" t="inlineStr">
        <is>
          <t>Bergvik skog väst AB</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42346-2025</t>
        </is>
      </c>
      <c r="B281" s="1" t="n">
        <v>45904.75224537037</v>
      </c>
      <c r="C281" s="1" t="n">
        <v>46000</v>
      </c>
      <c r="D281" t="inlineStr">
        <is>
          <t>DALARNAS LÄN</t>
        </is>
      </c>
      <c r="E281" t="inlineStr">
        <is>
          <t>LUDVIKA</t>
        </is>
      </c>
      <c r="G281" t="n">
        <v>3</v>
      </c>
      <c r="H281" t="n">
        <v>0</v>
      </c>
      <c r="I281" t="n">
        <v>0</v>
      </c>
      <c r="J281" t="n">
        <v>0</v>
      </c>
      <c r="K281" t="n">
        <v>0</v>
      </c>
      <c r="L281" t="n">
        <v>0</v>
      </c>
      <c r="M281" t="n">
        <v>0</v>
      </c>
      <c r="N281" t="n">
        <v>0</v>
      </c>
      <c r="O281" t="n">
        <v>0</v>
      </c>
      <c r="P281" t="n">
        <v>0</v>
      </c>
      <c r="Q281" t="n">
        <v>0</v>
      </c>
      <c r="R281" s="2" t="inlineStr"/>
    </row>
    <row r="282" ht="15" customHeight="1">
      <c r="A282" t="inlineStr">
        <is>
          <t>A 43700-2024</t>
        </is>
      </c>
      <c r="B282" s="1" t="n">
        <v>45569.59005787037</v>
      </c>
      <c r="C282" s="1" t="n">
        <v>46000</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27021-2025</t>
        </is>
      </c>
      <c r="B283" s="1" t="n">
        <v>45811.57329861111</v>
      </c>
      <c r="C283" s="1" t="n">
        <v>46000</v>
      </c>
      <c r="D283" t="inlineStr">
        <is>
          <t>DALARNAS LÄN</t>
        </is>
      </c>
      <c r="E283" t="inlineStr">
        <is>
          <t>LUDVIKA</t>
        </is>
      </c>
      <c r="G283" t="n">
        <v>3.5</v>
      </c>
      <c r="H283" t="n">
        <v>0</v>
      </c>
      <c r="I283" t="n">
        <v>0</v>
      </c>
      <c r="J283" t="n">
        <v>0</v>
      </c>
      <c r="K283" t="n">
        <v>0</v>
      </c>
      <c r="L283" t="n">
        <v>0</v>
      </c>
      <c r="M283" t="n">
        <v>0</v>
      </c>
      <c r="N283" t="n">
        <v>0</v>
      </c>
      <c r="O283" t="n">
        <v>0</v>
      </c>
      <c r="P283" t="n">
        <v>0</v>
      </c>
      <c r="Q283" t="n">
        <v>0</v>
      </c>
      <c r="R283" s="2" t="inlineStr"/>
    </row>
    <row r="284" ht="15" customHeight="1">
      <c r="A284" t="inlineStr">
        <is>
          <t>A 38170-2023</t>
        </is>
      </c>
      <c r="B284" s="1" t="n">
        <v>45161.42324074074</v>
      </c>
      <c r="C284" s="1" t="n">
        <v>46000</v>
      </c>
      <c r="D284" t="inlineStr">
        <is>
          <t>DALARNAS LÄN</t>
        </is>
      </c>
      <c r="E284" t="inlineStr">
        <is>
          <t>LUDVIKA</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27506-2025</t>
        </is>
      </c>
      <c r="B285" s="1" t="n">
        <v>45813</v>
      </c>
      <c r="C285" s="1" t="n">
        <v>46000</v>
      </c>
      <c r="D285" t="inlineStr">
        <is>
          <t>DALARNAS LÄN</t>
        </is>
      </c>
      <c r="E285" t="inlineStr">
        <is>
          <t>LUDVIKA</t>
        </is>
      </c>
      <c r="F285" t="inlineStr">
        <is>
          <t>Bergvik skog väst AB</t>
        </is>
      </c>
      <c r="G285" t="n">
        <v>2.1</v>
      </c>
      <c r="H285" t="n">
        <v>0</v>
      </c>
      <c r="I285" t="n">
        <v>0</v>
      </c>
      <c r="J285" t="n">
        <v>0</v>
      </c>
      <c r="K285" t="n">
        <v>0</v>
      </c>
      <c r="L285" t="n">
        <v>0</v>
      </c>
      <c r="M285" t="n">
        <v>0</v>
      </c>
      <c r="N285" t="n">
        <v>0</v>
      </c>
      <c r="O285" t="n">
        <v>0</v>
      </c>
      <c r="P285" t="n">
        <v>0</v>
      </c>
      <c r="Q285" t="n">
        <v>0</v>
      </c>
      <c r="R285" s="2" t="inlineStr"/>
    </row>
    <row r="286" ht="15" customHeight="1">
      <c r="A286" t="inlineStr">
        <is>
          <t>A 11611-2021</t>
        </is>
      </c>
      <c r="B286" s="1" t="n">
        <v>44264</v>
      </c>
      <c r="C286" s="1" t="n">
        <v>46000</v>
      </c>
      <c r="D286" t="inlineStr">
        <is>
          <t>DALARNAS LÄN</t>
        </is>
      </c>
      <c r="E286" t="inlineStr">
        <is>
          <t>LUDVIKA</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55472-2024</t>
        </is>
      </c>
      <c r="B287" s="1" t="n">
        <v>45622.43274305556</v>
      </c>
      <c r="C287" s="1" t="n">
        <v>46000</v>
      </c>
      <c r="D287" t="inlineStr">
        <is>
          <t>DALARNAS LÄN</t>
        </is>
      </c>
      <c r="E287" t="inlineStr">
        <is>
          <t>LUDVIKA</t>
        </is>
      </c>
      <c r="F287" t="inlineStr">
        <is>
          <t>Naturvårdsverket</t>
        </is>
      </c>
      <c r="G287" t="n">
        <v>1.5</v>
      </c>
      <c r="H287" t="n">
        <v>0</v>
      </c>
      <c r="I287" t="n">
        <v>0</v>
      </c>
      <c r="J287" t="n">
        <v>0</v>
      </c>
      <c r="K287" t="n">
        <v>0</v>
      </c>
      <c r="L287" t="n">
        <v>0</v>
      </c>
      <c r="M287" t="n">
        <v>0</v>
      </c>
      <c r="N287" t="n">
        <v>0</v>
      </c>
      <c r="O287" t="n">
        <v>0</v>
      </c>
      <c r="P287" t="n">
        <v>0</v>
      </c>
      <c r="Q287" t="n">
        <v>0</v>
      </c>
      <c r="R287" s="2" t="inlineStr"/>
    </row>
    <row r="288" ht="15" customHeight="1">
      <c r="A288" t="inlineStr">
        <is>
          <t>A 42985-2025</t>
        </is>
      </c>
      <c r="B288" s="1" t="n">
        <v>45909.44322916667</v>
      </c>
      <c r="C288" s="1" t="n">
        <v>46000</v>
      </c>
      <c r="D288" t="inlineStr">
        <is>
          <t>DALARNAS LÄN</t>
        </is>
      </c>
      <c r="E288" t="inlineStr">
        <is>
          <t>LUDVIKA</t>
        </is>
      </c>
      <c r="G288" t="n">
        <v>1.7</v>
      </c>
      <c r="H288" t="n">
        <v>0</v>
      </c>
      <c r="I288" t="n">
        <v>0</v>
      </c>
      <c r="J288" t="n">
        <v>0</v>
      </c>
      <c r="K288" t="n">
        <v>0</v>
      </c>
      <c r="L288" t="n">
        <v>0</v>
      </c>
      <c r="M288" t="n">
        <v>0</v>
      </c>
      <c r="N288" t="n">
        <v>0</v>
      </c>
      <c r="O288" t="n">
        <v>0</v>
      </c>
      <c r="P288" t="n">
        <v>0</v>
      </c>
      <c r="Q288" t="n">
        <v>0</v>
      </c>
      <c r="R288" s="2" t="inlineStr"/>
    </row>
    <row r="289" ht="15" customHeight="1">
      <c r="A289" t="inlineStr">
        <is>
          <t>A 27616-2025</t>
        </is>
      </c>
      <c r="B289" s="1" t="n">
        <v>45813</v>
      </c>
      <c r="C289" s="1" t="n">
        <v>46000</v>
      </c>
      <c r="D289" t="inlineStr">
        <is>
          <t>DALARNAS LÄN</t>
        </is>
      </c>
      <c r="E289" t="inlineStr">
        <is>
          <t>LUDVIKA</t>
        </is>
      </c>
      <c r="F289" t="inlineStr">
        <is>
          <t>Bergvik skog väst AB</t>
        </is>
      </c>
      <c r="G289" t="n">
        <v>2.9</v>
      </c>
      <c r="H289" t="n">
        <v>0</v>
      </c>
      <c r="I289" t="n">
        <v>0</v>
      </c>
      <c r="J289" t="n">
        <v>0</v>
      </c>
      <c r="K289" t="n">
        <v>0</v>
      </c>
      <c r="L289" t="n">
        <v>0</v>
      </c>
      <c r="M289" t="n">
        <v>0</v>
      </c>
      <c r="N289" t="n">
        <v>0</v>
      </c>
      <c r="O289" t="n">
        <v>0</v>
      </c>
      <c r="P289" t="n">
        <v>0</v>
      </c>
      <c r="Q289" t="n">
        <v>0</v>
      </c>
      <c r="R289" s="2" t="inlineStr"/>
    </row>
    <row r="290" ht="15" customHeight="1">
      <c r="A290" t="inlineStr">
        <is>
          <t>A 27448-2025</t>
        </is>
      </c>
      <c r="B290" s="1" t="n">
        <v>45813</v>
      </c>
      <c r="C290" s="1" t="n">
        <v>46000</v>
      </c>
      <c r="D290" t="inlineStr">
        <is>
          <t>DALARNAS LÄN</t>
        </is>
      </c>
      <c r="E290" t="inlineStr">
        <is>
          <t>LUDVIKA</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61384-2024</t>
        </is>
      </c>
      <c r="B291" s="1" t="n">
        <v>45646.40943287037</v>
      </c>
      <c r="C291" s="1" t="n">
        <v>46000</v>
      </c>
      <c r="D291" t="inlineStr">
        <is>
          <t>DALARNAS LÄN</t>
        </is>
      </c>
      <c r="E291" t="inlineStr">
        <is>
          <t>LUDVIKA</t>
        </is>
      </c>
      <c r="G291" t="n">
        <v>0.7</v>
      </c>
      <c r="H291" t="n">
        <v>0</v>
      </c>
      <c r="I291" t="n">
        <v>0</v>
      </c>
      <c r="J291" t="n">
        <v>0</v>
      </c>
      <c r="K291" t="n">
        <v>0</v>
      </c>
      <c r="L291" t="n">
        <v>0</v>
      </c>
      <c r="M291" t="n">
        <v>0</v>
      </c>
      <c r="N291" t="n">
        <v>0</v>
      </c>
      <c r="O291" t="n">
        <v>0</v>
      </c>
      <c r="P291" t="n">
        <v>0</v>
      </c>
      <c r="Q291" t="n">
        <v>0</v>
      </c>
      <c r="R291" s="2" t="inlineStr"/>
    </row>
    <row r="292" ht="15" customHeight="1">
      <c r="A292" t="inlineStr">
        <is>
          <t>A 27525-2025</t>
        </is>
      </c>
      <c r="B292" s="1" t="n">
        <v>45813</v>
      </c>
      <c r="C292" s="1" t="n">
        <v>46000</v>
      </c>
      <c r="D292" t="inlineStr">
        <is>
          <t>DALARNAS LÄN</t>
        </is>
      </c>
      <c r="E292" t="inlineStr">
        <is>
          <t>LUDVIKA</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27435-2025</t>
        </is>
      </c>
      <c r="B293" s="1" t="n">
        <v>45813</v>
      </c>
      <c r="C293" s="1" t="n">
        <v>46000</v>
      </c>
      <c r="D293" t="inlineStr">
        <is>
          <t>DALARNAS LÄN</t>
        </is>
      </c>
      <c r="E293" t="inlineStr">
        <is>
          <t>LUDVIKA</t>
        </is>
      </c>
      <c r="F293" t="inlineStr">
        <is>
          <t>Bergvik skog väst AB</t>
        </is>
      </c>
      <c r="G293" t="n">
        <v>6</v>
      </c>
      <c r="H293" t="n">
        <v>0</v>
      </c>
      <c r="I293" t="n">
        <v>0</v>
      </c>
      <c r="J293" t="n">
        <v>0</v>
      </c>
      <c r="K293" t="n">
        <v>0</v>
      </c>
      <c r="L293" t="n">
        <v>0</v>
      </c>
      <c r="M293" t="n">
        <v>0</v>
      </c>
      <c r="N293" t="n">
        <v>0</v>
      </c>
      <c r="O293" t="n">
        <v>0</v>
      </c>
      <c r="P293" t="n">
        <v>0</v>
      </c>
      <c r="Q293" t="n">
        <v>0</v>
      </c>
      <c r="R293" s="2" t="inlineStr"/>
    </row>
    <row r="294" ht="15" customHeight="1">
      <c r="A294" t="inlineStr">
        <is>
          <t>A 27532-2025</t>
        </is>
      </c>
      <c r="B294" s="1" t="n">
        <v>45813</v>
      </c>
      <c r="C294" s="1" t="n">
        <v>46000</v>
      </c>
      <c r="D294" t="inlineStr">
        <is>
          <t>DALARNAS LÄN</t>
        </is>
      </c>
      <c r="E294" t="inlineStr">
        <is>
          <t>LUDVIKA</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42996-2025</t>
        </is>
      </c>
      <c r="B295" s="1" t="n">
        <v>45909.45607638889</v>
      </c>
      <c r="C295" s="1" t="n">
        <v>46000</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43253-2025</t>
        </is>
      </c>
      <c r="B296" s="1" t="n">
        <v>45910</v>
      </c>
      <c r="C296" s="1" t="n">
        <v>46000</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43473-2025</t>
        </is>
      </c>
      <c r="B297" s="1" t="n">
        <v>45911.48769675926</v>
      </c>
      <c r="C297" s="1" t="n">
        <v>46000</v>
      </c>
      <c r="D297" t="inlineStr">
        <is>
          <t>DALARNAS LÄN</t>
        </is>
      </c>
      <c r="E297" t="inlineStr">
        <is>
          <t>LUDVIKA</t>
        </is>
      </c>
      <c r="F297" t="inlineStr">
        <is>
          <t>Bergvik skog väst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43479-2025</t>
        </is>
      </c>
      <c r="B298" s="1" t="n">
        <v>45911.49506944444</v>
      </c>
      <c r="C298" s="1" t="n">
        <v>46000</v>
      </c>
      <c r="D298" t="inlineStr">
        <is>
          <t>DALARNAS LÄN</t>
        </is>
      </c>
      <c r="E298" t="inlineStr">
        <is>
          <t>LUDVIKA</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43348-2025</t>
        </is>
      </c>
      <c r="B299" s="1" t="n">
        <v>45910.91788194444</v>
      </c>
      <c r="C299" s="1" t="n">
        <v>46000</v>
      </c>
      <c r="D299" t="inlineStr">
        <is>
          <t>DALARNAS LÄN</t>
        </is>
      </c>
      <c r="E299" t="inlineStr">
        <is>
          <t>LUDVIKA</t>
        </is>
      </c>
      <c r="G299" t="n">
        <v>4.3</v>
      </c>
      <c r="H299" t="n">
        <v>0</v>
      </c>
      <c r="I299" t="n">
        <v>0</v>
      </c>
      <c r="J299" t="n">
        <v>0</v>
      </c>
      <c r="K299" t="n">
        <v>0</v>
      </c>
      <c r="L299" t="n">
        <v>0</v>
      </c>
      <c r="M299" t="n">
        <v>0</v>
      </c>
      <c r="N299" t="n">
        <v>0</v>
      </c>
      <c r="O299" t="n">
        <v>0</v>
      </c>
      <c r="P299" t="n">
        <v>0</v>
      </c>
      <c r="Q299" t="n">
        <v>0</v>
      </c>
      <c r="R299" s="2" t="inlineStr"/>
    </row>
    <row r="300" ht="15" customHeight="1">
      <c r="A300" t="inlineStr">
        <is>
          <t>A 43437-2025</t>
        </is>
      </c>
      <c r="B300" s="1" t="n">
        <v>45911.43200231482</v>
      </c>
      <c r="C300" s="1" t="n">
        <v>46000</v>
      </c>
      <c r="D300" t="inlineStr">
        <is>
          <t>DALARNAS LÄN</t>
        </is>
      </c>
      <c r="E300" t="inlineStr">
        <is>
          <t>LUDVIKA</t>
        </is>
      </c>
      <c r="F300" t="inlineStr">
        <is>
          <t>Bergvik skog väst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43145-2025</t>
        </is>
      </c>
      <c r="B301" s="1" t="n">
        <v>45910.3044212963</v>
      </c>
      <c r="C301" s="1" t="n">
        <v>46000</v>
      </c>
      <c r="D301" t="inlineStr">
        <is>
          <t>DALARNAS LÄN</t>
        </is>
      </c>
      <c r="E301" t="inlineStr">
        <is>
          <t>LUDVIKA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43439-2025</t>
        </is>
      </c>
      <c r="B302" s="1" t="n">
        <v>45911.43902777778</v>
      </c>
      <c r="C302" s="1" t="n">
        <v>46000</v>
      </c>
      <c r="D302" t="inlineStr">
        <is>
          <t>DALARNAS LÄN</t>
        </is>
      </c>
      <c r="E302" t="inlineStr">
        <is>
          <t>LUDVIKA</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43345-2025</t>
        </is>
      </c>
      <c r="B303" s="1" t="n">
        <v>45910.86336805556</v>
      </c>
      <c r="C303" s="1" t="n">
        <v>46000</v>
      </c>
      <c r="D303" t="inlineStr">
        <is>
          <t>DALARNAS LÄN</t>
        </is>
      </c>
      <c r="E303" t="inlineStr">
        <is>
          <t>LUDVIKA</t>
        </is>
      </c>
      <c r="G303" t="n">
        <v>4.6</v>
      </c>
      <c r="H303" t="n">
        <v>0</v>
      </c>
      <c r="I303" t="n">
        <v>0</v>
      </c>
      <c r="J303" t="n">
        <v>0</v>
      </c>
      <c r="K303" t="n">
        <v>0</v>
      </c>
      <c r="L303" t="n">
        <v>0</v>
      </c>
      <c r="M303" t="n">
        <v>0</v>
      </c>
      <c r="N303" t="n">
        <v>0</v>
      </c>
      <c r="O303" t="n">
        <v>0</v>
      </c>
      <c r="P303" t="n">
        <v>0</v>
      </c>
      <c r="Q303" t="n">
        <v>0</v>
      </c>
      <c r="R303" s="2" t="inlineStr"/>
    </row>
    <row r="304" ht="15" customHeight="1">
      <c r="A304" t="inlineStr">
        <is>
          <t>A 43449-2025</t>
        </is>
      </c>
      <c r="B304" s="1" t="n">
        <v>45911</v>
      </c>
      <c r="C304" s="1" t="n">
        <v>46000</v>
      </c>
      <c r="D304" t="inlineStr">
        <is>
          <t>DALARNAS LÄN</t>
        </is>
      </c>
      <c r="E304" t="inlineStr">
        <is>
          <t>LUDVIKA</t>
        </is>
      </c>
      <c r="F304" t="inlineStr">
        <is>
          <t>Bergvik skog väst AB</t>
        </is>
      </c>
      <c r="G304" t="n">
        <v>6.2</v>
      </c>
      <c r="H304" t="n">
        <v>0</v>
      </c>
      <c r="I304" t="n">
        <v>0</v>
      </c>
      <c r="J304" t="n">
        <v>0</v>
      </c>
      <c r="K304" t="n">
        <v>0</v>
      </c>
      <c r="L304" t="n">
        <v>0</v>
      </c>
      <c r="M304" t="n">
        <v>0</v>
      </c>
      <c r="N304" t="n">
        <v>0</v>
      </c>
      <c r="O304" t="n">
        <v>0</v>
      </c>
      <c r="P304" t="n">
        <v>0</v>
      </c>
      <c r="Q304" t="n">
        <v>0</v>
      </c>
      <c r="R304" s="2" t="inlineStr"/>
    </row>
    <row r="305" ht="15" customHeight="1">
      <c r="A305" t="inlineStr">
        <is>
          <t>A 56445-2024</t>
        </is>
      </c>
      <c r="B305" s="1" t="n">
        <v>45625.42575231481</v>
      </c>
      <c r="C305" s="1" t="n">
        <v>46000</v>
      </c>
      <c r="D305" t="inlineStr">
        <is>
          <t>DALARNAS LÄN</t>
        </is>
      </c>
      <c r="E305" t="inlineStr">
        <is>
          <t>LUDVIKA</t>
        </is>
      </c>
      <c r="G305" t="n">
        <v>2.1</v>
      </c>
      <c r="H305" t="n">
        <v>0</v>
      </c>
      <c r="I305" t="n">
        <v>0</v>
      </c>
      <c r="J305" t="n">
        <v>0</v>
      </c>
      <c r="K305" t="n">
        <v>0</v>
      </c>
      <c r="L305" t="n">
        <v>0</v>
      </c>
      <c r="M305" t="n">
        <v>0</v>
      </c>
      <c r="N305" t="n">
        <v>0</v>
      </c>
      <c r="O305" t="n">
        <v>0</v>
      </c>
      <c r="P305" t="n">
        <v>0</v>
      </c>
      <c r="Q305" t="n">
        <v>0</v>
      </c>
      <c r="R305" s="2" t="inlineStr"/>
    </row>
    <row r="306" ht="15" customHeight="1">
      <c r="A306" t="inlineStr">
        <is>
          <t>A 43925-2025</t>
        </is>
      </c>
      <c r="B306" s="1" t="n">
        <v>45915</v>
      </c>
      <c r="C306" s="1" t="n">
        <v>46000</v>
      </c>
      <c r="D306" t="inlineStr">
        <is>
          <t>DALARNAS LÄN</t>
        </is>
      </c>
      <c r="E306" t="inlineStr">
        <is>
          <t>LUDVIKA</t>
        </is>
      </c>
      <c r="F306" t="inlineStr">
        <is>
          <t>Bergvik skog väst AB</t>
        </is>
      </c>
      <c r="G306" t="n">
        <v>5.3</v>
      </c>
      <c r="H306" t="n">
        <v>0</v>
      </c>
      <c r="I306" t="n">
        <v>0</v>
      </c>
      <c r="J306" t="n">
        <v>0</v>
      </c>
      <c r="K306" t="n">
        <v>0</v>
      </c>
      <c r="L306" t="n">
        <v>0</v>
      </c>
      <c r="M306" t="n">
        <v>0</v>
      </c>
      <c r="N306" t="n">
        <v>0</v>
      </c>
      <c r="O306" t="n">
        <v>0</v>
      </c>
      <c r="P306" t="n">
        <v>0</v>
      </c>
      <c r="Q306" t="n">
        <v>0</v>
      </c>
      <c r="R306" s="2" t="inlineStr"/>
    </row>
    <row r="307" ht="15" customHeight="1">
      <c r="A307" t="inlineStr">
        <is>
          <t>A 48522-2023</t>
        </is>
      </c>
      <c r="B307" s="1" t="n">
        <v>45208.35689814815</v>
      </c>
      <c r="C307" s="1" t="n">
        <v>46000</v>
      </c>
      <c r="D307" t="inlineStr">
        <is>
          <t>DALARNAS LÄN</t>
        </is>
      </c>
      <c r="E307" t="inlineStr">
        <is>
          <t>LUDVIKA</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48589-2023</t>
        </is>
      </c>
      <c r="B308" s="1" t="n">
        <v>45208</v>
      </c>
      <c r="C308" s="1" t="n">
        <v>46000</v>
      </c>
      <c r="D308" t="inlineStr">
        <is>
          <t>DALARNAS LÄN</t>
        </is>
      </c>
      <c r="E308" t="inlineStr">
        <is>
          <t>LUDVIKA</t>
        </is>
      </c>
      <c r="F308" t="inlineStr">
        <is>
          <t>Naturvårdsverket</t>
        </is>
      </c>
      <c r="G308" t="n">
        <v>0.7</v>
      </c>
      <c r="H308" t="n">
        <v>0</v>
      </c>
      <c r="I308" t="n">
        <v>0</v>
      </c>
      <c r="J308" t="n">
        <v>0</v>
      </c>
      <c r="K308" t="n">
        <v>0</v>
      </c>
      <c r="L308" t="n">
        <v>0</v>
      </c>
      <c r="M308" t="n">
        <v>0</v>
      </c>
      <c r="N308" t="n">
        <v>0</v>
      </c>
      <c r="O308" t="n">
        <v>0</v>
      </c>
      <c r="P308" t="n">
        <v>0</v>
      </c>
      <c r="Q308" t="n">
        <v>0</v>
      </c>
      <c r="R308" s="2" t="inlineStr"/>
    </row>
    <row r="309" ht="15" customHeight="1">
      <c r="A309" t="inlineStr">
        <is>
          <t>A 28435-2025</t>
        </is>
      </c>
      <c r="B309" s="1" t="n">
        <v>45819</v>
      </c>
      <c r="C309" s="1" t="n">
        <v>46000</v>
      </c>
      <c r="D309" t="inlineStr">
        <is>
          <t>DALARNAS LÄN</t>
        </is>
      </c>
      <c r="E309" t="inlineStr">
        <is>
          <t>LUDVIKA</t>
        </is>
      </c>
      <c r="F309" t="inlineStr">
        <is>
          <t>Bergvik skog väst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48715-2022</t>
        </is>
      </c>
      <c r="B310" s="1" t="n">
        <v>44859.49887731481</v>
      </c>
      <c r="C310" s="1" t="n">
        <v>46000</v>
      </c>
      <c r="D310" t="inlineStr">
        <is>
          <t>DALARNAS LÄN</t>
        </is>
      </c>
      <c r="E310" t="inlineStr">
        <is>
          <t>LUDVIKA</t>
        </is>
      </c>
      <c r="F310" t="inlineStr">
        <is>
          <t>Naturvårdsverket</t>
        </is>
      </c>
      <c r="G310" t="n">
        <v>1.2</v>
      </c>
      <c r="H310" t="n">
        <v>0</v>
      </c>
      <c r="I310" t="n">
        <v>0</v>
      </c>
      <c r="J310" t="n">
        <v>0</v>
      </c>
      <c r="K310" t="n">
        <v>0</v>
      </c>
      <c r="L310" t="n">
        <v>0</v>
      </c>
      <c r="M310" t="n">
        <v>0</v>
      </c>
      <c r="N310" t="n">
        <v>0</v>
      </c>
      <c r="O310" t="n">
        <v>0</v>
      </c>
      <c r="P310" t="n">
        <v>0</v>
      </c>
      <c r="Q310" t="n">
        <v>0</v>
      </c>
      <c r="R310" s="2" t="inlineStr"/>
    </row>
    <row r="311" ht="15" customHeight="1">
      <c r="A311" t="inlineStr">
        <is>
          <t>A 45559-2024</t>
        </is>
      </c>
      <c r="B311" s="1" t="n">
        <v>45579.35708333334</v>
      </c>
      <c r="C311" s="1" t="n">
        <v>46000</v>
      </c>
      <c r="D311" t="inlineStr">
        <is>
          <t>DALARNAS LÄN</t>
        </is>
      </c>
      <c r="E311" t="inlineStr">
        <is>
          <t>LUDVIKA</t>
        </is>
      </c>
      <c r="G311" t="n">
        <v>0.8</v>
      </c>
      <c r="H311" t="n">
        <v>0</v>
      </c>
      <c r="I311" t="n">
        <v>0</v>
      </c>
      <c r="J311" t="n">
        <v>0</v>
      </c>
      <c r="K311" t="n">
        <v>0</v>
      </c>
      <c r="L311" t="n">
        <v>0</v>
      </c>
      <c r="M311" t="n">
        <v>0</v>
      </c>
      <c r="N311" t="n">
        <v>0</v>
      </c>
      <c r="O311" t="n">
        <v>0</v>
      </c>
      <c r="P311" t="n">
        <v>0</v>
      </c>
      <c r="Q311" t="n">
        <v>0</v>
      </c>
      <c r="R311" s="2" t="inlineStr"/>
    </row>
    <row r="312" ht="15" customHeight="1">
      <c r="A312" t="inlineStr">
        <is>
          <t>A 28737-2025</t>
        </is>
      </c>
      <c r="B312" s="1" t="n">
        <v>45820.38174768518</v>
      </c>
      <c r="C312" s="1" t="n">
        <v>46000</v>
      </c>
      <c r="D312" t="inlineStr">
        <is>
          <t>DALARNAS LÄN</t>
        </is>
      </c>
      <c r="E312" t="inlineStr">
        <is>
          <t>LUDVIKA</t>
        </is>
      </c>
      <c r="G312" t="n">
        <v>1.4</v>
      </c>
      <c r="H312" t="n">
        <v>0</v>
      </c>
      <c r="I312" t="n">
        <v>0</v>
      </c>
      <c r="J312" t="n">
        <v>0</v>
      </c>
      <c r="K312" t="n">
        <v>0</v>
      </c>
      <c r="L312" t="n">
        <v>0</v>
      </c>
      <c r="M312" t="n">
        <v>0</v>
      </c>
      <c r="N312" t="n">
        <v>0</v>
      </c>
      <c r="O312" t="n">
        <v>0</v>
      </c>
      <c r="P312" t="n">
        <v>0</v>
      </c>
      <c r="Q312" t="n">
        <v>0</v>
      </c>
      <c r="R312" s="2" t="inlineStr"/>
    </row>
    <row r="313" ht="15" customHeight="1">
      <c r="A313" t="inlineStr">
        <is>
          <t>A 29578-2025</t>
        </is>
      </c>
      <c r="B313" s="1" t="n">
        <v>45825.37844907407</v>
      </c>
      <c r="C313" s="1" t="n">
        <v>46000</v>
      </c>
      <c r="D313" t="inlineStr">
        <is>
          <t>DALARNAS LÄN</t>
        </is>
      </c>
      <c r="E313" t="inlineStr">
        <is>
          <t>LUDVIKA</t>
        </is>
      </c>
      <c r="G313" t="n">
        <v>3.8</v>
      </c>
      <c r="H313" t="n">
        <v>0</v>
      </c>
      <c r="I313" t="n">
        <v>0</v>
      </c>
      <c r="J313" t="n">
        <v>0</v>
      </c>
      <c r="K313" t="n">
        <v>0</v>
      </c>
      <c r="L313" t="n">
        <v>0</v>
      </c>
      <c r="M313" t="n">
        <v>0</v>
      </c>
      <c r="N313" t="n">
        <v>0</v>
      </c>
      <c r="O313" t="n">
        <v>0</v>
      </c>
      <c r="P313" t="n">
        <v>0</v>
      </c>
      <c r="Q313" t="n">
        <v>0</v>
      </c>
      <c r="R313" s="2" t="inlineStr"/>
    </row>
    <row r="314" ht="15" customHeight="1">
      <c r="A314" t="inlineStr">
        <is>
          <t>A 1047-2023</t>
        </is>
      </c>
      <c r="B314" s="1" t="n">
        <v>44929</v>
      </c>
      <c r="C314" s="1" t="n">
        <v>46000</v>
      </c>
      <c r="D314" t="inlineStr">
        <is>
          <t>DALARNAS LÄN</t>
        </is>
      </c>
      <c r="E314" t="inlineStr">
        <is>
          <t>LUDVIKA</t>
        </is>
      </c>
      <c r="F314" t="inlineStr">
        <is>
          <t>Kommuner</t>
        </is>
      </c>
      <c r="G314" t="n">
        <v>3.2</v>
      </c>
      <c r="H314" t="n">
        <v>0</v>
      </c>
      <c r="I314" t="n">
        <v>0</v>
      </c>
      <c r="J314" t="n">
        <v>0</v>
      </c>
      <c r="K314" t="n">
        <v>0</v>
      </c>
      <c r="L314" t="n">
        <v>0</v>
      </c>
      <c r="M314" t="n">
        <v>0</v>
      </c>
      <c r="N314" t="n">
        <v>0</v>
      </c>
      <c r="O314" t="n">
        <v>0</v>
      </c>
      <c r="P314" t="n">
        <v>0</v>
      </c>
      <c r="Q314" t="n">
        <v>0</v>
      </c>
      <c r="R314" s="2" t="inlineStr"/>
    </row>
    <row r="315" ht="15" customHeight="1">
      <c r="A315" t="inlineStr">
        <is>
          <t>A 44690-2025</t>
        </is>
      </c>
      <c r="B315" s="1" t="n">
        <v>45917.59390046296</v>
      </c>
      <c r="C315" s="1" t="n">
        <v>46000</v>
      </c>
      <c r="D315" t="inlineStr">
        <is>
          <t>DALARNAS LÄN</t>
        </is>
      </c>
      <c r="E315" t="inlineStr">
        <is>
          <t>LUDVIKA</t>
        </is>
      </c>
      <c r="G315" t="n">
        <v>1.6</v>
      </c>
      <c r="H315" t="n">
        <v>0</v>
      </c>
      <c r="I315" t="n">
        <v>0</v>
      </c>
      <c r="J315" t="n">
        <v>0</v>
      </c>
      <c r="K315" t="n">
        <v>0</v>
      </c>
      <c r="L315" t="n">
        <v>0</v>
      </c>
      <c r="M315" t="n">
        <v>0</v>
      </c>
      <c r="N315" t="n">
        <v>0</v>
      </c>
      <c r="O315" t="n">
        <v>0</v>
      </c>
      <c r="P315" t="n">
        <v>0</v>
      </c>
      <c r="Q315" t="n">
        <v>0</v>
      </c>
      <c r="R315" s="2" t="inlineStr"/>
    </row>
    <row r="316" ht="15" customHeight="1">
      <c r="A316" t="inlineStr">
        <is>
          <t>A 29443-2025</t>
        </is>
      </c>
      <c r="B316" s="1" t="n">
        <v>45824.66146990741</v>
      </c>
      <c r="C316" s="1" t="n">
        <v>46000</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30502-2021</t>
        </is>
      </c>
      <c r="B317" s="1" t="n">
        <v>44364.63512731482</v>
      </c>
      <c r="C317" s="1" t="n">
        <v>46000</v>
      </c>
      <c r="D317" t="inlineStr">
        <is>
          <t>DALARNAS LÄN</t>
        </is>
      </c>
      <c r="E317" t="inlineStr">
        <is>
          <t>LUDVIKA</t>
        </is>
      </c>
      <c r="F317" t="inlineStr">
        <is>
          <t>Bergvik skog väst AB</t>
        </is>
      </c>
      <c r="G317" t="n">
        <v>0.9</v>
      </c>
      <c r="H317" t="n">
        <v>0</v>
      </c>
      <c r="I317" t="n">
        <v>0</v>
      </c>
      <c r="J317" t="n">
        <v>0</v>
      </c>
      <c r="K317" t="n">
        <v>0</v>
      </c>
      <c r="L317" t="n">
        <v>0</v>
      </c>
      <c r="M317" t="n">
        <v>0</v>
      </c>
      <c r="N317" t="n">
        <v>0</v>
      </c>
      <c r="O317" t="n">
        <v>0</v>
      </c>
      <c r="P317" t="n">
        <v>0</v>
      </c>
      <c r="Q317" t="n">
        <v>0</v>
      </c>
      <c r="R317" s="2" t="inlineStr"/>
    </row>
    <row r="318" ht="15" customHeight="1">
      <c r="A318" t="inlineStr">
        <is>
          <t>A 44262-2025</t>
        </is>
      </c>
      <c r="B318" s="1" t="n">
        <v>45916.0008912037</v>
      </c>
      <c r="C318" s="1" t="n">
        <v>46000</v>
      </c>
      <c r="D318" t="inlineStr">
        <is>
          <t>DALARNAS LÄN</t>
        </is>
      </c>
      <c r="E318" t="inlineStr">
        <is>
          <t>LUDVIKA</t>
        </is>
      </c>
      <c r="G318" t="n">
        <v>3</v>
      </c>
      <c r="H318" t="n">
        <v>0</v>
      </c>
      <c r="I318" t="n">
        <v>0</v>
      </c>
      <c r="J318" t="n">
        <v>0</v>
      </c>
      <c r="K318" t="n">
        <v>0</v>
      </c>
      <c r="L318" t="n">
        <v>0</v>
      </c>
      <c r="M318" t="n">
        <v>0</v>
      </c>
      <c r="N318" t="n">
        <v>0</v>
      </c>
      <c r="O318" t="n">
        <v>0</v>
      </c>
      <c r="P318" t="n">
        <v>0</v>
      </c>
      <c r="Q318" t="n">
        <v>0</v>
      </c>
      <c r="R318" s="2" t="inlineStr"/>
    </row>
    <row r="319" ht="15" customHeight="1">
      <c r="A319" t="inlineStr">
        <is>
          <t>A 44261-2025</t>
        </is>
      </c>
      <c r="B319" s="1" t="n">
        <v>45915.99416666666</v>
      </c>
      <c r="C319" s="1" t="n">
        <v>46000</v>
      </c>
      <c r="D319" t="inlineStr">
        <is>
          <t>DALARNAS LÄN</t>
        </is>
      </c>
      <c r="E319" t="inlineStr">
        <is>
          <t>LUDVIKA</t>
        </is>
      </c>
      <c r="G319" t="n">
        <v>1.8</v>
      </c>
      <c r="H319" t="n">
        <v>0</v>
      </c>
      <c r="I319" t="n">
        <v>0</v>
      </c>
      <c r="J319" t="n">
        <v>0</v>
      </c>
      <c r="K319" t="n">
        <v>0</v>
      </c>
      <c r="L319" t="n">
        <v>0</v>
      </c>
      <c r="M319" t="n">
        <v>0</v>
      </c>
      <c r="N319" t="n">
        <v>0</v>
      </c>
      <c r="O319" t="n">
        <v>0</v>
      </c>
      <c r="P319" t="n">
        <v>0</v>
      </c>
      <c r="Q319" t="n">
        <v>0</v>
      </c>
      <c r="R319" s="2" t="inlineStr"/>
    </row>
    <row r="320" ht="15" customHeight="1">
      <c r="A320" t="inlineStr">
        <is>
          <t>A 30288-2025</t>
        </is>
      </c>
      <c r="B320" s="1" t="n">
        <v>45827</v>
      </c>
      <c r="C320" s="1" t="n">
        <v>46000</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30324-2025</t>
        </is>
      </c>
      <c r="B321" s="1" t="n">
        <v>45827</v>
      </c>
      <c r="C321" s="1" t="n">
        <v>46000</v>
      </c>
      <c r="D321" t="inlineStr">
        <is>
          <t>DALARNAS LÄN</t>
        </is>
      </c>
      <c r="E321" t="inlineStr">
        <is>
          <t>LUDVIKA</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43539-2025</t>
        </is>
      </c>
      <c r="B322" s="1" t="n">
        <v>45911</v>
      </c>
      <c r="C322" s="1" t="n">
        <v>46000</v>
      </c>
      <c r="D322" t="inlineStr">
        <is>
          <t>DALARNAS LÄN</t>
        </is>
      </c>
      <c r="E322" t="inlineStr">
        <is>
          <t>LUDVIKA</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29966-2025</t>
        </is>
      </c>
      <c r="B323" s="1" t="n">
        <v>45826</v>
      </c>
      <c r="C323" s="1" t="n">
        <v>46000</v>
      </c>
      <c r="D323" t="inlineStr">
        <is>
          <t>DALARNAS LÄN</t>
        </is>
      </c>
      <c r="E323" t="inlineStr">
        <is>
          <t>LUDVIKA</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44879-2025</t>
        </is>
      </c>
      <c r="B324" s="1" t="n">
        <v>45918.47898148148</v>
      </c>
      <c r="C324" s="1" t="n">
        <v>46000</v>
      </c>
      <c r="D324" t="inlineStr">
        <is>
          <t>DALARNAS LÄN</t>
        </is>
      </c>
      <c r="E324" t="inlineStr">
        <is>
          <t>LUDVIKA</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29918-2025</t>
        </is>
      </c>
      <c r="B325" s="1" t="n">
        <v>45826</v>
      </c>
      <c r="C325" s="1" t="n">
        <v>46000</v>
      </c>
      <c r="D325" t="inlineStr">
        <is>
          <t>DALARNAS LÄN</t>
        </is>
      </c>
      <c r="E325" t="inlineStr">
        <is>
          <t>LUDVIKA</t>
        </is>
      </c>
      <c r="F325" t="inlineStr">
        <is>
          <t>Bergvik skog väst AB</t>
        </is>
      </c>
      <c r="G325" t="n">
        <v>1.7</v>
      </c>
      <c r="H325" t="n">
        <v>0</v>
      </c>
      <c r="I325" t="n">
        <v>0</v>
      </c>
      <c r="J325" t="n">
        <v>0</v>
      </c>
      <c r="K325" t="n">
        <v>0</v>
      </c>
      <c r="L325" t="n">
        <v>0</v>
      </c>
      <c r="M325" t="n">
        <v>0</v>
      </c>
      <c r="N325" t="n">
        <v>0</v>
      </c>
      <c r="O325" t="n">
        <v>0</v>
      </c>
      <c r="P325" t="n">
        <v>0</v>
      </c>
      <c r="Q325" t="n">
        <v>0</v>
      </c>
      <c r="R325" s="2" t="inlineStr"/>
    </row>
    <row r="326" ht="15" customHeight="1">
      <c r="A326" t="inlineStr">
        <is>
          <t>A 45259-2025</t>
        </is>
      </c>
      <c r="B326" s="1" t="n">
        <v>45919</v>
      </c>
      <c r="C326" s="1" t="n">
        <v>46000</v>
      </c>
      <c r="D326" t="inlineStr">
        <is>
          <t>DALARNAS LÄN</t>
        </is>
      </c>
      <c r="E326" t="inlineStr">
        <is>
          <t>LUDVIKA</t>
        </is>
      </c>
      <c r="F326" t="inlineStr">
        <is>
          <t>Bergvik skog väst AB</t>
        </is>
      </c>
      <c r="G326" t="n">
        <v>3.3</v>
      </c>
      <c r="H326" t="n">
        <v>0</v>
      </c>
      <c r="I326" t="n">
        <v>0</v>
      </c>
      <c r="J326" t="n">
        <v>0</v>
      </c>
      <c r="K326" t="n">
        <v>0</v>
      </c>
      <c r="L326" t="n">
        <v>0</v>
      </c>
      <c r="M326" t="n">
        <v>0</v>
      </c>
      <c r="N326" t="n">
        <v>0</v>
      </c>
      <c r="O326" t="n">
        <v>0</v>
      </c>
      <c r="P326" t="n">
        <v>0</v>
      </c>
      <c r="Q326" t="n">
        <v>0</v>
      </c>
      <c r="R326" s="2" t="inlineStr"/>
    </row>
    <row r="327" ht="15" customHeight="1">
      <c r="A327" t="inlineStr">
        <is>
          <t>A 30417-2025</t>
        </is>
      </c>
      <c r="B327" s="1" t="n">
        <v>45827</v>
      </c>
      <c r="C327" s="1" t="n">
        <v>46000</v>
      </c>
      <c r="D327" t="inlineStr">
        <is>
          <t>DALARNAS LÄN</t>
        </is>
      </c>
      <c r="E327" t="inlineStr">
        <is>
          <t>LUDVIKA</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30399-2025</t>
        </is>
      </c>
      <c r="B328" s="1" t="n">
        <v>45827</v>
      </c>
      <c r="C328" s="1" t="n">
        <v>46000</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46000</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41495-2024</t>
        </is>
      </c>
      <c r="B330" s="1" t="n">
        <v>45560.45458333333</v>
      </c>
      <c r="C330" s="1" t="n">
        <v>46000</v>
      </c>
      <c r="D330" t="inlineStr">
        <is>
          <t>DALARNAS LÄN</t>
        </is>
      </c>
      <c r="E330" t="inlineStr">
        <is>
          <t>LUDVIKA</t>
        </is>
      </c>
      <c r="F330" t="inlineStr">
        <is>
          <t>Bergvik skog väst AB</t>
        </is>
      </c>
      <c r="G330" t="n">
        <v>6.3</v>
      </c>
      <c r="H330" t="n">
        <v>0</v>
      </c>
      <c r="I330" t="n">
        <v>0</v>
      </c>
      <c r="J330" t="n">
        <v>0</v>
      </c>
      <c r="K330" t="n">
        <v>0</v>
      </c>
      <c r="L330" t="n">
        <v>0</v>
      </c>
      <c r="M330" t="n">
        <v>0</v>
      </c>
      <c r="N330" t="n">
        <v>0</v>
      </c>
      <c r="O330" t="n">
        <v>0</v>
      </c>
      <c r="P330" t="n">
        <v>0</v>
      </c>
      <c r="Q330" t="n">
        <v>0</v>
      </c>
      <c r="R330" s="2" t="inlineStr"/>
    </row>
    <row r="331" ht="15" customHeight="1">
      <c r="A331" t="inlineStr">
        <is>
          <t>A 45405-2024</t>
        </is>
      </c>
      <c r="B331" s="1" t="n">
        <v>45576</v>
      </c>
      <c r="C331" s="1" t="n">
        <v>46000</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30760-2025</t>
        </is>
      </c>
      <c r="B332" s="1" t="n">
        <v>45831.59947916667</v>
      </c>
      <c r="C332" s="1" t="n">
        <v>46000</v>
      </c>
      <c r="D332" t="inlineStr">
        <is>
          <t>DALARNAS LÄN</t>
        </is>
      </c>
      <c r="E332" t="inlineStr">
        <is>
          <t>LUDVIKA</t>
        </is>
      </c>
      <c r="F332" t="inlineStr">
        <is>
          <t>Bergvik skog väst AB</t>
        </is>
      </c>
      <c r="G332" t="n">
        <v>0.4</v>
      </c>
      <c r="H332" t="n">
        <v>0</v>
      </c>
      <c r="I332" t="n">
        <v>0</v>
      </c>
      <c r="J332" t="n">
        <v>0</v>
      </c>
      <c r="K332" t="n">
        <v>0</v>
      </c>
      <c r="L332" t="n">
        <v>0</v>
      </c>
      <c r="M332" t="n">
        <v>0</v>
      </c>
      <c r="N332" t="n">
        <v>0</v>
      </c>
      <c r="O332" t="n">
        <v>0</v>
      </c>
      <c r="P332" t="n">
        <v>0</v>
      </c>
      <c r="Q332" t="n">
        <v>0</v>
      </c>
      <c r="R332" s="2" t="inlineStr"/>
    </row>
    <row r="333" ht="15" customHeight="1">
      <c r="A333" t="inlineStr">
        <is>
          <t>A 53554-2025</t>
        </is>
      </c>
      <c r="B333" s="1" t="n">
        <v>45960</v>
      </c>
      <c r="C333" s="1" t="n">
        <v>46000</v>
      </c>
      <c r="D333" t="inlineStr">
        <is>
          <t>DALARNAS LÄN</t>
        </is>
      </c>
      <c r="E333" t="inlineStr">
        <is>
          <t>LUDVIKA</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30748-2025</t>
        </is>
      </c>
      <c r="B334" s="1" t="n">
        <v>45831.58627314815</v>
      </c>
      <c r="C334" s="1" t="n">
        <v>46000</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53548-2025</t>
        </is>
      </c>
      <c r="B335" s="1" t="n">
        <v>45960</v>
      </c>
      <c r="C335" s="1" t="n">
        <v>46000</v>
      </c>
      <c r="D335" t="inlineStr">
        <is>
          <t>DALARNAS LÄN</t>
        </is>
      </c>
      <c r="E335" t="inlineStr">
        <is>
          <t>LUDVIKA</t>
        </is>
      </c>
      <c r="F335" t="inlineStr">
        <is>
          <t>Bergvik skog väst AB</t>
        </is>
      </c>
      <c r="G335" t="n">
        <v>3.9</v>
      </c>
      <c r="H335" t="n">
        <v>0</v>
      </c>
      <c r="I335" t="n">
        <v>0</v>
      </c>
      <c r="J335" t="n">
        <v>0</v>
      </c>
      <c r="K335" t="n">
        <v>0</v>
      </c>
      <c r="L335" t="n">
        <v>0</v>
      </c>
      <c r="M335" t="n">
        <v>0</v>
      </c>
      <c r="N335" t="n">
        <v>0</v>
      </c>
      <c r="O335" t="n">
        <v>0</v>
      </c>
      <c r="P335" t="n">
        <v>0</v>
      </c>
      <c r="Q335" t="n">
        <v>0</v>
      </c>
      <c r="R335" s="2" t="inlineStr"/>
    </row>
    <row r="336" ht="15" customHeight="1">
      <c r="A336" t="inlineStr">
        <is>
          <t>A 30813-2025</t>
        </is>
      </c>
      <c r="B336" s="1" t="n">
        <v>45831.6599537037</v>
      </c>
      <c r="C336" s="1" t="n">
        <v>46000</v>
      </c>
      <c r="D336" t="inlineStr">
        <is>
          <t>DALARNAS LÄN</t>
        </is>
      </c>
      <c r="E336" t="inlineStr">
        <is>
          <t>LUDVIKA</t>
        </is>
      </c>
      <c r="G336" t="n">
        <v>0.9</v>
      </c>
      <c r="H336" t="n">
        <v>0</v>
      </c>
      <c r="I336" t="n">
        <v>0</v>
      </c>
      <c r="J336" t="n">
        <v>0</v>
      </c>
      <c r="K336" t="n">
        <v>0</v>
      </c>
      <c r="L336" t="n">
        <v>0</v>
      </c>
      <c r="M336" t="n">
        <v>0</v>
      </c>
      <c r="N336" t="n">
        <v>0</v>
      </c>
      <c r="O336" t="n">
        <v>0</v>
      </c>
      <c r="P336" t="n">
        <v>0</v>
      </c>
      <c r="Q336" t="n">
        <v>0</v>
      </c>
      <c r="R336" s="2" t="inlineStr"/>
    </row>
    <row r="337" ht="15" customHeight="1">
      <c r="A337" t="inlineStr">
        <is>
          <t>A 53558-2025</t>
        </is>
      </c>
      <c r="B337" s="1" t="n">
        <v>45960</v>
      </c>
      <c r="C337" s="1" t="n">
        <v>46000</v>
      </c>
      <c r="D337" t="inlineStr">
        <is>
          <t>DALARNAS LÄN</t>
        </is>
      </c>
      <c r="E337" t="inlineStr">
        <is>
          <t>LUDVIKA</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44987-2025</t>
        </is>
      </c>
      <c r="B338" s="1" t="n">
        <v>45918.65405092593</v>
      </c>
      <c r="C338" s="1" t="n">
        <v>46000</v>
      </c>
      <c r="D338" t="inlineStr">
        <is>
          <t>DALARNAS LÄN</t>
        </is>
      </c>
      <c r="E338" t="inlineStr">
        <is>
          <t>LUDVIKA</t>
        </is>
      </c>
      <c r="F338" t="inlineStr">
        <is>
          <t>Bergvik skog väst AB</t>
        </is>
      </c>
      <c r="G338" t="n">
        <v>12.9</v>
      </c>
      <c r="H338" t="n">
        <v>0</v>
      </c>
      <c r="I338" t="n">
        <v>0</v>
      </c>
      <c r="J338" t="n">
        <v>0</v>
      </c>
      <c r="K338" t="n">
        <v>0</v>
      </c>
      <c r="L338" t="n">
        <v>0</v>
      </c>
      <c r="M338" t="n">
        <v>0</v>
      </c>
      <c r="N338" t="n">
        <v>0</v>
      </c>
      <c r="O338" t="n">
        <v>0</v>
      </c>
      <c r="P338" t="n">
        <v>0</v>
      </c>
      <c r="Q338" t="n">
        <v>0</v>
      </c>
      <c r="R338" s="2" t="inlineStr"/>
    </row>
    <row r="339" ht="15" customHeight="1">
      <c r="A339" t="inlineStr">
        <is>
          <t>A 30562-2025</t>
        </is>
      </c>
      <c r="B339" s="1" t="n">
        <v>45831</v>
      </c>
      <c r="C339" s="1" t="n">
        <v>46000</v>
      </c>
      <c r="D339" t="inlineStr">
        <is>
          <t>DALARNAS LÄN</t>
        </is>
      </c>
      <c r="E339" t="inlineStr">
        <is>
          <t>LUDVIKA</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31001-2025</t>
        </is>
      </c>
      <c r="B340" s="1" t="n">
        <v>45832</v>
      </c>
      <c r="C340" s="1" t="n">
        <v>46000</v>
      </c>
      <c r="D340" t="inlineStr">
        <is>
          <t>DALARNAS LÄN</t>
        </is>
      </c>
      <c r="E340" t="inlineStr">
        <is>
          <t>LUDVIKA</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42215-2024</t>
        </is>
      </c>
      <c r="B341" s="1" t="n">
        <v>45562.53986111111</v>
      </c>
      <c r="C341" s="1" t="n">
        <v>46000</v>
      </c>
      <c r="D341" t="inlineStr">
        <is>
          <t>DALARNAS LÄN</t>
        </is>
      </c>
      <c r="E341" t="inlineStr">
        <is>
          <t>LUDVIKA</t>
        </is>
      </c>
      <c r="F341" t="inlineStr">
        <is>
          <t>Bergvik skog väst AB</t>
        </is>
      </c>
      <c r="G341" t="n">
        <v>3.6</v>
      </c>
      <c r="H341" t="n">
        <v>0</v>
      </c>
      <c r="I341" t="n">
        <v>0</v>
      </c>
      <c r="J341" t="n">
        <v>0</v>
      </c>
      <c r="K341" t="n">
        <v>0</v>
      </c>
      <c r="L341" t="n">
        <v>0</v>
      </c>
      <c r="M341" t="n">
        <v>0</v>
      </c>
      <c r="N341" t="n">
        <v>0</v>
      </c>
      <c r="O341" t="n">
        <v>0</v>
      </c>
      <c r="P341" t="n">
        <v>0</v>
      </c>
      <c r="Q341" t="n">
        <v>0</v>
      </c>
      <c r="R341" s="2" t="inlineStr"/>
    </row>
    <row r="342" ht="15" customHeight="1">
      <c r="A342" t="inlineStr">
        <is>
          <t>A 41737-2025</t>
        </is>
      </c>
      <c r="B342" s="1" t="n">
        <v>45902</v>
      </c>
      <c r="C342" s="1" t="n">
        <v>46000</v>
      </c>
      <c r="D342" t="inlineStr">
        <is>
          <t>DALARNAS LÄN</t>
        </is>
      </c>
      <c r="E342" t="inlineStr">
        <is>
          <t>LUDVIKA</t>
        </is>
      </c>
      <c r="F342" t="inlineStr">
        <is>
          <t>Bergvik skog väst AB</t>
        </is>
      </c>
      <c r="G342" t="n">
        <v>1.9</v>
      </c>
      <c r="H342" t="n">
        <v>0</v>
      </c>
      <c r="I342" t="n">
        <v>0</v>
      </c>
      <c r="J342" t="n">
        <v>0</v>
      </c>
      <c r="K342" t="n">
        <v>0</v>
      </c>
      <c r="L342" t="n">
        <v>0</v>
      </c>
      <c r="M342" t="n">
        <v>0</v>
      </c>
      <c r="N342" t="n">
        <v>0</v>
      </c>
      <c r="O342" t="n">
        <v>0</v>
      </c>
      <c r="P342" t="n">
        <v>0</v>
      </c>
      <c r="Q342" t="n">
        <v>0</v>
      </c>
      <c r="R342" s="2" t="inlineStr"/>
    </row>
    <row r="343" ht="15" customHeight="1">
      <c r="A343" t="inlineStr">
        <is>
          <t>A 45791-2025</t>
        </is>
      </c>
      <c r="B343" s="1" t="n">
        <v>45923</v>
      </c>
      <c r="C343" s="1" t="n">
        <v>46000</v>
      </c>
      <c r="D343" t="inlineStr">
        <is>
          <t>DALARNAS LÄN</t>
        </is>
      </c>
      <c r="E343" t="inlineStr">
        <is>
          <t>LUDVIKA</t>
        </is>
      </c>
      <c r="F343" t="inlineStr">
        <is>
          <t>Bergvik skog väst AB</t>
        </is>
      </c>
      <c r="G343" t="n">
        <v>3.2</v>
      </c>
      <c r="H343" t="n">
        <v>0</v>
      </c>
      <c r="I343" t="n">
        <v>0</v>
      </c>
      <c r="J343" t="n">
        <v>0</v>
      </c>
      <c r="K343" t="n">
        <v>0</v>
      </c>
      <c r="L343" t="n">
        <v>0</v>
      </c>
      <c r="M343" t="n">
        <v>0</v>
      </c>
      <c r="N343" t="n">
        <v>0</v>
      </c>
      <c r="O343" t="n">
        <v>0</v>
      </c>
      <c r="P343" t="n">
        <v>0</v>
      </c>
      <c r="Q343" t="n">
        <v>0</v>
      </c>
      <c r="R343" s="2" t="inlineStr"/>
    </row>
    <row r="344" ht="15" customHeight="1">
      <c r="A344" t="inlineStr">
        <is>
          <t>A 31039-2025</t>
        </is>
      </c>
      <c r="B344" s="1" t="n">
        <v>45832</v>
      </c>
      <c r="C344" s="1" t="n">
        <v>46000</v>
      </c>
      <c r="D344" t="inlineStr">
        <is>
          <t>DALARNAS LÄN</t>
        </is>
      </c>
      <c r="E344" t="inlineStr">
        <is>
          <t>LUDVIKA</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45649-2025</t>
        </is>
      </c>
      <c r="B345" s="1" t="n">
        <v>45923.32206018519</v>
      </c>
      <c r="C345" s="1" t="n">
        <v>46000</v>
      </c>
      <c r="D345" t="inlineStr">
        <is>
          <t>DALARNAS LÄN</t>
        </is>
      </c>
      <c r="E345" t="inlineStr">
        <is>
          <t>LUDVIKA</t>
        </is>
      </c>
      <c r="G345" t="n">
        <v>12.3</v>
      </c>
      <c r="H345" t="n">
        <v>0</v>
      </c>
      <c r="I345" t="n">
        <v>0</v>
      </c>
      <c r="J345" t="n">
        <v>0</v>
      </c>
      <c r="K345" t="n">
        <v>0</v>
      </c>
      <c r="L345" t="n">
        <v>0</v>
      </c>
      <c r="M345" t="n">
        <v>0</v>
      </c>
      <c r="N345" t="n">
        <v>0</v>
      </c>
      <c r="O345" t="n">
        <v>0</v>
      </c>
      <c r="P345" t="n">
        <v>0</v>
      </c>
      <c r="Q345" t="n">
        <v>0</v>
      </c>
      <c r="R345" s="2" t="inlineStr"/>
    </row>
    <row r="346" ht="15" customHeight="1">
      <c r="A346" t="inlineStr">
        <is>
          <t>A 54375-2025</t>
        </is>
      </c>
      <c r="B346" s="1" t="n">
        <v>45965.42407407407</v>
      </c>
      <c r="C346" s="1" t="n">
        <v>46000</v>
      </c>
      <c r="D346" t="inlineStr">
        <is>
          <t>DALARNAS LÄN</t>
        </is>
      </c>
      <c r="E346" t="inlineStr">
        <is>
          <t>LUDVIKA</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45309-2021</t>
        </is>
      </c>
      <c r="B347" s="1" t="n">
        <v>44439.68940972222</v>
      </c>
      <c r="C347" s="1" t="n">
        <v>46000</v>
      </c>
      <c r="D347" t="inlineStr">
        <is>
          <t>DALARNAS LÄN</t>
        </is>
      </c>
      <c r="E347" t="inlineStr">
        <is>
          <t>LUDVIKA</t>
        </is>
      </c>
      <c r="G347" t="n">
        <v>1.9</v>
      </c>
      <c r="H347" t="n">
        <v>0</v>
      </c>
      <c r="I347" t="n">
        <v>0</v>
      </c>
      <c r="J347" t="n">
        <v>0</v>
      </c>
      <c r="K347" t="n">
        <v>0</v>
      </c>
      <c r="L347" t="n">
        <v>0</v>
      </c>
      <c r="M347" t="n">
        <v>0</v>
      </c>
      <c r="N347" t="n">
        <v>0</v>
      </c>
      <c r="O347" t="n">
        <v>0</v>
      </c>
      <c r="P347" t="n">
        <v>0</v>
      </c>
      <c r="Q347" t="n">
        <v>0</v>
      </c>
      <c r="R347" s="2" t="inlineStr"/>
    </row>
    <row r="348" ht="15" customHeight="1">
      <c r="A348" t="inlineStr">
        <is>
          <t>A 31380-2025</t>
        </is>
      </c>
      <c r="B348" s="1" t="n">
        <v>45833</v>
      </c>
      <c r="C348" s="1" t="n">
        <v>46000</v>
      </c>
      <c r="D348" t="inlineStr">
        <is>
          <t>DALARNAS LÄN</t>
        </is>
      </c>
      <c r="E348" t="inlineStr">
        <is>
          <t>LUDVIKA</t>
        </is>
      </c>
      <c r="G348" t="n">
        <v>2.6</v>
      </c>
      <c r="H348" t="n">
        <v>0</v>
      </c>
      <c r="I348" t="n">
        <v>0</v>
      </c>
      <c r="J348" t="n">
        <v>0</v>
      </c>
      <c r="K348" t="n">
        <v>0</v>
      </c>
      <c r="L348" t="n">
        <v>0</v>
      </c>
      <c r="M348" t="n">
        <v>0</v>
      </c>
      <c r="N348" t="n">
        <v>0</v>
      </c>
      <c r="O348" t="n">
        <v>0</v>
      </c>
      <c r="P348" t="n">
        <v>0</v>
      </c>
      <c r="Q348" t="n">
        <v>0</v>
      </c>
      <c r="R348" s="2" t="inlineStr"/>
    </row>
    <row r="349" ht="15" customHeight="1">
      <c r="A349" t="inlineStr">
        <is>
          <t>A 51080-2024</t>
        </is>
      </c>
      <c r="B349" s="1" t="n">
        <v>45603.4574074074</v>
      </c>
      <c r="C349" s="1" t="n">
        <v>46000</v>
      </c>
      <c r="D349" t="inlineStr">
        <is>
          <t>DALARNAS LÄN</t>
        </is>
      </c>
      <c r="E349" t="inlineStr">
        <is>
          <t>LUDVIKA</t>
        </is>
      </c>
      <c r="F349" t="inlineStr">
        <is>
          <t>Naturvårdsverket</t>
        </is>
      </c>
      <c r="G349" t="n">
        <v>0.8</v>
      </c>
      <c r="H349" t="n">
        <v>0</v>
      </c>
      <c r="I349" t="n">
        <v>0</v>
      </c>
      <c r="J349" t="n">
        <v>0</v>
      </c>
      <c r="K349" t="n">
        <v>0</v>
      </c>
      <c r="L349" t="n">
        <v>0</v>
      </c>
      <c r="M349" t="n">
        <v>0</v>
      </c>
      <c r="N349" t="n">
        <v>0</v>
      </c>
      <c r="O349" t="n">
        <v>0</v>
      </c>
      <c r="P349" t="n">
        <v>0</v>
      </c>
      <c r="Q349" t="n">
        <v>0</v>
      </c>
      <c r="R349" s="2" t="inlineStr"/>
    </row>
    <row r="350" ht="15" customHeight="1">
      <c r="A350" t="inlineStr">
        <is>
          <t>A 44732-2024</t>
        </is>
      </c>
      <c r="B350" s="1" t="n">
        <v>45574</v>
      </c>
      <c r="C350" s="1" t="n">
        <v>46000</v>
      </c>
      <c r="D350" t="inlineStr">
        <is>
          <t>DALARNAS LÄN</t>
        </is>
      </c>
      <c r="E350" t="inlineStr">
        <is>
          <t>LUDVIKA</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31144-2025</t>
        </is>
      </c>
      <c r="B351" s="1" t="n">
        <v>45832</v>
      </c>
      <c r="C351" s="1" t="n">
        <v>46000</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31818-2025</t>
        </is>
      </c>
      <c r="B352" s="1" t="n">
        <v>45834.57716435185</v>
      </c>
      <c r="C352" s="1" t="n">
        <v>46000</v>
      </c>
      <c r="D352" t="inlineStr">
        <is>
          <t>DALARNAS LÄN</t>
        </is>
      </c>
      <c r="E352" t="inlineStr">
        <is>
          <t>LUDVIKA</t>
        </is>
      </c>
      <c r="G352" t="n">
        <v>2.5</v>
      </c>
      <c r="H352" t="n">
        <v>0</v>
      </c>
      <c r="I352" t="n">
        <v>0</v>
      </c>
      <c r="J352" t="n">
        <v>0</v>
      </c>
      <c r="K352" t="n">
        <v>0</v>
      </c>
      <c r="L352" t="n">
        <v>0</v>
      </c>
      <c r="M352" t="n">
        <v>0</v>
      </c>
      <c r="N352" t="n">
        <v>0</v>
      </c>
      <c r="O352" t="n">
        <v>0</v>
      </c>
      <c r="P352" t="n">
        <v>0</v>
      </c>
      <c r="Q352" t="n">
        <v>0</v>
      </c>
      <c r="R352" s="2" t="inlineStr"/>
    </row>
    <row r="353" ht="15" customHeight="1">
      <c r="A353" t="inlineStr">
        <is>
          <t>A 45858-2025</t>
        </is>
      </c>
      <c r="B353" s="1" t="n">
        <v>45923.64064814815</v>
      </c>
      <c r="C353" s="1" t="n">
        <v>46000</v>
      </c>
      <c r="D353" t="inlineStr">
        <is>
          <t>DALARNAS LÄN</t>
        </is>
      </c>
      <c r="E353" t="inlineStr">
        <is>
          <t>LUDVIKA</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56346-2022</t>
        </is>
      </c>
      <c r="B354" s="1" t="n">
        <v>44890</v>
      </c>
      <c r="C354" s="1" t="n">
        <v>46000</v>
      </c>
      <c r="D354" t="inlineStr">
        <is>
          <t>DALARNAS LÄN</t>
        </is>
      </c>
      <c r="E354" t="inlineStr">
        <is>
          <t>LUDVIKA</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32224-2025</t>
        </is>
      </c>
      <c r="B355" s="1" t="n">
        <v>45835</v>
      </c>
      <c r="C355" s="1" t="n">
        <v>46000</v>
      </c>
      <c r="D355" t="inlineStr">
        <is>
          <t>DALARNAS LÄN</t>
        </is>
      </c>
      <c r="E355" t="inlineStr">
        <is>
          <t>LUDVIKA</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54035-2025</t>
        </is>
      </c>
      <c r="B356" s="1" t="n">
        <v>45963.40699074074</v>
      </c>
      <c r="C356" s="1" t="n">
        <v>46000</v>
      </c>
      <c r="D356" t="inlineStr">
        <is>
          <t>DALARNAS LÄN</t>
        </is>
      </c>
      <c r="E356" t="inlineStr">
        <is>
          <t>LUDVIKA</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32019-2025</t>
        </is>
      </c>
      <c r="B357" s="1" t="n">
        <v>45835</v>
      </c>
      <c r="C357" s="1" t="n">
        <v>46000</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43762-2025</t>
        </is>
      </c>
      <c r="B358" s="1" t="n">
        <v>45912</v>
      </c>
      <c r="C358" s="1" t="n">
        <v>46000</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45045-2023</t>
        </is>
      </c>
      <c r="B359" s="1" t="n">
        <v>45191.34273148148</v>
      </c>
      <c r="C359" s="1" t="n">
        <v>46000</v>
      </c>
      <c r="D359" t="inlineStr">
        <is>
          <t>DALARNAS LÄN</t>
        </is>
      </c>
      <c r="E359" t="inlineStr">
        <is>
          <t>LUDVIKA</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54341-2025</t>
        </is>
      </c>
      <c r="B360" s="1" t="n">
        <v>45965.36070601852</v>
      </c>
      <c r="C360" s="1" t="n">
        <v>46000</v>
      </c>
      <c r="D360" t="inlineStr">
        <is>
          <t>DALARNAS LÄN</t>
        </is>
      </c>
      <c r="E360" t="inlineStr">
        <is>
          <t>LUDVIKA</t>
        </is>
      </c>
      <c r="G360" t="n">
        <v>0.6</v>
      </c>
      <c r="H360" t="n">
        <v>0</v>
      </c>
      <c r="I360" t="n">
        <v>0</v>
      </c>
      <c r="J360" t="n">
        <v>0</v>
      </c>
      <c r="K360" t="n">
        <v>0</v>
      </c>
      <c r="L360" t="n">
        <v>0</v>
      </c>
      <c r="M360" t="n">
        <v>0</v>
      </c>
      <c r="N360" t="n">
        <v>0</v>
      </c>
      <c r="O360" t="n">
        <v>0</v>
      </c>
      <c r="P360" t="n">
        <v>0</v>
      </c>
      <c r="Q360" t="n">
        <v>0</v>
      </c>
      <c r="R360" s="2" t="inlineStr"/>
    </row>
    <row r="361" ht="15" customHeight="1">
      <c r="A361" t="inlineStr">
        <is>
          <t>A 46024-2025</t>
        </is>
      </c>
      <c r="B361" s="1" t="n">
        <v>45924.43376157407</v>
      </c>
      <c r="C361" s="1" t="n">
        <v>46000</v>
      </c>
      <c r="D361" t="inlineStr">
        <is>
          <t>DALARNAS LÄN</t>
        </is>
      </c>
      <c r="E361" t="inlineStr">
        <is>
          <t>LUDVIKA</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45940-2025</t>
        </is>
      </c>
      <c r="B362" s="1" t="n">
        <v>45924</v>
      </c>
      <c r="C362" s="1" t="n">
        <v>46000</v>
      </c>
      <c r="D362" t="inlineStr">
        <is>
          <t>DALARNAS LÄN</t>
        </is>
      </c>
      <c r="E362" t="inlineStr">
        <is>
          <t>LUDVIKA</t>
        </is>
      </c>
      <c r="F362" t="inlineStr">
        <is>
          <t>Bergvik skog väst AB</t>
        </is>
      </c>
      <c r="G362" t="n">
        <v>4.5</v>
      </c>
      <c r="H362" t="n">
        <v>0</v>
      </c>
      <c r="I362" t="n">
        <v>0</v>
      </c>
      <c r="J362" t="n">
        <v>0</v>
      </c>
      <c r="K362" t="n">
        <v>0</v>
      </c>
      <c r="L362" t="n">
        <v>0</v>
      </c>
      <c r="M362" t="n">
        <v>0</v>
      </c>
      <c r="N362" t="n">
        <v>0</v>
      </c>
      <c r="O362" t="n">
        <v>0</v>
      </c>
      <c r="P362" t="n">
        <v>0</v>
      </c>
      <c r="Q362" t="n">
        <v>0</v>
      </c>
      <c r="R362" s="2" t="inlineStr"/>
    </row>
    <row r="363" ht="15" customHeight="1">
      <c r="A363" t="inlineStr">
        <is>
          <t>A 32424-2025</t>
        </is>
      </c>
      <c r="B363" s="1" t="n">
        <v>45838</v>
      </c>
      <c r="C363" s="1" t="n">
        <v>46000</v>
      </c>
      <c r="D363" t="inlineStr">
        <is>
          <t>DALARNAS LÄN</t>
        </is>
      </c>
      <c r="E363" t="inlineStr">
        <is>
          <t>LUDVIKA</t>
        </is>
      </c>
      <c r="F363" t="inlineStr">
        <is>
          <t>Bergvik skog väst AB</t>
        </is>
      </c>
      <c r="G363" t="n">
        <v>10.9</v>
      </c>
      <c r="H363" t="n">
        <v>0</v>
      </c>
      <c r="I363" t="n">
        <v>0</v>
      </c>
      <c r="J363" t="n">
        <v>0</v>
      </c>
      <c r="K363" t="n">
        <v>0</v>
      </c>
      <c r="L363" t="n">
        <v>0</v>
      </c>
      <c r="M363" t="n">
        <v>0</v>
      </c>
      <c r="N363" t="n">
        <v>0</v>
      </c>
      <c r="O363" t="n">
        <v>0</v>
      </c>
      <c r="P363" t="n">
        <v>0</v>
      </c>
      <c r="Q363" t="n">
        <v>0</v>
      </c>
      <c r="R363" s="2" t="inlineStr"/>
    </row>
    <row r="364" ht="15" customHeight="1">
      <c r="A364" t="inlineStr">
        <is>
          <t>A 74432-2021</t>
        </is>
      </c>
      <c r="B364" s="1" t="n">
        <v>44560.4366087963</v>
      </c>
      <c r="C364" s="1" t="n">
        <v>46000</v>
      </c>
      <c r="D364" t="inlineStr">
        <is>
          <t>DALARNAS LÄN</t>
        </is>
      </c>
      <c r="E364" t="inlineStr">
        <is>
          <t>LUDVIKA</t>
        </is>
      </c>
      <c r="F364" t="inlineStr">
        <is>
          <t>Kommuner</t>
        </is>
      </c>
      <c r="G364" t="n">
        <v>1</v>
      </c>
      <c r="H364" t="n">
        <v>0</v>
      </c>
      <c r="I364" t="n">
        <v>0</v>
      </c>
      <c r="J364" t="n">
        <v>0</v>
      </c>
      <c r="K364" t="n">
        <v>0</v>
      </c>
      <c r="L364" t="n">
        <v>0</v>
      </c>
      <c r="M364" t="n">
        <v>0</v>
      </c>
      <c r="N364" t="n">
        <v>0</v>
      </c>
      <c r="O364" t="n">
        <v>0</v>
      </c>
      <c r="P364" t="n">
        <v>0</v>
      </c>
      <c r="Q364" t="n">
        <v>0</v>
      </c>
      <c r="R364" s="2" t="inlineStr"/>
    </row>
    <row r="365" ht="15" customHeight="1">
      <c r="A365" t="inlineStr">
        <is>
          <t>A 33249-2025</t>
        </is>
      </c>
      <c r="B365" s="1" t="n">
        <v>45840</v>
      </c>
      <c r="C365" s="1" t="n">
        <v>46000</v>
      </c>
      <c r="D365" t="inlineStr">
        <is>
          <t>DALARNAS LÄN</t>
        </is>
      </c>
      <c r="E365" t="inlineStr">
        <is>
          <t>LUDVIKA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46317-2025</t>
        </is>
      </c>
      <c r="B366" s="1" t="n">
        <v>45925</v>
      </c>
      <c r="C366" s="1" t="n">
        <v>46000</v>
      </c>
      <c r="D366" t="inlineStr">
        <is>
          <t>DALARNAS LÄN</t>
        </is>
      </c>
      <c r="E366" t="inlineStr">
        <is>
          <t>LUDVIKA</t>
        </is>
      </c>
      <c r="G366" t="n">
        <v>1</v>
      </c>
      <c r="H366" t="n">
        <v>0</v>
      </c>
      <c r="I366" t="n">
        <v>0</v>
      </c>
      <c r="J366" t="n">
        <v>0</v>
      </c>
      <c r="K366" t="n">
        <v>0</v>
      </c>
      <c r="L366" t="n">
        <v>0</v>
      </c>
      <c r="M366" t="n">
        <v>0</v>
      </c>
      <c r="N366" t="n">
        <v>0</v>
      </c>
      <c r="O366" t="n">
        <v>0</v>
      </c>
      <c r="P366" t="n">
        <v>0</v>
      </c>
      <c r="Q366" t="n">
        <v>0</v>
      </c>
      <c r="R366" s="2" t="inlineStr"/>
    </row>
    <row r="367" ht="15" customHeight="1">
      <c r="A367" t="inlineStr">
        <is>
          <t>A 55961-2024</t>
        </is>
      </c>
      <c r="B367" s="1" t="n">
        <v>45623.64104166667</v>
      </c>
      <c r="C367" s="1" t="n">
        <v>46000</v>
      </c>
      <c r="D367" t="inlineStr">
        <is>
          <t>DALARNAS LÄN</t>
        </is>
      </c>
      <c r="E367" t="inlineStr">
        <is>
          <t>LUDVIKA</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33063-2025</t>
        </is>
      </c>
      <c r="B368" s="1" t="n">
        <v>45840</v>
      </c>
      <c r="C368" s="1" t="n">
        <v>46000</v>
      </c>
      <c r="D368" t="inlineStr">
        <is>
          <t>DALARNAS LÄN</t>
        </is>
      </c>
      <c r="E368" t="inlineStr">
        <is>
          <t>LUDVIKA</t>
        </is>
      </c>
      <c r="G368" t="n">
        <v>0.7</v>
      </c>
      <c r="H368" t="n">
        <v>0</v>
      </c>
      <c r="I368" t="n">
        <v>0</v>
      </c>
      <c r="J368" t="n">
        <v>0</v>
      </c>
      <c r="K368" t="n">
        <v>0</v>
      </c>
      <c r="L368" t="n">
        <v>0</v>
      </c>
      <c r="M368" t="n">
        <v>0</v>
      </c>
      <c r="N368" t="n">
        <v>0</v>
      </c>
      <c r="O368" t="n">
        <v>0</v>
      </c>
      <c r="P368" t="n">
        <v>0</v>
      </c>
      <c r="Q368" t="n">
        <v>0</v>
      </c>
      <c r="R368" s="2" t="inlineStr"/>
    </row>
    <row r="369" ht="15" customHeight="1">
      <c r="A369" t="inlineStr">
        <is>
          <t>A 46029-2025</t>
        </is>
      </c>
      <c r="B369" s="1" t="n">
        <v>45924.44282407407</v>
      </c>
      <c r="C369" s="1" t="n">
        <v>46000</v>
      </c>
      <c r="D369" t="inlineStr">
        <is>
          <t>DALARNAS LÄN</t>
        </is>
      </c>
      <c r="E369" t="inlineStr">
        <is>
          <t>LUDVIKA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46040-2025</t>
        </is>
      </c>
      <c r="B370" s="1" t="n">
        <v>45924.45159722222</v>
      </c>
      <c r="C370" s="1" t="n">
        <v>46000</v>
      </c>
      <c r="D370" t="inlineStr">
        <is>
          <t>DALARNAS LÄN</t>
        </is>
      </c>
      <c r="E370" t="inlineStr">
        <is>
          <t>LUDVIKA</t>
        </is>
      </c>
      <c r="F370" t="inlineStr">
        <is>
          <t>Bergvik skog väst AB</t>
        </is>
      </c>
      <c r="G370" t="n">
        <v>3.8</v>
      </c>
      <c r="H370" t="n">
        <v>0</v>
      </c>
      <c r="I370" t="n">
        <v>0</v>
      </c>
      <c r="J370" t="n">
        <v>0</v>
      </c>
      <c r="K370" t="n">
        <v>0</v>
      </c>
      <c r="L370" t="n">
        <v>0</v>
      </c>
      <c r="M370" t="n">
        <v>0</v>
      </c>
      <c r="N370" t="n">
        <v>0</v>
      </c>
      <c r="O370" t="n">
        <v>0</v>
      </c>
      <c r="P370" t="n">
        <v>0</v>
      </c>
      <c r="Q370" t="n">
        <v>0</v>
      </c>
      <c r="R370" s="2" t="inlineStr"/>
    </row>
    <row r="371" ht="15" customHeight="1">
      <c r="A371" t="inlineStr">
        <is>
          <t>A 46054-2025</t>
        </is>
      </c>
      <c r="B371" s="1" t="n">
        <v>45924.46261574074</v>
      </c>
      <c r="C371" s="1" t="n">
        <v>46000</v>
      </c>
      <c r="D371" t="inlineStr">
        <is>
          <t>DALARNAS LÄN</t>
        </is>
      </c>
      <c r="E371" t="inlineStr">
        <is>
          <t>LUDVIKA</t>
        </is>
      </c>
      <c r="F371" t="inlineStr">
        <is>
          <t>Bergvik skog väst AB</t>
        </is>
      </c>
      <c r="G371" t="n">
        <v>4.5</v>
      </c>
      <c r="H371" t="n">
        <v>0</v>
      </c>
      <c r="I371" t="n">
        <v>0</v>
      </c>
      <c r="J371" t="n">
        <v>0</v>
      </c>
      <c r="K371" t="n">
        <v>0</v>
      </c>
      <c r="L371" t="n">
        <v>0</v>
      </c>
      <c r="M371" t="n">
        <v>0</v>
      </c>
      <c r="N371" t="n">
        <v>0</v>
      </c>
      <c r="O371" t="n">
        <v>0</v>
      </c>
      <c r="P371" t="n">
        <v>0</v>
      </c>
      <c r="Q371" t="n">
        <v>0</v>
      </c>
      <c r="R371" s="2" t="inlineStr"/>
    </row>
    <row r="372" ht="15" customHeight="1">
      <c r="A372" t="inlineStr">
        <is>
          <t>A 46045-2025</t>
        </is>
      </c>
      <c r="B372" s="1" t="n">
        <v>45924.45614583333</v>
      </c>
      <c r="C372" s="1" t="n">
        <v>46000</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46108-2025</t>
        </is>
      </c>
      <c r="B373" s="1" t="n">
        <v>45924.55571759259</v>
      </c>
      <c r="C373" s="1" t="n">
        <v>46000</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54673-2025</t>
        </is>
      </c>
      <c r="B374" s="1" t="n">
        <v>45966.41693287037</v>
      </c>
      <c r="C374" s="1" t="n">
        <v>46000</v>
      </c>
      <c r="D374" t="inlineStr">
        <is>
          <t>DALARNAS LÄN</t>
        </is>
      </c>
      <c r="E374" t="inlineStr">
        <is>
          <t>LUDVIKA</t>
        </is>
      </c>
      <c r="F374" t="inlineStr">
        <is>
          <t>Bergvik skog väst AB</t>
        </is>
      </c>
      <c r="G374" t="n">
        <v>5.8</v>
      </c>
      <c r="H374" t="n">
        <v>0</v>
      </c>
      <c r="I374" t="n">
        <v>0</v>
      </c>
      <c r="J374" t="n">
        <v>0</v>
      </c>
      <c r="K374" t="n">
        <v>0</v>
      </c>
      <c r="L374" t="n">
        <v>0</v>
      </c>
      <c r="M374" t="n">
        <v>0</v>
      </c>
      <c r="N374" t="n">
        <v>0</v>
      </c>
      <c r="O374" t="n">
        <v>0</v>
      </c>
      <c r="P374" t="n">
        <v>0</v>
      </c>
      <c r="Q374" t="n">
        <v>0</v>
      </c>
      <c r="R374" s="2" t="inlineStr"/>
    </row>
    <row r="375" ht="15" customHeight="1">
      <c r="A375" t="inlineStr">
        <is>
          <t>A 15128-2025</t>
        </is>
      </c>
      <c r="B375" s="1" t="n">
        <v>45744.38216435185</v>
      </c>
      <c r="C375" s="1" t="n">
        <v>46000</v>
      </c>
      <c r="D375" t="inlineStr">
        <is>
          <t>DALARNAS LÄN</t>
        </is>
      </c>
      <c r="E375" t="inlineStr">
        <is>
          <t>LUDVIKA</t>
        </is>
      </c>
      <c r="F375" t="inlineStr">
        <is>
          <t>Bergvik skog väst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33244-2025</t>
        </is>
      </c>
      <c r="B376" s="1" t="n">
        <v>45840</v>
      </c>
      <c r="C376" s="1" t="n">
        <v>46000</v>
      </c>
      <c r="D376" t="inlineStr">
        <is>
          <t>DALARNAS LÄN</t>
        </is>
      </c>
      <c r="E376" t="inlineStr">
        <is>
          <t>LUDVIKA</t>
        </is>
      </c>
      <c r="F376" t="inlineStr">
        <is>
          <t>Bergvik skog väst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36297-2023</t>
        </is>
      </c>
      <c r="B377" s="1" t="n">
        <v>45152.36019675926</v>
      </c>
      <c r="C377" s="1" t="n">
        <v>46000</v>
      </c>
      <c r="D377" t="inlineStr">
        <is>
          <t>DALARNAS LÄN</t>
        </is>
      </c>
      <c r="E377" t="inlineStr">
        <is>
          <t>LUDVIKA</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34067-2025</t>
        </is>
      </c>
      <c r="B378" s="1" t="n">
        <v>45845</v>
      </c>
      <c r="C378" s="1" t="n">
        <v>46000</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47044-2025</t>
        </is>
      </c>
      <c r="B379" s="1" t="n">
        <v>45929.60186342592</v>
      </c>
      <c r="C379" s="1" t="n">
        <v>46000</v>
      </c>
      <c r="D379" t="inlineStr">
        <is>
          <t>DALARNAS LÄN</t>
        </is>
      </c>
      <c r="E379" t="inlineStr">
        <is>
          <t>LUDVIKA</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31043-2024</t>
        </is>
      </c>
      <c r="B380" s="1" t="n">
        <v>45502.30283564814</v>
      </c>
      <c r="C380" s="1" t="n">
        <v>46000</v>
      </c>
      <c r="D380" t="inlineStr">
        <is>
          <t>DALARNAS LÄN</t>
        </is>
      </c>
      <c r="E380" t="inlineStr">
        <is>
          <t>LUDVIKA</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65195-2021</t>
        </is>
      </c>
      <c r="B381" s="1" t="n">
        <v>44515.48929398148</v>
      </c>
      <c r="C381" s="1" t="n">
        <v>46000</v>
      </c>
      <c r="D381" t="inlineStr">
        <is>
          <t>DALARNAS LÄN</t>
        </is>
      </c>
      <c r="E381" t="inlineStr">
        <is>
          <t>LUDVIKA</t>
        </is>
      </c>
      <c r="F381" t="inlineStr">
        <is>
          <t>Bergvik skog väst AB</t>
        </is>
      </c>
      <c r="G381" t="n">
        <v>0.5</v>
      </c>
      <c r="H381" t="n">
        <v>0</v>
      </c>
      <c r="I381" t="n">
        <v>0</v>
      </c>
      <c r="J381" t="n">
        <v>0</v>
      </c>
      <c r="K381" t="n">
        <v>0</v>
      </c>
      <c r="L381" t="n">
        <v>0</v>
      </c>
      <c r="M381" t="n">
        <v>0</v>
      </c>
      <c r="N381" t="n">
        <v>0</v>
      </c>
      <c r="O381" t="n">
        <v>0</v>
      </c>
      <c r="P381" t="n">
        <v>0</v>
      </c>
      <c r="Q381" t="n">
        <v>0</v>
      </c>
      <c r="R381" s="2" t="inlineStr"/>
    </row>
    <row r="382" ht="15" customHeight="1">
      <c r="A382" t="inlineStr">
        <is>
          <t>A 55450-2025</t>
        </is>
      </c>
      <c r="B382" s="1" t="n">
        <v>45971.50697916667</v>
      </c>
      <c r="C382" s="1" t="n">
        <v>46000</v>
      </c>
      <c r="D382" t="inlineStr">
        <is>
          <t>DALARNAS LÄN</t>
        </is>
      </c>
      <c r="E382" t="inlineStr">
        <is>
          <t>LUDVIKA</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55422-2025</t>
        </is>
      </c>
      <c r="B383" s="1" t="n">
        <v>45971.47175925926</v>
      </c>
      <c r="C383" s="1" t="n">
        <v>46000</v>
      </c>
      <c r="D383" t="inlineStr">
        <is>
          <t>DALARNAS LÄN</t>
        </is>
      </c>
      <c r="E383" t="inlineStr">
        <is>
          <t>LUDVIKA</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55426-2025</t>
        </is>
      </c>
      <c r="B384" s="1" t="n">
        <v>45971.47452546296</v>
      </c>
      <c r="C384" s="1" t="n">
        <v>46000</v>
      </c>
      <c r="D384" t="inlineStr">
        <is>
          <t>DALARNAS LÄN</t>
        </is>
      </c>
      <c r="E384" t="inlineStr">
        <is>
          <t>LUDVIKA</t>
        </is>
      </c>
      <c r="F384" t="inlineStr">
        <is>
          <t>Bergvik skog väst AB</t>
        </is>
      </c>
      <c r="G384" t="n">
        <v>5.3</v>
      </c>
      <c r="H384" t="n">
        <v>0</v>
      </c>
      <c r="I384" t="n">
        <v>0</v>
      </c>
      <c r="J384" t="n">
        <v>0</v>
      </c>
      <c r="K384" t="n">
        <v>0</v>
      </c>
      <c r="L384" t="n">
        <v>0</v>
      </c>
      <c r="M384" t="n">
        <v>0</v>
      </c>
      <c r="N384" t="n">
        <v>0</v>
      </c>
      <c r="O384" t="n">
        <v>0</v>
      </c>
      <c r="P384" t="n">
        <v>0</v>
      </c>
      <c r="Q384" t="n">
        <v>0</v>
      </c>
      <c r="R384" s="2" t="inlineStr"/>
    </row>
    <row r="385" ht="15" customHeight="1">
      <c r="A385" t="inlineStr">
        <is>
          <t>A 47086-2025</t>
        </is>
      </c>
      <c r="B385" s="1" t="n">
        <v>45929.6437962963</v>
      </c>
      <c r="C385" s="1" t="n">
        <v>46000</v>
      </c>
      <c r="D385" t="inlineStr">
        <is>
          <t>DALARNAS LÄN</t>
        </is>
      </c>
      <c r="E385" t="inlineStr">
        <is>
          <t>LUDVIKA</t>
        </is>
      </c>
      <c r="F385" t="inlineStr">
        <is>
          <t>Bergvik skog väst AB</t>
        </is>
      </c>
      <c r="G385" t="n">
        <v>1.6</v>
      </c>
      <c r="H385" t="n">
        <v>0</v>
      </c>
      <c r="I385" t="n">
        <v>0</v>
      </c>
      <c r="J385" t="n">
        <v>0</v>
      </c>
      <c r="K385" t="n">
        <v>0</v>
      </c>
      <c r="L385" t="n">
        <v>0</v>
      </c>
      <c r="M385" t="n">
        <v>0</v>
      </c>
      <c r="N385" t="n">
        <v>0</v>
      </c>
      <c r="O385" t="n">
        <v>0</v>
      </c>
      <c r="P385" t="n">
        <v>0</v>
      </c>
      <c r="Q385" t="n">
        <v>0</v>
      </c>
      <c r="R385" s="2" t="inlineStr"/>
    </row>
    <row r="386" ht="15" customHeight="1">
      <c r="A386" t="inlineStr">
        <is>
          <t>A 55372-2025</t>
        </is>
      </c>
      <c r="B386" s="1" t="n">
        <v>45971.41719907407</v>
      </c>
      <c r="C386" s="1" t="n">
        <v>46000</v>
      </c>
      <c r="D386" t="inlineStr">
        <is>
          <t>DALARNAS LÄN</t>
        </is>
      </c>
      <c r="E386" t="inlineStr">
        <is>
          <t>LUDVIKA</t>
        </is>
      </c>
      <c r="F386" t="inlineStr">
        <is>
          <t>Bergvik skog väst AB</t>
        </is>
      </c>
      <c r="G386" t="n">
        <v>4.6</v>
      </c>
      <c r="H386" t="n">
        <v>0</v>
      </c>
      <c r="I386" t="n">
        <v>0</v>
      </c>
      <c r="J386" t="n">
        <v>0</v>
      </c>
      <c r="K386" t="n">
        <v>0</v>
      </c>
      <c r="L386" t="n">
        <v>0</v>
      </c>
      <c r="M386" t="n">
        <v>0</v>
      </c>
      <c r="N386" t="n">
        <v>0</v>
      </c>
      <c r="O386" t="n">
        <v>0</v>
      </c>
      <c r="P386" t="n">
        <v>0</v>
      </c>
      <c r="Q386" t="n">
        <v>0</v>
      </c>
      <c r="R386" s="2" t="inlineStr"/>
    </row>
    <row r="387" ht="15" customHeight="1">
      <c r="A387" t="inlineStr">
        <is>
          <t>A 56685-2022</t>
        </is>
      </c>
      <c r="B387" s="1" t="n">
        <v>44893.675</v>
      </c>
      <c r="C387" s="1" t="n">
        <v>46000</v>
      </c>
      <c r="D387" t="inlineStr">
        <is>
          <t>DALARNAS LÄN</t>
        </is>
      </c>
      <c r="E387" t="inlineStr">
        <is>
          <t>LUDVIKA</t>
        </is>
      </c>
      <c r="G387" t="n">
        <v>0.6</v>
      </c>
      <c r="H387" t="n">
        <v>0</v>
      </c>
      <c r="I387" t="n">
        <v>0</v>
      </c>
      <c r="J387" t="n">
        <v>0</v>
      </c>
      <c r="K387" t="n">
        <v>0</v>
      </c>
      <c r="L387" t="n">
        <v>0</v>
      </c>
      <c r="M387" t="n">
        <v>0</v>
      </c>
      <c r="N387" t="n">
        <v>0</v>
      </c>
      <c r="O387" t="n">
        <v>0</v>
      </c>
      <c r="P387" t="n">
        <v>0</v>
      </c>
      <c r="Q387" t="n">
        <v>0</v>
      </c>
      <c r="R387" s="2" t="inlineStr"/>
    </row>
    <row r="388" ht="15" customHeight="1">
      <c r="A388" t="inlineStr">
        <is>
          <t>A 46598-2025</t>
        </is>
      </c>
      <c r="B388" s="1" t="n">
        <v>45926</v>
      </c>
      <c r="C388" s="1" t="n">
        <v>46000</v>
      </c>
      <c r="D388" t="inlineStr">
        <is>
          <t>DALARNAS LÄN</t>
        </is>
      </c>
      <c r="E388" t="inlineStr">
        <is>
          <t>LUDVIKA</t>
        </is>
      </c>
      <c r="F388" t="inlineStr">
        <is>
          <t>Bergvik skog väst AB</t>
        </is>
      </c>
      <c r="G388" t="n">
        <v>0.4</v>
      </c>
      <c r="H388" t="n">
        <v>0</v>
      </c>
      <c r="I388" t="n">
        <v>0</v>
      </c>
      <c r="J388" t="n">
        <v>0</v>
      </c>
      <c r="K388" t="n">
        <v>0</v>
      </c>
      <c r="L388" t="n">
        <v>0</v>
      </c>
      <c r="M388" t="n">
        <v>0</v>
      </c>
      <c r="N388" t="n">
        <v>0</v>
      </c>
      <c r="O388" t="n">
        <v>0</v>
      </c>
      <c r="P388" t="n">
        <v>0</v>
      </c>
      <c r="Q388" t="n">
        <v>0</v>
      </c>
      <c r="R388" s="2" t="inlineStr"/>
    </row>
    <row r="389" ht="15" customHeight="1">
      <c r="A389" t="inlineStr">
        <is>
          <t>A 46603-2025</t>
        </is>
      </c>
      <c r="B389" s="1" t="n">
        <v>45926</v>
      </c>
      <c r="C389" s="1" t="n">
        <v>46000</v>
      </c>
      <c r="D389" t="inlineStr">
        <is>
          <t>DALARNAS LÄN</t>
        </is>
      </c>
      <c r="E389" t="inlineStr">
        <is>
          <t>LUDVIKA</t>
        </is>
      </c>
      <c r="F389" t="inlineStr">
        <is>
          <t>Bergvik skog väst AB</t>
        </is>
      </c>
      <c r="G389" t="n">
        <v>1</v>
      </c>
      <c r="H389" t="n">
        <v>0</v>
      </c>
      <c r="I389" t="n">
        <v>0</v>
      </c>
      <c r="J389" t="n">
        <v>0</v>
      </c>
      <c r="K389" t="n">
        <v>0</v>
      </c>
      <c r="L389" t="n">
        <v>0</v>
      </c>
      <c r="M389" t="n">
        <v>0</v>
      </c>
      <c r="N389" t="n">
        <v>0</v>
      </c>
      <c r="O389" t="n">
        <v>0</v>
      </c>
      <c r="P389" t="n">
        <v>0</v>
      </c>
      <c r="Q389" t="n">
        <v>0</v>
      </c>
      <c r="R389" s="2" t="inlineStr"/>
    </row>
    <row r="390" ht="15" customHeight="1">
      <c r="A390" t="inlineStr">
        <is>
          <t>A 34070-2025</t>
        </is>
      </c>
      <c r="B390" s="1" t="n">
        <v>45845</v>
      </c>
      <c r="C390" s="1" t="n">
        <v>46000</v>
      </c>
      <c r="D390" t="inlineStr">
        <is>
          <t>DALARNAS LÄN</t>
        </is>
      </c>
      <c r="E390" t="inlineStr">
        <is>
          <t>LUDVIKA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34403-2025</t>
        </is>
      </c>
      <c r="B391" s="1" t="n">
        <v>45846</v>
      </c>
      <c r="C391" s="1" t="n">
        <v>46000</v>
      </c>
      <c r="D391" t="inlineStr">
        <is>
          <t>DALARNAS LÄN</t>
        </is>
      </c>
      <c r="E391" t="inlineStr">
        <is>
          <t>LUDVIKA</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46517-2025</t>
        </is>
      </c>
      <c r="B392" s="1" t="n">
        <v>45926</v>
      </c>
      <c r="C392" s="1" t="n">
        <v>46000</v>
      </c>
      <c r="D392" t="inlineStr">
        <is>
          <t>DALARNAS LÄN</t>
        </is>
      </c>
      <c r="E392" t="inlineStr">
        <is>
          <t>LUDVIKA</t>
        </is>
      </c>
      <c r="F392" t="inlineStr">
        <is>
          <t>Bergvik skog väst AB</t>
        </is>
      </c>
      <c r="G392" t="n">
        <v>2.4</v>
      </c>
      <c r="H392" t="n">
        <v>0</v>
      </c>
      <c r="I392" t="n">
        <v>0</v>
      </c>
      <c r="J392" t="n">
        <v>0</v>
      </c>
      <c r="K392" t="n">
        <v>0</v>
      </c>
      <c r="L392" t="n">
        <v>0</v>
      </c>
      <c r="M392" t="n">
        <v>0</v>
      </c>
      <c r="N392" t="n">
        <v>0</v>
      </c>
      <c r="O392" t="n">
        <v>0</v>
      </c>
      <c r="P392" t="n">
        <v>0</v>
      </c>
      <c r="Q392" t="n">
        <v>0</v>
      </c>
      <c r="R392" s="2" t="inlineStr"/>
    </row>
    <row r="393" ht="15" customHeight="1">
      <c r="A393" t="inlineStr">
        <is>
          <t>A 11797-2023</t>
        </is>
      </c>
      <c r="B393" s="1" t="n">
        <v>44994</v>
      </c>
      <c r="C393" s="1" t="n">
        <v>46000</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47032-2025</t>
        </is>
      </c>
      <c r="B394" s="1" t="n">
        <v>45929.59041666667</v>
      </c>
      <c r="C394" s="1" t="n">
        <v>46000</v>
      </c>
      <c r="D394" t="inlineStr">
        <is>
          <t>DALARNAS LÄN</t>
        </is>
      </c>
      <c r="E394" t="inlineStr">
        <is>
          <t>LUDVIKA</t>
        </is>
      </c>
      <c r="F394" t="inlineStr">
        <is>
          <t>Bergvik skog väst AB</t>
        </is>
      </c>
      <c r="G394" t="n">
        <v>1.9</v>
      </c>
      <c r="H394" t="n">
        <v>0</v>
      </c>
      <c r="I394" t="n">
        <v>0</v>
      </c>
      <c r="J394" t="n">
        <v>0</v>
      </c>
      <c r="K394" t="n">
        <v>0</v>
      </c>
      <c r="L394" t="n">
        <v>0</v>
      </c>
      <c r="M394" t="n">
        <v>0</v>
      </c>
      <c r="N394" t="n">
        <v>0</v>
      </c>
      <c r="O394" t="n">
        <v>0</v>
      </c>
      <c r="P394" t="n">
        <v>0</v>
      </c>
      <c r="Q394" t="n">
        <v>0</v>
      </c>
      <c r="R394" s="2" t="inlineStr"/>
    </row>
    <row r="395" ht="15" customHeight="1">
      <c r="A395" t="inlineStr">
        <is>
          <t>A 34522-2025</t>
        </is>
      </c>
      <c r="B395" s="1" t="n">
        <v>45847</v>
      </c>
      <c r="C395" s="1" t="n">
        <v>46000</v>
      </c>
      <c r="D395" t="inlineStr">
        <is>
          <t>DALARNAS LÄN</t>
        </is>
      </c>
      <c r="E395" t="inlineStr">
        <is>
          <t>LUDVIKA</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46721-2025</t>
        </is>
      </c>
      <c r="B396" s="1" t="n">
        <v>45926.58377314815</v>
      </c>
      <c r="C396" s="1" t="n">
        <v>46000</v>
      </c>
      <c r="D396" t="inlineStr">
        <is>
          <t>DALARNAS LÄN</t>
        </is>
      </c>
      <c r="E396" t="inlineStr">
        <is>
          <t>LUDVIKA</t>
        </is>
      </c>
      <c r="F396" t="inlineStr">
        <is>
          <t>Bergvik skog väst AB</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34492-2025</t>
        </is>
      </c>
      <c r="B397" s="1" t="n">
        <v>45847</v>
      </c>
      <c r="C397" s="1" t="n">
        <v>46000</v>
      </c>
      <c r="D397" t="inlineStr">
        <is>
          <t>DALARNAS LÄN</t>
        </is>
      </c>
      <c r="E397" t="inlineStr">
        <is>
          <t>LUDVIKA</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38921-2025</t>
        </is>
      </c>
      <c r="B398" s="1" t="n">
        <v>45887.62774305556</v>
      </c>
      <c r="C398" s="1" t="n">
        <v>46000</v>
      </c>
      <c r="D398" t="inlineStr">
        <is>
          <t>DALARNAS LÄN</t>
        </is>
      </c>
      <c r="E398" t="inlineStr">
        <is>
          <t>LUDVIKA</t>
        </is>
      </c>
      <c r="F398" t="inlineStr">
        <is>
          <t>Bergvik skog väst AB</t>
        </is>
      </c>
      <c r="G398" t="n">
        <v>3.2</v>
      </c>
      <c r="H398" t="n">
        <v>0</v>
      </c>
      <c r="I398" t="n">
        <v>0</v>
      </c>
      <c r="J398" t="n">
        <v>0</v>
      </c>
      <c r="K398" t="n">
        <v>0</v>
      </c>
      <c r="L398" t="n">
        <v>0</v>
      </c>
      <c r="M398" t="n">
        <v>0</v>
      </c>
      <c r="N398" t="n">
        <v>0</v>
      </c>
      <c r="O398" t="n">
        <v>0</v>
      </c>
      <c r="P398" t="n">
        <v>0</v>
      </c>
      <c r="Q398" t="n">
        <v>0</v>
      </c>
      <c r="R398" s="2" t="inlineStr"/>
    </row>
    <row r="399" ht="15" customHeight="1">
      <c r="A399" t="inlineStr">
        <is>
          <t>A 31100-2024</t>
        </is>
      </c>
      <c r="B399" s="1" t="n">
        <v>45502</v>
      </c>
      <c r="C399" s="1" t="n">
        <v>46000</v>
      </c>
      <c r="D399" t="inlineStr">
        <is>
          <t>DALARNAS LÄN</t>
        </is>
      </c>
      <c r="E399" t="inlineStr">
        <is>
          <t>LUDVIKA</t>
        </is>
      </c>
      <c r="G399" t="n">
        <v>1.7</v>
      </c>
      <c r="H399" t="n">
        <v>0</v>
      </c>
      <c r="I399" t="n">
        <v>0</v>
      </c>
      <c r="J399" t="n">
        <v>0</v>
      </c>
      <c r="K399" t="n">
        <v>0</v>
      </c>
      <c r="L399" t="n">
        <v>0</v>
      </c>
      <c r="M399" t="n">
        <v>0</v>
      </c>
      <c r="N399" t="n">
        <v>0</v>
      </c>
      <c r="O399" t="n">
        <v>0</v>
      </c>
      <c r="P399" t="n">
        <v>0</v>
      </c>
      <c r="Q399" t="n">
        <v>0</v>
      </c>
      <c r="R399" s="2" t="inlineStr"/>
    </row>
    <row r="400" ht="15" customHeight="1">
      <c r="A400" t="inlineStr">
        <is>
          <t>A 38223-2021</t>
        </is>
      </c>
      <c r="B400" s="1" t="n">
        <v>44405.60167824074</v>
      </c>
      <c r="C400" s="1" t="n">
        <v>46000</v>
      </c>
      <c r="D400" t="inlineStr">
        <is>
          <t>DALARNAS LÄN</t>
        </is>
      </c>
      <c r="E400" t="inlineStr">
        <is>
          <t>LUDVIKA</t>
        </is>
      </c>
      <c r="G400" t="n">
        <v>2.3</v>
      </c>
      <c r="H400" t="n">
        <v>0</v>
      </c>
      <c r="I400" t="n">
        <v>0</v>
      </c>
      <c r="J400" t="n">
        <v>0</v>
      </c>
      <c r="K400" t="n">
        <v>0</v>
      </c>
      <c r="L400" t="n">
        <v>0</v>
      </c>
      <c r="M400" t="n">
        <v>0</v>
      </c>
      <c r="N400" t="n">
        <v>0</v>
      </c>
      <c r="O400" t="n">
        <v>0</v>
      </c>
      <c r="P400" t="n">
        <v>0</v>
      </c>
      <c r="Q400" t="n">
        <v>0</v>
      </c>
      <c r="R400" s="2" t="inlineStr"/>
    </row>
    <row r="401" ht="15" customHeight="1">
      <c r="A401" t="inlineStr">
        <is>
          <t>A 55211-2025</t>
        </is>
      </c>
      <c r="B401" s="1" t="n">
        <v>45968</v>
      </c>
      <c r="C401" s="1" t="n">
        <v>46000</v>
      </c>
      <c r="D401" t="inlineStr">
        <is>
          <t>DALARNAS LÄN</t>
        </is>
      </c>
      <c r="E401" t="inlineStr">
        <is>
          <t>LUDVIKA</t>
        </is>
      </c>
      <c r="F401" t="inlineStr">
        <is>
          <t>Bergvik skog väst AB</t>
        </is>
      </c>
      <c r="G401" t="n">
        <v>11.5</v>
      </c>
      <c r="H401" t="n">
        <v>0</v>
      </c>
      <c r="I401" t="n">
        <v>0</v>
      </c>
      <c r="J401" t="n">
        <v>0</v>
      </c>
      <c r="K401" t="n">
        <v>0</v>
      </c>
      <c r="L401" t="n">
        <v>0</v>
      </c>
      <c r="M401" t="n">
        <v>0</v>
      </c>
      <c r="N401" t="n">
        <v>0</v>
      </c>
      <c r="O401" t="n">
        <v>0</v>
      </c>
      <c r="P401" t="n">
        <v>0</v>
      </c>
      <c r="Q401" t="n">
        <v>0</v>
      </c>
      <c r="R401" s="2" t="inlineStr"/>
    </row>
    <row r="402" ht="15" customHeight="1">
      <c r="A402" t="inlineStr">
        <is>
          <t>A 55323-2025</t>
        </is>
      </c>
      <c r="B402" s="1" t="n">
        <v>45971</v>
      </c>
      <c r="C402" s="1" t="n">
        <v>46000</v>
      </c>
      <c r="D402" t="inlineStr">
        <is>
          <t>DALARNAS LÄN</t>
        </is>
      </c>
      <c r="E402" t="inlineStr">
        <is>
          <t>LUDVIKA</t>
        </is>
      </c>
      <c r="F402" t="inlineStr">
        <is>
          <t>Bergvik skog väst AB</t>
        </is>
      </c>
      <c r="G402" t="n">
        <v>25.7</v>
      </c>
      <c r="H402" t="n">
        <v>0</v>
      </c>
      <c r="I402" t="n">
        <v>0</v>
      </c>
      <c r="J402" t="n">
        <v>0</v>
      </c>
      <c r="K402" t="n">
        <v>0</v>
      </c>
      <c r="L402" t="n">
        <v>0</v>
      </c>
      <c r="M402" t="n">
        <v>0</v>
      </c>
      <c r="N402" t="n">
        <v>0</v>
      </c>
      <c r="O402" t="n">
        <v>0</v>
      </c>
      <c r="P402" t="n">
        <v>0</v>
      </c>
      <c r="Q402" t="n">
        <v>0</v>
      </c>
      <c r="R402" s="2" t="inlineStr"/>
    </row>
    <row r="403" ht="15" customHeight="1">
      <c r="A403" t="inlineStr">
        <is>
          <t>A 34862-2025</t>
        </is>
      </c>
      <c r="B403" s="1" t="n">
        <v>45849</v>
      </c>
      <c r="C403" s="1" t="n">
        <v>46000</v>
      </c>
      <c r="D403" t="inlineStr">
        <is>
          <t>DALARNAS LÄN</t>
        </is>
      </c>
      <c r="E403" t="inlineStr">
        <is>
          <t>LUDVIKA</t>
        </is>
      </c>
      <c r="F403" t="inlineStr">
        <is>
          <t>Bergvik skog väst AB</t>
        </is>
      </c>
      <c r="G403" t="n">
        <v>3.6</v>
      </c>
      <c r="H403" t="n">
        <v>0</v>
      </c>
      <c r="I403" t="n">
        <v>0</v>
      </c>
      <c r="J403" t="n">
        <v>0</v>
      </c>
      <c r="K403" t="n">
        <v>0</v>
      </c>
      <c r="L403" t="n">
        <v>0</v>
      </c>
      <c r="M403" t="n">
        <v>0</v>
      </c>
      <c r="N403" t="n">
        <v>0</v>
      </c>
      <c r="O403" t="n">
        <v>0</v>
      </c>
      <c r="P403" t="n">
        <v>0</v>
      </c>
      <c r="Q403" t="n">
        <v>0</v>
      </c>
      <c r="R403" s="2" t="inlineStr"/>
    </row>
    <row r="404" ht="15" customHeight="1">
      <c r="A404" t="inlineStr">
        <is>
          <t>A 15421-2025</t>
        </is>
      </c>
      <c r="B404" s="1" t="n">
        <v>45747.46331018519</v>
      </c>
      <c r="C404" s="1" t="n">
        <v>46000</v>
      </c>
      <c r="D404" t="inlineStr">
        <is>
          <t>DALARNAS LÄN</t>
        </is>
      </c>
      <c r="E404" t="inlineStr">
        <is>
          <t>LUDVIKA</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47287-2025</t>
        </is>
      </c>
      <c r="B405" s="1" t="n">
        <v>45930.48451388889</v>
      </c>
      <c r="C405" s="1" t="n">
        <v>46000</v>
      </c>
      <c r="D405" t="inlineStr">
        <is>
          <t>DALARNAS LÄN</t>
        </is>
      </c>
      <c r="E405" t="inlineStr">
        <is>
          <t>LUDVIKA</t>
        </is>
      </c>
      <c r="F405" t="inlineStr">
        <is>
          <t>Bergvik skog väst AB</t>
        </is>
      </c>
      <c r="G405" t="n">
        <v>8.4</v>
      </c>
      <c r="H405" t="n">
        <v>0</v>
      </c>
      <c r="I405" t="n">
        <v>0</v>
      </c>
      <c r="J405" t="n">
        <v>0</v>
      </c>
      <c r="K405" t="n">
        <v>0</v>
      </c>
      <c r="L405" t="n">
        <v>0</v>
      </c>
      <c r="M405" t="n">
        <v>0</v>
      </c>
      <c r="N405" t="n">
        <v>0</v>
      </c>
      <c r="O405" t="n">
        <v>0</v>
      </c>
      <c r="P405" t="n">
        <v>0</v>
      </c>
      <c r="Q405" t="n">
        <v>0</v>
      </c>
      <c r="R405" s="2" t="inlineStr"/>
    </row>
    <row r="406" ht="15" customHeight="1">
      <c r="A406" t="inlineStr">
        <is>
          <t>A 34860-2025</t>
        </is>
      </c>
      <c r="B406" s="1" t="n">
        <v>45849</v>
      </c>
      <c r="C406" s="1" t="n">
        <v>46000</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34861-2025</t>
        </is>
      </c>
      <c r="B407" s="1" t="n">
        <v>45849</v>
      </c>
      <c r="C407" s="1" t="n">
        <v>46000</v>
      </c>
      <c r="D407" t="inlineStr">
        <is>
          <t>DALARNAS LÄN</t>
        </is>
      </c>
      <c r="E407" t="inlineStr">
        <is>
          <t>LUDVIKA</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55200-2025</t>
        </is>
      </c>
      <c r="B408" s="1" t="n">
        <v>45968</v>
      </c>
      <c r="C408" s="1" t="n">
        <v>46000</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55409-2025</t>
        </is>
      </c>
      <c r="B409" s="1" t="n">
        <v>45971</v>
      </c>
      <c r="C409" s="1" t="n">
        <v>46000</v>
      </c>
      <c r="D409" t="inlineStr">
        <is>
          <t>DALARNAS LÄN</t>
        </is>
      </c>
      <c r="E409" t="inlineStr">
        <is>
          <t>LUDVIKA</t>
        </is>
      </c>
      <c r="F409" t="inlineStr">
        <is>
          <t>Bergvik skog väst AB</t>
        </is>
      </c>
      <c r="G409" t="n">
        <v>0.9</v>
      </c>
      <c r="H409" t="n">
        <v>0</v>
      </c>
      <c r="I409" t="n">
        <v>0</v>
      </c>
      <c r="J409" t="n">
        <v>0</v>
      </c>
      <c r="K409" t="n">
        <v>0</v>
      </c>
      <c r="L409" t="n">
        <v>0</v>
      </c>
      <c r="M409" t="n">
        <v>0</v>
      </c>
      <c r="N409" t="n">
        <v>0</v>
      </c>
      <c r="O409" t="n">
        <v>0</v>
      </c>
      <c r="P409" t="n">
        <v>0</v>
      </c>
      <c r="Q409" t="n">
        <v>0</v>
      </c>
      <c r="R409" s="2" t="inlineStr"/>
    </row>
    <row r="410" ht="15" customHeight="1">
      <c r="A410" t="inlineStr">
        <is>
          <t>A 34455-2024</t>
        </is>
      </c>
      <c r="B410" s="1" t="n">
        <v>45525.56513888889</v>
      </c>
      <c r="C410" s="1" t="n">
        <v>46000</v>
      </c>
      <c r="D410" t="inlineStr">
        <is>
          <t>DALARNAS LÄN</t>
        </is>
      </c>
      <c r="E410" t="inlineStr">
        <is>
          <t>LUDVIKA</t>
        </is>
      </c>
      <c r="G410" t="n">
        <v>0.9</v>
      </c>
      <c r="H410" t="n">
        <v>0</v>
      </c>
      <c r="I410" t="n">
        <v>0</v>
      </c>
      <c r="J410" t="n">
        <v>0</v>
      </c>
      <c r="K410" t="n">
        <v>0</v>
      </c>
      <c r="L410" t="n">
        <v>0</v>
      </c>
      <c r="M410" t="n">
        <v>0</v>
      </c>
      <c r="N410" t="n">
        <v>0</v>
      </c>
      <c r="O410" t="n">
        <v>0</v>
      </c>
      <c r="P410" t="n">
        <v>0</v>
      </c>
      <c r="Q410" t="n">
        <v>0</v>
      </c>
      <c r="R410" s="2" t="inlineStr"/>
    </row>
    <row r="411" ht="15" customHeight="1">
      <c r="A411" t="inlineStr">
        <is>
          <t>A 55974-2025</t>
        </is>
      </c>
      <c r="B411" s="1" t="n">
        <v>45973.50497685185</v>
      </c>
      <c r="C411" s="1" t="n">
        <v>46000</v>
      </c>
      <c r="D411" t="inlineStr">
        <is>
          <t>DALARNAS LÄN</t>
        </is>
      </c>
      <c r="E411" t="inlineStr">
        <is>
          <t>LUDVIKA</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55499-2025</t>
        </is>
      </c>
      <c r="B412" s="1" t="n">
        <v>45971</v>
      </c>
      <c r="C412" s="1" t="n">
        <v>46000</v>
      </c>
      <c r="D412" t="inlineStr">
        <is>
          <t>DALARNAS LÄN</t>
        </is>
      </c>
      <c r="E412" t="inlineStr">
        <is>
          <t>LUDVIKA</t>
        </is>
      </c>
      <c r="F412" t="inlineStr">
        <is>
          <t>Bergvik skog väst AB</t>
        </is>
      </c>
      <c r="G412" t="n">
        <v>2.9</v>
      </c>
      <c r="H412" t="n">
        <v>0</v>
      </c>
      <c r="I412" t="n">
        <v>0</v>
      </c>
      <c r="J412" t="n">
        <v>0</v>
      </c>
      <c r="K412" t="n">
        <v>0</v>
      </c>
      <c r="L412" t="n">
        <v>0</v>
      </c>
      <c r="M412" t="n">
        <v>0</v>
      </c>
      <c r="N412" t="n">
        <v>0</v>
      </c>
      <c r="O412" t="n">
        <v>0</v>
      </c>
      <c r="P412" t="n">
        <v>0</v>
      </c>
      <c r="Q412" t="n">
        <v>0</v>
      </c>
      <c r="R412" s="2" t="inlineStr"/>
    </row>
    <row r="413" ht="15" customHeight="1">
      <c r="A413" t="inlineStr">
        <is>
          <t>A 46683-2025</t>
        </is>
      </c>
      <c r="B413" s="1" t="n">
        <v>45926</v>
      </c>
      <c r="C413" s="1" t="n">
        <v>46000</v>
      </c>
      <c r="D413" t="inlineStr">
        <is>
          <t>DALARNAS LÄN</t>
        </is>
      </c>
      <c r="E413" t="inlineStr">
        <is>
          <t>LUDVIKA</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21369-2023</t>
        </is>
      </c>
      <c r="B414" s="1" t="n">
        <v>45063</v>
      </c>
      <c r="C414" s="1" t="n">
        <v>46000</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55559-2025</t>
        </is>
      </c>
      <c r="B415" s="1" t="n">
        <v>45971</v>
      </c>
      <c r="C415" s="1" t="n">
        <v>46000</v>
      </c>
      <c r="D415" t="inlineStr">
        <is>
          <t>DALARNAS LÄN</t>
        </is>
      </c>
      <c r="E415" t="inlineStr">
        <is>
          <t>LUDVIKA</t>
        </is>
      </c>
      <c r="F415" t="inlineStr">
        <is>
          <t>Bergvik skog väst AB</t>
        </is>
      </c>
      <c r="G415" t="n">
        <v>9.4</v>
      </c>
      <c r="H415" t="n">
        <v>0</v>
      </c>
      <c r="I415" t="n">
        <v>0</v>
      </c>
      <c r="J415" t="n">
        <v>0</v>
      </c>
      <c r="K415" t="n">
        <v>0</v>
      </c>
      <c r="L415" t="n">
        <v>0</v>
      </c>
      <c r="M415" t="n">
        <v>0</v>
      </c>
      <c r="N415" t="n">
        <v>0</v>
      </c>
      <c r="O415" t="n">
        <v>0</v>
      </c>
      <c r="P415" t="n">
        <v>0</v>
      </c>
      <c r="Q415" t="n">
        <v>0</v>
      </c>
      <c r="R415" s="2" t="inlineStr"/>
    </row>
    <row r="416" ht="15" customHeight="1">
      <c r="A416" t="inlineStr">
        <is>
          <t>A 55554-2025</t>
        </is>
      </c>
      <c r="B416" s="1" t="n">
        <v>45971</v>
      </c>
      <c r="C416" s="1" t="n">
        <v>46000</v>
      </c>
      <c r="D416" t="inlineStr">
        <is>
          <t>DALARNAS LÄN</t>
        </is>
      </c>
      <c r="E416" t="inlineStr">
        <is>
          <t>LUDVIKA</t>
        </is>
      </c>
      <c r="F416" t="inlineStr">
        <is>
          <t>Bergvik skog väst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55646-2025</t>
        </is>
      </c>
      <c r="B417" s="1" t="n">
        <v>45972</v>
      </c>
      <c r="C417" s="1" t="n">
        <v>46000</v>
      </c>
      <c r="D417" t="inlineStr">
        <is>
          <t>DALARNAS LÄN</t>
        </is>
      </c>
      <c r="E417" t="inlineStr">
        <is>
          <t>LUDVIKA</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55972-2025</t>
        </is>
      </c>
      <c r="B418" s="1" t="n">
        <v>45973.499375</v>
      </c>
      <c r="C418" s="1" t="n">
        <v>46000</v>
      </c>
      <c r="D418" t="inlineStr">
        <is>
          <t>DALARNAS LÄN</t>
        </is>
      </c>
      <c r="E418" t="inlineStr">
        <is>
          <t>LUDVIKA</t>
        </is>
      </c>
      <c r="F418" t="inlineStr">
        <is>
          <t>Bergvik skog väst AB</t>
        </is>
      </c>
      <c r="G418" t="n">
        <v>3.9</v>
      </c>
      <c r="H418" t="n">
        <v>0</v>
      </c>
      <c r="I418" t="n">
        <v>0</v>
      </c>
      <c r="J418" t="n">
        <v>0</v>
      </c>
      <c r="K418" t="n">
        <v>0</v>
      </c>
      <c r="L418" t="n">
        <v>0</v>
      </c>
      <c r="M418" t="n">
        <v>0</v>
      </c>
      <c r="N418" t="n">
        <v>0</v>
      </c>
      <c r="O418" t="n">
        <v>0</v>
      </c>
      <c r="P418" t="n">
        <v>0</v>
      </c>
      <c r="Q418" t="n">
        <v>0</v>
      </c>
      <c r="R418" s="2" t="inlineStr"/>
    </row>
    <row r="419" ht="15" customHeight="1">
      <c r="A419" t="inlineStr">
        <is>
          <t>A 55206-2025</t>
        </is>
      </c>
      <c r="B419" s="1" t="n">
        <v>45968</v>
      </c>
      <c r="C419" s="1" t="n">
        <v>46000</v>
      </c>
      <c r="D419" t="inlineStr">
        <is>
          <t>DALARNAS LÄN</t>
        </is>
      </c>
      <c r="E419" t="inlineStr">
        <is>
          <t>LUDVIKA</t>
        </is>
      </c>
      <c r="F419" t="inlineStr">
        <is>
          <t>Bergvik skog väst AB</t>
        </is>
      </c>
      <c r="G419" t="n">
        <v>0.7</v>
      </c>
      <c r="H419" t="n">
        <v>0</v>
      </c>
      <c r="I419" t="n">
        <v>0</v>
      </c>
      <c r="J419" t="n">
        <v>0</v>
      </c>
      <c r="K419" t="n">
        <v>0</v>
      </c>
      <c r="L419" t="n">
        <v>0</v>
      </c>
      <c r="M419" t="n">
        <v>0</v>
      </c>
      <c r="N419" t="n">
        <v>0</v>
      </c>
      <c r="O419" t="n">
        <v>0</v>
      </c>
      <c r="P419" t="n">
        <v>0</v>
      </c>
      <c r="Q419" t="n">
        <v>0</v>
      </c>
      <c r="R419" s="2" t="inlineStr"/>
    </row>
    <row r="420" ht="15" customHeight="1">
      <c r="A420" t="inlineStr">
        <is>
          <t>A 53979-2025</t>
        </is>
      </c>
      <c r="B420" s="1" t="n">
        <v>45961</v>
      </c>
      <c r="C420" s="1" t="n">
        <v>46000</v>
      </c>
      <c r="D420" t="inlineStr">
        <is>
          <t>DALARNAS LÄN</t>
        </is>
      </c>
      <c r="E420" t="inlineStr">
        <is>
          <t>LUDVIKA</t>
        </is>
      </c>
      <c r="F420" t="inlineStr">
        <is>
          <t>Bergvik skog väst AB</t>
        </is>
      </c>
      <c r="G420" t="n">
        <v>4.9</v>
      </c>
      <c r="H420" t="n">
        <v>0</v>
      </c>
      <c r="I420" t="n">
        <v>0</v>
      </c>
      <c r="J420" t="n">
        <v>0</v>
      </c>
      <c r="K420" t="n">
        <v>0</v>
      </c>
      <c r="L420" t="n">
        <v>0</v>
      </c>
      <c r="M420" t="n">
        <v>0</v>
      </c>
      <c r="N420" t="n">
        <v>0</v>
      </c>
      <c r="O420" t="n">
        <v>0</v>
      </c>
      <c r="P420" t="n">
        <v>0</v>
      </c>
      <c r="Q420" t="n">
        <v>0</v>
      </c>
      <c r="R420" s="2" t="inlineStr"/>
    </row>
    <row r="421" ht="15" customHeight="1">
      <c r="A421" t="inlineStr">
        <is>
          <t>A 46674-2025</t>
        </is>
      </c>
      <c r="B421" s="1" t="n">
        <v>45926</v>
      </c>
      <c r="C421" s="1" t="n">
        <v>46000</v>
      </c>
      <c r="D421" t="inlineStr">
        <is>
          <t>DALARNAS LÄN</t>
        </is>
      </c>
      <c r="E421" t="inlineStr">
        <is>
          <t>LUDVIKA</t>
        </is>
      </c>
      <c r="F421" t="inlineStr">
        <is>
          <t>Bergvik skog väst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45443-2024</t>
        </is>
      </c>
      <c r="B422" s="1" t="n">
        <v>45576</v>
      </c>
      <c r="C422" s="1" t="n">
        <v>46000</v>
      </c>
      <c r="D422" t="inlineStr">
        <is>
          <t>DALARNAS LÄN</t>
        </is>
      </c>
      <c r="E422" t="inlineStr">
        <is>
          <t>LUDVIKA</t>
        </is>
      </c>
      <c r="F422" t="inlineStr">
        <is>
          <t>Bergvik skog väst AB</t>
        </is>
      </c>
      <c r="G422" t="n">
        <v>2.5</v>
      </c>
      <c r="H422" t="n">
        <v>0</v>
      </c>
      <c r="I422" t="n">
        <v>0</v>
      </c>
      <c r="J422" t="n">
        <v>0</v>
      </c>
      <c r="K422" t="n">
        <v>0</v>
      </c>
      <c r="L422" t="n">
        <v>0</v>
      </c>
      <c r="M422" t="n">
        <v>0</v>
      </c>
      <c r="N422" t="n">
        <v>0</v>
      </c>
      <c r="O422" t="n">
        <v>0</v>
      </c>
      <c r="P422" t="n">
        <v>0</v>
      </c>
      <c r="Q422" t="n">
        <v>0</v>
      </c>
      <c r="R422" s="2" t="inlineStr"/>
    </row>
    <row r="423" ht="15" customHeight="1">
      <c r="A423" t="inlineStr">
        <is>
          <t>A 26823-2025</t>
        </is>
      </c>
      <c r="B423" s="1" t="n">
        <v>45810</v>
      </c>
      <c r="C423" s="1" t="n">
        <v>46000</v>
      </c>
      <c r="D423" t="inlineStr">
        <is>
          <t>DALARNAS LÄN</t>
        </is>
      </c>
      <c r="E423" t="inlineStr">
        <is>
          <t>LUDVIKA</t>
        </is>
      </c>
      <c r="F423" t="inlineStr">
        <is>
          <t>Bergvik skog väst AB</t>
        </is>
      </c>
      <c r="G423" t="n">
        <v>0.8</v>
      </c>
      <c r="H423" t="n">
        <v>0</v>
      </c>
      <c r="I423" t="n">
        <v>0</v>
      </c>
      <c r="J423" t="n">
        <v>0</v>
      </c>
      <c r="K423" t="n">
        <v>0</v>
      </c>
      <c r="L423" t="n">
        <v>0</v>
      </c>
      <c r="M423" t="n">
        <v>0</v>
      </c>
      <c r="N423" t="n">
        <v>0</v>
      </c>
      <c r="O423" t="n">
        <v>0</v>
      </c>
      <c r="P423" t="n">
        <v>0</v>
      </c>
      <c r="Q423" t="n">
        <v>0</v>
      </c>
      <c r="R423" s="2" t="inlineStr"/>
    </row>
    <row r="424" ht="15" customHeight="1">
      <c r="A424" t="inlineStr">
        <is>
          <t>A 29654-2025</t>
        </is>
      </c>
      <c r="B424" s="1" t="n">
        <v>45825</v>
      </c>
      <c r="C424" s="1" t="n">
        <v>46000</v>
      </c>
      <c r="D424" t="inlineStr">
        <is>
          <t>DALARNAS LÄN</t>
        </is>
      </c>
      <c r="E424" t="inlineStr">
        <is>
          <t>LUDVIKA</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56030-2025</t>
        </is>
      </c>
      <c r="B425" s="1" t="n">
        <v>45973</v>
      </c>
      <c r="C425" s="1" t="n">
        <v>46000</v>
      </c>
      <c r="D425" t="inlineStr">
        <is>
          <t>DALARNAS LÄN</t>
        </is>
      </c>
      <c r="E425" t="inlineStr">
        <is>
          <t>LUDVIKA</t>
        </is>
      </c>
      <c r="F425" t="inlineStr">
        <is>
          <t>Bergvik skog väst AB</t>
        </is>
      </c>
      <c r="G425" t="n">
        <v>6.3</v>
      </c>
      <c r="H425" t="n">
        <v>0</v>
      </c>
      <c r="I425" t="n">
        <v>0</v>
      </c>
      <c r="J425" t="n">
        <v>0</v>
      </c>
      <c r="K425" t="n">
        <v>0</v>
      </c>
      <c r="L425" t="n">
        <v>0</v>
      </c>
      <c r="M425" t="n">
        <v>0</v>
      </c>
      <c r="N425" t="n">
        <v>0</v>
      </c>
      <c r="O425" t="n">
        <v>0</v>
      </c>
      <c r="P425" t="n">
        <v>0</v>
      </c>
      <c r="Q425" t="n">
        <v>0</v>
      </c>
      <c r="R425" s="2" t="inlineStr"/>
    </row>
    <row r="426" ht="15" customHeight="1">
      <c r="A426" t="inlineStr">
        <is>
          <t>A 55427-2025</t>
        </is>
      </c>
      <c r="B426" s="1" t="n">
        <v>45971</v>
      </c>
      <c r="C426" s="1" t="n">
        <v>46000</v>
      </c>
      <c r="D426" t="inlineStr">
        <is>
          <t>DALARNAS LÄN</t>
        </is>
      </c>
      <c r="E426" t="inlineStr">
        <is>
          <t>LUDVIKA</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56155-2025</t>
        </is>
      </c>
      <c r="B427" s="1" t="n">
        <v>45974</v>
      </c>
      <c r="C427" s="1" t="n">
        <v>46000</v>
      </c>
      <c r="D427" t="inlineStr">
        <is>
          <t>DALARNAS LÄN</t>
        </is>
      </c>
      <c r="E427" t="inlineStr">
        <is>
          <t>LUDVIKA</t>
        </is>
      </c>
      <c r="F427" t="inlineStr">
        <is>
          <t>Bergvik skog väst AB</t>
        </is>
      </c>
      <c r="G427" t="n">
        <v>6.9</v>
      </c>
      <c r="H427" t="n">
        <v>0</v>
      </c>
      <c r="I427" t="n">
        <v>0</v>
      </c>
      <c r="J427" t="n">
        <v>0</v>
      </c>
      <c r="K427" t="n">
        <v>0</v>
      </c>
      <c r="L427" t="n">
        <v>0</v>
      </c>
      <c r="M427" t="n">
        <v>0</v>
      </c>
      <c r="N427" t="n">
        <v>0</v>
      </c>
      <c r="O427" t="n">
        <v>0</v>
      </c>
      <c r="P427" t="n">
        <v>0</v>
      </c>
      <c r="Q427" t="n">
        <v>0</v>
      </c>
      <c r="R427" s="2" t="inlineStr"/>
    </row>
    <row r="428" ht="15" customHeight="1">
      <c r="A428" t="inlineStr">
        <is>
          <t>A 35544-2025</t>
        </is>
      </c>
      <c r="B428" s="1" t="n">
        <v>45856</v>
      </c>
      <c r="C428" s="1" t="n">
        <v>46000</v>
      </c>
      <c r="D428" t="inlineStr">
        <is>
          <t>DALARNAS LÄN</t>
        </is>
      </c>
      <c r="E428" t="inlineStr">
        <is>
          <t>LUDVIKA</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55944-2025</t>
        </is>
      </c>
      <c r="B429" s="1" t="n">
        <v>45973</v>
      </c>
      <c r="C429" s="1" t="n">
        <v>46000</v>
      </c>
      <c r="D429" t="inlineStr">
        <is>
          <t>DALARNAS LÄN</t>
        </is>
      </c>
      <c r="E429" t="inlineStr">
        <is>
          <t>LUDVIKA</t>
        </is>
      </c>
      <c r="F429" t="inlineStr">
        <is>
          <t>Bergvik skog väst AB</t>
        </is>
      </c>
      <c r="G429" t="n">
        <v>4.8</v>
      </c>
      <c r="H429" t="n">
        <v>0</v>
      </c>
      <c r="I429" t="n">
        <v>0</v>
      </c>
      <c r="J429" t="n">
        <v>0</v>
      </c>
      <c r="K429" t="n">
        <v>0</v>
      </c>
      <c r="L429" t="n">
        <v>0</v>
      </c>
      <c r="M429" t="n">
        <v>0</v>
      </c>
      <c r="N429" t="n">
        <v>0</v>
      </c>
      <c r="O429" t="n">
        <v>0</v>
      </c>
      <c r="P429" t="n">
        <v>0</v>
      </c>
      <c r="Q429" t="n">
        <v>0</v>
      </c>
      <c r="R429" s="2" t="inlineStr"/>
    </row>
    <row r="430" ht="15" customHeight="1">
      <c r="A430" t="inlineStr">
        <is>
          <t>A 55932-2025</t>
        </is>
      </c>
      <c r="B430" s="1" t="n">
        <v>45973</v>
      </c>
      <c r="C430" s="1" t="n">
        <v>46000</v>
      </c>
      <c r="D430" t="inlineStr">
        <is>
          <t>DALARNAS LÄN</t>
        </is>
      </c>
      <c r="E430" t="inlineStr">
        <is>
          <t>LUDVIKA</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3687-2024</t>
        </is>
      </c>
      <c r="B431" s="1" t="n">
        <v>45321</v>
      </c>
      <c r="C431" s="1" t="n">
        <v>46000</v>
      </c>
      <c r="D431" t="inlineStr">
        <is>
          <t>DALARNAS LÄN</t>
        </is>
      </c>
      <c r="E431" t="inlineStr">
        <is>
          <t>LUDVIKA</t>
        </is>
      </c>
      <c r="G431" t="n">
        <v>5</v>
      </c>
      <c r="H431" t="n">
        <v>0</v>
      </c>
      <c r="I431" t="n">
        <v>0</v>
      </c>
      <c r="J431" t="n">
        <v>0</v>
      </c>
      <c r="K431" t="n">
        <v>0</v>
      </c>
      <c r="L431" t="n">
        <v>0</v>
      </c>
      <c r="M431" t="n">
        <v>0</v>
      </c>
      <c r="N431" t="n">
        <v>0</v>
      </c>
      <c r="O431" t="n">
        <v>0</v>
      </c>
      <c r="P431" t="n">
        <v>0</v>
      </c>
      <c r="Q431" t="n">
        <v>0</v>
      </c>
      <c r="R431" s="2" t="inlineStr"/>
    </row>
    <row r="432" ht="15" customHeight="1">
      <c r="A432" t="inlineStr">
        <is>
          <t>A 53981-2025</t>
        </is>
      </c>
      <c r="B432" s="1" t="n">
        <v>45961</v>
      </c>
      <c r="C432" s="1" t="n">
        <v>46000</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33560-2023</t>
        </is>
      </c>
      <c r="B433" s="1" t="n">
        <v>45131</v>
      </c>
      <c r="C433" s="1" t="n">
        <v>46000</v>
      </c>
      <c r="D433" t="inlineStr">
        <is>
          <t>DALARNAS LÄN</t>
        </is>
      </c>
      <c r="E433" t="inlineStr">
        <is>
          <t>LUDVIKA</t>
        </is>
      </c>
      <c r="G433" t="n">
        <v>7</v>
      </c>
      <c r="H433" t="n">
        <v>0</v>
      </c>
      <c r="I433" t="n">
        <v>0</v>
      </c>
      <c r="J433" t="n">
        <v>0</v>
      </c>
      <c r="K433" t="n">
        <v>0</v>
      </c>
      <c r="L433" t="n">
        <v>0</v>
      </c>
      <c r="M433" t="n">
        <v>0</v>
      </c>
      <c r="N433" t="n">
        <v>0</v>
      </c>
      <c r="O433" t="n">
        <v>0</v>
      </c>
      <c r="P433" t="n">
        <v>0</v>
      </c>
      <c r="Q433" t="n">
        <v>0</v>
      </c>
      <c r="R433" s="2" t="inlineStr"/>
    </row>
    <row r="434" ht="15" customHeight="1">
      <c r="A434" t="inlineStr">
        <is>
          <t>A 56316-2025</t>
        </is>
      </c>
      <c r="B434" s="1" t="n">
        <v>45974</v>
      </c>
      <c r="C434" s="1" t="n">
        <v>46000</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56178-2025</t>
        </is>
      </c>
      <c r="B435" s="1" t="n">
        <v>45974</v>
      </c>
      <c r="C435" s="1" t="n">
        <v>46000</v>
      </c>
      <c r="D435" t="inlineStr">
        <is>
          <t>DALARNAS LÄN</t>
        </is>
      </c>
      <c r="E435" t="inlineStr">
        <is>
          <t>LUDVIKA</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32329-2024</t>
        </is>
      </c>
      <c r="B436" s="1" t="n">
        <v>45512</v>
      </c>
      <c r="C436" s="1" t="n">
        <v>46000</v>
      </c>
      <c r="D436" t="inlineStr">
        <is>
          <t>DALARNAS LÄN</t>
        </is>
      </c>
      <c r="E436" t="inlineStr">
        <is>
          <t>LUDVIKA</t>
        </is>
      </c>
      <c r="F436" t="inlineStr">
        <is>
          <t>Bergvik skog väst AB</t>
        </is>
      </c>
      <c r="G436" t="n">
        <v>6</v>
      </c>
      <c r="H436" t="n">
        <v>0</v>
      </c>
      <c r="I436" t="n">
        <v>0</v>
      </c>
      <c r="J436" t="n">
        <v>0</v>
      </c>
      <c r="K436" t="n">
        <v>0</v>
      </c>
      <c r="L436" t="n">
        <v>0</v>
      </c>
      <c r="M436" t="n">
        <v>0</v>
      </c>
      <c r="N436" t="n">
        <v>0</v>
      </c>
      <c r="O436" t="n">
        <v>0</v>
      </c>
      <c r="P436" t="n">
        <v>0</v>
      </c>
      <c r="Q436" t="n">
        <v>0</v>
      </c>
      <c r="R436" s="2" t="inlineStr"/>
    </row>
    <row r="437" ht="15" customHeight="1">
      <c r="A437" t="inlineStr">
        <is>
          <t>A 59351-2023</t>
        </is>
      </c>
      <c r="B437" s="1" t="n">
        <v>45253.65673611111</v>
      </c>
      <c r="C437" s="1" t="n">
        <v>46000</v>
      </c>
      <c r="D437" t="inlineStr">
        <is>
          <t>DALARNAS LÄN</t>
        </is>
      </c>
      <c r="E437" t="inlineStr">
        <is>
          <t>LUDVIKA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56002-2025</t>
        </is>
      </c>
      <c r="B438" s="1" t="n">
        <v>45973</v>
      </c>
      <c r="C438" s="1" t="n">
        <v>46000</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35958-2025</t>
        </is>
      </c>
      <c r="B439" s="1" t="n">
        <v>45863</v>
      </c>
      <c r="C439" s="1" t="n">
        <v>46000</v>
      </c>
      <c r="D439" t="inlineStr">
        <is>
          <t>DALARNAS LÄN</t>
        </is>
      </c>
      <c r="E439" t="inlineStr">
        <is>
          <t>LUDVIKA</t>
        </is>
      </c>
      <c r="F439" t="inlineStr">
        <is>
          <t>Bergvik skog väst AB</t>
        </is>
      </c>
      <c r="G439" t="n">
        <v>4.4</v>
      </c>
      <c r="H439" t="n">
        <v>0</v>
      </c>
      <c r="I439" t="n">
        <v>0</v>
      </c>
      <c r="J439" t="n">
        <v>0</v>
      </c>
      <c r="K439" t="n">
        <v>0</v>
      </c>
      <c r="L439" t="n">
        <v>0</v>
      </c>
      <c r="M439" t="n">
        <v>0</v>
      </c>
      <c r="N439" t="n">
        <v>0</v>
      </c>
      <c r="O439" t="n">
        <v>0</v>
      </c>
      <c r="P439" t="n">
        <v>0</v>
      </c>
      <c r="Q439" t="n">
        <v>0</v>
      </c>
      <c r="R439" s="2" t="inlineStr"/>
    </row>
    <row r="440" ht="15" customHeight="1">
      <c r="A440" t="inlineStr">
        <is>
          <t>A 35962-2025</t>
        </is>
      </c>
      <c r="B440" s="1" t="n">
        <v>45863</v>
      </c>
      <c r="C440" s="1" t="n">
        <v>46000</v>
      </c>
      <c r="D440" t="inlineStr">
        <is>
          <t>DALARNAS LÄN</t>
        </is>
      </c>
      <c r="E440" t="inlineStr">
        <is>
          <t>LUDVIKA</t>
        </is>
      </c>
      <c r="F440" t="inlineStr">
        <is>
          <t>Bergvik skog väst AB</t>
        </is>
      </c>
      <c r="G440" t="n">
        <v>10.9</v>
      </c>
      <c r="H440" t="n">
        <v>0</v>
      </c>
      <c r="I440" t="n">
        <v>0</v>
      </c>
      <c r="J440" t="n">
        <v>0</v>
      </c>
      <c r="K440" t="n">
        <v>0</v>
      </c>
      <c r="L440" t="n">
        <v>0</v>
      </c>
      <c r="M440" t="n">
        <v>0</v>
      </c>
      <c r="N440" t="n">
        <v>0</v>
      </c>
      <c r="O440" t="n">
        <v>0</v>
      </c>
      <c r="P440" t="n">
        <v>0</v>
      </c>
      <c r="Q440" t="n">
        <v>0</v>
      </c>
      <c r="R440" s="2" t="inlineStr"/>
    </row>
    <row r="441" ht="15" customHeight="1">
      <c r="A441" t="inlineStr">
        <is>
          <t>A 35876-2025</t>
        </is>
      </c>
      <c r="B441" s="1" t="n">
        <v>45862</v>
      </c>
      <c r="C441" s="1" t="n">
        <v>46000</v>
      </c>
      <c r="D441" t="inlineStr">
        <is>
          <t>DALARNAS LÄN</t>
        </is>
      </c>
      <c r="E441" t="inlineStr">
        <is>
          <t>LUDVIKA</t>
        </is>
      </c>
      <c r="F441" t="inlineStr">
        <is>
          <t>Bergvik skog väst AB</t>
        </is>
      </c>
      <c r="G441" t="n">
        <v>2.6</v>
      </c>
      <c r="H441" t="n">
        <v>0</v>
      </c>
      <c r="I441" t="n">
        <v>0</v>
      </c>
      <c r="J441" t="n">
        <v>0</v>
      </c>
      <c r="K441" t="n">
        <v>0</v>
      </c>
      <c r="L441" t="n">
        <v>0</v>
      </c>
      <c r="M441" t="n">
        <v>0</v>
      </c>
      <c r="N441" t="n">
        <v>0</v>
      </c>
      <c r="O441" t="n">
        <v>0</v>
      </c>
      <c r="P441" t="n">
        <v>0</v>
      </c>
      <c r="Q441" t="n">
        <v>0</v>
      </c>
      <c r="R441" s="2" t="inlineStr"/>
    </row>
    <row r="442" ht="15" customHeight="1">
      <c r="A442" t="inlineStr">
        <is>
          <t>A 35957-2025</t>
        </is>
      </c>
      <c r="B442" s="1" t="n">
        <v>45863</v>
      </c>
      <c r="C442" s="1" t="n">
        <v>46000</v>
      </c>
      <c r="D442" t="inlineStr">
        <is>
          <t>DALARNAS LÄN</t>
        </is>
      </c>
      <c r="E442" t="inlineStr">
        <is>
          <t>LUDVIKA</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31010-2025</t>
        </is>
      </c>
      <c r="B443" s="1" t="n">
        <v>45832</v>
      </c>
      <c r="C443" s="1" t="n">
        <v>46000</v>
      </c>
      <c r="D443" t="inlineStr">
        <is>
          <t>DALARNAS LÄN</t>
        </is>
      </c>
      <c r="E443" t="inlineStr">
        <is>
          <t>LUDVIKA</t>
        </is>
      </c>
      <c r="F443" t="inlineStr">
        <is>
          <t>Bergvik skog väst AB</t>
        </is>
      </c>
      <c r="G443" t="n">
        <v>5.6</v>
      </c>
      <c r="H443" t="n">
        <v>0</v>
      </c>
      <c r="I443" t="n">
        <v>0</v>
      </c>
      <c r="J443" t="n">
        <v>0</v>
      </c>
      <c r="K443" t="n">
        <v>0</v>
      </c>
      <c r="L443" t="n">
        <v>0</v>
      </c>
      <c r="M443" t="n">
        <v>0</v>
      </c>
      <c r="N443" t="n">
        <v>0</v>
      </c>
      <c r="O443" t="n">
        <v>0</v>
      </c>
      <c r="P443" t="n">
        <v>0</v>
      </c>
      <c r="Q443" t="n">
        <v>0</v>
      </c>
      <c r="R443" s="2" t="inlineStr"/>
    </row>
    <row r="444" ht="15" customHeight="1">
      <c r="A444" t="inlineStr">
        <is>
          <t>A 31057-2025</t>
        </is>
      </c>
      <c r="B444" s="1" t="n">
        <v>45832</v>
      </c>
      <c r="C444" s="1" t="n">
        <v>46000</v>
      </c>
      <c r="D444" t="inlineStr">
        <is>
          <t>DALARNAS LÄN</t>
        </is>
      </c>
      <c r="E444" t="inlineStr">
        <is>
          <t>LUDVIKA</t>
        </is>
      </c>
      <c r="F444" t="inlineStr">
        <is>
          <t>Bergvik skog väst AB</t>
        </is>
      </c>
      <c r="G444" t="n">
        <v>6.2</v>
      </c>
      <c r="H444" t="n">
        <v>0</v>
      </c>
      <c r="I444" t="n">
        <v>0</v>
      </c>
      <c r="J444" t="n">
        <v>0</v>
      </c>
      <c r="K444" t="n">
        <v>0</v>
      </c>
      <c r="L444" t="n">
        <v>0</v>
      </c>
      <c r="M444" t="n">
        <v>0</v>
      </c>
      <c r="N444" t="n">
        <v>0</v>
      </c>
      <c r="O444" t="n">
        <v>0</v>
      </c>
      <c r="P444" t="n">
        <v>0</v>
      </c>
      <c r="Q444" t="n">
        <v>0</v>
      </c>
      <c r="R444" s="2" t="inlineStr"/>
    </row>
    <row r="445" ht="15" customHeight="1">
      <c r="A445" t="inlineStr">
        <is>
          <t>A 39772-2025</t>
        </is>
      </c>
      <c r="B445" s="1" t="n">
        <v>45891.45390046296</v>
      </c>
      <c r="C445" s="1" t="n">
        <v>46000</v>
      </c>
      <c r="D445" t="inlineStr">
        <is>
          <t>DALARNAS LÄN</t>
        </is>
      </c>
      <c r="E445" t="inlineStr">
        <is>
          <t>LUDVIKA</t>
        </is>
      </c>
      <c r="F445" t="inlineStr">
        <is>
          <t>Bergvik skog väst AB</t>
        </is>
      </c>
      <c r="G445" t="n">
        <v>14.1</v>
      </c>
      <c r="H445" t="n">
        <v>0</v>
      </c>
      <c r="I445" t="n">
        <v>0</v>
      </c>
      <c r="J445" t="n">
        <v>0</v>
      </c>
      <c r="K445" t="n">
        <v>0</v>
      </c>
      <c r="L445" t="n">
        <v>0</v>
      </c>
      <c r="M445" t="n">
        <v>0</v>
      </c>
      <c r="N445" t="n">
        <v>0</v>
      </c>
      <c r="O445" t="n">
        <v>0</v>
      </c>
      <c r="P445" t="n">
        <v>0</v>
      </c>
      <c r="Q445" t="n">
        <v>0</v>
      </c>
      <c r="R445" s="2" t="inlineStr"/>
    </row>
    <row r="446" ht="15" customHeight="1">
      <c r="A446" t="inlineStr">
        <is>
          <t>A 31050-2025</t>
        </is>
      </c>
      <c r="B446" s="1" t="n">
        <v>45832</v>
      </c>
      <c r="C446" s="1" t="n">
        <v>46000</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33001-2025</t>
        </is>
      </c>
      <c r="B447" s="1" t="n">
        <v>45840</v>
      </c>
      <c r="C447" s="1" t="n">
        <v>46000</v>
      </c>
      <c r="D447" t="inlineStr">
        <is>
          <t>DALARNAS LÄN</t>
        </is>
      </c>
      <c r="E447" t="inlineStr">
        <is>
          <t>LUDVIKA</t>
        </is>
      </c>
      <c r="F447" t="inlineStr">
        <is>
          <t>Bergvik skog väst AB</t>
        </is>
      </c>
      <c r="G447" t="n">
        <v>4.1</v>
      </c>
      <c r="H447" t="n">
        <v>0</v>
      </c>
      <c r="I447" t="n">
        <v>0</v>
      </c>
      <c r="J447" t="n">
        <v>0</v>
      </c>
      <c r="K447" t="n">
        <v>0</v>
      </c>
      <c r="L447" t="n">
        <v>0</v>
      </c>
      <c r="M447" t="n">
        <v>0</v>
      </c>
      <c r="N447" t="n">
        <v>0</v>
      </c>
      <c r="O447" t="n">
        <v>0</v>
      </c>
      <c r="P447" t="n">
        <v>0</v>
      </c>
      <c r="Q447" t="n">
        <v>0</v>
      </c>
      <c r="R447" s="2" t="inlineStr"/>
    </row>
    <row r="448" ht="15" customHeight="1">
      <c r="A448" t="inlineStr">
        <is>
          <t>A 33122-2025</t>
        </is>
      </c>
      <c r="B448" s="1" t="n">
        <v>45840</v>
      </c>
      <c r="C448" s="1" t="n">
        <v>46000</v>
      </c>
      <c r="D448" t="inlineStr">
        <is>
          <t>DALARNAS LÄN</t>
        </is>
      </c>
      <c r="E448" t="inlineStr">
        <is>
          <t>LUDVIKA</t>
        </is>
      </c>
      <c r="F448" t="inlineStr">
        <is>
          <t>Bergvik skog väst AB</t>
        </is>
      </c>
      <c r="G448" t="n">
        <v>1.5</v>
      </c>
      <c r="H448" t="n">
        <v>0</v>
      </c>
      <c r="I448" t="n">
        <v>0</v>
      </c>
      <c r="J448" t="n">
        <v>0</v>
      </c>
      <c r="K448" t="n">
        <v>0</v>
      </c>
      <c r="L448" t="n">
        <v>0</v>
      </c>
      <c r="M448" t="n">
        <v>0</v>
      </c>
      <c r="N448" t="n">
        <v>0</v>
      </c>
      <c r="O448" t="n">
        <v>0</v>
      </c>
      <c r="P448" t="n">
        <v>0</v>
      </c>
      <c r="Q448" t="n">
        <v>0</v>
      </c>
      <c r="R448" s="2" t="inlineStr"/>
    </row>
    <row r="449" ht="15" customHeight="1">
      <c r="A449" t="inlineStr">
        <is>
          <t>A 48683-2023</t>
        </is>
      </c>
      <c r="B449" s="1" t="n">
        <v>45208.65275462963</v>
      </c>
      <c r="C449" s="1" t="n">
        <v>46000</v>
      </c>
      <c r="D449" t="inlineStr">
        <is>
          <t>DALARNAS LÄN</t>
        </is>
      </c>
      <c r="E449" t="inlineStr">
        <is>
          <t>LUDVIKA</t>
        </is>
      </c>
      <c r="G449" t="n">
        <v>1.3</v>
      </c>
      <c r="H449" t="n">
        <v>0</v>
      </c>
      <c r="I449" t="n">
        <v>0</v>
      </c>
      <c r="J449" t="n">
        <v>0</v>
      </c>
      <c r="K449" t="n">
        <v>0</v>
      </c>
      <c r="L449" t="n">
        <v>0</v>
      </c>
      <c r="M449" t="n">
        <v>0</v>
      </c>
      <c r="N449" t="n">
        <v>0</v>
      </c>
      <c r="O449" t="n">
        <v>0</v>
      </c>
      <c r="P449" t="n">
        <v>0</v>
      </c>
      <c r="Q449" t="n">
        <v>0</v>
      </c>
      <c r="R449" s="2" t="inlineStr"/>
    </row>
    <row r="450" ht="15" customHeight="1">
      <c r="A450" t="inlineStr">
        <is>
          <t>A 48201-2025</t>
        </is>
      </c>
      <c r="B450" s="1" t="n">
        <v>45933.48107638889</v>
      </c>
      <c r="C450" s="1" t="n">
        <v>46000</v>
      </c>
      <c r="D450" t="inlineStr">
        <is>
          <t>DALARNAS LÄN</t>
        </is>
      </c>
      <c r="E450" t="inlineStr">
        <is>
          <t>LUDVIKA</t>
        </is>
      </c>
      <c r="G450" t="n">
        <v>1.3</v>
      </c>
      <c r="H450" t="n">
        <v>0</v>
      </c>
      <c r="I450" t="n">
        <v>0</v>
      </c>
      <c r="J450" t="n">
        <v>0</v>
      </c>
      <c r="K450" t="n">
        <v>0</v>
      </c>
      <c r="L450" t="n">
        <v>0</v>
      </c>
      <c r="M450" t="n">
        <v>0</v>
      </c>
      <c r="N450" t="n">
        <v>0</v>
      </c>
      <c r="O450" t="n">
        <v>0</v>
      </c>
      <c r="P450" t="n">
        <v>0</v>
      </c>
      <c r="Q450" t="n">
        <v>0</v>
      </c>
      <c r="R450" s="2" t="inlineStr"/>
    </row>
    <row r="451" ht="15" customHeight="1">
      <c r="A451" t="inlineStr">
        <is>
          <t>A 56219-2025</t>
        </is>
      </c>
      <c r="B451" s="1" t="n">
        <v>45974</v>
      </c>
      <c r="C451" s="1" t="n">
        <v>46000</v>
      </c>
      <c r="D451" t="inlineStr">
        <is>
          <t>DALARNAS LÄN</t>
        </is>
      </c>
      <c r="E451" t="inlineStr">
        <is>
          <t>LUDVIKA</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56655-2025</t>
        </is>
      </c>
      <c r="B452" s="1" t="n">
        <v>45975.64983796296</v>
      </c>
      <c r="C452" s="1" t="n">
        <v>46000</v>
      </c>
      <c r="D452" t="inlineStr">
        <is>
          <t>DALARNAS LÄN</t>
        </is>
      </c>
      <c r="E452" t="inlineStr">
        <is>
          <t>LUDVIKA</t>
        </is>
      </c>
      <c r="F452" t="inlineStr">
        <is>
          <t>Bergvik skog väst AB</t>
        </is>
      </c>
      <c r="G452" t="n">
        <v>8.5</v>
      </c>
      <c r="H452" t="n">
        <v>0</v>
      </c>
      <c r="I452" t="n">
        <v>0</v>
      </c>
      <c r="J452" t="n">
        <v>0</v>
      </c>
      <c r="K452" t="n">
        <v>0</v>
      </c>
      <c r="L452" t="n">
        <v>0</v>
      </c>
      <c r="M452" t="n">
        <v>0</v>
      </c>
      <c r="N452" t="n">
        <v>0</v>
      </c>
      <c r="O452" t="n">
        <v>0</v>
      </c>
      <c r="P452" t="n">
        <v>0</v>
      </c>
      <c r="Q452" t="n">
        <v>0</v>
      </c>
      <c r="R452" s="2" t="inlineStr"/>
    </row>
    <row r="453" ht="15" customHeight="1">
      <c r="A453" t="inlineStr">
        <is>
          <t>A 34823-2025</t>
        </is>
      </c>
      <c r="B453" s="1" t="n">
        <v>45849</v>
      </c>
      <c r="C453" s="1" t="n">
        <v>46000</v>
      </c>
      <c r="D453" t="inlineStr">
        <is>
          <t>DALARNAS LÄN</t>
        </is>
      </c>
      <c r="E453" t="inlineStr">
        <is>
          <t>LUDVIKA</t>
        </is>
      </c>
      <c r="F453" t="inlineStr">
        <is>
          <t>Bergvik skog väst AB</t>
        </is>
      </c>
      <c r="G453" t="n">
        <v>2.7</v>
      </c>
      <c r="H453" t="n">
        <v>0</v>
      </c>
      <c r="I453" t="n">
        <v>0</v>
      </c>
      <c r="J453" t="n">
        <v>0</v>
      </c>
      <c r="K453" t="n">
        <v>0</v>
      </c>
      <c r="L453" t="n">
        <v>0</v>
      </c>
      <c r="M453" t="n">
        <v>0</v>
      </c>
      <c r="N453" t="n">
        <v>0</v>
      </c>
      <c r="O453" t="n">
        <v>0</v>
      </c>
      <c r="P453" t="n">
        <v>0</v>
      </c>
      <c r="Q453" t="n">
        <v>0</v>
      </c>
      <c r="R453" s="2" t="inlineStr"/>
    </row>
    <row r="454" ht="15" customHeight="1">
      <c r="A454" t="inlineStr">
        <is>
          <t>A 56249-2025</t>
        </is>
      </c>
      <c r="B454" s="1" t="n">
        <v>45974</v>
      </c>
      <c r="C454" s="1" t="n">
        <v>46000</v>
      </c>
      <c r="D454" t="inlineStr">
        <is>
          <t>DALARNAS LÄN</t>
        </is>
      </c>
      <c r="E454" t="inlineStr">
        <is>
          <t>LUDVIKA</t>
        </is>
      </c>
      <c r="F454" t="inlineStr">
        <is>
          <t>Bergvik skog väst AB</t>
        </is>
      </c>
      <c r="G454" t="n">
        <v>5.9</v>
      </c>
      <c r="H454" t="n">
        <v>0</v>
      </c>
      <c r="I454" t="n">
        <v>0</v>
      </c>
      <c r="J454" t="n">
        <v>0</v>
      </c>
      <c r="K454" t="n">
        <v>0</v>
      </c>
      <c r="L454" t="n">
        <v>0</v>
      </c>
      <c r="M454" t="n">
        <v>0</v>
      </c>
      <c r="N454" t="n">
        <v>0</v>
      </c>
      <c r="O454" t="n">
        <v>0</v>
      </c>
      <c r="P454" t="n">
        <v>0</v>
      </c>
      <c r="Q454" t="n">
        <v>0</v>
      </c>
      <c r="R454" s="2" t="inlineStr"/>
    </row>
    <row r="455" ht="15" customHeight="1">
      <c r="A455" t="inlineStr">
        <is>
          <t>A 56615-2025</t>
        </is>
      </c>
      <c r="B455" s="1" t="n">
        <v>45975.59326388889</v>
      </c>
      <c r="C455" s="1" t="n">
        <v>46000</v>
      </c>
      <c r="D455" t="inlineStr">
        <is>
          <t>DALARNAS LÄN</t>
        </is>
      </c>
      <c r="E455" t="inlineStr">
        <is>
          <t>LUDVIKA</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33127-2025</t>
        </is>
      </c>
      <c r="B456" s="1" t="n">
        <v>45840</v>
      </c>
      <c r="C456" s="1" t="n">
        <v>46000</v>
      </c>
      <c r="D456" t="inlineStr">
        <is>
          <t>DALARNAS LÄN</t>
        </is>
      </c>
      <c r="E456" t="inlineStr">
        <is>
          <t>LUDVIKA</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17677-2022</t>
        </is>
      </c>
      <c r="B457" s="1" t="n">
        <v>44680</v>
      </c>
      <c r="C457" s="1" t="n">
        <v>46000</v>
      </c>
      <c r="D457" t="inlineStr">
        <is>
          <t>DALARNAS LÄN</t>
        </is>
      </c>
      <c r="E457" t="inlineStr">
        <is>
          <t>LUDVIKA</t>
        </is>
      </c>
      <c r="F457" t="inlineStr">
        <is>
          <t>Bergvik skog väst AB</t>
        </is>
      </c>
      <c r="G457" t="n">
        <v>5.5</v>
      </c>
      <c r="H457" t="n">
        <v>0</v>
      </c>
      <c r="I457" t="n">
        <v>0</v>
      </c>
      <c r="J457" t="n">
        <v>0</v>
      </c>
      <c r="K457" t="n">
        <v>0</v>
      </c>
      <c r="L457" t="n">
        <v>0</v>
      </c>
      <c r="M457" t="n">
        <v>0</v>
      </c>
      <c r="N457" t="n">
        <v>0</v>
      </c>
      <c r="O457" t="n">
        <v>0</v>
      </c>
      <c r="P457" t="n">
        <v>0</v>
      </c>
      <c r="Q457" t="n">
        <v>0</v>
      </c>
      <c r="R457" s="2" t="inlineStr"/>
    </row>
    <row r="458" ht="15" customHeight="1">
      <c r="A458" t="inlineStr">
        <is>
          <t>A 32332-2024</t>
        </is>
      </c>
      <c r="B458" s="1" t="n">
        <v>45512.48011574074</v>
      </c>
      <c r="C458" s="1" t="n">
        <v>46000</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36523-2025</t>
        </is>
      </c>
      <c r="B459" s="1" t="n">
        <v>45869</v>
      </c>
      <c r="C459" s="1" t="n">
        <v>46000</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36435-2025</t>
        </is>
      </c>
      <c r="B460" s="1" t="n">
        <v>45869</v>
      </c>
      <c r="C460" s="1" t="n">
        <v>46000</v>
      </c>
      <c r="D460" t="inlineStr">
        <is>
          <t>DALARNAS LÄN</t>
        </is>
      </c>
      <c r="E460" t="inlineStr">
        <is>
          <t>LUDVIKA</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36437-2025</t>
        </is>
      </c>
      <c r="B461" s="1" t="n">
        <v>45869</v>
      </c>
      <c r="C461" s="1" t="n">
        <v>46000</v>
      </c>
      <c r="D461" t="inlineStr">
        <is>
          <t>DALARNAS LÄN</t>
        </is>
      </c>
      <c r="E461" t="inlineStr">
        <is>
          <t>LUDVIKA</t>
        </is>
      </c>
      <c r="F461" t="inlineStr">
        <is>
          <t>Bergvik skog väst AB</t>
        </is>
      </c>
      <c r="G461" t="n">
        <v>0.6</v>
      </c>
      <c r="H461" t="n">
        <v>0</v>
      </c>
      <c r="I461" t="n">
        <v>0</v>
      </c>
      <c r="J461" t="n">
        <v>0</v>
      </c>
      <c r="K461" t="n">
        <v>0</v>
      </c>
      <c r="L461" t="n">
        <v>0</v>
      </c>
      <c r="M461" t="n">
        <v>0</v>
      </c>
      <c r="N461" t="n">
        <v>0</v>
      </c>
      <c r="O461" t="n">
        <v>0</v>
      </c>
      <c r="P461" t="n">
        <v>0</v>
      </c>
      <c r="Q461" t="n">
        <v>0</v>
      </c>
      <c r="R461" s="2" t="inlineStr"/>
    </row>
    <row r="462" ht="15" customHeight="1">
      <c r="A462" t="inlineStr">
        <is>
          <t>A 35708-2025</t>
        </is>
      </c>
      <c r="B462" s="1" t="n">
        <v>45860</v>
      </c>
      <c r="C462" s="1" t="n">
        <v>46000</v>
      </c>
      <c r="D462" t="inlineStr">
        <is>
          <t>DALARNAS LÄN</t>
        </is>
      </c>
      <c r="E462" t="inlineStr">
        <is>
          <t>LUDVIKA</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48490-2025</t>
        </is>
      </c>
      <c r="B463" s="1" t="n">
        <v>45936.36644675926</v>
      </c>
      <c r="C463" s="1" t="n">
        <v>46000</v>
      </c>
      <c r="D463" t="inlineStr">
        <is>
          <t>DALARNAS LÄN</t>
        </is>
      </c>
      <c r="E463" t="inlineStr">
        <is>
          <t>LUDVIKA</t>
        </is>
      </c>
      <c r="F463" t="inlineStr">
        <is>
          <t>Bergvik skog väst AB</t>
        </is>
      </c>
      <c r="G463" t="n">
        <v>1.5</v>
      </c>
      <c r="H463" t="n">
        <v>0</v>
      </c>
      <c r="I463" t="n">
        <v>0</v>
      </c>
      <c r="J463" t="n">
        <v>0</v>
      </c>
      <c r="K463" t="n">
        <v>0</v>
      </c>
      <c r="L463" t="n">
        <v>0</v>
      </c>
      <c r="M463" t="n">
        <v>0</v>
      </c>
      <c r="N463" t="n">
        <v>0</v>
      </c>
      <c r="O463" t="n">
        <v>0</v>
      </c>
      <c r="P463" t="n">
        <v>0</v>
      </c>
      <c r="Q463" t="n">
        <v>0</v>
      </c>
      <c r="R463" s="2" t="inlineStr"/>
    </row>
    <row r="464" ht="15" customHeight="1">
      <c r="A464" t="inlineStr">
        <is>
          <t>A 43055-2024</t>
        </is>
      </c>
      <c r="B464" s="1" t="n">
        <v>45567.45354166667</v>
      </c>
      <c r="C464" s="1" t="n">
        <v>46000</v>
      </c>
      <c r="D464" t="inlineStr">
        <is>
          <t>DALARNAS LÄN</t>
        </is>
      </c>
      <c r="E464" t="inlineStr">
        <is>
          <t>LUDVIKA</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36436-2025</t>
        </is>
      </c>
      <c r="B465" s="1" t="n">
        <v>45869</v>
      </c>
      <c r="C465" s="1" t="n">
        <v>46000</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48577-2025</t>
        </is>
      </c>
      <c r="B466" s="1" t="n">
        <v>45936.45299768518</v>
      </c>
      <c r="C466" s="1" t="n">
        <v>46000</v>
      </c>
      <c r="D466" t="inlineStr">
        <is>
          <t>DALARNAS LÄN</t>
        </is>
      </c>
      <c r="E466" t="inlineStr">
        <is>
          <t>LUDVIKA</t>
        </is>
      </c>
      <c r="F466" t="inlineStr">
        <is>
          <t>Bergvik skog väst AB</t>
        </is>
      </c>
      <c r="G466" t="n">
        <v>3.2</v>
      </c>
      <c r="H466" t="n">
        <v>0</v>
      </c>
      <c r="I466" t="n">
        <v>0</v>
      </c>
      <c r="J466" t="n">
        <v>0</v>
      </c>
      <c r="K466" t="n">
        <v>0</v>
      </c>
      <c r="L466" t="n">
        <v>0</v>
      </c>
      <c r="M466" t="n">
        <v>0</v>
      </c>
      <c r="N466" t="n">
        <v>0</v>
      </c>
      <c r="O466" t="n">
        <v>0</v>
      </c>
      <c r="P466" t="n">
        <v>0</v>
      </c>
      <c r="Q466" t="n">
        <v>0</v>
      </c>
      <c r="R466" s="2" t="inlineStr"/>
    </row>
    <row r="467" ht="15" customHeight="1">
      <c r="A467" t="inlineStr">
        <is>
          <t>A 60787-2024</t>
        </is>
      </c>
      <c r="B467" s="1" t="n">
        <v>45644.59155092593</v>
      </c>
      <c r="C467" s="1" t="n">
        <v>46000</v>
      </c>
      <c r="D467" t="inlineStr">
        <is>
          <t>DALARNAS LÄN</t>
        </is>
      </c>
      <c r="E467" t="inlineStr">
        <is>
          <t>LUDVIKA</t>
        </is>
      </c>
      <c r="G467" t="n">
        <v>1.9</v>
      </c>
      <c r="H467" t="n">
        <v>0</v>
      </c>
      <c r="I467" t="n">
        <v>0</v>
      </c>
      <c r="J467" t="n">
        <v>0</v>
      </c>
      <c r="K467" t="n">
        <v>0</v>
      </c>
      <c r="L467" t="n">
        <v>0</v>
      </c>
      <c r="M467" t="n">
        <v>0</v>
      </c>
      <c r="N467" t="n">
        <v>0</v>
      </c>
      <c r="O467" t="n">
        <v>0</v>
      </c>
      <c r="P467" t="n">
        <v>0</v>
      </c>
      <c r="Q467" t="n">
        <v>0</v>
      </c>
      <c r="R467" s="2" t="inlineStr"/>
    </row>
    <row r="468" ht="15" customHeight="1">
      <c r="A468" t="inlineStr">
        <is>
          <t>A 57557-2023</t>
        </is>
      </c>
      <c r="B468" s="1" t="n">
        <v>45246</v>
      </c>
      <c r="C468" s="1" t="n">
        <v>46000</v>
      </c>
      <c r="D468" t="inlineStr">
        <is>
          <t>DALARNAS LÄN</t>
        </is>
      </c>
      <c r="E468" t="inlineStr">
        <is>
          <t>LUDVIKA</t>
        </is>
      </c>
      <c r="G468" t="n">
        <v>12.7</v>
      </c>
      <c r="H468" t="n">
        <v>0</v>
      </c>
      <c r="I468" t="n">
        <v>0</v>
      </c>
      <c r="J468" t="n">
        <v>0</v>
      </c>
      <c r="K468" t="n">
        <v>0</v>
      </c>
      <c r="L468" t="n">
        <v>0</v>
      </c>
      <c r="M468" t="n">
        <v>0</v>
      </c>
      <c r="N468" t="n">
        <v>0</v>
      </c>
      <c r="O468" t="n">
        <v>0</v>
      </c>
      <c r="P468" t="n">
        <v>0</v>
      </c>
      <c r="Q468" t="n">
        <v>0</v>
      </c>
      <c r="R468" s="2" t="inlineStr"/>
    </row>
    <row r="469" ht="15" customHeight="1">
      <c r="A469" t="inlineStr">
        <is>
          <t>A 56790-2025</t>
        </is>
      </c>
      <c r="B469" s="1" t="n">
        <v>45978</v>
      </c>
      <c r="C469" s="1" t="n">
        <v>46000</v>
      </c>
      <c r="D469" t="inlineStr">
        <is>
          <t>DALARNAS LÄN</t>
        </is>
      </c>
      <c r="E469" t="inlineStr">
        <is>
          <t>LUDVIKA</t>
        </is>
      </c>
      <c r="F469" t="inlineStr">
        <is>
          <t>Bergvik skog väst AB</t>
        </is>
      </c>
      <c r="G469" t="n">
        <v>6.3</v>
      </c>
      <c r="H469" t="n">
        <v>0</v>
      </c>
      <c r="I469" t="n">
        <v>0</v>
      </c>
      <c r="J469" t="n">
        <v>0</v>
      </c>
      <c r="K469" t="n">
        <v>0</v>
      </c>
      <c r="L469" t="n">
        <v>0</v>
      </c>
      <c r="M469" t="n">
        <v>0</v>
      </c>
      <c r="N469" t="n">
        <v>0</v>
      </c>
      <c r="O469" t="n">
        <v>0</v>
      </c>
      <c r="P469" t="n">
        <v>0</v>
      </c>
      <c r="Q469" t="n">
        <v>0</v>
      </c>
      <c r="R469" s="2" t="inlineStr"/>
    </row>
    <row r="470" ht="15" customHeight="1">
      <c r="A470" t="inlineStr">
        <is>
          <t>A 48488-2025</t>
        </is>
      </c>
      <c r="B470" s="1" t="n">
        <v>45936.36597222222</v>
      </c>
      <c r="C470" s="1" t="n">
        <v>46000</v>
      </c>
      <c r="D470" t="inlineStr">
        <is>
          <t>DALARNAS LÄN</t>
        </is>
      </c>
      <c r="E470" t="inlineStr">
        <is>
          <t>LUDVIKA</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6151-2024</t>
        </is>
      </c>
      <c r="B471" s="1" t="n">
        <v>45337</v>
      </c>
      <c r="C471" s="1" t="n">
        <v>46000</v>
      </c>
      <c r="D471" t="inlineStr">
        <is>
          <t>DALARNAS LÄN</t>
        </is>
      </c>
      <c r="E471" t="inlineStr">
        <is>
          <t>LUDVIKA</t>
        </is>
      </c>
      <c r="G471" t="n">
        <v>1.7</v>
      </c>
      <c r="H471" t="n">
        <v>0</v>
      </c>
      <c r="I471" t="n">
        <v>0</v>
      </c>
      <c r="J471" t="n">
        <v>0</v>
      </c>
      <c r="K471" t="n">
        <v>0</v>
      </c>
      <c r="L471" t="n">
        <v>0</v>
      </c>
      <c r="M471" t="n">
        <v>0</v>
      </c>
      <c r="N471" t="n">
        <v>0</v>
      </c>
      <c r="O471" t="n">
        <v>0</v>
      </c>
      <c r="P471" t="n">
        <v>0</v>
      </c>
      <c r="Q471" t="n">
        <v>0</v>
      </c>
      <c r="R471" s="2" t="inlineStr"/>
    </row>
    <row r="472" ht="15" customHeight="1">
      <c r="A472" t="inlineStr">
        <is>
          <t>A 48590-2025</t>
        </is>
      </c>
      <c r="B472" s="1" t="n">
        <v>45936.46136574074</v>
      </c>
      <c r="C472" s="1" t="n">
        <v>46000</v>
      </c>
      <c r="D472" t="inlineStr">
        <is>
          <t>DALARNAS LÄN</t>
        </is>
      </c>
      <c r="E472" t="inlineStr">
        <is>
          <t>LUDVIKA</t>
        </is>
      </c>
      <c r="F472" t="inlineStr">
        <is>
          <t>Bergvik skog väst AB</t>
        </is>
      </c>
      <c r="G472" t="n">
        <v>13.7</v>
      </c>
      <c r="H472" t="n">
        <v>0</v>
      </c>
      <c r="I472" t="n">
        <v>0</v>
      </c>
      <c r="J472" t="n">
        <v>0</v>
      </c>
      <c r="K472" t="n">
        <v>0</v>
      </c>
      <c r="L472" t="n">
        <v>0</v>
      </c>
      <c r="M472" t="n">
        <v>0</v>
      </c>
      <c r="N472" t="n">
        <v>0</v>
      </c>
      <c r="O472" t="n">
        <v>0</v>
      </c>
      <c r="P472" t="n">
        <v>0</v>
      </c>
      <c r="Q472" t="n">
        <v>0</v>
      </c>
      <c r="R472" s="2" t="inlineStr"/>
    </row>
    <row r="473" ht="15" customHeight="1">
      <c r="A473" t="inlineStr">
        <is>
          <t>A 53106-2024</t>
        </is>
      </c>
      <c r="B473" s="1" t="n">
        <v>45611.55626157407</v>
      </c>
      <c r="C473" s="1" t="n">
        <v>46000</v>
      </c>
      <c r="D473" t="inlineStr">
        <is>
          <t>DALARNAS LÄN</t>
        </is>
      </c>
      <c r="E473" t="inlineStr">
        <is>
          <t>LUDVIKA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49177-2024</t>
        </is>
      </c>
      <c r="B474" s="1" t="n">
        <v>45595.33203703703</v>
      </c>
      <c r="C474" s="1" t="n">
        <v>46000</v>
      </c>
      <c r="D474" t="inlineStr">
        <is>
          <t>DALARNAS LÄN</t>
        </is>
      </c>
      <c r="E474" t="inlineStr">
        <is>
          <t>LUDVIKA</t>
        </is>
      </c>
      <c r="G474" t="n">
        <v>1.8</v>
      </c>
      <c r="H474" t="n">
        <v>0</v>
      </c>
      <c r="I474" t="n">
        <v>0</v>
      </c>
      <c r="J474" t="n">
        <v>0</v>
      </c>
      <c r="K474" t="n">
        <v>0</v>
      </c>
      <c r="L474" t="n">
        <v>0</v>
      </c>
      <c r="M474" t="n">
        <v>0</v>
      </c>
      <c r="N474" t="n">
        <v>0</v>
      </c>
      <c r="O474" t="n">
        <v>0</v>
      </c>
      <c r="P474" t="n">
        <v>0</v>
      </c>
      <c r="Q474" t="n">
        <v>0</v>
      </c>
      <c r="R474" s="2" t="inlineStr"/>
    </row>
    <row r="475" ht="15" customHeight="1">
      <c r="A475" t="inlineStr">
        <is>
          <t>A 49676-2024</t>
        </is>
      </c>
      <c r="B475" s="1" t="n">
        <v>45596.66278935185</v>
      </c>
      <c r="C475" s="1" t="n">
        <v>46000</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18187-2025</t>
        </is>
      </c>
      <c r="B476" s="1" t="n">
        <v>45761.66826388889</v>
      </c>
      <c r="C476" s="1" t="n">
        <v>46000</v>
      </c>
      <c r="D476" t="inlineStr">
        <is>
          <t>DALARNAS LÄN</t>
        </is>
      </c>
      <c r="E476" t="inlineStr">
        <is>
          <t>LUDVIKA</t>
        </is>
      </c>
      <c r="G476" t="n">
        <v>1.9</v>
      </c>
      <c r="H476" t="n">
        <v>0</v>
      </c>
      <c r="I476" t="n">
        <v>0</v>
      </c>
      <c r="J476" t="n">
        <v>0</v>
      </c>
      <c r="K476" t="n">
        <v>0</v>
      </c>
      <c r="L476" t="n">
        <v>0</v>
      </c>
      <c r="M476" t="n">
        <v>0</v>
      </c>
      <c r="N476" t="n">
        <v>0</v>
      </c>
      <c r="O476" t="n">
        <v>0</v>
      </c>
      <c r="P476" t="n">
        <v>0</v>
      </c>
      <c r="Q476" t="n">
        <v>0</v>
      </c>
      <c r="R476" s="2" t="inlineStr"/>
    </row>
    <row r="477" ht="15" customHeight="1">
      <c r="A477" t="inlineStr">
        <is>
          <t>A 42213-2024</t>
        </is>
      </c>
      <c r="B477" s="1" t="n">
        <v>45562.53810185185</v>
      </c>
      <c r="C477" s="1" t="n">
        <v>46000</v>
      </c>
      <c r="D477" t="inlineStr">
        <is>
          <t>DALARNAS LÄN</t>
        </is>
      </c>
      <c r="E477" t="inlineStr">
        <is>
          <t>LUDVIKA</t>
        </is>
      </c>
      <c r="F477" t="inlineStr">
        <is>
          <t>Bergvik skog väst AB</t>
        </is>
      </c>
      <c r="G477" t="n">
        <v>3.6</v>
      </c>
      <c r="H477" t="n">
        <v>0</v>
      </c>
      <c r="I477" t="n">
        <v>0</v>
      </c>
      <c r="J477" t="n">
        <v>0</v>
      </c>
      <c r="K477" t="n">
        <v>0</v>
      </c>
      <c r="L477" t="n">
        <v>0</v>
      </c>
      <c r="M477" t="n">
        <v>0</v>
      </c>
      <c r="N477" t="n">
        <v>0</v>
      </c>
      <c r="O477" t="n">
        <v>0</v>
      </c>
      <c r="P477" t="n">
        <v>0</v>
      </c>
      <c r="Q477" t="n">
        <v>0</v>
      </c>
      <c r="R477" s="2" t="inlineStr"/>
    </row>
    <row r="478" ht="15" customHeight="1">
      <c r="A478" t="inlineStr">
        <is>
          <t>A 42254-2024</t>
        </is>
      </c>
      <c r="B478" s="1" t="n">
        <v>45562.58427083334</v>
      </c>
      <c r="C478" s="1" t="n">
        <v>46000</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49035-2024</t>
        </is>
      </c>
      <c r="B479" s="1" t="n">
        <v>45594.55173611111</v>
      </c>
      <c r="C479" s="1" t="n">
        <v>46000</v>
      </c>
      <c r="D479" t="inlineStr">
        <is>
          <t>DALARNAS LÄN</t>
        </is>
      </c>
      <c r="E479" t="inlineStr">
        <is>
          <t>LUDVIKA</t>
        </is>
      </c>
      <c r="F479" t="inlineStr">
        <is>
          <t>Naturvårdsverket</t>
        </is>
      </c>
      <c r="G479" t="n">
        <v>2</v>
      </c>
      <c r="H479" t="n">
        <v>0</v>
      </c>
      <c r="I479" t="n">
        <v>0</v>
      </c>
      <c r="J479" t="n">
        <v>0</v>
      </c>
      <c r="K479" t="n">
        <v>0</v>
      </c>
      <c r="L479" t="n">
        <v>0</v>
      </c>
      <c r="M479" t="n">
        <v>0</v>
      </c>
      <c r="N479" t="n">
        <v>0</v>
      </c>
      <c r="O479" t="n">
        <v>0</v>
      </c>
      <c r="P479" t="n">
        <v>0</v>
      </c>
      <c r="Q479" t="n">
        <v>0</v>
      </c>
      <c r="R479" s="2" t="inlineStr"/>
    </row>
    <row r="480" ht="15" customHeight="1">
      <c r="A480" t="inlineStr">
        <is>
          <t>A 37121-2025</t>
        </is>
      </c>
      <c r="B480" s="1" t="n">
        <v>45875.51950231481</v>
      </c>
      <c r="C480" s="1" t="n">
        <v>46000</v>
      </c>
      <c r="D480" t="inlineStr">
        <is>
          <t>DALARNAS LÄN</t>
        </is>
      </c>
      <c r="E480" t="inlineStr">
        <is>
          <t>LUDVIKA</t>
        </is>
      </c>
      <c r="G480" t="n">
        <v>0.9</v>
      </c>
      <c r="H480" t="n">
        <v>0</v>
      </c>
      <c r="I480" t="n">
        <v>0</v>
      </c>
      <c r="J480" t="n">
        <v>0</v>
      </c>
      <c r="K480" t="n">
        <v>0</v>
      </c>
      <c r="L480" t="n">
        <v>0</v>
      </c>
      <c r="M480" t="n">
        <v>0</v>
      </c>
      <c r="N480" t="n">
        <v>0</v>
      </c>
      <c r="O480" t="n">
        <v>0</v>
      </c>
      <c r="P480" t="n">
        <v>0</v>
      </c>
      <c r="Q480" t="n">
        <v>0</v>
      </c>
      <c r="R480" s="2" t="inlineStr"/>
    </row>
    <row r="481" ht="15" customHeight="1">
      <c r="A481" t="inlineStr">
        <is>
          <t>A 61621-2022</t>
        </is>
      </c>
      <c r="B481" s="1" t="n">
        <v>44916.67578703703</v>
      </c>
      <c r="C481" s="1" t="n">
        <v>46000</v>
      </c>
      <c r="D481" t="inlineStr">
        <is>
          <t>DALARNAS LÄN</t>
        </is>
      </c>
      <c r="E481" t="inlineStr">
        <is>
          <t>LUDVIKA</t>
        </is>
      </c>
      <c r="F481" t="inlineStr">
        <is>
          <t>Bergvik skog väst AB</t>
        </is>
      </c>
      <c r="G481" t="n">
        <v>0.7</v>
      </c>
      <c r="H481" t="n">
        <v>0</v>
      </c>
      <c r="I481" t="n">
        <v>0</v>
      </c>
      <c r="J481" t="n">
        <v>0</v>
      </c>
      <c r="K481" t="n">
        <v>0</v>
      </c>
      <c r="L481" t="n">
        <v>0</v>
      </c>
      <c r="M481" t="n">
        <v>0</v>
      </c>
      <c r="N481" t="n">
        <v>0</v>
      </c>
      <c r="O481" t="n">
        <v>0</v>
      </c>
      <c r="P481" t="n">
        <v>0</v>
      </c>
      <c r="Q481" t="n">
        <v>0</v>
      </c>
      <c r="R481" s="2" t="inlineStr"/>
    </row>
    <row r="482" ht="15" customHeight="1">
      <c r="A482" t="inlineStr">
        <is>
          <t>A 37129-2025</t>
        </is>
      </c>
      <c r="B482" s="1" t="n">
        <v>45875.54314814815</v>
      </c>
      <c r="C482" s="1" t="n">
        <v>46000</v>
      </c>
      <c r="D482" t="inlineStr">
        <is>
          <t>DALARNAS LÄN</t>
        </is>
      </c>
      <c r="E482" t="inlineStr">
        <is>
          <t>LUDVIKA</t>
        </is>
      </c>
      <c r="G482" t="n">
        <v>3.9</v>
      </c>
      <c r="H482" t="n">
        <v>0</v>
      </c>
      <c r="I482" t="n">
        <v>0</v>
      </c>
      <c r="J482" t="n">
        <v>0</v>
      </c>
      <c r="K482" t="n">
        <v>0</v>
      </c>
      <c r="L482" t="n">
        <v>0</v>
      </c>
      <c r="M482" t="n">
        <v>0</v>
      </c>
      <c r="N482" t="n">
        <v>0</v>
      </c>
      <c r="O482" t="n">
        <v>0</v>
      </c>
      <c r="P482" t="n">
        <v>0</v>
      </c>
      <c r="Q482" t="n">
        <v>0</v>
      </c>
      <c r="R482" s="2" t="inlineStr"/>
    </row>
    <row r="483" ht="15" customHeight="1">
      <c r="A483" t="inlineStr">
        <is>
          <t>A 49060-2023</t>
        </is>
      </c>
      <c r="B483" s="1" t="n">
        <v>45210</v>
      </c>
      <c r="C483" s="1" t="n">
        <v>46000</v>
      </c>
      <c r="D483" t="inlineStr">
        <is>
          <t>DALARNAS LÄN</t>
        </is>
      </c>
      <c r="E483" t="inlineStr">
        <is>
          <t>LUDVIKA</t>
        </is>
      </c>
      <c r="F483" t="inlineStr">
        <is>
          <t>Naturvårdsverket</t>
        </is>
      </c>
      <c r="G483" t="n">
        <v>0.8</v>
      </c>
      <c r="H483" t="n">
        <v>0</v>
      </c>
      <c r="I483" t="n">
        <v>0</v>
      </c>
      <c r="J483" t="n">
        <v>0</v>
      </c>
      <c r="K483" t="n">
        <v>0</v>
      </c>
      <c r="L483" t="n">
        <v>0</v>
      </c>
      <c r="M483" t="n">
        <v>0</v>
      </c>
      <c r="N483" t="n">
        <v>0</v>
      </c>
      <c r="O483" t="n">
        <v>0</v>
      </c>
      <c r="P483" t="n">
        <v>0</v>
      </c>
      <c r="Q483" t="n">
        <v>0</v>
      </c>
      <c r="R483" s="2" t="inlineStr"/>
    </row>
    <row r="484" ht="15" customHeight="1">
      <c r="A484" t="inlineStr">
        <is>
          <t>A 49114-2023</t>
        </is>
      </c>
      <c r="B484" s="1" t="n">
        <v>45210</v>
      </c>
      <c r="C484" s="1" t="n">
        <v>46000</v>
      </c>
      <c r="D484" t="inlineStr">
        <is>
          <t>DALARNAS LÄN</t>
        </is>
      </c>
      <c r="E484" t="inlineStr">
        <is>
          <t>LUDVIKA</t>
        </is>
      </c>
      <c r="F484" t="inlineStr">
        <is>
          <t>Naturvårdsverket</t>
        </is>
      </c>
      <c r="G484" t="n">
        <v>4</v>
      </c>
      <c r="H484" t="n">
        <v>0</v>
      </c>
      <c r="I484" t="n">
        <v>0</v>
      </c>
      <c r="J484" t="n">
        <v>0</v>
      </c>
      <c r="K484" t="n">
        <v>0</v>
      </c>
      <c r="L484" t="n">
        <v>0</v>
      </c>
      <c r="M484" t="n">
        <v>0</v>
      </c>
      <c r="N484" t="n">
        <v>0</v>
      </c>
      <c r="O484" t="n">
        <v>0</v>
      </c>
      <c r="P484" t="n">
        <v>0</v>
      </c>
      <c r="Q484" t="n">
        <v>0</v>
      </c>
      <c r="R484" s="2" t="inlineStr"/>
    </row>
    <row r="485" ht="15" customHeight="1">
      <c r="A485" t="inlineStr">
        <is>
          <t>A 47366-2023</t>
        </is>
      </c>
      <c r="B485" s="1" t="n">
        <v>45202.59850694444</v>
      </c>
      <c r="C485" s="1" t="n">
        <v>46000</v>
      </c>
      <c r="D485" t="inlineStr">
        <is>
          <t>DALARNAS LÄN</t>
        </is>
      </c>
      <c r="E485" t="inlineStr">
        <is>
          <t>LUDVIKA</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49166-2025</t>
        </is>
      </c>
      <c r="B486" s="1" t="n">
        <v>45938.36746527778</v>
      </c>
      <c r="C486" s="1" t="n">
        <v>46000</v>
      </c>
      <c r="D486" t="inlineStr">
        <is>
          <t>DALARNAS LÄN</t>
        </is>
      </c>
      <c r="E486" t="inlineStr">
        <is>
          <t>LUDVIKA</t>
        </is>
      </c>
      <c r="F486" t="inlineStr">
        <is>
          <t>Bergvik skog väst AB</t>
        </is>
      </c>
      <c r="G486" t="n">
        <v>2.5</v>
      </c>
      <c r="H486" t="n">
        <v>0</v>
      </c>
      <c r="I486" t="n">
        <v>0</v>
      </c>
      <c r="J486" t="n">
        <v>0</v>
      </c>
      <c r="K486" t="n">
        <v>0</v>
      </c>
      <c r="L486" t="n">
        <v>0</v>
      </c>
      <c r="M486" t="n">
        <v>0</v>
      </c>
      <c r="N486" t="n">
        <v>0</v>
      </c>
      <c r="O486" t="n">
        <v>0</v>
      </c>
      <c r="P486" t="n">
        <v>0</v>
      </c>
      <c r="Q486" t="n">
        <v>0</v>
      </c>
      <c r="R486" s="2" t="inlineStr"/>
    </row>
    <row r="487" ht="15" customHeight="1">
      <c r="A487" t="inlineStr">
        <is>
          <t>A 55281-2024</t>
        </is>
      </c>
      <c r="B487" s="1" t="n">
        <v>45621.62696759259</v>
      </c>
      <c r="C487" s="1" t="n">
        <v>46000</v>
      </c>
      <c r="D487" t="inlineStr">
        <is>
          <t>DALARNAS LÄN</t>
        </is>
      </c>
      <c r="E487" t="inlineStr">
        <is>
          <t>LUDVIKA</t>
        </is>
      </c>
      <c r="F487" t="inlineStr">
        <is>
          <t>Naturvårdsverket</t>
        </is>
      </c>
      <c r="G487" t="n">
        <v>1.3</v>
      </c>
      <c r="H487" t="n">
        <v>0</v>
      </c>
      <c r="I487" t="n">
        <v>0</v>
      </c>
      <c r="J487" t="n">
        <v>0</v>
      </c>
      <c r="K487" t="n">
        <v>0</v>
      </c>
      <c r="L487" t="n">
        <v>0</v>
      </c>
      <c r="M487" t="n">
        <v>0</v>
      </c>
      <c r="N487" t="n">
        <v>0</v>
      </c>
      <c r="O487" t="n">
        <v>0</v>
      </c>
      <c r="P487" t="n">
        <v>0</v>
      </c>
      <c r="Q487" t="n">
        <v>0</v>
      </c>
      <c r="R487" s="2" t="inlineStr"/>
    </row>
    <row r="488" ht="15" customHeight="1">
      <c r="A488" t="inlineStr">
        <is>
          <t>A 27528-2025</t>
        </is>
      </c>
      <c r="B488" s="1" t="n">
        <v>45813</v>
      </c>
      <c r="C488" s="1" t="n">
        <v>46000</v>
      </c>
      <c r="D488" t="inlineStr">
        <is>
          <t>DALARNAS LÄN</t>
        </is>
      </c>
      <c r="E488" t="inlineStr">
        <is>
          <t>LUDVIKA</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34868-2025</t>
        </is>
      </c>
      <c r="B489" s="1" t="n">
        <v>45849</v>
      </c>
      <c r="C489" s="1" t="n">
        <v>46000</v>
      </c>
      <c r="D489" t="inlineStr">
        <is>
          <t>DALARNAS LÄN</t>
        </is>
      </c>
      <c r="E489" t="inlineStr">
        <is>
          <t>LUDVIKA</t>
        </is>
      </c>
      <c r="F489" t="inlineStr">
        <is>
          <t>Bergvik skog väst AB</t>
        </is>
      </c>
      <c r="G489" t="n">
        <v>1.9</v>
      </c>
      <c r="H489" t="n">
        <v>0</v>
      </c>
      <c r="I489" t="n">
        <v>0</v>
      </c>
      <c r="J489" t="n">
        <v>0</v>
      </c>
      <c r="K489" t="n">
        <v>0</v>
      </c>
      <c r="L489" t="n">
        <v>0</v>
      </c>
      <c r="M489" t="n">
        <v>0</v>
      </c>
      <c r="N489" t="n">
        <v>0</v>
      </c>
      <c r="O489" t="n">
        <v>0</v>
      </c>
      <c r="P489" t="n">
        <v>0</v>
      </c>
      <c r="Q489" t="n">
        <v>0</v>
      </c>
      <c r="R489" s="2" t="inlineStr"/>
    </row>
    <row r="490" ht="15" customHeight="1">
      <c r="A490" t="inlineStr">
        <is>
          <t>A 49874-2025</t>
        </is>
      </c>
      <c r="B490" s="1" t="n">
        <v>45940</v>
      </c>
      <c r="C490" s="1" t="n">
        <v>46000</v>
      </c>
      <c r="D490" t="inlineStr">
        <is>
          <t>DALARNAS LÄN</t>
        </is>
      </c>
      <c r="E490" t="inlineStr">
        <is>
          <t>LUDVIKA</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49879-2025</t>
        </is>
      </c>
      <c r="B491" s="1" t="n">
        <v>45940</v>
      </c>
      <c r="C491" s="1" t="n">
        <v>46000</v>
      </c>
      <c r="D491" t="inlineStr">
        <is>
          <t>DALARNAS LÄN</t>
        </is>
      </c>
      <c r="E491" t="inlineStr">
        <is>
          <t>LUDVIKA</t>
        </is>
      </c>
      <c r="F491" t="inlineStr">
        <is>
          <t>Bergvik skog väst AB</t>
        </is>
      </c>
      <c r="G491" t="n">
        <v>2.3</v>
      </c>
      <c r="H491" t="n">
        <v>0</v>
      </c>
      <c r="I491" t="n">
        <v>0</v>
      </c>
      <c r="J491" t="n">
        <v>0</v>
      </c>
      <c r="K491" t="n">
        <v>0</v>
      </c>
      <c r="L491" t="n">
        <v>0</v>
      </c>
      <c r="M491" t="n">
        <v>0</v>
      </c>
      <c r="N491" t="n">
        <v>0</v>
      </c>
      <c r="O491" t="n">
        <v>0</v>
      </c>
      <c r="P491" t="n">
        <v>0</v>
      </c>
      <c r="Q491" t="n">
        <v>0</v>
      </c>
      <c r="R491" s="2" t="inlineStr"/>
    </row>
    <row r="492" ht="15" customHeight="1">
      <c r="A492" t="inlineStr">
        <is>
          <t>A 49893-2025</t>
        </is>
      </c>
      <c r="B492" s="1" t="n">
        <v>45940</v>
      </c>
      <c r="C492" s="1" t="n">
        <v>46000</v>
      </c>
      <c r="D492" t="inlineStr">
        <is>
          <t>DALARNAS LÄN</t>
        </is>
      </c>
      <c r="E492" t="inlineStr">
        <is>
          <t>LUDVIKA</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60660-2024</t>
        </is>
      </c>
      <c r="B493" s="1" t="n">
        <v>45644.44615740741</v>
      </c>
      <c r="C493" s="1" t="n">
        <v>46000</v>
      </c>
      <c r="D493" t="inlineStr">
        <is>
          <t>DALARNAS LÄN</t>
        </is>
      </c>
      <c r="E493" t="inlineStr">
        <is>
          <t>LUDVIKA</t>
        </is>
      </c>
      <c r="G493" t="n">
        <v>0.7</v>
      </c>
      <c r="H493" t="n">
        <v>0</v>
      </c>
      <c r="I493" t="n">
        <v>0</v>
      </c>
      <c r="J493" t="n">
        <v>0</v>
      </c>
      <c r="K493" t="n">
        <v>0</v>
      </c>
      <c r="L493" t="n">
        <v>0</v>
      </c>
      <c r="M493" t="n">
        <v>0</v>
      </c>
      <c r="N493" t="n">
        <v>0</v>
      </c>
      <c r="O493" t="n">
        <v>0</v>
      </c>
      <c r="P493" t="n">
        <v>0</v>
      </c>
      <c r="Q493" t="n">
        <v>0</v>
      </c>
      <c r="R493" s="2" t="inlineStr"/>
    </row>
    <row r="494" ht="15" customHeight="1">
      <c r="A494" t="inlineStr">
        <is>
          <t>A 9725-2025</t>
        </is>
      </c>
      <c r="B494" s="1" t="n">
        <v>45716.41461805555</v>
      </c>
      <c r="C494" s="1" t="n">
        <v>46000</v>
      </c>
      <c r="D494" t="inlineStr">
        <is>
          <t>DALARNAS LÄN</t>
        </is>
      </c>
      <c r="E494" t="inlineStr">
        <is>
          <t>LUDVIKA</t>
        </is>
      </c>
      <c r="F494" t="inlineStr">
        <is>
          <t>Bergvik skog väst AB</t>
        </is>
      </c>
      <c r="G494" t="n">
        <v>6</v>
      </c>
      <c r="H494" t="n">
        <v>0</v>
      </c>
      <c r="I494" t="n">
        <v>0</v>
      </c>
      <c r="J494" t="n">
        <v>0</v>
      </c>
      <c r="K494" t="n">
        <v>0</v>
      </c>
      <c r="L494" t="n">
        <v>0</v>
      </c>
      <c r="M494" t="n">
        <v>0</v>
      </c>
      <c r="N494" t="n">
        <v>0</v>
      </c>
      <c r="O494" t="n">
        <v>0</v>
      </c>
      <c r="P494" t="n">
        <v>0</v>
      </c>
      <c r="Q494" t="n">
        <v>0</v>
      </c>
      <c r="R494" s="2" t="inlineStr"/>
    </row>
    <row r="495" ht="15" customHeight="1">
      <c r="A495" t="inlineStr">
        <is>
          <t>A 38446-2025</t>
        </is>
      </c>
      <c r="B495" s="1" t="n">
        <v>45883.65762731482</v>
      </c>
      <c r="C495" s="1" t="n">
        <v>46000</v>
      </c>
      <c r="D495" t="inlineStr">
        <is>
          <t>DALARNAS LÄN</t>
        </is>
      </c>
      <c r="E495" t="inlineStr">
        <is>
          <t>LUDVIKA</t>
        </is>
      </c>
      <c r="G495" t="n">
        <v>0.8</v>
      </c>
      <c r="H495" t="n">
        <v>0</v>
      </c>
      <c r="I495" t="n">
        <v>0</v>
      </c>
      <c r="J495" t="n">
        <v>0</v>
      </c>
      <c r="K495" t="n">
        <v>0</v>
      </c>
      <c r="L495" t="n">
        <v>0</v>
      </c>
      <c r="M495" t="n">
        <v>0</v>
      </c>
      <c r="N495" t="n">
        <v>0</v>
      </c>
      <c r="O495" t="n">
        <v>0</v>
      </c>
      <c r="P495" t="n">
        <v>0</v>
      </c>
      <c r="Q495" t="n">
        <v>0</v>
      </c>
      <c r="R495" s="2" t="inlineStr"/>
    </row>
    <row r="496" ht="15" customHeight="1">
      <c r="A496" t="inlineStr">
        <is>
          <t>A 34875-2025</t>
        </is>
      </c>
      <c r="B496" s="1" t="n">
        <v>45849</v>
      </c>
      <c r="C496" s="1" t="n">
        <v>46000</v>
      </c>
      <c r="D496" t="inlineStr">
        <is>
          <t>DALARNAS LÄN</t>
        </is>
      </c>
      <c r="E496" t="inlineStr">
        <is>
          <t>LUDVIKA</t>
        </is>
      </c>
      <c r="F496" t="inlineStr">
        <is>
          <t>Bergvik skog väst AB</t>
        </is>
      </c>
      <c r="G496" t="n">
        <v>5.8</v>
      </c>
      <c r="H496" t="n">
        <v>0</v>
      </c>
      <c r="I496" t="n">
        <v>0</v>
      </c>
      <c r="J496" t="n">
        <v>0</v>
      </c>
      <c r="K496" t="n">
        <v>0</v>
      </c>
      <c r="L496" t="n">
        <v>0</v>
      </c>
      <c r="M496" t="n">
        <v>0</v>
      </c>
      <c r="N496" t="n">
        <v>0</v>
      </c>
      <c r="O496" t="n">
        <v>0</v>
      </c>
      <c r="P496" t="n">
        <v>0</v>
      </c>
      <c r="Q496" t="n">
        <v>0</v>
      </c>
      <c r="R496" s="2" t="inlineStr"/>
    </row>
    <row r="497" ht="15" customHeight="1">
      <c r="A497" t="inlineStr">
        <is>
          <t>A 53104-2024</t>
        </is>
      </c>
      <c r="B497" s="1" t="n">
        <v>45611.551875</v>
      </c>
      <c r="C497" s="1" t="n">
        <v>46000</v>
      </c>
      <c r="D497" t="inlineStr">
        <is>
          <t>DALARNAS LÄN</t>
        </is>
      </c>
      <c r="E497" t="inlineStr">
        <is>
          <t>LUDVIKA</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59346-2024</t>
        </is>
      </c>
      <c r="B498" s="1" t="n">
        <v>45637.99482638889</v>
      </c>
      <c r="C498" s="1" t="n">
        <v>46000</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48642-2022</t>
        </is>
      </c>
      <c r="B499" s="1" t="n">
        <v>44859.42164351852</v>
      </c>
      <c r="C499" s="1" t="n">
        <v>46000</v>
      </c>
      <c r="D499" t="inlineStr">
        <is>
          <t>DALARNAS LÄN</t>
        </is>
      </c>
      <c r="E499" t="inlineStr">
        <is>
          <t>LUDVIKA</t>
        </is>
      </c>
      <c r="F499" t="inlineStr">
        <is>
          <t>Naturvårdsverket</t>
        </is>
      </c>
      <c r="G499" t="n">
        <v>1.5</v>
      </c>
      <c r="H499" t="n">
        <v>0</v>
      </c>
      <c r="I499" t="n">
        <v>0</v>
      </c>
      <c r="J499" t="n">
        <v>0</v>
      </c>
      <c r="K499" t="n">
        <v>0</v>
      </c>
      <c r="L499" t="n">
        <v>0</v>
      </c>
      <c r="M499" t="n">
        <v>0</v>
      </c>
      <c r="N499" t="n">
        <v>0</v>
      </c>
      <c r="O499" t="n">
        <v>0</v>
      </c>
      <c r="P499" t="n">
        <v>0</v>
      </c>
      <c r="Q499" t="n">
        <v>0</v>
      </c>
      <c r="R499" s="2" t="inlineStr"/>
    </row>
    <row r="500" ht="15" customHeight="1">
      <c r="A500" t="inlineStr">
        <is>
          <t>A 58513-2025</t>
        </is>
      </c>
      <c r="B500" s="1" t="n">
        <v>45985</v>
      </c>
      <c r="C500" s="1" t="n">
        <v>46000</v>
      </c>
      <c r="D500" t="inlineStr">
        <is>
          <t>DALARNAS LÄN</t>
        </is>
      </c>
      <c r="E500" t="inlineStr">
        <is>
          <t>LUDVIKA</t>
        </is>
      </c>
      <c r="F500" t="inlineStr">
        <is>
          <t>Övriga Aktiebolag</t>
        </is>
      </c>
      <c r="G500" t="n">
        <v>7.2</v>
      </c>
      <c r="H500" t="n">
        <v>0</v>
      </c>
      <c r="I500" t="n">
        <v>0</v>
      </c>
      <c r="J500" t="n">
        <v>0</v>
      </c>
      <c r="K500" t="n">
        <v>0</v>
      </c>
      <c r="L500" t="n">
        <v>0</v>
      </c>
      <c r="M500" t="n">
        <v>0</v>
      </c>
      <c r="N500" t="n">
        <v>0</v>
      </c>
      <c r="O500" t="n">
        <v>0</v>
      </c>
      <c r="P500" t="n">
        <v>0</v>
      </c>
      <c r="Q500" t="n">
        <v>0</v>
      </c>
      <c r="R500" s="2" t="inlineStr"/>
    </row>
    <row r="501" ht="15" customHeight="1">
      <c r="A501" t="inlineStr">
        <is>
          <t>A 18724-2022</t>
        </is>
      </c>
      <c r="B501" s="1" t="n">
        <v>44687.67511574074</v>
      </c>
      <c r="C501" s="1" t="n">
        <v>46000</v>
      </c>
      <c r="D501" t="inlineStr">
        <is>
          <t>DALARNAS LÄN</t>
        </is>
      </c>
      <c r="E501" t="inlineStr">
        <is>
          <t>LUDVIKA</t>
        </is>
      </c>
      <c r="G501" t="n">
        <v>4.3</v>
      </c>
      <c r="H501" t="n">
        <v>0</v>
      </c>
      <c r="I501" t="n">
        <v>0</v>
      </c>
      <c r="J501" t="n">
        <v>0</v>
      </c>
      <c r="K501" t="n">
        <v>0</v>
      </c>
      <c r="L501" t="n">
        <v>0</v>
      </c>
      <c r="M501" t="n">
        <v>0</v>
      </c>
      <c r="N501" t="n">
        <v>0</v>
      </c>
      <c r="O501" t="n">
        <v>0</v>
      </c>
      <c r="P501" t="n">
        <v>0</v>
      </c>
      <c r="Q501" t="n">
        <v>0</v>
      </c>
      <c r="R501" s="2" t="inlineStr"/>
    </row>
    <row r="502" ht="15" customHeight="1">
      <c r="A502" t="inlineStr">
        <is>
          <t>A 50444-2025</t>
        </is>
      </c>
      <c r="B502" s="1" t="n">
        <v>45944.93016203704</v>
      </c>
      <c r="C502" s="1" t="n">
        <v>46000</v>
      </c>
      <c r="D502" t="inlineStr">
        <is>
          <t>DALARNAS LÄN</t>
        </is>
      </c>
      <c r="E502" t="inlineStr">
        <is>
          <t>LUDVIKA</t>
        </is>
      </c>
      <c r="G502" t="n">
        <v>2.7</v>
      </c>
      <c r="H502" t="n">
        <v>0</v>
      </c>
      <c r="I502" t="n">
        <v>0</v>
      </c>
      <c r="J502" t="n">
        <v>0</v>
      </c>
      <c r="K502" t="n">
        <v>0</v>
      </c>
      <c r="L502" t="n">
        <v>0</v>
      </c>
      <c r="M502" t="n">
        <v>0</v>
      </c>
      <c r="N502" t="n">
        <v>0</v>
      </c>
      <c r="O502" t="n">
        <v>0</v>
      </c>
      <c r="P502" t="n">
        <v>0</v>
      </c>
      <c r="Q502" t="n">
        <v>0</v>
      </c>
      <c r="R502" s="2" t="inlineStr"/>
    </row>
    <row r="503" ht="15" customHeight="1">
      <c r="A503" t="inlineStr">
        <is>
          <t>A 43057-2024</t>
        </is>
      </c>
      <c r="B503" s="1" t="n">
        <v>45567.46006944445</v>
      </c>
      <c r="C503" s="1" t="n">
        <v>46000</v>
      </c>
      <c r="D503" t="inlineStr">
        <is>
          <t>DALARNAS LÄN</t>
        </is>
      </c>
      <c r="E503" t="inlineStr">
        <is>
          <t>LUDVIKA</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36527-2024</t>
        </is>
      </c>
      <c r="B504" s="1" t="n">
        <v>45537.44119212963</v>
      </c>
      <c r="C504" s="1" t="n">
        <v>46000</v>
      </c>
      <c r="D504" t="inlineStr">
        <is>
          <t>DALARNAS LÄN</t>
        </is>
      </c>
      <c r="E504" t="inlineStr">
        <is>
          <t>LUDVIKA</t>
        </is>
      </c>
      <c r="F504" t="inlineStr">
        <is>
          <t>Övriga Aktiebolag</t>
        </is>
      </c>
      <c r="G504" t="n">
        <v>3.3</v>
      </c>
      <c r="H504" t="n">
        <v>0</v>
      </c>
      <c r="I504" t="n">
        <v>0</v>
      </c>
      <c r="J504" t="n">
        <v>0</v>
      </c>
      <c r="K504" t="n">
        <v>0</v>
      </c>
      <c r="L504" t="n">
        <v>0</v>
      </c>
      <c r="M504" t="n">
        <v>0</v>
      </c>
      <c r="N504" t="n">
        <v>0</v>
      </c>
      <c r="O504" t="n">
        <v>0</v>
      </c>
      <c r="P504" t="n">
        <v>0</v>
      </c>
      <c r="Q504" t="n">
        <v>0</v>
      </c>
      <c r="R504" s="2" t="inlineStr"/>
    </row>
    <row r="505" ht="15" customHeight="1">
      <c r="A505" t="inlineStr">
        <is>
          <t>A 42128-2024</t>
        </is>
      </c>
      <c r="B505" s="1" t="n">
        <v>45562.40503472222</v>
      </c>
      <c r="C505" s="1" t="n">
        <v>46000</v>
      </c>
      <c r="D505" t="inlineStr">
        <is>
          <t>DALARNAS LÄN</t>
        </is>
      </c>
      <c r="E505" t="inlineStr">
        <is>
          <t>LUDVIKA</t>
        </is>
      </c>
      <c r="G505" t="n">
        <v>3.1</v>
      </c>
      <c r="H505" t="n">
        <v>0</v>
      </c>
      <c r="I505" t="n">
        <v>0</v>
      </c>
      <c r="J505" t="n">
        <v>0</v>
      </c>
      <c r="K505" t="n">
        <v>0</v>
      </c>
      <c r="L505" t="n">
        <v>0</v>
      </c>
      <c r="M505" t="n">
        <v>0</v>
      </c>
      <c r="N505" t="n">
        <v>0</v>
      </c>
      <c r="O505" t="n">
        <v>0</v>
      </c>
      <c r="P505" t="n">
        <v>0</v>
      </c>
      <c r="Q505" t="n">
        <v>0</v>
      </c>
      <c r="R505" s="2" t="inlineStr"/>
    </row>
    <row r="506" ht="15" customHeight="1">
      <c r="A506" t="inlineStr">
        <is>
          <t>A 33673-2022</t>
        </is>
      </c>
      <c r="B506" s="1" t="n">
        <v>44789</v>
      </c>
      <c r="C506" s="1" t="n">
        <v>46000</v>
      </c>
      <c r="D506" t="inlineStr">
        <is>
          <t>DALARNAS LÄN</t>
        </is>
      </c>
      <c r="E506" t="inlineStr">
        <is>
          <t>LUDVIKA</t>
        </is>
      </c>
      <c r="G506" t="n">
        <v>1.5</v>
      </c>
      <c r="H506" t="n">
        <v>0</v>
      </c>
      <c r="I506" t="n">
        <v>0</v>
      </c>
      <c r="J506" t="n">
        <v>0</v>
      </c>
      <c r="K506" t="n">
        <v>0</v>
      </c>
      <c r="L506" t="n">
        <v>0</v>
      </c>
      <c r="M506" t="n">
        <v>0</v>
      </c>
      <c r="N506" t="n">
        <v>0</v>
      </c>
      <c r="O506" t="n">
        <v>0</v>
      </c>
      <c r="P506" t="n">
        <v>0</v>
      </c>
      <c r="Q506" t="n">
        <v>0</v>
      </c>
      <c r="R506" s="2" t="inlineStr"/>
    </row>
    <row r="507" ht="15" customHeight="1">
      <c r="A507" t="inlineStr">
        <is>
          <t>A 56680-2022</t>
        </is>
      </c>
      <c r="B507" s="1" t="n">
        <v>44893.67267361111</v>
      </c>
      <c r="C507" s="1" t="n">
        <v>46000</v>
      </c>
      <c r="D507" t="inlineStr">
        <is>
          <t>DALARNAS LÄN</t>
        </is>
      </c>
      <c r="E507" t="inlineStr">
        <is>
          <t>LUDVIKA</t>
        </is>
      </c>
      <c r="G507" t="n">
        <v>0.4</v>
      </c>
      <c r="H507" t="n">
        <v>0</v>
      </c>
      <c r="I507" t="n">
        <v>0</v>
      </c>
      <c r="J507" t="n">
        <v>0</v>
      </c>
      <c r="K507" t="n">
        <v>0</v>
      </c>
      <c r="L507" t="n">
        <v>0</v>
      </c>
      <c r="M507" t="n">
        <v>0</v>
      </c>
      <c r="N507" t="n">
        <v>0</v>
      </c>
      <c r="O507" t="n">
        <v>0</v>
      </c>
      <c r="P507" t="n">
        <v>0</v>
      </c>
      <c r="Q507" t="n">
        <v>0</v>
      </c>
      <c r="R507" s="2" t="inlineStr"/>
    </row>
    <row r="508" ht="15" customHeight="1">
      <c r="A508" t="inlineStr">
        <is>
          <t>A 73703-2021</t>
        </is>
      </c>
      <c r="B508" s="1" t="n">
        <v>44552</v>
      </c>
      <c r="C508" s="1" t="n">
        <v>46000</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59439-2025</t>
        </is>
      </c>
      <c r="B509" s="1" t="n">
        <v>45989</v>
      </c>
      <c r="C509" s="1" t="n">
        <v>46000</v>
      </c>
      <c r="D509" t="inlineStr">
        <is>
          <t>DALARNAS LÄN</t>
        </is>
      </c>
      <c r="E509" t="inlineStr">
        <is>
          <t>LUDVIKA</t>
        </is>
      </c>
      <c r="G509" t="n">
        <v>2.6</v>
      </c>
      <c r="H509" t="n">
        <v>0</v>
      </c>
      <c r="I509" t="n">
        <v>0</v>
      </c>
      <c r="J509" t="n">
        <v>0</v>
      </c>
      <c r="K509" t="n">
        <v>0</v>
      </c>
      <c r="L509" t="n">
        <v>0</v>
      </c>
      <c r="M509" t="n">
        <v>0</v>
      </c>
      <c r="N509" t="n">
        <v>0</v>
      </c>
      <c r="O509" t="n">
        <v>0</v>
      </c>
      <c r="P509" t="n">
        <v>0</v>
      </c>
      <c r="Q509" t="n">
        <v>0</v>
      </c>
      <c r="R509" s="2" t="inlineStr"/>
    </row>
    <row r="510" ht="15" customHeight="1">
      <c r="A510" t="inlineStr">
        <is>
          <t>A 59089-2025</t>
        </is>
      </c>
      <c r="B510" s="1" t="n">
        <v>45988.44615740741</v>
      </c>
      <c r="C510" s="1" t="n">
        <v>46000</v>
      </c>
      <c r="D510" t="inlineStr">
        <is>
          <t>DALARNAS LÄN</t>
        </is>
      </c>
      <c r="E510" t="inlineStr">
        <is>
          <t>LUDVIKA</t>
        </is>
      </c>
      <c r="G510" t="n">
        <v>3.6</v>
      </c>
      <c r="H510" t="n">
        <v>0</v>
      </c>
      <c r="I510" t="n">
        <v>0</v>
      </c>
      <c r="J510" t="n">
        <v>0</v>
      </c>
      <c r="K510" t="n">
        <v>0</v>
      </c>
      <c r="L510" t="n">
        <v>0</v>
      </c>
      <c r="M510" t="n">
        <v>0</v>
      </c>
      <c r="N510" t="n">
        <v>0</v>
      </c>
      <c r="O510" t="n">
        <v>0</v>
      </c>
      <c r="P510" t="n">
        <v>0</v>
      </c>
      <c r="Q510" t="n">
        <v>0</v>
      </c>
      <c r="R510" s="2" t="inlineStr"/>
      <c r="U510">
        <f>HYPERLINK("https://klasma.github.io/Logging_2085/knärot/A 59089-2025 karta knärot.png", "A 59089-2025")</f>
        <v/>
      </c>
      <c r="V510">
        <f>HYPERLINK("https://klasma.github.io/Logging_2085/klagomål/A 59089-2025 FSC-klagomål.docx", "A 59089-2025")</f>
        <v/>
      </c>
      <c r="W510">
        <f>HYPERLINK("https://klasma.github.io/Logging_2085/klagomålsmail/A 59089-2025 FSC-klagomål mail.docx", "A 59089-2025")</f>
        <v/>
      </c>
      <c r="X510">
        <f>HYPERLINK("https://klasma.github.io/Logging_2085/tillsyn/A 59089-2025 tillsynsbegäran.docx", "A 59089-2025")</f>
        <v/>
      </c>
      <c r="Y510">
        <f>HYPERLINK("https://klasma.github.io/Logging_2085/tillsynsmail/A 59089-2025 tillsynsbegäran mail.docx", "A 59089-2025")</f>
        <v/>
      </c>
    </row>
    <row r="511" ht="15" customHeight="1">
      <c r="A511" t="inlineStr">
        <is>
          <t>A 27389-2024</t>
        </is>
      </c>
      <c r="B511" s="1" t="n">
        <v>45474.31796296296</v>
      </c>
      <c r="C511" s="1" t="n">
        <v>46000</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44520-2023</t>
        </is>
      </c>
      <c r="B512" s="1" t="n">
        <v>45189</v>
      </c>
      <c r="C512" s="1" t="n">
        <v>46000</v>
      </c>
      <c r="D512" t="inlineStr">
        <is>
          <t>DALARNAS LÄN</t>
        </is>
      </c>
      <c r="E512" t="inlineStr">
        <is>
          <t>LUDVIKA</t>
        </is>
      </c>
      <c r="G512" t="n">
        <v>0.7</v>
      </c>
      <c r="H512" t="n">
        <v>0</v>
      </c>
      <c r="I512" t="n">
        <v>0</v>
      </c>
      <c r="J512" t="n">
        <v>0</v>
      </c>
      <c r="K512" t="n">
        <v>0</v>
      </c>
      <c r="L512" t="n">
        <v>0</v>
      </c>
      <c r="M512" t="n">
        <v>0</v>
      </c>
      <c r="N512" t="n">
        <v>0</v>
      </c>
      <c r="O512" t="n">
        <v>0</v>
      </c>
      <c r="P512" t="n">
        <v>0</v>
      </c>
      <c r="Q512" t="n">
        <v>0</v>
      </c>
      <c r="R512" s="2" t="inlineStr"/>
    </row>
    <row r="513" ht="15" customHeight="1">
      <c r="A513" t="inlineStr">
        <is>
          <t>A 57217-2024</t>
        </is>
      </c>
      <c r="B513" s="1" t="n">
        <v>45629</v>
      </c>
      <c r="C513" s="1" t="n">
        <v>46000</v>
      </c>
      <c r="D513" t="inlineStr">
        <is>
          <t>DALARNAS LÄN</t>
        </is>
      </c>
      <c r="E513" t="inlineStr">
        <is>
          <t>LUDVIKA</t>
        </is>
      </c>
      <c r="F513" t="inlineStr">
        <is>
          <t>Bergvik skog väst AB</t>
        </is>
      </c>
      <c r="G513" t="n">
        <v>17.3</v>
      </c>
      <c r="H513" t="n">
        <v>0</v>
      </c>
      <c r="I513" t="n">
        <v>0</v>
      </c>
      <c r="J513" t="n">
        <v>0</v>
      </c>
      <c r="K513" t="n">
        <v>0</v>
      </c>
      <c r="L513" t="n">
        <v>0</v>
      </c>
      <c r="M513" t="n">
        <v>0</v>
      </c>
      <c r="N513" t="n">
        <v>0</v>
      </c>
      <c r="O513" t="n">
        <v>0</v>
      </c>
      <c r="P513" t="n">
        <v>0</v>
      </c>
      <c r="Q513" t="n">
        <v>0</v>
      </c>
      <c r="R513" s="2" t="inlineStr"/>
    </row>
    <row r="514" ht="15" customHeight="1">
      <c r="A514" t="inlineStr">
        <is>
          <t>A 47999-2024</t>
        </is>
      </c>
      <c r="B514" s="1" t="n">
        <v>45589.44649305556</v>
      </c>
      <c r="C514" s="1" t="n">
        <v>46000</v>
      </c>
      <c r="D514" t="inlineStr">
        <is>
          <t>DALARNAS LÄN</t>
        </is>
      </c>
      <c r="E514" t="inlineStr">
        <is>
          <t>LUDVIKA</t>
        </is>
      </c>
      <c r="G514" t="n">
        <v>2.1</v>
      </c>
      <c r="H514" t="n">
        <v>0</v>
      </c>
      <c r="I514" t="n">
        <v>0</v>
      </c>
      <c r="J514" t="n">
        <v>0</v>
      </c>
      <c r="K514" t="n">
        <v>0</v>
      </c>
      <c r="L514" t="n">
        <v>0</v>
      </c>
      <c r="M514" t="n">
        <v>0</v>
      </c>
      <c r="N514" t="n">
        <v>0</v>
      </c>
      <c r="O514" t="n">
        <v>0</v>
      </c>
      <c r="P514" t="n">
        <v>0</v>
      </c>
      <c r="Q514" t="n">
        <v>0</v>
      </c>
      <c r="R514" s="2" t="inlineStr"/>
    </row>
    <row r="515" ht="15" customHeight="1">
      <c r="A515" t="inlineStr">
        <is>
          <t>A 59435-2025</t>
        </is>
      </c>
      <c r="B515" s="1" t="n">
        <v>45989</v>
      </c>
      <c r="C515" s="1" t="n">
        <v>46000</v>
      </c>
      <c r="D515" t="inlineStr">
        <is>
          <t>DALARNAS LÄN</t>
        </is>
      </c>
      <c r="E515" t="inlineStr">
        <is>
          <t>LUDVIKA</t>
        </is>
      </c>
      <c r="G515" t="n">
        <v>1.1</v>
      </c>
      <c r="H515" t="n">
        <v>0</v>
      </c>
      <c r="I515" t="n">
        <v>0</v>
      </c>
      <c r="J515" t="n">
        <v>0</v>
      </c>
      <c r="K515" t="n">
        <v>0</v>
      </c>
      <c r="L515" t="n">
        <v>0</v>
      </c>
      <c r="M515" t="n">
        <v>0</v>
      </c>
      <c r="N515" t="n">
        <v>0</v>
      </c>
      <c r="O515" t="n">
        <v>0</v>
      </c>
      <c r="P515" t="n">
        <v>0</v>
      </c>
      <c r="Q515" t="n">
        <v>0</v>
      </c>
      <c r="R515" s="2" t="inlineStr"/>
    </row>
    <row r="516" ht="15" customHeight="1">
      <c r="A516" t="inlineStr">
        <is>
          <t>A 59444-2025</t>
        </is>
      </c>
      <c r="B516" s="1" t="n">
        <v>45989</v>
      </c>
      <c r="C516" s="1" t="n">
        <v>46000</v>
      </c>
      <c r="D516" t="inlineStr">
        <is>
          <t>DALARNAS LÄN</t>
        </is>
      </c>
      <c r="E516" t="inlineStr">
        <is>
          <t>LUDVIKA</t>
        </is>
      </c>
      <c r="G516" t="n">
        <v>1</v>
      </c>
      <c r="H516" t="n">
        <v>0</v>
      </c>
      <c r="I516" t="n">
        <v>0</v>
      </c>
      <c r="J516" t="n">
        <v>0</v>
      </c>
      <c r="K516" t="n">
        <v>0</v>
      </c>
      <c r="L516" t="n">
        <v>0</v>
      </c>
      <c r="M516" t="n">
        <v>0</v>
      </c>
      <c r="N516" t="n">
        <v>0</v>
      </c>
      <c r="O516" t="n">
        <v>0</v>
      </c>
      <c r="P516" t="n">
        <v>0</v>
      </c>
      <c r="Q516" t="n">
        <v>0</v>
      </c>
      <c r="R516" s="2" t="inlineStr"/>
    </row>
    <row r="517" ht="15" customHeight="1">
      <c r="A517" t="inlineStr">
        <is>
          <t>A 57701-2025</t>
        </is>
      </c>
      <c r="B517" s="1" t="n">
        <v>45981</v>
      </c>
      <c r="C517" s="1" t="n">
        <v>46000</v>
      </c>
      <c r="D517" t="inlineStr">
        <is>
          <t>DALARNAS LÄN</t>
        </is>
      </c>
      <c r="E517" t="inlineStr">
        <is>
          <t>LUDVIKA</t>
        </is>
      </c>
      <c r="F517" t="inlineStr">
        <is>
          <t>Bergvik skog väst AB</t>
        </is>
      </c>
      <c r="G517" t="n">
        <v>5.5</v>
      </c>
      <c r="H517" t="n">
        <v>0</v>
      </c>
      <c r="I517" t="n">
        <v>0</v>
      </c>
      <c r="J517" t="n">
        <v>0</v>
      </c>
      <c r="K517" t="n">
        <v>0</v>
      </c>
      <c r="L517" t="n">
        <v>0</v>
      </c>
      <c r="M517" t="n">
        <v>0</v>
      </c>
      <c r="N517" t="n">
        <v>0</v>
      </c>
      <c r="O517" t="n">
        <v>0</v>
      </c>
      <c r="P517" t="n">
        <v>0</v>
      </c>
      <c r="Q517" t="n">
        <v>0</v>
      </c>
      <c r="R517" s="2" t="inlineStr"/>
    </row>
    <row r="518" ht="15" customHeight="1">
      <c r="A518" t="inlineStr">
        <is>
          <t>A 62275-2022</t>
        </is>
      </c>
      <c r="B518" s="1" t="n">
        <v>44923.35560185185</v>
      </c>
      <c r="C518" s="1" t="n">
        <v>46000</v>
      </c>
      <c r="D518" t="inlineStr">
        <is>
          <t>DALARNAS LÄN</t>
        </is>
      </c>
      <c r="E518" t="inlineStr">
        <is>
          <t>LUDVIKA</t>
        </is>
      </c>
      <c r="G518" t="n">
        <v>4.6</v>
      </c>
      <c r="H518" t="n">
        <v>0</v>
      </c>
      <c r="I518" t="n">
        <v>0</v>
      </c>
      <c r="J518" t="n">
        <v>0</v>
      </c>
      <c r="K518" t="n">
        <v>0</v>
      </c>
      <c r="L518" t="n">
        <v>0</v>
      </c>
      <c r="M518" t="n">
        <v>0</v>
      </c>
      <c r="N518" t="n">
        <v>0</v>
      </c>
      <c r="O518" t="n">
        <v>0</v>
      </c>
      <c r="P518" t="n">
        <v>0</v>
      </c>
      <c r="Q518" t="n">
        <v>0</v>
      </c>
      <c r="R518" s="2" t="inlineStr"/>
    </row>
    <row r="519" ht="15" customHeight="1">
      <c r="A519" t="inlineStr">
        <is>
          <t>A 51622-2025</t>
        </is>
      </c>
      <c r="B519" s="1" t="n">
        <v>45951.41353009259</v>
      </c>
      <c r="C519" s="1" t="n">
        <v>46000</v>
      </c>
      <c r="D519" t="inlineStr">
        <is>
          <t>DALARNAS LÄN</t>
        </is>
      </c>
      <c r="E519" t="inlineStr">
        <is>
          <t>LUDVIKA</t>
        </is>
      </c>
      <c r="G519" t="n">
        <v>1</v>
      </c>
      <c r="H519" t="n">
        <v>0</v>
      </c>
      <c r="I519" t="n">
        <v>0</v>
      </c>
      <c r="J519" t="n">
        <v>0</v>
      </c>
      <c r="K519" t="n">
        <v>0</v>
      </c>
      <c r="L519" t="n">
        <v>0</v>
      </c>
      <c r="M519" t="n">
        <v>0</v>
      </c>
      <c r="N519" t="n">
        <v>0</v>
      </c>
      <c r="O519" t="n">
        <v>0</v>
      </c>
      <c r="P519" t="n">
        <v>0</v>
      </c>
      <c r="Q519" t="n">
        <v>0</v>
      </c>
      <c r="R519" s="2" t="inlineStr"/>
    </row>
    <row r="520" ht="15" customHeight="1">
      <c r="A520" t="inlineStr">
        <is>
          <t>A 59950-2025</t>
        </is>
      </c>
      <c r="B520" s="1" t="n">
        <v>45993</v>
      </c>
      <c r="C520" s="1" t="n">
        <v>46000</v>
      </c>
      <c r="D520" t="inlineStr">
        <is>
          <t>DALARNAS LÄN</t>
        </is>
      </c>
      <c r="E520" t="inlineStr">
        <is>
          <t>LUDVIKA</t>
        </is>
      </c>
      <c r="G520" t="n">
        <v>9.6</v>
      </c>
      <c r="H520" t="n">
        <v>0</v>
      </c>
      <c r="I520" t="n">
        <v>0</v>
      </c>
      <c r="J520" t="n">
        <v>0</v>
      </c>
      <c r="K520" t="n">
        <v>0</v>
      </c>
      <c r="L520" t="n">
        <v>0</v>
      </c>
      <c r="M520" t="n">
        <v>0</v>
      </c>
      <c r="N520" t="n">
        <v>0</v>
      </c>
      <c r="O520" t="n">
        <v>0</v>
      </c>
      <c r="P520" t="n">
        <v>0</v>
      </c>
      <c r="Q520" t="n">
        <v>0</v>
      </c>
      <c r="R520" s="2" t="inlineStr"/>
    </row>
    <row r="521" ht="15" customHeight="1">
      <c r="A521" t="inlineStr">
        <is>
          <t>A 41090-2022</t>
        </is>
      </c>
      <c r="B521" s="1" t="n">
        <v>44825.64709490741</v>
      </c>
      <c r="C521" s="1" t="n">
        <v>46000</v>
      </c>
      <c r="D521" t="inlineStr">
        <is>
          <t>DALARNAS LÄN</t>
        </is>
      </c>
      <c r="E521" t="inlineStr">
        <is>
          <t>LUDVIKA</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50347-2021</t>
        </is>
      </c>
      <c r="B522" s="1" t="n">
        <v>44459</v>
      </c>
      <c r="C522" s="1" t="n">
        <v>46000</v>
      </c>
      <c r="D522" t="inlineStr">
        <is>
          <t>DALARNAS LÄN</t>
        </is>
      </c>
      <c r="E522" t="inlineStr">
        <is>
          <t>LUDVIKA</t>
        </is>
      </c>
      <c r="G522" t="n">
        <v>1.1</v>
      </c>
      <c r="H522" t="n">
        <v>0</v>
      </c>
      <c r="I522" t="n">
        <v>0</v>
      </c>
      <c r="J522" t="n">
        <v>0</v>
      </c>
      <c r="K522" t="n">
        <v>0</v>
      </c>
      <c r="L522" t="n">
        <v>0</v>
      </c>
      <c r="M522" t="n">
        <v>0</v>
      </c>
      <c r="N522" t="n">
        <v>0</v>
      </c>
      <c r="O522" t="n">
        <v>0</v>
      </c>
      <c r="P522" t="n">
        <v>0</v>
      </c>
      <c r="Q522" t="n">
        <v>0</v>
      </c>
      <c r="R522" s="2" t="inlineStr"/>
    </row>
    <row r="523" ht="15" customHeight="1">
      <c r="A523" t="inlineStr">
        <is>
          <t>A 59873-2025</t>
        </is>
      </c>
      <c r="B523" s="1" t="n">
        <v>45992.950625</v>
      </c>
      <c r="C523" s="1" t="n">
        <v>46000</v>
      </c>
      <c r="D523" t="inlineStr">
        <is>
          <t>DALARNAS LÄN</t>
        </is>
      </c>
      <c r="E523" t="inlineStr">
        <is>
          <t>LUDVIKA</t>
        </is>
      </c>
      <c r="G523" t="n">
        <v>3.7</v>
      </c>
      <c r="H523" t="n">
        <v>0</v>
      </c>
      <c r="I523" t="n">
        <v>0</v>
      </c>
      <c r="J523" t="n">
        <v>0</v>
      </c>
      <c r="K523" t="n">
        <v>0</v>
      </c>
      <c r="L523" t="n">
        <v>0</v>
      </c>
      <c r="M523" t="n">
        <v>0</v>
      </c>
      <c r="N523" t="n">
        <v>0</v>
      </c>
      <c r="O523" t="n">
        <v>0</v>
      </c>
      <c r="P523" t="n">
        <v>0</v>
      </c>
      <c r="Q523" t="n">
        <v>0</v>
      </c>
      <c r="R523" s="2" t="inlineStr"/>
    </row>
    <row r="524" ht="15" customHeight="1">
      <c r="A524" t="inlineStr">
        <is>
          <t>A 918-2024</t>
        </is>
      </c>
      <c r="B524" s="1" t="n">
        <v>45301</v>
      </c>
      <c r="C524" s="1" t="n">
        <v>46000</v>
      </c>
      <c r="D524" t="inlineStr">
        <is>
          <t>DALARNAS LÄN</t>
        </is>
      </c>
      <c r="E524" t="inlineStr">
        <is>
          <t>LUDVIKA</t>
        </is>
      </c>
      <c r="G524" t="n">
        <v>6</v>
      </c>
      <c r="H524" t="n">
        <v>0</v>
      </c>
      <c r="I524" t="n">
        <v>0</v>
      </c>
      <c r="J524" t="n">
        <v>0</v>
      </c>
      <c r="K524" t="n">
        <v>0</v>
      </c>
      <c r="L524" t="n">
        <v>0</v>
      </c>
      <c r="M524" t="n">
        <v>0</v>
      </c>
      <c r="N524" t="n">
        <v>0</v>
      </c>
      <c r="O524" t="n">
        <v>0</v>
      </c>
      <c r="P524" t="n">
        <v>0</v>
      </c>
      <c r="Q524" t="n">
        <v>0</v>
      </c>
      <c r="R524" s="2" t="inlineStr"/>
    </row>
    <row r="525" ht="15" customHeight="1">
      <c r="A525" t="inlineStr">
        <is>
          <t>A 923-2024</t>
        </is>
      </c>
      <c r="B525" s="1" t="n">
        <v>45301</v>
      </c>
      <c r="C525" s="1" t="n">
        <v>46000</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478-2024</t>
        </is>
      </c>
      <c r="B526" s="1" t="n">
        <v>45297</v>
      </c>
      <c r="C526" s="1" t="n">
        <v>46000</v>
      </c>
      <c r="D526" t="inlineStr">
        <is>
          <t>DALARNAS LÄN</t>
        </is>
      </c>
      <c r="E526" t="inlineStr">
        <is>
          <t>LUDVIKA</t>
        </is>
      </c>
      <c r="G526" t="n">
        <v>3.2</v>
      </c>
      <c r="H526" t="n">
        <v>0</v>
      </c>
      <c r="I526" t="n">
        <v>0</v>
      </c>
      <c r="J526" t="n">
        <v>0</v>
      </c>
      <c r="K526" t="n">
        <v>0</v>
      </c>
      <c r="L526" t="n">
        <v>0</v>
      </c>
      <c r="M526" t="n">
        <v>0</v>
      </c>
      <c r="N526" t="n">
        <v>0</v>
      </c>
      <c r="O526" t="n">
        <v>0</v>
      </c>
      <c r="P526" t="n">
        <v>0</v>
      </c>
      <c r="Q526" t="n">
        <v>0</v>
      </c>
      <c r="R526" s="2" t="inlineStr"/>
    </row>
    <row r="527" ht="15" customHeight="1">
      <c r="A527" t="inlineStr">
        <is>
          <t>A 59946-2025</t>
        </is>
      </c>
      <c r="B527" s="1" t="n">
        <v>45993</v>
      </c>
      <c r="C527" s="1" t="n">
        <v>46000</v>
      </c>
      <c r="D527" t="inlineStr">
        <is>
          <t>DALARNAS LÄN</t>
        </is>
      </c>
      <c r="E527" t="inlineStr">
        <is>
          <t>LUDVIKA</t>
        </is>
      </c>
      <c r="G527" t="n">
        <v>2.3</v>
      </c>
      <c r="H527" t="n">
        <v>0</v>
      </c>
      <c r="I527" t="n">
        <v>0</v>
      </c>
      <c r="J527" t="n">
        <v>0</v>
      </c>
      <c r="K527" t="n">
        <v>0</v>
      </c>
      <c r="L527" t="n">
        <v>0</v>
      </c>
      <c r="M527" t="n">
        <v>0</v>
      </c>
      <c r="N527" t="n">
        <v>0</v>
      </c>
      <c r="O527" t="n">
        <v>0</v>
      </c>
      <c r="P527" t="n">
        <v>0</v>
      </c>
      <c r="Q527" t="n">
        <v>0</v>
      </c>
      <c r="R527" s="2" t="inlineStr"/>
    </row>
    <row r="528" ht="15" customHeight="1">
      <c r="A528" t="inlineStr">
        <is>
          <t>A 59518-2025</t>
        </is>
      </c>
      <c r="B528" s="1" t="n">
        <v>45989</v>
      </c>
      <c r="C528" s="1" t="n">
        <v>46000</v>
      </c>
      <c r="D528" t="inlineStr">
        <is>
          <t>DALARNAS LÄN</t>
        </is>
      </c>
      <c r="E528" t="inlineStr">
        <is>
          <t>LUDVIKA</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59530-2025</t>
        </is>
      </c>
      <c r="B529" s="1" t="n">
        <v>45989</v>
      </c>
      <c r="C529" s="1" t="n">
        <v>46000</v>
      </c>
      <c r="D529" t="inlineStr">
        <is>
          <t>DALARNAS LÄN</t>
        </is>
      </c>
      <c r="E529" t="inlineStr">
        <is>
          <t>LUDVIKA</t>
        </is>
      </c>
      <c r="F529" t="inlineStr">
        <is>
          <t>Bergvik skog väst AB</t>
        </is>
      </c>
      <c r="G529" t="n">
        <v>7.8</v>
      </c>
      <c r="H529" t="n">
        <v>0</v>
      </c>
      <c r="I529" t="n">
        <v>0</v>
      </c>
      <c r="J529" t="n">
        <v>0</v>
      </c>
      <c r="K529" t="n">
        <v>0</v>
      </c>
      <c r="L529" t="n">
        <v>0</v>
      </c>
      <c r="M529" t="n">
        <v>0</v>
      </c>
      <c r="N529" t="n">
        <v>0</v>
      </c>
      <c r="O529" t="n">
        <v>0</v>
      </c>
      <c r="P529" t="n">
        <v>0</v>
      </c>
      <c r="Q529" t="n">
        <v>0</v>
      </c>
      <c r="R529" s="2" t="inlineStr"/>
    </row>
    <row r="530" ht="15" customHeight="1">
      <c r="A530" t="inlineStr">
        <is>
          <t>A 57435-2025</t>
        </is>
      </c>
      <c r="B530" s="1" t="n">
        <v>45980</v>
      </c>
      <c r="C530" s="1" t="n">
        <v>46000</v>
      </c>
      <c r="D530" t="inlineStr">
        <is>
          <t>DALARNAS LÄN</t>
        </is>
      </c>
      <c r="E530" t="inlineStr">
        <is>
          <t>LUDVIKA</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5841-2024</t>
        </is>
      </c>
      <c r="B531" s="1" t="n">
        <v>45335.60587962963</v>
      </c>
      <c r="C531" s="1" t="n">
        <v>46000</v>
      </c>
      <c r="D531" t="inlineStr">
        <is>
          <t>DALARNAS LÄN</t>
        </is>
      </c>
      <c r="E531" t="inlineStr">
        <is>
          <t>LUDVIKA</t>
        </is>
      </c>
      <c r="G531" t="n">
        <v>1.6</v>
      </c>
      <c r="H531" t="n">
        <v>0</v>
      </c>
      <c r="I531" t="n">
        <v>0</v>
      </c>
      <c r="J531" t="n">
        <v>0</v>
      </c>
      <c r="K531" t="n">
        <v>0</v>
      </c>
      <c r="L531" t="n">
        <v>0</v>
      </c>
      <c r="M531" t="n">
        <v>0</v>
      </c>
      <c r="N531" t="n">
        <v>0</v>
      </c>
      <c r="O531" t="n">
        <v>0</v>
      </c>
      <c r="P531" t="n">
        <v>0</v>
      </c>
      <c r="Q531" t="n">
        <v>0</v>
      </c>
      <c r="R531" s="2" t="inlineStr"/>
    </row>
    <row r="532" ht="15" customHeight="1">
      <c r="A532" t="inlineStr">
        <is>
          <t>A 56650-2025</t>
        </is>
      </c>
      <c r="B532" s="1" t="n">
        <v>45975</v>
      </c>
      <c r="C532" s="1" t="n">
        <v>46000</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36296-2023</t>
        </is>
      </c>
      <c r="B533" s="1" t="n">
        <v>45152.3591087963</v>
      </c>
      <c r="C533" s="1" t="n">
        <v>46000</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57307-2024</t>
        </is>
      </c>
      <c r="B534" s="1" t="n">
        <v>45629.60449074074</v>
      </c>
      <c r="C534" s="1" t="n">
        <v>46000</v>
      </c>
      <c r="D534" t="inlineStr">
        <is>
          <t>DALARNAS LÄN</t>
        </is>
      </c>
      <c r="E534" t="inlineStr">
        <is>
          <t>LUDVIKA</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48352-2023</t>
        </is>
      </c>
      <c r="B535" s="1" t="n">
        <v>45205</v>
      </c>
      <c r="C535" s="1" t="n">
        <v>46000</v>
      </c>
      <c r="D535" t="inlineStr">
        <is>
          <t>DALARNAS LÄN</t>
        </is>
      </c>
      <c r="E535" t="inlineStr">
        <is>
          <t>LUDVIKA</t>
        </is>
      </c>
      <c r="F535" t="inlineStr">
        <is>
          <t>Bergvik skog väst AB</t>
        </is>
      </c>
      <c r="G535" t="n">
        <v>12.8</v>
      </c>
      <c r="H535" t="n">
        <v>0</v>
      </c>
      <c r="I535" t="n">
        <v>0</v>
      </c>
      <c r="J535" t="n">
        <v>0</v>
      </c>
      <c r="K535" t="n">
        <v>0</v>
      </c>
      <c r="L535" t="n">
        <v>0</v>
      </c>
      <c r="M535" t="n">
        <v>0</v>
      </c>
      <c r="N535" t="n">
        <v>0</v>
      </c>
      <c r="O535" t="n">
        <v>0</v>
      </c>
      <c r="P535" t="n">
        <v>0</v>
      </c>
      <c r="Q535" t="n">
        <v>0</v>
      </c>
      <c r="R535" s="2" t="inlineStr"/>
    </row>
    <row r="536" ht="15" customHeight="1">
      <c r="A536" t="inlineStr">
        <is>
          <t>A 59667-2024</t>
        </is>
      </c>
      <c r="B536" s="1" t="n">
        <v>45639</v>
      </c>
      <c r="C536" s="1" t="n">
        <v>46000</v>
      </c>
      <c r="D536" t="inlineStr">
        <is>
          <t>DALARNAS LÄN</t>
        </is>
      </c>
      <c r="E536" t="inlineStr">
        <is>
          <t>LUDVIKA</t>
        </is>
      </c>
      <c r="F536" t="inlineStr">
        <is>
          <t>Bergvik skog väst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57832-2025</t>
        </is>
      </c>
      <c r="B537" s="1" t="n">
        <v>45981</v>
      </c>
      <c r="C537" s="1" t="n">
        <v>46000</v>
      </c>
      <c r="D537" t="inlineStr">
        <is>
          <t>DALARNAS LÄN</t>
        </is>
      </c>
      <c r="E537" t="inlineStr">
        <is>
          <t>LUDVIKA</t>
        </is>
      </c>
      <c r="F537" t="inlineStr">
        <is>
          <t>Bergvik skog väst AB</t>
        </is>
      </c>
      <c r="G537" t="n">
        <v>2.8</v>
      </c>
      <c r="H537" t="n">
        <v>0</v>
      </c>
      <c r="I537" t="n">
        <v>0</v>
      </c>
      <c r="J537" t="n">
        <v>0</v>
      </c>
      <c r="K537" t="n">
        <v>0</v>
      </c>
      <c r="L537" t="n">
        <v>0</v>
      </c>
      <c r="M537" t="n">
        <v>0</v>
      </c>
      <c r="N537" t="n">
        <v>0</v>
      </c>
      <c r="O537" t="n">
        <v>0</v>
      </c>
      <c r="P537" t="n">
        <v>0</v>
      </c>
      <c r="Q537" t="n">
        <v>0</v>
      </c>
      <c r="R537" s="2" t="inlineStr"/>
    </row>
    <row r="538" ht="15" customHeight="1">
      <c r="A538" t="inlineStr">
        <is>
          <t>A 51865-2025</t>
        </is>
      </c>
      <c r="B538" s="1" t="n">
        <v>45952.37715277778</v>
      </c>
      <c r="C538" s="1" t="n">
        <v>46000</v>
      </c>
      <c r="D538" t="inlineStr">
        <is>
          <t>DALARNAS LÄN</t>
        </is>
      </c>
      <c r="E538" t="inlineStr">
        <is>
          <t>LUDVIKA</t>
        </is>
      </c>
      <c r="G538" t="n">
        <v>0.4</v>
      </c>
      <c r="H538" t="n">
        <v>0</v>
      </c>
      <c r="I538" t="n">
        <v>0</v>
      </c>
      <c r="J538" t="n">
        <v>0</v>
      </c>
      <c r="K538" t="n">
        <v>0</v>
      </c>
      <c r="L538" t="n">
        <v>0</v>
      </c>
      <c r="M538" t="n">
        <v>0</v>
      </c>
      <c r="N538" t="n">
        <v>0</v>
      </c>
      <c r="O538" t="n">
        <v>0</v>
      </c>
      <c r="P538" t="n">
        <v>0</v>
      </c>
      <c r="Q538" t="n">
        <v>0</v>
      </c>
      <c r="R538" s="2" t="inlineStr"/>
    </row>
    <row r="539" ht="15" customHeight="1">
      <c r="A539" t="inlineStr">
        <is>
          <t>A 60454-2025</t>
        </is>
      </c>
      <c r="B539" s="1" t="n">
        <v>45995.51628472222</v>
      </c>
      <c r="C539" s="1" t="n">
        <v>46000</v>
      </c>
      <c r="D539" t="inlineStr">
        <is>
          <t>DALARNAS LÄN</t>
        </is>
      </c>
      <c r="E539" t="inlineStr">
        <is>
          <t>LUDVIKA</t>
        </is>
      </c>
      <c r="G539" t="n">
        <v>7.2</v>
      </c>
      <c r="H539" t="n">
        <v>0</v>
      </c>
      <c r="I539" t="n">
        <v>0</v>
      </c>
      <c r="J539" t="n">
        <v>0</v>
      </c>
      <c r="K539" t="n">
        <v>0</v>
      </c>
      <c r="L539" t="n">
        <v>0</v>
      </c>
      <c r="M539" t="n">
        <v>0</v>
      </c>
      <c r="N539" t="n">
        <v>0</v>
      </c>
      <c r="O539" t="n">
        <v>0</v>
      </c>
      <c r="P539" t="n">
        <v>0</v>
      </c>
      <c r="Q539" t="n">
        <v>0</v>
      </c>
      <c r="R539" s="2" t="inlineStr"/>
    </row>
    <row r="540" ht="15" customHeight="1">
      <c r="A540" t="inlineStr">
        <is>
          <t>A 32277-2024</t>
        </is>
      </c>
      <c r="B540" s="1" t="n">
        <v>45512.3703125</v>
      </c>
      <c r="C540" s="1" t="n">
        <v>46000</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56879-2025</t>
        </is>
      </c>
      <c r="B541" s="1" t="n">
        <v>45978</v>
      </c>
      <c r="C541" s="1" t="n">
        <v>46000</v>
      </c>
      <c r="D541" t="inlineStr">
        <is>
          <t>DALARNAS LÄN</t>
        </is>
      </c>
      <c r="E541" t="inlineStr">
        <is>
          <t>LUDVIKA</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46074-2023</t>
        </is>
      </c>
      <c r="B542" s="1" t="n">
        <v>45196.46915509259</v>
      </c>
      <c r="C542" s="1" t="n">
        <v>46000</v>
      </c>
      <c r="D542" t="inlineStr">
        <is>
          <t>DALARNAS LÄN</t>
        </is>
      </c>
      <c r="E542" t="inlineStr">
        <is>
          <t>LUDVIKA</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39828-2025</t>
        </is>
      </c>
      <c r="B543" s="1" t="n">
        <v>45891.55704861111</v>
      </c>
      <c r="C543" s="1" t="n">
        <v>46000</v>
      </c>
      <c r="D543" t="inlineStr">
        <is>
          <t>DALARNAS LÄN</t>
        </is>
      </c>
      <c r="E543" t="inlineStr">
        <is>
          <t>LUDVIKA</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39833-2025</t>
        </is>
      </c>
      <c r="B544" s="1" t="n">
        <v>45891.56180555555</v>
      </c>
      <c r="C544" s="1" t="n">
        <v>46000</v>
      </c>
      <c r="D544" t="inlineStr">
        <is>
          <t>DALARNAS LÄN</t>
        </is>
      </c>
      <c r="E544" t="inlineStr">
        <is>
          <t>LUDVIKA</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56826-2025</t>
        </is>
      </c>
      <c r="B545" s="1" t="n">
        <v>45978</v>
      </c>
      <c r="C545" s="1" t="n">
        <v>46000</v>
      </c>
      <c r="D545" t="inlineStr">
        <is>
          <t>DALARNAS LÄN</t>
        </is>
      </c>
      <c r="E545" t="inlineStr">
        <is>
          <t>LUDVIKA</t>
        </is>
      </c>
      <c r="F545" t="inlineStr">
        <is>
          <t>Bergvik skog väst AB</t>
        </is>
      </c>
      <c r="G545" t="n">
        <v>4.5</v>
      </c>
      <c r="H545" t="n">
        <v>0</v>
      </c>
      <c r="I545" t="n">
        <v>0</v>
      </c>
      <c r="J545" t="n">
        <v>0</v>
      </c>
      <c r="K545" t="n">
        <v>0</v>
      </c>
      <c r="L545" t="n">
        <v>0</v>
      </c>
      <c r="M545" t="n">
        <v>0</v>
      </c>
      <c r="N545" t="n">
        <v>0</v>
      </c>
      <c r="O545" t="n">
        <v>0</v>
      </c>
      <c r="P545" t="n">
        <v>0</v>
      </c>
      <c r="Q545" t="n">
        <v>0</v>
      </c>
      <c r="R545" s="2" t="inlineStr"/>
    </row>
    <row r="546" ht="15" customHeight="1">
      <c r="A546" t="inlineStr">
        <is>
          <t>A 59171-2025</t>
        </is>
      </c>
      <c r="B546" s="1" t="n">
        <v>45988</v>
      </c>
      <c r="C546" s="1" t="n">
        <v>46000</v>
      </c>
      <c r="D546" t="inlineStr">
        <is>
          <t>DALARNAS LÄN</t>
        </is>
      </c>
      <c r="E546" t="inlineStr">
        <is>
          <t>LUDVIKA</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59176-2025</t>
        </is>
      </c>
      <c r="B547" s="1" t="n">
        <v>45988</v>
      </c>
      <c r="C547" s="1" t="n">
        <v>46000</v>
      </c>
      <c r="D547" t="inlineStr">
        <is>
          <t>DALARNAS LÄN</t>
        </is>
      </c>
      <c r="E547" t="inlineStr">
        <is>
          <t>LUDVIKA</t>
        </is>
      </c>
      <c r="F547" t="inlineStr">
        <is>
          <t>Bergvik skog väst AB</t>
        </is>
      </c>
      <c r="G547" t="n">
        <v>10</v>
      </c>
      <c r="H547" t="n">
        <v>0</v>
      </c>
      <c r="I547" t="n">
        <v>0</v>
      </c>
      <c r="J547" t="n">
        <v>0</v>
      </c>
      <c r="K547" t="n">
        <v>0</v>
      </c>
      <c r="L547" t="n">
        <v>0</v>
      </c>
      <c r="M547" t="n">
        <v>0</v>
      </c>
      <c r="N547" t="n">
        <v>0</v>
      </c>
      <c r="O547" t="n">
        <v>0</v>
      </c>
      <c r="P547" t="n">
        <v>0</v>
      </c>
      <c r="Q547" t="n">
        <v>0</v>
      </c>
      <c r="R547" s="2" t="inlineStr"/>
    </row>
    <row r="548" ht="15" customHeight="1">
      <c r="A548" t="inlineStr">
        <is>
          <t>A 60455-2025</t>
        </is>
      </c>
      <c r="B548" s="1" t="n">
        <v>45995.51954861111</v>
      </c>
      <c r="C548" s="1" t="n">
        <v>46000</v>
      </c>
      <c r="D548" t="inlineStr">
        <is>
          <t>DALARNAS LÄN</t>
        </is>
      </c>
      <c r="E548" t="inlineStr">
        <is>
          <t>LUDVIKA</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57870-2025</t>
        </is>
      </c>
      <c r="B549" s="1" t="n">
        <v>45981</v>
      </c>
      <c r="C549" s="1" t="n">
        <v>46000</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59186-2025</t>
        </is>
      </c>
      <c r="B550" s="1" t="n">
        <v>45988</v>
      </c>
      <c r="C550" s="1" t="n">
        <v>46000</v>
      </c>
      <c r="D550" t="inlineStr">
        <is>
          <t>DALARNAS LÄN</t>
        </is>
      </c>
      <c r="E550" t="inlineStr">
        <is>
          <t>LUDVIKA</t>
        </is>
      </c>
      <c r="F550" t="inlineStr">
        <is>
          <t>Bergvik skog väst AB</t>
        </is>
      </c>
      <c r="G550" t="n">
        <v>20.5</v>
      </c>
      <c r="H550" t="n">
        <v>0</v>
      </c>
      <c r="I550" t="n">
        <v>0</v>
      </c>
      <c r="J550" t="n">
        <v>0</v>
      </c>
      <c r="K550" t="n">
        <v>0</v>
      </c>
      <c r="L550" t="n">
        <v>0</v>
      </c>
      <c r="M550" t="n">
        <v>0</v>
      </c>
      <c r="N550" t="n">
        <v>0</v>
      </c>
      <c r="O550" t="n">
        <v>0</v>
      </c>
      <c r="P550" t="n">
        <v>0</v>
      </c>
      <c r="Q550" t="n">
        <v>0</v>
      </c>
      <c r="R550" s="2" t="inlineStr"/>
    </row>
    <row r="551" ht="15" customHeight="1">
      <c r="A551" t="inlineStr">
        <is>
          <t>A 55151-2025</t>
        </is>
      </c>
      <c r="B551" s="1" t="n">
        <v>45968</v>
      </c>
      <c r="C551" s="1" t="n">
        <v>46000</v>
      </c>
      <c r="D551" t="inlineStr">
        <is>
          <t>DALARNAS LÄN</t>
        </is>
      </c>
      <c r="E551" t="inlineStr">
        <is>
          <t>LUDVIKA</t>
        </is>
      </c>
      <c r="F551" t="inlineStr">
        <is>
          <t>Bergvik skog väst AB</t>
        </is>
      </c>
      <c r="G551" t="n">
        <v>10</v>
      </c>
      <c r="H551" t="n">
        <v>0</v>
      </c>
      <c r="I551" t="n">
        <v>0</v>
      </c>
      <c r="J551" t="n">
        <v>0</v>
      </c>
      <c r="K551" t="n">
        <v>0</v>
      </c>
      <c r="L551" t="n">
        <v>0</v>
      </c>
      <c r="M551" t="n">
        <v>0</v>
      </c>
      <c r="N551" t="n">
        <v>0</v>
      </c>
      <c r="O551" t="n">
        <v>0</v>
      </c>
      <c r="P551" t="n">
        <v>0</v>
      </c>
      <c r="Q551" t="n">
        <v>0</v>
      </c>
      <c r="R551" s="2" t="inlineStr"/>
    </row>
    <row r="552" ht="15" customHeight="1">
      <c r="A552" t="inlineStr">
        <is>
          <t>A 60452-2025</t>
        </is>
      </c>
      <c r="B552" s="1" t="n">
        <v>45995.50630787037</v>
      </c>
      <c r="C552" s="1" t="n">
        <v>46000</v>
      </c>
      <c r="D552" t="inlineStr">
        <is>
          <t>DALARNAS LÄN</t>
        </is>
      </c>
      <c r="E552" t="inlineStr">
        <is>
          <t>LUDVIKA</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51823-2025</t>
        </is>
      </c>
      <c r="B553" s="1" t="n">
        <v>45952.01278935185</v>
      </c>
      <c r="C553" s="1" t="n">
        <v>46000</v>
      </c>
      <c r="D553" t="inlineStr">
        <is>
          <t>DALARNAS LÄN</t>
        </is>
      </c>
      <c r="E553" t="inlineStr">
        <is>
          <t>LUDVIKA</t>
        </is>
      </c>
      <c r="G553" t="n">
        <v>3.9</v>
      </c>
      <c r="H553" t="n">
        <v>0</v>
      </c>
      <c r="I553" t="n">
        <v>0</v>
      </c>
      <c r="J553" t="n">
        <v>0</v>
      </c>
      <c r="K553" t="n">
        <v>0</v>
      </c>
      <c r="L553" t="n">
        <v>0</v>
      </c>
      <c r="M553" t="n">
        <v>0</v>
      </c>
      <c r="N553" t="n">
        <v>0</v>
      </c>
      <c r="O553" t="n">
        <v>0</v>
      </c>
      <c r="P553" t="n">
        <v>0</v>
      </c>
      <c r="Q553" t="n">
        <v>0</v>
      </c>
      <c r="R553" s="2" t="inlineStr"/>
    </row>
    <row r="554" ht="15" customHeight="1">
      <c r="A554" t="inlineStr">
        <is>
          <t>A 59528-2025</t>
        </is>
      </c>
      <c r="B554" s="1" t="n">
        <v>45989</v>
      </c>
      <c r="C554" s="1" t="n">
        <v>46000</v>
      </c>
      <c r="D554" t="inlineStr">
        <is>
          <t>DALARNAS LÄN</t>
        </is>
      </c>
      <c r="E554" t="inlineStr">
        <is>
          <t>LUDVIKA</t>
        </is>
      </c>
      <c r="F554" t="inlineStr">
        <is>
          <t>Bergvik skog väst AB</t>
        </is>
      </c>
      <c r="G554" t="n">
        <v>1.5</v>
      </c>
      <c r="H554" t="n">
        <v>0</v>
      </c>
      <c r="I554" t="n">
        <v>0</v>
      </c>
      <c r="J554" t="n">
        <v>0</v>
      </c>
      <c r="K554" t="n">
        <v>0</v>
      </c>
      <c r="L554" t="n">
        <v>0</v>
      </c>
      <c r="M554" t="n">
        <v>0</v>
      </c>
      <c r="N554" t="n">
        <v>0</v>
      </c>
      <c r="O554" t="n">
        <v>0</v>
      </c>
      <c r="P554" t="n">
        <v>0</v>
      </c>
      <c r="Q554" t="n">
        <v>0</v>
      </c>
      <c r="R554" s="2" t="inlineStr"/>
    </row>
    <row r="555" ht="15" customHeight="1">
      <c r="A555" t="inlineStr">
        <is>
          <t>A 16187-2021</t>
        </is>
      </c>
      <c r="B555" s="1" t="n">
        <v>44292</v>
      </c>
      <c r="C555" s="1" t="n">
        <v>46000</v>
      </c>
      <c r="D555" t="inlineStr">
        <is>
          <t>DALARNAS LÄN</t>
        </is>
      </c>
      <c r="E555" t="inlineStr">
        <is>
          <t>LUDVIKA</t>
        </is>
      </c>
      <c r="F555" t="inlineStr">
        <is>
          <t>Bergvik skog väst AB</t>
        </is>
      </c>
      <c r="G555" t="n">
        <v>0.7</v>
      </c>
      <c r="H555" t="n">
        <v>0</v>
      </c>
      <c r="I555" t="n">
        <v>0</v>
      </c>
      <c r="J555" t="n">
        <v>0</v>
      </c>
      <c r="K555" t="n">
        <v>0</v>
      </c>
      <c r="L555" t="n">
        <v>0</v>
      </c>
      <c r="M555" t="n">
        <v>0</v>
      </c>
      <c r="N555" t="n">
        <v>0</v>
      </c>
      <c r="O555" t="n">
        <v>0</v>
      </c>
      <c r="P555" t="n">
        <v>0</v>
      </c>
      <c r="Q555" t="n">
        <v>0</v>
      </c>
      <c r="R555" s="2" t="inlineStr"/>
    </row>
    <row r="556" ht="15" customHeight="1">
      <c r="A556" t="inlineStr">
        <is>
          <t>A 57804-2025</t>
        </is>
      </c>
      <c r="B556" s="1" t="n">
        <v>45981</v>
      </c>
      <c r="C556" s="1" t="n">
        <v>46000</v>
      </c>
      <c r="D556" t="inlineStr">
        <is>
          <t>DALARNAS LÄN</t>
        </is>
      </c>
      <c r="E556" t="inlineStr">
        <is>
          <t>LUDVIKA</t>
        </is>
      </c>
      <c r="F556" t="inlineStr">
        <is>
          <t>Bergvik skog väst AB</t>
        </is>
      </c>
      <c r="G556" t="n">
        <v>4.5</v>
      </c>
      <c r="H556" t="n">
        <v>0</v>
      </c>
      <c r="I556" t="n">
        <v>0</v>
      </c>
      <c r="J556" t="n">
        <v>0</v>
      </c>
      <c r="K556" t="n">
        <v>0</v>
      </c>
      <c r="L556" t="n">
        <v>0</v>
      </c>
      <c r="M556" t="n">
        <v>0</v>
      </c>
      <c r="N556" t="n">
        <v>0</v>
      </c>
      <c r="O556" t="n">
        <v>0</v>
      </c>
      <c r="P556" t="n">
        <v>0</v>
      </c>
      <c r="Q556" t="n">
        <v>0</v>
      </c>
      <c r="R556" s="2" t="inlineStr"/>
    </row>
    <row r="557" ht="15" customHeight="1">
      <c r="A557" t="inlineStr">
        <is>
          <t>A 20368-2025</t>
        </is>
      </c>
      <c r="B557" s="1" t="n">
        <v>45775.41047453704</v>
      </c>
      <c r="C557" s="1" t="n">
        <v>46000</v>
      </c>
      <c r="D557" t="inlineStr">
        <is>
          <t>DALARNAS LÄN</t>
        </is>
      </c>
      <c r="E557" t="inlineStr">
        <is>
          <t>LUDVIKA</t>
        </is>
      </c>
      <c r="G557" t="n">
        <v>1.4</v>
      </c>
      <c r="H557" t="n">
        <v>0</v>
      </c>
      <c r="I557" t="n">
        <v>0</v>
      </c>
      <c r="J557" t="n">
        <v>0</v>
      </c>
      <c r="K557" t="n">
        <v>0</v>
      </c>
      <c r="L557" t="n">
        <v>0</v>
      </c>
      <c r="M557" t="n">
        <v>0</v>
      </c>
      <c r="N557" t="n">
        <v>0</v>
      </c>
      <c r="O557" t="n">
        <v>0</v>
      </c>
      <c r="P557" t="n">
        <v>0</v>
      </c>
      <c r="Q557" t="n">
        <v>0</v>
      </c>
      <c r="R557" s="2" t="inlineStr"/>
    </row>
    <row r="558" ht="15" customHeight="1">
      <c r="A558" t="inlineStr">
        <is>
          <t>A 18435-2025</t>
        </is>
      </c>
      <c r="B558" s="1" t="n">
        <v>45762</v>
      </c>
      <c r="C558" s="1" t="n">
        <v>46000</v>
      </c>
      <c r="D558" t="inlineStr">
        <is>
          <t>DALARNAS LÄN</t>
        </is>
      </c>
      <c r="E558" t="inlineStr">
        <is>
          <t>LUDVIKA</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56641-2025</t>
        </is>
      </c>
      <c r="B559" s="1" t="n">
        <v>45975</v>
      </c>
      <c r="C559" s="1" t="n">
        <v>46000</v>
      </c>
      <c r="D559" t="inlineStr">
        <is>
          <t>DALARNAS LÄN</t>
        </is>
      </c>
      <c r="E559" t="inlineStr">
        <is>
          <t>LUDVIKA</t>
        </is>
      </c>
      <c r="F559" t="inlineStr">
        <is>
          <t>Bergvik skog väst AB</t>
        </is>
      </c>
      <c r="G559" t="n">
        <v>5.4</v>
      </c>
      <c r="H559" t="n">
        <v>0</v>
      </c>
      <c r="I559" t="n">
        <v>0</v>
      </c>
      <c r="J559" t="n">
        <v>0</v>
      </c>
      <c r="K559" t="n">
        <v>0</v>
      </c>
      <c r="L559" t="n">
        <v>0</v>
      </c>
      <c r="M559" t="n">
        <v>0</v>
      </c>
      <c r="N559" t="n">
        <v>0</v>
      </c>
      <c r="O559" t="n">
        <v>0</v>
      </c>
      <c r="P559" t="n">
        <v>0</v>
      </c>
      <c r="Q559" t="n">
        <v>0</v>
      </c>
      <c r="R559" s="2" t="inlineStr"/>
    </row>
    <row r="560" ht="15" customHeight="1">
      <c r="A560" t="inlineStr">
        <is>
          <t>A 52491-2025</t>
        </is>
      </c>
      <c r="B560" s="1" t="n">
        <v>45954</v>
      </c>
      <c r="C560" s="1" t="n">
        <v>46000</v>
      </c>
      <c r="D560" t="inlineStr">
        <is>
          <t>DALARNAS LÄN</t>
        </is>
      </c>
      <c r="E560" t="inlineStr">
        <is>
          <t>LUDVIKA</t>
        </is>
      </c>
      <c r="F560" t="inlineStr">
        <is>
          <t>Bergvik skog väst AB</t>
        </is>
      </c>
      <c r="G560" t="n">
        <v>0.6</v>
      </c>
      <c r="H560" t="n">
        <v>0</v>
      </c>
      <c r="I560" t="n">
        <v>0</v>
      </c>
      <c r="J560" t="n">
        <v>0</v>
      </c>
      <c r="K560" t="n">
        <v>0</v>
      </c>
      <c r="L560" t="n">
        <v>0</v>
      </c>
      <c r="M560" t="n">
        <v>0</v>
      </c>
      <c r="N560" t="n">
        <v>0</v>
      </c>
      <c r="O560" t="n">
        <v>0</v>
      </c>
      <c r="P560" t="n">
        <v>0</v>
      </c>
      <c r="Q560" t="n">
        <v>0</v>
      </c>
      <c r="R560" s="2" t="inlineStr"/>
    </row>
    <row r="561" ht="15" customHeight="1">
      <c r="A561" t="inlineStr">
        <is>
          <t>A 52500-2025</t>
        </is>
      </c>
      <c r="B561" s="1" t="n">
        <v>45954</v>
      </c>
      <c r="C561" s="1" t="n">
        <v>46000</v>
      </c>
      <c r="D561" t="inlineStr">
        <is>
          <t>DALARNAS LÄN</t>
        </is>
      </c>
      <c r="E561" t="inlineStr">
        <is>
          <t>LUDVIKA</t>
        </is>
      </c>
      <c r="F561" t="inlineStr">
        <is>
          <t>Bergvik skog väst AB</t>
        </is>
      </c>
      <c r="G561" t="n">
        <v>9</v>
      </c>
      <c r="H561" t="n">
        <v>0</v>
      </c>
      <c r="I561" t="n">
        <v>0</v>
      </c>
      <c r="J561" t="n">
        <v>0</v>
      </c>
      <c r="K561" t="n">
        <v>0</v>
      </c>
      <c r="L561" t="n">
        <v>0</v>
      </c>
      <c r="M561" t="n">
        <v>0</v>
      </c>
      <c r="N561" t="n">
        <v>0</v>
      </c>
      <c r="O561" t="n">
        <v>0</v>
      </c>
      <c r="P561" t="n">
        <v>0</v>
      </c>
      <c r="Q561" t="n">
        <v>0</v>
      </c>
      <c r="R561" s="2" t="inlineStr"/>
    </row>
    <row r="562" ht="15" customHeight="1">
      <c r="A562" t="inlineStr">
        <is>
          <t>A 51208-2023</t>
        </is>
      </c>
      <c r="B562" s="1" t="n">
        <v>45219.4410300926</v>
      </c>
      <c r="C562" s="1" t="n">
        <v>46000</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60002-2025</t>
        </is>
      </c>
      <c r="B563" s="1" t="n">
        <v>45993</v>
      </c>
      <c r="C563" s="1" t="n">
        <v>46000</v>
      </c>
      <c r="D563" t="inlineStr">
        <is>
          <t>DALARNAS LÄN</t>
        </is>
      </c>
      <c r="E563" t="inlineStr">
        <is>
          <t>LUDVIKA</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60005-2025</t>
        </is>
      </c>
      <c r="B564" s="1" t="n">
        <v>45993</v>
      </c>
      <c r="C564" s="1" t="n">
        <v>46000</v>
      </c>
      <c r="D564" t="inlineStr">
        <is>
          <t>DALARNAS LÄN</t>
        </is>
      </c>
      <c r="E564" t="inlineStr">
        <is>
          <t>LUDVIKA</t>
        </is>
      </c>
      <c r="F564" t="inlineStr">
        <is>
          <t>Bergvik skog väst AB</t>
        </is>
      </c>
      <c r="G564" t="n">
        <v>1.5</v>
      </c>
      <c r="H564" t="n">
        <v>0</v>
      </c>
      <c r="I564" t="n">
        <v>0</v>
      </c>
      <c r="J564" t="n">
        <v>0</v>
      </c>
      <c r="K564" t="n">
        <v>0</v>
      </c>
      <c r="L564" t="n">
        <v>0</v>
      </c>
      <c r="M564" t="n">
        <v>0</v>
      </c>
      <c r="N564" t="n">
        <v>0</v>
      </c>
      <c r="O564" t="n">
        <v>0</v>
      </c>
      <c r="P564" t="n">
        <v>0</v>
      </c>
      <c r="Q564" t="n">
        <v>0</v>
      </c>
      <c r="R564" s="2" t="inlineStr"/>
    </row>
    <row r="565" ht="15" customHeight="1">
      <c r="A565" t="inlineStr">
        <is>
          <t>A 59947-2025</t>
        </is>
      </c>
      <c r="B565" s="1" t="n">
        <v>45993</v>
      </c>
      <c r="C565" s="1" t="n">
        <v>46000</v>
      </c>
      <c r="D565" t="inlineStr">
        <is>
          <t>DALARNAS LÄN</t>
        </is>
      </c>
      <c r="E565" t="inlineStr">
        <is>
          <t>LUDVIKA</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23245-2021</t>
        </is>
      </c>
      <c r="B566" s="1" t="n">
        <v>44333</v>
      </c>
      <c r="C566" s="1" t="n">
        <v>46000</v>
      </c>
      <c r="D566" t="inlineStr">
        <is>
          <t>DALARNAS LÄN</t>
        </is>
      </c>
      <c r="E566" t="inlineStr">
        <is>
          <t>LUDVIKA</t>
        </is>
      </c>
      <c r="F566" t="inlineStr">
        <is>
          <t>Kyrkan</t>
        </is>
      </c>
      <c r="G566" t="n">
        <v>3.2</v>
      </c>
      <c r="H566" t="n">
        <v>0</v>
      </c>
      <c r="I566" t="n">
        <v>0</v>
      </c>
      <c r="J566" t="n">
        <v>0</v>
      </c>
      <c r="K566" t="n">
        <v>0</v>
      </c>
      <c r="L566" t="n">
        <v>0</v>
      </c>
      <c r="M566" t="n">
        <v>0</v>
      </c>
      <c r="N566" t="n">
        <v>0</v>
      </c>
      <c r="O566" t="n">
        <v>0</v>
      </c>
      <c r="P566" t="n">
        <v>0</v>
      </c>
      <c r="Q566" t="n">
        <v>0</v>
      </c>
      <c r="R566" s="2" t="inlineStr"/>
    </row>
    <row r="567" ht="15" customHeight="1">
      <c r="A567" t="inlineStr">
        <is>
          <t>A 5576-2024</t>
        </is>
      </c>
      <c r="B567" s="1" t="n">
        <v>45334</v>
      </c>
      <c r="C567" s="1" t="n">
        <v>46000</v>
      </c>
      <c r="D567" t="inlineStr">
        <is>
          <t>DALARNAS LÄN</t>
        </is>
      </c>
      <c r="E567" t="inlineStr">
        <is>
          <t>LUDVIKA</t>
        </is>
      </c>
      <c r="G567" t="n">
        <v>7</v>
      </c>
      <c r="H567" t="n">
        <v>0</v>
      </c>
      <c r="I567" t="n">
        <v>0</v>
      </c>
      <c r="J567" t="n">
        <v>0</v>
      </c>
      <c r="K567" t="n">
        <v>0</v>
      </c>
      <c r="L567" t="n">
        <v>0</v>
      </c>
      <c r="M567" t="n">
        <v>0</v>
      </c>
      <c r="N567" t="n">
        <v>0</v>
      </c>
      <c r="O567" t="n">
        <v>0</v>
      </c>
      <c r="P567" t="n">
        <v>0</v>
      </c>
      <c r="Q567" t="n">
        <v>0</v>
      </c>
      <c r="R567" s="2" t="inlineStr"/>
    </row>
    <row r="568" ht="15" customHeight="1">
      <c r="A568" t="inlineStr">
        <is>
          <t>A 52458-2025</t>
        </is>
      </c>
      <c r="B568" s="1" t="n">
        <v>45954.43010416667</v>
      </c>
      <c r="C568" s="1" t="n">
        <v>46000</v>
      </c>
      <c r="D568" t="inlineStr">
        <is>
          <t>DALARNAS LÄN</t>
        </is>
      </c>
      <c r="E568" t="inlineStr">
        <is>
          <t>LUDVIKA</t>
        </is>
      </c>
      <c r="F568" t="inlineStr">
        <is>
          <t>Bergvik skog väst AB</t>
        </is>
      </c>
      <c r="G568" t="n">
        <v>2.9</v>
      </c>
      <c r="H568" t="n">
        <v>0</v>
      </c>
      <c r="I568" t="n">
        <v>0</v>
      </c>
      <c r="J568" t="n">
        <v>0</v>
      </c>
      <c r="K568" t="n">
        <v>0</v>
      </c>
      <c r="L568" t="n">
        <v>0</v>
      </c>
      <c r="M568" t="n">
        <v>0</v>
      </c>
      <c r="N568" t="n">
        <v>0</v>
      </c>
      <c r="O568" t="n">
        <v>0</v>
      </c>
      <c r="P568" t="n">
        <v>0</v>
      </c>
      <c r="Q568" t="n">
        <v>0</v>
      </c>
      <c r="R568" s="2" t="inlineStr"/>
    </row>
    <row r="569" ht="15" customHeight="1">
      <c r="A569" t="inlineStr">
        <is>
          <t>A 52484-2025</t>
        </is>
      </c>
      <c r="B569" s="1" t="n">
        <v>45954</v>
      </c>
      <c r="C569" s="1" t="n">
        <v>46000</v>
      </c>
      <c r="D569" t="inlineStr">
        <is>
          <t>DALARNAS LÄN</t>
        </is>
      </c>
      <c r="E569" t="inlineStr">
        <is>
          <t>LUDVIKA</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52724-2025</t>
        </is>
      </c>
      <c r="B570" s="1" t="n">
        <v>45957.34634259259</v>
      </c>
      <c r="C570" s="1" t="n">
        <v>46000</v>
      </c>
      <c r="D570" t="inlineStr">
        <is>
          <t>DALARNAS LÄN</t>
        </is>
      </c>
      <c r="E570" t="inlineStr">
        <is>
          <t>LUDVIKA</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52552-2025</t>
        </is>
      </c>
      <c r="B571" s="1" t="n">
        <v>45954.56233796296</v>
      </c>
      <c r="C571" s="1" t="n">
        <v>46000</v>
      </c>
      <c r="D571" t="inlineStr">
        <is>
          <t>DALARNAS LÄN</t>
        </is>
      </c>
      <c r="E571" t="inlineStr">
        <is>
          <t>LUDVIKA</t>
        </is>
      </c>
      <c r="G571" t="n">
        <v>0.7</v>
      </c>
      <c r="H571" t="n">
        <v>0</v>
      </c>
      <c r="I571" t="n">
        <v>0</v>
      </c>
      <c r="J571" t="n">
        <v>0</v>
      </c>
      <c r="K571" t="n">
        <v>0</v>
      </c>
      <c r="L571" t="n">
        <v>0</v>
      </c>
      <c r="M571" t="n">
        <v>0</v>
      </c>
      <c r="N571" t="n">
        <v>0</v>
      </c>
      <c r="O571" t="n">
        <v>0</v>
      </c>
      <c r="P571" t="n">
        <v>0</v>
      </c>
      <c r="Q571" t="n">
        <v>0</v>
      </c>
      <c r="R571" s="2" t="inlineStr"/>
    </row>
    <row r="572" ht="15" customHeight="1">
      <c r="A572" t="inlineStr">
        <is>
          <t>A 12497-2024</t>
        </is>
      </c>
      <c r="B572" s="1" t="n">
        <v>45379.57112268519</v>
      </c>
      <c r="C572" s="1" t="n">
        <v>46000</v>
      </c>
      <c r="D572" t="inlineStr">
        <is>
          <t>DALARNAS LÄN</t>
        </is>
      </c>
      <c r="E572" t="inlineStr">
        <is>
          <t>LUDVIKA</t>
        </is>
      </c>
      <c r="F572" t="inlineStr">
        <is>
          <t>Naturvårdsverket</t>
        </is>
      </c>
      <c r="G572" t="n">
        <v>0.4</v>
      </c>
      <c r="H572" t="n">
        <v>0</v>
      </c>
      <c r="I572" t="n">
        <v>0</v>
      </c>
      <c r="J572" t="n">
        <v>0</v>
      </c>
      <c r="K572" t="n">
        <v>0</v>
      </c>
      <c r="L572" t="n">
        <v>0</v>
      </c>
      <c r="M572" t="n">
        <v>0</v>
      </c>
      <c r="N572" t="n">
        <v>0</v>
      </c>
      <c r="O572" t="n">
        <v>0</v>
      </c>
      <c r="P572" t="n">
        <v>0</v>
      </c>
      <c r="Q572" t="n">
        <v>0</v>
      </c>
      <c r="R572" s="2" t="inlineStr"/>
    </row>
    <row r="573" ht="15" customHeight="1">
      <c r="A573" t="inlineStr">
        <is>
          <t>A 52530-2025</t>
        </is>
      </c>
      <c r="B573" s="1" t="n">
        <v>45954</v>
      </c>
      <c r="C573" s="1" t="n">
        <v>46000</v>
      </c>
      <c r="D573" t="inlineStr">
        <is>
          <t>DALARNAS LÄN</t>
        </is>
      </c>
      <c r="E573" t="inlineStr">
        <is>
          <t>LUDVIKA</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52779-2025</t>
        </is>
      </c>
      <c r="B574" s="1" t="n">
        <v>45957</v>
      </c>
      <c r="C574" s="1" t="n">
        <v>46000</v>
      </c>
      <c r="D574" t="inlineStr">
        <is>
          <t>DALARNAS LÄN</t>
        </is>
      </c>
      <c r="E574" t="inlineStr">
        <is>
          <t>LUDVIKA</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52832-2025</t>
        </is>
      </c>
      <c r="B575" s="1" t="n">
        <v>45957</v>
      </c>
      <c r="C575" s="1" t="n">
        <v>46000</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52440-2025</t>
        </is>
      </c>
      <c r="B576" s="1" t="n">
        <v>45954.41153935185</v>
      </c>
      <c r="C576" s="1" t="n">
        <v>46000</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52556-2025</t>
        </is>
      </c>
      <c r="B577" s="1" t="n">
        <v>45954.56762731481</v>
      </c>
      <c r="C577" s="1" t="n">
        <v>46000</v>
      </c>
      <c r="D577" t="inlineStr">
        <is>
          <t>DALARNAS LÄN</t>
        </is>
      </c>
      <c r="E577" t="inlineStr">
        <is>
          <t>LUDVIKA</t>
        </is>
      </c>
      <c r="G577" t="n">
        <v>0.3</v>
      </c>
      <c r="H577" t="n">
        <v>0</v>
      </c>
      <c r="I577" t="n">
        <v>0</v>
      </c>
      <c r="J577" t="n">
        <v>0</v>
      </c>
      <c r="K577" t="n">
        <v>0</v>
      </c>
      <c r="L577" t="n">
        <v>0</v>
      </c>
      <c r="M577" t="n">
        <v>0</v>
      </c>
      <c r="N577" t="n">
        <v>0</v>
      </c>
      <c r="O577" t="n">
        <v>0</v>
      </c>
      <c r="P577" t="n">
        <v>0</v>
      </c>
      <c r="Q577" t="n">
        <v>0</v>
      </c>
      <c r="R577" s="2" t="inlineStr"/>
    </row>
    <row r="578" ht="15" customHeight="1">
      <c r="A578" t="inlineStr">
        <is>
          <t>A 52459-2025</t>
        </is>
      </c>
      <c r="B578" s="1" t="n">
        <v>45954.43126157407</v>
      </c>
      <c r="C578" s="1" t="n">
        <v>46000</v>
      </c>
      <c r="D578" t="inlineStr">
        <is>
          <t>DALARNAS LÄN</t>
        </is>
      </c>
      <c r="E578" t="inlineStr">
        <is>
          <t>LUDVIKA</t>
        </is>
      </c>
      <c r="F578" t="inlineStr">
        <is>
          <t>Övriga Aktiebolag</t>
        </is>
      </c>
      <c r="G578" t="n">
        <v>0.1</v>
      </c>
      <c r="H578" t="n">
        <v>0</v>
      </c>
      <c r="I578" t="n">
        <v>0</v>
      </c>
      <c r="J578" t="n">
        <v>0</v>
      </c>
      <c r="K578" t="n">
        <v>0</v>
      </c>
      <c r="L578" t="n">
        <v>0</v>
      </c>
      <c r="M578" t="n">
        <v>0</v>
      </c>
      <c r="N578" t="n">
        <v>0</v>
      </c>
      <c r="O578" t="n">
        <v>0</v>
      </c>
      <c r="P578" t="n">
        <v>0</v>
      </c>
      <c r="Q578" t="n">
        <v>0</v>
      </c>
      <c r="R578" s="2" t="inlineStr"/>
    </row>
    <row r="579" ht="15" customHeight="1">
      <c r="A579" t="inlineStr">
        <is>
          <t>A 52504-2025</t>
        </is>
      </c>
      <c r="B579" s="1" t="n">
        <v>45954</v>
      </c>
      <c r="C579" s="1" t="n">
        <v>46000</v>
      </c>
      <c r="D579" t="inlineStr">
        <is>
          <t>DALARNAS LÄN</t>
        </is>
      </c>
      <c r="E579" t="inlineStr">
        <is>
          <t>LUDVIKA</t>
        </is>
      </c>
      <c r="F579" t="inlineStr">
        <is>
          <t>Bergvik skog väst AB</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52427-2025</t>
        </is>
      </c>
      <c r="B580" s="1" t="n">
        <v>45954.38309027778</v>
      </c>
      <c r="C580" s="1" t="n">
        <v>46000</v>
      </c>
      <c r="D580" t="inlineStr">
        <is>
          <t>DALARNAS LÄN</t>
        </is>
      </c>
      <c r="E580" t="inlineStr">
        <is>
          <t>LUDVIKA</t>
        </is>
      </c>
      <c r="G580" t="n">
        <v>1.6</v>
      </c>
      <c r="H580" t="n">
        <v>0</v>
      </c>
      <c r="I580" t="n">
        <v>0</v>
      </c>
      <c r="J580" t="n">
        <v>0</v>
      </c>
      <c r="K580" t="n">
        <v>0</v>
      </c>
      <c r="L580" t="n">
        <v>0</v>
      </c>
      <c r="M580" t="n">
        <v>0</v>
      </c>
      <c r="N580" t="n">
        <v>0</v>
      </c>
      <c r="O580" t="n">
        <v>0</v>
      </c>
      <c r="P580" t="n">
        <v>0</v>
      </c>
      <c r="Q580" t="n">
        <v>0</v>
      </c>
      <c r="R580" s="2" t="inlineStr"/>
    </row>
    <row r="581" ht="15" customHeight="1">
      <c r="A581" t="inlineStr">
        <is>
          <t>A 52838-2025</t>
        </is>
      </c>
      <c r="B581" s="1" t="n">
        <v>45957</v>
      </c>
      <c r="C581" s="1" t="n">
        <v>46000</v>
      </c>
      <c r="D581" t="inlineStr">
        <is>
          <t>DALARNAS LÄN</t>
        </is>
      </c>
      <c r="E581" t="inlineStr">
        <is>
          <t>LUDVIKA</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28157-2023</t>
        </is>
      </c>
      <c r="B582" s="1" t="n">
        <v>45099.49403935186</v>
      </c>
      <c r="C582" s="1" t="n">
        <v>46000</v>
      </c>
      <c r="D582" t="inlineStr">
        <is>
          <t>DALARNAS LÄN</t>
        </is>
      </c>
      <c r="E582" t="inlineStr">
        <is>
          <t>LUDVIKA</t>
        </is>
      </c>
      <c r="F582" t="inlineStr">
        <is>
          <t>Bergvik skog väst AB</t>
        </is>
      </c>
      <c r="G582" t="n">
        <v>0.8</v>
      </c>
      <c r="H582" t="n">
        <v>0</v>
      </c>
      <c r="I582" t="n">
        <v>0</v>
      </c>
      <c r="J582" t="n">
        <v>0</v>
      </c>
      <c r="K582" t="n">
        <v>0</v>
      </c>
      <c r="L582" t="n">
        <v>0</v>
      </c>
      <c r="M582" t="n">
        <v>0</v>
      </c>
      <c r="N582" t="n">
        <v>0</v>
      </c>
      <c r="O582" t="n">
        <v>0</v>
      </c>
      <c r="P582" t="n">
        <v>0</v>
      </c>
      <c r="Q582" t="n">
        <v>0</v>
      </c>
      <c r="R582" s="2" t="inlineStr"/>
    </row>
    <row r="583" ht="15" customHeight="1">
      <c r="A583" t="inlineStr">
        <is>
          <t>A 52900-2025</t>
        </is>
      </c>
      <c r="B583" s="1" t="n">
        <v>45954</v>
      </c>
      <c r="C583" s="1" t="n">
        <v>46000</v>
      </c>
      <c r="D583" t="inlineStr">
        <is>
          <t>DALARNAS LÄN</t>
        </is>
      </c>
      <c r="E583" t="inlineStr">
        <is>
          <t>LUDVIKA</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52912-2025</t>
        </is>
      </c>
      <c r="B584" s="1" t="n">
        <v>45954</v>
      </c>
      <c r="C584" s="1" t="n">
        <v>46000</v>
      </c>
      <c r="D584" t="inlineStr">
        <is>
          <t>DALARNAS LÄN</t>
        </is>
      </c>
      <c r="E584" t="inlineStr">
        <is>
          <t>LUDVIKA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20596-2021</t>
        </is>
      </c>
      <c r="B585" s="1" t="n">
        <v>44316</v>
      </c>
      <c r="C585" s="1" t="n">
        <v>46000</v>
      </c>
      <c r="D585" t="inlineStr">
        <is>
          <t>DALARNAS LÄN</t>
        </is>
      </c>
      <c r="E585" t="inlineStr">
        <is>
          <t>LUDVIKA</t>
        </is>
      </c>
      <c r="F585" t="inlineStr">
        <is>
          <t>Naturvårdsverket</t>
        </is>
      </c>
      <c r="G585" t="n">
        <v>2.3</v>
      </c>
      <c r="H585" t="n">
        <v>0</v>
      </c>
      <c r="I585" t="n">
        <v>0</v>
      </c>
      <c r="J585" t="n">
        <v>0</v>
      </c>
      <c r="K585" t="n">
        <v>0</v>
      </c>
      <c r="L585" t="n">
        <v>0</v>
      </c>
      <c r="M585" t="n">
        <v>0</v>
      </c>
      <c r="N585" t="n">
        <v>0</v>
      </c>
      <c r="O585" t="n">
        <v>0</v>
      </c>
      <c r="P585" t="n">
        <v>0</v>
      </c>
      <c r="Q585" t="n">
        <v>0</v>
      </c>
      <c r="R585" s="2" t="inlineStr"/>
    </row>
    <row r="586" ht="15" customHeight="1">
      <c r="A586" t="inlineStr">
        <is>
          <t>A 32995-2023</t>
        </is>
      </c>
      <c r="B586" s="1" t="n">
        <v>45113</v>
      </c>
      <c r="C586" s="1" t="n">
        <v>46000</v>
      </c>
      <c r="D586" t="inlineStr">
        <is>
          <t>DALARNAS LÄN</t>
        </is>
      </c>
      <c r="E586" t="inlineStr">
        <is>
          <t>LUDVIKA</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11755-2023</t>
        </is>
      </c>
      <c r="B587" s="1" t="n">
        <v>44994</v>
      </c>
      <c r="C587" s="1" t="n">
        <v>46000</v>
      </c>
      <c r="D587" t="inlineStr">
        <is>
          <t>DALARNAS LÄN</t>
        </is>
      </c>
      <c r="E587" t="inlineStr">
        <is>
          <t>LUDVIKA</t>
        </is>
      </c>
      <c r="F587" t="inlineStr">
        <is>
          <t>Övriga Aktiebolag</t>
        </is>
      </c>
      <c r="G587" t="n">
        <v>7</v>
      </c>
      <c r="H587" t="n">
        <v>0</v>
      </c>
      <c r="I587" t="n">
        <v>0</v>
      </c>
      <c r="J587" t="n">
        <v>0</v>
      </c>
      <c r="K587" t="n">
        <v>0</v>
      </c>
      <c r="L587" t="n">
        <v>0</v>
      </c>
      <c r="M587" t="n">
        <v>0</v>
      </c>
      <c r="N587" t="n">
        <v>0</v>
      </c>
      <c r="O587" t="n">
        <v>0</v>
      </c>
      <c r="P587" t="n">
        <v>0</v>
      </c>
      <c r="Q587" t="n">
        <v>0</v>
      </c>
      <c r="R587" s="2" t="inlineStr"/>
    </row>
    <row r="588" ht="15" customHeight="1">
      <c r="A588" t="inlineStr">
        <is>
          <t>A 30039-2024</t>
        </is>
      </c>
      <c r="B588" s="1" t="n">
        <v>45488</v>
      </c>
      <c r="C588" s="1" t="n">
        <v>46000</v>
      </c>
      <c r="D588" t="inlineStr">
        <is>
          <t>DALARNAS LÄN</t>
        </is>
      </c>
      <c r="E588" t="inlineStr">
        <is>
          <t>LUDVIKA</t>
        </is>
      </c>
      <c r="G588" t="n">
        <v>1.3</v>
      </c>
      <c r="H588" t="n">
        <v>0</v>
      </c>
      <c r="I588" t="n">
        <v>0</v>
      </c>
      <c r="J588" t="n">
        <v>0</v>
      </c>
      <c r="K588" t="n">
        <v>0</v>
      </c>
      <c r="L588" t="n">
        <v>0</v>
      </c>
      <c r="M588" t="n">
        <v>0</v>
      </c>
      <c r="N588" t="n">
        <v>0</v>
      </c>
      <c r="O588" t="n">
        <v>0</v>
      </c>
      <c r="P588" t="n">
        <v>0</v>
      </c>
      <c r="Q588" t="n">
        <v>0</v>
      </c>
      <c r="R588" s="2" t="inlineStr"/>
    </row>
    <row r="589" ht="15" customHeight="1">
      <c r="A589" t="inlineStr">
        <is>
          <t>A 15939-2024</t>
        </is>
      </c>
      <c r="B589" s="1" t="n">
        <v>45405</v>
      </c>
      <c r="C589" s="1" t="n">
        <v>46000</v>
      </c>
      <c r="D589" t="inlineStr">
        <is>
          <t>DALARNAS LÄN</t>
        </is>
      </c>
      <c r="E589" t="inlineStr">
        <is>
          <t>LUDVIKA</t>
        </is>
      </c>
      <c r="G589" t="n">
        <v>1.3</v>
      </c>
      <c r="H589" t="n">
        <v>0</v>
      </c>
      <c r="I589" t="n">
        <v>0</v>
      </c>
      <c r="J589" t="n">
        <v>0</v>
      </c>
      <c r="K589" t="n">
        <v>0</v>
      </c>
      <c r="L589" t="n">
        <v>0</v>
      </c>
      <c r="M589" t="n">
        <v>0</v>
      </c>
      <c r="N589" t="n">
        <v>0</v>
      </c>
      <c r="O589" t="n">
        <v>0</v>
      </c>
      <c r="P589" t="n">
        <v>0</v>
      </c>
      <c r="Q589" t="n">
        <v>0</v>
      </c>
      <c r="R589" s="2" t="inlineStr"/>
      <c r="U589">
        <f>HYPERLINK("https://klasma.github.io/Logging_2085/knärot/A 15939-2024 karta knärot.png", "A 15939-2024")</f>
        <v/>
      </c>
      <c r="V589">
        <f>HYPERLINK("https://klasma.github.io/Logging_2085/klagomål/A 15939-2024 FSC-klagomål.docx", "A 15939-2024")</f>
        <v/>
      </c>
      <c r="W589">
        <f>HYPERLINK("https://klasma.github.io/Logging_2085/klagomålsmail/A 15939-2024 FSC-klagomål mail.docx", "A 15939-2024")</f>
        <v/>
      </c>
      <c r="X589">
        <f>HYPERLINK("https://klasma.github.io/Logging_2085/tillsyn/A 15939-2024 tillsynsbegäran.docx", "A 15939-2024")</f>
        <v/>
      </c>
      <c r="Y589">
        <f>HYPERLINK("https://klasma.github.io/Logging_2085/tillsynsmail/A 15939-2024 tillsynsbegäran mail.docx", "A 15939-2024")</f>
        <v/>
      </c>
    </row>
    <row r="590" ht="15" customHeight="1">
      <c r="A590" t="inlineStr">
        <is>
          <t>A 7238-2023</t>
        </is>
      </c>
      <c r="B590" s="1" t="n">
        <v>44970.60710648148</v>
      </c>
      <c r="C590" s="1" t="n">
        <v>46000</v>
      </c>
      <c r="D590" t="inlineStr">
        <is>
          <t>DALARNAS LÄN</t>
        </is>
      </c>
      <c r="E590" t="inlineStr">
        <is>
          <t>LUDVIKA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7243-2023</t>
        </is>
      </c>
      <c r="B591" s="1" t="n">
        <v>44970.61488425926</v>
      </c>
      <c r="C591" s="1" t="n">
        <v>46000</v>
      </c>
      <c r="D591" t="inlineStr">
        <is>
          <t>DALARNAS LÄN</t>
        </is>
      </c>
      <c r="E591" t="inlineStr">
        <is>
          <t>LUDVIKA</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39519-2024</t>
        </is>
      </c>
      <c r="B592" s="1" t="n">
        <v>45551.76079861111</v>
      </c>
      <c r="C592" s="1" t="n">
        <v>46000</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47496-2022</t>
        </is>
      </c>
      <c r="B593" s="1" t="n">
        <v>44853</v>
      </c>
      <c r="C593" s="1" t="n">
        <v>46000</v>
      </c>
      <c r="D593" t="inlineStr">
        <is>
          <t>DALARNAS LÄN</t>
        </is>
      </c>
      <c r="E593" t="inlineStr">
        <is>
          <t>LUDVIKA</t>
        </is>
      </c>
      <c r="F593" t="inlineStr">
        <is>
          <t>Bergvik skog väst AB</t>
        </is>
      </c>
      <c r="G593" t="n">
        <v>0.4</v>
      </c>
      <c r="H593" t="n">
        <v>0</v>
      </c>
      <c r="I593" t="n">
        <v>0</v>
      </c>
      <c r="J593" t="n">
        <v>0</v>
      </c>
      <c r="K593" t="n">
        <v>0</v>
      </c>
      <c r="L593" t="n">
        <v>0</v>
      </c>
      <c r="M593" t="n">
        <v>0</v>
      </c>
      <c r="N593" t="n">
        <v>0</v>
      </c>
      <c r="O593" t="n">
        <v>0</v>
      </c>
      <c r="P593" t="n">
        <v>0</v>
      </c>
      <c r="Q593" t="n">
        <v>0</v>
      </c>
      <c r="R593" s="2" t="inlineStr"/>
    </row>
    <row r="594" ht="15" customHeight="1">
      <c r="A594" t="inlineStr">
        <is>
          <t>A 50528-2024</t>
        </is>
      </c>
      <c r="B594" s="1" t="n">
        <v>45601.56344907408</v>
      </c>
      <c r="C594" s="1" t="n">
        <v>46000</v>
      </c>
      <c r="D594" t="inlineStr">
        <is>
          <t>DALARNAS LÄN</t>
        </is>
      </c>
      <c r="E594" t="inlineStr">
        <is>
          <t>LUDVIKA</t>
        </is>
      </c>
      <c r="G594" t="n">
        <v>2.1</v>
      </c>
      <c r="H594" t="n">
        <v>0</v>
      </c>
      <c r="I594" t="n">
        <v>0</v>
      </c>
      <c r="J594" t="n">
        <v>0</v>
      </c>
      <c r="K594" t="n">
        <v>0</v>
      </c>
      <c r="L594" t="n">
        <v>0</v>
      </c>
      <c r="M594" t="n">
        <v>0</v>
      </c>
      <c r="N594" t="n">
        <v>0</v>
      </c>
      <c r="O594" t="n">
        <v>0</v>
      </c>
      <c r="P594" t="n">
        <v>0</v>
      </c>
      <c r="Q594" t="n">
        <v>0</v>
      </c>
      <c r="R594" s="2" t="inlineStr"/>
    </row>
    <row r="595" ht="15" customHeight="1">
      <c r="A595" t="inlineStr">
        <is>
          <t>A 64171-2023</t>
        </is>
      </c>
      <c r="B595" s="1" t="n">
        <v>45279</v>
      </c>
      <c r="C595" s="1" t="n">
        <v>46000</v>
      </c>
      <c r="D595" t="inlineStr">
        <is>
          <t>DALARNAS LÄN</t>
        </is>
      </c>
      <c r="E595" t="inlineStr">
        <is>
          <t>LUDVIKA</t>
        </is>
      </c>
      <c r="G595" t="n">
        <v>8.6</v>
      </c>
      <c r="H595" t="n">
        <v>0</v>
      </c>
      <c r="I595" t="n">
        <v>0</v>
      </c>
      <c r="J595" t="n">
        <v>0</v>
      </c>
      <c r="K595" t="n">
        <v>0</v>
      </c>
      <c r="L595" t="n">
        <v>0</v>
      </c>
      <c r="M595" t="n">
        <v>0</v>
      </c>
      <c r="N595" t="n">
        <v>0</v>
      </c>
      <c r="O595" t="n">
        <v>0</v>
      </c>
      <c r="P595" t="n">
        <v>0</v>
      </c>
      <c r="Q595" t="n">
        <v>0</v>
      </c>
      <c r="R595" s="2" t="inlineStr"/>
    </row>
    <row r="596" ht="15" customHeight="1">
      <c r="A596" t="inlineStr">
        <is>
          <t>A 28134-2023</t>
        </is>
      </c>
      <c r="B596" s="1" t="n">
        <v>45099.48079861111</v>
      </c>
      <c r="C596" s="1" t="n">
        <v>46000</v>
      </c>
      <c r="D596" t="inlineStr">
        <is>
          <t>DALARNAS LÄN</t>
        </is>
      </c>
      <c r="E596" t="inlineStr">
        <is>
          <t>LUDVIKA</t>
        </is>
      </c>
      <c r="F596" t="inlineStr">
        <is>
          <t>Bergvik skog väst AB</t>
        </is>
      </c>
      <c r="G596" t="n">
        <v>0.7</v>
      </c>
      <c r="H596" t="n">
        <v>0</v>
      </c>
      <c r="I596" t="n">
        <v>0</v>
      </c>
      <c r="J596" t="n">
        <v>0</v>
      </c>
      <c r="K596" t="n">
        <v>0</v>
      </c>
      <c r="L596" t="n">
        <v>0</v>
      </c>
      <c r="M596" t="n">
        <v>0</v>
      </c>
      <c r="N596" t="n">
        <v>0</v>
      </c>
      <c r="O596" t="n">
        <v>0</v>
      </c>
      <c r="P596" t="n">
        <v>0</v>
      </c>
      <c r="Q596" t="n">
        <v>0</v>
      </c>
      <c r="R596" s="2" t="inlineStr"/>
    </row>
    <row r="597" ht="15" customHeight="1">
      <c r="A597" t="inlineStr">
        <is>
          <t>A 43240-2024</t>
        </is>
      </c>
      <c r="B597" s="1" t="n">
        <v>45568.00373842593</v>
      </c>
      <c r="C597" s="1" t="n">
        <v>46000</v>
      </c>
      <c r="D597" t="inlineStr">
        <is>
          <t>DALARNAS LÄN</t>
        </is>
      </c>
      <c r="E597" t="inlineStr">
        <is>
          <t>LUDVIKA</t>
        </is>
      </c>
      <c r="G597" t="n">
        <v>0.9</v>
      </c>
      <c r="H597" t="n">
        <v>0</v>
      </c>
      <c r="I597" t="n">
        <v>0</v>
      </c>
      <c r="J597" t="n">
        <v>0</v>
      </c>
      <c r="K597" t="n">
        <v>0</v>
      </c>
      <c r="L597" t="n">
        <v>0</v>
      </c>
      <c r="M597" t="n">
        <v>0</v>
      </c>
      <c r="N597" t="n">
        <v>0</v>
      </c>
      <c r="O597" t="n">
        <v>0</v>
      </c>
      <c r="P597" t="n">
        <v>0</v>
      </c>
      <c r="Q597" t="n">
        <v>0</v>
      </c>
      <c r="R597" s="2" t="inlineStr"/>
    </row>
    <row r="598" ht="15" customHeight="1">
      <c r="A598" t="inlineStr">
        <is>
          <t>A 41158-2022</t>
        </is>
      </c>
      <c r="B598" s="1" t="n">
        <v>44825.88506944444</v>
      </c>
      <c r="C598" s="1" t="n">
        <v>46000</v>
      </c>
      <c r="D598" t="inlineStr">
        <is>
          <t>DALARNAS LÄN</t>
        </is>
      </c>
      <c r="E598" t="inlineStr">
        <is>
          <t>LUDVIKA</t>
        </is>
      </c>
      <c r="G598" t="n">
        <v>2.1</v>
      </c>
      <c r="H598" t="n">
        <v>0</v>
      </c>
      <c r="I598" t="n">
        <v>0</v>
      </c>
      <c r="J598" t="n">
        <v>0</v>
      </c>
      <c r="K598" t="n">
        <v>0</v>
      </c>
      <c r="L598" t="n">
        <v>0</v>
      </c>
      <c r="M598" t="n">
        <v>0</v>
      </c>
      <c r="N598" t="n">
        <v>0</v>
      </c>
      <c r="O598" t="n">
        <v>0</v>
      </c>
      <c r="P598" t="n">
        <v>0</v>
      </c>
      <c r="Q598" t="n">
        <v>0</v>
      </c>
      <c r="R598" s="2" t="inlineStr"/>
    </row>
    <row r="599" ht="15" customHeight="1">
      <c r="A599" t="inlineStr">
        <is>
          <t>A 45402-2024</t>
        </is>
      </c>
      <c r="B599" s="1" t="n">
        <v>45576</v>
      </c>
      <c r="C599" s="1" t="n">
        <v>46000</v>
      </c>
      <c r="D599" t="inlineStr">
        <is>
          <t>DALARNAS LÄN</t>
        </is>
      </c>
      <c r="E599" t="inlineStr">
        <is>
          <t>LUDVIKA</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57803-2023</t>
        </is>
      </c>
      <c r="B600" s="1" t="n">
        <v>45246</v>
      </c>
      <c r="C600" s="1" t="n">
        <v>46000</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18708-2023</t>
        </is>
      </c>
      <c r="B601" s="1" t="n">
        <v>45043</v>
      </c>
      <c r="C601" s="1" t="n">
        <v>46000</v>
      </c>
      <c r="D601" t="inlineStr">
        <is>
          <t>DALARNAS LÄN</t>
        </is>
      </c>
      <c r="E601" t="inlineStr">
        <is>
          <t>LUDVIKA</t>
        </is>
      </c>
      <c r="F601" t="inlineStr">
        <is>
          <t>Bergvik skog väst AB</t>
        </is>
      </c>
      <c r="G601" t="n">
        <v>1.1</v>
      </c>
      <c r="H601" t="n">
        <v>0</v>
      </c>
      <c r="I601" t="n">
        <v>0</v>
      </c>
      <c r="J601" t="n">
        <v>0</v>
      </c>
      <c r="K601" t="n">
        <v>0</v>
      </c>
      <c r="L601" t="n">
        <v>0</v>
      </c>
      <c r="M601" t="n">
        <v>0</v>
      </c>
      <c r="N601" t="n">
        <v>0</v>
      </c>
      <c r="O601" t="n">
        <v>0</v>
      </c>
      <c r="P601" t="n">
        <v>0</v>
      </c>
      <c r="Q601" t="n">
        <v>0</v>
      </c>
      <c r="R601" s="2" t="inlineStr"/>
    </row>
    <row r="602" ht="15" customHeight="1">
      <c r="A602" t="inlineStr">
        <is>
          <t>A 69154-2020</t>
        </is>
      </c>
      <c r="B602" s="1" t="n">
        <v>44188</v>
      </c>
      <c r="C602" s="1" t="n">
        <v>46000</v>
      </c>
      <c r="D602" t="inlineStr">
        <is>
          <t>DALARNAS LÄN</t>
        </is>
      </c>
      <c r="E602" t="inlineStr">
        <is>
          <t>LUDVIKA</t>
        </is>
      </c>
      <c r="F602" t="inlineStr">
        <is>
          <t>Kommuner</t>
        </is>
      </c>
      <c r="G602" t="n">
        <v>13.3</v>
      </c>
      <c r="H602" t="n">
        <v>0</v>
      </c>
      <c r="I602" t="n">
        <v>0</v>
      </c>
      <c r="J602" t="n">
        <v>0</v>
      </c>
      <c r="K602" t="n">
        <v>0</v>
      </c>
      <c r="L602" t="n">
        <v>0</v>
      </c>
      <c r="M602" t="n">
        <v>0</v>
      </c>
      <c r="N602" t="n">
        <v>0</v>
      </c>
      <c r="O602" t="n">
        <v>0</v>
      </c>
      <c r="P602" t="n">
        <v>0</v>
      </c>
      <c r="Q602" t="n">
        <v>0</v>
      </c>
      <c r="R602" s="2" t="inlineStr"/>
    </row>
    <row r="603" ht="15" customHeight="1">
      <c r="A603" t="inlineStr">
        <is>
          <t>A 14986-2024</t>
        </is>
      </c>
      <c r="B603" s="1" t="n">
        <v>45399.34371527778</v>
      </c>
      <c r="C603" s="1" t="n">
        <v>46000</v>
      </c>
      <c r="D603" t="inlineStr">
        <is>
          <t>DALARNAS LÄN</t>
        </is>
      </c>
      <c r="E603" t="inlineStr">
        <is>
          <t>LUDVIKA</t>
        </is>
      </c>
      <c r="F603" t="inlineStr">
        <is>
          <t>Bergvik skog väst AB</t>
        </is>
      </c>
      <c r="G603" t="n">
        <v>0.7</v>
      </c>
      <c r="H603" t="n">
        <v>0</v>
      </c>
      <c r="I603" t="n">
        <v>0</v>
      </c>
      <c r="J603" t="n">
        <v>0</v>
      </c>
      <c r="K603" t="n">
        <v>0</v>
      </c>
      <c r="L603" t="n">
        <v>0</v>
      </c>
      <c r="M603" t="n">
        <v>0</v>
      </c>
      <c r="N603" t="n">
        <v>0</v>
      </c>
      <c r="O603" t="n">
        <v>0</v>
      </c>
      <c r="P603" t="n">
        <v>0</v>
      </c>
      <c r="Q603" t="n">
        <v>0</v>
      </c>
      <c r="R603" s="2" t="inlineStr"/>
    </row>
    <row r="604" ht="15" customHeight="1">
      <c r="A604" t="inlineStr">
        <is>
          <t>A 15008-2024</t>
        </is>
      </c>
      <c r="B604" s="1" t="n">
        <v>45399.42689814815</v>
      </c>
      <c r="C604" s="1" t="n">
        <v>46000</v>
      </c>
      <c r="D604" t="inlineStr">
        <is>
          <t>DALARNAS LÄN</t>
        </is>
      </c>
      <c r="E604" t="inlineStr">
        <is>
          <t>LUDVIKA</t>
        </is>
      </c>
      <c r="G604" t="n">
        <v>1.3</v>
      </c>
      <c r="H604" t="n">
        <v>0</v>
      </c>
      <c r="I604" t="n">
        <v>0</v>
      </c>
      <c r="J604" t="n">
        <v>0</v>
      </c>
      <c r="K604" t="n">
        <v>0</v>
      </c>
      <c r="L604" t="n">
        <v>0</v>
      </c>
      <c r="M604" t="n">
        <v>0</v>
      </c>
      <c r="N604" t="n">
        <v>0</v>
      </c>
      <c r="O604" t="n">
        <v>0</v>
      </c>
      <c r="P604" t="n">
        <v>0</v>
      </c>
      <c r="Q604" t="n">
        <v>0</v>
      </c>
      <c r="R604" s="2" t="inlineStr"/>
    </row>
    <row r="605" ht="15" customHeight="1">
      <c r="A605" t="inlineStr">
        <is>
          <t>A 60843-2024</t>
        </is>
      </c>
      <c r="B605" s="1" t="n">
        <v>45644.65412037037</v>
      </c>
      <c r="C605" s="1" t="n">
        <v>46000</v>
      </c>
      <c r="D605" t="inlineStr">
        <is>
          <t>DALARNAS LÄN</t>
        </is>
      </c>
      <c r="E605" t="inlineStr">
        <is>
          <t>LUDVIKA</t>
        </is>
      </c>
      <c r="F605" t="inlineStr">
        <is>
          <t>Bergvik skog väst AB</t>
        </is>
      </c>
      <c r="G605" t="n">
        <v>3.4</v>
      </c>
      <c r="H605" t="n">
        <v>0</v>
      </c>
      <c r="I605" t="n">
        <v>0</v>
      </c>
      <c r="J605" t="n">
        <v>0</v>
      </c>
      <c r="K605" t="n">
        <v>0</v>
      </c>
      <c r="L605" t="n">
        <v>0</v>
      </c>
      <c r="M605" t="n">
        <v>0</v>
      </c>
      <c r="N605" t="n">
        <v>0</v>
      </c>
      <c r="O605" t="n">
        <v>0</v>
      </c>
      <c r="P605" t="n">
        <v>0</v>
      </c>
      <c r="Q605" t="n">
        <v>0</v>
      </c>
      <c r="R605" s="2" t="inlineStr"/>
    </row>
    <row r="606" ht="15" customHeight="1">
      <c r="A606" t="inlineStr">
        <is>
          <t>A 36294-2023</t>
        </is>
      </c>
      <c r="B606" s="1" t="n">
        <v>45152.35784722222</v>
      </c>
      <c r="C606" s="1" t="n">
        <v>46000</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16108-2021</t>
        </is>
      </c>
      <c r="B607" s="1" t="n">
        <v>44291</v>
      </c>
      <c r="C607" s="1" t="n">
        <v>46000</v>
      </c>
      <c r="D607" t="inlineStr">
        <is>
          <t>DALARNAS LÄN</t>
        </is>
      </c>
      <c r="E607" t="inlineStr">
        <is>
          <t>LUDVIKA</t>
        </is>
      </c>
      <c r="G607" t="n">
        <v>2.9</v>
      </c>
      <c r="H607" t="n">
        <v>0</v>
      </c>
      <c r="I607" t="n">
        <v>0</v>
      </c>
      <c r="J607" t="n">
        <v>0</v>
      </c>
      <c r="K607" t="n">
        <v>0</v>
      </c>
      <c r="L607" t="n">
        <v>0</v>
      </c>
      <c r="M607" t="n">
        <v>0</v>
      </c>
      <c r="N607" t="n">
        <v>0</v>
      </c>
      <c r="O607" t="n">
        <v>0</v>
      </c>
      <c r="P607" t="n">
        <v>0</v>
      </c>
      <c r="Q607" t="n">
        <v>0</v>
      </c>
      <c r="R607" s="2" t="inlineStr"/>
    </row>
    <row r="608" ht="15" customHeight="1">
      <c r="A608" t="inlineStr">
        <is>
          <t>A 65104-2023</t>
        </is>
      </c>
      <c r="B608" s="1" t="n">
        <v>45288</v>
      </c>
      <c r="C608" s="1" t="n">
        <v>46000</v>
      </c>
      <c r="D608" t="inlineStr">
        <is>
          <t>DALARNAS LÄN</t>
        </is>
      </c>
      <c r="E608" t="inlineStr">
        <is>
          <t>LUDVIKA</t>
        </is>
      </c>
      <c r="G608" t="n">
        <v>1.3</v>
      </c>
      <c r="H608" t="n">
        <v>0</v>
      </c>
      <c r="I608" t="n">
        <v>0</v>
      </c>
      <c r="J608" t="n">
        <v>0</v>
      </c>
      <c r="K608" t="n">
        <v>0</v>
      </c>
      <c r="L608" t="n">
        <v>0</v>
      </c>
      <c r="M608" t="n">
        <v>0</v>
      </c>
      <c r="N608" t="n">
        <v>0</v>
      </c>
      <c r="O608" t="n">
        <v>0</v>
      </c>
      <c r="P608" t="n">
        <v>0</v>
      </c>
      <c r="Q608" t="n">
        <v>0</v>
      </c>
      <c r="R608" s="2" t="inlineStr"/>
    </row>
    <row r="609" ht="15" customHeight="1">
      <c r="A609" t="inlineStr">
        <is>
          <t>A 46185-2024</t>
        </is>
      </c>
      <c r="B609" s="1" t="n">
        <v>45581</v>
      </c>
      <c r="C609" s="1" t="n">
        <v>46000</v>
      </c>
      <c r="D609" t="inlineStr">
        <is>
          <t>DALARNAS LÄN</t>
        </is>
      </c>
      <c r="E609" t="inlineStr">
        <is>
          <t>LUDVIKA</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14881-2025</t>
        </is>
      </c>
      <c r="B610" s="1" t="n">
        <v>45743.4653587963</v>
      </c>
      <c r="C610" s="1" t="n">
        <v>46000</v>
      </c>
      <c r="D610" t="inlineStr">
        <is>
          <t>DALARNAS LÄN</t>
        </is>
      </c>
      <c r="E610" t="inlineStr">
        <is>
          <t>LUDVIKA</t>
        </is>
      </c>
      <c r="G610" t="n">
        <v>0.5</v>
      </c>
      <c r="H610" t="n">
        <v>0</v>
      </c>
      <c r="I610" t="n">
        <v>0</v>
      </c>
      <c r="J610" t="n">
        <v>0</v>
      </c>
      <c r="K610" t="n">
        <v>0</v>
      </c>
      <c r="L610" t="n">
        <v>0</v>
      </c>
      <c r="M610" t="n">
        <v>0</v>
      </c>
      <c r="N610" t="n">
        <v>0</v>
      </c>
      <c r="O610" t="n">
        <v>0</v>
      </c>
      <c r="P610" t="n">
        <v>0</v>
      </c>
      <c r="Q610" t="n">
        <v>0</v>
      </c>
      <c r="R610" s="2" t="inlineStr"/>
    </row>
    <row r="611" ht="15" customHeight="1">
      <c r="A611" t="inlineStr">
        <is>
          <t>A 59050-2022</t>
        </is>
      </c>
      <c r="B611" s="1" t="n">
        <v>44903</v>
      </c>
      <c r="C611" s="1" t="n">
        <v>46000</v>
      </c>
      <c r="D611" t="inlineStr">
        <is>
          <t>DALARNAS LÄN</t>
        </is>
      </c>
      <c r="E611" t="inlineStr">
        <is>
          <t>LUDVIKA</t>
        </is>
      </c>
      <c r="G611" t="n">
        <v>2.8</v>
      </c>
      <c r="H611" t="n">
        <v>0</v>
      </c>
      <c r="I611" t="n">
        <v>0</v>
      </c>
      <c r="J611" t="n">
        <v>0</v>
      </c>
      <c r="K611" t="n">
        <v>0</v>
      </c>
      <c r="L611" t="n">
        <v>0</v>
      </c>
      <c r="M611" t="n">
        <v>0</v>
      </c>
      <c r="N611" t="n">
        <v>0</v>
      </c>
      <c r="O611" t="n">
        <v>0</v>
      </c>
      <c r="P611" t="n">
        <v>0</v>
      </c>
      <c r="Q611" t="n">
        <v>0</v>
      </c>
      <c r="R611" s="2" t="inlineStr"/>
    </row>
    <row r="612" ht="15" customHeight="1">
      <c r="A612" t="inlineStr">
        <is>
          <t>A 45543-2024</t>
        </is>
      </c>
      <c r="B612" s="1" t="n">
        <v>45579.33577546296</v>
      </c>
      <c r="C612" s="1" t="n">
        <v>46000</v>
      </c>
      <c r="D612" t="inlineStr">
        <is>
          <t>DALARNAS LÄN</t>
        </is>
      </c>
      <c r="E612" t="inlineStr">
        <is>
          <t>LUDVIKA</t>
        </is>
      </c>
      <c r="G612" t="n">
        <v>0.5</v>
      </c>
      <c r="H612" t="n">
        <v>0</v>
      </c>
      <c r="I612" t="n">
        <v>0</v>
      </c>
      <c r="J612" t="n">
        <v>0</v>
      </c>
      <c r="K612" t="n">
        <v>0</v>
      </c>
      <c r="L612" t="n">
        <v>0</v>
      </c>
      <c r="M612" t="n">
        <v>0</v>
      </c>
      <c r="N612" t="n">
        <v>0</v>
      </c>
      <c r="O612" t="n">
        <v>0</v>
      </c>
      <c r="P612" t="n">
        <v>0</v>
      </c>
      <c r="Q612" t="n">
        <v>0</v>
      </c>
      <c r="R612" s="2" t="inlineStr"/>
    </row>
    <row r="613" ht="15" customHeight="1">
      <c r="A613" t="inlineStr">
        <is>
          <t>A 45544-2024</t>
        </is>
      </c>
      <c r="B613" s="1" t="n">
        <v>45579.33912037037</v>
      </c>
      <c r="C613" s="1" t="n">
        <v>46000</v>
      </c>
      <c r="D613" t="inlineStr">
        <is>
          <t>DALARNAS LÄN</t>
        </is>
      </c>
      <c r="E613" t="inlineStr">
        <is>
          <t>LUDVIKA</t>
        </is>
      </c>
      <c r="G613" t="n">
        <v>1.5</v>
      </c>
      <c r="H613" t="n">
        <v>0</v>
      </c>
      <c r="I613" t="n">
        <v>0</v>
      </c>
      <c r="J613" t="n">
        <v>0</v>
      </c>
      <c r="K613" t="n">
        <v>0</v>
      </c>
      <c r="L613" t="n">
        <v>0</v>
      </c>
      <c r="M613" t="n">
        <v>0</v>
      </c>
      <c r="N613" t="n">
        <v>0</v>
      </c>
      <c r="O613" t="n">
        <v>0</v>
      </c>
      <c r="P613" t="n">
        <v>0</v>
      </c>
      <c r="Q613" t="n">
        <v>0</v>
      </c>
      <c r="R613" s="2" t="inlineStr"/>
    </row>
    <row r="614" ht="15" customHeight="1">
      <c r="A614" t="inlineStr">
        <is>
          <t>A 45547-2024</t>
        </is>
      </c>
      <c r="B614" s="1" t="n">
        <v>45579.34377314815</v>
      </c>
      <c r="C614" s="1" t="n">
        <v>46000</v>
      </c>
      <c r="D614" t="inlineStr">
        <is>
          <t>DALARNAS LÄN</t>
        </is>
      </c>
      <c r="E614" t="inlineStr">
        <is>
          <t>LUDVIKA</t>
        </is>
      </c>
      <c r="G614" t="n">
        <v>2.5</v>
      </c>
      <c r="H614" t="n">
        <v>0</v>
      </c>
      <c r="I614" t="n">
        <v>0</v>
      </c>
      <c r="J614" t="n">
        <v>0</v>
      </c>
      <c r="K614" t="n">
        <v>0</v>
      </c>
      <c r="L614" t="n">
        <v>0</v>
      </c>
      <c r="M614" t="n">
        <v>0</v>
      </c>
      <c r="N614" t="n">
        <v>0</v>
      </c>
      <c r="O614" t="n">
        <v>0</v>
      </c>
      <c r="P614" t="n">
        <v>0</v>
      </c>
      <c r="Q614" t="n">
        <v>0</v>
      </c>
      <c r="R614" s="2" t="inlineStr"/>
    </row>
    <row r="615" ht="15" customHeight="1">
      <c r="A615" t="inlineStr">
        <is>
          <t>A 54089-2024</t>
        </is>
      </c>
      <c r="B615" s="1" t="n">
        <v>45616.50763888889</v>
      </c>
      <c r="C615" s="1" t="n">
        <v>46000</v>
      </c>
      <c r="D615" t="inlineStr">
        <is>
          <t>DALARNAS LÄN</t>
        </is>
      </c>
      <c r="E615" t="inlineStr">
        <is>
          <t>LUDVIKA</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53509-2022</t>
        </is>
      </c>
      <c r="B616" s="1" t="n">
        <v>44879</v>
      </c>
      <c r="C616" s="1" t="n">
        <v>46000</v>
      </c>
      <c r="D616" t="inlineStr">
        <is>
          <t>DALARNAS LÄN</t>
        </is>
      </c>
      <c r="E616" t="inlineStr">
        <is>
          <t>LUDVIKA</t>
        </is>
      </c>
      <c r="F616" t="inlineStr">
        <is>
          <t>Naturvårdsverket</t>
        </is>
      </c>
      <c r="G616" t="n">
        <v>4.9</v>
      </c>
      <c r="H616" t="n">
        <v>0</v>
      </c>
      <c r="I616" t="n">
        <v>0</v>
      </c>
      <c r="J616" t="n">
        <v>0</v>
      </c>
      <c r="K616" t="n">
        <v>0</v>
      </c>
      <c r="L616" t="n">
        <v>0</v>
      </c>
      <c r="M616" t="n">
        <v>0</v>
      </c>
      <c r="N616" t="n">
        <v>0</v>
      </c>
      <c r="O616" t="n">
        <v>0</v>
      </c>
      <c r="P616" t="n">
        <v>0</v>
      </c>
      <c r="Q616" t="n">
        <v>0</v>
      </c>
      <c r="R616" s="2" t="inlineStr"/>
    </row>
    <row r="617" ht="15" customHeight="1">
      <c r="A617" t="inlineStr">
        <is>
          <t>A 59356-2024</t>
        </is>
      </c>
      <c r="B617" s="1" t="n">
        <v>45638.31543981482</v>
      </c>
      <c r="C617" s="1" t="n">
        <v>46000</v>
      </c>
      <c r="D617" t="inlineStr">
        <is>
          <t>DALARNAS LÄN</t>
        </is>
      </c>
      <c r="E617" t="inlineStr">
        <is>
          <t>LUDVIKA</t>
        </is>
      </c>
      <c r="G617" t="n">
        <v>1.2</v>
      </c>
      <c r="H617" t="n">
        <v>0</v>
      </c>
      <c r="I617" t="n">
        <v>0</v>
      </c>
      <c r="J617" t="n">
        <v>0</v>
      </c>
      <c r="K617" t="n">
        <v>0</v>
      </c>
      <c r="L617" t="n">
        <v>0</v>
      </c>
      <c r="M617" t="n">
        <v>0</v>
      </c>
      <c r="N617" t="n">
        <v>0</v>
      </c>
      <c r="O617" t="n">
        <v>0</v>
      </c>
      <c r="P617" t="n">
        <v>0</v>
      </c>
      <c r="Q617" t="n">
        <v>0</v>
      </c>
      <c r="R617" s="2" t="inlineStr"/>
    </row>
    <row r="618" ht="15" customHeight="1">
      <c r="A618" t="inlineStr">
        <is>
          <t>A 44881-2024</t>
        </is>
      </c>
      <c r="B618" s="1" t="n">
        <v>45575.35040509259</v>
      </c>
      <c r="C618" s="1" t="n">
        <v>46000</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44885-2024</t>
        </is>
      </c>
      <c r="B619" s="1" t="n">
        <v>45575</v>
      </c>
      <c r="C619" s="1" t="n">
        <v>46000</v>
      </c>
      <c r="D619" t="inlineStr">
        <is>
          <t>DALARNAS LÄN</t>
        </is>
      </c>
      <c r="E619" t="inlineStr">
        <is>
          <t>LUDVIKA</t>
        </is>
      </c>
      <c r="F619" t="inlineStr">
        <is>
          <t>Bergvik skog väst AB</t>
        </is>
      </c>
      <c r="G619" t="n">
        <v>7.1</v>
      </c>
      <c r="H619" t="n">
        <v>0</v>
      </c>
      <c r="I619" t="n">
        <v>0</v>
      </c>
      <c r="J619" t="n">
        <v>0</v>
      </c>
      <c r="K619" t="n">
        <v>0</v>
      </c>
      <c r="L619" t="n">
        <v>0</v>
      </c>
      <c r="M619" t="n">
        <v>0</v>
      </c>
      <c r="N619" t="n">
        <v>0</v>
      </c>
      <c r="O619" t="n">
        <v>0</v>
      </c>
      <c r="P619" t="n">
        <v>0</v>
      </c>
      <c r="Q619" t="n">
        <v>0</v>
      </c>
      <c r="R619" s="2" t="inlineStr"/>
    </row>
    <row r="620" ht="15" customHeight="1">
      <c r="A620" t="inlineStr">
        <is>
          <t>A 7526-2025</t>
        </is>
      </c>
      <c r="B620" s="1" t="n">
        <v>45705.54684027778</v>
      </c>
      <c r="C620" s="1" t="n">
        <v>46000</v>
      </c>
      <c r="D620" t="inlineStr">
        <is>
          <t>DALARNAS LÄN</t>
        </is>
      </c>
      <c r="E620" t="inlineStr">
        <is>
          <t>LUDVIKA</t>
        </is>
      </c>
      <c r="G620" t="n">
        <v>0.3</v>
      </c>
      <c r="H620" t="n">
        <v>0</v>
      </c>
      <c r="I620" t="n">
        <v>0</v>
      </c>
      <c r="J620" t="n">
        <v>0</v>
      </c>
      <c r="K620" t="n">
        <v>0</v>
      </c>
      <c r="L620" t="n">
        <v>0</v>
      </c>
      <c r="M620" t="n">
        <v>0</v>
      </c>
      <c r="N620" t="n">
        <v>0</v>
      </c>
      <c r="O620" t="n">
        <v>0</v>
      </c>
      <c r="P620" t="n">
        <v>0</v>
      </c>
      <c r="Q620" t="n">
        <v>0</v>
      </c>
      <c r="R620" s="2" t="inlineStr"/>
    </row>
    <row r="621" ht="15" customHeight="1">
      <c r="A621" t="inlineStr">
        <is>
          <t>A 32854-2023</t>
        </is>
      </c>
      <c r="B621" s="1" t="n">
        <v>45112</v>
      </c>
      <c r="C621" s="1" t="n">
        <v>46000</v>
      </c>
      <c r="D621" t="inlineStr">
        <is>
          <t>DALARNAS LÄN</t>
        </is>
      </c>
      <c r="E621" t="inlineStr">
        <is>
          <t>LUDVIKA</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46620-2023</t>
        </is>
      </c>
      <c r="B622" s="1" t="n">
        <v>45198.41046296297</v>
      </c>
      <c r="C622" s="1" t="n">
        <v>46000</v>
      </c>
      <c r="D622" t="inlineStr">
        <is>
          <t>DALARNAS LÄN</t>
        </is>
      </c>
      <c r="E622" t="inlineStr">
        <is>
          <t>LUDVIKA</t>
        </is>
      </c>
      <c r="F622" t="inlineStr">
        <is>
          <t>Bergvik skog väst AB</t>
        </is>
      </c>
      <c r="G622" t="n">
        <v>1.1</v>
      </c>
      <c r="H622" t="n">
        <v>0</v>
      </c>
      <c r="I622" t="n">
        <v>0</v>
      </c>
      <c r="J622" t="n">
        <v>0</v>
      </c>
      <c r="K622" t="n">
        <v>0</v>
      </c>
      <c r="L622" t="n">
        <v>0</v>
      </c>
      <c r="M622" t="n">
        <v>0</v>
      </c>
      <c r="N622" t="n">
        <v>0</v>
      </c>
      <c r="O622" t="n">
        <v>0</v>
      </c>
      <c r="P622" t="n">
        <v>0</v>
      </c>
      <c r="Q622" t="n">
        <v>0</v>
      </c>
      <c r="R622" s="2" t="inlineStr"/>
    </row>
    <row r="623" ht="15" customHeight="1">
      <c r="A623" t="inlineStr">
        <is>
          <t>A 61507-2023</t>
        </is>
      </c>
      <c r="B623" s="1" t="n">
        <v>45265</v>
      </c>
      <c r="C623" s="1" t="n">
        <v>46000</v>
      </c>
      <c r="D623" t="inlineStr">
        <is>
          <t>DALARNAS LÄN</t>
        </is>
      </c>
      <c r="E623" t="inlineStr">
        <is>
          <t>LUDVIKA</t>
        </is>
      </c>
      <c r="G623" t="n">
        <v>3</v>
      </c>
      <c r="H623" t="n">
        <v>0</v>
      </c>
      <c r="I623" t="n">
        <v>0</v>
      </c>
      <c r="J623" t="n">
        <v>0</v>
      </c>
      <c r="K623" t="n">
        <v>0</v>
      </c>
      <c r="L623" t="n">
        <v>0</v>
      </c>
      <c r="M623" t="n">
        <v>0</v>
      </c>
      <c r="N623" t="n">
        <v>0</v>
      </c>
      <c r="O623" t="n">
        <v>0</v>
      </c>
      <c r="P623" t="n">
        <v>0</v>
      </c>
      <c r="Q623" t="n">
        <v>0</v>
      </c>
      <c r="R623" s="2" t="inlineStr"/>
    </row>
    <row r="624" ht="15" customHeight="1">
      <c r="A624" t="inlineStr">
        <is>
          <t>A 49951-2022</t>
        </is>
      </c>
      <c r="B624" s="1" t="n">
        <v>44865.36378472222</v>
      </c>
      <c r="C624" s="1" t="n">
        <v>46000</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9386-2023</t>
        </is>
      </c>
      <c r="B625" s="1" t="n">
        <v>44981.40171296296</v>
      </c>
      <c r="C625" s="1" t="n">
        <v>46000</v>
      </c>
      <c r="D625" t="inlineStr">
        <is>
          <t>DALARNAS LÄN</t>
        </is>
      </c>
      <c r="E625" t="inlineStr">
        <is>
          <t>LUDVIKA</t>
        </is>
      </c>
      <c r="G625" t="n">
        <v>6.2</v>
      </c>
      <c r="H625" t="n">
        <v>0</v>
      </c>
      <c r="I625" t="n">
        <v>0</v>
      </c>
      <c r="J625" t="n">
        <v>0</v>
      </c>
      <c r="K625" t="n">
        <v>0</v>
      </c>
      <c r="L625" t="n">
        <v>0</v>
      </c>
      <c r="M625" t="n">
        <v>0</v>
      </c>
      <c r="N625" t="n">
        <v>0</v>
      </c>
      <c r="O625" t="n">
        <v>0</v>
      </c>
      <c r="P625" t="n">
        <v>0</v>
      </c>
      <c r="Q625" t="n">
        <v>0</v>
      </c>
      <c r="R625" s="2" t="inlineStr"/>
    </row>
    <row r="626" ht="15" customHeight="1">
      <c r="A626" t="inlineStr">
        <is>
          <t>A 29114-2024</t>
        </is>
      </c>
      <c r="B626" s="1" t="n">
        <v>45481.9578125</v>
      </c>
      <c r="C626" s="1" t="n">
        <v>46000</v>
      </c>
      <c r="D626" t="inlineStr">
        <is>
          <t>DALARNAS LÄN</t>
        </is>
      </c>
      <c r="E626" t="inlineStr">
        <is>
          <t>LUDVIKA</t>
        </is>
      </c>
      <c r="G626" t="n">
        <v>1</v>
      </c>
      <c r="H626" t="n">
        <v>0</v>
      </c>
      <c r="I626" t="n">
        <v>0</v>
      </c>
      <c r="J626" t="n">
        <v>0</v>
      </c>
      <c r="K626" t="n">
        <v>0</v>
      </c>
      <c r="L626" t="n">
        <v>0</v>
      </c>
      <c r="M626" t="n">
        <v>0</v>
      </c>
      <c r="N626" t="n">
        <v>0</v>
      </c>
      <c r="O626" t="n">
        <v>0</v>
      </c>
      <c r="P626" t="n">
        <v>0</v>
      </c>
      <c r="Q626" t="n">
        <v>0</v>
      </c>
      <c r="R626" s="2" t="inlineStr"/>
    </row>
    <row r="627" ht="15" customHeight="1">
      <c r="A627" t="inlineStr">
        <is>
          <t>A 42106-2024</t>
        </is>
      </c>
      <c r="B627" s="1" t="n">
        <v>45562.36709490741</v>
      </c>
      <c r="C627" s="1" t="n">
        <v>46000</v>
      </c>
      <c r="D627" t="inlineStr">
        <is>
          <t>DALARNAS LÄN</t>
        </is>
      </c>
      <c r="E627" t="inlineStr">
        <is>
          <t>LUDVIKA</t>
        </is>
      </c>
      <c r="F627" t="inlineStr">
        <is>
          <t>Bergvik skog väst AB</t>
        </is>
      </c>
      <c r="G627" t="n">
        <v>6</v>
      </c>
      <c r="H627" t="n">
        <v>0</v>
      </c>
      <c r="I627" t="n">
        <v>0</v>
      </c>
      <c r="J627" t="n">
        <v>0</v>
      </c>
      <c r="K627" t="n">
        <v>0</v>
      </c>
      <c r="L627" t="n">
        <v>0</v>
      </c>
      <c r="M627" t="n">
        <v>0</v>
      </c>
      <c r="N627" t="n">
        <v>0</v>
      </c>
      <c r="O627" t="n">
        <v>0</v>
      </c>
      <c r="P627" t="n">
        <v>0</v>
      </c>
      <c r="Q627" t="n">
        <v>0</v>
      </c>
      <c r="R627" s="2" t="inlineStr"/>
    </row>
    <row r="628" ht="15" customHeight="1">
      <c r="A628" t="inlineStr">
        <is>
          <t>A 54154-2024</t>
        </is>
      </c>
      <c r="B628" s="1" t="n">
        <v>45616.60813657408</v>
      </c>
      <c r="C628" s="1" t="n">
        <v>46000</v>
      </c>
      <c r="D628" t="inlineStr">
        <is>
          <t>DALARNAS LÄN</t>
        </is>
      </c>
      <c r="E628" t="inlineStr">
        <is>
          <t>LUDVIKA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60668-2024</t>
        </is>
      </c>
      <c r="B629" s="1" t="n">
        <v>45644.45210648148</v>
      </c>
      <c r="C629" s="1" t="n">
        <v>46000</v>
      </c>
      <c r="D629" t="inlineStr">
        <is>
          <t>DALARNAS LÄN</t>
        </is>
      </c>
      <c r="E629" t="inlineStr">
        <is>
          <t>LUDVIKA</t>
        </is>
      </c>
      <c r="G629" t="n">
        <v>2.1</v>
      </c>
      <c r="H629" t="n">
        <v>0</v>
      </c>
      <c r="I629" t="n">
        <v>0</v>
      </c>
      <c r="J629" t="n">
        <v>0</v>
      </c>
      <c r="K629" t="n">
        <v>0</v>
      </c>
      <c r="L629" t="n">
        <v>0</v>
      </c>
      <c r="M629" t="n">
        <v>0</v>
      </c>
      <c r="N629" t="n">
        <v>0</v>
      </c>
      <c r="O629" t="n">
        <v>0</v>
      </c>
      <c r="P629" t="n">
        <v>0</v>
      </c>
      <c r="Q629" t="n">
        <v>0</v>
      </c>
      <c r="R629" s="2" t="inlineStr"/>
    </row>
    <row r="630" ht="15" customHeight="1">
      <c r="A630" t="inlineStr">
        <is>
          <t>A 16814-2024</t>
        </is>
      </c>
      <c r="B630" s="1" t="n">
        <v>45411.46208333333</v>
      </c>
      <c r="C630" s="1" t="n">
        <v>46000</v>
      </c>
      <c r="D630" t="inlineStr">
        <is>
          <t>DALARNAS LÄN</t>
        </is>
      </c>
      <c r="E630" t="inlineStr">
        <is>
          <t>LUDVIKA</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3170-2025</t>
        </is>
      </c>
      <c r="B631" s="1" t="n">
        <v>45679.36682870371</v>
      </c>
      <c r="C631" s="1" t="n">
        <v>46000</v>
      </c>
      <c r="D631" t="inlineStr">
        <is>
          <t>DALARNAS LÄN</t>
        </is>
      </c>
      <c r="E631" t="inlineStr">
        <is>
          <t>LUDVIKA</t>
        </is>
      </c>
      <c r="G631" t="n">
        <v>5.4</v>
      </c>
      <c r="H631" t="n">
        <v>0</v>
      </c>
      <c r="I631" t="n">
        <v>0</v>
      </c>
      <c r="J631" t="n">
        <v>0</v>
      </c>
      <c r="K631" t="n">
        <v>0</v>
      </c>
      <c r="L631" t="n">
        <v>0</v>
      </c>
      <c r="M631" t="n">
        <v>0</v>
      </c>
      <c r="N631" t="n">
        <v>0</v>
      </c>
      <c r="O631" t="n">
        <v>0</v>
      </c>
      <c r="P631" t="n">
        <v>0</v>
      </c>
      <c r="Q631" t="n">
        <v>0</v>
      </c>
      <c r="R631" s="2" t="inlineStr"/>
    </row>
    <row r="632" ht="15" customHeight="1">
      <c r="A632" t="inlineStr">
        <is>
          <t>A 31270-2022</t>
        </is>
      </c>
      <c r="B632" s="1" t="n">
        <v>44771.61702546296</v>
      </c>
      <c r="C632" s="1" t="n">
        <v>46000</v>
      </c>
      <c r="D632" t="inlineStr">
        <is>
          <t>DALARNAS LÄN</t>
        </is>
      </c>
      <c r="E632" t="inlineStr">
        <is>
          <t>LUDVIKA</t>
        </is>
      </c>
      <c r="G632" t="n">
        <v>1.2</v>
      </c>
      <c r="H632" t="n">
        <v>0</v>
      </c>
      <c r="I632" t="n">
        <v>0</v>
      </c>
      <c r="J632" t="n">
        <v>0</v>
      </c>
      <c r="K632" t="n">
        <v>0</v>
      </c>
      <c r="L632" t="n">
        <v>0</v>
      </c>
      <c r="M632" t="n">
        <v>0</v>
      </c>
      <c r="N632" t="n">
        <v>0</v>
      </c>
      <c r="O632" t="n">
        <v>0</v>
      </c>
      <c r="P632" t="n">
        <v>0</v>
      </c>
      <c r="Q632" t="n">
        <v>0</v>
      </c>
      <c r="R632" s="2" t="inlineStr"/>
    </row>
    <row r="633" ht="15" customHeight="1">
      <c r="A633" t="inlineStr">
        <is>
          <t>A 56203-2024</t>
        </is>
      </c>
      <c r="B633" s="1" t="n">
        <v>45624.59535879629</v>
      </c>
      <c r="C633" s="1" t="n">
        <v>46000</v>
      </c>
      <c r="D633" t="inlineStr">
        <is>
          <t>DALARNAS LÄN</t>
        </is>
      </c>
      <c r="E633" t="inlineStr">
        <is>
          <t>LUDVIKA</t>
        </is>
      </c>
      <c r="G633" t="n">
        <v>2.3</v>
      </c>
      <c r="H633" t="n">
        <v>0</v>
      </c>
      <c r="I633" t="n">
        <v>0</v>
      </c>
      <c r="J633" t="n">
        <v>0</v>
      </c>
      <c r="K633" t="n">
        <v>0</v>
      </c>
      <c r="L633" t="n">
        <v>0</v>
      </c>
      <c r="M633" t="n">
        <v>0</v>
      </c>
      <c r="N633" t="n">
        <v>0</v>
      </c>
      <c r="O633" t="n">
        <v>0</v>
      </c>
      <c r="P633" t="n">
        <v>0</v>
      </c>
      <c r="Q633" t="n">
        <v>0</v>
      </c>
      <c r="R633" s="2" t="inlineStr"/>
    </row>
    <row r="634" ht="15" customHeight="1">
      <c r="A634" t="inlineStr">
        <is>
          <t>A 28507-2023</t>
        </is>
      </c>
      <c r="B634" s="1" t="n">
        <v>45103.46510416667</v>
      </c>
      <c r="C634" s="1" t="n">
        <v>46000</v>
      </c>
      <c r="D634" t="inlineStr">
        <is>
          <t>DALARNAS LÄN</t>
        </is>
      </c>
      <c r="E634" t="inlineStr">
        <is>
          <t>LUDVIKA</t>
        </is>
      </c>
      <c r="G634" t="n">
        <v>2.4</v>
      </c>
      <c r="H634" t="n">
        <v>0</v>
      </c>
      <c r="I634" t="n">
        <v>0</v>
      </c>
      <c r="J634" t="n">
        <v>0</v>
      </c>
      <c r="K634" t="n">
        <v>0</v>
      </c>
      <c r="L634" t="n">
        <v>0</v>
      </c>
      <c r="M634" t="n">
        <v>0</v>
      </c>
      <c r="N634" t="n">
        <v>0</v>
      </c>
      <c r="O634" t="n">
        <v>0</v>
      </c>
      <c r="P634" t="n">
        <v>0</v>
      </c>
      <c r="Q634" t="n">
        <v>0</v>
      </c>
      <c r="R634" s="2" t="inlineStr"/>
    </row>
    <row r="635" ht="15" customHeight="1">
      <c r="A635" t="inlineStr">
        <is>
          <t>A 20427-2025</t>
        </is>
      </c>
      <c r="B635" s="1" t="n">
        <v>45775</v>
      </c>
      <c r="C635" s="1" t="n">
        <v>46000</v>
      </c>
      <c r="D635" t="inlineStr">
        <is>
          <t>DALARNAS LÄN</t>
        </is>
      </c>
      <c r="E635" t="inlineStr">
        <is>
          <t>LUDVIKA</t>
        </is>
      </c>
      <c r="F635" t="inlineStr">
        <is>
          <t>Bergvik skog väst AB</t>
        </is>
      </c>
      <c r="G635" t="n">
        <v>4.2</v>
      </c>
      <c r="H635" t="n">
        <v>0</v>
      </c>
      <c r="I635" t="n">
        <v>0</v>
      </c>
      <c r="J635" t="n">
        <v>0</v>
      </c>
      <c r="K635" t="n">
        <v>0</v>
      </c>
      <c r="L635" t="n">
        <v>0</v>
      </c>
      <c r="M635" t="n">
        <v>0</v>
      </c>
      <c r="N635" t="n">
        <v>0</v>
      </c>
      <c r="O635" t="n">
        <v>0</v>
      </c>
      <c r="P635" t="n">
        <v>0</v>
      </c>
      <c r="Q635" t="n">
        <v>0</v>
      </c>
      <c r="R635" s="2" t="inlineStr"/>
    </row>
    <row r="636" ht="15" customHeight="1">
      <c r="A636" t="inlineStr">
        <is>
          <t>A 39437-2023</t>
        </is>
      </c>
      <c r="B636" s="1" t="n">
        <v>45166.70038194444</v>
      </c>
      <c r="C636" s="1" t="n">
        <v>46000</v>
      </c>
      <c r="D636" t="inlineStr">
        <is>
          <t>DALARNAS LÄN</t>
        </is>
      </c>
      <c r="E636" t="inlineStr">
        <is>
          <t>LUDVIKA</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57230-2024</t>
        </is>
      </c>
      <c r="B637" s="1" t="n">
        <v>45629.54122685185</v>
      </c>
      <c r="C637" s="1" t="n">
        <v>46000</v>
      </c>
      <c r="D637" t="inlineStr">
        <is>
          <t>DALARNAS LÄN</t>
        </is>
      </c>
      <c r="E637" t="inlineStr">
        <is>
          <t>LUDVIKA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33839-2024</t>
        </is>
      </c>
      <c r="B638" s="1" t="n">
        <v>45520.63197916667</v>
      </c>
      <c r="C638" s="1" t="n">
        <v>46000</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54730-2022</t>
        </is>
      </c>
      <c r="B639" s="1" t="n">
        <v>44883</v>
      </c>
      <c r="C639" s="1" t="n">
        <v>46000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21152-2023</t>
        </is>
      </c>
      <c r="B640" s="1" t="n">
        <v>45062.39581018518</v>
      </c>
      <c r="C640" s="1" t="n">
        <v>46000</v>
      </c>
      <c r="D640" t="inlineStr">
        <is>
          <t>DALARNAS LÄN</t>
        </is>
      </c>
      <c r="E640" t="inlineStr">
        <is>
          <t>LUDVIKA</t>
        </is>
      </c>
      <c r="F640" t="inlineStr">
        <is>
          <t>Bergvik skog väst AB</t>
        </is>
      </c>
      <c r="G640" t="n">
        <v>13.6</v>
      </c>
      <c r="H640" t="n">
        <v>0</v>
      </c>
      <c r="I640" t="n">
        <v>0</v>
      </c>
      <c r="J640" t="n">
        <v>0</v>
      </c>
      <c r="K640" t="n">
        <v>0</v>
      </c>
      <c r="L640" t="n">
        <v>0</v>
      </c>
      <c r="M640" t="n">
        <v>0</v>
      </c>
      <c r="N640" t="n">
        <v>0</v>
      </c>
      <c r="O640" t="n">
        <v>0</v>
      </c>
      <c r="P640" t="n">
        <v>0</v>
      </c>
      <c r="Q640" t="n">
        <v>0</v>
      </c>
      <c r="R640" s="2" t="inlineStr"/>
    </row>
    <row r="641" ht="15" customHeight="1">
      <c r="A641" t="inlineStr">
        <is>
          <t>A 39849-2023</t>
        </is>
      </c>
      <c r="B641" s="1" t="n">
        <v>45168.36769675926</v>
      </c>
      <c r="C641" s="1" t="n">
        <v>46000</v>
      </c>
      <c r="D641" t="inlineStr">
        <is>
          <t>DALARNAS LÄN</t>
        </is>
      </c>
      <c r="E641" t="inlineStr">
        <is>
          <t>LUDVIKA</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53996-2024</t>
        </is>
      </c>
      <c r="B642" s="1" t="n">
        <v>45616.35984953704</v>
      </c>
      <c r="C642" s="1" t="n">
        <v>46000</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19071-2025</t>
        </is>
      </c>
      <c r="B643" s="1" t="n">
        <v>45765.67115740741</v>
      </c>
      <c r="C643" s="1" t="n">
        <v>46000</v>
      </c>
      <c r="D643" t="inlineStr">
        <is>
          <t>DALARNAS LÄN</t>
        </is>
      </c>
      <c r="E643" t="inlineStr">
        <is>
          <t>LUDVIKA</t>
        </is>
      </c>
      <c r="G643" t="n">
        <v>4.6</v>
      </c>
      <c r="H643" t="n">
        <v>0</v>
      </c>
      <c r="I643" t="n">
        <v>0</v>
      </c>
      <c r="J643" t="n">
        <v>0</v>
      </c>
      <c r="K643" t="n">
        <v>0</v>
      </c>
      <c r="L643" t="n">
        <v>0</v>
      </c>
      <c r="M643" t="n">
        <v>0</v>
      </c>
      <c r="N643" t="n">
        <v>0</v>
      </c>
      <c r="O643" t="n">
        <v>0</v>
      </c>
      <c r="P643" t="n">
        <v>0</v>
      </c>
      <c r="Q643" t="n">
        <v>0</v>
      </c>
      <c r="R643" s="2" t="inlineStr"/>
    </row>
    <row r="644" ht="15" customHeight="1">
      <c r="A644" t="inlineStr">
        <is>
          <t>A 49045-2024</t>
        </is>
      </c>
      <c r="B644" s="1" t="n">
        <v>45594.57032407408</v>
      </c>
      <c r="C644" s="1" t="n">
        <v>46000</v>
      </c>
      <c r="D644" t="inlineStr">
        <is>
          <t>DALARNAS LÄN</t>
        </is>
      </c>
      <c r="E644" t="inlineStr">
        <is>
          <t>LUDVIKA</t>
        </is>
      </c>
      <c r="F644" t="inlineStr">
        <is>
          <t>Naturvårdsverket</t>
        </is>
      </c>
      <c r="G644" t="n">
        <v>2</v>
      </c>
      <c r="H644" t="n">
        <v>0</v>
      </c>
      <c r="I644" t="n">
        <v>0</v>
      </c>
      <c r="J644" t="n">
        <v>0</v>
      </c>
      <c r="K644" t="n">
        <v>0</v>
      </c>
      <c r="L644" t="n">
        <v>0</v>
      </c>
      <c r="M644" t="n">
        <v>0</v>
      </c>
      <c r="N644" t="n">
        <v>0</v>
      </c>
      <c r="O644" t="n">
        <v>0</v>
      </c>
      <c r="P644" t="n">
        <v>0</v>
      </c>
      <c r="Q644" t="n">
        <v>0</v>
      </c>
      <c r="R644" s="2" t="inlineStr"/>
    </row>
    <row r="645" ht="15" customHeight="1">
      <c r="A645" t="inlineStr">
        <is>
          <t>A 47940-2023</t>
        </is>
      </c>
      <c r="B645" s="1" t="n">
        <v>45204</v>
      </c>
      <c r="C645" s="1" t="n">
        <v>46000</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14046-2025</t>
        </is>
      </c>
      <c r="B646" s="1" t="n">
        <v>45740.37754629629</v>
      </c>
      <c r="C646" s="1" t="n">
        <v>46000</v>
      </c>
      <c r="D646" t="inlineStr">
        <is>
          <t>DALARNAS LÄN</t>
        </is>
      </c>
      <c r="E646" t="inlineStr">
        <is>
          <t>LUDVIKA</t>
        </is>
      </c>
      <c r="G646" t="n">
        <v>0.7</v>
      </c>
      <c r="H646" t="n">
        <v>0</v>
      </c>
      <c r="I646" t="n">
        <v>0</v>
      </c>
      <c r="J646" t="n">
        <v>0</v>
      </c>
      <c r="K646" t="n">
        <v>0</v>
      </c>
      <c r="L646" t="n">
        <v>0</v>
      </c>
      <c r="M646" t="n">
        <v>0</v>
      </c>
      <c r="N646" t="n">
        <v>0</v>
      </c>
      <c r="O646" t="n">
        <v>0</v>
      </c>
      <c r="P646" t="n">
        <v>0</v>
      </c>
      <c r="Q646" t="n">
        <v>0</v>
      </c>
      <c r="R646" s="2" t="inlineStr"/>
    </row>
    <row r="647" ht="15" customHeight="1">
      <c r="A647" t="inlineStr">
        <is>
          <t>A 52347-2024</t>
        </is>
      </c>
      <c r="B647" s="1" t="n">
        <v>45609</v>
      </c>
      <c r="C647" s="1" t="n">
        <v>46000</v>
      </c>
      <c r="D647" t="inlineStr">
        <is>
          <t>DALARNAS LÄN</t>
        </is>
      </c>
      <c r="E647" t="inlineStr">
        <is>
          <t>LUDVIKA</t>
        </is>
      </c>
      <c r="F647" t="inlineStr">
        <is>
          <t>Bergvik skog väst AB</t>
        </is>
      </c>
      <c r="G647" t="n">
        <v>4.5</v>
      </c>
      <c r="H647" t="n">
        <v>0</v>
      </c>
      <c r="I647" t="n">
        <v>0</v>
      </c>
      <c r="J647" t="n">
        <v>0</v>
      </c>
      <c r="K647" t="n">
        <v>0</v>
      </c>
      <c r="L647" t="n">
        <v>0</v>
      </c>
      <c r="M647" t="n">
        <v>0</v>
      </c>
      <c r="N647" t="n">
        <v>0</v>
      </c>
      <c r="O647" t="n">
        <v>0</v>
      </c>
      <c r="P647" t="n">
        <v>0</v>
      </c>
      <c r="Q647" t="n">
        <v>0</v>
      </c>
      <c r="R647" s="2" t="inlineStr"/>
    </row>
    <row r="648" ht="15" customHeight="1">
      <c r="A648" t="inlineStr">
        <is>
          <t>A 52461-2023</t>
        </is>
      </c>
      <c r="B648" s="1" t="n">
        <v>45225.40709490741</v>
      </c>
      <c r="C648" s="1" t="n">
        <v>46000</v>
      </c>
      <c r="D648" t="inlineStr">
        <is>
          <t>DALARNAS LÄN</t>
        </is>
      </c>
      <c r="E648" t="inlineStr">
        <is>
          <t>LUDVIKA</t>
        </is>
      </c>
      <c r="F648" t="inlineStr">
        <is>
          <t>Bergvik skog väst AB</t>
        </is>
      </c>
      <c r="G648" t="n">
        <v>1.6</v>
      </c>
      <c r="H648" t="n">
        <v>0</v>
      </c>
      <c r="I648" t="n">
        <v>0</v>
      </c>
      <c r="J648" t="n">
        <v>0</v>
      </c>
      <c r="K648" t="n">
        <v>0</v>
      </c>
      <c r="L648" t="n">
        <v>0</v>
      </c>
      <c r="M648" t="n">
        <v>0</v>
      </c>
      <c r="N648" t="n">
        <v>0</v>
      </c>
      <c r="O648" t="n">
        <v>0</v>
      </c>
      <c r="P648" t="n">
        <v>0</v>
      </c>
      <c r="Q648" t="n">
        <v>0</v>
      </c>
      <c r="R648" s="2" t="inlineStr"/>
    </row>
    <row r="649" ht="15" customHeight="1">
      <c r="A649" t="inlineStr">
        <is>
          <t>A 52466-2023</t>
        </is>
      </c>
      <c r="B649" s="1" t="n">
        <v>45225.41042824074</v>
      </c>
      <c r="C649" s="1" t="n">
        <v>46000</v>
      </c>
      <c r="D649" t="inlineStr">
        <is>
          <t>DALARNAS LÄN</t>
        </is>
      </c>
      <c r="E649" t="inlineStr">
        <is>
          <t>LUDVIKA</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400-2023</t>
        </is>
      </c>
      <c r="B650" s="1" t="n">
        <v>44929.61017361111</v>
      </c>
      <c r="C650" s="1" t="n">
        <v>46000</v>
      </c>
      <c r="D650" t="inlineStr">
        <is>
          <t>DALARNAS LÄN</t>
        </is>
      </c>
      <c r="E650" t="inlineStr">
        <is>
          <t>LUDVIKA</t>
        </is>
      </c>
      <c r="G650" t="n">
        <v>3.6</v>
      </c>
      <c r="H650" t="n">
        <v>0</v>
      </c>
      <c r="I650" t="n">
        <v>0</v>
      </c>
      <c r="J650" t="n">
        <v>0</v>
      </c>
      <c r="K650" t="n">
        <v>0</v>
      </c>
      <c r="L650" t="n">
        <v>0</v>
      </c>
      <c r="M650" t="n">
        <v>0</v>
      </c>
      <c r="N650" t="n">
        <v>0</v>
      </c>
      <c r="O650" t="n">
        <v>0</v>
      </c>
      <c r="P650" t="n">
        <v>0</v>
      </c>
      <c r="Q650" t="n">
        <v>0</v>
      </c>
      <c r="R650" s="2" t="inlineStr"/>
    </row>
    <row r="651" ht="15" customHeight="1">
      <c r="A651" t="inlineStr">
        <is>
          <t>A 44880-2024</t>
        </is>
      </c>
      <c r="B651" s="1" t="n">
        <v>45575.34820601852</v>
      </c>
      <c r="C651" s="1" t="n">
        <v>46000</v>
      </c>
      <c r="D651" t="inlineStr">
        <is>
          <t>DALARNAS LÄN</t>
        </is>
      </c>
      <c r="E651" t="inlineStr">
        <is>
          <t>LUDVIKA</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55633-2021</t>
        </is>
      </c>
      <c r="B652" s="1" t="n">
        <v>44476</v>
      </c>
      <c r="C652" s="1" t="n">
        <v>46000</v>
      </c>
      <c r="D652" t="inlineStr">
        <is>
          <t>DALARNAS LÄN</t>
        </is>
      </c>
      <c r="E652" t="inlineStr">
        <is>
          <t>LUDVIKA</t>
        </is>
      </c>
      <c r="F652" t="inlineStr">
        <is>
          <t>Övriga Aktiebolag</t>
        </is>
      </c>
      <c r="G652" t="n">
        <v>1.4</v>
      </c>
      <c r="H652" t="n">
        <v>0</v>
      </c>
      <c r="I652" t="n">
        <v>0</v>
      </c>
      <c r="J652" t="n">
        <v>0</v>
      </c>
      <c r="K652" t="n">
        <v>0</v>
      </c>
      <c r="L652" t="n">
        <v>0</v>
      </c>
      <c r="M652" t="n">
        <v>0</v>
      </c>
      <c r="N652" t="n">
        <v>0</v>
      </c>
      <c r="O652" t="n">
        <v>0</v>
      </c>
      <c r="P652" t="n">
        <v>0</v>
      </c>
      <c r="Q652" t="n">
        <v>0</v>
      </c>
      <c r="R652" s="2" t="inlineStr"/>
    </row>
    <row r="653" ht="15" customHeight="1">
      <c r="A653" t="inlineStr">
        <is>
          <t>A 70046-2021</t>
        </is>
      </c>
      <c r="B653" s="1" t="n">
        <v>44533</v>
      </c>
      <c r="C653" s="1" t="n">
        <v>46000</v>
      </c>
      <c r="D653" t="inlineStr">
        <is>
          <t>DALARNAS LÄN</t>
        </is>
      </c>
      <c r="E653" t="inlineStr">
        <is>
          <t>LUDVIKA</t>
        </is>
      </c>
      <c r="F653" t="inlineStr">
        <is>
          <t>Bergvik skog väst AB</t>
        </is>
      </c>
      <c r="G653" t="n">
        <v>1.4</v>
      </c>
      <c r="H653" t="n">
        <v>0</v>
      </c>
      <c r="I653" t="n">
        <v>0</v>
      </c>
      <c r="J653" t="n">
        <v>0</v>
      </c>
      <c r="K653" t="n">
        <v>0</v>
      </c>
      <c r="L653" t="n">
        <v>0</v>
      </c>
      <c r="M653" t="n">
        <v>0</v>
      </c>
      <c r="N653" t="n">
        <v>0</v>
      </c>
      <c r="O653" t="n">
        <v>0</v>
      </c>
      <c r="P653" t="n">
        <v>0</v>
      </c>
      <c r="Q653" t="n">
        <v>0</v>
      </c>
      <c r="R653" s="2" t="inlineStr"/>
    </row>
    <row r="654" ht="15" customHeight="1">
      <c r="A654" t="inlineStr">
        <is>
          <t>A 43704-2024</t>
        </is>
      </c>
      <c r="B654" s="1" t="n">
        <v>45569.59278935185</v>
      </c>
      <c r="C654" s="1" t="n">
        <v>46000</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17998-2025</t>
        </is>
      </c>
      <c r="B655" s="1" t="n">
        <v>45761</v>
      </c>
      <c r="C655" s="1" t="n">
        <v>46000</v>
      </c>
      <c r="D655" t="inlineStr">
        <is>
          <t>DALARNAS LÄN</t>
        </is>
      </c>
      <c r="E655" t="inlineStr">
        <is>
          <t>LUDVIKA</t>
        </is>
      </c>
      <c r="F655" t="inlineStr">
        <is>
          <t>Naturvårdsverket</t>
        </is>
      </c>
      <c r="G655" t="n">
        <v>1.8</v>
      </c>
      <c r="H655" t="n">
        <v>0</v>
      </c>
      <c r="I655" t="n">
        <v>0</v>
      </c>
      <c r="J655" t="n">
        <v>0</v>
      </c>
      <c r="K655" t="n">
        <v>0</v>
      </c>
      <c r="L655" t="n">
        <v>0</v>
      </c>
      <c r="M655" t="n">
        <v>0</v>
      </c>
      <c r="N655" t="n">
        <v>0</v>
      </c>
      <c r="O655" t="n">
        <v>0</v>
      </c>
      <c r="P655" t="n">
        <v>0</v>
      </c>
      <c r="Q655" t="n">
        <v>0</v>
      </c>
      <c r="R655" s="2" t="inlineStr"/>
    </row>
    <row r="656" ht="15" customHeight="1">
      <c r="A656" t="inlineStr">
        <is>
          <t>A 48003-2024</t>
        </is>
      </c>
      <c r="B656" s="1" t="n">
        <v>45589.44950231481</v>
      </c>
      <c r="C656" s="1" t="n">
        <v>46000</v>
      </c>
      <c r="D656" t="inlineStr">
        <is>
          <t>DALARNAS LÄN</t>
        </is>
      </c>
      <c r="E656" t="inlineStr">
        <is>
          <t>LUDVIKA</t>
        </is>
      </c>
      <c r="G656" t="n">
        <v>3.9</v>
      </c>
      <c r="H656" t="n">
        <v>0</v>
      </c>
      <c r="I656" t="n">
        <v>0</v>
      </c>
      <c r="J656" t="n">
        <v>0</v>
      </c>
      <c r="K656" t="n">
        <v>0</v>
      </c>
      <c r="L656" t="n">
        <v>0</v>
      </c>
      <c r="M656" t="n">
        <v>0</v>
      </c>
      <c r="N656" t="n">
        <v>0</v>
      </c>
      <c r="O656" t="n">
        <v>0</v>
      </c>
      <c r="P656" t="n">
        <v>0</v>
      </c>
      <c r="Q656" t="n">
        <v>0</v>
      </c>
      <c r="R656" s="2" t="inlineStr"/>
    </row>
    <row r="657" ht="15" customHeight="1">
      <c r="A657" t="inlineStr">
        <is>
          <t>A 31478-2023</t>
        </is>
      </c>
      <c r="B657" s="1" t="n">
        <v>45114</v>
      </c>
      <c r="C657" s="1" t="n">
        <v>46000</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30123-2023</t>
        </is>
      </c>
      <c r="B658" s="1" t="n">
        <v>45110.48509259259</v>
      </c>
      <c r="C658" s="1" t="n">
        <v>46000</v>
      </c>
      <c r="D658" t="inlineStr">
        <is>
          <t>DALARNAS LÄN</t>
        </is>
      </c>
      <c r="E658" t="inlineStr">
        <is>
          <t>LUDVIKA</t>
        </is>
      </c>
      <c r="G658" t="n">
        <v>1.9</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45166.66240740741</v>
      </c>
      <c r="C659" s="1" t="n">
        <v>46000</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31550-2021</t>
        </is>
      </c>
      <c r="B660" s="1" t="n">
        <v>44369</v>
      </c>
      <c r="C660" s="1" t="n">
        <v>46000</v>
      </c>
      <c r="D660" t="inlineStr">
        <is>
          <t>DALARNAS LÄN</t>
        </is>
      </c>
      <c r="E660" t="inlineStr">
        <is>
          <t>LUDVIKA</t>
        </is>
      </c>
      <c r="G660" t="n">
        <v>2.8</v>
      </c>
      <c r="H660" t="n">
        <v>0</v>
      </c>
      <c r="I660" t="n">
        <v>0</v>
      </c>
      <c r="J660" t="n">
        <v>0</v>
      </c>
      <c r="K660" t="n">
        <v>0</v>
      </c>
      <c r="L660" t="n">
        <v>0</v>
      </c>
      <c r="M660" t="n">
        <v>0</v>
      </c>
      <c r="N660" t="n">
        <v>0</v>
      </c>
      <c r="O660" t="n">
        <v>0</v>
      </c>
      <c r="P660" t="n">
        <v>0</v>
      </c>
      <c r="Q660" t="n">
        <v>0</v>
      </c>
      <c r="R660" s="2" t="inlineStr"/>
    </row>
    <row r="661" ht="15" customHeight="1">
      <c r="A661" t="inlineStr">
        <is>
          <t>A 32119-2023</t>
        </is>
      </c>
      <c r="B661" s="1" t="n">
        <v>45119.6334375</v>
      </c>
      <c r="C661" s="1" t="n">
        <v>46000</v>
      </c>
      <c r="D661" t="inlineStr">
        <is>
          <t>DALARNAS LÄN</t>
        </is>
      </c>
      <c r="E661" t="inlineStr">
        <is>
          <t>LUDVIKA</t>
        </is>
      </c>
      <c r="F661" t="inlineStr">
        <is>
          <t>Naturvårdsverket</t>
        </is>
      </c>
      <c r="G661" t="n">
        <v>1</v>
      </c>
      <c r="H661" t="n">
        <v>0</v>
      </c>
      <c r="I661" t="n">
        <v>0</v>
      </c>
      <c r="J661" t="n">
        <v>0</v>
      </c>
      <c r="K661" t="n">
        <v>0</v>
      </c>
      <c r="L661" t="n">
        <v>0</v>
      </c>
      <c r="M661" t="n">
        <v>0</v>
      </c>
      <c r="N661" t="n">
        <v>0</v>
      </c>
      <c r="O661" t="n">
        <v>0</v>
      </c>
      <c r="P661" t="n">
        <v>0</v>
      </c>
      <c r="Q661" t="n">
        <v>0</v>
      </c>
      <c r="R661" s="2" t="inlineStr"/>
    </row>
    <row r="662" ht="15" customHeight="1">
      <c r="A662" t="inlineStr">
        <is>
          <t>A 34845-2024</t>
        </is>
      </c>
      <c r="B662" s="1" t="n">
        <v>45526</v>
      </c>
      <c r="C662" s="1" t="n">
        <v>46000</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25299-2022</t>
        </is>
      </c>
      <c r="B663" s="1" t="n">
        <v>44730.99318287037</v>
      </c>
      <c r="C663" s="1" t="n">
        <v>46000</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11632-2024</t>
        </is>
      </c>
      <c r="B664" s="1" t="n">
        <v>45373.4712037037</v>
      </c>
      <c r="C664" s="1" t="n">
        <v>46000</v>
      </c>
      <c r="D664" t="inlineStr">
        <is>
          <t>DALARNAS LÄN</t>
        </is>
      </c>
      <c r="E664" t="inlineStr">
        <is>
          <t>LUDVIKA</t>
        </is>
      </c>
      <c r="G664" t="n">
        <v>5.1</v>
      </c>
      <c r="H664" t="n">
        <v>0</v>
      </c>
      <c r="I664" t="n">
        <v>0</v>
      </c>
      <c r="J664" t="n">
        <v>0</v>
      </c>
      <c r="K664" t="n">
        <v>0</v>
      </c>
      <c r="L664" t="n">
        <v>0</v>
      </c>
      <c r="M664" t="n">
        <v>0</v>
      </c>
      <c r="N664" t="n">
        <v>0</v>
      </c>
      <c r="O664" t="n">
        <v>0</v>
      </c>
      <c r="P664" t="n">
        <v>0</v>
      </c>
      <c r="Q664" t="n">
        <v>0</v>
      </c>
      <c r="R664" s="2" t="inlineStr"/>
    </row>
    <row r="665" ht="15" customHeight="1">
      <c r="A665" t="inlineStr">
        <is>
          <t>A 56672-2023</t>
        </is>
      </c>
      <c r="B665" s="1" t="n">
        <v>45243.89579861111</v>
      </c>
      <c r="C665" s="1" t="n">
        <v>46000</v>
      </c>
      <c r="D665" t="inlineStr">
        <is>
          <t>DALARNAS LÄN</t>
        </is>
      </c>
      <c r="E665" t="inlineStr">
        <is>
          <t>LUDVIKA</t>
        </is>
      </c>
      <c r="G665" t="n">
        <v>2.9</v>
      </c>
      <c r="H665" t="n">
        <v>0</v>
      </c>
      <c r="I665" t="n">
        <v>0</v>
      </c>
      <c r="J665" t="n">
        <v>0</v>
      </c>
      <c r="K665" t="n">
        <v>0</v>
      </c>
      <c r="L665" t="n">
        <v>0</v>
      </c>
      <c r="M665" t="n">
        <v>0</v>
      </c>
      <c r="N665" t="n">
        <v>0</v>
      </c>
      <c r="O665" t="n">
        <v>0</v>
      </c>
      <c r="P665" t="n">
        <v>0</v>
      </c>
      <c r="Q665" t="n">
        <v>0</v>
      </c>
      <c r="R665" s="2" t="inlineStr"/>
    </row>
    <row r="666" ht="15" customHeight="1">
      <c r="A666" t="inlineStr">
        <is>
          <t>A 32305-2024</t>
        </is>
      </c>
      <c r="B666" s="1" t="n">
        <v>45512</v>
      </c>
      <c r="C666" s="1" t="n">
        <v>46000</v>
      </c>
      <c r="D666" t="inlineStr">
        <is>
          <t>DALARNAS LÄN</t>
        </is>
      </c>
      <c r="E666" t="inlineStr">
        <is>
          <t>LUDVIKA</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34555-2023</t>
        </is>
      </c>
      <c r="B667" s="1" t="n">
        <v>45140.50491898148</v>
      </c>
      <c r="C667" s="1" t="n">
        <v>46000</v>
      </c>
      <c r="D667" t="inlineStr">
        <is>
          <t>DALARNAS LÄN</t>
        </is>
      </c>
      <c r="E667" t="inlineStr">
        <is>
          <t>LUDVIKA</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61309-2022</t>
        </is>
      </c>
      <c r="B668" s="1" t="n">
        <v>44915.64177083333</v>
      </c>
      <c r="C668" s="1" t="n">
        <v>46000</v>
      </c>
      <c r="D668" t="inlineStr">
        <is>
          <t>DALARNAS LÄN</t>
        </is>
      </c>
      <c r="E668" t="inlineStr">
        <is>
          <t>LUDVIKA</t>
        </is>
      </c>
      <c r="F668" t="inlineStr">
        <is>
          <t>Bergvik skog väst AB</t>
        </is>
      </c>
      <c r="G668" t="n">
        <v>2.3</v>
      </c>
      <c r="H668" t="n">
        <v>0</v>
      </c>
      <c r="I668" t="n">
        <v>0</v>
      </c>
      <c r="J668" t="n">
        <v>0</v>
      </c>
      <c r="K668" t="n">
        <v>0</v>
      </c>
      <c r="L668" t="n">
        <v>0</v>
      </c>
      <c r="M668" t="n">
        <v>0</v>
      </c>
      <c r="N668" t="n">
        <v>0</v>
      </c>
      <c r="O668" t="n">
        <v>0</v>
      </c>
      <c r="P668" t="n">
        <v>0</v>
      </c>
      <c r="Q668" t="n">
        <v>0</v>
      </c>
      <c r="R668" s="2" t="inlineStr"/>
    </row>
    <row r="669" ht="15" customHeight="1">
      <c r="A669" t="inlineStr">
        <is>
          <t>A 29780-2024</t>
        </is>
      </c>
      <c r="B669" s="1" t="n">
        <v>45485.45513888889</v>
      </c>
      <c r="C669" s="1" t="n">
        <v>46000</v>
      </c>
      <c r="D669" t="inlineStr">
        <is>
          <t>DALARNAS LÄN</t>
        </is>
      </c>
      <c r="E669" t="inlineStr">
        <is>
          <t>LUDVIKA</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60788-2024</t>
        </is>
      </c>
      <c r="B670" s="1" t="n">
        <v>45644.59341435185</v>
      </c>
      <c r="C670" s="1" t="n">
        <v>46000</v>
      </c>
      <c r="D670" t="inlineStr">
        <is>
          <t>DALARNAS LÄN</t>
        </is>
      </c>
      <c r="E670" t="inlineStr">
        <is>
          <t>LUDVIKA</t>
        </is>
      </c>
      <c r="G670" t="n">
        <v>1.9</v>
      </c>
      <c r="H670" t="n">
        <v>0</v>
      </c>
      <c r="I670" t="n">
        <v>0</v>
      </c>
      <c r="J670" t="n">
        <v>0</v>
      </c>
      <c r="K670" t="n">
        <v>0</v>
      </c>
      <c r="L670" t="n">
        <v>0</v>
      </c>
      <c r="M670" t="n">
        <v>0</v>
      </c>
      <c r="N670" t="n">
        <v>0</v>
      </c>
      <c r="O670" t="n">
        <v>0</v>
      </c>
      <c r="P670" t="n">
        <v>0</v>
      </c>
      <c r="Q670" t="n">
        <v>0</v>
      </c>
      <c r="R670" s="2" t="inlineStr"/>
    </row>
    <row r="671" ht="15" customHeight="1">
      <c r="A671" t="inlineStr">
        <is>
          <t>A 43115-2021</t>
        </is>
      </c>
      <c r="B671" s="1" t="n">
        <v>44431.63481481482</v>
      </c>
      <c r="C671" s="1" t="n">
        <v>46000</v>
      </c>
      <c r="D671" t="inlineStr">
        <is>
          <t>DALARNAS LÄN</t>
        </is>
      </c>
      <c r="E671" t="inlineStr">
        <is>
          <t>LUDVIKA</t>
        </is>
      </c>
      <c r="G671" t="n">
        <v>3.5</v>
      </c>
      <c r="H671" t="n">
        <v>0</v>
      </c>
      <c r="I671" t="n">
        <v>0</v>
      </c>
      <c r="J671" t="n">
        <v>0</v>
      </c>
      <c r="K671" t="n">
        <v>0</v>
      </c>
      <c r="L671" t="n">
        <v>0</v>
      </c>
      <c r="M671" t="n">
        <v>0</v>
      </c>
      <c r="N671" t="n">
        <v>0</v>
      </c>
      <c r="O671" t="n">
        <v>0</v>
      </c>
      <c r="P671" t="n">
        <v>0</v>
      </c>
      <c r="Q671" t="n">
        <v>0</v>
      </c>
      <c r="R671" s="2" t="inlineStr"/>
    </row>
    <row r="672" ht="15" customHeight="1">
      <c r="A672" t="inlineStr">
        <is>
          <t>A 51043-2024</t>
        </is>
      </c>
      <c r="B672" s="1" t="n">
        <v>45603.43526620371</v>
      </c>
      <c r="C672" s="1" t="n">
        <v>46000</v>
      </c>
      <c r="D672" t="inlineStr">
        <is>
          <t>DALARNAS LÄN</t>
        </is>
      </c>
      <c r="E672" t="inlineStr">
        <is>
          <t>LUDVIKA</t>
        </is>
      </c>
      <c r="F672" t="inlineStr">
        <is>
          <t>Bergvik skog väst AB</t>
        </is>
      </c>
      <c r="G672" t="n">
        <v>17.9</v>
      </c>
      <c r="H672" t="n">
        <v>0</v>
      </c>
      <c r="I672" t="n">
        <v>0</v>
      </c>
      <c r="J672" t="n">
        <v>0</v>
      </c>
      <c r="K672" t="n">
        <v>0</v>
      </c>
      <c r="L672" t="n">
        <v>0</v>
      </c>
      <c r="M672" t="n">
        <v>0</v>
      </c>
      <c r="N672" t="n">
        <v>0</v>
      </c>
      <c r="O672" t="n">
        <v>0</v>
      </c>
      <c r="P672" t="n">
        <v>0</v>
      </c>
      <c r="Q672" t="n">
        <v>0</v>
      </c>
      <c r="R672" s="2" t="inlineStr"/>
    </row>
    <row r="673" ht="15" customHeight="1">
      <c r="A673" t="inlineStr">
        <is>
          <t>A 55034-2024</t>
        </is>
      </c>
      <c r="B673" s="1" t="n">
        <v>45621.38265046296</v>
      </c>
      <c r="C673" s="1" t="n">
        <v>46000</v>
      </c>
      <c r="D673" t="inlineStr">
        <is>
          <t>DALARNAS LÄN</t>
        </is>
      </c>
      <c r="E673" t="inlineStr">
        <is>
          <t>LUDVIKA</t>
        </is>
      </c>
      <c r="F673" t="inlineStr">
        <is>
          <t>Naturvårdsverket</t>
        </is>
      </c>
      <c r="G673" t="n">
        <v>6.6</v>
      </c>
      <c r="H673" t="n">
        <v>0</v>
      </c>
      <c r="I673" t="n">
        <v>0</v>
      </c>
      <c r="J673" t="n">
        <v>0</v>
      </c>
      <c r="K673" t="n">
        <v>0</v>
      </c>
      <c r="L673" t="n">
        <v>0</v>
      </c>
      <c r="M673" t="n">
        <v>0</v>
      </c>
      <c r="N673" t="n">
        <v>0</v>
      </c>
      <c r="O673" t="n">
        <v>0</v>
      </c>
      <c r="P673" t="n">
        <v>0</v>
      </c>
      <c r="Q673" t="n">
        <v>0</v>
      </c>
      <c r="R673" s="2" t="inlineStr"/>
    </row>
    <row r="674" ht="15" customHeight="1">
      <c r="A674" t="inlineStr">
        <is>
          <t>A 2614-2023</t>
        </is>
      </c>
      <c r="B674" s="1" t="n">
        <v>44942</v>
      </c>
      <c r="C674" s="1" t="n">
        <v>46000</v>
      </c>
      <c r="D674" t="inlineStr">
        <is>
          <t>DALARNAS LÄN</t>
        </is>
      </c>
      <c r="E674" t="inlineStr">
        <is>
          <t>LUDVIKA</t>
        </is>
      </c>
      <c r="G674" t="n">
        <v>13.1</v>
      </c>
      <c r="H674" t="n">
        <v>0</v>
      </c>
      <c r="I674" t="n">
        <v>0</v>
      </c>
      <c r="J674" t="n">
        <v>0</v>
      </c>
      <c r="K674" t="n">
        <v>0</v>
      </c>
      <c r="L674" t="n">
        <v>0</v>
      </c>
      <c r="M674" t="n">
        <v>0</v>
      </c>
      <c r="N674" t="n">
        <v>0</v>
      </c>
      <c r="O674" t="n">
        <v>0</v>
      </c>
      <c r="P674" t="n">
        <v>0</v>
      </c>
      <c r="Q674" t="n">
        <v>0</v>
      </c>
      <c r="R674" s="2" t="inlineStr"/>
    </row>
    <row r="675" ht="15" customHeight="1">
      <c r="A675" t="inlineStr">
        <is>
          <t>A 15100-2024</t>
        </is>
      </c>
      <c r="B675" s="1" t="n">
        <v>45399.66118055556</v>
      </c>
      <c r="C675" s="1" t="n">
        <v>46000</v>
      </c>
      <c r="D675" t="inlineStr">
        <is>
          <t>DALARNAS LÄN</t>
        </is>
      </c>
      <c r="E675" t="inlineStr">
        <is>
          <t>LUDVIKA</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2603-2024</t>
        </is>
      </c>
      <c r="B676" s="1" t="n">
        <v>45313.73107638889</v>
      </c>
      <c r="C676" s="1" t="n">
        <v>46000</v>
      </c>
      <c r="D676" t="inlineStr">
        <is>
          <t>DALARNAS LÄN</t>
        </is>
      </c>
      <c r="E676" t="inlineStr">
        <is>
          <t>LUDVIKA</t>
        </is>
      </c>
      <c r="G676" t="n">
        <v>0.8</v>
      </c>
      <c r="H676" t="n">
        <v>0</v>
      </c>
      <c r="I676" t="n">
        <v>0</v>
      </c>
      <c r="J676" t="n">
        <v>0</v>
      </c>
      <c r="K676" t="n">
        <v>0</v>
      </c>
      <c r="L676" t="n">
        <v>0</v>
      </c>
      <c r="M676" t="n">
        <v>0</v>
      </c>
      <c r="N676" t="n">
        <v>0</v>
      </c>
      <c r="O676" t="n">
        <v>0</v>
      </c>
      <c r="P676" t="n">
        <v>0</v>
      </c>
      <c r="Q676" t="n">
        <v>0</v>
      </c>
      <c r="R676" s="2" t="inlineStr"/>
    </row>
    <row r="677" ht="15" customHeight="1">
      <c r="A677" t="inlineStr">
        <is>
          <t>A 44534-2024</t>
        </is>
      </c>
      <c r="B677" s="1" t="n">
        <v>45574.45234953704</v>
      </c>
      <c r="C677" s="1" t="n">
        <v>46000</v>
      </c>
      <c r="D677" t="inlineStr">
        <is>
          <t>DALARNAS LÄN</t>
        </is>
      </c>
      <c r="E677" t="inlineStr">
        <is>
          <t>LUDVIKA</t>
        </is>
      </c>
      <c r="F677" t="inlineStr">
        <is>
          <t>Bergvik skog väst AB</t>
        </is>
      </c>
      <c r="G677" t="n">
        <v>1.1</v>
      </c>
      <c r="H677" t="n">
        <v>0</v>
      </c>
      <c r="I677" t="n">
        <v>0</v>
      </c>
      <c r="J677" t="n">
        <v>0</v>
      </c>
      <c r="K677" t="n">
        <v>0</v>
      </c>
      <c r="L677" t="n">
        <v>0</v>
      </c>
      <c r="M677" t="n">
        <v>0</v>
      </c>
      <c r="N677" t="n">
        <v>0</v>
      </c>
      <c r="O677" t="n">
        <v>0</v>
      </c>
      <c r="P677" t="n">
        <v>0</v>
      </c>
      <c r="Q677" t="n">
        <v>0</v>
      </c>
      <c r="R677" s="2" t="inlineStr"/>
    </row>
    <row r="678" ht="15" customHeight="1">
      <c r="A678" t="inlineStr">
        <is>
          <t>A 44537-2024</t>
        </is>
      </c>
      <c r="B678" s="1" t="n">
        <v>45574.45362268519</v>
      </c>
      <c r="C678" s="1" t="n">
        <v>46000</v>
      </c>
      <c r="D678" t="inlineStr">
        <is>
          <t>DALARNAS LÄN</t>
        </is>
      </c>
      <c r="E678" t="inlineStr">
        <is>
          <t>LUDVIKA</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32054-2021</t>
        </is>
      </c>
      <c r="B679" s="1" t="n">
        <v>44370</v>
      </c>
      <c r="C679" s="1" t="n">
        <v>46000</v>
      </c>
      <c r="D679" t="inlineStr">
        <is>
          <t>DALARNAS LÄN</t>
        </is>
      </c>
      <c r="E679" t="inlineStr">
        <is>
          <t>LUDVIKA</t>
        </is>
      </c>
      <c r="G679" t="n">
        <v>28.7</v>
      </c>
      <c r="H679" t="n">
        <v>0</v>
      </c>
      <c r="I679" t="n">
        <v>0</v>
      </c>
      <c r="J679" t="n">
        <v>0</v>
      </c>
      <c r="K679" t="n">
        <v>0</v>
      </c>
      <c r="L679" t="n">
        <v>0</v>
      </c>
      <c r="M679" t="n">
        <v>0</v>
      </c>
      <c r="N679" t="n">
        <v>0</v>
      </c>
      <c r="O679" t="n">
        <v>0</v>
      </c>
      <c r="P679" t="n">
        <v>0</v>
      </c>
      <c r="Q679" t="n">
        <v>0</v>
      </c>
      <c r="R679" s="2" t="inlineStr"/>
    </row>
    <row r="680" ht="15" customHeight="1">
      <c r="A680" t="inlineStr">
        <is>
          <t>A 52351-2024</t>
        </is>
      </c>
      <c r="B680" s="1" t="n">
        <v>45609</v>
      </c>
      <c r="C680" s="1" t="n">
        <v>46000</v>
      </c>
      <c r="D680" t="inlineStr">
        <is>
          <t>DALARNAS LÄN</t>
        </is>
      </c>
      <c r="E680" t="inlineStr">
        <is>
          <t>LUDVIKA</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33505-2021</t>
        </is>
      </c>
      <c r="B681" s="1" t="n">
        <v>44377</v>
      </c>
      <c r="C681" s="1" t="n">
        <v>46000</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16768-2025</t>
        </is>
      </c>
      <c r="B682" s="1" t="n">
        <v>45754</v>
      </c>
      <c r="C682" s="1" t="n">
        <v>46000</v>
      </c>
      <c r="D682" t="inlineStr">
        <is>
          <t>DALARNAS LÄN</t>
        </is>
      </c>
      <c r="E682" t="inlineStr">
        <is>
          <t>LUDVIKA</t>
        </is>
      </c>
      <c r="F682" t="inlineStr">
        <is>
          <t>Naturvårdsverket</t>
        </is>
      </c>
      <c r="G682" t="n">
        <v>4.8</v>
      </c>
      <c r="H682" t="n">
        <v>0</v>
      </c>
      <c r="I682" t="n">
        <v>0</v>
      </c>
      <c r="J682" t="n">
        <v>0</v>
      </c>
      <c r="K682" t="n">
        <v>0</v>
      </c>
      <c r="L682" t="n">
        <v>0</v>
      </c>
      <c r="M682" t="n">
        <v>0</v>
      </c>
      <c r="N682" t="n">
        <v>0</v>
      </c>
      <c r="O682" t="n">
        <v>0</v>
      </c>
      <c r="P682" t="n">
        <v>0</v>
      </c>
      <c r="Q682" t="n">
        <v>0</v>
      </c>
      <c r="R682" s="2" t="inlineStr"/>
    </row>
    <row r="683" ht="15" customHeight="1">
      <c r="A683" t="inlineStr">
        <is>
          <t>A 5970-2022</t>
        </is>
      </c>
      <c r="B683" s="1" t="n">
        <v>44599</v>
      </c>
      <c r="C683" s="1" t="n">
        <v>46000</v>
      </c>
      <c r="D683" t="inlineStr">
        <is>
          <t>DALARNAS LÄN</t>
        </is>
      </c>
      <c r="E683" t="inlineStr">
        <is>
          <t>LUDVIKA</t>
        </is>
      </c>
      <c r="G683" t="n">
        <v>8.4</v>
      </c>
      <c r="H683" t="n">
        <v>0</v>
      </c>
      <c r="I683" t="n">
        <v>0</v>
      </c>
      <c r="J683" t="n">
        <v>0</v>
      </c>
      <c r="K683" t="n">
        <v>0</v>
      </c>
      <c r="L683" t="n">
        <v>0</v>
      </c>
      <c r="M683" t="n">
        <v>0</v>
      </c>
      <c r="N683" t="n">
        <v>0</v>
      </c>
      <c r="O683" t="n">
        <v>0</v>
      </c>
      <c r="P683" t="n">
        <v>0</v>
      </c>
      <c r="Q683" t="n">
        <v>0</v>
      </c>
      <c r="R683" s="2" t="inlineStr"/>
    </row>
    <row r="684" ht="15" customHeight="1">
      <c r="A684" t="inlineStr">
        <is>
          <t>A 54096-2024</t>
        </is>
      </c>
      <c r="B684" s="1" t="n">
        <v>45616.51402777778</v>
      </c>
      <c r="C684" s="1" t="n">
        <v>46000</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56818-2023</t>
        </is>
      </c>
      <c r="B685" s="1" t="n">
        <v>45244.45287037037</v>
      </c>
      <c r="C685" s="1" t="n">
        <v>46000</v>
      </c>
      <c r="D685" t="inlineStr">
        <is>
          <t>DALARNAS LÄN</t>
        </is>
      </c>
      <c r="E685" t="inlineStr">
        <is>
          <t>LUDVIKA</t>
        </is>
      </c>
      <c r="G685" t="n">
        <v>1.4</v>
      </c>
      <c r="H685" t="n">
        <v>0</v>
      </c>
      <c r="I685" t="n">
        <v>0</v>
      </c>
      <c r="J685" t="n">
        <v>0</v>
      </c>
      <c r="K685" t="n">
        <v>0</v>
      </c>
      <c r="L685" t="n">
        <v>0</v>
      </c>
      <c r="M685" t="n">
        <v>0</v>
      </c>
      <c r="N685" t="n">
        <v>0</v>
      </c>
      <c r="O685" t="n">
        <v>0</v>
      </c>
      <c r="P685" t="n">
        <v>0</v>
      </c>
      <c r="Q685" t="n">
        <v>0</v>
      </c>
      <c r="R685" s="2" t="inlineStr"/>
    </row>
    <row r="686" ht="15" customHeight="1">
      <c r="A686" t="inlineStr">
        <is>
          <t>A 7173-2023</t>
        </is>
      </c>
      <c r="B686" s="1" t="n">
        <v>44970.50298611111</v>
      </c>
      <c r="C686" s="1" t="n">
        <v>46000</v>
      </c>
      <c r="D686" t="inlineStr">
        <is>
          <t>DALARNAS LÄN</t>
        </is>
      </c>
      <c r="E686" t="inlineStr">
        <is>
          <t>LUDVIKA</t>
        </is>
      </c>
      <c r="F686" t="inlineStr">
        <is>
          <t>Övriga Aktiebolag</t>
        </is>
      </c>
      <c r="G686" t="n">
        <v>1.2</v>
      </c>
      <c r="H686" t="n">
        <v>0</v>
      </c>
      <c r="I686" t="n">
        <v>0</v>
      </c>
      <c r="J686" t="n">
        <v>0</v>
      </c>
      <c r="K686" t="n">
        <v>0</v>
      </c>
      <c r="L686" t="n">
        <v>0</v>
      </c>
      <c r="M686" t="n">
        <v>0</v>
      </c>
      <c r="N686" t="n">
        <v>0</v>
      </c>
      <c r="O686" t="n">
        <v>0</v>
      </c>
      <c r="P686" t="n">
        <v>0</v>
      </c>
      <c r="Q686" t="n">
        <v>0</v>
      </c>
      <c r="R686" s="2" t="inlineStr"/>
    </row>
    <row r="687" ht="15" customHeight="1">
      <c r="A687" t="inlineStr">
        <is>
          <t>A 46656-2023</t>
        </is>
      </c>
      <c r="B687" s="1" t="n">
        <v>45198.46518518519</v>
      </c>
      <c r="C687" s="1" t="n">
        <v>46000</v>
      </c>
      <c r="D687" t="inlineStr">
        <is>
          <t>DALARNAS LÄN</t>
        </is>
      </c>
      <c r="E687" t="inlineStr">
        <is>
          <t>LUDVIKA</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4170-2025</t>
        </is>
      </c>
      <c r="B688" s="1" t="n">
        <v>45685.42325231482</v>
      </c>
      <c r="C688" s="1" t="n">
        <v>46000</v>
      </c>
      <c r="D688" t="inlineStr">
        <is>
          <t>DALARNAS LÄN</t>
        </is>
      </c>
      <c r="E688" t="inlineStr">
        <is>
          <t>LUDVIKA</t>
        </is>
      </c>
      <c r="G688" t="n">
        <v>0.9</v>
      </c>
      <c r="H688" t="n">
        <v>0</v>
      </c>
      <c r="I688" t="n">
        <v>0</v>
      </c>
      <c r="J688" t="n">
        <v>0</v>
      </c>
      <c r="K688" t="n">
        <v>0</v>
      </c>
      <c r="L688" t="n">
        <v>0</v>
      </c>
      <c r="M688" t="n">
        <v>0</v>
      </c>
      <c r="N688" t="n">
        <v>0</v>
      </c>
      <c r="O688" t="n">
        <v>0</v>
      </c>
      <c r="P688" t="n">
        <v>0</v>
      </c>
      <c r="Q688" t="n">
        <v>0</v>
      </c>
      <c r="R688" s="2" t="inlineStr"/>
    </row>
    <row r="689" ht="15" customHeight="1">
      <c r="A689" t="inlineStr">
        <is>
          <t>A 53620-2022</t>
        </is>
      </c>
      <c r="B689" s="1" t="n">
        <v>44879.81773148148</v>
      </c>
      <c r="C689" s="1" t="n">
        <v>46000</v>
      </c>
      <c r="D689" t="inlineStr">
        <is>
          <t>DALARNAS LÄN</t>
        </is>
      </c>
      <c r="E689" t="inlineStr">
        <is>
          <t>LUDVIKA</t>
        </is>
      </c>
      <c r="G689" t="n">
        <v>3.7</v>
      </c>
      <c r="H689" t="n">
        <v>0</v>
      </c>
      <c r="I689" t="n">
        <v>0</v>
      </c>
      <c r="J689" t="n">
        <v>0</v>
      </c>
      <c r="K689" t="n">
        <v>0</v>
      </c>
      <c r="L689" t="n">
        <v>0</v>
      </c>
      <c r="M689" t="n">
        <v>0</v>
      </c>
      <c r="N689" t="n">
        <v>0</v>
      </c>
      <c r="O689" t="n">
        <v>0</v>
      </c>
      <c r="P689" t="n">
        <v>0</v>
      </c>
      <c r="Q689" t="n">
        <v>0</v>
      </c>
      <c r="R689" s="2" t="inlineStr"/>
    </row>
    <row r="690" ht="15" customHeight="1">
      <c r="A690" t="inlineStr">
        <is>
          <t>A 41449-2024</t>
        </is>
      </c>
      <c r="B690" s="1" t="n">
        <v>45560.40314814815</v>
      </c>
      <c r="C690" s="1" t="n">
        <v>46000</v>
      </c>
      <c r="D690" t="inlineStr">
        <is>
          <t>DALARNAS LÄN</t>
        </is>
      </c>
      <c r="E690" t="inlineStr">
        <is>
          <t>LUDVIKA</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57969-2024</t>
        </is>
      </c>
      <c r="B691" s="1" t="n">
        <v>45631.60126157408</v>
      </c>
      <c r="C691" s="1" t="n">
        <v>46000</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39761-2022</t>
        </is>
      </c>
      <c r="B692" s="1" t="n">
        <v>44819.43425925926</v>
      </c>
      <c r="C692" s="1" t="n">
        <v>46000</v>
      </c>
      <c r="D692" t="inlineStr">
        <is>
          <t>DALARNAS LÄN</t>
        </is>
      </c>
      <c r="E692" t="inlineStr">
        <is>
          <t>LUDVIKA</t>
        </is>
      </c>
      <c r="F692" t="inlineStr">
        <is>
          <t>Naturvårdsverket</t>
        </is>
      </c>
      <c r="G692" t="n">
        <v>1</v>
      </c>
      <c r="H692" t="n">
        <v>0</v>
      </c>
      <c r="I692" t="n">
        <v>0</v>
      </c>
      <c r="J692" t="n">
        <v>0</v>
      </c>
      <c r="K692" t="n">
        <v>0</v>
      </c>
      <c r="L692" t="n">
        <v>0</v>
      </c>
      <c r="M692" t="n">
        <v>0</v>
      </c>
      <c r="N692" t="n">
        <v>0</v>
      </c>
      <c r="O692" t="n">
        <v>0</v>
      </c>
      <c r="P692" t="n">
        <v>0</v>
      </c>
      <c r="Q692" t="n">
        <v>0</v>
      </c>
      <c r="R692" s="2" t="inlineStr"/>
    </row>
    <row r="693" ht="15" customHeight="1">
      <c r="A693" t="inlineStr">
        <is>
          <t>A 21145-2023</t>
        </is>
      </c>
      <c r="B693" s="1" t="n">
        <v>45062.37524305555</v>
      </c>
      <c r="C693" s="1" t="n">
        <v>46000</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15851-2024</t>
        </is>
      </c>
      <c r="B694" s="1" t="n">
        <v>45404.89207175926</v>
      </c>
      <c r="C694" s="1" t="n">
        <v>46000</v>
      </c>
      <c r="D694" t="inlineStr">
        <is>
          <t>DALARNAS LÄN</t>
        </is>
      </c>
      <c r="E694" t="inlineStr">
        <is>
          <t>LUDVIKA</t>
        </is>
      </c>
      <c r="G694" t="n">
        <v>5.2</v>
      </c>
      <c r="H694" t="n">
        <v>0</v>
      </c>
      <c r="I694" t="n">
        <v>0</v>
      </c>
      <c r="J694" t="n">
        <v>0</v>
      </c>
      <c r="K694" t="n">
        <v>0</v>
      </c>
      <c r="L694" t="n">
        <v>0</v>
      </c>
      <c r="M694" t="n">
        <v>0</v>
      </c>
      <c r="N694" t="n">
        <v>0</v>
      </c>
      <c r="O694" t="n">
        <v>0</v>
      </c>
      <c r="P694" t="n">
        <v>0</v>
      </c>
      <c r="Q694" t="n">
        <v>0</v>
      </c>
      <c r="R694" s="2" t="inlineStr"/>
    </row>
    <row r="695" ht="15" customHeight="1">
      <c r="A695" t="inlineStr">
        <is>
          <t>A 41400-2022</t>
        </is>
      </c>
      <c r="B695" s="1" t="n">
        <v>44826</v>
      </c>
      <c r="C695" s="1" t="n">
        <v>46000</v>
      </c>
      <c r="D695" t="inlineStr">
        <is>
          <t>DALARNAS LÄN</t>
        </is>
      </c>
      <c r="E695" t="inlineStr">
        <is>
          <t>LUDVIKA</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9292-2021</t>
        </is>
      </c>
      <c r="B696" s="1" t="n">
        <v>44249</v>
      </c>
      <c r="C696" s="1" t="n">
        <v>46000</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48774-2024</t>
        </is>
      </c>
      <c r="B697" s="1" t="n">
        <v>45593</v>
      </c>
      <c r="C697" s="1" t="n">
        <v>46000</v>
      </c>
      <c r="D697" t="inlineStr">
        <is>
          <t>DALARNAS LÄN</t>
        </is>
      </c>
      <c r="E697" t="inlineStr">
        <is>
          <t>LUDVIKA</t>
        </is>
      </c>
      <c r="F697" t="inlineStr">
        <is>
          <t>Bergvik skog väst AB</t>
        </is>
      </c>
      <c r="G697" t="n">
        <v>5.7</v>
      </c>
      <c r="H697" t="n">
        <v>0</v>
      </c>
      <c r="I697" t="n">
        <v>0</v>
      </c>
      <c r="J697" t="n">
        <v>0</v>
      </c>
      <c r="K697" t="n">
        <v>0</v>
      </c>
      <c r="L697" t="n">
        <v>0</v>
      </c>
      <c r="M697" t="n">
        <v>0</v>
      </c>
      <c r="N697" t="n">
        <v>0</v>
      </c>
      <c r="O697" t="n">
        <v>0</v>
      </c>
      <c r="P697" t="n">
        <v>0</v>
      </c>
      <c r="Q697" t="n">
        <v>0</v>
      </c>
      <c r="R697" s="2" t="inlineStr"/>
    </row>
    <row r="698" ht="15" customHeight="1">
      <c r="A698" t="inlineStr">
        <is>
          <t>A 37392-2023</t>
        </is>
      </c>
      <c r="B698" s="1" t="n">
        <v>45156</v>
      </c>
      <c r="C698" s="1" t="n">
        <v>46000</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11436-2024</t>
        </is>
      </c>
      <c r="B699" s="1" t="n">
        <v>45372.5358912037</v>
      </c>
      <c r="C699" s="1" t="n">
        <v>46000</v>
      </c>
      <c r="D699" t="inlineStr">
        <is>
          <t>DALARNAS LÄN</t>
        </is>
      </c>
      <c r="E699" t="inlineStr">
        <is>
          <t>LUDVIKA</t>
        </is>
      </c>
      <c r="G699" t="n">
        <v>0.5</v>
      </c>
      <c r="H699" t="n">
        <v>0</v>
      </c>
      <c r="I699" t="n">
        <v>0</v>
      </c>
      <c r="J699" t="n">
        <v>0</v>
      </c>
      <c r="K699" t="n">
        <v>0</v>
      </c>
      <c r="L699" t="n">
        <v>0</v>
      </c>
      <c r="M699" t="n">
        <v>0</v>
      </c>
      <c r="N699" t="n">
        <v>0</v>
      </c>
      <c r="O699" t="n">
        <v>0</v>
      </c>
      <c r="P699" t="n">
        <v>0</v>
      </c>
      <c r="Q699" t="n">
        <v>0</v>
      </c>
      <c r="R699" s="2" t="inlineStr"/>
    </row>
    <row r="700" ht="15" customHeight="1">
      <c r="A700" t="inlineStr">
        <is>
          <t>A 40142-2022</t>
        </is>
      </c>
      <c r="B700" s="1" t="n">
        <v>44820.5415162037</v>
      </c>
      <c r="C700" s="1" t="n">
        <v>46000</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40151-2022</t>
        </is>
      </c>
      <c r="B701" s="1" t="n">
        <v>44820.55396990741</v>
      </c>
      <c r="C701" s="1" t="n">
        <v>46000</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21741-2022</t>
        </is>
      </c>
      <c r="B702" s="1" t="n">
        <v>44708.380625</v>
      </c>
      <c r="C702" s="1" t="n">
        <v>46000</v>
      </c>
      <c r="D702" t="inlineStr">
        <is>
          <t>DALARNAS LÄN</t>
        </is>
      </c>
      <c r="E702" t="inlineStr">
        <is>
          <t>LUDVIKA</t>
        </is>
      </c>
      <c r="F702" t="inlineStr">
        <is>
          <t>Bergvik skog väst AB</t>
        </is>
      </c>
      <c r="G702" t="n">
        <v>2.7</v>
      </c>
      <c r="H702" t="n">
        <v>0</v>
      </c>
      <c r="I702" t="n">
        <v>0</v>
      </c>
      <c r="J702" t="n">
        <v>0</v>
      </c>
      <c r="K702" t="n">
        <v>0</v>
      </c>
      <c r="L702" t="n">
        <v>0</v>
      </c>
      <c r="M702" t="n">
        <v>0</v>
      </c>
      <c r="N702" t="n">
        <v>0</v>
      </c>
      <c r="O702" t="n">
        <v>0</v>
      </c>
      <c r="P702" t="n">
        <v>0</v>
      </c>
      <c r="Q702" t="n">
        <v>0</v>
      </c>
      <c r="R702" s="2" t="inlineStr"/>
    </row>
    <row r="703" ht="15" customHeight="1">
      <c r="A703" t="inlineStr">
        <is>
          <t>A 51015-2023</t>
        </is>
      </c>
      <c r="B703" s="1" t="n">
        <v>45218.58079861111</v>
      </c>
      <c r="C703" s="1" t="n">
        <v>46000</v>
      </c>
      <c r="D703" t="inlineStr">
        <is>
          <t>DALARNAS LÄN</t>
        </is>
      </c>
      <c r="E703" t="inlineStr">
        <is>
          <t>LUDVIKA</t>
        </is>
      </c>
      <c r="G703" t="n">
        <v>5.9</v>
      </c>
      <c r="H703" t="n">
        <v>0</v>
      </c>
      <c r="I703" t="n">
        <v>0</v>
      </c>
      <c r="J703" t="n">
        <v>0</v>
      </c>
      <c r="K703" t="n">
        <v>0</v>
      </c>
      <c r="L703" t="n">
        <v>0</v>
      </c>
      <c r="M703" t="n">
        <v>0</v>
      </c>
      <c r="N703" t="n">
        <v>0</v>
      </c>
      <c r="O703" t="n">
        <v>0</v>
      </c>
      <c r="P703" t="n">
        <v>0</v>
      </c>
      <c r="Q703" t="n">
        <v>0</v>
      </c>
      <c r="R703" s="2" t="inlineStr"/>
    </row>
    <row r="704" ht="15" customHeight="1">
      <c r="A704" t="inlineStr">
        <is>
          <t>A 58072-2024</t>
        </is>
      </c>
      <c r="B704" s="1" t="n">
        <v>45632.01575231482</v>
      </c>
      <c r="C704" s="1" t="n">
        <v>46000</v>
      </c>
      <c r="D704" t="inlineStr">
        <is>
          <t>DALARNAS LÄN</t>
        </is>
      </c>
      <c r="E704" t="inlineStr">
        <is>
          <t>LUDVIKA</t>
        </is>
      </c>
      <c r="G704" t="n">
        <v>0.8</v>
      </c>
      <c r="H704" t="n">
        <v>0</v>
      </c>
      <c r="I704" t="n">
        <v>0</v>
      </c>
      <c r="J704" t="n">
        <v>0</v>
      </c>
      <c r="K704" t="n">
        <v>0</v>
      </c>
      <c r="L704" t="n">
        <v>0</v>
      </c>
      <c r="M704" t="n">
        <v>0</v>
      </c>
      <c r="N704" t="n">
        <v>0</v>
      </c>
      <c r="O704" t="n">
        <v>0</v>
      </c>
      <c r="P704" t="n">
        <v>0</v>
      </c>
      <c r="Q704" t="n">
        <v>0</v>
      </c>
      <c r="R704" s="2" t="inlineStr"/>
    </row>
    <row r="705" ht="15" customHeight="1">
      <c r="A705" t="inlineStr">
        <is>
          <t>A 58090-2024</t>
        </is>
      </c>
      <c r="B705" s="1" t="n">
        <v>45632.35070601852</v>
      </c>
      <c r="C705" s="1" t="n">
        <v>46000</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56621-2023</t>
        </is>
      </c>
      <c r="B706" s="1" t="n">
        <v>45243.68557870371</v>
      </c>
      <c r="C706" s="1" t="n">
        <v>46000</v>
      </c>
      <c r="D706" t="inlineStr">
        <is>
          <t>DALARNAS LÄN</t>
        </is>
      </c>
      <c r="E706" t="inlineStr">
        <is>
          <t>LUDVIKA</t>
        </is>
      </c>
      <c r="G706" t="n">
        <v>0.5</v>
      </c>
      <c r="H706" t="n">
        <v>0</v>
      </c>
      <c r="I706" t="n">
        <v>0</v>
      </c>
      <c r="J706" t="n">
        <v>0</v>
      </c>
      <c r="K706" t="n">
        <v>0</v>
      </c>
      <c r="L706" t="n">
        <v>0</v>
      </c>
      <c r="M706" t="n">
        <v>0</v>
      </c>
      <c r="N706" t="n">
        <v>0</v>
      </c>
      <c r="O706" t="n">
        <v>0</v>
      </c>
      <c r="P706" t="n">
        <v>0</v>
      </c>
      <c r="Q706" t="n">
        <v>0</v>
      </c>
      <c r="R706" s="2" t="inlineStr"/>
    </row>
    <row r="707" ht="15" customHeight="1">
      <c r="A707" t="inlineStr">
        <is>
          <t>A 41616-2024</t>
        </is>
      </c>
      <c r="B707" s="1" t="n">
        <v>45560.59856481481</v>
      </c>
      <c r="C707" s="1" t="n">
        <v>46000</v>
      </c>
      <c r="D707" t="inlineStr">
        <is>
          <t>DALARNAS LÄN</t>
        </is>
      </c>
      <c r="E707" t="inlineStr">
        <is>
          <t>LUDVIKA</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33345-2024</t>
        </is>
      </c>
      <c r="B708" s="1" t="n">
        <v>45519</v>
      </c>
      <c r="C708" s="1" t="n">
        <v>46000</v>
      </c>
      <c r="D708" t="inlineStr">
        <is>
          <t>DALARNAS LÄN</t>
        </is>
      </c>
      <c r="E708" t="inlineStr">
        <is>
          <t>LUDVIKA</t>
        </is>
      </c>
      <c r="G708" t="n">
        <v>0.5</v>
      </c>
      <c r="H708" t="n">
        <v>0</v>
      </c>
      <c r="I708" t="n">
        <v>0</v>
      </c>
      <c r="J708" t="n">
        <v>0</v>
      </c>
      <c r="K708" t="n">
        <v>0</v>
      </c>
      <c r="L708" t="n">
        <v>0</v>
      </c>
      <c r="M708" t="n">
        <v>0</v>
      </c>
      <c r="N708" t="n">
        <v>0</v>
      </c>
      <c r="O708" t="n">
        <v>0</v>
      </c>
      <c r="P708" t="n">
        <v>0</v>
      </c>
      <c r="Q708" t="n">
        <v>0</v>
      </c>
      <c r="R708" s="2" t="inlineStr"/>
    </row>
    <row r="709" ht="15" customHeight="1">
      <c r="A709" t="inlineStr">
        <is>
          <t>A 22555-2023</t>
        </is>
      </c>
      <c r="B709" s="1" t="n">
        <v>45071.44364583334</v>
      </c>
      <c r="C709" s="1" t="n">
        <v>46000</v>
      </c>
      <c r="D709" t="inlineStr">
        <is>
          <t>DALARNAS LÄN</t>
        </is>
      </c>
      <c r="E709" t="inlineStr">
        <is>
          <t>LUDVIKA</t>
        </is>
      </c>
      <c r="F709" t="inlineStr">
        <is>
          <t>Bergvik skog väst AB</t>
        </is>
      </c>
      <c r="G709" t="n">
        <v>6</v>
      </c>
      <c r="H709" t="n">
        <v>0</v>
      </c>
      <c r="I709" t="n">
        <v>0</v>
      </c>
      <c r="J709" t="n">
        <v>0</v>
      </c>
      <c r="K709" t="n">
        <v>0</v>
      </c>
      <c r="L709" t="n">
        <v>0</v>
      </c>
      <c r="M709" t="n">
        <v>0</v>
      </c>
      <c r="N709" t="n">
        <v>0</v>
      </c>
      <c r="O709" t="n">
        <v>0</v>
      </c>
      <c r="P709" t="n">
        <v>0</v>
      </c>
      <c r="Q709" t="n">
        <v>0</v>
      </c>
      <c r="R709" s="2" t="inlineStr"/>
    </row>
    <row r="710" ht="15" customHeight="1">
      <c r="A710" t="inlineStr">
        <is>
          <t>A 47671-2024</t>
        </is>
      </c>
      <c r="B710" s="1" t="n">
        <v>45588.39844907408</v>
      </c>
      <c r="C710" s="1" t="n">
        <v>46000</v>
      </c>
      <c r="D710" t="inlineStr">
        <is>
          <t>DALARNAS LÄN</t>
        </is>
      </c>
      <c r="E710" t="inlineStr">
        <is>
          <t>LUDVIKA</t>
        </is>
      </c>
      <c r="G710" t="n">
        <v>2.9</v>
      </c>
      <c r="H710" t="n">
        <v>0</v>
      </c>
      <c r="I710" t="n">
        <v>0</v>
      </c>
      <c r="J710" t="n">
        <v>0</v>
      </c>
      <c r="K710" t="n">
        <v>0</v>
      </c>
      <c r="L710" t="n">
        <v>0</v>
      </c>
      <c r="M710" t="n">
        <v>0</v>
      </c>
      <c r="N710" t="n">
        <v>0</v>
      </c>
      <c r="O710" t="n">
        <v>0</v>
      </c>
      <c r="P710" t="n">
        <v>0</v>
      </c>
      <c r="Q710" t="n">
        <v>0</v>
      </c>
      <c r="R710" s="2" t="inlineStr"/>
    </row>
    <row r="711" ht="15" customHeight="1">
      <c r="A711" t="inlineStr">
        <is>
          <t>A 59634-2024</t>
        </is>
      </c>
      <c r="B711" s="1" t="n">
        <v>45638.99978009259</v>
      </c>
      <c r="C711" s="1" t="n">
        <v>46000</v>
      </c>
      <c r="D711" t="inlineStr">
        <is>
          <t>DALARNAS LÄN</t>
        </is>
      </c>
      <c r="E711" t="inlineStr">
        <is>
          <t>LUDVIKA</t>
        </is>
      </c>
      <c r="G711" t="n">
        <v>4.1</v>
      </c>
      <c r="H711" t="n">
        <v>0</v>
      </c>
      <c r="I711" t="n">
        <v>0</v>
      </c>
      <c r="J711" t="n">
        <v>0</v>
      </c>
      <c r="K711" t="n">
        <v>0</v>
      </c>
      <c r="L711" t="n">
        <v>0</v>
      </c>
      <c r="M711" t="n">
        <v>0</v>
      </c>
      <c r="N711" t="n">
        <v>0</v>
      </c>
      <c r="O711" t="n">
        <v>0</v>
      </c>
      <c r="P711" t="n">
        <v>0</v>
      </c>
      <c r="Q711" t="n">
        <v>0</v>
      </c>
      <c r="R711" s="2" t="inlineStr"/>
    </row>
    <row r="712" ht="15" customHeight="1">
      <c r="A712" t="inlineStr">
        <is>
          <t>A 55218-2024</t>
        </is>
      </c>
      <c r="B712" s="1" t="n">
        <v>45621.57195601852</v>
      </c>
      <c r="C712" s="1" t="n">
        <v>46000</v>
      </c>
      <c r="D712" t="inlineStr">
        <is>
          <t>DALARNAS LÄN</t>
        </is>
      </c>
      <c r="E712" t="inlineStr">
        <is>
          <t>LUDVIKA</t>
        </is>
      </c>
      <c r="F712" t="inlineStr">
        <is>
          <t>Naturvårdsverket</t>
        </is>
      </c>
      <c r="G712" t="n">
        <v>1.6</v>
      </c>
      <c r="H712" t="n">
        <v>0</v>
      </c>
      <c r="I712" t="n">
        <v>0</v>
      </c>
      <c r="J712" t="n">
        <v>0</v>
      </c>
      <c r="K712" t="n">
        <v>0</v>
      </c>
      <c r="L712" t="n">
        <v>0</v>
      </c>
      <c r="M712" t="n">
        <v>0</v>
      </c>
      <c r="N712" t="n">
        <v>0</v>
      </c>
      <c r="O712" t="n">
        <v>0</v>
      </c>
      <c r="P712" t="n">
        <v>0</v>
      </c>
      <c r="Q712" t="n">
        <v>0</v>
      </c>
      <c r="R712" s="2" t="inlineStr"/>
    </row>
    <row r="713" ht="15" customHeight="1">
      <c r="A713" t="inlineStr">
        <is>
          <t>A 3280-2024</t>
        </is>
      </c>
      <c r="B713" s="1" t="n">
        <v>45317</v>
      </c>
      <c r="C713" s="1" t="n">
        <v>46000</v>
      </c>
      <c r="D713" t="inlineStr">
        <is>
          <t>DALARNAS LÄN</t>
        </is>
      </c>
      <c r="E713" t="inlineStr">
        <is>
          <t>LUDVIKA</t>
        </is>
      </c>
      <c r="G713" t="n">
        <v>0.4</v>
      </c>
      <c r="H713" t="n">
        <v>0</v>
      </c>
      <c r="I713" t="n">
        <v>0</v>
      </c>
      <c r="J713" t="n">
        <v>0</v>
      </c>
      <c r="K713" t="n">
        <v>0</v>
      </c>
      <c r="L713" t="n">
        <v>0</v>
      </c>
      <c r="M713" t="n">
        <v>0</v>
      </c>
      <c r="N713" t="n">
        <v>0</v>
      </c>
      <c r="O713" t="n">
        <v>0</v>
      </c>
      <c r="P713" t="n">
        <v>0</v>
      </c>
      <c r="Q713" t="n">
        <v>0</v>
      </c>
      <c r="R713" s="2" t="inlineStr"/>
    </row>
    <row r="714" ht="15" customHeight="1">
      <c r="A714" t="inlineStr">
        <is>
          <t>A 3470-2025</t>
        </is>
      </c>
      <c r="B714" s="1" t="n">
        <v>45680.5206712963</v>
      </c>
      <c r="C714" s="1" t="n">
        <v>46000</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45205.5616087963</v>
      </c>
      <c r="C715" s="1" t="n">
        <v>46000</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2838-2022</t>
        </is>
      </c>
      <c r="B716" s="1" t="n">
        <v>44581</v>
      </c>
      <c r="C716" s="1" t="n">
        <v>46000</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51029-2024</t>
        </is>
      </c>
      <c r="B717" s="1" t="n">
        <v>45603.42096064815</v>
      </c>
      <c r="C717" s="1" t="n">
        <v>46000</v>
      </c>
      <c r="D717" t="inlineStr">
        <is>
          <t>DALARNAS LÄN</t>
        </is>
      </c>
      <c r="E717" t="inlineStr">
        <is>
          <t>LUDVIKA</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40125-2024</t>
        </is>
      </c>
      <c r="B718" s="1" t="n">
        <v>45554.46881944445</v>
      </c>
      <c r="C718" s="1" t="n">
        <v>46000</v>
      </c>
      <c r="D718" t="inlineStr">
        <is>
          <t>DALARNAS LÄN</t>
        </is>
      </c>
      <c r="E718" t="inlineStr">
        <is>
          <t>LUDVIKA</t>
        </is>
      </c>
      <c r="G718" t="n">
        <v>1</v>
      </c>
      <c r="H718" t="n">
        <v>0</v>
      </c>
      <c r="I718" t="n">
        <v>0</v>
      </c>
      <c r="J718" t="n">
        <v>0</v>
      </c>
      <c r="K718" t="n">
        <v>0</v>
      </c>
      <c r="L718" t="n">
        <v>0</v>
      </c>
      <c r="M718" t="n">
        <v>0</v>
      </c>
      <c r="N718" t="n">
        <v>0</v>
      </c>
      <c r="O718" t="n">
        <v>0</v>
      </c>
      <c r="P718" t="n">
        <v>0</v>
      </c>
      <c r="Q718" t="n">
        <v>0</v>
      </c>
      <c r="R718" s="2" t="inlineStr"/>
    </row>
    <row r="719" ht="15" customHeight="1">
      <c r="A719" t="inlineStr">
        <is>
          <t>A 59206-2023</t>
        </is>
      </c>
      <c r="B719" s="1" t="n">
        <v>45253.47579861111</v>
      </c>
      <c r="C719" s="1" t="n">
        <v>46000</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52230-2023</t>
        </is>
      </c>
      <c r="B720" s="1" t="n">
        <v>45224</v>
      </c>
      <c r="C720" s="1" t="n">
        <v>46000</v>
      </c>
      <c r="D720" t="inlineStr">
        <is>
          <t>DALARNAS LÄN</t>
        </is>
      </c>
      <c r="E720" t="inlineStr">
        <is>
          <t>LUDVIKA</t>
        </is>
      </c>
      <c r="G720" t="n">
        <v>3.5</v>
      </c>
      <c r="H720" t="n">
        <v>0</v>
      </c>
      <c r="I720" t="n">
        <v>0</v>
      </c>
      <c r="J720" t="n">
        <v>0</v>
      </c>
      <c r="K720" t="n">
        <v>0</v>
      </c>
      <c r="L720" t="n">
        <v>0</v>
      </c>
      <c r="M720" t="n">
        <v>0</v>
      </c>
      <c r="N720" t="n">
        <v>0</v>
      </c>
      <c r="O720" t="n">
        <v>0</v>
      </c>
      <c r="P720" t="n">
        <v>0</v>
      </c>
      <c r="Q720" t="n">
        <v>0</v>
      </c>
      <c r="R720" s="2" t="inlineStr"/>
    </row>
    <row r="721" ht="15" customHeight="1">
      <c r="A721" t="inlineStr">
        <is>
          <t>A 43839-2023</t>
        </is>
      </c>
      <c r="B721" s="1" t="n">
        <v>45187.58707175926</v>
      </c>
      <c r="C721" s="1" t="n">
        <v>46000</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58071-2024</t>
        </is>
      </c>
      <c r="B722" s="1" t="n">
        <v>45631.99221064815</v>
      </c>
      <c r="C722" s="1" t="n">
        <v>46000</v>
      </c>
      <c r="D722" t="inlineStr">
        <is>
          <t>DALARNAS LÄN</t>
        </is>
      </c>
      <c r="E722" t="inlineStr">
        <is>
          <t>LUDVIKA</t>
        </is>
      </c>
      <c r="G722" t="n">
        <v>1.6</v>
      </c>
      <c r="H722" t="n">
        <v>0</v>
      </c>
      <c r="I722" t="n">
        <v>0</v>
      </c>
      <c r="J722" t="n">
        <v>0</v>
      </c>
      <c r="K722" t="n">
        <v>0</v>
      </c>
      <c r="L722" t="n">
        <v>0</v>
      </c>
      <c r="M722" t="n">
        <v>0</v>
      </c>
      <c r="N722" t="n">
        <v>0</v>
      </c>
      <c r="O722" t="n">
        <v>0</v>
      </c>
      <c r="P722" t="n">
        <v>0</v>
      </c>
      <c r="Q722" t="n">
        <v>0</v>
      </c>
      <c r="R722" s="2" t="inlineStr"/>
    </row>
    <row r="723" ht="15" customHeight="1">
      <c r="A723" t="inlineStr">
        <is>
          <t>A 30113-2023</t>
        </is>
      </c>
      <c r="B723" s="1" t="n">
        <v>45110</v>
      </c>
      <c r="C723" s="1" t="n">
        <v>46000</v>
      </c>
      <c r="D723" t="inlineStr">
        <is>
          <t>DALARNAS LÄN</t>
        </is>
      </c>
      <c r="E723" t="inlineStr">
        <is>
          <t>LUDVIKA</t>
        </is>
      </c>
      <c r="G723" t="n">
        <v>3.3</v>
      </c>
      <c r="H723" t="n">
        <v>0</v>
      </c>
      <c r="I723" t="n">
        <v>0</v>
      </c>
      <c r="J723" t="n">
        <v>0</v>
      </c>
      <c r="K723" t="n">
        <v>0</v>
      </c>
      <c r="L723" t="n">
        <v>0</v>
      </c>
      <c r="M723" t="n">
        <v>0</v>
      </c>
      <c r="N723" t="n">
        <v>0</v>
      </c>
      <c r="O723" t="n">
        <v>0</v>
      </c>
      <c r="P723" t="n">
        <v>0</v>
      </c>
      <c r="Q723" t="n">
        <v>0</v>
      </c>
      <c r="R723" s="2" t="inlineStr"/>
    </row>
    <row r="724" ht="15" customHeight="1">
      <c r="A724" t="inlineStr">
        <is>
          <t>A 25273-2022</t>
        </is>
      </c>
      <c r="B724" s="1" t="n">
        <v>44729.99359953704</v>
      </c>
      <c r="C724" s="1" t="n">
        <v>46000</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5673-2023</t>
        </is>
      </c>
      <c r="B725" s="1" t="n">
        <v>44960.65702546296</v>
      </c>
      <c r="C725" s="1" t="n">
        <v>46000</v>
      </c>
      <c r="D725" t="inlineStr">
        <is>
          <t>DALARNAS LÄN</t>
        </is>
      </c>
      <c r="E725" t="inlineStr">
        <is>
          <t>LUDVIKA</t>
        </is>
      </c>
      <c r="F725" t="inlineStr">
        <is>
          <t>Naturvårdsverket</t>
        </is>
      </c>
      <c r="G725" t="n">
        <v>0.7</v>
      </c>
      <c r="H725" t="n">
        <v>0</v>
      </c>
      <c r="I725" t="n">
        <v>0</v>
      </c>
      <c r="J725" t="n">
        <v>0</v>
      </c>
      <c r="K725" t="n">
        <v>0</v>
      </c>
      <c r="L725" t="n">
        <v>0</v>
      </c>
      <c r="M725" t="n">
        <v>0</v>
      </c>
      <c r="N725" t="n">
        <v>0</v>
      </c>
      <c r="O725" t="n">
        <v>0</v>
      </c>
      <c r="P725" t="n">
        <v>0</v>
      </c>
      <c r="Q725" t="n">
        <v>0</v>
      </c>
      <c r="R725" s="2" t="inlineStr"/>
    </row>
    <row r="726" ht="15" customHeight="1">
      <c r="A726" t="inlineStr">
        <is>
          <t>A 6975-2023</t>
        </is>
      </c>
      <c r="B726" s="1" t="n">
        <v>44967.64229166666</v>
      </c>
      <c r="C726" s="1" t="n">
        <v>46000</v>
      </c>
      <c r="D726" t="inlineStr">
        <is>
          <t>DALARNAS LÄN</t>
        </is>
      </c>
      <c r="E726" t="inlineStr">
        <is>
          <t>LUDVIKA</t>
        </is>
      </c>
      <c r="G726" t="n">
        <v>2.1</v>
      </c>
      <c r="H726" t="n">
        <v>0</v>
      </c>
      <c r="I726" t="n">
        <v>0</v>
      </c>
      <c r="J726" t="n">
        <v>0</v>
      </c>
      <c r="K726" t="n">
        <v>0</v>
      </c>
      <c r="L726" t="n">
        <v>0</v>
      </c>
      <c r="M726" t="n">
        <v>0</v>
      </c>
      <c r="N726" t="n">
        <v>0</v>
      </c>
      <c r="O726" t="n">
        <v>0</v>
      </c>
      <c r="P726" t="n">
        <v>0</v>
      </c>
      <c r="Q726" t="n">
        <v>0</v>
      </c>
      <c r="R726" s="2" t="inlineStr"/>
    </row>
    <row r="727" ht="15" customHeight="1">
      <c r="A727" t="inlineStr">
        <is>
          <t>A 69165-2020</t>
        </is>
      </c>
      <c r="B727" s="1" t="n">
        <v>44188</v>
      </c>
      <c r="C727" s="1" t="n">
        <v>46000</v>
      </c>
      <c r="D727" t="inlineStr">
        <is>
          <t>DALARNAS LÄN</t>
        </is>
      </c>
      <c r="E727" t="inlineStr">
        <is>
          <t>LUDVIKA</t>
        </is>
      </c>
      <c r="F727" t="inlineStr">
        <is>
          <t>Kommuner</t>
        </is>
      </c>
      <c r="G727" t="n">
        <v>1.4</v>
      </c>
      <c r="H727" t="n">
        <v>0</v>
      </c>
      <c r="I727" t="n">
        <v>0</v>
      </c>
      <c r="J727" t="n">
        <v>0</v>
      </c>
      <c r="K727" t="n">
        <v>0</v>
      </c>
      <c r="L727" t="n">
        <v>0</v>
      </c>
      <c r="M727" t="n">
        <v>0</v>
      </c>
      <c r="N727" t="n">
        <v>0</v>
      </c>
      <c r="O727" t="n">
        <v>0</v>
      </c>
      <c r="P727" t="n">
        <v>0</v>
      </c>
      <c r="Q727" t="n">
        <v>0</v>
      </c>
      <c r="R727" s="2" t="inlineStr"/>
    </row>
    <row r="728" ht="15" customHeight="1">
      <c r="A728" t="inlineStr">
        <is>
          <t>A 60138-2023</t>
        </is>
      </c>
      <c r="B728" s="1" t="n">
        <v>45258.49928240741</v>
      </c>
      <c r="C728" s="1" t="n">
        <v>46000</v>
      </c>
      <c r="D728" t="inlineStr">
        <is>
          <t>DALARNAS LÄN</t>
        </is>
      </c>
      <c r="E728" t="inlineStr">
        <is>
          <t>LUDVIKA</t>
        </is>
      </c>
      <c r="G728" t="n">
        <v>1.3</v>
      </c>
      <c r="H728" t="n">
        <v>0</v>
      </c>
      <c r="I728" t="n">
        <v>0</v>
      </c>
      <c r="J728" t="n">
        <v>0</v>
      </c>
      <c r="K728" t="n">
        <v>0</v>
      </c>
      <c r="L728" t="n">
        <v>0</v>
      </c>
      <c r="M728" t="n">
        <v>0</v>
      </c>
      <c r="N728" t="n">
        <v>0</v>
      </c>
      <c r="O728" t="n">
        <v>0</v>
      </c>
      <c r="P728" t="n">
        <v>0</v>
      </c>
      <c r="Q728" t="n">
        <v>0</v>
      </c>
      <c r="R728" s="2" t="inlineStr"/>
    </row>
    <row r="729" ht="15" customHeight="1">
      <c r="A729" t="inlineStr">
        <is>
          <t>A 50529-2024</t>
        </is>
      </c>
      <c r="B729" s="1" t="n">
        <v>45601.56384259259</v>
      </c>
      <c r="C729" s="1" t="n">
        <v>46000</v>
      </c>
      <c r="D729" t="inlineStr">
        <is>
          <t>DALARNAS LÄN</t>
        </is>
      </c>
      <c r="E729" t="inlineStr">
        <is>
          <t>LUDVIKA</t>
        </is>
      </c>
      <c r="G729" t="n">
        <v>0.2</v>
      </c>
      <c r="H729" t="n">
        <v>0</v>
      </c>
      <c r="I729" t="n">
        <v>0</v>
      </c>
      <c r="J729" t="n">
        <v>0</v>
      </c>
      <c r="K729" t="n">
        <v>0</v>
      </c>
      <c r="L729" t="n">
        <v>0</v>
      </c>
      <c r="M729" t="n">
        <v>0</v>
      </c>
      <c r="N729" t="n">
        <v>0</v>
      </c>
      <c r="O729" t="n">
        <v>0</v>
      </c>
      <c r="P729" t="n">
        <v>0</v>
      </c>
      <c r="Q729" t="n">
        <v>0</v>
      </c>
      <c r="R729" s="2" t="inlineStr"/>
    </row>
    <row r="730" ht="15" customHeight="1">
      <c r="A730" t="inlineStr">
        <is>
          <t>A 35354-2024</t>
        </is>
      </c>
      <c r="B730" s="1" t="n">
        <v>45531.30974537037</v>
      </c>
      <c r="C730" s="1" t="n">
        <v>46000</v>
      </c>
      <c r="D730" t="inlineStr">
        <is>
          <t>DALARNAS LÄN</t>
        </is>
      </c>
      <c r="E730" t="inlineStr">
        <is>
          <t>LUDVIKA</t>
        </is>
      </c>
      <c r="F730" t="inlineStr">
        <is>
          <t>Bergvik skog väst AB</t>
        </is>
      </c>
      <c r="G730" t="n">
        <v>2</v>
      </c>
      <c r="H730" t="n">
        <v>0</v>
      </c>
      <c r="I730" t="n">
        <v>0</v>
      </c>
      <c r="J730" t="n">
        <v>0</v>
      </c>
      <c r="K730" t="n">
        <v>0</v>
      </c>
      <c r="L730" t="n">
        <v>0</v>
      </c>
      <c r="M730" t="n">
        <v>0</v>
      </c>
      <c r="N730" t="n">
        <v>0</v>
      </c>
      <c r="O730" t="n">
        <v>0</v>
      </c>
      <c r="P730" t="n">
        <v>0</v>
      </c>
      <c r="Q730" t="n">
        <v>0</v>
      </c>
      <c r="R730" s="2" t="inlineStr"/>
    </row>
    <row r="731" ht="15" customHeight="1">
      <c r="A731" t="inlineStr">
        <is>
          <t>A 48615-2023</t>
        </is>
      </c>
      <c r="B731" s="1" t="n">
        <v>45208</v>
      </c>
      <c r="C731" s="1" t="n">
        <v>46000</v>
      </c>
      <c r="D731" t="inlineStr">
        <is>
          <t>DALARNAS LÄN</t>
        </is>
      </c>
      <c r="E731" t="inlineStr">
        <is>
          <t>LUDVIKA</t>
        </is>
      </c>
      <c r="F731" t="inlineStr">
        <is>
          <t>Bergvik skog väst AB</t>
        </is>
      </c>
      <c r="G731" t="n">
        <v>1</v>
      </c>
      <c r="H731" t="n">
        <v>0</v>
      </c>
      <c r="I731" t="n">
        <v>0</v>
      </c>
      <c r="J731" t="n">
        <v>0</v>
      </c>
      <c r="K731" t="n">
        <v>0</v>
      </c>
      <c r="L731" t="n">
        <v>0</v>
      </c>
      <c r="M731" t="n">
        <v>0</v>
      </c>
      <c r="N731" t="n">
        <v>0</v>
      </c>
      <c r="O731" t="n">
        <v>0</v>
      </c>
      <c r="P731" t="n">
        <v>0</v>
      </c>
      <c r="Q731" t="n">
        <v>0</v>
      </c>
      <c r="R731" s="2" t="inlineStr"/>
    </row>
    <row r="732" ht="15" customHeight="1">
      <c r="A732" t="inlineStr">
        <is>
          <t>A 37586-2024</t>
        </is>
      </c>
      <c r="B732" s="1" t="n">
        <v>45541.46269675926</v>
      </c>
      <c r="C732" s="1" t="n">
        <v>46000</v>
      </c>
      <c r="D732" t="inlineStr">
        <is>
          <t>DALARNAS LÄN</t>
        </is>
      </c>
      <c r="E732" t="inlineStr">
        <is>
          <t>LUDVIKA</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55551-2024</t>
        </is>
      </c>
      <c r="B733" s="1" t="n">
        <v>45622.51221064815</v>
      </c>
      <c r="C733" s="1" t="n">
        <v>46000</v>
      </c>
      <c r="D733" t="inlineStr">
        <is>
          <t>DALARNAS LÄN</t>
        </is>
      </c>
      <c r="E733" t="inlineStr">
        <is>
          <t>LUDVIKA</t>
        </is>
      </c>
      <c r="F733" t="inlineStr">
        <is>
          <t>Bergvik skog väst AB</t>
        </is>
      </c>
      <c r="G733" t="n">
        <v>6.2</v>
      </c>
      <c r="H733" t="n">
        <v>0</v>
      </c>
      <c r="I733" t="n">
        <v>0</v>
      </c>
      <c r="J733" t="n">
        <v>0</v>
      </c>
      <c r="K733" t="n">
        <v>0</v>
      </c>
      <c r="L733" t="n">
        <v>0</v>
      </c>
      <c r="M733" t="n">
        <v>0</v>
      </c>
      <c r="N733" t="n">
        <v>0</v>
      </c>
      <c r="O733" t="n">
        <v>0</v>
      </c>
      <c r="P733" t="n">
        <v>0</v>
      </c>
      <c r="Q733" t="n">
        <v>0</v>
      </c>
      <c r="R733" s="2" t="inlineStr"/>
    </row>
    <row r="734" ht="15" customHeight="1">
      <c r="A734" t="inlineStr">
        <is>
          <t>A 30844-2024</t>
        </is>
      </c>
      <c r="B734" s="1" t="n">
        <v>45497</v>
      </c>
      <c r="C734" s="1" t="n">
        <v>46000</v>
      </c>
      <c r="D734" t="inlineStr">
        <is>
          <t>DALARNAS LÄN</t>
        </is>
      </c>
      <c r="E734" t="inlineStr">
        <is>
          <t>LUDVIKA</t>
        </is>
      </c>
      <c r="G734" t="n">
        <v>1.1</v>
      </c>
      <c r="H734" t="n">
        <v>0</v>
      </c>
      <c r="I734" t="n">
        <v>0</v>
      </c>
      <c r="J734" t="n">
        <v>0</v>
      </c>
      <c r="K734" t="n">
        <v>0</v>
      </c>
      <c r="L734" t="n">
        <v>0</v>
      </c>
      <c r="M734" t="n">
        <v>0</v>
      </c>
      <c r="N734" t="n">
        <v>0</v>
      </c>
      <c r="O734" t="n">
        <v>0</v>
      </c>
      <c r="P734" t="n">
        <v>0</v>
      </c>
      <c r="Q734" t="n">
        <v>0</v>
      </c>
      <c r="R734" s="2" t="inlineStr"/>
    </row>
    <row r="735" ht="15" customHeight="1">
      <c r="A735" t="inlineStr">
        <is>
          <t>A 20411-2023</t>
        </is>
      </c>
      <c r="B735" s="1" t="n">
        <v>45056.64452546297</v>
      </c>
      <c r="C735" s="1" t="n">
        <v>46000</v>
      </c>
      <c r="D735" t="inlineStr">
        <is>
          <t>DALARNAS LÄN</t>
        </is>
      </c>
      <c r="E735" t="inlineStr">
        <is>
          <t>LUDVIKA</t>
        </is>
      </c>
      <c r="F735" t="inlineStr">
        <is>
          <t>Bergvik skog väst AB</t>
        </is>
      </c>
      <c r="G735" t="n">
        <v>1.9</v>
      </c>
      <c r="H735" t="n">
        <v>0</v>
      </c>
      <c r="I735" t="n">
        <v>0</v>
      </c>
      <c r="J735" t="n">
        <v>0</v>
      </c>
      <c r="K735" t="n">
        <v>0</v>
      </c>
      <c r="L735" t="n">
        <v>0</v>
      </c>
      <c r="M735" t="n">
        <v>0</v>
      </c>
      <c r="N735" t="n">
        <v>0</v>
      </c>
      <c r="O735" t="n">
        <v>0</v>
      </c>
      <c r="P735" t="n">
        <v>0</v>
      </c>
      <c r="Q735" t="n">
        <v>0</v>
      </c>
      <c r="R735" s="2" t="inlineStr"/>
    </row>
    <row r="736" ht="15" customHeight="1">
      <c r="A736" t="inlineStr">
        <is>
          <t>A 24033-2021</t>
        </is>
      </c>
      <c r="B736" s="1" t="n">
        <v>44336.3533912037</v>
      </c>
      <c r="C736" s="1" t="n">
        <v>46000</v>
      </c>
      <c r="D736" t="inlineStr">
        <is>
          <t>DALARNAS LÄN</t>
        </is>
      </c>
      <c r="E736" t="inlineStr">
        <is>
          <t>LUDVIKA</t>
        </is>
      </c>
      <c r="F736" t="inlineStr">
        <is>
          <t>Allmännings- och besparingsskogar</t>
        </is>
      </c>
      <c r="G736" t="n">
        <v>0.9</v>
      </c>
      <c r="H736" t="n">
        <v>0</v>
      </c>
      <c r="I736" t="n">
        <v>0</v>
      </c>
      <c r="J736" t="n">
        <v>0</v>
      </c>
      <c r="K736" t="n">
        <v>0</v>
      </c>
      <c r="L736" t="n">
        <v>0</v>
      </c>
      <c r="M736" t="n">
        <v>0</v>
      </c>
      <c r="N736" t="n">
        <v>0</v>
      </c>
      <c r="O736" t="n">
        <v>0</v>
      </c>
      <c r="P736" t="n">
        <v>0</v>
      </c>
      <c r="Q736" t="n">
        <v>0</v>
      </c>
      <c r="R736" s="2" t="inlineStr"/>
    </row>
    <row r="737" ht="15" customHeight="1">
      <c r="A737" t="inlineStr">
        <is>
          <t>A 59347-2024</t>
        </is>
      </c>
      <c r="B737" s="1" t="n">
        <v>45638.00060185185</v>
      </c>
      <c r="C737" s="1" t="n">
        <v>46000</v>
      </c>
      <c r="D737" t="inlineStr">
        <is>
          <t>DALARNAS LÄN</t>
        </is>
      </c>
      <c r="E737" t="inlineStr">
        <is>
          <t>LUDVIKA</t>
        </is>
      </c>
      <c r="G737" t="n">
        <v>1</v>
      </c>
      <c r="H737" t="n">
        <v>0</v>
      </c>
      <c r="I737" t="n">
        <v>0</v>
      </c>
      <c r="J737" t="n">
        <v>0</v>
      </c>
      <c r="K737" t="n">
        <v>0</v>
      </c>
      <c r="L737" t="n">
        <v>0</v>
      </c>
      <c r="M737" t="n">
        <v>0</v>
      </c>
      <c r="N737" t="n">
        <v>0</v>
      </c>
      <c r="O737" t="n">
        <v>0</v>
      </c>
      <c r="P737" t="n">
        <v>0</v>
      </c>
      <c r="Q737" t="n">
        <v>0</v>
      </c>
      <c r="R737" s="2" t="inlineStr"/>
    </row>
    <row r="738" ht="15" customHeight="1">
      <c r="A738" t="inlineStr">
        <is>
          <t>A 50777-2024</t>
        </is>
      </c>
      <c r="B738" s="1" t="n">
        <v>45602.4575</v>
      </c>
      <c r="C738" s="1" t="n">
        <v>46000</v>
      </c>
      <c r="D738" t="inlineStr">
        <is>
          <t>DALARNAS LÄN</t>
        </is>
      </c>
      <c r="E738" t="inlineStr">
        <is>
          <t>LUDVIKA</t>
        </is>
      </c>
      <c r="G738" t="n">
        <v>1.3</v>
      </c>
      <c r="H738" t="n">
        <v>0</v>
      </c>
      <c r="I738" t="n">
        <v>0</v>
      </c>
      <c r="J738" t="n">
        <v>0</v>
      </c>
      <c r="K738" t="n">
        <v>0</v>
      </c>
      <c r="L738" t="n">
        <v>0</v>
      </c>
      <c r="M738" t="n">
        <v>0</v>
      </c>
      <c r="N738" t="n">
        <v>0</v>
      </c>
      <c r="O738" t="n">
        <v>0</v>
      </c>
      <c r="P738" t="n">
        <v>0</v>
      </c>
      <c r="Q738" t="n">
        <v>0</v>
      </c>
      <c r="R738" s="2" t="inlineStr"/>
    </row>
    <row r="739" ht="15" customHeight="1">
      <c r="A739" t="inlineStr">
        <is>
          <t>A 41668-2023</t>
        </is>
      </c>
      <c r="B739" s="1" t="n">
        <v>45176.30253472222</v>
      </c>
      <c r="C739" s="1" t="n">
        <v>46000</v>
      </c>
      <c r="D739" t="inlineStr">
        <is>
          <t>DALARNAS LÄN</t>
        </is>
      </c>
      <c r="E739" t="inlineStr">
        <is>
          <t>LUDVIKA</t>
        </is>
      </c>
      <c r="G739" t="n">
        <v>1.4</v>
      </c>
      <c r="H739" t="n">
        <v>0</v>
      </c>
      <c r="I739" t="n">
        <v>0</v>
      </c>
      <c r="J739" t="n">
        <v>0</v>
      </c>
      <c r="K739" t="n">
        <v>0</v>
      </c>
      <c r="L739" t="n">
        <v>0</v>
      </c>
      <c r="M739" t="n">
        <v>0</v>
      </c>
      <c r="N739" t="n">
        <v>0</v>
      </c>
      <c r="O739" t="n">
        <v>0</v>
      </c>
      <c r="P739" t="n">
        <v>0</v>
      </c>
      <c r="Q739" t="n">
        <v>0</v>
      </c>
      <c r="R739" s="2" t="inlineStr"/>
    </row>
    <row r="740" ht="15" customHeight="1">
      <c r="A740" t="inlineStr">
        <is>
          <t>A 48925-2024</t>
        </is>
      </c>
      <c r="B740" s="1" t="n">
        <v>45594.37643518519</v>
      </c>
      <c r="C740" s="1" t="n">
        <v>46000</v>
      </c>
      <c r="D740" t="inlineStr">
        <is>
          <t>DALARNAS LÄN</t>
        </is>
      </c>
      <c r="E740" t="inlineStr">
        <is>
          <t>LUDVIKA</t>
        </is>
      </c>
      <c r="F740" t="inlineStr">
        <is>
          <t>Bergvik skog väst AB</t>
        </is>
      </c>
      <c r="G740" t="n">
        <v>5.9</v>
      </c>
      <c r="H740" t="n">
        <v>0</v>
      </c>
      <c r="I740" t="n">
        <v>0</v>
      </c>
      <c r="J740" t="n">
        <v>0</v>
      </c>
      <c r="K740" t="n">
        <v>0</v>
      </c>
      <c r="L740" t="n">
        <v>0</v>
      </c>
      <c r="M740" t="n">
        <v>0</v>
      </c>
      <c r="N740" t="n">
        <v>0</v>
      </c>
      <c r="O740" t="n">
        <v>0</v>
      </c>
      <c r="P740" t="n">
        <v>0</v>
      </c>
      <c r="Q740" t="n">
        <v>0</v>
      </c>
      <c r="R740" s="2" t="inlineStr"/>
    </row>
    <row r="741" ht="15" customHeight="1">
      <c r="A741" t="inlineStr">
        <is>
          <t>A 55462-2024</t>
        </is>
      </c>
      <c r="B741" s="1" t="n">
        <v>45622.42880787037</v>
      </c>
      <c r="C741" s="1" t="n">
        <v>46000</v>
      </c>
      <c r="D741" t="inlineStr">
        <is>
          <t>DALARNAS LÄN</t>
        </is>
      </c>
      <c r="E741" t="inlineStr">
        <is>
          <t>LUDVIKA</t>
        </is>
      </c>
      <c r="F741" t="inlineStr">
        <is>
          <t>Naturvårdsverket</t>
        </is>
      </c>
      <c r="G741" t="n">
        <v>2.6</v>
      </c>
      <c r="H741" t="n">
        <v>0</v>
      </c>
      <c r="I741" t="n">
        <v>0</v>
      </c>
      <c r="J741" t="n">
        <v>0</v>
      </c>
      <c r="K741" t="n">
        <v>0</v>
      </c>
      <c r="L741" t="n">
        <v>0</v>
      </c>
      <c r="M741" t="n">
        <v>0</v>
      </c>
      <c r="N741" t="n">
        <v>0</v>
      </c>
      <c r="O741" t="n">
        <v>0</v>
      </c>
      <c r="P741" t="n">
        <v>0</v>
      </c>
      <c r="Q741" t="n">
        <v>0</v>
      </c>
      <c r="R741" s="2" t="inlineStr"/>
    </row>
    <row r="742" ht="15" customHeight="1">
      <c r="A742" t="inlineStr">
        <is>
          <t>A 55474-2024</t>
        </is>
      </c>
      <c r="B742" s="1" t="n">
        <v>45622.43456018518</v>
      </c>
      <c r="C742" s="1" t="n">
        <v>46000</v>
      </c>
      <c r="D742" t="inlineStr">
        <is>
          <t>DALARNAS LÄN</t>
        </is>
      </c>
      <c r="E742" t="inlineStr">
        <is>
          <t>LUDVIKA</t>
        </is>
      </c>
      <c r="F742" t="inlineStr">
        <is>
          <t>Naturvårdsverket</t>
        </is>
      </c>
      <c r="G742" t="n">
        <v>2.4</v>
      </c>
      <c r="H742" t="n">
        <v>0</v>
      </c>
      <c r="I742" t="n">
        <v>0</v>
      </c>
      <c r="J742" t="n">
        <v>0</v>
      </c>
      <c r="K742" t="n">
        <v>0</v>
      </c>
      <c r="L742" t="n">
        <v>0</v>
      </c>
      <c r="M742" t="n">
        <v>0</v>
      </c>
      <c r="N742" t="n">
        <v>0</v>
      </c>
      <c r="O742" t="n">
        <v>0</v>
      </c>
      <c r="P742" t="n">
        <v>0</v>
      </c>
      <c r="Q742" t="n">
        <v>0</v>
      </c>
      <c r="R742" s="2" t="inlineStr"/>
    </row>
    <row r="743" ht="15" customHeight="1">
      <c r="A743" t="inlineStr">
        <is>
          <t>A 55510-2024</t>
        </is>
      </c>
      <c r="B743" s="1" t="n">
        <v>45622.46479166667</v>
      </c>
      <c r="C743" s="1" t="n">
        <v>46000</v>
      </c>
      <c r="D743" t="inlineStr">
        <is>
          <t>DALARNAS LÄN</t>
        </is>
      </c>
      <c r="E743" t="inlineStr">
        <is>
          <t>LUDVIKA</t>
        </is>
      </c>
      <c r="F743" t="inlineStr">
        <is>
          <t>Naturvårdsverket</t>
        </is>
      </c>
      <c r="G743" t="n">
        <v>3.8</v>
      </c>
      <c r="H743" t="n">
        <v>0</v>
      </c>
      <c r="I743" t="n">
        <v>0</v>
      </c>
      <c r="J743" t="n">
        <v>0</v>
      </c>
      <c r="K743" t="n">
        <v>0</v>
      </c>
      <c r="L743" t="n">
        <v>0</v>
      </c>
      <c r="M743" t="n">
        <v>0</v>
      </c>
      <c r="N743" t="n">
        <v>0</v>
      </c>
      <c r="O743" t="n">
        <v>0</v>
      </c>
      <c r="P743" t="n">
        <v>0</v>
      </c>
      <c r="Q743" t="n">
        <v>0</v>
      </c>
      <c r="R743" s="2" t="inlineStr"/>
    </row>
    <row r="744" ht="15" customHeight="1">
      <c r="A744" t="inlineStr">
        <is>
          <t>A 4550-2025</t>
        </is>
      </c>
      <c r="B744" s="1" t="n">
        <v>45687.40626157408</v>
      </c>
      <c r="C744" s="1" t="n">
        <v>46000</v>
      </c>
      <c r="D744" t="inlineStr">
        <is>
          <t>DALARNAS LÄN</t>
        </is>
      </c>
      <c r="E744" t="inlineStr">
        <is>
          <t>LUDVIKA</t>
        </is>
      </c>
      <c r="G744" t="n">
        <v>0.8</v>
      </c>
      <c r="H744" t="n">
        <v>0</v>
      </c>
      <c r="I744" t="n">
        <v>0</v>
      </c>
      <c r="J744" t="n">
        <v>0</v>
      </c>
      <c r="K744" t="n">
        <v>0</v>
      </c>
      <c r="L744" t="n">
        <v>0</v>
      </c>
      <c r="M744" t="n">
        <v>0</v>
      </c>
      <c r="N744" t="n">
        <v>0</v>
      </c>
      <c r="O744" t="n">
        <v>0</v>
      </c>
      <c r="P744" t="n">
        <v>0</v>
      </c>
      <c r="Q744" t="n">
        <v>0</v>
      </c>
      <c r="R744" s="2" t="inlineStr"/>
    </row>
    <row r="745" ht="15" customHeight="1">
      <c r="A745" t="inlineStr">
        <is>
          <t>A 18421-2025</t>
        </is>
      </c>
      <c r="B745" s="1" t="n">
        <v>45762.61923611111</v>
      </c>
      <c r="C745" s="1" t="n">
        <v>46000</v>
      </c>
      <c r="D745" t="inlineStr">
        <is>
          <t>DALARNAS LÄN</t>
        </is>
      </c>
      <c r="E745" t="inlineStr">
        <is>
          <t>LUDVIKA</t>
        </is>
      </c>
      <c r="G745" t="n">
        <v>0.9</v>
      </c>
      <c r="H745" t="n">
        <v>0</v>
      </c>
      <c r="I745" t="n">
        <v>0</v>
      </c>
      <c r="J745" t="n">
        <v>0</v>
      </c>
      <c r="K745" t="n">
        <v>0</v>
      </c>
      <c r="L745" t="n">
        <v>0</v>
      </c>
      <c r="M745" t="n">
        <v>0</v>
      </c>
      <c r="N745" t="n">
        <v>0</v>
      </c>
      <c r="O745" t="n">
        <v>0</v>
      </c>
      <c r="P745" t="n">
        <v>0</v>
      </c>
      <c r="Q745" t="n">
        <v>0</v>
      </c>
      <c r="R745" s="2" t="inlineStr"/>
    </row>
    <row r="746" ht="15" customHeight="1">
      <c r="A746" t="inlineStr">
        <is>
          <t>A 50714-2024</t>
        </is>
      </c>
      <c r="B746" s="1" t="n">
        <v>45602</v>
      </c>
      <c r="C746" s="1" t="n">
        <v>46000</v>
      </c>
      <c r="D746" t="inlineStr">
        <is>
          <t>DALARNAS LÄN</t>
        </is>
      </c>
      <c r="E746" t="inlineStr">
        <is>
          <t>LUDVIKA</t>
        </is>
      </c>
      <c r="G746" t="n">
        <v>0.8</v>
      </c>
      <c r="H746" t="n">
        <v>0</v>
      </c>
      <c r="I746" t="n">
        <v>0</v>
      </c>
      <c r="J746" t="n">
        <v>0</v>
      </c>
      <c r="K746" t="n">
        <v>0</v>
      </c>
      <c r="L746" t="n">
        <v>0</v>
      </c>
      <c r="M746" t="n">
        <v>0</v>
      </c>
      <c r="N746" t="n">
        <v>0</v>
      </c>
      <c r="O746" t="n">
        <v>0</v>
      </c>
      <c r="P746" t="n">
        <v>0</v>
      </c>
      <c r="Q746" t="n">
        <v>0</v>
      </c>
      <c r="R746" s="2" t="inlineStr"/>
    </row>
    <row r="747" ht="15" customHeight="1">
      <c r="A747" t="inlineStr">
        <is>
          <t>A 69094-2020</t>
        </is>
      </c>
      <c r="B747" s="1" t="n">
        <v>44188</v>
      </c>
      <c r="C747" s="1" t="n">
        <v>46000</v>
      </c>
      <c r="D747" t="inlineStr">
        <is>
          <t>DALARNAS LÄN</t>
        </is>
      </c>
      <c r="E747" t="inlineStr">
        <is>
          <t>LUDVIKA</t>
        </is>
      </c>
      <c r="F747" t="inlineStr">
        <is>
          <t>Bergvik skog väst AB</t>
        </is>
      </c>
      <c r="G747" t="n">
        <v>2.1</v>
      </c>
      <c r="H747" t="n">
        <v>0</v>
      </c>
      <c r="I747" t="n">
        <v>0</v>
      </c>
      <c r="J747" t="n">
        <v>0</v>
      </c>
      <c r="K747" t="n">
        <v>0</v>
      </c>
      <c r="L747" t="n">
        <v>0</v>
      </c>
      <c r="M747" t="n">
        <v>0</v>
      </c>
      <c r="N747" t="n">
        <v>0</v>
      </c>
      <c r="O747" t="n">
        <v>0</v>
      </c>
      <c r="P747" t="n">
        <v>0</v>
      </c>
      <c r="Q747" t="n">
        <v>0</v>
      </c>
      <c r="R747" s="2" t="inlineStr"/>
    </row>
    <row r="748" ht="15" customHeight="1">
      <c r="A748" t="inlineStr">
        <is>
          <t>A 18585-2023</t>
        </is>
      </c>
      <c r="B748" s="1" t="n">
        <v>45043.39247685186</v>
      </c>
      <c r="C748" s="1" t="n">
        <v>46000</v>
      </c>
      <c r="D748" t="inlineStr">
        <is>
          <t>DALARNAS LÄN</t>
        </is>
      </c>
      <c r="E748" t="inlineStr">
        <is>
          <t>LUDVIKA</t>
        </is>
      </c>
      <c r="F748" t="inlineStr">
        <is>
          <t>Bergvik skog väst AB</t>
        </is>
      </c>
      <c r="G748" t="n">
        <v>4.8</v>
      </c>
      <c r="H748" t="n">
        <v>0</v>
      </c>
      <c r="I748" t="n">
        <v>0</v>
      </c>
      <c r="J748" t="n">
        <v>0</v>
      </c>
      <c r="K748" t="n">
        <v>0</v>
      </c>
      <c r="L748" t="n">
        <v>0</v>
      </c>
      <c r="M748" t="n">
        <v>0</v>
      </c>
      <c r="N748" t="n">
        <v>0</v>
      </c>
      <c r="O748" t="n">
        <v>0</v>
      </c>
      <c r="P748" t="n">
        <v>0</v>
      </c>
      <c r="Q748" t="n">
        <v>0</v>
      </c>
      <c r="R748" s="2" t="inlineStr"/>
    </row>
    <row r="749" ht="15" customHeight="1">
      <c r="A749" t="inlineStr">
        <is>
          <t>A 4173-2025</t>
        </is>
      </c>
      <c r="B749" s="1" t="n">
        <v>45685.42758101852</v>
      </c>
      <c r="C749" s="1" t="n">
        <v>46000</v>
      </c>
      <c r="D749" t="inlineStr">
        <is>
          <t>DALARNAS LÄN</t>
        </is>
      </c>
      <c r="E749" t="inlineStr">
        <is>
          <t>LUDVIKA</t>
        </is>
      </c>
      <c r="G749" t="n">
        <v>0.9</v>
      </c>
      <c r="H749" t="n">
        <v>0</v>
      </c>
      <c r="I749" t="n">
        <v>0</v>
      </c>
      <c r="J749" t="n">
        <v>0</v>
      </c>
      <c r="K749" t="n">
        <v>0</v>
      </c>
      <c r="L749" t="n">
        <v>0</v>
      </c>
      <c r="M749" t="n">
        <v>0</v>
      </c>
      <c r="N749" t="n">
        <v>0</v>
      </c>
      <c r="O749" t="n">
        <v>0</v>
      </c>
      <c r="P749" t="n">
        <v>0</v>
      </c>
      <c r="Q749" t="n">
        <v>0</v>
      </c>
      <c r="R749" s="2" t="inlineStr"/>
    </row>
    <row r="750" ht="15" customHeight="1">
      <c r="A750" t="inlineStr">
        <is>
          <t>A 48760-2024</t>
        </is>
      </c>
      <c r="B750" s="1" t="n">
        <v>45593.60061342592</v>
      </c>
      <c r="C750" s="1" t="n">
        <v>46000</v>
      </c>
      <c r="D750" t="inlineStr">
        <is>
          <t>DALARNAS LÄN</t>
        </is>
      </c>
      <c r="E750" t="inlineStr">
        <is>
          <t>LUDVIKA</t>
        </is>
      </c>
      <c r="F750" t="inlineStr">
        <is>
          <t>Naturvårdsverket</t>
        </is>
      </c>
      <c r="G750" t="n">
        <v>5.7</v>
      </c>
      <c r="H750" t="n">
        <v>0</v>
      </c>
      <c r="I750" t="n">
        <v>0</v>
      </c>
      <c r="J750" t="n">
        <v>0</v>
      </c>
      <c r="K750" t="n">
        <v>0</v>
      </c>
      <c r="L750" t="n">
        <v>0</v>
      </c>
      <c r="M750" t="n">
        <v>0</v>
      </c>
      <c r="N750" t="n">
        <v>0</v>
      </c>
      <c r="O750" t="n">
        <v>0</v>
      </c>
      <c r="P750" t="n">
        <v>0</v>
      </c>
      <c r="Q750" t="n">
        <v>0</v>
      </c>
      <c r="R750" s="2" t="inlineStr"/>
    </row>
    <row r="751" ht="15" customHeight="1">
      <c r="A751" t="inlineStr">
        <is>
          <t>A 42108-2024</t>
        </is>
      </c>
      <c r="B751" s="1" t="n">
        <v>45562.3693287037</v>
      </c>
      <c r="C751" s="1" t="n">
        <v>46000</v>
      </c>
      <c r="D751" t="inlineStr">
        <is>
          <t>DALARNAS LÄN</t>
        </is>
      </c>
      <c r="E751" t="inlineStr">
        <is>
          <t>LUDVIKA</t>
        </is>
      </c>
      <c r="F751" t="inlineStr">
        <is>
          <t>Bergvik skog väst AB</t>
        </is>
      </c>
      <c r="G751" t="n">
        <v>6</v>
      </c>
      <c r="H751" t="n">
        <v>0</v>
      </c>
      <c r="I751" t="n">
        <v>0</v>
      </c>
      <c r="J751" t="n">
        <v>0</v>
      </c>
      <c r="K751" t="n">
        <v>0</v>
      </c>
      <c r="L751" t="n">
        <v>0</v>
      </c>
      <c r="M751" t="n">
        <v>0</v>
      </c>
      <c r="N751" t="n">
        <v>0</v>
      </c>
      <c r="O751" t="n">
        <v>0</v>
      </c>
      <c r="P751" t="n">
        <v>0</v>
      </c>
      <c r="Q751" t="n">
        <v>0</v>
      </c>
      <c r="R751" s="2" t="inlineStr"/>
    </row>
    <row r="752" ht="15" customHeight="1">
      <c r="A752" t="inlineStr">
        <is>
          <t>A 15127-2025</t>
        </is>
      </c>
      <c r="B752" s="1" t="n">
        <v>45744.38049768518</v>
      </c>
      <c r="C752" s="1" t="n">
        <v>46000</v>
      </c>
      <c r="D752" t="inlineStr">
        <is>
          <t>DALARNAS LÄN</t>
        </is>
      </c>
      <c r="E752" t="inlineStr">
        <is>
          <t>LUDVIKA</t>
        </is>
      </c>
      <c r="F752" t="inlineStr">
        <is>
          <t>Bergvik skog väst AB</t>
        </is>
      </c>
      <c r="G752" t="n">
        <v>8.6</v>
      </c>
      <c r="H752" t="n">
        <v>0</v>
      </c>
      <c r="I752" t="n">
        <v>0</v>
      </c>
      <c r="J752" t="n">
        <v>0</v>
      </c>
      <c r="K752" t="n">
        <v>0</v>
      </c>
      <c r="L752" t="n">
        <v>0</v>
      </c>
      <c r="M752" t="n">
        <v>0</v>
      </c>
      <c r="N752" t="n">
        <v>0</v>
      </c>
      <c r="O752" t="n">
        <v>0</v>
      </c>
      <c r="P752" t="n">
        <v>0</v>
      </c>
      <c r="Q752" t="n">
        <v>0</v>
      </c>
      <c r="R752" s="2" t="inlineStr"/>
    </row>
    <row r="753" ht="15" customHeight="1">
      <c r="A753" t="inlineStr">
        <is>
          <t>A 38359-2024</t>
        </is>
      </c>
      <c r="B753" s="1" t="n">
        <v>45545.79224537037</v>
      </c>
      <c r="C753" s="1" t="n">
        <v>46000</v>
      </c>
      <c r="D753" t="inlineStr">
        <is>
          <t>DALARNAS LÄN</t>
        </is>
      </c>
      <c r="E753" t="inlineStr">
        <is>
          <t>LUDVIKA</t>
        </is>
      </c>
      <c r="G753" t="n">
        <v>2.4</v>
      </c>
      <c r="H753" t="n">
        <v>0</v>
      </c>
      <c r="I753" t="n">
        <v>0</v>
      </c>
      <c r="J753" t="n">
        <v>0</v>
      </c>
      <c r="K753" t="n">
        <v>0</v>
      </c>
      <c r="L753" t="n">
        <v>0</v>
      </c>
      <c r="M753" t="n">
        <v>0</v>
      </c>
      <c r="N753" t="n">
        <v>0</v>
      </c>
      <c r="O753" t="n">
        <v>0</v>
      </c>
      <c r="P753" t="n">
        <v>0</v>
      </c>
      <c r="Q753" t="n">
        <v>0</v>
      </c>
      <c r="R753" s="2" t="inlineStr"/>
    </row>
    <row r="754" ht="15" customHeight="1">
      <c r="A754" t="inlineStr">
        <is>
          <t>A 21893-2025</t>
        </is>
      </c>
      <c r="B754" s="1" t="n">
        <v>45784.4484837963</v>
      </c>
      <c r="C754" s="1" t="n">
        <v>46000</v>
      </c>
      <c r="D754" t="inlineStr">
        <is>
          <t>DALARNAS LÄN</t>
        </is>
      </c>
      <c r="E754" t="inlineStr">
        <is>
          <t>LUDVIKA</t>
        </is>
      </c>
      <c r="G754" t="n">
        <v>1.4</v>
      </c>
      <c r="H754" t="n">
        <v>0</v>
      </c>
      <c r="I754" t="n">
        <v>0</v>
      </c>
      <c r="J754" t="n">
        <v>0</v>
      </c>
      <c r="K754" t="n">
        <v>0</v>
      </c>
      <c r="L754" t="n">
        <v>0</v>
      </c>
      <c r="M754" t="n">
        <v>0</v>
      </c>
      <c r="N754" t="n">
        <v>0</v>
      </c>
      <c r="O754" t="n">
        <v>0</v>
      </c>
      <c r="P754" t="n">
        <v>0</v>
      </c>
      <c r="Q754" t="n">
        <v>0</v>
      </c>
      <c r="R754" s="2" t="inlineStr"/>
    </row>
    <row r="755" ht="15" customHeight="1">
      <c r="A755" t="inlineStr">
        <is>
          <t>A 42421-2024</t>
        </is>
      </c>
      <c r="B755" s="1" t="n">
        <v>45565.38796296297</v>
      </c>
      <c r="C755" s="1" t="n">
        <v>46000</v>
      </c>
      <c r="D755" t="inlineStr">
        <is>
          <t>DALARNAS LÄN</t>
        </is>
      </c>
      <c r="E755" t="inlineStr">
        <is>
          <t>LUDVIKA</t>
        </is>
      </c>
      <c r="G755" t="n">
        <v>5.3</v>
      </c>
      <c r="H755" t="n">
        <v>0</v>
      </c>
      <c r="I755" t="n">
        <v>0</v>
      </c>
      <c r="J755" t="n">
        <v>0</v>
      </c>
      <c r="K755" t="n">
        <v>0</v>
      </c>
      <c r="L755" t="n">
        <v>0</v>
      </c>
      <c r="M755" t="n">
        <v>0</v>
      </c>
      <c r="N755" t="n">
        <v>0</v>
      </c>
      <c r="O755" t="n">
        <v>0</v>
      </c>
      <c r="P755" t="n">
        <v>0</v>
      </c>
      <c r="Q755" t="n">
        <v>0</v>
      </c>
      <c r="R755" s="2" t="inlineStr"/>
    </row>
    <row r="756" ht="15" customHeight="1">
      <c r="A756" t="inlineStr">
        <is>
          <t>A 53602-2023</t>
        </is>
      </c>
      <c r="B756" s="1" t="n">
        <v>45230.56142361111</v>
      </c>
      <c r="C756" s="1" t="n">
        <v>46000</v>
      </c>
      <c r="D756" t="inlineStr">
        <is>
          <t>DALARNAS LÄN</t>
        </is>
      </c>
      <c r="E756" t="inlineStr">
        <is>
          <t>LUDVIKA</t>
        </is>
      </c>
      <c r="F756" t="inlineStr">
        <is>
          <t>Bergvik skog väst AB</t>
        </is>
      </c>
      <c r="G756" t="n">
        <v>4.9</v>
      </c>
      <c r="H756" t="n">
        <v>0</v>
      </c>
      <c r="I756" t="n">
        <v>0</v>
      </c>
      <c r="J756" t="n">
        <v>0</v>
      </c>
      <c r="K756" t="n">
        <v>0</v>
      </c>
      <c r="L756" t="n">
        <v>0</v>
      </c>
      <c r="M756" t="n">
        <v>0</v>
      </c>
      <c r="N756" t="n">
        <v>0</v>
      </c>
      <c r="O756" t="n">
        <v>0</v>
      </c>
      <c r="P756" t="n">
        <v>0</v>
      </c>
      <c r="Q756" t="n">
        <v>0</v>
      </c>
      <c r="R756" s="2" t="inlineStr"/>
    </row>
    <row r="757" ht="15" customHeight="1">
      <c r="A757" t="inlineStr">
        <is>
          <t>A 52359-2024</t>
        </is>
      </c>
      <c r="B757" s="1" t="n">
        <v>45609.37012731482</v>
      </c>
      <c r="C757" s="1" t="n">
        <v>46000</v>
      </c>
      <c r="D757" t="inlineStr">
        <is>
          <t>DALARNAS LÄN</t>
        </is>
      </c>
      <c r="E757" t="inlineStr">
        <is>
          <t>LUDVIKA</t>
        </is>
      </c>
      <c r="F757" t="inlineStr">
        <is>
          <t>Bergvik skog väst AB</t>
        </is>
      </c>
      <c r="G757" t="n">
        <v>1</v>
      </c>
      <c r="H757" t="n">
        <v>0</v>
      </c>
      <c r="I757" t="n">
        <v>0</v>
      </c>
      <c r="J757" t="n">
        <v>0</v>
      </c>
      <c r="K757" t="n">
        <v>0</v>
      </c>
      <c r="L757" t="n">
        <v>0</v>
      </c>
      <c r="M757" t="n">
        <v>0</v>
      </c>
      <c r="N757" t="n">
        <v>0</v>
      </c>
      <c r="O757" t="n">
        <v>0</v>
      </c>
      <c r="P757" t="n">
        <v>0</v>
      </c>
      <c r="Q757" t="n">
        <v>0</v>
      </c>
      <c r="R757" s="2" t="inlineStr"/>
    </row>
    <row r="758">
      <c r="A758" t="inlineStr">
        <is>
          <t>A 21891-2025</t>
        </is>
      </c>
      <c r="B758" s="1" t="n">
        <v>45784</v>
      </c>
      <c r="C758" s="1" t="n">
        <v>46000</v>
      </c>
      <c r="D758" t="inlineStr">
        <is>
          <t>DALARNAS LÄN</t>
        </is>
      </c>
      <c r="E758" t="inlineStr">
        <is>
          <t>LUDVIKA</t>
        </is>
      </c>
      <c r="G758" t="n">
        <v>1.1</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2025-12-09T10:25:53Z</dcterms:created>
  <dcterms:modified xmlns:dcterms="http://purl.org/dc/terms/" xmlns:xsi="http://www.w3.org/2001/XMLSchema-instance" xsi:type="dcterms:W3CDTF">2025-12-09T10:25:53Z</dcterms:modified>
</cp:coreProperties>
</file>
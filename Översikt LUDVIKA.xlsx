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45353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45353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45353</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45353</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45353</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45353</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45353</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45353</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45353</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45353</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45353</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45353</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45353</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45353</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45353</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45353</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45353</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45353</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45353</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45353</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45353</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45353</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45353</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45353</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45353</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45353</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45353</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45353</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45353</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45353</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64068-2020</t>
        </is>
      </c>
      <c r="B32" s="1" t="n">
        <v>44167</v>
      </c>
      <c r="C32" s="1" t="n">
        <v>45353</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69166-2020</t>
        </is>
      </c>
      <c r="B33" s="1" t="n">
        <v>44188</v>
      </c>
      <c r="C33" s="1" t="n">
        <v>45353</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38674-2021</t>
        </is>
      </c>
      <c r="B34" s="1" t="n">
        <v>44410</v>
      </c>
      <c r="C34" s="1" t="n">
        <v>45353</v>
      </c>
      <c r="D34" t="inlineStr">
        <is>
          <t>DALARNAS LÄN</t>
        </is>
      </c>
      <c r="E34" t="inlineStr">
        <is>
          <t>LUDVIKA</t>
        </is>
      </c>
      <c r="G34" t="n">
        <v>6.3</v>
      </c>
      <c r="H34" t="n">
        <v>0</v>
      </c>
      <c r="I34" t="n">
        <v>0</v>
      </c>
      <c r="J34" t="n">
        <v>1</v>
      </c>
      <c r="K34" t="n">
        <v>0</v>
      </c>
      <c r="L34" t="n">
        <v>0</v>
      </c>
      <c r="M34" t="n">
        <v>0</v>
      </c>
      <c r="N34" t="n">
        <v>0</v>
      </c>
      <c r="O34" t="n">
        <v>1</v>
      </c>
      <c r="P34" t="n">
        <v>0</v>
      </c>
      <c r="Q34" t="n">
        <v>1</v>
      </c>
      <c r="R34" s="2" t="inlineStr">
        <is>
          <t>Dvärgbägarlav</t>
        </is>
      </c>
      <c r="S34">
        <f>HYPERLINK("https://klasma.github.io/Logging_2085/artfynd/A 38674-2021 artfynd.xlsx", "A 38674-2021")</f>
        <v/>
      </c>
      <c r="T34">
        <f>HYPERLINK("https://klasma.github.io/Logging_2085/kartor/A 38674-2021 karta.png", "A 38674-2021")</f>
        <v/>
      </c>
      <c r="V34">
        <f>HYPERLINK("https://klasma.github.io/Logging_2085/klagomål/A 38674-2021 FSC-klagomål.docx", "A 38674-2021")</f>
        <v/>
      </c>
      <c r="W34">
        <f>HYPERLINK("https://klasma.github.io/Logging_2085/klagomålsmail/A 38674-2021 FSC-klagomål mail.docx", "A 38674-2021")</f>
        <v/>
      </c>
      <c r="X34">
        <f>HYPERLINK("https://klasma.github.io/Logging_2085/tillsyn/A 38674-2021 tillsynsbegäran.docx", "A 38674-2021")</f>
        <v/>
      </c>
      <c r="Y34">
        <f>HYPERLINK("https://klasma.github.io/Logging_2085/tillsynsmail/A 38674-2021 tillsynsbegäran mail.docx", "A 38674-2021")</f>
        <v/>
      </c>
    </row>
    <row r="35" ht="15" customHeight="1">
      <c r="A35" t="inlineStr">
        <is>
          <t>A 50052-2021</t>
        </is>
      </c>
      <c r="B35" s="1" t="n">
        <v>44456</v>
      </c>
      <c r="C35" s="1" t="n">
        <v>45353</v>
      </c>
      <c r="D35" t="inlineStr">
        <is>
          <t>DALARNAS LÄN</t>
        </is>
      </c>
      <c r="E35" t="inlineStr">
        <is>
          <t>LUDVIKA</t>
        </is>
      </c>
      <c r="F35" t="inlineStr">
        <is>
          <t>Bergvik skog väst AB</t>
        </is>
      </c>
      <c r="G35" t="n">
        <v>2</v>
      </c>
      <c r="H35" t="n">
        <v>1</v>
      </c>
      <c r="I35" t="n">
        <v>0</v>
      </c>
      <c r="J35" t="n">
        <v>0</v>
      </c>
      <c r="K35" t="n">
        <v>0</v>
      </c>
      <c r="L35" t="n">
        <v>0</v>
      </c>
      <c r="M35" t="n">
        <v>0</v>
      </c>
      <c r="N35" t="n">
        <v>0</v>
      </c>
      <c r="O35" t="n">
        <v>0</v>
      </c>
      <c r="P35" t="n">
        <v>0</v>
      </c>
      <c r="Q35" t="n">
        <v>1</v>
      </c>
      <c r="R35" s="2" t="inlineStr">
        <is>
          <t>Buskmus</t>
        </is>
      </c>
      <c r="S35">
        <f>HYPERLINK("https://klasma.github.io/Logging_2085/artfynd/A 50052-2021 artfynd.xlsx", "A 50052-2021")</f>
        <v/>
      </c>
      <c r="T35">
        <f>HYPERLINK("https://klasma.github.io/Logging_2085/kartor/A 50052-2021 karta.png", "A 50052-2021")</f>
        <v/>
      </c>
      <c r="V35">
        <f>HYPERLINK("https://klasma.github.io/Logging_2085/klagomål/A 50052-2021 FSC-klagomål.docx", "A 50052-2021")</f>
        <v/>
      </c>
      <c r="W35">
        <f>HYPERLINK("https://klasma.github.io/Logging_2085/klagomålsmail/A 50052-2021 FSC-klagomål mail.docx", "A 50052-2021")</f>
        <v/>
      </c>
      <c r="X35">
        <f>HYPERLINK("https://klasma.github.io/Logging_2085/tillsyn/A 50052-2021 tillsynsbegäran.docx", "A 50052-2021")</f>
        <v/>
      </c>
      <c r="Y35">
        <f>HYPERLINK("https://klasma.github.io/Logging_2085/tillsynsmail/A 50052-2021 tillsynsbegäran mail.docx", "A 50052-2021")</f>
        <v/>
      </c>
    </row>
    <row r="36" ht="15" customHeight="1">
      <c r="A36" t="inlineStr">
        <is>
          <t>A 72858-2021</t>
        </is>
      </c>
      <c r="B36" s="1" t="n">
        <v>44547</v>
      </c>
      <c r="C36" s="1" t="n">
        <v>45353</v>
      </c>
      <c r="D36" t="inlineStr">
        <is>
          <t>DALARNAS LÄN</t>
        </is>
      </c>
      <c r="E36" t="inlineStr">
        <is>
          <t>LUDVIKA</t>
        </is>
      </c>
      <c r="F36" t="inlineStr">
        <is>
          <t>Kommuner</t>
        </is>
      </c>
      <c r="G36" t="n">
        <v>7</v>
      </c>
      <c r="H36" t="n">
        <v>0</v>
      </c>
      <c r="I36" t="n">
        <v>0</v>
      </c>
      <c r="J36" t="n">
        <v>0</v>
      </c>
      <c r="K36" t="n">
        <v>1</v>
      </c>
      <c r="L36" t="n">
        <v>0</v>
      </c>
      <c r="M36" t="n">
        <v>0</v>
      </c>
      <c r="N36" t="n">
        <v>0</v>
      </c>
      <c r="O36" t="n">
        <v>1</v>
      </c>
      <c r="P36" t="n">
        <v>1</v>
      </c>
      <c r="Q36" t="n">
        <v>1</v>
      </c>
      <c r="R36" s="2" t="inlineStr">
        <is>
          <t>Rynkskinn</t>
        </is>
      </c>
      <c r="S36">
        <f>HYPERLINK("https://klasma.github.io/Logging_2085/artfynd/A 72858-2021 artfynd.xlsx", "A 72858-2021")</f>
        <v/>
      </c>
      <c r="T36">
        <f>HYPERLINK("https://klasma.github.io/Logging_2085/kartor/A 72858-2021 karta.png", "A 72858-2021")</f>
        <v/>
      </c>
      <c r="V36">
        <f>HYPERLINK("https://klasma.github.io/Logging_2085/klagomål/A 72858-2021 FSC-klagomål.docx", "A 72858-2021")</f>
        <v/>
      </c>
      <c r="W36">
        <f>HYPERLINK("https://klasma.github.io/Logging_2085/klagomålsmail/A 72858-2021 FSC-klagomål mail.docx", "A 72858-2021")</f>
        <v/>
      </c>
      <c r="X36">
        <f>HYPERLINK("https://klasma.github.io/Logging_2085/tillsyn/A 72858-2021 tillsynsbegäran.docx", "A 72858-2021")</f>
        <v/>
      </c>
      <c r="Y36">
        <f>HYPERLINK("https://klasma.github.io/Logging_2085/tillsynsmail/A 72858-2021 tillsynsbegäran mail.docx", "A 72858-2021")</f>
        <v/>
      </c>
    </row>
    <row r="37" ht="15" customHeight="1">
      <c r="A37" t="inlineStr">
        <is>
          <t>A 74401-2021</t>
        </is>
      </c>
      <c r="B37" s="1" t="n">
        <v>44560</v>
      </c>
      <c r="C37" s="1" t="n">
        <v>45353</v>
      </c>
      <c r="D37" t="inlineStr">
        <is>
          <t>DALARNAS LÄN</t>
        </is>
      </c>
      <c r="E37" t="inlineStr">
        <is>
          <t>LUDVIKA</t>
        </is>
      </c>
      <c r="F37" t="inlineStr">
        <is>
          <t>Kommuner</t>
        </is>
      </c>
      <c r="G37" t="n">
        <v>0.6</v>
      </c>
      <c r="H37" t="n">
        <v>0</v>
      </c>
      <c r="I37" t="n">
        <v>1</v>
      </c>
      <c r="J37" t="n">
        <v>0</v>
      </c>
      <c r="K37" t="n">
        <v>0</v>
      </c>
      <c r="L37" t="n">
        <v>0</v>
      </c>
      <c r="M37" t="n">
        <v>0</v>
      </c>
      <c r="N37" t="n">
        <v>0</v>
      </c>
      <c r="O37" t="n">
        <v>0</v>
      </c>
      <c r="P37" t="n">
        <v>0</v>
      </c>
      <c r="Q37" t="n">
        <v>1</v>
      </c>
      <c r="R37" s="2" t="inlineStr">
        <is>
          <t>Gullgröppa</t>
        </is>
      </c>
      <c r="S37">
        <f>HYPERLINK("https://klasma.github.io/Logging_2085/artfynd/A 74401-2021 artfynd.xlsx", "A 74401-2021")</f>
        <v/>
      </c>
      <c r="T37">
        <f>HYPERLINK("https://klasma.github.io/Logging_2085/kartor/A 74401-2021 karta.png", "A 74401-2021")</f>
        <v/>
      </c>
      <c r="V37">
        <f>HYPERLINK("https://klasma.github.io/Logging_2085/klagomål/A 74401-2021 FSC-klagomål.docx", "A 74401-2021")</f>
        <v/>
      </c>
      <c r="W37">
        <f>HYPERLINK("https://klasma.github.io/Logging_2085/klagomålsmail/A 74401-2021 FSC-klagomål mail.docx", "A 74401-2021")</f>
        <v/>
      </c>
      <c r="X37">
        <f>HYPERLINK("https://klasma.github.io/Logging_2085/tillsyn/A 74401-2021 tillsynsbegäran.docx", "A 74401-2021")</f>
        <v/>
      </c>
      <c r="Y37">
        <f>HYPERLINK("https://klasma.github.io/Logging_2085/tillsynsmail/A 74401-2021 tillsynsbegäran mail.docx", "A 74401-2021")</f>
        <v/>
      </c>
    </row>
    <row r="38" ht="15" customHeight="1">
      <c r="A38" t="inlineStr">
        <is>
          <t>A 927-2022</t>
        </is>
      </c>
      <c r="B38" s="1" t="n">
        <v>44571</v>
      </c>
      <c r="C38" s="1" t="n">
        <v>45353</v>
      </c>
      <c r="D38" t="inlineStr">
        <is>
          <t>DALARNAS LÄN</t>
        </is>
      </c>
      <c r="E38" t="inlineStr">
        <is>
          <t>LUDVIKA</t>
        </is>
      </c>
      <c r="F38" t="inlineStr">
        <is>
          <t>Allmännings- och besparingsskogar</t>
        </is>
      </c>
      <c r="G38" t="n">
        <v>2.4</v>
      </c>
      <c r="H38" t="n">
        <v>0</v>
      </c>
      <c r="I38" t="n">
        <v>0</v>
      </c>
      <c r="J38" t="n">
        <v>1</v>
      </c>
      <c r="K38" t="n">
        <v>0</v>
      </c>
      <c r="L38" t="n">
        <v>0</v>
      </c>
      <c r="M38" t="n">
        <v>0</v>
      </c>
      <c r="N38" t="n">
        <v>0</v>
      </c>
      <c r="O38" t="n">
        <v>1</v>
      </c>
      <c r="P38" t="n">
        <v>0</v>
      </c>
      <c r="Q38" t="n">
        <v>1</v>
      </c>
      <c r="R38" s="2" t="inlineStr">
        <is>
          <t>Brunklöver</t>
        </is>
      </c>
      <c r="S38">
        <f>HYPERLINK("https://klasma.github.io/Logging_2085/artfynd/A 927-2022 artfynd.xlsx", "A 927-2022")</f>
        <v/>
      </c>
      <c r="T38">
        <f>HYPERLINK("https://klasma.github.io/Logging_2085/kartor/A 927-2022 karta.png", "A 927-2022")</f>
        <v/>
      </c>
      <c r="V38">
        <f>HYPERLINK("https://klasma.github.io/Logging_2085/klagomål/A 927-2022 FSC-klagomål.docx", "A 927-2022")</f>
        <v/>
      </c>
      <c r="W38">
        <f>HYPERLINK("https://klasma.github.io/Logging_2085/klagomålsmail/A 927-2022 FSC-klagomål mail.docx", "A 927-2022")</f>
        <v/>
      </c>
      <c r="X38">
        <f>HYPERLINK("https://klasma.github.io/Logging_2085/tillsyn/A 927-2022 tillsynsbegäran.docx", "A 927-2022")</f>
        <v/>
      </c>
      <c r="Y38">
        <f>HYPERLINK("https://klasma.github.io/Logging_2085/tillsynsmail/A 927-2022 tillsynsbegäran mail.docx", "A 927-2022")</f>
        <v/>
      </c>
    </row>
    <row r="39" ht="15" customHeight="1">
      <c r="A39" t="inlineStr">
        <is>
          <t>A 19512-2022</t>
        </is>
      </c>
      <c r="B39" s="1" t="n">
        <v>44693</v>
      </c>
      <c r="C39" s="1" t="n">
        <v>45353</v>
      </c>
      <c r="D39" t="inlineStr">
        <is>
          <t>DALARNAS LÄN</t>
        </is>
      </c>
      <c r="E39" t="inlineStr">
        <is>
          <t>LUDVIKA</t>
        </is>
      </c>
      <c r="F39" t="inlineStr">
        <is>
          <t>Bergvik skog väst AB</t>
        </is>
      </c>
      <c r="G39" t="n">
        <v>2.8</v>
      </c>
      <c r="H39" t="n">
        <v>0</v>
      </c>
      <c r="I39" t="n">
        <v>1</v>
      </c>
      <c r="J39" t="n">
        <v>0</v>
      </c>
      <c r="K39" t="n">
        <v>0</v>
      </c>
      <c r="L39" t="n">
        <v>0</v>
      </c>
      <c r="M39" t="n">
        <v>0</v>
      </c>
      <c r="N39" t="n">
        <v>0</v>
      </c>
      <c r="O39" t="n">
        <v>0</v>
      </c>
      <c r="P39" t="n">
        <v>0</v>
      </c>
      <c r="Q39" t="n">
        <v>1</v>
      </c>
      <c r="R39" s="2" t="inlineStr">
        <is>
          <t>Nästlav</t>
        </is>
      </c>
      <c r="S39">
        <f>HYPERLINK("https://klasma.github.io/Logging_2085/artfynd/A 19512-2022 artfynd.xlsx", "A 19512-2022")</f>
        <v/>
      </c>
      <c r="T39">
        <f>HYPERLINK("https://klasma.github.io/Logging_2085/kartor/A 19512-2022 karta.png", "A 19512-2022")</f>
        <v/>
      </c>
      <c r="V39">
        <f>HYPERLINK("https://klasma.github.io/Logging_2085/klagomål/A 19512-2022 FSC-klagomål.docx", "A 19512-2022")</f>
        <v/>
      </c>
      <c r="W39">
        <f>HYPERLINK("https://klasma.github.io/Logging_2085/klagomålsmail/A 19512-2022 FSC-klagomål mail.docx", "A 19512-2022")</f>
        <v/>
      </c>
      <c r="X39">
        <f>HYPERLINK("https://klasma.github.io/Logging_2085/tillsyn/A 19512-2022 tillsynsbegäran.docx", "A 19512-2022")</f>
        <v/>
      </c>
      <c r="Y39">
        <f>HYPERLINK("https://klasma.github.io/Logging_2085/tillsynsmail/A 19512-2022 tillsynsbegäran mail.docx", "A 19512-2022")</f>
        <v/>
      </c>
    </row>
    <row r="40" ht="15" customHeight="1">
      <c r="A40" t="inlineStr">
        <is>
          <t>A 19717-2022</t>
        </is>
      </c>
      <c r="B40" s="1" t="n">
        <v>44694</v>
      </c>
      <c r="C40" s="1" t="n">
        <v>45353</v>
      </c>
      <c r="D40" t="inlineStr">
        <is>
          <t>DALARNAS LÄN</t>
        </is>
      </c>
      <c r="E40" t="inlineStr">
        <is>
          <t>LUDVIKA</t>
        </is>
      </c>
      <c r="F40" t="inlineStr">
        <is>
          <t>Bergvik skog väst AB</t>
        </is>
      </c>
      <c r="G40" t="n">
        <v>1.1</v>
      </c>
      <c r="H40" t="n">
        <v>0</v>
      </c>
      <c r="I40" t="n">
        <v>1</v>
      </c>
      <c r="J40" t="n">
        <v>0</v>
      </c>
      <c r="K40" t="n">
        <v>0</v>
      </c>
      <c r="L40" t="n">
        <v>0</v>
      </c>
      <c r="M40" t="n">
        <v>0</v>
      </c>
      <c r="N40" t="n">
        <v>0</v>
      </c>
      <c r="O40" t="n">
        <v>0</v>
      </c>
      <c r="P40" t="n">
        <v>0</v>
      </c>
      <c r="Q40" t="n">
        <v>1</v>
      </c>
      <c r="R40" s="2" t="inlineStr">
        <is>
          <t>Vedticka</t>
        </is>
      </c>
      <c r="S40">
        <f>HYPERLINK("https://klasma.github.io/Logging_2085/artfynd/A 19717-2022 artfynd.xlsx", "A 19717-2022")</f>
        <v/>
      </c>
      <c r="T40">
        <f>HYPERLINK("https://klasma.github.io/Logging_2085/kartor/A 19717-2022 karta.png", "A 19717-2022")</f>
        <v/>
      </c>
      <c r="V40">
        <f>HYPERLINK("https://klasma.github.io/Logging_2085/klagomål/A 19717-2022 FSC-klagomål.docx", "A 19717-2022")</f>
        <v/>
      </c>
      <c r="W40">
        <f>HYPERLINK("https://klasma.github.io/Logging_2085/klagomålsmail/A 19717-2022 FSC-klagomål mail.docx", "A 19717-2022")</f>
        <v/>
      </c>
      <c r="X40">
        <f>HYPERLINK("https://klasma.github.io/Logging_2085/tillsyn/A 19717-2022 tillsynsbegäran.docx", "A 19717-2022")</f>
        <v/>
      </c>
      <c r="Y40">
        <f>HYPERLINK("https://klasma.github.io/Logging_2085/tillsynsmail/A 19717-2022 tillsynsbegäran mail.docx", "A 19717-2022")</f>
        <v/>
      </c>
    </row>
    <row r="41" ht="15" customHeight="1">
      <c r="A41" t="inlineStr">
        <is>
          <t>A 21499-2022</t>
        </is>
      </c>
      <c r="B41" s="1" t="n">
        <v>44706</v>
      </c>
      <c r="C41" s="1" t="n">
        <v>45353</v>
      </c>
      <c r="D41" t="inlineStr">
        <is>
          <t>DALARNAS LÄN</t>
        </is>
      </c>
      <c r="E41" t="inlineStr">
        <is>
          <t>LUDVIKA</t>
        </is>
      </c>
      <c r="G41" t="n">
        <v>4.3</v>
      </c>
      <c r="H41" t="n">
        <v>0</v>
      </c>
      <c r="I41" t="n">
        <v>1</v>
      </c>
      <c r="J41" t="n">
        <v>0</v>
      </c>
      <c r="K41" t="n">
        <v>0</v>
      </c>
      <c r="L41" t="n">
        <v>0</v>
      </c>
      <c r="M41" t="n">
        <v>0</v>
      </c>
      <c r="N41" t="n">
        <v>0</v>
      </c>
      <c r="O41" t="n">
        <v>0</v>
      </c>
      <c r="P41" t="n">
        <v>0</v>
      </c>
      <c r="Q41" t="n">
        <v>1</v>
      </c>
      <c r="R41" s="2" t="inlineStr">
        <is>
          <t>Strimspindling</t>
        </is>
      </c>
      <c r="S41">
        <f>HYPERLINK("https://klasma.github.io/Logging_2085/artfynd/A 21499-2022 artfynd.xlsx", "A 21499-2022")</f>
        <v/>
      </c>
      <c r="T41">
        <f>HYPERLINK("https://klasma.github.io/Logging_2085/kartor/A 21499-2022 karta.png", "A 21499-2022")</f>
        <v/>
      </c>
      <c r="V41">
        <f>HYPERLINK("https://klasma.github.io/Logging_2085/klagomål/A 21499-2022 FSC-klagomål.docx", "A 21499-2022")</f>
        <v/>
      </c>
      <c r="W41">
        <f>HYPERLINK("https://klasma.github.io/Logging_2085/klagomålsmail/A 21499-2022 FSC-klagomål mail.docx", "A 21499-2022")</f>
        <v/>
      </c>
      <c r="X41">
        <f>HYPERLINK("https://klasma.github.io/Logging_2085/tillsyn/A 21499-2022 tillsynsbegäran.docx", "A 21499-2022")</f>
        <v/>
      </c>
      <c r="Y41">
        <f>HYPERLINK("https://klasma.github.io/Logging_2085/tillsynsmail/A 21499-2022 tillsynsbegäran mail.docx", "A 21499-2022")</f>
        <v/>
      </c>
    </row>
    <row r="42" ht="15" customHeight="1">
      <c r="A42" t="inlineStr">
        <is>
          <t>A 41028-2022</t>
        </is>
      </c>
      <c r="B42" s="1" t="n">
        <v>44825</v>
      </c>
      <c r="C42" s="1" t="n">
        <v>45353</v>
      </c>
      <c r="D42" t="inlineStr">
        <is>
          <t>DALARNAS LÄN</t>
        </is>
      </c>
      <c r="E42" t="inlineStr">
        <is>
          <t>LUDVIKA</t>
        </is>
      </c>
      <c r="F42" t="inlineStr">
        <is>
          <t>Naturvårdsverket</t>
        </is>
      </c>
      <c r="G42" t="n">
        <v>8.300000000000001</v>
      </c>
      <c r="H42" t="n">
        <v>0</v>
      </c>
      <c r="I42" t="n">
        <v>0</v>
      </c>
      <c r="J42" t="n">
        <v>1</v>
      </c>
      <c r="K42" t="n">
        <v>0</v>
      </c>
      <c r="L42" t="n">
        <v>0</v>
      </c>
      <c r="M42" t="n">
        <v>0</v>
      </c>
      <c r="N42" t="n">
        <v>0</v>
      </c>
      <c r="O42" t="n">
        <v>1</v>
      </c>
      <c r="P42" t="n">
        <v>0</v>
      </c>
      <c r="Q42" t="n">
        <v>1</v>
      </c>
      <c r="R42" s="2" t="inlineStr">
        <is>
          <t>Vårtsporigt stålskinn</t>
        </is>
      </c>
      <c r="S42">
        <f>HYPERLINK("https://klasma.github.io/Logging_2085/artfynd/A 41028-2022 artfynd.xlsx", "A 41028-2022")</f>
        <v/>
      </c>
      <c r="T42">
        <f>HYPERLINK("https://klasma.github.io/Logging_2085/kartor/A 41028-2022 karta.png", "A 41028-2022")</f>
        <v/>
      </c>
      <c r="V42">
        <f>HYPERLINK("https://klasma.github.io/Logging_2085/klagomål/A 41028-2022 FSC-klagomål.docx", "A 41028-2022")</f>
        <v/>
      </c>
      <c r="W42">
        <f>HYPERLINK("https://klasma.github.io/Logging_2085/klagomålsmail/A 41028-2022 FSC-klagomål mail.docx", "A 41028-2022")</f>
        <v/>
      </c>
      <c r="X42">
        <f>HYPERLINK("https://klasma.github.io/Logging_2085/tillsyn/A 41028-2022 tillsynsbegäran.docx", "A 41028-2022")</f>
        <v/>
      </c>
      <c r="Y42">
        <f>HYPERLINK("https://klasma.github.io/Logging_2085/tillsynsmail/A 41028-2022 tillsynsbegäran mail.docx", "A 41028-2022")</f>
        <v/>
      </c>
    </row>
    <row r="43" ht="15" customHeight="1">
      <c r="A43" t="inlineStr">
        <is>
          <t>A 42758-2022</t>
        </is>
      </c>
      <c r="B43" s="1" t="n">
        <v>44832</v>
      </c>
      <c r="C43" s="1" t="n">
        <v>45353</v>
      </c>
      <c r="D43" t="inlineStr">
        <is>
          <t>DALARNAS LÄN</t>
        </is>
      </c>
      <c r="E43" t="inlineStr">
        <is>
          <t>LUDVIKA</t>
        </is>
      </c>
      <c r="F43" t="inlineStr">
        <is>
          <t>Bergvik skog väst AB</t>
        </is>
      </c>
      <c r="G43" t="n">
        <v>1.6</v>
      </c>
      <c r="H43" t="n">
        <v>0</v>
      </c>
      <c r="I43" t="n">
        <v>0</v>
      </c>
      <c r="J43" t="n">
        <v>0</v>
      </c>
      <c r="K43" t="n">
        <v>1</v>
      </c>
      <c r="L43" t="n">
        <v>0</v>
      </c>
      <c r="M43" t="n">
        <v>0</v>
      </c>
      <c r="N43" t="n">
        <v>0</v>
      </c>
      <c r="O43" t="n">
        <v>1</v>
      </c>
      <c r="P43" t="n">
        <v>1</v>
      </c>
      <c r="Q43" t="n">
        <v>1</v>
      </c>
      <c r="R43" s="2" t="inlineStr">
        <is>
          <t>Aspgelélav</t>
        </is>
      </c>
      <c r="S43">
        <f>HYPERLINK("https://klasma.github.io/Logging_2085/artfynd/A 42758-2022 artfynd.xlsx", "A 42758-2022")</f>
        <v/>
      </c>
      <c r="T43">
        <f>HYPERLINK("https://klasma.github.io/Logging_2085/kartor/A 42758-2022 karta.png", "A 42758-2022")</f>
        <v/>
      </c>
      <c r="V43">
        <f>HYPERLINK("https://klasma.github.io/Logging_2085/klagomål/A 42758-2022 FSC-klagomål.docx", "A 42758-2022")</f>
        <v/>
      </c>
      <c r="W43">
        <f>HYPERLINK("https://klasma.github.io/Logging_2085/klagomålsmail/A 42758-2022 FSC-klagomål mail.docx", "A 42758-2022")</f>
        <v/>
      </c>
      <c r="X43">
        <f>HYPERLINK("https://klasma.github.io/Logging_2085/tillsyn/A 42758-2022 tillsynsbegäran.docx", "A 42758-2022")</f>
        <v/>
      </c>
      <c r="Y43">
        <f>HYPERLINK("https://klasma.github.io/Logging_2085/tillsynsmail/A 42758-2022 tillsynsbegäran mail.docx", "A 42758-2022")</f>
        <v/>
      </c>
    </row>
    <row r="44" ht="15" customHeight="1">
      <c r="A44" t="inlineStr">
        <is>
          <t>A 52452-2022</t>
        </is>
      </c>
      <c r="B44" s="1" t="n">
        <v>44874</v>
      </c>
      <c r="C44" s="1" t="n">
        <v>45353</v>
      </c>
      <c r="D44" t="inlineStr">
        <is>
          <t>DALARNAS LÄN</t>
        </is>
      </c>
      <c r="E44" t="inlineStr">
        <is>
          <t>LUDVIKA</t>
        </is>
      </c>
      <c r="F44" t="inlineStr">
        <is>
          <t>Bergvik skog väst AB</t>
        </is>
      </c>
      <c r="G44" t="n">
        <v>1.9</v>
      </c>
      <c r="H44" t="n">
        <v>0</v>
      </c>
      <c r="I44" t="n">
        <v>0</v>
      </c>
      <c r="J44" t="n">
        <v>1</v>
      </c>
      <c r="K44" t="n">
        <v>0</v>
      </c>
      <c r="L44" t="n">
        <v>0</v>
      </c>
      <c r="M44" t="n">
        <v>0</v>
      </c>
      <c r="N44" t="n">
        <v>0</v>
      </c>
      <c r="O44" t="n">
        <v>1</v>
      </c>
      <c r="P44" t="n">
        <v>0</v>
      </c>
      <c r="Q44" t="n">
        <v>1</v>
      </c>
      <c r="R44" s="2" t="inlineStr">
        <is>
          <t>Garnlav</t>
        </is>
      </c>
      <c r="S44">
        <f>HYPERLINK("https://klasma.github.io/Logging_2085/artfynd/A 52452-2022 artfynd.xlsx", "A 52452-2022")</f>
        <v/>
      </c>
      <c r="T44">
        <f>HYPERLINK("https://klasma.github.io/Logging_2085/kartor/A 52452-2022 karta.png", "A 52452-2022")</f>
        <v/>
      </c>
      <c r="V44">
        <f>HYPERLINK("https://klasma.github.io/Logging_2085/klagomål/A 52452-2022 FSC-klagomål.docx", "A 52452-2022")</f>
        <v/>
      </c>
      <c r="W44">
        <f>HYPERLINK("https://klasma.github.io/Logging_2085/klagomålsmail/A 52452-2022 FSC-klagomål mail.docx", "A 52452-2022")</f>
        <v/>
      </c>
      <c r="X44">
        <f>HYPERLINK("https://klasma.github.io/Logging_2085/tillsyn/A 52452-2022 tillsynsbegäran.docx", "A 52452-2022")</f>
        <v/>
      </c>
      <c r="Y44">
        <f>HYPERLINK("https://klasma.github.io/Logging_2085/tillsynsmail/A 52452-2022 tillsynsbegäran mail.docx", "A 52452-2022")</f>
        <v/>
      </c>
    </row>
    <row r="45" ht="15" customHeight="1">
      <c r="A45" t="inlineStr">
        <is>
          <t>A 55550-2022</t>
        </is>
      </c>
      <c r="B45" s="1" t="n">
        <v>44888</v>
      </c>
      <c r="C45" s="1" t="n">
        <v>45353</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Ögonpyrola</t>
        </is>
      </c>
      <c r="S45">
        <f>HYPERLINK("https://klasma.github.io/Logging_2085/artfynd/A 55550-2022 artfynd.xlsx", "A 55550-2022")</f>
        <v/>
      </c>
      <c r="T45">
        <f>HYPERLINK("https://klasma.github.io/Logging_2085/kartor/A 55550-2022 karta.png", "A 55550-2022")</f>
        <v/>
      </c>
      <c r="V45">
        <f>HYPERLINK("https://klasma.github.io/Logging_2085/klagomål/A 55550-2022 FSC-klagomål.docx", "A 55550-2022")</f>
        <v/>
      </c>
      <c r="W45">
        <f>HYPERLINK("https://klasma.github.io/Logging_2085/klagomålsmail/A 55550-2022 FSC-klagomål mail.docx", "A 55550-2022")</f>
        <v/>
      </c>
      <c r="X45">
        <f>HYPERLINK("https://klasma.github.io/Logging_2085/tillsyn/A 55550-2022 tillsynsbegäran.docx", "A 55550-2022")</f>
        <v/>
      </c>
      <c r="Y45">
        <f>HYPERLINK("https://klasma.github.io/Logging_2085/tillsynsmail/A 55550-2022 tillsynsbegäran mail.docx", "A 55550-2022")</f>
        <v/>
      </c>
    </row>
    <row r="46" ht="15" customHeight="1">
      <c r="A46" t="inlineStr">
        <is>
          <t>A 17310-2023</t>
        </is>
      </c>
      <c r="B46" s="1" t="n">
        <v>45035</v>
      </c>
      <c r="C46" s="1" t="n">
        <v>45353</v>
      </c>
      <c r="D46" t="inlineStr">
        <is>
          <t>DALARNAS LÄN</t>
        </is>
      </c>
      <c r="E46" t="inlineStr">
        <is>
          <t>LUDVIKA</t>
        </is>
      </c>
      <c r="G46" t="n">
        <v>10.2</v>
      </c>
      <c r="H46" t="n">
        <v>0</v>
      </c>
      <c r="I46" t="n">
        <v>0</v>
      </c>
      <c r="J46" t="n">
        <v>1</v>
      </c>
      <c r="K46" t="n">
        <v>0</v>
      </c>
      <c r="L46" t="n">
        <v>0</v>
      </c>
      <c r="M46" t="n">
        <v>0</v>
      </c>
      <c r="N46" t="n">
        <v>0</v>
      </c>
      <c r="O46" t="n">
        <v>1</v>
      </c>
      <c r="P46" t="n">
        <v>0</v>
      </c>
      <c r="Q46" t="n">
        <v>1</v>
      </c>
      <c r="R46" s="2" t="inlineStr">
        <is>
          <t>Barrpraktbagge</t>
        </is>
      </c>
      <c r="S46">
        <f>HYPERLINK("https://klasma.github.io/Logging_2085/artfynd/A 17310-2023 artfynd.xlsx", "A 17310-2023")</f>
        <v/>
      </c>
      <c r="T46">
        <f>HYPERLINK("https://klasma.github.io/Logging_2085/kartor/A 17310-2023 karta.png", "A 17310-2023")</f>
        <v/>
      </c>
      <c r="V46">
        <f>HYPERLINK("https://klasma.github.io/Logging_2085/klagomål/A 17310-2023 FSC-klagomål.docx", "A 17310-2023")</f>
        <v/>
      </c>
      <c r="W46">
        <f>HYPERLINK("https://klasma.github.io/Logging_2085/klagomålsmail/A 17310-2023 FSC-klagomål mail.docx", "A 17310-2023")</f>
        <v/>
      </c>
      <c r="X46">
        <f>HYPERLINK("https://klasma.github.io/Logging_2085/tillsyn/A 17310-2023 tillsynsbegäran.docx", "A 17310-2023")</f>
        <v/>
      </c>
      <c r="Y46">
        <f>HYPERLINK("https://klasma.github.io/Logging_2085/tillsynsmail/A 17310-2023 tillsynsbegäran mail.docx", "A 17310-2023")</f>
        <v/>
      </c>
    </row>
    <row r="47" ht="15" customHeight="1">
      <c r="A47" t="inlineStr">
        <is>
          <t>A 18298-2023</t>
        </is>
      </c>
      <c r="B47" s="1" t="n">
        <v>45041</v>
      </c>
      <c r="C47" s="1" t="n">
        <v>45353</v>
      </c>
      <c r="D47" t="inlineStr">
        <is>
          <t>DALARNAS LÄN</t>
        </is>
      </c>
      <c r="E47" t="inlineStr">
        <is>
          <t>LUDVIKA</t>
        </is>
      </c>
      <c r="G47" t="n">
        <v>3.4</v>
      </c>
      <c r="H47" t="n">
        <v>1</v>
      </c>
      <c r="I47" t="n">
        <v>0</v>
      </c>
      <c r="J47" t="n">
        <v>0</v>
      </c>
      <c r="K47" t="n">
        <v>0</v>
      </c>
      <c r="L47" t="n">
        <v>0</v>
      </c>
      <c r="M47" t="n">
        <v>0</v>
      </c>
      <c r="N47" t="n">
        <v>0</v>
      </c>
      <c r="O47" t="n">
        <v>0</v>
      </c>
      <c r="P47" t="n">
        <v>0</v>
      </c>
      <c r="Q47" t="n">
        <v>1</v>
      </c>
      <c r="R47" s="2" t="inlineStr">
        <is>
          <t>Fläcknycklar</t>
        </is>
      </c>
      <c r="S47">
        <f>HYPERLINK("https://klasma.github.io/Logging_2085/artfynd/A 18298-2023 artfynd.xlsx", "A 18298-2023")</f>
        <v/>
      </c>
      <c r="T47">
        <f>HYPERLINK("https://klasma.github.io/Logging_2085/kartor/A 18298-2023 karta.png", "A 18298-2023")</f>
        <v/>
      </c>
      <c r="V47">
        <f>HYPERLINK("https://klasma.github.io/Logging_2085/klagomål/A 18298-2023 FSC-klagomål.docx", "A 18298-2023")</f>
        <v/>
      </c>
      <c r="W47">
        <f>HYPERLINK("https://klasma.github.io/Logging_2085/klagomålsmail/A 18298-2023 FSC-klagomål mail.docx", "A 18298-2023")</f>
        <v/>
      </c>
      <c r="X47">
        <f>HYPERLINK("https://klasma.github.io/Logging_2085/tillsyn/A 18298-2023 tillsynsbegäran.docx", "A 18298-2023")</f>
        <v/>
      </c>
      <c r="Y47">
        <f>HYPERLINK("https://klasma.github.io/Logging_2085/tillsynsmail/A 18298-2023 tillsynsbegäran mail.docx", "A 18298-2023")</f>
        <v/>
      </c>
    </row>
    <row r="48" ht="15" customHeight="1">
      <c r="A48" t="inlineStr">
        <is>
          <t>A 25588-2023</t>
        </is>
      </c>
      <c r="B48" s="1" t="n">
        <v>45089</v>
      </c>
      <c r="C48" s="1" t="n">
        <v>45353</v>
      </c>
      <c r="D48" t="inlineStr">
        <is>
          <t>DALARNAS LÄN</t>
        </is>
      </c>
      <c r="E48" t="inlineStr">
        <is>
          <t>LUDVIKA</t>
        </is>
      </c>
      <c r="G48" t="n">
        <v>9.4</v>
      </c>
      <c r="H48" t="n">
        <v>0</v>
      </c>
      <c r="I48" t="n">
        <v>0</v>
      </c>
      <c r="J48" t="n">
        <v>1</v>
      </c>
      <c r="K48" t="n">
        <v>0</v>
      </c>
      <c r="L48" t="n">
        <v>0</v>
      </c>
      <c r="M48" t="n">
        <v>0</v>
      </c>
      <c r="N48" t="n">
        <v>0</v>
      </c>
      <c r="O48" t="n">
        <v>1</v>
      </c>
      <c r="P48" t="n">
        <v>0</v>
      </c>
      <c r="Q48" t="n">
        <v>1</v>
      </c>
      <c r="R48" s="2" t="inlineStr">
        <is>
          <t>Garnlav</t>
        </is>
      </c>
      <c r="S48">
        <f>HYPERLINK("https://klasma.github.io/Logging_2085/artfynd/A 25588-2023 artfynd.xlsx", "A 25588-2023")</f>
        <v/>
      </c>
      <c r="T48">
        <f>HYPERLINK("https://klasma.github.io/Logging_2085/kartor/A 25588-2023 karta.png", "A 25588-2023")</f>
        <v/>
      </c>
      <c r="V48">
        <f>HYPERLINK("https://klasma.github.io/Logging_2085/klagomål/A 25588-2023 FSC-klagomål.docx", "A 25588-2023")</f>
        <v/>
      </c>
      <c r="W48">
        <f>HYPERLINK("https://klasma.github.io/Logging_2085/klagomålsmail/A 25588-2023 FSC-klagomål mail.docx", "A 25588-2023")</f>
        <v/>
      </c>
      <c r="X48">
        <f>HYPERLINK("https://klasma.github.io/Logging_2085/tillsyn/A 25588-2023 tillsynsbegäran.docx", "A 25588-2023")</f>
        <v/>
      </c>
      <c r="Y48">
        <f>HYPERLINK("https://klasma.github.io/Logging_2085/tillsynsmail/A 25588-2023 tillsynsbegäran mail.docx", "A 25588-2023")</f>
        <v/>
      </c>
    </row>
    <row r="49" ht="15" customHeight="1">
      <c r="A49" t="inlineStr">
        <is>
          <t>A 26850-2023</t>
        </is>
      </c>
      <c r="B49" s="1" t="n">
        <v>45093</v>
      </c>
      <c r="C49" s="1" t="n">
        <v>45353</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29144-2023</t>
        </is>
      </c>
      <c r="B50" s="1" t="n">
        <v>45105</v>
      </c>
      <c r="C50" s="1" t="n">
        <v>45353</v>
      </c>
      <c r="D50" t="inlineStr">
        <is>
          <t>DALARNAS LÄN</t>
        </is>
      </c>
      <c r="E50" t="inlineStr">
        <is>
          <t>LUDVIKA</t>
        </is>
      </c>
      <c r="F50" t="inlineStr">
        <is>
          <t>Allmännings- och besparingsskogar</t>
        </is>
      </c>
      <c r="G50" t="n">
        <v>7.2</v>
      </c>
      <c r="H50" t="n">
        <v>1</v>
      </c>
      <c r="I50" t="n">
        <v>0</v>
      </c>
      <c r="J50" t="n">
        <v>0</v>
      </c>
      <c r="K50" t="n">
        <v>1</v>
      </c>
      <c r="L50" t="n">
        <v>0</v>
      </c>
      <c r="M50" t="n">
        <v>0</v>
      </c>
      <c r="N50" t="n">
        <v>0</v>
      </c>
      <c r="O50" t="n">
        <v>1</v>
      </c>
      <c r="P50" t="n">
        <v>1</v>
      </c>
      <c r="Q50" t="n">
        <v>1</v>
      </c>
      <c r="R50" s="2" t="inlineStr">
        <is>
          <t>Knärot</t>
        </is>
      </c>
      <c r="S50">
        <f>HYPERLINK("https://klasma.github.io/Logging_2085/artfynd/A 29144-2023 artfynd.xlsx", "A 29144-2023")</f>
        <v/>
      </c>
      <c r="T50">
        <f>HYPERLINK("https://klasma.github.io/Logging_2085/kartor/A 29144-2023 karta.png", "A 29144-2023")</f>
        <v/>
      </c>
      <c r="U50">
        <f>HYPERLINK("https://klasma.github.io/Logging_2085/knärot/A 29144-2023 karta knärot.png", "A 29144-2023")</f>
        <v/>
      </c>
      <c r="V50">
        <f>HYPERLINK("https://klasma.github.io/Logging_2085/klagomål/A 29144-2023 FSC-klagomål.docx", "A 29144-2023")</f>
        <v/>
      </c>
      <c r="W50">
        <f>HYPERLINK("https://klasma.github.io/Logging_2085/klagomålsmail/A 29144-2023 FSC-klagomål mail.docx", "A 29144-2023")</f>
        <v/>
      </c>
      <c r="X50">
        <f>HYPERLINK("https://klasma.github.io/Logging_2085/tillsyn/A 29144-2023 tillsynsbegäran.docx", "A 29144-2023")</f>
        <v/>
      </c>
      <c r="Y50">
        <f>HYPERLINK("https://klasma.github.io/Logging_2085/tillsynsmail/A 29144-2023 tillsynsbegäran mail.docx", "A 29144-2023")</f>
        <v/>
      </c>
    </row>
    <row r="51" ht="15" customHeight="1">
      <c r="A51" t="inlineStr">
        <is>
          <t>A 33055-2023</t>
        </is>
      </c>
      <c r="B51" s="1" t="n">
        <v>45126</v>
      </c>
      <c r="C51" s="1" t="n">
        <v>45353</v>
      </c>
      <c r="D51" t="inlineStr">
        <is>
          <t>DALARNAS LÄN</t>
        </is>
      </c>
      <c r="E51" t="inlineStr">
        <is>
          <t>LUDVIKA</t>
        </is>
      </c>
      <c r="F51" t="inlineStr">
        <is>
          <t>Bergvik skog väst AB</t>
        </is>
      </c>
      <c r="G51" t="n">
        <v>6</v>
      </c>
      <c r="H51" t="n">
        <v>0</v>
      </c>
      <c r="I51" t="n">
        <v>1</v>
      </c>
      <c r="J51" t="n">
        <v>0</v>
      </c>
      <c r="K51" t="n">
        <v>0</v>
      </c>
      <c r="L51" t="n">
        <v>0</v>
      </c>
      <c r="M51" t="n">
        <v>0</v>
      </c>
      <c r="N51" t="n">
        <v>0</v>
      </c>
      <c r="O51" t="n">
        <v>0</v>
      </c>
      <c r="P51" t="n">
        <v>0</v>
      </c>
      <c r="Q51" t="n">
        <v>1</v>
      </c>
      <c r="R51" s="2" t="inlineStr">
        <is>
          <t>Vedticka</t>
        </is>
      </c>
      <c r="S51">
        <f>HYPERLINK("https://klasma.github.io/Logging_2085/artfynd/A 33055-2023 artfynd.xlsx", "A 33055-2023")</f>
        <v/>
      </c>
      <c r="T51">
        <f>HYPERLINK("https://klasma.github.io/Logging_2085/kartor/A 33055-2023 karta.png", "A 33055-2023")</f>
        <v/>
      </c>
      <c r="V51">
        <f>HYPERLINK("https://klasma.github.io/Logging_2085/klagomål/A 33055-2023 FSC-klagomål.docx", "A 33055-2023")</f>
        <v/>
      </c>
      <c r="W51">
        <f>HYPERLINK("https://klasma.github.io/Logging_2085/klagomålsmail/A 33055-2023 FSC-klagomål mail.docx", "A 33055-2023")</f>
        <v/>
      </c>
      <c r="X51">
        <f>HYPERLINK("https://klasma.github.io/Logging_2085/tillsyn/A 33055-2023 tillsynsbegäran.docx", "A 33055-2023")</f>
        <v/>
      </c>
      <c r="Y51">
        <f>HYPERLINK("https://klasma.github.io/Logging_2085/tillsynsmail/A 33055-2023 tillsynsbegäran mail.docx", "A 33055-2023")</f>
        <v/>
      </c>
    </row>
    <row r="52" ht="15" customHeight="1">
      <c r="A52" t="inlineStr">
        <is>
          <t>A 34539-2023</t>
        </is>
      </c>
      <c r="B52" s="1" t="n">
        <v>45140</v>
      </c>
      <c r="C52" s="1" t="n">
        <v>45353</v>
      </c>
      <c r="D52" t="inlineStr">
        <is>
          <t>DALARNAS LÄN</t>
        </is>
      </c>
      <c r="E52" t="inlineStr">
        <is>
          <t>LUDVIKA</t>
        </is>
      </c>
      <c r="F52" t="inlineStr">
        <is>
          <t>Bergvik skog väst AB</t>
        </is>
      </c>
      <c r="G52" t="n">
        <v>6.1</v>
      </c>
      <c r="H52" t="n">
        <v>1</v>
      </c>
      <c r="I52" t="n">
        <v>0</v>
      </c>
      <c r="J52" t="n">
        <v>0</v>
      </c>
      <c r="K52" t="n">
        <v>0</v>
      </c>
      <c r="L52" t="n">
        <v>0</v>
      </c>
      <c r="M52" t="n">
        <v>0</v>
      </c>
      <c r="N52" t="n">
        <v>0</v>
      </c>
      <c r="O52" t="n">
        <v>0</v>
      </c>
      <c r="P52" t="n">
        <v>0</v>
      </c>
      <c r="Q52" t="n">
        <v>1</v>
      </c>
      <c r="R52" s="2" t="inlineStr">
        <is>
          <t>Gullviva</t>
        </is>
      </c>
      <c r="S52">
        <f>HYPERLINK("https://klasma.github.io/Logging_2085/artfynd/A 34539-2023 artfynd.xlsx", "A 34539-2023")</f>
        <v/>
      </c>
      <c r="T52">
        <f>HYPERLINK("https://klasma.github.io/Logging_2085/kartor/A 34539-2023 karta.png", "A 34539-2023")</f>
        <v/>
      </c>
      <c r="V52">
        <f>HYPERLINK("https://klasma.github.io/Logging_2085/klagomål/A 34539-2023 FSC-klagomål.docx", "A 34539-2023")</f>
        <v/>
      </c>
      <c r="W52">
        <f>HYPERLINK("https://klasma.github.io/Logging_2085/klagomålsmail/A 34539-2023 FSC-klagomål mail.docx", "A 34539-2023")</f>
        <v/>
      </c>
      <c r="X52">
        <f>HYPERLINK("https://klasma.github.io/Logging_2085/tillsyn/A 34539-2023 tillsynsbegäran.docx", "A 34539-2023")</f>
        <v/>
      </c>
      <c r="Y52">
        <f>HYPERLINK("https://klasma.github.io/Logging_2085/tillsynsmail/A 34539-2023 tillsynsbegäran mail.docx", "A 34539-2023")</f>
        <v/>
      </c>
    </row>
    <row r="53" ht="15" customHeight="1">
      <c r="A53" t="inlineStr">
        <is>
          <t>A 36559-2023</t>
        </is>
      </c>
      <c r="B53" s="1" t="n">
        <v>45153</v>
      </c>
      <c r="C53" s="1" t="n">
        <v>45353</v>
      </c>
      <c r="D53" t="inlineStr">
        <is>
          <t>DALARNAS LÄN</t>
        </is>
      </c>
      <c r="E53" t="inlineStr">
        <is>
          <t>LUDVIKA</t>
        </is>
      </c>
      <c r="F53" t="inlineStr">
        <is>
          <t>Bergvik skog väst AB</t>
        </is>
      </c>
      <c r="G53" t="n">
        <v>34.7</v>
      </c>
      <c r="H53" t="n">
        <v>0</v>
      </c>
      <c r="I53" t="n">
        <v>0</v>
      </c>
      <c r="J53" t="n">
        <v>1</v>
      </c>
      <c r="K53" t="n">
        <v>0</v>
      </c>
      <c r="L53" t="n">
        <v>0</v>
      </c>
      <c r="M53" t="n">
        <v>0</v>
      </c>
      <c r="N53" t="n">
        <v>0</v>
      </c>
      <c r="O53" t="n">
        <v>1</v>
      </c>
      <c r="P53" t="n">
        <v>0</v>
      </c>
      <c r="Q53" t="n">
        <v>1</v>
      </c>
      <c r="R53" s="2" t="inlineStr">
        <is>
          <t>Garnlav</t>
        </is>
      </c>
      <c r="S53">
        <f>HYPERLINK("https://klasma.github.io/Logging_2085/artfynd/A 36559-2023 artfynd.xlsx", "A 36559-2023")</f>
        <v/>
      </c>
      <c r="T53">
        <f>HYPERLINK("https://klasma.github.io/Logging_2085/kartor/A 36559-2023 karta.png", "A 36559-2023")</f>
        <v/>
      </c>
      <c r="V53">
        <f>HYPERLINK("https://klasma.github.io/Logging_2085/klagomål/A 36559-2023 FSC-klagomål.docx", "A 36559-2023")</f>
        <v/>
      </c>
      <c r="W53">
        <f>HYPERLINK("https://klasma.github.io/Logging_2085/klagomålsmail/A 36559-2023 FSC-klagomål mail.docx", "A 36559-2023")</f>
        <v/>
      </c>
      <c r="X53">
        <f>HYPERLINK("https://klasma.github.io/Logging_2085/tillsyn/A 36559-2023 tillsynsbegäran.docx", "A 36559-2023")</f>
        <v/>
      </c>
      <c r="Y53">
        <f>HYPERLINK("https://klasma.github.io/Logging_2085/tillsynsmail/A 36559-2023 tillsynsbegäran mail.docx", "A 36559-2023")</f>
        <v/>
      </c>
    </row>
    <row r="54" ht="15" customHeight="1">
      <c r="A54" t="inlineStr">
        <is>
          <t>A 44578-2023</t>
        </is>
      </c>
      <c r="B54" s="1" t="n">
        <v>45189</v>
      </c>
      <c r="C54" s="1" t="n">
        <v>45353</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45353</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45353</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42791-2018</t>
        </is>
      </c>
      <c r="B57" s="1" t="n">
        <v>43355</v>
      </c>
      <c r="C57" s="1" t="n">
        <v>45353</v>
      </c>
      <c r="D57" t="inlineStr">
        <is>
          <t>DALARNAS LÄN</t>
        </is>
      </c>
      <c r="E57" t="inlineStr">
        <is>
          <t>LUDVIKA</t>
        </is>
      </c>
      <c r="G57" t="n">
        <v>0.6</v>
      </c>
      <c r="H57" t="n">
        <v>0</v>
      </c>
      <c r="I57" t="n">
        <v>0</v>
      </c>
      <c r="J57" t="n">
        <v>0</v>
      </c>
      <c r="K57" t="n">
        <v>0</v>
      </c>
      <c r="L57" t="n">
        <v>0</v>
      </c>
      <c r="M57" t="n">
        <v>0</v>
      </c>
      <c r="N57" t="n">
        <v>0</v>
      </c>
      <c r="O57" t="n">
        <v>0</v>
      </c>
      <c r="P57" t="n">
        <v>0</v>
      </c>
      <c r="Q57" t="n">
        <v>0</v>
      </c>
      <c r="R57" s="2" t="inlineStr"/>
    </row>
    <row r="58" ht="15" customHeight="1">
      <c r="A58" t="inlineStr">
        <is>
          <t>A 45612-2018</t>
        </is>
      </c>
      <c r="B58" s="1" t="n">
        <v>43363</v>
      </c>
      <c r="C58" s="1" t="n">
        <v>45353</v>
      </c>
      <c r="D58" t="inlineStr">
        <is>
          <t>DALARNAS LÄN</t>
        </is>
      </c>
      <c r="E58" t="inlineStr">
        <is>
          <t>LUDVIKA</t>
        </is>
      </c>
      <c r="G58" t="n">
        <v>1.5</v>
      </c>
      <c r="H58" t="n">
        <v>0</v>
      </c>
      <c r="I58" t="n">
        <v>0</v>
      </c>
      <c r="J58" t="n">
        <v>0</v>
      </c>
      <c r="K58" t="n">
        <v>0</v>
      </c>
      <c r="L58" t="n">
        <v>0</v>
      </c>
      <c r="M58" t="n">
        <v>0</v>
      </c>
      <c r="N58" t="n">
        <v>0</v>
      </c>
      <c r="O58" t="n">
        <v>0</v>
      </c>
      <c r="P58" t="n">
        <v>0</v>
      </c>
      <c r="Q58" t="n">
        <v>0</v>
      </c>
      <c r="R58" s="2" t="inlineStr"/>
    </row>
    <row r="59" ht="15" customHeight="1">
      <c r="A59" t="inlineStr">
        <is>
          <t>A 61742-2018</t>
        </is>
      </c>
      <c r="B59" s="1" t="n">
        <v>43384</v>
      </c>
      <c r="C59" s="1" t="n">
        <v>45353</v>
      </c>
      <c r="D59" t="inlineStr">
        <is>
          <t>DALARNAS LÄN</t>
        </is>
      </c>
      <c r="E59" t="inlineStr">
        <is>
          <t>LUDVIKA</t>
        </is>
      </c>
      <c r="F59" t="inlineStr">
        <is>
          <t>Bergvik skog väst AB</t>
        </is>
      </c>
      <c r="G59" t="n">
        <v>2.4</v>
      </c>
      <c r="H59" t="n">
        <v>0</v>
      </c>
      <c r="I59" t="n">
        <v>0</v>
      </c>
      <c r="J59" t="n">
        <v>0</v>
      </c>
      <c r="K59" t="n">
        <v>0</v>
      </c>
      <c r="L59" t="n">
        <v>0</v>
      </c>
      <c r="M59" t="n">
        <v>0</v>
      </c>
      <c r="N59" t="n">
        <v>0</v>
      </c>
      <c r="O59" t="n">
        <v>0</v>
      </c>
      <c r="P59" t="n">
        <v>0</v>
      </c>
      <c r="Q59" t="n">
        <v>0</v>
      </c>
      <c r="R59" s="2" t="inlineStr"/>
    </row>
    <row r="60" ht="15" customHeight="1">
      <c r="A60" t="inlineStr">
        <is>
          <t>A 63876-2018</t>
        </is>
      </c>
      <c r="B60" s="1" t="n">
        <v>43385</v>
      </c>
      <c r="C60" s="1" t="n">
        <v>45353</v>
      </c>
      <c r="D60" t="inlineStr">
        <is>
          <t>DALARNAS LÄN</t>
        </is>
      </c>
      <c r="E60" t="inlineStr">
        <is>
          <t>LUDVIKA</t>
        </is>
      </c>
      <c r="F60" t="inlineStr">
        <is>
          <t>Bergvik skog väst AB</t>
        </is>
      </c>
      <c r="G60" t="n">
        <v>2.8</v>
      </c>
      <c r="H60" t="n">
        <v>0</v>
      </c>
      <c r="I60" t="n">
        <v>0</v>
      </c>
      <c r="J60" t="n">
        <v>0</v>
      </c>
      <c r="K60" t="n">
        <v>0</v>
      </c>
      <c r="L60" t="n">
        <v>0</v>
      </c>
      <c r="M60" t="n">
        <v>0</v>
      </c>
      <c r="N60" t="n">
        <v>0</v>
      </c>
      <c r="O60" t="n">
        <v>0</v>
      </c>
      <c r="P60" t="n">
        <v>0</v>
      </c>
      <c r="Q60" t="n">
        <v>0</v>
      </c>
      <c r="R60" s="2" t="inlineStr"/>
    </row>
    <row r="61" ht="15" customHeight="1">
      <c r="A61" t="inlineStr">
        <is>
          <t>A 62183-2018</t>
        </is>
      </c>
      <c r="B61" s="1" t="n">
        <v>43385</v>
      </c>
      <c r="C61" s="1" t="n">
        <v>45353</v>
      </c>
      <c r="D61" t="inlineStr">
        <is>
          <t>DALARNAS LÄN</t>
        </is>
      </c>
      <c r="E61" t="inlineStr">
        <is>
          <t>LUDVIKA</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62147-2018</t>
        </is>
      </c>
      <c r="B62" s="1" t="n">
        <v>43385</v>
      </c>
      <c r="C62" s="1" t="n">
        <v>45353</v>
      </c>
      <c r="D62" t="inlineStr">
        <is>
          <t>DALARNAS LÄN</t>
        </is>
      </c>
      <c r="E62" t="inlineStr">
        <is>
          <t>LUDVIKA</t>
        </is>
      </c>
      <c r="F62" t="inlineStr">
        <is>
          <t>Bergvik skog väst AB</t>
        </is>
      </c>
      <c r="G62" t="n">
        <v>5.6</v>
      </c>
      <c r="H62" t="n">
        <v>0</v>
      </c>
      <c r="I62" t="n">
        <v>0</v>
      </c>
      <c r="J62" t="n">
        <v>0</v>
      </c>
      <c r="K62" t="n">
        <v>0</v>
      </c>
      <c r="L62" t="n">
        <v>0</v>
      </c>
      <c r="M62" t="n">
        <v>0</v>
      </c>
      <c r="N62" t="n">
        <v>0</v>
      </c>
      <c r="O62" t="n">
        <v>0</v>
      </c>
      <c r="P62" t="n">
        <v>0</v>
      </c>
      <c r="Q62" t="n">
        <v>0</v>
      </c>
      <c r="R62" s="2" t="inlineStr"/>
    </row>
    <row r="63" ht="15" customHeight="1">
      <c r="A63" t="inlineStr">
        <is>
          <t>A 72671-2018</t>
        </is>
      </c>
      <c r="B63" s="1" t="n">
        <v>43389</v>
      </c>
      <c r="C63" s="1" t="n">
        <v>45353</v>
      </c>
      <c r="D63" t="inlineStr">
        <is>
          <t>DALARNAS LÄN</t>
        </is>
      </c>
      <c r="E63" t="inlineStr">
        <is>
          <t>LUDVIKA</t>
        </is>
      </c>
      <c r="F63" t="inlineStr">
        <is>
          <t>Bergvik skog väst AB</t>
        </is>
      </c>
      <c r="G63" t="n">
        <v>4.1</v>
      </c>
      <c r="H63" t="n">
        <v>0</v>
      </c>
      <c r="I63" t="n">
        <v>0</v>
      </c>
      <c r="J63" t="n">
        <v>0</v>
      </c>
      <c r="K63" t="n">
        <v>0</v>
      </c>
      <c r="L63" t="n">
        <v>0</v>
      </c>
      <c r="M63" t="n">
        <v>0</v>
      </c>
      <c r="N63" t="n">
        <v>0</v>
      </c>
      <c r="O63" t="n">
        <v>0</v>
      </c>
      <c r="P63" t="n">
        <v>0</v>
      </c>
      <c r="Q63" t="n">
        <v>0</v>
      </c>
      <c r="R63" s="2" t="inlineStr"/>
    </row>
    <row r="64" ht="15" customHeight="1">
      <c r="A64" t="inlineStr">
        <is>
          <t>A 72673-2018</t>
        </is>
      </c>
      <c r="B64" s="1" t="n">
        <v>43389</v>
      </c>
      <c r="C64" s="1" t="n">
        <v>45353</v>
      </c>
      <c r="D64" t="inlineStr">
        <is>
          <t>DALARNAS LÄN</t>
        </is>
      </c>
      <c r="E64" t="inlineStr">
        <is>
          <t>LUDVIKA</t>
        </is>
      </c>
      <c r="F64" t="inlineStr">
        <is>
          <t>Bergvik skog väst AB</t>
        </is>
      </c>
      <c r="G64" t="n">
        <v>5.6</v>
      </c>
      <c r="H64" t="n">
        <v>0</v>
      </c>
      <c r="I64" t="n">
        <v>0</v>
      </c>
      <c r="J64" t="n">
        <v>0</v>
      </c>
      <c r="K64" t="n">
        <v>0</v>
      </c>
      <c r="L64" t="n">
        <v>0</v>
      </c>
      <c r="M64" t="n">
        <v>0</v>
      </c>
      <c r="N64" t="n">
        <v>0</v>
      </c>
      <c r="O64" t="n">
        <v>0</v>
      </c>
      <c r="P64" t="n">
        <v>0</v>
      </c>
      <c r="Q64" t="n">
        <v>0</v>
      </c>
      <c r="R64" s="2" t="inlineStr"/>
    </row>
    <row r="65" ht="15" customHeight="1">
      <c r="A65" t="inlineStr">
        <is>
          <t>A 57057-2018</t>
        </is>
      </c>
      <c r="B65" s="1" t="n">
        <v>43403</v>
      </c>
      <c r="C65" s="1" t="n">
        <v>45353</v>
      </c>
      <c r="D65" t="inlineStr">
        <is>
          <t>DALARNAS LÄN</t>
        </is>
      </c>
      <c r="E65" t="inlineStr">
        <is>
          <t>LUDVIKA</t>
        </is>
      </c>
      <c r="F65" t="inlineStr">
        <is>
          <t>Bergvik skog väst AB</t>
        </is>
      </c>
      <c r="G65" t="n">
        <v>7.6</v>
      </c>
      <c r="H65" t="n">
        <v>0</v>
      </c>
      <c r="I65" t="n">
        <v>0</v>
      </c>
      <c r="J65" t="n">
        <v>0</v>
      </c>
      <c r="K65" t="n">
        <v>0</v>
      </c>
      <c r="L65" t="n">
        <v>0</v>
      </c>
      <c r="M65" t="n">
        <v>0</v>
      </c>
      <c r="N65" t="n">
        <v>0</v>
      </c>
      <c r="O65" t="n">
        <v>0</v>
      </c>
      <c r="P65" t="n">
        <v>0</v>
      </c>
      <c r="Q65" t="n">
        <v>0</v>
      </c>
      <c r="R65" s="2" t="inlineStr"/>
    </row>
    <row r="66" ht="15" customHeight="1">
      <c r="A66" t="inlineStr">
        <is>
          <t>A 57495-2018</t>
        </is>
      </c>
      <c r="B66" s="1" t="n">
        <v>43404</v>
      </c>
      <c r="C66" s="1" t="n">
        <v>45353</v>
      </c>
      <c r="D66" t="inlineStr">
        <is>
          <t>DALARNAS LÄN</t>
        </is>
      </c>
      <c r="E66" t="inlineStr">
        <is>
          <t>LUDVIKA</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57527-2018</t>
        </is>
      </c>
      <c r="B67" s="1" t="n">
        <v>43404</v>
      </c>
      <c r="C67" s="1" t="n">
        <v>45353</v>
      </c>
      <c r="D67" t="inlineStr">
        <is>
          <t>DALARNAS LÄN</t>
        </is>
      </c>
      <c r="E67" t="inlineStr">
        <is>
          <t>LUDVIKA</t>
        </is>
      </c>
      <c r="G67" t="n">
        <v>2</v>
      </c>
      <c r="H67" t="n">
        <v>0</v>
      </c>
      <c r="I67" t="n">
        <v>0</v>
      </c>
      <c r="J67" t="n">
        <v>0</v>
      </c>
      <c r="K67" t="n">
        <v>0</v>
      </c>
      <c r="L67" t="n">
        <v>0</v>
      </c>
      <c r="M67" t="n">
        <v>0</v>
      </c>
      <c r="N67" t="n">
        <v>0</v>
      </c>
      <c r="O67" t="n">
        <v>0</v>
      </c>
      <c r="P67" t="n">
        <v>0</v>
      </c>
      <c r="Q67" t="n">
        <v>0</v>
      </c>
      <c r="R67" s="2" t="inlineStr"/>
    </row>
    <row r="68" ht="15" customHeight="1">
      <c r="A68" t="inlineStr">
        <is>
          <t>A 57519-2018</t>
        </is>
      </c>
      <c r="B68" s="1" t="n">
        <v>43404</v>
      </c>
      <c r="C68" s="1" t="n">
        <v>45353</v>
      </c>
      <c r="D68" t="inlineStr">
        <is>
          <t>DALARNAS LÄN</t>
        </is>
      </c>
      <c r="E68" t="inlineStr">
        <is>
          <t>LUDVIKA</t>
        </is>
      </c>
      <c r="G68" t="n">
        <v>3.8</v>
      </c>
      <c r="H68" t="n">
        <v>0</v>
      </c>
      <c r="I68" t="n">
        <v>0</v>
      </c>
      <c r="J68" t="n">
        <v>0</v>
      </c>
      <c r="K68" t="n">
        <v>0</v>
      </c>
      <c r="L68" t="n">
        <v>0</v>
      </c>
      <c r="M68" t="n">
        <v>0</v>
      </c>
      <c r="N68" t="n">
        <v>0</v>
      </c>
      <c r="O68" t="n">
        <v>0</v>
      </c>
      <c r="P68" t="n">
        <v>0</v>
      </c>
      <c r="Q68" t="n">
        <v>0</v>
      </c>
      <c r="R68" s="2" t="inlineStr"/>
    </row>
    <row r="69" ht="15" customHeight="1">
      <c r="A69" t="inlineStr">
        <is>
          <t>A 59781-2018</t>
        </is>
      </c>
      <c r="B69" s="1" t="n">
        <v>43411</v>
      </c>
      <c r="C69" s="1" t="n">
        <v>45353</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59786-2018</t>
        </is>
      </c>
      <c r="B70" s="1" t="n">
        <v>43411</v>
      </c>
      <c r="C70" s="1" t="n">
        <v>45353</v>
      </c>
      <c r="D70" t="inlineStr">
        <is>
          <t>DALARNAS LÄN</t>
        </is>
      </c>
      <c r="E70" t="inlineStr">
        <is>
          <t>LUDVIKA</t>
        </is>
      </c>
      <c r="G70" t="n">
        <v>2.1</v>
      </c>
      <c r="H70" t="n">
        <v>0</v>
      </c>
      <c r="I70" t="n">
        <v>0</v>
      </c>
      <c r="J70" t="n">
        <v>0</v>
      </c>
      <c r="K70" t="n">
        <v>0</v>
      </c>
      <c r="L70" t="n">
        <v>0</v>
      </c>
      <c r="M70" t="n">
        <v>0</v>
      </c>
      <c r="N70" t="n">
        <v>0</v>
      </c>
      <c r="O70" t="n">
        <v>0</v>
      </c>
      <c r="P70" t="n">
        <v>0</v>
      </c>
      <c r="Q70" t="n">
        <v>0</v>
      </c>
      <c r="R70" s="2" t="inlineStr"/>
    </row>
    <row r="71" ht="15" customHeight="1">
      <c r="A71" t="inlineStr">
        <is>
          <t>A 60285-2018</t>
        </is>
      </c>
      <c r="B71" s="1" t="n">
        <v>43413</v>
      </c>
      <c r="C71" s="1" t="n">
        <v>45353</v>
      </c>
      <c r="D71" t="inlineStr">
        <is>
          <t>DALARNAS LÄN</t>
        </is>
      </c>
      <c r="E71" t="inlineStr">
        <is>
          <t>LUDVIKA</t>
        </is>
      </c>
      <c r="F71" t="inlineStr">
        <is>
          <t>Kommuner</t>
        </is>
      </c>
      <c r="G71" t="n">
        <v>3.4</v>
      </c>
      <c r="H71" t="n">
        <v>0</v>
      </c>
      <c r="I71" t="n">
        <v>0</v>
      </c>
      <c r="J71" t="n">
        <v>0</v>
      </c>
      <c r="K71" t="n">
        <v>0</v>
      </c>
      <c r="L71" t="n">
        <v>0</v>
      </c>
      <c r="M71" t="n">
        <v>0</v>
      </c>
      <c r="N71" t="n">
        <v>0</v>
      </c>
      <c r="O71" t="n">
        <v>0</v>
      </c>
      <c r="P71" t="n">
        <v>0</v>
      </c>
      <c r="Q71" t="n">
        <v>0</v>
      </c>
      <c r="R71" s="2" t="inlineStr"/>
    </row>
    <row r="72" ht="15" customHeight="1">
      <c r="A72" t="inlineStr">
        <is>
          <t>A 62333-2018</t>
        </is>
      </c>
      <c r="B72" s="1" t="n">
        <v>43416</v>
      </c>
      <c r="C72" s="1" t="n">
        <v>45353</v>
      </c>
      <c r="D72" t="inlineStr">
        <is>
          <t>DALARNAS LÄN</t>
        </is>
      </c>
      <c r="E72" t="inlineStr">
        <is>
          <t>LUDVIKA</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61671-2018</t>
        </is>
      </c>
      <c r="B73" s="1" t="n">
        <v>43425</v>
      </c>
      <c r="C73" s="1" t="n">
        <v>45353</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63488-2018</t>
        </is>
      </c>
      <c r="B74" s="1" t="n">
        <v>43427</v>
      </c>
      <c r="C74" s="1" t="n">
        <v>45353</v>
      </c>
      <c r="D74" t="inlineStr">
        <is>
          <t>DALARNAS LÄN</t>
        </is>
      </c>
      <c r="E74" t="inlineStr">
        <is>
          <t>LUDVIKA</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66359-2018</t>
        </is>
      </c>
      <c r="B75" s="1" t="n">
        <v>43436</v>
      </c>
      <c r="C75" s="1" t="n">
        <v>45353</v>
      </c>
      <c r="D75" t="inlineStr">
        <is>
          <t>DALARNAS LÄN</t>
        </is>
      </c>
      <c r="E75" t="inlineStr">
        <is>
          <t>LUDVIKA</t>
        </is>
      </c>
      <c r="G75" t="n">
        <v>4.4</v>
      </c>
      <c r="H75" t="n">
        <v>0</v>
      </c>
      <c r="I75" t="n">
        <v>0</v>
      </c>
      <c r="J75" t="n">
        <v>0</v>
      </c>
      <c r="K75" t="n">
        <v>0</v>
      </c>
      <c r="L75" t="n">
        <v>0</v>
      </c>
      <c r="M75" t="n">
        <v>0</v>
      </c>
      <c r="N75" t="n">
        <v>0</v>
      </c>
      <c r="O75" t="n">
        <v>0</v>
      </c>
      <c r="P75" t="n">
        <v>0</v>
      </c>
      <c r="Q75" t="n">
        <v>0</v>
      </c>
      <c r="R75" s="2" t="inlineStr"/>
    </row>
    <row r="76" ht="15" customHeight="1">
      <c r="A76" t="inlineStr">
        <is>
          <t>A 69878-2018</t>
        </is>
      </c>
      <c r="B76" s="1" t="n">
        <v>43447</v>
      </c>
      <c r="C76" s="1" t="n">
        <v>45353</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70717-2018</t>
        </is>
      </c>
      <c r="B77" s="1" t="n">
        <v>43451</v>
      </c>
      <c r="C77" s="1" t="n">
        <v>45353</v>
      </c>
      <c r="D77" t="inlineStr">
        <is>
          <t>DALARNAS LÄN</t>
        </is>
      </c>
      <c r="E77" t="inlineStr">
        <is>
          <t>LUDVIKA</t>
        </is>
      </c>
      <c r="G77" t="n">
        <v>0.7</v>
      </c>
      <c r="H77" t="n">
        <v>0</v>
      </c>
      <c r="I77" t="n">
        <v>0</v>
      </c>
      <c r="J77" t="n">
        <v>0</v>
      </c>
      <c r="K77" t="n">
        <v>0</v>
      </c>
      <c r="L77" t="n">
        <v>0</v>
      </c>
      <c r="M77" t="n">
        <v>0</v>
      </c>
      <c r="N77" t="n">
        <v>0</v>
      </c>
      <c r="O77" t="n">
        <v>0</v>
      </c>
      <c r="P77" t="n">
        <v>0</v>
      </c>
      <c r="Q77" t="n">
        <v>0</v>
      </c>
      <c r="R77" s="2" t="inlineStr"/>
    </row>
    <row r="78" ht="15" customHeight="1">
      <c r="A78" t="inlineStr">
        <is>
          <t>A 71008-2018</t>
        </is>
      </c>
      <c r="B78" s="1" t="n">
        <v>43452</v>
      </c>
      <c r="C78" s="1" t="n">
        <v>45353</v>
      </c>
      <c r="D78" t="inlineStr">
        <is>
          <t>DALARNAS LÄN</t>
        </is>
      </c>
      <c r="E78" t="inlineStr">
        <is>
          <t>LUDVIKA</t>
        </is>
      </c>
      <c r="F78" t="inlineStr">
        <is>
          <t>Bergvik skog väst AB</t>
        </is>
      </c>
      <c r="G78" t="n">
        <v>5.1</v>
      </c>
      <c r="H78" t="n">
        <v>0</v>
      </c>
      <c r="I78" t="n">
        <v>0</v>
      </c>
      <c r="J78" t="n">
        <v>0</v>
      </c>
      <c r="K78" t="n">
        <v>0</v>
      </c>
      <c r="L78" t="n">
        <v>0</v>
      </c>
      <c r="M78" t="n">
        <v>0</v>
      </c>
      <c r="N78" t="n">
        <v>0</v>
      </c>
      <c r="O78" t="n">
        <v>0</v>
      </c>
      <c r="P78" t="n">
        <v>0</v>
      </c>
      <c r="Q78" t="n">
        <v>0</v>
      </c>
      <c r="R78" s="2" t="inlineStr"/>
    </row>
    <row r="79" ht="15" customHeight="1">
      <c r="A79" t="inlineStr">
        <is>
          <t>A 947-2019</t>
        </is>
      </c>
      <c r="B79" s="1" t="n">
        <v>43472</v>
      </c>
      <c r="C79" s="1" t="n">
        <v>45353</v>
      </c>
      <c r="D79" t="inlineStr">
        <is>
          <t>DALARNAS LÄN</t>
        </is>
      </c>
      <c r="E79" t="inlineStr">
        <is>
          <t>LUDVIKA</t>
        </is>
      </c>
      <c r="G79" t="n">
        <v>1</v>
      </c>
      <c r="H79" t="n">
        <v>0</v>
      </c>
      <c r="I79" t="n">
        <v>0</v>
      </c>
      <c r="J79" t="n">
        <v>0</v>
      </c>
      <c r="K79" t="n">
        <v>0</v>
      </c>
      <c r="L79" t="n">
        <v>0</v>
      </c>
      <c r="M79" t="n">
        <v>0</v>
      </c>
      <c r="N79" t="n">
        <v>0</v>
      </c>
      <c r="O79" t="n">
        <v>0</v>
      </c>
      <c r="P79" t="n">
        <v>0</v>
      </c>
      <c r="Q79" t="n">
        <v>0</v>
      </c>
      <c r="R79" s="2" t="inlineStr"/>
    </row>
    <row r="80" ht="15" customHeight="1">
      <c r="A80" t="inlineStr">
        <is>
          <t>A 954-2019</t>
        </is>
      </c>
      <c r="B80" s="1" t="n">
        <v>43472</v>
      </c>
      <c r="C80" s="1" t="n">
        <v>45353</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950-2019</t>
        </is>
      </c>
      <c r="B81" s="1" t="n">
        <v>43472</v>
      </c>
      <c r="C81" s="1" t="n">
        <v>45353</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1474-2019</t>
        </is>
      </c>
      <c r="B82" s="1" t="n">
        <v>43473</v>
      </c>
      <c r="C82" s="1" t="n">
        <v>45353</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1745-2019</t>
        </is>
      </c>
      <c r="B83" s="1" t="n">
        <v>43474</v>
      </c>
      <c r="C83" s="1" t="n">
        <v>45353</v>
      </c>
      <c r="D83" t="inlineStr">
        <is>
          <t>DALARNAS LÄN</t>
        </is>
      </c>
      <c r="E83" t="inlineStr">
        <is>
          <t>LUDVIKA</t>
        </is>
      </c>
      <c r="F83" t="inlineStr">
        <is>
          <t>Naturvårdsverket</t>
        </is>
      </c>
      <c r="G83" t="n">
        <v>8.199999999999999</v>
      </c>
      <c r="H83" t="n">
        <v>0</v>
      </c>
      <c r="I83" t="n">
        <v>0</v>
      </c>
      <c r="J83" t="n">
        <v>0</v>
      </c>
      <c r="K83" t="n">
        <v>0</v>
      </c>
      <c r="L83" t="n">
        <v>0</v>
      </c>
      <c r="M83" t="n">
        <v>0</v>
      </c>
      <c r="N83" t="n">
        <v>0</v>
      </c>
      <c r="O83" t="n">
        <v>0</v>
      </c>
      <c r="P83" t="n">
        <v>0</v>
      </c>
      <c r="Q83" t="n">
        <v>0</v>
      </c>
      <c r="R83" s="2" t="inlineStr"/>
    </row>
    <row r="84" ht="15" customHeight="1">
      <c r="A84" t="inlineStr">
        <is>
          <t>A 3336-2019</t>
        </is>
      </c>
      <c r="B84" s="1" t="n">
        <v>43474</v>
      </c>
      <c r="C84" s="1" t="n">
        <v>45353</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3319-2019</t>
        </is>
      </c>
      <c r="B85" s="1" t="n">
        <v>43474</v>
      </c>
      <c r="C85" s="1" t="n">
        <v>45353</v>
      </c>
      <c r="D85" t="inlineStr">
        <is>
          <t>DALARNAS LÄN</t>
        </is>
      </c>
      <c r="E85" t="inlineStr">
        <is>
          <t>LUDVIKA</t>
        </is>
      </c>
      <c r="G85" t="n">
        <v>1.5</v>
      </c>
      <c r="H85" t="n">
        <v>0</v>
      </c>
      <c r="I85" t="n">
        <v>0</v>
      </c>
      <c r="J85" t="n">
        <v>0</v>
      </c>
      <c r="K85" t="n">
        <v>0</v>
      </c>
      <c r="L85" t="n">
        <v>0</v>
      </c>
      <c r="M85" t="n">
        <v>0</v>
      </c>
      <c r="N85" t="n">
        <v>0</v>
      </c>
      <c r="O85" t="n">
        <v>0</v>
      </c>
      <c r="P85" t="n">
        <v>0</v>
      </c>
      <c r="Q85" t="n">
        <v>0</v>
      </c>
      <c r="R85" s="2" t="inlineStr"/>
    </row>
    <row r="86" ht="15" customHeight="1">
      <c r="A86" t="inlineStr">
        <is>
          <t>A 6450-2019</t>
        </is>
      </c>
      <c r="B86" s="1" t="n">
        <v>43494</v>
      </c>
      <c r="C86" s="1" t="n">
        <v>45353</v>
      </c>
      <c r="D86" t="inlineStr">
        <is>
          <t>DALARNAS LÄN</t>
        </is>
      </c>
      <c r="E86" t="inlineStr">
        <is>
          <t>LUDVIKA</t>
        </is>
      </c>
      <c r="F86" t="inlineStr">
        <is>
          <t>Bergvik skog väst AB</t>
        </is>
      </c>
      <c r="G86" t="n">
        <v>26.8</v>
      </c>
      <c r="H86" t="n">
        <v>0</v>
      </c>
      <c r="I86" t="n">
        <v>0</v>
      </c>
      <c r="J86" t="n">
        <v>0</v>
      </c>
      <c r="K86" t="n">
        <v>0</v>
      </c>
      <c r="L86" t="n">
        <v>0</v>
      </c>
      <c r="M86" t="n">
        <v>0</v>
      </c>
      <c r="N86" t="n">
        <v>0</v>
      </c>
      <c r="O86" t="n">
        <v>0</v>
      </c>
      <c r="P86" t="n">
        <v>0</v>
      </c>
      <c r="Q86" t="n">
        <v>0</v>
      </c>
      <c r="R86" s="2" t="inlineStr"/>
    </row>
    <row r="87" ht="15" customHeight="1">
      <c r="A87" t="inlineStr">
        <is>
          <t>A 7510-2019</t>
        </is>
      </c>
      <c r="B87" s="1" t="n">
        <v>43497</v>
      </c>
      <c r="C87" s="1" t="n">
        <v>45353</v>
      </c>
      <c r="D87" t="inlineStr">
        <is>
          <t>DALARNAS LÄN</t>
        </is>
      </c>
      <c r="E87" t="inlineStr">
        <is>
          <t>LUDVIKA</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8436-2019</t>
        </is>
      </c>
      <c r="B88" s="1" t="n">
        <v>43500</v>
      </c>
      <c r="C88" s="1" t="n">
        <v>45353</v>
      </c>
      <c r="D88" t="inlineStr">
        <is>
          <t>DALARNAS LÄN</t>
        </is>
      </c>
      <c r="E88" t="inlineStr">
        <is>
          <t>LUDVIKA</t>
        </is>
      </c>
      <c r="G88" t="n">
        <v>2.4</v>
      </c>
      <c r="H88" t="n">
        <v>0</v>
      </c>
      <c r="I88" t="n">
        <v>0</v>
      </c>
      <c r="J88" t="n">
        <v>0</v>
      </c>
      <c r="K88" t="n">
        <v>0</v>
      </c>
      <c r="L88" t="n">
        <v>0</v>
      </c>
      <c r="M88" t="n">
        <v>0</v>
      </c>
      <c r="N88" t="n">
        <v>0</v>
      </c>
      <c r="O88" t="n">
        <v>0</v>
      </c>
      <c r="P88" t="n">
        <v>0</v>
      </c>
      <c r="Q88" t="n">
        <v>0</v>
      </c>
      <c r="R88" s="2" t="inlineStr"/>
    </row>
    <row r="89" ht="15" customHeight="1">
      <c r="A89" t="inlineStr">
        <is>
          <t>A 8637-2019</t>
        </is>
      </c>
      <c r="B89" s="1" t="n">
        <v>43501</v>
      </c>
      <c r="C89" s="1" t="n">
        <v>45353</v>
      </c>
      <c r="D89" t="inlineStr">
        <is>
          <t>DALARNAS LÄN</t>
        </is>
      </c>
      <c r="E89" t="inlineStr">
        <is>
          <t>LUDVIKA</t>
        </is>
      </c>
      <c r="F89" t="inlineStr">
        <is>
          <t>Bergvik skog väst AB</t>
        </is>
      </c>
      <c r="G89" t="n">
        <v>12.3</v>
      </c>
      <c r="H89" t="n">
        <v>0</v>
      </c>
      <c r="I89" t="n">
        <v>0</v>
      </c>
      <c r="J89" t="n">
        <v>0</v>
      </c>
      <c r="K89" t="n">
        <v>0</v>
      </c>
      <c r="L89" t="n">
        <v>0</v>
      </c>
      <c r="M89" t="n">
        <v>0</v>
      </c>
      <c r="N89" t="n">
        <v>0</v>
      </c>
      <c r="O89" t="n">
        <v>0</v>
      </c>
      <c r="P89" t="n">
        <v>0</v>
      </c>
      <c r="Q89" t="n">
        <v>0</v>
      </c>
      <c r="R89" s="2" t="inlineStr"/>
    </row>
    <row r="90" ht="15" customHeight="1">
      <c r="A90" t="inlineStr">
        <is>
          <t>A 8288-2019</t>
        </is>
      </c>
      <c r="B90" s="1" t="n">
        <v>43502</v>
      </c>
      <c r="C90" s="1" t="n">
        <v>45353</v>
      </c>
      <c r="D90" t="inlineStr">
        <is>
          <t>DALARNAS LÄN</t>
        </is>
      </c>
      <c r="E90" t="inlineStr">
        <is>
          <t>LUDVIKA</t>
        </is>
      </c>
      <c r="G90" t="n">
        <v>0.7</v>
      </c>
      <c r="H90" t="n">
        <v>0</v>
      </c>
      <c r="I90" t="n">
        <v>0</v>
      </c>
      <c r="J90" t="n">
        <v>0</v>
      </c>
      <c r="K90" t="n">
        <v>0</v>
      </c>
      <c r="L90" t="n">
        <v>0</v>
      </c>
      <c r="M90" t="n">
        <v>0</v>
      </c>
      <c r="N90" t="n">
        <v>0</v>
      </c>
      <c r="O90" t="n">
        <v>0</v>
      </c>
      <c r="P90" t="n">
        <v>0</v>
      </c>
      <c r="Q90" t="n">
        <v>0</v>
      </c>
      <c r="R90" s="2" t="inlineStr"/>
    </row>
    <row r="91" ht="15" customHeight="1">
      <c r="A91" t="inlineStr">
        <is>
          <t>A 13808-2019</t>
        </is>
      </c>
      <c r="B91" s="1" t="n">
        <v>43531</v>
      </c>
      <c r="C91" s="1" t="n">
        <v>45353</v>
      </c>
      <c r="D91" t="inlineStr">
        <is>
          <t>DALARNAS LÄN</t>
        </is>
      </c>
      <c r="E91" t="inlineStr">
        <is>
          <t>LUDVIKA</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13951-2019</t>
        </is>
      </c>
      <c r="B92" s="1" t="n">
        <v>43532</v>
      </c>
      <c r="C92" s="1" t="n">
        <v>45353</v>
      </c>
      <c r="D92" t="inlineStr">
        <is>
          <t>DALARNAS LÄN</t>
        </is>
      </c>
      <c r="E92" t="inlineStr">
        <is>
          <t>LUDVIKA</t>
        </is>
      </c>
      <c r="G92" t="n">
        <v>4.7</v>
      </c>
      <c r="H92" t="n">
        <v>0</v>
      </c>
      <c r="I92" t="n">
        <v>0</v>
      </c>
      <c r="J92" t="n">
        <v>0</v>
      </c>
      <c r="K92" t="n">
        <v>0</v>
      </c>
      <c r="L92" t="n">
        <v>0</v>
      </c>
      <c r="M92" t="n">
        <v>0</v>
      </c>
      <c r="N92" t="n">
        <v>0</v>
      </c>
      <c r="O92" t="n">
        <v>0</v>
      </c>
      <c r="P92" t="n">
        <v>0</v>
      </c>
      <c r="Q92" t="n">
        <v>0</v>
      </c>
      <c r="R92" s="2" t="inlineStr"/>
    </row>
    <row r="93" ht="15" customHeight="1">
      <c r="A93" t="inlineStr">
        <is>
          <t>A 16514-2019</t>
        </is>
      </c>
      <c r="B93" s="1" t="n">
        <v>43546</v>
      </c>
      <c r="C93" s="1" t="n">
        <v>45353</v>
      </c>
      <c r="D93" t="inlineStr">
        <is>
          <t>DALARNAS LÄN</t>
        </is>
      </c>
      <c r="E93" t="inlineStr">
        <is>
          <t>LUDVIKA</t>
        </is>
      </c>
      <c r="G93" t="n">
        <v>4.6</v>
      </c>
      <c r="H93" t="n">
        <v>0</v>
      </c>
      <c r="I93" t="n">
        <v>0</v>
      </c>
      <c r="J93" t="n">
        <v>0</v>
      </c>
      <c r="K93" t="n">
        <v>0</v>
      </c>
      <c r="L93" t="n">
        <v>0</v>
      </c>
      <c r="M93" t="n">
        <v>0</v>
      </c>
      <c r="N93" t="n">
        <v>0</v>
      </c>
      <c r="O93" t="n">
        <v>0</v>
      </c>
      <c r="P93" t="n">
        <v>0</v>
      </c>
      <c r="Q93" t="n">
        <v>0</v>
      </c>
      <c r="R93" s="2" t="inlineStr"/>
    </row>
    <row r="94" ht="15" customHeight="1">
      <c r="A94" t="inlineStr">
        <is>
          <t>A 17105-2019</t>
        </is>
      </c>
      <c r="B94" s="1" t="n">
        <v>43551</v>
      </c>
      <c r="C94" s="1" t="n">
        <v>45353</v>
      </c>
      <c r="D94" t="inlineStr">
        <is>
          <t>DALARNAS LÄN</t>
        </is>
      </c>
      <c r="E94" t="inlineStr">
        <is>
          <t>LUDVIKA</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17077-2019</t>
        </is>
      </c>
      <c r="B95" s="1" t="n">
        <v>43551</v>
      </c>
      <c r="C95" s="1" t="n">
        <v>45353</v>
      </c>
      <c r="D95" t="inlineStr">
        <is>
          <t>DALARNAS LÄN</t>
        </is>
      </c>
      <c r="E95" t="inlineStr">
        <is>
          <t>LUDVIKA</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17947-2019</t>
        </is>
      </c>
      <c r="B96" s="1" t="n">
        <v>43557</v>
      </c>
      <c r="C96" s="1" t="n">
        <v>45353</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45353</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45353</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45353</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45353</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45353</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45353</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45353</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45353</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45353</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45353</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45353</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45353</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45353</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45353</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45353</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45353</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45353</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45353</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45353</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45353</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45353</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45353</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45353</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45353</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45353</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45353</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45353</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45353</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45353</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45353</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45353</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45353</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45353</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45353</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45353</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45353</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45353</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45353</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45353</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45353</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45353</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45353</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45353</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45353</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45353</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45353</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45353</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45353</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45353</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45353</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45353</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45353</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45353</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45353</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45353</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45353</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45353</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45353</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45353</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45353</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45353</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45353</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45353</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45353</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45353</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45353</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45353</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45353</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45353</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45353</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45353</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45353</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45353</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45353</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45353</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45353</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45353</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45353</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45353</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45353</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45353</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45353</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45353</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45353</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45353</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45353</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45353</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45353</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45353</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45353</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45353</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27562-2020</t>
        </is>
      </c>
      <c r="B188" s="1" t="n">
        <v>43993</v>
      </c>
      <c r="C188" s="1" t="n">
        <v>45353</v>
      </c>
      <c r="D188" t="inlineStr">
        <is>
          <t>DALARNAS LÄN</t>
        </is>
      </c>
      <c r="E188" t="inlineStr">
        <is>
          <t>LUDVIKA</t>
        </is>
      </c>
      <c r="F188" t="inlineStr">
        <is>
          <t>Bergvik skog väst AB</t>
        </is>
      </c>
      <c r="G188" t="n">
        <v>2</v>
      </c>
      <c r="H188" t="n">
        <v>0</v>
      </c>
      <c r="I188" t="n">
        <v>0</v>
      </c>
      <c r="J188" t="n">
        <v>0</v>
      </c>
      <c r="K188" t="n">
        <v>0</v>
      </c>
      <c r="L188" t="n">
        <v>0</v>
      </c>
      <c r="M188" t="n">
        <v>0</v>
      </c>
      <c r="N188" t="n">
        <v>0</v>
      </c>
      <c r="O188" t="n">
        <v>0</v>
      </c>
      <c r="P188" t="n">
        <v>0</v>
      </c>
      <c r="Q188" t="n">
        <v>0</v>
      </c>
      <c r="R188" s="2" t="inlineStr"/>
    </row>
    <row r="189" ht="15" customHeight="1">
      <c r="A189" t="inlineStr">
        <is>
          <t>A 28524-2020</t>
        </is>
      </c>
      <c r="B189" s="1" t="n">
        <v>43999</v>
      </c>
      <c r="C189" s="1" t="n">
        <v>45353</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28802-2020</t>
        </is>
      </c>
      <c r="B190" s="1" t="n">
        <v>44000</v>
      </c>
      <c r="C190" s="1" t="n">
        <v>45353</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28798-2020</t>
        </is>
      </c>
      <c r="B191" s="1" t="n">
        <v>44000</v>
      </c>
      <c r="C191" s="1" t="n">
        <v>45353</v>
      </c>
      <c r="D191" t="inlineStr">
        <is>
          <t>DALARNAS LÄN</t>
        </is>
      </c>
      <c r="E191" t="inlineStr">
        <is>
          <t>LUDVIKA</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29869-2020</t>
        </is>
      </c>
      <c r="B192" s="1" t="n">
        <v>44006</v>
      </c>
      <c r="C192" s="1" t="n">
        <v>45353</v>
      </c>
      <c r="D192" t="inlineStr">
        <is>
          <t>DALARNAS LÄN</t>
        </is>
      </c>
      <c r="E192" t="inlineStr">
        <is>
          <t>LUDVIKA</t>
        </is>
      </c>
      <c r="G192" t="n">
        <v>2.1</v>
      </c>
      <c r="H192" t="n">
        <v>0</v>
      </c>
      <c r="I192" t="n">
        <v>0</v>
      </c>
      <c r="J192" t="n">
        <v>0</v>
      </c>
      <c r="K192" t="n">
        <v>0</v>
      </c>
      <c r="L192" t="n">
        <v>0</v>
      </c>
      <c r="M192" t="n">
        <v>0</v>
      </c>
      <c r="N192" t="n">
        <v>0</v>
      </c>
      <c r="O192" t="n">
        <v>0</v>
      </c>
      <c r="P192" t="n">
        <v>0</v>
      </c>
      <c r="Q192" t="n">
        <v>0</v>
      </c>
      <c r="R192" s="2" t="inlineStr"/>
    </row>
    <row r="193" ht="15" customHeight="1">
      <c r="A193" t="inlineStr">
        <is>
          <t>A 31257-2020</t>
        </is>
      </c>
      <c r="B193" s="1" t="n">
        <v>44012</v>
      </c>
      <c r="C193" s="1" t="n">
        <v>45353</v>
      </c>
      <c r="D193" t="inlineStr">
        <is>
          <t>DALARNAS LÄN</t>
        </is>
      </c>
      <c r="E193" t="inlineStr">
        <is>
          <t>LUDVIKA</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32994-2020</t>
        </is>
      </c>
      <c r="B194" s="1" t="n">
        <v>44020</v>
      </c>
      <c r="C194" s="1" t="n">
        <v>45353</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33357-2020</t>
        </is>
      </c>
      <c r="B195" s="1" t="n">
        <v>44022</v>
      </c>
      <c r="C195" s="1" t="n">
        <v>45353</v>
      </c>
      <c r="D195" t="inlineStr">
        <is>
          <t>DALARNAS LÄN</t>
        </is>
      </c>
      <c r="E195" t="inlineStr">
        <is>
          <t>LUDVIKA</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34915-2020</t>
        </is>
      </c>
      <c r="B196" s="1" t="n">
        <v>44036</v>
      </c>
      <c r="C196" s="1" t="n">
        <v>45353</v>
      </c>
      <c r="D196" t="inlineStr">
        <is>
          <t>DALARNAS LÄN</t>
        </is>
      </c>
      <c r="E196" t="inlineStr">
        <is>
          <t>LUDVIKA</t>
        </is>
      </c>
      <c r="F196" t="inlineStr">
        <is>
          <t>Bergvik skog väst AB</t>
        </is>
      </c>
      <c r="G196" t="n">
        <v>2.4</v>
      </c>
      <c r="H196" t="n">
        <v>0</v>
      </c>
      <c r="I196" t="n">
        <v>0</v>
      </c>
      <c r="J196" t="n">
        <v>0</v>
      </c>
      <c r="K196" t="n">
        <v>0</v>
      </c>
      <c r="L196" t="n">
        <v>0</v>
      </c>
      <c r="M196" t="n">
        <v>0</v>
      </c>
      <c r="N196" t="n">
        <v>0</v>
      </c>
      <c r="O196" t="n">
        <v>0</v>
      </c>
      <c r="P196" t="n">
        <v>0</v>
      </c>
      <c r="Q196" t="n">
        <v>0</v>
      </c>
      <c r="R196" s="2" t="inlineStr"/>
    </row>
    <row r="197" ht="15" customHeight="1">
      <c r="A197" t="inlineStr">
        <is>
          <t>A 39915-2020</t>
        </is>
      </c>
      <c r="B197" s="1" t="n">
        <v>44067</v>
      </c>
      <c r="C197" s="1" t="n">
        <v>45353</v>
      </c>
      <c r="D197" t="inlineStr">
        <is>
          <t>DALARNAS LÄN</t>
        </is>
      </c>
      <c r="E197" t="inlineStr">
        <is>
          <t>LUDVIKA</t>
        </is>
      </c>
      <c r="F197" t="inlineStr">
        <is>
          <t>Naturvårdsverket</t>
        </is>
      </c>
      <c r="G197" t="n">
        <v>17.7</v>
      </c>
      <c r="H197" t="n">
        <v>0</v>
      </c>
      <c r="I197" t="n">
        <v>0</v>
      </c>
      <c r="J197" t="n">
        <v>0</v>
      </c>
      <c r="K197" t="n">
        <v>0</v>
      </c>
      <c r="L197" t="n">
        <v>0</v>
      </c>
      <c r="M197" t="n">
        <v>0</v>
      </c>
      <c r="N197" t="n">
        <v>0</v>
      </c>
      <c r="O197" t="n">
        <v>0</v>
      </c>
      <c r="P197" t="n">
        <v>0</v>
      </c>
      <c r="Q197" t="n">
        <v>0</v>
      </c>
      <c r="R197" s="2" t="inlineStr"/>
    </row>
    <row r="198" ht="15" customHeight="1">
      <c r="A198" t="inlineStr">
        <is>
          <t>A 40472-2020</t>
        </is>
      </c>
      <c r="B198" s="1" t="n">
        <v>44069</v>
      </c>
      <c r="C198" s="1" t="n">
        <v>45353</v>
      </c>
      <c r="D198" t="inlineStr">
        <is>
          <t>DALARNAS LÄN</t>
        </is>
      </c>
      <c r="E198" t="inlineStr">
        <is>
          <t>LUDVIKA</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40504-2020</t>
        </is>
      </c>
      <c r="B199" s="1" t="n">
        <v>44069</v>
      </c>
      <c r="C199" s="1" t="n">
        <v>45353</v>
      </c>
      <c r="D199" t="inlineStr">
        <is>
          <t>DALARNAS LÄN</t>
        </is>
      </c>
      <c r="E199" t="inlineStr">
        <is>
          <t>LUDVIKA</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40978-2020</t>
        </is>
      </c>
      <c r="B200" s="1" t="n">
        <v>44070</v>
      </c>
      <c r="C200" s="1" t="n">
        <v>45353</v>
      </c>
      <c r="D200" t="inlineStr">
        <is>
          <t>DALARNAS LÄN</t>
        </is>
      </c>
      <c r="E200" t="inlineStr">
        <is>
          <t>LUDVIKA</t>
        </is>
      </c>
      <c r="F200" t="inlineStr">
        <is>
          <t>Bergvik skog väst AB</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43162-2020</t>
        </is>
      </c>
      <c r="B201" s="1" t="n">
        <v>44081</v>
      </c>
      <c r="C201" s="1" t="n">
        <v>45353</v>
      </c>
      <c r="D201" t="inlineStr">
        <is>
          <t>DALARNAS LÄN</t>
        </is>
      </c>
      <c r="E201" t="inlineStr">
        <is>
          <t>LUDVIKA</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44747-2020</t>
        </is>
      </c>
      <c r="B202" s="1" t="n">
        <v>44085</v>
      </c>
      <c r="C202" s="1" t="n">
        <v>45353</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44746-2020</t>
        </is>
      </c>
      <c r="B203" s="1" t="n">
        <v>44085</v>
      </c>
      <c r="C203" s="1" t="n">
        <v>45353</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45390-2020</t>
        </is>
      </c>
      <c r="B204" s="1" t="n">
        <v>44085</v>
      </c>
      <c r="C204" s="1" t="n">
        <v>45353</v>
      </c>
      <c r="D204" t="inlineStr">
        <is>
          <t>DALARNAS LÄN</t>
        </is>
      </c>
      <c r="E204" t="inlineStr">
        <is>
          <t>LUDVIKA</t>
        </is>
      </c>
      <c r="G204" t="n">
        <v>4.4</v>
      </c>
      <c r="H204" t="n">
        <v>0</v>
      </c>
      <c r="I204" t="n">
        <v>0</v>
      </c>
      <c r="J204" t="n">
        <v>0</v>
      </c>
      <c r="K204" t="n">
        <v>0</v>
      </c>
      <c r="L204" t="n">
        <v>0</v>
      </c>
      <c r="M204" t="n">
        <v>0</v>
      </c>
      <c r="N204" t="n">
        <v>0</v>
      </c>
      <c r="O204" t="n">
        <v>0</v>
      </c>
      <c r="P204" t="n">
        <v>0</v>
      </c>
      <c r="Q204" t="n">
        <v>0</v>
      </c>
      <c r="R204" s="2" t="inlineStr"/>
    </row>
    <row r="205" ht="15" customHeight="1">
      <c r="A205" t="inlineStr">
        <is>
          <t>A 44745-2020</t>
        </is>
      </c>
      <c r="B205" s="1" t="n">
        <v>44085</v>
      </c>
      <c r="C205" s="1" t="n">
        <v>45353</v>
      </c>
      <c r="D205" t="inlineStr">
        <is>
          <t>DALARNAS LÄN</t>
        </is>
      </c>
      <c r="E205" t="inlineStr">
        <is>
          <t>LUDVIKA</t>
        </is>
      </c>
      <c r="F205" t="inlineStr">
        <is>
          <t>Bergvik skog väst AB</t>
        </is>
      </c>
      <c r="G205" t="n">
        <v>2.9</v>
      </c>
      <c r="H205" t="n">
        <v>0</v>
      </c>
      <c r="I205" t="n">
        <v>0</v>
      </c>
      <c r="J205" t="n">
        <v>0</v>
      </c>
      <c r="K205" t="n">
        <v>0</v>
      </c>
      <c r="L205" t="n">
        <v>0</v>
      </c>
      <c r="M205" t="n">
        <v>0</v>
      </c>
      <c r="N205" t="n">
        <v>0</v>
      </c>
      <c r="O205" t="n">
        <v>0</v>
      </c>
      <c r="P205" t="n">
        <v>0</v>
      </c>
      <c r="Q205" t="n">
        <v>0</v>
      </c>
      <c r="R205" s="2" t="inlineStr"/>
    </row>
    <row r="206" ht="15" customHeight="1">
      <c r="A206" t="inlineStr">
        <is>
          <t>A 45309-2020</t>
        </is>
      </c>
      <c r="B206" s="1" t="n">
        <v>44089</v>
      </c>
      <c r="C206" s="1" t="n">
        <v>45353</v>
      </c>
      <c r="D206" t="inlineStr">
        <is>
          <t>DALARNAS LÄN</t>
        </is>
      </c>
      <c r="E206" t="inlineStr">
        <is>
          <t>LUDVIKA</t>
        </is>
      </c>
      <c r="G206" t="n">
        <v>0.6</v>
      </c>
      <c r="H206" t="n">
        <v>0</v>
      </c>
      <c r="I206" t="n">
        <v>0</v>
      </c>
      <c r="J206" t="n">
        <v>0</v>
      </c>
      <c r="K206" t="n">
        <v>0</v>
      </c>
      <c r="L206" t="n">
        <v>0</v>
      </c>
      <c r="M206" t="n">
        <v>0</v>
      </c>
      <c r="N206" t="n">
        <v>0</v>
      </c>
      <c r="O206" t="n">
        <v>0</v>
      </c>
      <c r="P206" t="n">
        <v>0</v>
      </c>
      <c r="Q206" t="n">
        <v>0</v>
      </c>
      <c r="R206" s="2" t="inlineStr"/>
    </row>
    <row r="207" ht="15" customHeight="1">
      <c r="A207" t="inlineStr">
        <is>
          <t>A 45613-2020</t>
        </is>
      </c>
      <c r="B207" s="1" t="n">
        <v>44090</v>
      </c>
      <c r="C207" s="1" t="n">
        <v>45353</v>
      </c>
      <c r="D207" t="inlineStr">
        <is>
          <t>DALARNAS LÄN</t>
        </is>
      </c>
      <c r="E207" t="inlineStr">
        <is>
          <t>LUDVIKA</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46252-2020</t>
        </is>
      </c>
      <c r="B208" s="1" t="n">
        <v>44092</v>
      </c>
      <c r="C208" s="1" t="n">
        <v>45353</v>
      </c>
      <c r="D208" t="inlineStr">
        <is>
          <t>DALARNAS LÄN</t>
        </is>
      </c>
      <c r="E208" t="inlineStr">
        <is>
          <t>LUDVIKA</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46268-2020</t>
        </is>
      </c>
      <c r="B209" s="1" t="n">
        <v>44092</v>
      </c>
      <c r="C209" s="1" t="n">
        <v>45353</v>
      </c>
      <c r="D209" t="inlineStr">
        <is>
          <t>DALARNAS LÄN</t>
        </is>
      </c>
      <c r="E209" t="inlineStr">
        <is>
          <t>LUDVIKA</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46329-2020</t>
        </is>
      </c>
      <c r="B210" s="1" t="n">
        <v>44092</v>
      </c>
      <c r="C210" s="1" t="n">
        <v>45353</v>
      </c>
      <c r="D210" t="inlineStr">
        <is>
          <t>DALARNAS LÄN</t>
        </is>
      </c>
      <c r="E210" t="inlineStr">
        <is>
          <t>LUDVIKA</t>
        </is>
      </c>
      <c r="F210" t="inlineStr">
        <is>
          <t>Sveaskog</t>
        </is>
      </c>
      <c r="G210" t="n">
        <v>4.6</v>
      </c>
      <c r="H210" t="n">
        <v>0</v>
      </c>
      <c r="I210" t="n">
        <v>0</v>
      </c>
      <c r="J210" t="n">
        <v>0</v>
      </c>
      <c r="K210" t="n">
        <v>0</v>
      </c>
      <c r="L210" t="n">
        <v>0</v>
      </c>
      <c r="M210" t="n">
        <v>0</v>
      </c>
      <c r="N210" t="n">
        <v>0</v>
      </c>
      <c r="O210" t="n">
        <v>0</v>
      </c>
      <c r="P210" t="n">
        <v>0</v>
      </c>
      <c r="Q210" t="n">
        <v>0</v>
      </c>
      <c r="R210" s="2" t="inlineStr"/>
    </row>
    <row r="211" ht="15" customHeight="1">
      <c r="A211" t="inlineStr">
        <is>
          <t>A 46147-2020</t>
        </is>
      </c>
      <c r="B211" s="1" t="n">
        <v>44092</v>
      </c>
      <c r="C211" s="1" t="n">
        <v>45353</v>
      </c>
      <c r="D211" t="inlineStr">
        <is>
          <t>DALARNAS LÄN</t>
        </is>
      </c>
      <c r="E211" t="inlineStr">
        <is>
          <t>LUDVIKA</t>
        </is>
      </c>
      <c r="G211" t="n">
        <v>0.5</v>
      </c>
      <c r="H211" t="n">
        <v>0</v>
      </c>
      <c r="I211" t="n">
        <v>0</v>
      </c>
      <c r="J211" t="n">
        <v>0</v>
      </c>
      <c r="K211" t="n">
        <v>0</v>
      </c>
      <c r="L211" t="n">
        <v>0</v>
      </c>
      <c r="M211" t="n">
        <v>0</v>
      </c>
      <c r="N211" t="n">
        <v>0</v>
      </c>
      <c r="O211" t="n">
        <v>0</v>
      </c>
      <c r="P211" t="n">
        <v>0</v>
      </c>
      <c r="Q211" t="n">
        <v>0</v>
      </c>
      <c r="R211" s="2" t="inlineStr"/>
    </row>
    <row r="212" ht="15" customHeight="1">
      <c r="A212" t="inlineStr">
        <is>
          <t>A 46146-2020</t>
        </is>
      </c>
      <c r="B212" s="1" t="n">
        <v>44092</v>
      </c>
      <c r="C212" s="1" t="n">
        <v>45353</v>
      </c>
      <c r="D212" t="inlineStr">
        <is>
          <t>DALARNAS LÄN</t>
        </is>
      </c>
      <c r="E212" t="inlineStr">
        <is>
          <t>LUDVIKA</t>
        </is>
      </c>
      <c r="G212" t="n">
        <v>1.5</v>
      </c>
      <c r="H212" t="n">
        <v>0</v>
      </c>
      <c r="I212" t="n">
        <v>0</v>
      </c>
      <c r="J212" t="n">
        <v>0</v>
      </c>
      <c r="K212" t="n">
        <v>0</v>
      </c>
      <c r="L212" t="n">
        <v>0</v>
      </c>
      <c r="M212" t="n">
        <v>0</v>
      </c>
      <c r="N212" t="n">
        <v>0</v>
      </c>
      <c r="O212" t="n">
        <v>0</v>
      </c>
      <c r="P212" t="n">
        <v>0</v>
      </c>
      <c r="Q212" t="n">
        <v>0</v>
      </c>
      <c r="R212" s="2" t="inlineStr"/>
    </row>
    <row r="213" ht="15" customHeight="1">
      <c r="A213" t="inlineStr">
        <is>
          <t>A 46275-2020</t>
        </is>
      </c>
      <c r="B213" s="1" t="n">
        <v>44092</v>
      </c>
      <c r="C213" s="1" t="n">
        <v>45353</v>
      </c>
      <c r="D213" t="inlineStr">
        <is>
          <t>DALARNAS LÄN</t>
        </is>
      </c>
      <c r="E213" t="inlineStr">
        <is>
          <t>LUDVIKA</t>
        </is>
      </c>
      <c r="F213" t="inlineStr">
        <is>
          <t>Sveaskog</t>
        </is>
      </c>
      <c r="G213" t="n">
        <v>6.1</v>
      </c>
      <c r="H213" t="n">
        <v>0</v>
      </c>
      <c r="I213" t="n">
        <v>0</v>
      </c>
      <c r="J213" t="n">
        <v>0</v>
      </c>
      <c r="K213" t="n">
        <v>0</v>
      </c>
      <c r="L213" t="n">
        <v>0</v>
      </c>
      <c r="M213" t="n">
        <v>0</v>
      </c>
      <c r="N213" t="n">
        <v>0</v>
      </c>
      <c r="O213" t="n">
        <v>0</v>
      </c>
      <c r="P213" t="n">
        <v>0</v>
      </c>
      <c r="Q213" t="n">
        <v>0</v>
      </c>
      <c r="R213" s="2" t="inlineStr"/>
    </row>
    <row r="214" ht="15" customHeight="1">
      <c r="A214" t="inlineStr">
        <is>
          <t>A 46284-2020</t>
        </is>
      </c>
      <c r="B214" s="1" t="n">
        <v>44092</v>
      </c>
      <c r="C214" s="1" t="n">
        <v>45353</v>
      </c>
      <c r="D214" t="inlineStr">
        <is>
          <t>DALARNAS LÄN</t>
        </is>
      </c>
      <c r="E214" t="inlineStr">
        <is>
          <t>LUDVIKA</t>
        </is>
      </c>
      <c r="F214" t="inlineStr">
        <is>
          <t>Sveaskog</t>
        </is>
      </c>
      <c r="G214" t="n">
        <v>4.4</v>
      </c>
      <c r="H214" t="n">
        <v>0</v>
      </c>
      <c r="I214" t="n">
        <v>0</v>
      </c>
      <c r="J214" t="n">
        <v>0</v>
      </c>
      <c r="K214" t="n">
        <v>0</v>
      </c>
      <c r="L214" t="n">
        <v>0</v>
      </c>
      <c r="M214" t="n">
        <v>0</v>
      </c>
      <c r="N214" t="n">
        <v>0</v>
      </c>
      <c r="O214" t="n">
        <v>0</v>
      </c>
      <c r="P214" t="n">
        <v>0</v>
      </c>
      <c r="Q214" t="n">
        <v>0</v>
      </c>
      <c r="R214" s="2" t="inlineStr"/>
    </row>
    <row r="215" ht="15" customHeight="1">
      <c r="A215" t="inlineStr">
        <is>
          <t>A 46369-2020</t>
        </is>
      </c>
      <c r="B215" s="1" t="n">
        <v>44093</v>
      </c>
      <c r="C215" s="1" t="n">
        <v>45353</v>
      </c>
      <c r="D215" t="inlineStr">
        <is>
          <t>DALARNAS LÄN</t>
        </is>
      </c>
      <c r="E215" t="inlineStr">
        <is>
          <t>LUDVIKA</t>
        </is>
      </c>
      <c r="G215" t="n">
        <v>3.8</v>
      </c>
      <c r="H215" t="n">
        <v>0</v>
      </c>
      <c r="I215" t="n">
        <v>0</v>
      </c>
      <c r="J215" t="n">
        <v>0</v>
      </c>
      <c r="K215" t="n">
        <v>0</v>
      </c>
      <c r="L215" t="n">
        <v>0</v>
      </c>
      <c r="M215" t="n">
        <v>0</v>
      </c>
      <c r="N215" t="n">
        <v>0</v>
      </c>
      <c r="O215" t="n">
        <v>0</v>
      </c>
      <c r="P215" t="n">
        <v>0</v>
      </c>
      <c r="Q215" t="n">
        <v>0</v>
      </c>
      <c r="R215" s="2" t="inlineStr"/>
    </row>
    <row r="216" ht="15" customHeight="1">
      <c r="A216" t="inlineStr">
        <is>
          <t>A 47194-2020</t>
        </is>
      </c>
      <c r="B216" s="1" t="n">
        <v>44097</v>
      </c>
      <c r="C216" s="1" t="n">
        <v>45353</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47471-2020</t>
        </is>
      </c>
      <c r="B217" s="1" t="n">
        <v>44097</v>
      </c>
      <c r="C217" s="1" t="n">
        <v>45353</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48557-2020</t>
        </is>
      </c>
      <c r="B218" s="1" t="n">
        <v>44103</v>
      </c>
      <c r="C218" s="1" t="n">
        <v>45353</v>
      </c>
      <c r="D218" t="inlineStr">
        <is>
          <t>DALARNAS LÄN</t>
        </is>
      </c>
      <c r="E218" t="inlineStr">
        <is>
          <t>LUDVIKA</t>
        </is>
      </c>
      <c r="G218" t="n">
        <v>1</v>
      </c>
      <c r="H218" t="n">
        <v>0</v>
      </c>
      <c r="I218" t="n">
        <v>0</v>
      </c>
      <c r="J218" t="n">
        <v>0</v>
      </c>
      <c r="K218" t="n">
        <v>0</v>
      </c>
      <c r="L218" t="n">
        <v>0</v>
      </c>
      <c r="M218" t="n">
        <v>0</v>
      </c>
      <c r="N218" t="n">
        <v>0</v>
      </c>
      <c r="O218" t="n">
        <v>0</v>
      </c>
      <c r="P218" t="n">
        <v>0</v>
      </c>
      <c r="Q218" t="n">
        <v>0</v>
      </c>
      <c r="R218" s="2" t="inlineStr"/>
    </row>
    <row r="219" ht="15" customHeight="1">
      <c r="A219" t="inlineStr">
        <is>
          <t>A 48482-2020</t>
        </is>
      </c>
      <c r="B219" s="1" t="n">
        <v>44103</v>
      </c>
      <c r="C219" s="1" t="n">
        <v>45353</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50146-2020</t>
        </is>
      </c>
      <c r="B220" s="1" t="n">
        <v>44104</v>
      </c>
      <c r="C220" s="1" t="n">
        <v>45353</v>
      </c>
      <c r="D220" t="inlineStr">
        <is>
          <t>DALARNAS LÄN</t>
        </is>
      </c>
      <c r="E220" t="inlineStr">
        <is>
          <t>LUDVIKA</t>
        </is>
      </c>
      <c r="G220" t="n">
        <v>4.7</v>
      </c>
      <c r="H220" t="n">
        <v>0</v>
      </c>
      <c r="I220" t="n">
        <v>0</v>
      </c>
      <c r="J220" t="n">
        <v>0</v>
      </c>
      <c r="K220" t="n">
        <v>0</v>
      </c>
      <c r="L220" t="n">
        <v>0</v>
      </c>
      <c r="M220" t="n">
        <v>0</v>
      </c>
      <c r="N220" t="n">
        <v>0</v>
      </c>
      <c r="O220" t="n">
        <v>0</v>
      </c>
      <c r="P220" t="n">
        <v>0</v>
      </c>
      <c r="Q220" t="n">
        <v>0</v>
      </c>
      <c r="R220" s="2" t="inlineStr"/>
    </row>
    <row r="221" ht="15" customHeight="1">
      <c r="A221" t="inlineStr">
        <is>
          <t>A 51439-2020</t>
        </is>
      </c>
      <c r="B221" s="1" t="n">
        <v>44113</v>
      </c>
      <c r="C221" s="1" t="n">
        <v>45353</v>
      </c>
      <c r="D221" t="inlineStr">
        <is>
          <t>DALARNAS LÄN</t>
        </is>
      </c>
      <c r="E221" t="inlineStr">
        <is>
          <t>LUDVIKA</t>
        </is>
      </c>
      <c r="F221" t="inlineStr">
        <is>
          <t>Sveaskog</t>
        </is>
      </c>
      <c r="G221" t="n">
        <v>10</v>
      </c>
      <c r="H221" t="n">
        <v>0</v>
      </c>
      <c r="I221" t="n">
        <v>0</v>
      </c>
      <c r="J221" t="n">
        <v>0</v>
      </c>
      <c r="K221" t="n">
        <v>0</v>
      </c>
      <c r="L221" t="n">
        <v>0</v>
      </c>
      <c r="M221" t="n">
        <v>0</v>
      </c>
      <c r="N221" t="n">
        <v>0</v>
      </c>
      <c r="O221" t="n">
        <v>0</v>
      </c>
      <c r="P221" t="n">
        <v>0</v>
      </c>
      <c r="Q221" t="n">
        <v>0</v>
      </c>
      <c r="R221" s="2" t="inlineStr"/>
    </row>
    <row r="222" ht="15" customHeight="1">
      <c r="A222" t="inlineStr">
        <is>
          <t>A 51777-2020</t>
        </is>
      </c>
      <c r="B222" s="1" t="n">
        <v>44116</v>
      </c>
      <c r="C222" s="1" t="n">
        <v>45353</v>
      </c>
      <c r="D222" t="inlineStr">
        <is>
          <t>DALARNAS LÄN</t>
        </is>
      </c>
      <c r="E222" t="inlineStr">
        <is>
          <t>LUDVIKA</t>
        </is>
      </c>
      <c r="G222" t="n">
        <v>11.2</v>
      </c>
      <c r="H222" t="n">
        <v>0</v>
      </c>
      <c r="I222" t="n">
        <v>0</v>
      </c>
      <c r="J222" t="n">
        <v>0</v>
      </c>
      <c r="K222" t="n">
        <v>0</v>
      </c>
      <c r="L222" t="n">
        <v>0</v>
      </c>
      <c r="M222" t="n">
        <v>0</v>
      </c>
      <c r="N222" t="n">
        <v>0</v>
      </c>
      <c r="O222" t="n">
        <v>0</v>
      </c>
      <c r="P222" t="n">
        <v>0</v>
      </c>
      <c r="Q222" t="n">
        <v>0</v>
      </c>
      <c r="R222" s="2" t="inlineStr"/>
    </row>
    <row r="223" ht="15" customHeight="1">
      <c r="A223" t="inlineStr">
        <is>
          <t>A 51895-2020</t>
        </is>
      </c>
      <c r="B223" s="1" t="n">
        <v>44116</v>
      </c>
      <c r="C223" s="1" t="n">
        <v>45353</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52425-2020</t>
        </is>
      </c>
      <c r="B224" s="1" t="n">
        <v>44118</v>
      </c>
      <c r="C224" s="1" t="n">
        <v>45353</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52748-2020</t>
        </is>
      </c>
      <c r="B225" s="1" t="n">
        <v>44119</v>
      </c>
      <c r="C225" s="1" t="n">
        <v>45353</v>
      </c>
      <c r="D225" t="inlineStr">
        <is>
          <t>DALARNAS LÄN</t>
        </is>
      </c>
      <c r="E225" t="inlineStr">
        <is>
          <t>LUDVIKA</t>
        </is>
      </c>
      <c r="G225" t="n">
        <v>1</v>
      </c>
      <c r="H225" t="n">
        <v>0</v>
      </c>
      <c r="I225" t="n">
        <v>0</v>
      </c>
      <c r="J225" t="n">
        <v>0</v>
      </c>
      <c r="K225" t="n">
        <v>0</v>
      </c>
      <c r="L225" t="n">
        <v>0</v>
      </c>
      <c r="M225" t="n">
        <v>0</v>
      </c>
      <c r="N225" t="n">
        <v>0</v>
      </c>
      <c r="O225" t="n">
        <v>0</v>
      </c>
      <c r="P225" t="n">
        <v>0</v>
      </c>
      <c r="Q225" t="n">
        <v>0</v>
      </c>
      <c r="R225" s="2" t="inlineStr"/>
    </row>
    <row r="226" ht="15" customHeight="1">
      <c r="A226" t="inlineStr">
        <is>
          <t>A 52853-2020</t>
        </is>
      </c>
      <c r="B226" s="1" t="n">
        <v>44119</v>
      </c>
      <c r="C226" s="1" t="n">
        <v>45353</v>
      </c>
      <c r="D226" t="inlineStr">
        <is>
          <t>DALARNAS LÄN</t>
        </is>
      </c>
      <c r="E226" t="inlineStr">
        <is>
          <t>LUDVIKA</t>
        </is>
      </c>
      <c r="G226" t="n">
        <v>28</v>
      </c>
      <c r="H226" t="n">
        <v>0</v>
      </c>
      <c r="I226" t="n">
        <v>0</v>
      </c>
      <c r="J226" t="n">
        <v>0</v>
      </c>
      <c r="K226" t="n">
        <v>0</v>
      </c>
      <c r="L226" t="n">
        <v>0</v>
      </c>
      <c r="M226" t="n">
        <v>0</v>
      </c>
      <c r="N226" t="n">
        <v>0</v>
      </c>
      <c r="O226" t="n">
        <v>0</v>
      </c>
      <c r="P226" t="n">
        <v>0</v>
      </c>
      <c r="Q226" t="n">
        <v>0</v>
      </c>
      <c r="R226" s="2" t="inlineStr"/>
    </row>
    <row r="227" ht="15" customHeight="1">
      <c r="A227" t="inlineStr">
        <is>
          <t>A 52929-2020</t>
        </is>
      </c>
      <c r="B227" s="1" t="n">
        <v>44120</v>
      </c>
      <c r="C227" s="1" t="n">
        <v>45353</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53960-2020</t>
        </is>
      </c>
      <c r="B228" s="1" t="n">
        <v>44123</v>
      </c>
      <c r="C228" s="1" t="n">
        <v>45353</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53756-2020</t>
        </is>
      </c>
      <c r="B229" s="1" t="n">
        <v>44124</v>
      </c>
      <c r="C229" s="1" t="n">
        <v>45353</v>
      </c>
      <c r="D229" t="inlineStr">
        <is>
          <t>DALARNAS LÄN</t>
        </is>
      </c>
      <c r="E229" t="inlineStr">
        <is>
          <t>LUDVIKA</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54639-2020</t>
        </is>
      </c>
      <c r="B230" s="1" t="n">
        <v>44127</v>
      </c>
      <c r="C230" s="1" t="n">
        <v>45353</v>
      </c>
      <c r="D230" t="inlineStr">
        <is>
          <t>DALARNAS LÄN</t>
        </is>
      </c>
      <c r="E230" t="inlineStr">
        <is>
          <t>LUDVIKA</t>
        </is>
      </c>
      <c r="F230" t="inlineStr">
        <is>
          <t>Övriga Aktiebolag</t>
        </is>
      </c>
      <c r="G230" t="n">
        <v>25.9</v>
      </c>
      <c r="H230" t="n">
        <v>0</v>
      </c>
      <c r="I230" t="n">
        <v>0</v>
      </c>
      <c r="J230" t="n">
        <v>0</v>
      </c>
      <c r="K230" t="n">
        <v>0</v>
      </c>
      <c r="L230" t="n">
        <v>0</v>
      </c>
      <c r="M230" t="n">
        <v>0</v>
      </c>
      <c r="N230" t="n">
        <v>0</v>
      </c>
      <c r="O230" t="n">
        <v>0</v>
      </c>
      <c r="P230" t="n">
        <v>0</v>
      </c>
      <c r="Q230" t="n">
        <v>0</v>
      </c>
      <c r="R230" s="2" t="inlineStr"/>
    </row>
    <row r="231" ht="15" customHeight="1">
      <c r="A231" t="inlineStr">
        <is>
          <t>A 54641-2020</t>
        </is>
      </c>
      <c r="B231" s="1" t="n">
        <v>44127</v>
      </c>
      <c r="C231" s="1" t="n">
        <v>45353</v>
      </c>
      <c r="D231" t="inlineStr">
        <is>
          <t>DALARNAS LÄN</t>
        </is>
      </c>
      <c r="E231" t="inlineStr">
        <is>
          <t>LUDVIKA</t>
        </is>
      </c>
      <c r="F231" t="inlineStr">
        <is>
          <t>Övriga Aktiebolag</t>
        </is>
      </c>
      <c r="G231" t="n">
        <v>38.7</v>
      </c>
      <c r="H231" t="n">
        <v>0</v>
      </c>
      <c r="I231" t="n">
        <v>0</v>
      </c>
      <c r="J231" t="n">
        <v>0</v>
      </c>
      <c r="K231" t="n">
        <v>0</v>
      </c>
      <c r="L231" t="n">
        <v>0</v>
      </c>
      <c r="M231" t="n">
        <v>0</v>
      </c>
      <c r="N231" t="n">
        <v>0</v>
      </c>
      <c r="O231" t="n">
        <v>0</v>
      </c>
      <c r="P231" t="n">
        <v>0</v>
      </c>
      <c r="Q231" t="n">
        <v>0</v>
      </c>
      <c r="R231" s="2" t="inlineStr"/>
    </row>
    <row r="232" ht="15" customHeight="1">
      <c r="A232" t="inlineStr">
        <is>
          <t>A 55646-2020</t>
        </is>
      </c>
      <c r="B232" s="1" t="n">
        <v>44131</v>
      </c>
      <c r="C232" s="1" t="n">
        <v>45353</v>
      </c>
      <c r="D232" t="inlineStr">
        <is>
          <t>DALARNAS LÄN</t>
        </is>
      </c>
      <c r="E232" t="inlineStr">
        <is>
          <t>LUDVIKA</t>
        </is>
      </c>
      <c r="G232" t="n">
        <v>0.5</v>
      </c>
      <c r="H232" t="n">
        <v>0</v>
      </c>
      <c r="I232" t="n">
        <v>0</v>
      </c>
      <c r="J232" t="n">
        <v>0</v>
      </c>
      <c r="K232" t="n">
        <v>0</v>
      </c>
      <c r="L232" t="n">
        <v>0</v>
      </c>
      <c r="M232" t="n">
        <v>0</v>
      </c>
      <c r="N232" t="n">
        <v>0</v>
      </c>
      <c r="O232" t="n">
        <v>0</v>
      </c>
      <c r="P232" t="n">
        <v>0</v>
      </c>
      <c r="Q232" t="n">
        <v>0</v>
      </c>
      <c r="R232" s="2" t="inlineStr"/>
    </row>
    <row r="233" ht="15" customHeight="1">
      <c r="A233" t="inlineStr">
        <is>
          <t>A 61004-2020</t>
        </is>
      </c>
      <c r="B233" s="1" t="n">
        <v>44154</v>
      </c>
      <c r="C233" s="1" t="n">
        <v>45353</v>
      </c>
      <c r="D233" t="inlineStr">
        <is>
          <t>DALARNAS LÄN</t>
        </is>
      </c>
      <c r="E233" t="inlineStr">
        <is>
          <t>LUDVIKA</t>
        </is>
      </c>
      <c r="F233" t="inlineStr">
        <is>
          <t>Bergvik skog väst AB</t>
        </is>
      </c>
      <c r="G233" t="n">
        <v>2.8</v>
      </c>
      <c r="H233" t="n">
        <v>0</v>
      </c>
      <c r="I233" t="n">
        <v>0</v>
      </c>
      <c r="J233" t="n">
        <v>0</v>
      </c>
      <c r="K233" t="n">
        <v>0</v>
      </c>
      <c r="L233" t="n">
        <v>0</v>
      </c>
      <c r="M233" t="n">
        <v>0</v>
      </c>
      <c r="N233" t="n">
        <v>0</v>
      </c>
      <c r="O233" t="n">
        <v>0</v>
      </c>
      <c r="P233" t="n">
        <v>0</v>
      </c>
      <c r="Q233" t="n">
        <v>0</v>
      </c>
      <c r="R233" s="2" t="inlineStr"/>
    </row>
    <row r="234" ht="15" customHeight="1">
      <c r="A234" t="inlineStr">
        <is>
          <t>A 60913-2020</t>
        </is>
      </c>
      <c r="B234" s="1" t="n">
        <v>44154</v>
      </c>
      <c r="C234" s="1" t="n">
        <v>45353</v>
      </c>
      <c r="D234" t="inlineStr">
        <is>
          <t>DALARNAS LÄN</t>
        </is>
      </c>
      <c r="E234" t="inlineStr">
        <is>
          <t>LUDVIKA</t>
        </is>
      </c>
      <c r="G234" t="n">
        <v>2.2</v>
      </c>
      <c r="H234" t="n">
        <v>0</v>
      </c>
      <c r="I234" t="n">
        <v>0</v>
      </c>
      <c r="J234" t="n">
        <v>0</v>
      </c>
      <c r="K234" t="n">
        <v>0</v>
      </c>
      <c r="L234" t="n">
        <v>0</v>
      </c>
      <c r="M234" t="n">
        <v>0</v>
      </c>
      <c r="N234" t="n">
        <v>0</v>
      </c>
      <c r="O234" t="n">
        <v>0</v>
      </c>
      <c r="P234" t="n">
        <v>0</v>
      </c>
      <c r="Q234" t="n">
        <v>0</v>
      </c>
      <c r="R234" s="2" t="inlineStr"/>
    </row>
    <row r="235" ht="15" customHeight="1">
      <c r="A235" t="inlineStr">
        <is>
          <t>A 60822-2020</t>
        </is>
      </c>
      <c r="B235" s="1" t="n">
        <v>44154</v>
      </c>
      <c r="C235" s="1" t="n">
        <v>45353</v>
      </c>
      <c r="D235" t="inlineStr">
        <is>
          <t>DALARNAS LÄN</t>
        </is>
      </c>
      <c r="E235" t="inlineStr">
        <is>
          <t>LUDVIKA</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61491-2020</t>
        </is>
      </c>
      <c r="B236" s="1" t="n">
        <v>44154</v>
      </c>
      <c r="C236" s="1" t="n">
        <v>45353</v>
      </c>
      <c r="D236" t="inlineStr">
        <is>
          <t>DALARNAS LÄN</t>
        </is>
      </c>
      <c r="E236" t="inlineStr">
        <is>
          <t>LUDVIKA</t>
        </is>
      </c>
      <c r="G236" t="n">
        <v>1.5</v>
      </c>
      <c r="H236" t="n">
        <v>0</v>
      </c>
      <c r="I236" t="n">
        <v>0</v>
      </c>
      <c r="J236" t="n">
        <v>0</v>
      </c>
      <c r="K236" t="n">
        <v>0</v>
      </c>
      <c r="L236" t="n">
        <v>0</v>
      </c>
      <c r="M236" t="n">
        <v>0</v>
      </c>
      <c r="N236" t="n">
        <v>0</v>
      </c>
      <c r="O236" t="n">
        <v>0</v>
      </c>
      <c r="P236" t="n">
        <v>0</v>
      </c>
      <c r="Q236" t="n">
        <v>0</v>
      </c>
      <c r="R236" s="2" t="inlineStr"/>
    </row>
    <row r="237" ht="15" customHeight="1">
      <c r="A237" t="inlineStr">
        <is>
          <t>A 61501-2020</t>
        </is>
      </c>
      <c r="B237" s="1" t="n">
        <v>44154</v>
      </c>
      <c r="C237" s="1" t="n">
        <v>45353</v>
      </c>
      <c r="D237" t="inlineStr">
        <is>
          <t>DALARNAS LÄN</t>
        </is>
      </c>
      <c r="E237" t="inlineStr">
        <is>
          <t>LUDVIKA</t>
        </is>
      </c>
      <c r="G237" t="n">
        <v>10</v>
      </c>
      <c r="H237" t="n">
        <v>0</v>
      </c>
      <c r="I237" t="n">
        <v>0</v>
      </c>
      <c r="J237" t="n">
        <v>0</v>
      </c>
      <c r="K237" t="n">
        <v>0</v>
      </c>
      <c r="L237" t="n">
        <v>0</v>
      </c>
      <c r="M237" t="n">
        <v>0</v>
      </c>
      <c r="N237" t="n">
        <v>0</v>
      </c>
      <c r="O237" t="n">
        <v>0</v>
      </c>
      <c r="P237" t="n">
        <v>0</v>
      </c>
      <c r="Q237" t="n">
        <v>0</v>
      </c>
      <c r="R237" s="2" t="inlineStr"/>
    </row>
    <row r="238" ht="15" customHeight="1">
      <c r="A238" t="inlineStr">
        <is>
          <t>A 61838-2020</t>
        </is>
      </c>
      <c r="B238" s="1" t="n">
        <v>44159</v>
      </c>
      <c r="C238" s="1" t="n">
        <v>45353</v>
      </c>
      <c r="D238" t="inlineStr">
        <is>
          <t>DALARNAS LÄN</t>
        </is>
      </c>
      <c r="E238" t="inlineStr">
        <is>
          <t>LUDVIKA</t>
        </is>
      </c>
      <c r="F238" t="inlineStr">
        <is>
          <t>Bergvik skog väst AB</t>
        </is>
      </c>
      <c r="G238" t="n">
        <v>2.7</v>
      </c>
      <c r="H238" t="n">
        <v>0</v>
      </c>
      <c r="I238" t="n">
        <v>0</v>
      </c>
      <c r="J238" t="n">
        <v>0</v>
      </c>
      <c r="K238" t="n">
        <v>0</v>
      </c>
      <c r="L238" t="n">
        <v>0</v>
      </c>
      <c r="M238" t="n">
        <v>0</v>
      </c>
      <c r="N238" t="n">
        <v>0</v>
      </c>
      <c r="O238" t="n">
        <v>0</v>
      </c>
      <c r="P238" t="n">
        <v>0</v>
      </c>
      <c r="Q238" t="n">
        <v>0</v>
      </c>
      <c r="R238" s="2" t="inlineStr"/>
    </row>
    <row r="239" ht="15" customHeight="1">
      <c r="A239" t="inlineStr">
        <is>
          <t>A 63799-2020</t>
        </is>
      </c>
      <c r="B239" s="1" t="n">
        <v>44165</v>
      </c>
      <c r="C239" s="1" t="n">
        <v>45353</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63767-2020</t>
        </is>
      </c>
      <c r="B240" s="1" t="n">
        <v>44166</v>
      </c>
      <c r="C240" s="1" t="n">
        <v>45353</v>
      </c>
      <c r="D240" t="inlineStr">
        <is>
          <t>DALARNAS LÄN</t>
        </is>
      </c>
      <c r="E240" t="inlineStr">
        <is>
          <t>LUDVIKA</t>
        </is>
      </c>
      <c r="F240" t="inlineStr">
        <is>
          <t>Kommuner</t>
        </is>
      </c>
      <c r="G240" t="n">
        <v>1.9</v>
      </c>
      <c r="H240" t="n">
        <v>0</v>
      </c>
      <c r="I240" t="n">
        <v>0</v>
      </c>
      <c r="J240" t="n">
        <v>0</v>
      </c>
      <c r="K240" t="n">
        <v>0</v>
      </c>
      <c r="L240" t="n">
        <v>0</v>
      </c>
      <c r="M240" t="n">
        <v>0</v>
      </c>
      <c r="N240" t="n">
        <v>0</v>
      </c>
      <c r="O240" t="n">
        <v>0</v>
      </c>
      <c r="P240" t="n">
        <v>0</v>
      </c>
      <c r="Q240" t="n">
        <v>0</v>
      </c>
      <c r="R240" s="2" t="inlineStr"/>
    </row>
    <row r="241" ht="15" customHeight="1">
      <c r="A241" t="inlineStr">
        <is>
          <t>A 65150-2020</t>
        </is>
      </c>
      <c r="B241" s="1" t="n">
        <v>44168</v>
      </c>
      <c r="C241" s="1" t="n">
        <v>45353</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66188-2020</t>
        </is>
      </c>
      <c r="B242" s="1" t="n">
        <v>44174</v>
      </c>
      <c r="C242" s="1" t="n">
        <v>45353</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69094-2020</t>
        </is>
      </c>
      <c r="B243" s="1" t="n">
        <v>44188</v>
      </c>
      <c r="C243" s="1" t="n">
        <v>45353</v>
      </c>
      <c r="D243" t="inlineStr">
        <is>
          <t>DALARNAS LÄN</t>
        </is>
      </c>
      <c r="E243" t="inlineStr">
        <is>
          <t>LUDVIKA</t>
        </is>
      </c>
      <c r="F243" t="inlineStr">
        <is>
          <t>Bergvik skog väst AB</t>
        </is>
      </c>
      <c r="G243" t="n">
        <v>2.1</v>
      </c>
      <c r="H243" t="n">
        <v>0</v>
      </c>
      <c r="I243" t="n">
        <v>0</v>
      </c>
      <c r="J243" t="n">
        <v>0</v>
      </c>
      <c r="K243" t="n">
        <v>0</v>
      </c>
      <c r="L243" t="n">
        <v>0</v>
      </c>
      <c r="M243" t="n">
        <v>0</v>
      </c>
      <c r="N243" t="n">
        <v>0</v>
      </c>
      <c r="O243" t="n">
        <v>0</v>
      </c>
      <c r="P243" t="n">
        <v>0</v>
      </c>
      <c r="Q243" t="n">
        <v>0</v>
      </c>
      <c r="R243" s="2" t="inlineStr"/>
    </row>
    <row r="244" ht="15" customHeight="1">
      <c r="A244" t="inlineStr">
        <is>
          <t>A 69157-2020</t>
        </is>
      </c>
      <c r="B244" s="1" t="n">
        <v>44188</v>
      </c>
      <c r="C244" s="1" t="n">
        <v>45353</v>
      </c>
      <c r="D244" t="inlineStr">
        <is>
          <t>DALARNAS LÄN</t>
        </is>
      </c>
      <c r="E244" t="inlineStr">
        <is>
          <t>LUDVIKA</t>
        </is>
      </c>
      <c r="F244" t="inlineStr">
        <is>
          <t>Kommuner</t>
        </is>
      </c>
      <c r="G244" t="n">
        <v>5.2</v>
      </c>
      <c r="H244" t="n">
        <v>0</v>
      </c>
      <c r="I244" t="n">
        <v>0</v>
      </c>
      <c r="J244" t="n">
        <v>0</v>
      </c>
      <c r="K244" t="n">
        <v>0</v>
      </c>
      <c r="L244" t="n">
        <v>0</v>
      </c>
      <c r="M244" t="n">
        <v>0</v>
      </c>
      <c r="N244" t="n">
        <v>0</v>
      </c>
      <c r="O244" t="n">
        <v>0</v>
      </c>
      <c r="P244" t="n">
        <v>0</v>
      </c>
      <c r="Q244" t="n">
        <v>0</v>
      </c>
      <c r="R244" s="2" t="inlineStr"/>
    </row>
    <row r="245" ht="15" customHeight="1">
      <c r="A245" t="inlineStr">
        <is>
          <t>A 69154-2020</t>
        </is>
      </c>
      <c r="B245" s="1" t="n">
        <v>44188</v>
      </c>
      <c r="C245" s="1" t="n">
        <v>45353</v>
      </c>
      <c r="D245" t="inlineStr">
        <is>
          <t>DALARNAS LÄN</t>
        </is>
      </c>
      <c r="E245" t="inlineStr">
        <is>
          <t>LUDVIKA</t>
        </is>
      </c>
      <c r="F245" t="inlineStr">
        <is>
          <t>Kommuner</t>
        </is>
      </c>
      <c r="G245" t="n">
        <v>13.3</v>
      </c>
      <c r="H245" t="n">
        <v>0</v>
      </c>
      <c r="I245" t="n">
        <v>0</v>
      </c>
      <c r="J245" t="n">
        <v>0</v>
      </c>
      <c r="K245" t="n">
        <v>0</v>
      </c>
      <c r="L245" t="n">
        <v>0</v>
      </c>
      <c r="M245" t="n">
        <v>0</v>
      </c>
      <c r="N245" t="n">
        <v>0</v>
      </c>
      <c r="O245" t="n">
        <v>0</v>
      </c>
      <c r="P245" t="n">
        <v>0</v>
      </c>
      <c r="Q245" t="n">
        <v>0</v>
      </c>
      <c r="R245" s="2" t="inlineStr"/>
    </row>
    <row r="246" ht="15" customHeight="1">
      <c r="A246" t="inlineStr">
        <is>
          <t>A 69090-2020</t>
        </is>
      </c>
      <c r="B246" s="1" t="n">
        <v>44188</v>
      </c>
      <c r="C246" s="1" t="n">
        <v>45353</v>
      </c>
      <c r="D246" t="inlineStr">
        <is>
          <t>DALARNAS LÄN</t>
        </is>
      </c>
      <c r="E246" t="inlineStr">
        <is>
          <t>LUDVIKA</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69165-2020</t>
        </is>
      </c>
      <c r="B247" s="1" t="n">
        <v>44188</v>
      </c>
      <c r="C247" s="1" t="n">
        <v>45353</v>
      </c>
      <c r="D247" t="inlineStr">
        <is>
          <t>DALARNAS LÄN</t>
        </is>
      </c>
      <c r="E247" t="inlineStr">
        <is>
          <t>LUDVIKA</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1633-2021</t>
        </is>
      </c>
      <c r="B248" s="1" t="n">
        <v>44209</v>
      </c>
      <c r="C248" s="1" t="n">
        <v>45353</v>
      </c>
      <c r="D248" t="inlineStr">
        <is>
          <t>DALARNAS LÄN</t>
        </is>
      </c>
      <c r="E248" t="inlineStr">
        <is>
          <t>LUDVIKA</t>
        </is>
      </c>
      <c r="G248" t="n">
        <v>0.6</v>
      </c>
      <c r="H248" t="n">
        <v>0</v>
      </c>
      <c r="I248" t="n">
        <v>0</v>
      </c>
      <c r="J248" t="n">
        <v>0</v>
      </c>
      <c r="K248" t="n">
        <v>0</v>
      </c>
      <c r="L248" t="n">
        <v>0</v>
      </c>
      <c r="M248" t="n">
        <v>0</v>
      </c>
      <c r="N248" t="n">
        <v>0</v>
      </c>
      <c r="O248" t="n">
        <v>0</v>
      </c>
      <c r="P248" t="n">
        <v>0</v>
      </c>
      <c r="Q248" t="n">
        <v>0</v>
      </c>
      <c r="R248" s="2" t="inlineStr"/>
    </row>
    <row r="249" ht="15" customHeight="1">
      <c r="A249" t="inlineStr">
        <is>
          <t>A 3104-2021</t>
        </is>
      </c>
      <c r="B249" s="1" t="n">
        <v>44217</v>
      </c>
      <c r="C249" s="1" t="n">
        <v>45353</v>
      </c>
      <c r="D249" t="inlineStr">
        <is>
          <t>DALARNAS LÄN</t>
        </is>
      </c>
      <c r="E249" t="inlineStr">
        <is>
          <t>LUDVIKA</t>
        </is>
      </c>
      <c r="G249" t="n">
        <v>2.1</v>
      </c>
      <c r="H249" t="n">
        <v>0</v>
      </c>
      <c r="I249" t="n">
        <v>0</v>
      </c>
      <c r="J249" t="n">
        <v>0</v>
      </c>
      <c r="K249" t="n">
        <v>0</v>
      </c>
      <c r="L249" t="n">
        <v>0</v>
      </c>
      <c r="M249" t="n">
        <v>0</v>
      </c>
      <c r="N249" t="n">
        <v>0</v>
      </c>
      <c r="O249" t="n">
        <v>0</v>
      </c>
      <c r="P249" t="n">
        <v>0</v>
      </c>
      <c r="Q249" t="n">
        <v>0</v>
      </c>
      <c r="R249" s="2" t="inlineStr"/>
    </row>
    <row r="250" ht="15" customHeight="1">
      <c r="A250" t="inlineStr">
        <is>
          <t>A 3403-2021</t>
        </is>
      </c>
      <c r="B250" s="1" t="n">
        <v>44218</v>
      </c>
      <c r="C250" s="1" t="n">
        <v>45353</v>
      </c>
      <c r="D250" t="inlineStr">
        <is>
          <t>DALARNAS LÄN</t>
        </is>
      </c>
      <c r="E250" t="inlineStr">
        <is>
          <t>LUDVIKA</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4569-2021</t>
        </is>
      </c>
      <c r="B251" s="1" t="n">
        <v>44224</v>
      </c>
      <c r="C251" s="1" t="n">
        <v>45353</v>
      </c>
      <c r="D251" t="inlineStr">
        <is>
          <t>DALARNAS LÄN</t>
        </is>
      </c>
      <c r="E251" t="inlineStr">
        <is>
          <t>LUDVIKA</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7073-2021</t>
        </is>
      </c>
      <c r="B252" s="1" t="n">
        <v>44237</v>
      </c>
      <c r="C252" s="1" t="n">
        <v>45353</v>
      </c>
      <c r="D252" t="inlineStr">
        <is>
          <t>DALARNAS LÄN</t>
        </is>
      </c>
      <c r="E252" t="inlineStr">
        <is>
          <t>LUDVIKA</t>
        </is>
      </c>
      <c r="G252" t="n">
        <v>0.9</v>
      </c>
      <c r="H252" t="n">
        <v>0</v>
      </c>
      <c r="I252" t="n">
        <v>0</v>
      </c>
      <c r="J252" t="n">
        <v>0</v>
      </c>
      <c r="K252" t="n">
        <v>0</v>
      </c>
      <c r="L252" t="n">
        <v>0</v>
      </c>
      <c r="M252" t="n">
        <v>0</v>
      </c>
      <c r="N252" t="n">
        <v>0</v>
      </c>
      <c r="O252" t="n">
        <v>0</v>
      </c>
      <c r="P252" t="n">
        <v>0</v>
      </c>
      <c r="Q252" t="n">
        <v>0</v>
      </c>
      <c r="R252" s="2" t="inlineStr"/>
    </row>
    <row r="253" ht="15" customHeight="1">
      <c r="A253" t="inlineStr">
        <is>
          <t>A 8321-2021</t>
        </is>
      </c>
      <c r="B253" s="1" t="n">
        <v>44244</v>
      </c>
      <c r="C253" s="1" t="n">
        <v>45353</v>
      </c>
      <c r="D253" t="inlineStr">
        <is>
          <t>DALARNAS LÄN</t>
        </is>
      </c>
      <c r="E253" t="inlineStr">
        <is>
          <t>LUDVIKA</t>
        </is>
      </c>
      <c r="G253" t="n">
        <v>1.9</v>
      </c>
      <c r="H253" t="n">
        <v>0</v>
      </c>
      <c r="I253" t="n">
        <v>0</v>
      </c>
      <c r="J253" t="n">
        <v>0</v>
      </c>
      <c r="K253" t="n">
        <v>0</v>
      </c>
      <c r="L253" t="n">
        <v>0</v>
      </c>
      <c r="M253" t="n">
        <v>0</v>
      </c>
      <c r="N253" t="n">
        <v>0</v>
      </c>
      <c r="O253" t="n">
        <v>0</v>
      </c>
      <c r="P253" t="n">
        <v>0</v>
      </c>
      <c r="Q253" t="n">
        <v>0</v>
      </c>
      <c r="R253" s="2" t="inlineStr"/>
    </row>
    <row r="254" ht="15" customHeight="1">
      <c r="A254" t="inlineStr">
        <is>
          <t>A 8319-2021</t>
        </is>
      </c>
      <c r="B254" s="1" t="n">
        <v>44244</v>
      </c>
      <c r="C254" s="1" t="n">
        <v>45353</v>
      </c>
      <c r="D254" t="inlineStr">
        <is>
          <t>DALARNAS LÄN</t>
        </is>
      </c>
      <c r="E254" t="inlineStr">
        <is>
          <t>LUDVIKA</t>
        </is>
      </c>
      <c r="G254" t="n">
        <v>0.5</v>
      </c>
      <c r="H254" t="n">
        <v>0</v>
      </c>
      <c r="I254" t="n">
        <v>0</v>
      </c>
      <c r="J254" t="n">
        <v>0</v>
      </c>
      <c r="K254" t="n">
        <v>0</v>
      </c>
      <c r="L254" t="n">
        <v>0</v>
      </c>
      <c r="M254" t="n">
        <v>0</v>
      </c>
      <c r="N254" t="n">
        <v>0</v>
      </c>
      <c r="O254" t="n">
        <v>0</v>
      </c>
      <c r="P254" t="n">
        <v>0</v>
      </c>
      <c r="Q254" t="n">
        <v>0</v>
      </c>
      <c r="R254" s="2" t="inlineStr"/>
    </row>
    <row r="255" ht="15" customHeight="1">
      <c r="A255" t="inlineStr">
        <is>
          <t>A 9292-2021</t>
        </is>
      </c>
      <c r="B255" s="1" t="n">
        <v>44249</v>
      </c>
      <c r="C255" s="1" t="n">
        <v>45353</v>
      </c>
      <c r="D255" t="inlineStr">
        <is>
          <t>DALARNAS LÄN</t>
        </is>
      </c>
      <c r="E255" t="inlineStr">
        <is>
          <t>LUDVIKA</t>
        </is>
      </c>
      <c r="G255" t="n">
        <v>5.1</v>
      </c>
      <c r="H255" t="n">
        <v>0</v>
      </c>
      <c r="I255" t="n">
        <v>0</v>
      </c>
      <c r="J255" t="n">
        <v>0</v>
      </c>
      <c r="K255" t="n">
        <v>0</v>
      </c>
      <c r="L255" t="n">
        <v>0</v>
      </c>
      <c r="M255" t="n">
        <v>0</v>
      </c>
      <c r="N255" t="n">
        <v>0</v>
      </c>
      <c r="O255" t="n">
        <v>0</v>
      </c>
      <c r="P255" t="n">
        <v>0</v>
      </c>
      <c r="Q255" t="n">
        <v>0</v>
      </c>
      <c r="R255" s="2" t="inlineStr"/>
    </row>
    <row r="256" ht="15" customHeight="1">
      <c r="A256" t="inlineStr">
        <is>
          <t>A 11611-2021</t>
        </is>
      </c>
      <c r="B256" s="1" t="n">
        <v>44264</v>
      </c>
      <c r="C256" s="1" t="n">
        <v>45353</v>
      </c>
      <c r="D256" t="inlineStr">
        <is>
          <t>DALARNAS LÄN</t>
        </is>
      </c>
      <c r="E256" t="inlineStr">
        <is>
          <t>LUDVIKA</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13778-2021</t>
        </is>
      </c>
      <c r="B257" s="1" t="n">
        <v>44274</v>
      </c>
      <c r="C257" s="1" t="n">
        <v>45353</v>
      </c>
      <c r="D257" t="inlineStr">
        <is>
          <t>DALARNAS LÄN</t>
        </is>
      </c>
      <c r="E257" t="inlineStr">
        <is>
          <t>LUDVIKA</t>
        </is>
      </c>
      <c r="G257" t="n">
        <v>5.8</v>
      </c>
      <c r="H257" t="n">
        <v>0</v>
      </c>
      <c r="I257" t="n">
        <v>0</v>
      </c>
      <c r="J257" t="n">
        <v>0</v>
      </c>
      <c r="K257" t="n">
        <v>0</v>
      </c>
      <c r="L257" t="n">
        <v>0</v>
      </c>
      <c r="M257" t="n">
        <v>0</v>
      </c>
      <c r="N257" t="n">
        <v>0</v>
      </c>
      <c r="O257" t="n">
        <v>0</v>
      </c>
      <c r="P257" t="n">
        <v>0</v>
      </c>
      <c r="Q257" t="n">
        <v>0</v>
      </c>
      <c r="R257" s="2" t="inlineStr"/>
    </row>
    <row r="258" ht="15" customHeight="1">
      <c r="A258" t="inlineStr">
        <is>
          <t>A 15020-2021</t>
        </is>
      </c>
      <c r="B258" s="1" t="n">
        <v>44281</v>
      </c>
      <c r="C258" s="1" t="n">
        <v>45353</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15700-2021</t>
        </is>
      </c>
      <c r="B259" s="1" t="n">
        <v>44286</v>
      </c>
      <c r="C259" s="1" t="n">
        <v>45353</v>
      </c>
      <c r="D259" t="inlineStr">
        <is>
          <t>DALARNAS LÄN</t>
        </is>
      </c>
      <c r="E259" t="inlineStr">
        <is>
          <t>LUDVIKA</t>
        </is>
      </c>
      <c r="G259" t="n">
        <v>2.2</v>
      </c>
      <c r="H259" t="n">
        <v>0</v>
      </c>
      <c r="I259" t="n">
        <v>0</v>
      </c>
      <c r="J259" t="n">
        <v>0</v>
      </c>
      <c r="K259" t="n">
        <v>0</v>
      </c>
      <c r="L259" t="n">
        <v>0</v>
      </c>
      <c r="M259" t="n">
        <v>0</v>
      </c>
      <c r="N259" t="n">
        <v>0</v>
      </c>
      <c r="O259" t="n">
        <v>0</v>
      </c>
      <c r="P259" t="n">
        <v>0</v>
      </c>
      <c r="Q259" t="n">
        <v>0</v>
      </c>
      <c r="R259" s="2" t="inlineStr"/>
    </row>
    <row r="260" ht="15" customHeight="1">
      <c r="A260" t="inlineStr">
        <is>
          <t>A 16108-2021</t>
        </is>
      </c>
      <c r="B260" s="1" t="n">
        <v>44291</v>
      </c>
      <c r="C260" s="1" t="n">
        <v>45353</v>
      </c>
      <c r="D260" t="inlineStr">
        <is>
          <t>DALARNAS LÄN</t>
        </is>
      </c>
      <c r="E260" t="inlineStr">
        <is>
          <t>LUDVIKA</t>
        </is>
      </c>
      <c r="G260" t="n">
        <v>2.9</v>
      </c>
      <c r="H260" t="n">
        <v>0</v>
      </c>
      <c r="I260" t="n">
        <v>0</v>
      </c>
      <c r="J260" t="n">
        <v>0</v>
      </c>
      <c r="K260" t="n">
        <v>0</v>
      </c>
      <c r="L260" t="n">
        <v>0</v>
      </c>
      <c r="M260" t="n">
        <v>0</v>
      </c>
      <c r="N260" t="n">
        <v>0</v>
      </c>
      <c r="O260" t="n">
        <v>0</v>
      </c>
      <c r="P260" t="n">
        <v>0</v>
      </c>
      <c r="Q260" t="n">
        <v>0</v>
      </c>
      <c r="R260" s="2" t="inlineStr"/>
    </row>
    <row r="261" ht="15" customHeight="1">
      <c r="A261" t="inlineStr">
        <is>
          <t>A 16187-2021</t>
        </is>
      </c>
      <c r="B261" s="1" t="n">
        <v>44292</v>
      </c>
      <c r="C261" s="1" t="n">
        <v>45353</v>
      </c>
      <c r="D261" t="inlineStr">
        <is>
          <t>DALARNAS LÄN</t>
        </is>
      </c>
      <c r="E261" t="inlineStr">
        <is>
          <t>LUDVIKA</t>
        </is>
      </c>
      <c r="F261" t="inlineStr">
        <is>
          <t>Bergvik skog väst AB</t>
        </is>
      </c>
      <c r="G261" t="n">
        <v>0.7</v>
      </c>
      <c r="H261" t="n">
        <v>0</v>
      </c>
      <c r="I261" t="n">
        <v>0</v>
      </c>
      <c r="J261" t="n">
        <v>0</v>
      </c>
      <c r="K261" t="n">
        <v>0</v>
      </c>
      <c r="L261" t="n">
        <v>0</v>
      </c>
      <c r="M261" t="n">
        <v>0</v>
      </c>
      <c r="N261" t="n">
        <v>0</v>
      </c>
      <c r="O261" t="n">
        <v>0</v>
      </c>
      <c r="P261" t="n">
        <v>0</v>
      </c>
      <c r="Q261" t="n">
        <v>0</v>
      </c>
      <c r="R261" s="2" t="inlineStr"/>
    </row>
    <row r="262" ht="15" customHeight="1">
      <c r="A262" t="inlineStr">
        <is>
          <t>A 16203-2021</t>
        </is>
      </c>
      <c r="B262" s="1" t="n">
        <v>44292</v>
      </c>
      <c r="C262" s="1" t="n">
        <v>45353</v>
      </c>
      <c r="D262" t="inlineStr">
        <is>
          <t>DALARNAS LÄN</t>
        </is>
      </c>
      <c r="E262" t="inlineStr">
        <is>
          <t>LUDVIKA</t>
        </is>
      </c>
      <c r="F262" t="inlineStr">
        <is>
          <t>Bergvik skog väst AB</t>
        </is>
      </c>
      <c r="G262" t="n">
        <v>0.6</v>
      </c>
      <c r="H262" t="n">
        <v>0</v>
      </c>
      <c r="I262" t="n">
        <v>0</v>
      </c>
      <c r="J262" t="n">
        <v>0</v>
      </c>
      <c r="K262" t="n">
        <v>0</v>
      </c>
      <c r="L262" t="n">
        <v>0</v>
      </c>
      <c r="M262" t="n">
        <v>0</v>
      </c>
      <c r="N262" t="n">
        <v>0</v>
      </c>
      <c r="O262" t="n">
        <v>0</v>
      </c>
      <c r="P262" t="n">
        <v>0</v>
      </c>
      <c r="Q262" t="n">
        <v>0</v>
      </c>
      <c r="R262" s="2" t="inlineStr"/>
    </row>
    <row r="263" ht="15" customHeight="1">
      <c r="A263" t="inlineStr">
        <is>
          <t>A 17420-2021</t>
        </is>
      </c>
      <c r="B263" s="1" t="n">
        <v>44299</v>
      </c>
      <c r="C263" s="1" t="n">
        <v>45353</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18025-2021</t>
        </is>
      </c>
      <c r="B264" s="1" t="n">
        <v>44302</v>
      </c>
      <c r="C264" s="1" t="n">
        <v>45353</v>
      </c>
      <c r="D264" t="inlineStr">
        <is>
          <t>DALARNAS LÄN</t>
        </is>
      </c>
      <c r="E264" t="inlineStr">
        <is>
          <t>LUDVIKA</t>
        </is>
      </c>
      <c r="G264" t="n">
        <v>0.8</v>
      </c>
      <c r="H264" t="n">
        <v>0</v>
      </c>
      <c r="I264" t="n">
        <v>0</v>
      </c>
      <c r="J264" t="n">
        <v>0</v>
      </c>
      <c r="K264" t="n">
        <v>0</v>
      </c>
      <c r="L264" t="n">
        <v>0</v>
      </c>
      <c r="M264" t="n">
        <v>0</v>
      </c>
      <c r="N264" t="n">
        <v>0</v>
      </c>
      <c r="O264" t="n">
        <v>0</v>
      </c>
      <c r="P264" t="n">
        <v>0</v>
      </c>
      <c r="Q264" t="n">
        <v>0</v>
      </c>
      <c r="R264" s="2" t="inlineStr"/>
    </row>
    <row r="265" ht="15" customHeight="1">
      <c r="A265" t="inlineStr">
        <is>
          <t>A 20598-2021</t>
        </is>
      </c>
      <c r="B265" s="1" t="n">
        <v>44316</v>
      </c>
      <c r="C265" s="1" t="n">
        <v>45353</v>
      </c>
      <c r="D265" t="inlineStr">
        <is>
          <t>DALARNAS LÄN</t>
        </is>
      </c>
      <c r="E265" t="inlineStr">
        <is>
          <t>LUDVIKA</t>
        </is>
      </c>
      <c r="F265" t="inlineStr">
        <is>
          <t>Naturvårdsverket</t>
        </is>
      </c>
      <c r="G265" t="n">
        <v>2.4</v>
      </c>
      <c r="H265" t="n">
        <v>0</v>
      </c>
      <c r="I265" t="n">
        <v>0</v>
      </c>
      <c r="J265" t="n">
        <v>0</v>
      </c>
      <c r="K265" t="n">
        <v>0</v>
      </c>
      <c r="L265" t="n">
        <v>0</v>
      </c>
      <c r="M265" t="n">
        <v>0</v>
      </c>
      <c r="N265" t="n">
        <v>0</v>
      </c>
      <c r="O265" t="n">
        <v>0</v>
      </c>
      <c r="P265" t="n">
        <v>0</v>
      </c>
      <c r="Q265" t="n">
        <v>0</v>
      </c>
      <c r="R265" s="2" t="inlineStr"/>
    </row>
    <row r="266" ht="15" customHeight="1">
      <c r="A266" t="inlineStr">
        <is>
          <t>A 20599-2021</t>
        </is>
      </c>
      <c r="B266" s="1" t="n">
        <v>44316</v>
      </c>
      <c r="C266" s="1" t="n">
        <v>45353</v>
      </c>
      <c r="D266" t="inlineStr">
        <is>
          <t>DALARNAS LÄN</t>
        </is>
      </c>
      <c r="E266" t="inlineStr">
        <is>
          <t>LUDVIKA</t>
        </is>
      </c>
      <c r="F266" t="inlineStr">
        <is>
          <t>Naturvårdsverket</t>
        </is>
      </c>
      <c r="G266" t="n">
        <v>1.2</v>
      </c>
      <c r="H266" t="n">
        <v>0</v>
      </c>
      <c r="I266" t="n">
        <v>0</v>
      </c>
      <c r="J266" t="n">
        <v>0</v>
      </c>
      <c r="K266" t="n">
        <v>0</v>
      </c>
      <c r="L266" t="n">
        <v>0</v>
      </c>
      <c r="M266" t="n">
        <v>0</v>
      </c>
      <c r="N266" t="n">
        <v>0</v>
      </c>
      <c r="O266" t="n">
        <v>0</v>
      </c>
      <c r="P266" t="n">
        <v>0</v>
      </c>
      <c r="Q266" t="n">
        <v>0</v>
      </c>
      <c r="R266" s="2" t="inlineStr"/>
    </row>
    <row r="267" ht="15" customHeight="1">
      <c r="A267" t="inlineStr">
        <is>
          <t>A 20690-2021</t>
        </is>
      </c>
      <c r="B267" s="1" t="n">
        <v>44316</v>
      </c>
      <c r="C267" s="1" t="n">
        <v>45353</v>
      </c>
      <c r="D267" t="inlineStr">
        <is>
          <t>DALARNAS LÄN</t>
        </is>
      </c>
      <c r="E267" t="inlineStr">
        <is>
          <t>LUDVIKA</t>
        </is>
      </c>
      <c r="F267" t="inlineStr">
        <is>
          <t>Naturvårdsverket</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20700-2021</t>
        </is>
      </c>
      <c r="B268" s="1" t="n">
        <v>44316</v>
      </c>
      <c r="C268" s="1" t="n">
        <v>45353</v>
      </c>
      <c r="D268" t="inlineStr">
        <is>
          <t>DALARNAS LÄN</t>
        </is>
      </c>
      <c r="E268" t="inlineStr">
        <is>
          <t>LUDVIKA</t>
        </is>
      </c>
      <c r="F268" t="inlineStr">
        <is>
          <t>Naturvårdsverket</t>
        </is>
      </c>
      <c r="G268" t="n">
        <v>2.5</v>
      </c>
      <c r="H268" t="n">
        <v>0</v>
      </c>
      <c r="I268" t="n">
        <v>0</v>
      </c>
      <c r="J268" t="n">
        <v>0</v>
      </c>
      <c r="K268" t="n">
        <v>0</v>
      </c>
      <c r="L268" t="n">
        <v>0</v>
      </c>
      <c r="M268" t="n">
        <v>0</v>
      </c>
      <c r="N268" t="n">
        <v>0</v>
      </c>
      <c r="O268" t="n">
        <v>0</v>
      </c>
      <c r="P268" t="n">
        <v>0</v>
      </c>
      <c r="Q268" t="n">
        <v>0</v>
      </c>
      <c r="R268" s="2" t="inlineStr"/>
    </row>
    <row r="269" ht="15" customHeight="1">
      <c r="A269" t="inlineStr">
        <is>
          <t>A 20596-2021</t>
        </is>
      </c>
      <c r="B269" s="1" t="n">
        <v>44316</v>
      </c>
      <c r="C269" s="1" t="n">
        <v>45353</v>
      </c>
      <c r="D269" t="inlineStr">
        <is>
          <t>DALARNAS LÄN</t>
        </is>
      </c>
      <c r="E269" t="inlineStr">
        <is>
          <t>LUDVIKA</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21712-2021</t>
        </is>
      </c>
      <c r="B270" s="1" t="n">
        <v>44322</v>
      </c>
      <c r="C270" s="1" t="n">
        <v>45353</v>
      </c>
      <c r="D270" t="inlineStr">
        <is>
          <t>DALARNAS LÄN</t>
        </is>
      </c>
      <c r="E270" t="inlineStr">
        <is>
          <t>LUDVIKA</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21716-2021</t>
        </is>
      </c>
      <c r="B271" s="1" t="n">
        <v>44322</v>
      </c>
      <c r="C271" s="1" t="n">
        <v>45353</v>
      </c>
      <c r="D271" t="inlineStr">
        <is>
          <t>DALARNAS LÄN</t>
        </is>
      </c>
      <c r="E271" t="inlineStr">
        <is>
          <t>LUDVIKA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21887-2021</t>
        </is>
      </c>
      <c r="B272" s="1" t="n">
        <v>44322</v>
      </c>
      <c r="C272" s="1" t="n">
        <v>45353</v>
      </c>
      <c r="D272" t="inlineStr">
        <is>
          <t>DALARNAS LÄN</t>
        </is>
      </c>
      <c r="E272" t="inlineStr">
        <is>
          <t>LUDVIKA</t>
        </is>
      </c>
      <c r="F272" t="inlineStr">
        <is>
          <t>Bergvik skog väst AB</t>
        </is>
      </c>
      <c r="G272" t="n">
        <v>3.8</v>
      </c>
      <c r="H272" t="n">
        <v>0</v>
      </c>
      <c r="I272" t="n">
        <v>0</v>
      </c>
      <c r="J272" t="n">
        <v>0</v>
      </c>
      <c r="K272" t="n">
        <v>0</v>
      </c>
      <c r="L272" t="n">
        <v>0</v>
      </c>
      <c r="M272" t="n">
        <v>0</v>
      </c>
      <c r="N272" t="n">
        <v>0</v>
      </c>
      <c r="O272" t="n">
        <v>0</v>
      </c>
      <c r="P272" t="n">
        <v>0</v>
      </c>
      <c r="Q272" t="n">
        <v>0</v>
      </c>
      <c r="R272" s="2" t="inlineStr"/>
    </row>
    <row r="273" ht="15" customHeight="1">
      <c r="A273" t="inlineStr">
        <is>
          <t>A 23101-2021</t>
        </is>
      </c>
      <c r="B273" s="1" t="n">
        <v>44330</v>
      </c>
      <c r="C273" s="1" t="n">
        <v>45353</v>
      </c>
      <c r="D273" t="inlineStr">
        <is>
          <t>DALARNAS LÄN</t>
        </is>
      </c>
      <c r="E273" t="inlineStr">
        <is>
          <t>LUDVIKA</t>
        </is>
      </c>
      <c r="F273" t="inlineStr">
        <is>
          <t>Bergvik skog väst AB</t>
        </is>
      </c>
      <c r="G273" t="n">
        <v>4.6</v>
      </c>
      <c r="H273" t="n">
        <v>0</v>
      </c>
      <c r="I273" t="n">
        <v>0</v>
      </c>
      <c r="J273" t="n">
        <v>0</v>
      </c>
      <c r="K273" t="n">
        <v>0</v>
      </c>
      <c r="L273" t="n">
        <v>0</v>
      </c>
      <c r="M273" t="n">
        <v>0</v>
      </c>
      <c r="N273" t="n">
        <v>0</v>
      </c>
      <c r="O273" t="n">
        <v>0</v>
      </c>
      <c r="P273" t="n">
        <v>0</v>
      </c>
      <c r="Q273" t="n">
        <v>0</v>
      </c>
      <c r="R273" s="2" t="inlineStr"/>
    </row>
    <row r="274" ht="15" customHeight="1">
      <c r="A274" t="inlineStr">
        <is>
          <t>A 23245-2021</t>
        </is>
      </c>
      <c r="B274" s="1" t="n">
        <v>44333</v>
      </c>
      <c r="C274" s="1" t="n">
        <v>45353</v>
      </c>
      <c r="D274" t="inlineStr">
        <is>
          <t>DALARNAS LÄN</t>
        </is>
      </c>
      <c r="E274" t="inlineStr">
        <is>
          <t>LUDVIKA</t>
        </is>
      </c>
      <c r="F274" t="inlineStr">
        <is>
          <t>Kyrkan</t>
        </is>
      </c>
      <c r="G274" t="n">
        <v>3.2</v>
      </c>
      <c r="H274" t="n">
        <v>0</v>
      </c>
      <c r="I274" t="n">
        <v>0</v>
      </c>
      <c r="J274" t="n">
        <v>0</v>
      </c>
      <c r="K274" t="n">
        <v>0</v>
      </c>
      <c r="L274" t="n">
        <v>0</v>
      </c>
      <c r="M274" t="n">
        <v>0</v>
      </c>
      <c r="N274" t="n">
        <v>0</v>
      </c>
      <c r="O274" t="n">
        <v>0</v>
      </c>
      <c r="P274" t="n">
        <v>0</v>
      </c>
      <c r="Q274" t="n">
        <v>0</v>
      </c>
      <c r="R274" s="2" t="inlineStr"/>
    </row>
    <row r="275" ht="15" customHeight="1">
      <c r="A275" t="inlineStr">
        <is>
          <t>A 23271-2021</t>
        </is>
      </c>
      <c r="B275" s="1" t="n">
        <v>44333</v>
      </c>
      <c r="C275" s="1" t="n">
        <v>45353</v>
      </c>
      <c r="D275" t="inlineStr">
        <is>
          <t>DALARNAS LÄN</t>
        </is>
      </c>
      <c r="E275" t="inlineStr">
        <is>
          <t>LUDVIKA</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24033-2021</t>
        </is>
      </c>
      <c r="B276" s="1" t="n">
        <v>44336</v>
      </c>
      <c r="C276" s="1" t="n">
        <v>45353</v>
      </c>
      <c r="D276" t="inlineStr">
        <is>
          <t>DALARNAS LÄN</t>
        </is>
      </c>
      <c r="E276" t="inlineStr">
        <is>
          <t>LUDVIKA</t>
        </is>
      </c>
      <c r="F276" t="inlineStr">
        <is>
          <t>Allmännings- och besparingsskogar</t>
        </is>
      </c>
      <c r="G276" t="n">
        <v>0.9</v>
      </c>
      <c r="H276" t="n">
        <v>0</v>
      </c>
      <c r="I276" t="n">
        <v>0</v>
      </c>
      <c r="J276" t="n">
        <v>0</v>
      </c>
      <c r="K276" t="n">
        <v>0</v>
      </c>
      <c r="L276" t="n">
        <v>0</v>
      </c>
      <c r="M276" t="n">
        <v>0</v>
      </c>
      <c r="N276" t="n">
        <v>0</v>
      </c>
      <c r="O276" t="n">
        <v>0</v>
      </c>
      <c r="P276" t="n">
        <v>0</v>
      </c>
      <c r="Q276" t="n">
        <v>0</v>
      </c>
      <c r="R276" s="2" t="inlineStr"/>
    </row>
    <row r="277" ht="15" customHeight="1">
      <c r="A277" t="inlineStr">
        <is>
          <t>A 24080-2021</t>
        </is>
      </c>
      <c r="B277" s="1" t="n">
        <v>44336</v>
      </c>
      <c r="C277" s="1" t="n">
        <v>45353</v>
      </c>
      <c r="D277" t="inlineStr">
        <is>
          <t>DALARNAS LÄN</t>
        </is>
      </c>
      <c r="E277" t="inlineStr">
        <is>
          <t>LUDVIKA</t>
        </is>
      </c>
      <c r="G277" t="n">
        <v>0.7</v>
      </c>
      <c r="H277" t="n">
        <v>0</v>
      </c>
      <c r="I277" t="n">
        <v>0</v>
      </c>
      <c r="J277" t="n">
        <v>0</v>
      </c>
      <c r="K277" t="n">
        <v>0</v>
      </c>
      <c r="L277" t="n">
        <v>0</v>
      </c>
      <c r="M277" t="n">
        <v>0</v>
      </c>
      <c r="N277" t="n">
        <v>0</v>
      </c>
      <c r="O277" t="n">
        <v>0</v>
      </c>
      <c r="P277" t="n">
        <v>0</v>
      </c>
      <c r="Q277" t="n">
        <v>0</v>
      </c>
      <c r="R277" s="2" t="inlineStr"/>
    </row>
    <row r="278" ht="15" customHeight="1">
      <c r="A278" t="inlineStr">
        <is>
          <t>A 24469-2021</t>
        </is>
      </c>
      <c r="B278" s="1" t="n">
        <v>44337</v>
      </c>
      <c r="C278" s="1" t="n">
        <v>45353</v>
      </c>
      <c r="D278" t="inlineStr">
        <is>
          <t>DALARNAS LÄN</t>
        </is>
      </c>
      <c r="E278" t="inlineStr">
        <is>
          <t>LUDVIKA</t>
        </is>
      </c>
      <c r="F278" t="inlineStr">
        <is>
          <t>Bergvik skog väst AB</t>
        </is>
      </c>
      <c r="G278" t="n">
        <v>6.9</v>
      </c>
      <c r="H278" t="n">
        <v>0</v>
      </c>
      <c r="I278" t="n">
        <v>0</v>
      </c>
      <c r="J278" t="n">
        <v>0</v>
      </c>
      <c r="K278" t="n">
        <v>0</v>
      </c>
      <c r="L278" t="n">
        <v>0</v>
      </c>
      <c r="M278" t="n">
        <v>0</v>
      </c>
      <c r="N278" t="n">
        <v>0</v>
      </c>
      <c r="O278" t="n">
        <v>0</v>
      </c>
      <c r="P278" t="n">
        <v>0</v>
      </c>
      <c r="Q278" t="n">
        <v>0</v>
      </c>
      <c r="R278" s="2" t="inlineStr"/>
    </row>
    <row r="279" ht="15" customHeight="1">
      <c r="A279" t="inlineStr">
        <is>
          <t>A 24906-2021</t>
        </is>
      </c>
      <c r="B279" s="1" t="n">
        <v>44341</v>
      </c>
      <c r="C279" s="1" t="n">
        <v>45353</v>
      </c>
      <c r="D279" t="inlineStr">
        <is>
          <t>DALARNAS LÄN</t>
        </is>
      </c>
      <c r="E279" t="inlineStr">
        <is>
          <t>LUDVIKA</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26066-2021</t>
        </is>
      </c>
      <c r="B280" s="1" t="n">
        <v>44344</v>
      </c>
      <c r="C280" s="1" t="n">
        <v>45353</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26054-2021</t>
        </is>
      </c>
      <c r="B281" s="1" t="n">
        <v>44344</v>
      </c>
      <c r="C281" s="1" t="n">
        <v>45353</v>
      </c>
      <c r="D281" t="inlineStr">
        <is>
          <t>DALARNAS LÄN</t>
        </is>
      </c>
      <c r="E281" t="inlineStr">
        <is>
          <t>LUDVIKA</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29000-2021</t>
        </is>
      </c>
      <c r="B282" s="1" t="n">
        <v>44358</v>
      </c>
      <c r="C282" s="1" t="n">
        <v>45353</v>
      </c>
      <c r="D282" t="inlineStr">
        <is>
          <t>DALARNAS LÄN</t>
        </is>
      </c>
      <c r="E282" t="inlineStr">
        <is>
          <t>LUDVIKA</t>
        </is>
      </c>
      <c r="F282" t="inlineStr">
        <is>
          <t>Bergvik skog väst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29789-2021</t>
        </is>
      </c>
      <c r="B283" s="1" t="n">
        <v>44362</v>
      </c>
      <c r="C283" s="1" t="n">
        <v>45353</v>
      </c>
      <c r="D283" t="inlineStr">
        <is>
          <t>DALARNAS LÄN</t>
        </is>
      </c>
      <c r="E283" t="inlineStr">
        <is>
          <t>LUDVIKA</t>
        </is>
      </c>
      <c r="F283" t="inlineStr">
        <is>
          <t>Övriga Aktiebolag</t>
        </is>
      </c>
      <c r="G283" t="n">
        <v>0.9</v>
      </c>
      <c r="H283" t="n">
        <v>0</v>
      </c>
      <c r="I283" t="n">
        <v>0</v>
      </c>
      <c r="J283" t="n">
        <v>0</v>
      </c>
      <c r="K283" t="n">
        <v>0</v>
      </c>
      <c r="L283" t="n">
        <v>0</v>
      </c>
      <c r="M283" t="n">
        <v>0</v>
      </c>
      <c r="N283" t="n">
        <v>0</v>
      </c>
      <c r="O283" t="n">
        <v>0</v>
      </c>
      <c r="P283" t="n">
        <v>0</v>
      </c>
      <c r="Q283" t="n">
        <v>0</v>
      </c>
      <c r="R283" s="2" t="inlineStr"/>
    </row>
    <row r="284" ht="15" customHeight="1">
      <c r="A284" t="inlineStr">
        <is>
          <t>A 30502-2021</t>
        </is>
      </c>
      <c r="B284" s="1" t="n">
        <v>44364</v>
      </c>
      <c r="C284" s="1" t="n">
        <v>45353</v>
      </c>
      <c r="D284" t="inlineStr">
        <is>
          <t>DALARNAS LÄN</t>
        </is>
      </c>
      <c r="E284" t="inlineStr">
        <is>
          <t>LUDVIKA</t>
        </is>
      </c>
      <c r="F284" t="inlineStr">
        <is>
          <t>Bergvik skog väst AB</t>
        </is>
      </c>
      <c r="G284" t="n">
        <v>0.9</v>
      </c>
      <c r="H284" t="n">
        <v>0</v>
      </c>
      <c r="I284" t="n">
        <v>0</v>
      </c>
      <c r="J284" t="n">
        <v>0</v>
      </c>
      <c r="K284" t="n">
        <v>0</v>
      </c>
      <c r="L284" t="n">
        <v>0</v>
      </c>
      <c r="M284" t="n">
        <v>0</v>
      </c>
      <c r="N284" t="n">
        <v>0</v>
      </c>
      <c r="O284" t="n">
        <v>0</v>
      </c>
      <c r="P284" t="n">
        <v>0</v>
      </c>
      <c r="Q284" t="n">
        <v>0</v>
      </c>
      <c r="R284" s="2" t="inlineStr"/>
    </row>
    <row r="285" ht="15" customHeight="1">
      <c r="A285" t="inlineStr">
        <is>
          <t>A 31086-2021</t>
        </is>
      </c>
      <c r="B285" s="1" t="n">
        <v>44368</v>
      </c>
      <c r="C285" s="1" t="n">
        <v>45353</v>
      </c>
      <c r="D285" t="inlineStr">
        <is>
          <t>DALARNAS LÄN</t>
        </is>
      </c>
      <c r="E285" t="inlineStr">
        <is>
          <t>LUDVIKA</t>
        </is>
      </c>
      <c r="G285" t="n">
        <v>0.8</v>
      </c>
      <c r="H285" t="n">
        <v>0</v>
      </c>
      <c r="I285" t="n">
        <v>0</v>
      </c>
      <c r="J285" t="n">
        <v>0</v>
      </c>
      <c r="K285" t="n">
        <v>0</v>
      </c>
      <c r="L285" t="n">
        <v>0</v>
      </c>
      <c r="M285" t="n">
        <v>0</v>
      </c>
      <c r="N285" t="n">
        <v>0</v>
      </c>
      <c r="O285" t="n">
        <v>0</v>
      </c>
      <c r="P285" t="n">
        <v>0</v>
      </c>
      <c r="Q285" t="n">
        <v>0</v>
      </c>
      <c r="R285" s="2" t="inlineStr"/>
    </row>
    <row r="286" ht="15" customHeight="1">
      <c r="A286" t="inlineStr">
        <is>
          <t>A 31465-2021</t>
        </is>
      </c>
      <c r="B286" s="1" t="n">
        <v>44369</v>
      </c>
      <c r="C286" s="1" t="n">
        <v>45353</v>
      </c>
      <c r="D286" t="inlineStr">
        <is>
          <t>DALARNAS LÄN</t>
        </is>
      </c>
      <c r="E286" t="inlineStr">
        <is>
          <t>LUDVIKA</t>
        </is>
      </c>
      <c r="F286" t="inlineStr">
        <is>
          <t>Naturvårdsverket</t>
        </is>
      </c>
      <c r="G286" t="n">
        <v>2.4</v>
      </c>
      <c r="H286" t="n">
        <v>0</v>
      </c>
      <c r="I286" t="n">
        <v>0</v>
      </c>
      <c r="J286" t="n">
        <v>0</v>
      </c>
      <c r="K286" t="n">
        <v>0</v>
      </c>
      <c r="L286" t="n">
        <v>0</v>
      </c>
      <c r="M286" t="n">
        <v>0</v>
      </c>
      <c r="N286" t="n">
        <v>0</v>
      </c>
      <c r="O286" t="n">
        <v>0</v>
      </c>
      <c r="P286" t="n">
        <v>0</v>
      </c>
      <c r="Q286" t="n">
        <v>0</v>
      </c>
      <c r="R286" s="2" t="inlineStr"/>
    </row>
    <row r="287" ht="15" customHeight="1">
      <c r="A287" t="inlineStr">
        <is>
          <t>A 31550-2021</t>
        </is>
      </c>
      <c r="B287" s="1" t="n">
        <v>44369</v>
      </c>
      <c r="C287" s="1" t="n">
        <v>45353</v>
      </c>
      <c r="D287" t="inlineStr">
        <is>
          <t>DALARNAS LÄN</t>
        </is>
      </c>
      <c r="E287" t="inlineStr">
        <is>
          <t>LUDVIKA</t>
        </is>
      </c>
      <c r="G287" t="n">
        <v>2.8</v>
      </c>
      <c r="H287" t="n">
        <v>0</v>
      </c>
      <c r="I287" t="n">
        <v>0</v>
      </c>
      <c r="J287" t="n">
        <v>0</v>
      </c>
      <c r="K287" t="n">
        <v>0</v>
      </c>
      <c r="L287" t="n">
        <v>0</v>
      </c>
      <c r="M287" t="n">
        <v>0</v>
      </c>
      <c r="N287" t="n">
        <v>0</v>
      </c>
      <c r="O287" t="n">
        <v>0</v>
      </c>
      <c r="P287" t="n">
        <v>0</v>
      </c>
      <c r="Q287" t="n">
        <v>0</v>
      </c>
      <c r="R287" s="2" t="inlineStr"/>
    </row>
    <row r="288" ht="15" customHeight="1">
      <c r="A288" t="inlineStr">
        <is>
          <t>A 31921-2021</t>
        </is>
      </c>
      <c r="B288" s="1" t="n">
        <v>44370</v>
      </c>
      <c r="C288" s="1" t="n">
        <v>45353</v>
      </c>
      <c r="D288" t="inlineStr">
        <is>
          <t>DALARNAS LÄN</t>
        </is>
      </c>
      <c r="E288" t="inlineStr">
        <is>
          <t>LUDVIKA</t>
        </is>
      </c>
      <c r="F288" t="inlineStr">
        <is>
          <t>Övriga Aktiebolag</t>
        </is>
      </c>
      <c r="G288" t="n">
        <v>0.5</v>
      </c>
      <c r="H288" t="n">
        <v>0</v>
      </c>
      <c r="I288" t="n">
        <v>0</v>
      </c>
      <c r="J288" t="n">
        <v>0</v>
      </c>
      <c r="K288" t="n">
        <v>0</v>
      </c>
      <c r="L288" t="n">
        <v>0</v>
      </c>
      <c r="M288" t="n">
        <v>0</v>
      </c>
      <c r="N288" t="n">
        <v>0</v>
      </c>
      <c r="O288" t="n">
        <v>0</v>
      </c>
      <c r="P288" t="n">
        <v>0</v>
      </c>
      <c r="Q288" t="n">
        <v>0</v>
      </c>
      <c r="R288" s="2" t="inlineStr"/>
    </row>
    <row r="289" ht="15" customHeight="1">
      <c r="A289" t="inlineStr">
        <is>
          <t>A 31925-2021</t>
        </is>
      </c>
      <c r="B289" s="1" t="n">
        <v>44370</v>
      </c>
      <c r="C289" s="1" t="n">
        <v>45353</v>
      </c>
      <c r="D289" t="inlineStr">
        <is>
          <t>DALARNAS LÄN</t>
        </is>
      </c>
      <c r="E289" t="inlineStr">
        <is>
          <t>LUDVIKA</t>
        </is>
      </c>
      <c r="F289" t="inlineStr">
        <is>
          <t>Övriga Aktiebolag</t>
        </is>
      </c>
      <c r="G289" t="n">
        <v>3.2</v>
      </c>
      <c r="H289" t="n">
        <v>0</v>
      </c>
      <c r="I289" t="n">
        <v>0</v>
      </c>
      <c r="J289" t="n">
        <v>0</v>
      </c>
      <c r="K289" t="n">
        <v>0</v>
      </c>
      <c r="L289" t="n">
        <v>0</v>
      </c>
      <c r="M289" t="n">
        <v>0</v>
      </c>
      <c r="N289" t="n">
        <v>0</v>
      </c>
      <c r="O289" t="n">
        <v>0</v>
      </c>
      <c r="P289" t="n">
        <v>0</v>
      </c>
      <c r="Q289" t="n">
        <v>0</v>
      </c>
      <c r="R289" s="2" t="inlineStr"/>
    </row>
    <row r="290" ht="15" customHeight="1">
      <c r="A290" t="inlineStr">
        <is>
          <t>A 32015-2021</t>
        </is>
      </c>
      <c r="B290" s="1" t="n">
        <v>44370</v>
      </c>
      <c r="C290" s="1" t="n">
        <v>45353</v>
      </c>
      <c r="D290" t="inlineStr">
        <is>
          <t>DALARNAS LÄN</t>
        </is>
      </c>
      <c r="E290" t="inlineStr">
        <is>
          <t>LUDVIKA</t>
        </is>
      </c>
      <c r="G290" t="n">
        <v>1.6</v>
      </c>
      <c r="H290" t="n">
        <v>0</v>
      </c>
      <c r="I290" t="n">
        <v>0</v>
      </c>
      <c r="J290" t="n">
        <v>0</v>
      </c>
      <c r="K290" t="n">
        <v>0</v>
      </c>
      <c r="L290" t="n">
        <v>0</v>
      </c>
      <c r="M290" t="n">
        <v>0</v>
      </c>
      <c r="N290" t="n">
        <v>0</v>
      </c>
      <c r="O290" t="n">
        <v>0</v>
      </c>
      <c r="P290" t="n">
        <v>0</v>
      </c>
      <c r="Q290" t="n">
        <v>0</v>
      </c>
      <c r="R290" s="2" t="inlineStr"/>
    </row>
    <row r="291" ht="15" customHeight="1">
      <c r="A291" t="inlineStr">
        <is>
          <t>A 32054-2021</t>
        </is>
      </c>
      <c r="B291" s="1" t="n">
        <v>44370</v>
      </c>
      <c r="C291" s="1" t="n">
        <v>45353</v>
      </c>
      <c r="D291" t="inlineStr">
        <is>
          <t>DALARNAS LÄN</t>
        </is>
      </c>
      <c r="E291" t="inlineStr">
        <is>
          <t>LUDVIKA</t>
        </is>
      </c>
      <c r="G291" t="n">
        <v>28.7</v>
      </c>
      <c r="H291" t="n">
        <v>0</v>
      </c>
      <c r="I291" t="n">
        <v>0</v>
      </c>
      <c r="J291" t="n">
        <v>0</v>
      </c>
      <c r="K291" t="n">
        <v>0</v>
      </c>
      <c r="L291" t="n">
        <v>0</v>
      </c>
      <c r="M291" t="n">
        <v>0</v>
      </c>
      <c r="N291" t="n">
        <v>0</v>
      </c>
      <c r="O291" t="n">
        <v>0</v>
      </c>
      <c r="P291" t="n">
        <v>0</v>
      </c>
      <c r="Q291" t="n">
        <v>0</v>
      </c>
      <c r="R291" s="2" t="inlineStr"/>
    </row>
    <row r="292" ht="15" customHeight="1">
      <c r="A292" t="inlineStr">
        <is>
          <t>A 33032-2021</t>
        </is>
      </c>
      <c r="B292" s="1" t="n">
        <v>44376</v>
      </c>
      <c r="C292" s="1" t="n">
        <v>45353</v>
      </c>
      <c r="D292" t="inlineStr">
        <is>
          <t>DALARNAS LÄN</t>
        </is>
      </c>
      <c r="E292" t="inlineStr">
        <is>
          <t>LUDVIKA</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33416-2021</t>
        </is>
      </c>
      <c r="B293" s="1" t="n">
        <v>44377</v>
      </c>
      <c r="C293" s="1" t="n">
        <v>45353</v>
      </c>
      <c r="D293" t="inlineStr">
        <is>
          <t>DALARNAS LÄN</t>
        </is>
      </c>
      <c r="E293" t="inlineStr">
        <is>
          <t>LUDVIKA</t>
        </is>
      </c>
      <c r="F293" t="inlineStr">
        <is>
          <t>Bergvik skog väst AB</t>
        </is>
      </c>
      <c r="G293" t="n">
        <v>8</v>
      </c>
      <c r="H293" t="n">
        <v>0</v>
      </c>
      <c r="I293" t="n">
        <v>0</v>
      </c>
      <c r="J293" t="n">
        <v>0</v>
      </c>
      <c r="K293" t="n">
        <v>0</v>
      </c>
      <c r="L293" t="n">
        <v>0</v>
      </c>
      <c r="M293" t="n">
        <v>0</v>
      </c>
      <c r="N293" t="n">
        <v>0</v>
      </c>
      <c r="O293" t="n">
        <v>0</v>
      </c>
      <c r="P293" t="n">
        <v>0</v>
      </c>
      <c r="Q293" t="n">
        <v>0</v>
      </c>
      <c r="R293" s="2" t="inlineStr"/>
    </row>
    <row r="294" ht="15" customHeight="1">
      <c r="A294" t="inlineStr">
        <is>
          <t>A 33505-2021</t>
        </is>
      </c>
      <c r="B294" s="1" t="n">
        <v>44377</v>
      </c>
      <c r="C294" s="1" t="n">
        <v>45353</v>
      </c>
      <c r="D294" t="inlineStr">
        <is>
          <t>DALARNAS LÄN</t>
        </is>
      </c>
      <c r="E294" t="inlineStr">
        <is>
          <t>LUDVIKA</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35731-2021</t>
        </is>
      </c>
      <c r="B295" s="1" t="n">
        <v>44386</v>
      </c>
      <c r="C295" s="1" t="n">
        <v>45353</v>
      </c>
      <c r="D295" t="inlineStr">
        <is>
          <t>DALARNAS LÄN</t>
        </is>
      </c>
      <c r="E295" t="inlineStr">
        <is>
          <t>LUDVIKA</t>
        </is>
      </c>
      <c r="F295" t="inlineStr">
        <is>
          <t>Kyrkan</t>
        </is>
      </c>
      <c r="G295" t="n">
        <v>2.7</v>
      </c>
      <c r="H295" t="n">
        <v>0</v>
      </c>
      <c r="I295" t="n">
        <v>0</v>
      </c>
      <c r="J295" t="n">
        <v>0</v>
      </c>
      <c r="K295" t="n">
        <v>0</v>
      </c>
      <c r="L295" t="n">
        <v>0</v>
      </c>
      <c r="M295" t="n">
        <v>0</v>
      </c>
      <c r="N295" t="n">
        <v>0</v>
      </c>
      <c r="O295" t="n">
        <v>0</v>
      </c>
      <c r="P295" t="n">
        <v>0</v>
      </c>
      <c r="Q295" t="n">
        <v>0</v>
      </c>
      <c r="R295" s="2" t="inlineStr"/>
    </row>
    <row r="296" ht="15" customHeight="1">
      <c r="A296" t="inlineStr">
        <is>
          <t>A 35720-2021</t>
        </is>
      </c>
      <c r="B296" s="1" t="n">
        <v>44386</v>
      </c>
      <c r="C296" s="1" t="n">
        <v>45353</v>
      </c>
      <c r="D296" t="inlineStr">
        <is>
          <t>DALARNAS LÄN</t>
        </is>
      </c>
      <c r="E296" t="inlineStr">
        <is>
          <t>LUDVIKA</t>
        </is>
      </c>
      <c r="F296" t="inlineStr">
        <is>
          <t>Kyrkan</t>
        </is>
      </c>
      <c r="G296" t="n">
        <v>1.9</v>
      </c>
      <c r="H296" t="n">
        <v>0</v>
      </c>
      <c r="I296" t="n">
        <v>0</v>
      </c>
      <c r="J296" t="n">
        <v>0</v>
      </c>
      <c r="K296" t="n">
        <v>0</v>
      </c>
      <c r="L296" t="n">
        <v>0</v>
      </c>
      <c r="M296" t="n">
        <v>0</v>
      </c>
      <c r="N296" t="n">
        <v>0</v>
      </c>
      <c r="O296" t="n">
        <v>0</v>
      </c>
      <c r="P296" t="n">
        <v>0</v>
      </c>
      <c r="Q296" t="n">
        <v>0</v>
      </c>
      <c r="R296" s="2" t="inlineStr"/>
    </row>
    <row r="297" ht="15" customHeight="1">
      <c r="A297" t="inlineStr">
        <is>
          <t>A 35892-2021</t>
        </is>
      </c>
      <c r="B297" s="1" t="n">
        <v>44387</v>
      </c>
      <c r="C297" s="1" t="n">
        <v>45353</v>
      </c>
      <c r="D297" t="inlineStr">
        <is>
          <t>DALARNAS LÄN</t>
        </is>
      </c>
      <c r="E297" t="inlineStr">
        <is>
          <t>LUDVIKA</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36862-2021</t>
        </is>
      </c>
      <c r="B298" s="1" t="n">
        <v>44393</v>
      </c>
      <c r="C298" s="1" t="n">
        <v>45353</v>
      </c>
      <c r="D298" t="inlineStr">
        <is>
          <t>DALARNAS LÄN</t>
        </is>
      </c>
      <c r="E298" t="inlineStr">
        <is>
          <t>LUDVIKA</t>
        </is>
      </c>
      <c r="F298" t="inlineStr">
        <is>
          <t>Bergvik skog väst AB</t>
        </is>
      </c>
      <c r="G298" t="n">
        <v>1.1</v>
      </c>
      <c r="H298" t="n">
        <v>0</v>
      </c>
      <c r="I298" t="n">
        <v>0</v>
      </c>
      <c r="J298" t="n">
        <v>0</v>
      </c>
      <c r="K298" t="n">
        <v>0</v>
      </c>
      <c r="L298" t="n">
        <v>0</v>
      </c>
      <c r="M298" t="n">
        <v>0</v>
      </c>
      <c r="N298" t="n">
        <v>0</v>
      </c>
      <c r="O298" t="n">
        <v>0</v>
      </c>
      <c r="P298" t="n">
        <v>0</v>
      </c>
      <c r="Q298" t="n">
        <v>0</v>
      </c>
      <c r="R298" s="2" t="inlineStr"/>
    </row>
    <row r="299" ht="15" customHeight="1">
      <c r="A299" t="inlineStr">
        <is>
          <t>A 37384-2021</t>
        </is>
      </c>
      <c r="B299" s="1" t="n">
        <v>44397</v>
      </c>
      <c r="C299" s="1" t="n">
        <v>45353</v>
      </c>
      <c r="D299" t="inlineStr">
        <is>
          <t>DALARNAS LÄN</t>
        </is>
      </c>
      <c r="E299" t="inlineStr">
        <is>
          <t>LUDVIKA</t>
        </is>
      </c>
      <c r="F299" t="inlineStr">
        <is>
          <t>Kommuner</t>
        </is>
      </c>
      <c r="G299" t="n">
        <v>5.5</v>
      </c>
      <c r="H299" t="n">
        <v>0</v>
      </c>
      <c r="I299" t="n">
        <v>0</v>
      </c>
      <c r="J299" t="n">
        <v>0</v>
      </c>
      <c r="K299" t="n">
        <v>0</v>
      </c>
      <c r="L299" t="n">
        <v>0</v>
      </c>
      <c r="M299" t="n">
        <v>0</v>
      </c>
      <c r="N299" t="n">
        <v>0</v>
      </c>
      <c r="O299" t="n">
        <v>0</v>
      </c>
      <c r="P299" t="n">
        <v>0</v>
      </c>
      <c r="Q299" t="n">
        <v>0</v>
      </c>
      <c r="R299" s="2" t="inlineStr"/>
    </row>
    <row r="300" ht="15" customHeight="1">
      <c r="A300" t="inlineStr">
        <is>
          <t>A 38084-2021</t>
        </is>
      </c>
      <c r="B300" s="1" t="n">
        <v>44404</v>
      </c>
      <c r="C300" s="1" t="n">
        <v>45353</v>
      </c>
      <c r="D300" t="inlineStr">
        <is>
          <t>DALARNAS LÄN</t>
        </is>
      </c>
      <c r="E300" t="inlineStr">
        <is>
          <t>LUDVIKA</t>
        </is>
      </c>
      <c r="G300" t="n">
        <v>0.3</v>
      </c>
      <c r="H300" t="n">
        <v>0</v>
      </c>
      <c r="I300" t="n">
        <v>0</v>
      </c>
      <c r="J300" t="n">
        <v>0</v>
      </c>
      <c r="K300" t="n">
        <v>0</v>
      </c>
      <c r="L300" t="n">
        <v>0</v>
      </c>
      <c r="M300" t="n">
        <v>0</v>
      </c>
      <c r="N300" t="n">
        <v>0</v>
      </c>
      <c r="O300" t="n">
        <v>0</v>
      </c>
      <c r="P300" t="n">
        <v>0</v>
      </c>
      <c r="Q300" t="n">
        <v>0</v>
      </c>
      <c r="R300" s="2" t="inlineStr"/>
    </row>
    <row r="301" ht="15" customHeight="1">
      <c r="A301" t="inlineStr">
        <is>
          <t>A 38223-2021</t>
        </is>
      </c>
      <c r="B301" s="1" t="n">
        <v>44405</v>
      </c>
      <c r="C301" s="1" t="n">
        <v>45353</v>
      </c>
      <c r="D301" t="inlineStr">
        <is>
          <t>DALARNAS LÄN</t>
        </is>
      </c>
      <c r="E301" t="inlineStr">
        <is>
          <t>LUDVIKA</t>
        </is>
      </c>
      <c r="G301" t="n">
        <v>2.3</v>
      </c>
      <c r="H301" t="n">
        <v>0</v>
      </c>
      <c r="I301" t="n">
        <v>0</v>
      </c>
      <c r="J301" t="n">
        <v>0</v>
      </c>
      <c r="K301" t="n">
        <v>0</v>
      </c>
      <c r="L301" t="n">
        <v>0</v>
      </c>
      <c r="M301" t="n">
        <v>0</v>
      </c>
      <c r="N301" t="n">
        <v>0</v>
      </c>
      <c r="O301" t="n">
        <v>0</v>
      </c>
      <c r="P301" t="n">
        <v>0</v>
      </c>
      <c r="Q301" t="n">
        <v>0</v>
      </c>
      <c r="R301" s="2" t="inlineStr"/>
    </row>
    <row r="302" ht="15" customHeight="1">
      <c r="A302" t="inlineStr">
        <is>
          <t>A 38371-2021</t>
        </is>
      </c>
      <c r="B302" s="1" t="n">
        <v>44406</v>
      </c>
      <c r="C302" s="1" t="n">
        <v>45353</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39247-2021</t>
        </is>
      </c>
      <c r="B303" s="1" t="n">
        <v>44413</v>
      </c>
      <c r="C303" s="1" t="n">
        <v>45353</v>
      </c>
      <c r="D303" t="inlineStr">
        <is>
          <t>DALARNAS LÄN</t>
        </is>
      </c>
      <c r="E303" t="inlineStr">
        <is>
          <t>LUDVIKA</t>
        </is>
      </c>
      <c r="G303" t="n">
        <v>6</v>
      </c>
      <c r="H303" t="n">
        <v>0</v>
      </c>
      <c r="I303" t="n">
        <v>0</v>
      </c>
      <c r="J303" t="n">
        <v>0</v>
      </c>
      <c r="K303" t="n">
        <v>0</v>
      </c>
      <c r="L303" t="n">
        <v>0</v>
      </c>
      <c r="M303" t="n">
        <v>0</v>
      </c>
      <c r="N303" t="n">
        <v>0</v>
      </c>
      <c r="O303" t="n">
        <v>0</v>
      </c>
      <c r="P303" t="n">
        <v>0</v>
      </c>
      <c r="Q303" t="n">
        <v>0</v>
      </c>
      <c r="R303" s="2" t="inlineStr"/>
    </row>
    <row r="304" ht="15" customHeight="1">
      <c r="A304" t="inlineStr">
        <is>
          <t>A 40582-2021</t>
        </is>
      </c>
      <c r="B304" s="1" t="n">
        <v>44420</v>
      </c>
      <c r="C304" s="1" t="n">
        <v>45353</v>
      </c>
      <c r="D304" t="inlineStr">
        <is>
          <t>DALARNAS LÄN</t>
        </is>
      </c>
      <c r="E304" t="inlineStr">
        <is>
          <t>LUDVIKA</t>
        </is>
      </c>
      <c r="G304" t="n">
        <v>2.2</v>
      </c>
      <c r="H304" t="n">
        <v>0</v>
      </c>
      <c r="I304" t="n">
        <v>0</v>
      </c>
      <c r="J304" t="n">
        <v>0</v>
      </c>
      <c r="K304" t="n">
        <v>0</v>
      </c>
      <c r="L304" t="n">
        <v>0</v>
      </c>
      <c r="M304" t="n">
        <v>0</v>
      </c>
      <c r="N304" t="n">
        <v>0</v>
      </c>
      <c r="O304" t="n">
        <v>0</v>
      </c>
      <c r="P304" t="n">
        <v>0</v>
      </c>
      <c r="Q304" t="n">
        <v>0</v>
      </c>
      <c r="R304" s="2" t="inlineStr"/>
    </row>
    <row r="305" ht="15" customHeight="1">
      <c r="A305" t="inlineStr">
        <is>
          <t>A 43115-2021</t>
        </is>
      </c>
      <c r="B305" s="1" t="n">
        <v>44431</v>
      </c>
      <c r="C305" s="1" t="n">
        <v>45353</v>
      </c>
      <c r="D305" t="inlineStr">
        <is>
          <t>DALARNAS LÄN</t>
        </is>
      </c>
      <c r="E305" t="inlineStr">
        <is>
          <t>LUDVIKA</t>
        </is>
      </c>
      <c r="G305" t="n">
        <v>3.5</v>
      </c>
      <c r="H305" t="n">
        <v>0</v>
      </c>
      <c r="I305" t="n">
        <v>0</v>
      </c>
      <c r="J305" t="n">
        <v>0</v>
      </c>
      <c r="K305" t="n">
        <v>0</v>
      </c>
      <c r="L305" t="n">
        <v>0</v>
      </c>
      <c r="M305" t="n">
        <v>0</v>
      </c>
      <c r="N305" t="n">
        <v>0</v>
      </c>
      <c r="O305" t="n">
        <v>0</v>
      </c>
      <c r="P305" t="n">
        <v>0</v>
      </c>
      <c r="Q305" t="n">
        <v>0</v>
      </c>
      <c r="R305" s="2" t="inlineStr"/>
    </row>
    <row r="306" ht="15" customHeight="1">
      <c r="A306" t="inlineStr">
        <is>
          <t>A 43907-2021</t>
        </is>
      </c>
      <c r="B306" s="1" t="n">
        <v>44434</v>
      </c>
      <c r="C306" s="1" t="n">
        <v>45353</v>
      </c>
      <c r="D306" t="inlineStr">
        <is>
          <t>DALARNAS LÄN</t>
        </is>
      </c>
      <c r="E306" t="inlineStr">
        <is>
          <t>LUDVIKA</t>
        </is>
      </c>
      <c r="F306" t="inlineStr">
        <is>
          <t>Bergvik skog väst AB</t>
        </is>
      </c>
      <c r="G306" t="n">
        <v>2.5</v>
      </c>
      <c r="H306" t="n">
        <v>0</v>
      </c>
      <c r="I306" t="n">
        <v>0</v>
      </c>
      <c r="J306" t="n">
        <v>0</v>
      </c>
      <c r="K306" t="n">
        <v>0</v>
      </c>
      <c r="L306" t="n">
        <v>0</v>
      </c>
      <c r="M306" t="n">
        <v>0</v>
      </c>
      <c r="N306" t="n">
        <v>0</v>
      </c>
      <c r="O306" t="n">
        <v>0</v>
      </c>
      <c r="P306" t="n">
        <v>0</v>
      </c>
      <c r="Q306" t="n">
        <v>0</v>
      </c>
      <c r="R306" s="2" t="inlineStr"/>
    </row>
    <row r="307" ht="15" customHeight="1">
      <c r="A307" t="inlineStr">
        <is>
          <t>A 44270-2021</t>
        </is>
      </c>
      <c r="B307" s="1" t="n">
        <v>44435</v>
      </c>
      <c r="C307" s="1" t="n">
        <v>45353</v>
      </c>
      <c r="D307" t="inlineStr">
        <is>
          <t>DALARNAS LÄN</t>
        </is>
      </c>
      <c r="E307" t="inlineStr">
        <is>
          <t>LUDVIKA</t>
        </is>
      </c>
      <c r="F307" t="inlineStr">
        <is>
          <t>Bergvik skog väst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44264-2021</t>
        </is>
      </c>
      <c r="B308" s="1" t="n">
        <v>44435</v>
      </c>
      <c r="C308" s="1" t="n">
        <v>45353</v>
      </c>
      <c r="D308" t="inlineStr">
        <is>
          <t>DALARNAS LÄN</t>
        </is>
      </c>
      <c r="E308" t="inlineStr">
        <is>
          <t>LUDVIKA</t>
        </is>
      </c>
      <c r="F308" t="inlineStr">
        <is>
          <t>Bergvik skog väst AB</t>
        </is>
      </c>
      <c r="G308" t="n">
        <v>1.8</v>
      </c>
      <c r="H308" t="n">
        <v>0</v>
      </c>
      <c r="I308" t="n">
        <v>0</v>
      </c>
      <c r="J308" t="n">
        <v>0</v>
      </c>
      <c r="K308" t="n">
        <v>0</v>
      </c>
      <c r="L308" t="n">
        <v>0</v>
      </c>
      <c r="M308" t="n">
        <v>0</v>
      </c>
      <c r="N308" t="n">
        <v>0</v>
      </c>
      <c r="O308" t="n">
        <v>0</v>
      </c>
      <c r="P308" t="n">
        <v>0</v>
      </c>
      <c r="Q308" t="n">
        <v>0</v>
      </c>
      <c r="R308" s="2" t="inlineStr"/>
    </row>
    <row r="309" ht="15" customHeight="1">
      <c r="A309" t="inlineStr">
        <is>
          <t>A 45313-2021</t>
        </is>
      </c>
      <c r="B309" s="1" t="n">
        <v>44439</v>
      </c>
      <c r="C309" s="1" t="n">
        <v>45353</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45309-2021</t>
        </is>
      </c>
      <c r="B310" s="1" t="n">
        <v>44439</v>
      </c>
      <c r="C310" s="1" t="n">
        <v>45353</v>
      </c>
      <c r="D310" t="inlineStr">
        <is>
          <t>DALARNAS LÄN</t>
        </is>
      </c>
      <c r="E310" t="inlineStr">
        <is>
          <t>LUDVIKA</t>
        </is>
      </c>
      <c r="G310" t="n">
        <v>1.9</v>
      </c>
      <c r="H310" t="n">
        <v>0</v>
      </c>
      <c r="I310" t="n">
        <v>0</v>
      </c>
      <c r="J310" t="n">
        <v>0</v>
      </c>
      <c r="K310" t="n">
        <v>0</v>
      </c>
      <c r="L310" t="n">
        <v>0</v>
      </c>
      <c r="M310" t="n">
        <v>0</v>
      </c>
      <c r="N310" t="n">
        <v>0</v>
      </c>
      <c r="O310" t="n">
        <v>0</v>
      </c>
      <c r="P310" t="n">
        <v>0</v>
      </c>
      <c r="Q310" t="n">
        <v>0</v>
      </c>
      <c r="R310" s="2" t="inlineStr"/>
    </row>
    <row r="311" ht="15" customHeight="1">
      <c r="A311" t="inlineStr">
        <is>
          <t>A 45995-2021</t>
        </is>
      </c>
      <c r="B311" s="1" t="n">
        <v>44441</v>
      </c>
      <c r="C311" s="1" t="n">
        <v>45353</v>
      </c>
      <c r="D311" t="inlineStr">
        <is>
          <t>DALARNAS LÄN</t>
        </is>
      </c>
      <c r="E311" t="inlineStr">
        <is>
          <t>LUDVIKA</t>
        </is>
      </c>
      <c r="G311" t="n">
        <v>1.2</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45353</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45353</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45353</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45353</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45353</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45353</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45353</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45353</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45353</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45353</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45353</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45353</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45353</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45353</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45353</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45353</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45353</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45353</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45353</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45353</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45353</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45353</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45353</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45353</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45353</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45353</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45353</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45353</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45353</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45353</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45353</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45353</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45353</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45353</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45353</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45353</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45353</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45353</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45353</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45353</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45353</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45353</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45353</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45353</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45353</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45353</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45353</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45353</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45353</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45353</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45353</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45353</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45353</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45353</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45353</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45353</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45353</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45353</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45353</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45353</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45353</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45353</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45353</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45353</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45353</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45353</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45353</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45353</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45353</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45353</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45353</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45353</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45353</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45353</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45353</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45353</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45353</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45353</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45353</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45353</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45353</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45353</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45353</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45353</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45353</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45353</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45353</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45353</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45353</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45353</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45353</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45353</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45353</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45353</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45353</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45353</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45353</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45353</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45353</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45353</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45353</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45353</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45353</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45353</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45353</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45353</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45353</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45353</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45353</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45353</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45353</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45353</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45353</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45353</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45353</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45353</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45353</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45353</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45353</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45268-2022</t>
        </is>
      </c>
      <c r="B431" s="1" t="n">
        <v>44844</v>
      </c>
      <c r="C431" s="1" t="n">
        <v>45353</v>
      </c>
      <c r="D431" t="inlineStr">
        <is>
          <t>DALARNAS LÄN</t>
        </is>
      </c>
      <c r="E431" t="inlineStr">
        <is>
          <t>LUDVIKA</t>
        </is>
      </c>
      <c r="F431" t="inlineStr">
        <is>
          <t>Naturvårdsverket</t>
        </is>
      </c>
      <c r="G431" t="n">
        <v>2.3</v>
      </c>
      <c r="H431" t="n">
        <v>0</v>
      </c>
      <c r="I431" t="n">
        <v>0</v>
      </c>
      <c r="J431" t="n">
        <v>0</v>
      </c>
      <c r="K431" t="n">
        <v>0</v>
      </c>
      <c r="L431" t="n">
        <v>0</v>
      </c>
      <c r="M431" t="n">
        <v>0</v>
      </c>
      <c r="N431" t="n">
        <v>0</v>
      </c>
      <c r="O431" t="n">
        <v>0</v>
      </c>
      <c r="P431" t="n">
        <v>0</v>
      </c>
      <c r="Q431" t="n">
        <v>0</v>
      </c>
      <c r="R431" s="2" t="inlineStr"/>
    </row>
    <row r="432" ht="15" customHeight="1">
      <c r="A432" t="inlineStr">
        <is>
          <t>A 45361-2022</t>
        </is>
      </c>
      <c r="B432" s="1" t="n">
        <v>44844</v>
      </c>
      <c r="C432" s="1" t="n">
        <v>45353</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45458-2022</t>
        </is>
      </c>
      <c r="B433" s="1" t="n">
        <v>44845</v>
      </c>
      <c r="C433" s="1" t="n">
        <v>45353</v>
      </c>
      <c r="D433" t="inlineStr">
        <is>
          <t>DALARNAS LÄN</t>
        </is>
      </c>
      <c r="E433" t="inlineStr">
        <is>
          <t>LUDVIKA</t>
        </is>
      </c>
      <c r="F433" t="inlineStr">
        <is>
          <t>Bergvik skog väst AB</t>
        </is>
      </c>
      <c r="G433" t="n">
        <v>4</v>
      </c>
      <c r="H433" t="n">
        <v>0</v>
      </c>
      <c r="I433" t="n">
        <v>0</v>
      </c>
      <c r="J433" t="n">
        <v>0</v>
      </c>
      <c r="K433" t="n">
        <v>0</v>
      </c>
      <c r="L433" t="n">
        <v>0</v>
      </c>
      <c r="M433" t="n">
        <v>0</v>
      </c>
      <c r="N433" t="n">
        <v>0</v>
      </c>
      <c r="O433" t="n">
        <v>0</v>
      </c>
      <c r="P433" t="n">
        <v>0</v>
      </c>
      <c r="Q433" t="n">
        <v>0</v>
      </c>
      <c r="R433" s="2" t="inlineStr"/>
    </row>
    <row r="434" ht="15" customHeight="1">
      <c r="A434" t="inlineStr">
        <is>
          <t>A 46878-2022</t>
        </is>
      </c>
      <c r="B434" s="1" t="n">
        <v>44848</v>
      </c>
      <c r="C434" s="1" t="n">
        <v>45353</v>
      </c>
      <c r="D434" t="inlineStr">
        <is>
          <t>DALARNAS LÄN</t>
        </is>
      </c>
      <c r="E434" t="inlineStr">
        <is>
          <t>LUDVIKA</t>
        </is>
      </c>
      <c r="G434" t="n">
        <v>4</v>
      </c>
      <c r="H434" t="n">
        <v>0</v>
      </c>
      <c r="I434" t="n">
        <v>0</v>
      </c>
      <c r="J434" t="n">
        <v>0</v>
      </c>
      <c r="K434" t="n">
        <v>0</v>
      </c>
      <c r="L434" t="n">
        <v>0</v>
      </c>
      <c r="M434" t="n">
        <v>0</v>
      </c>
      <c r="N434" t="n">
        <v>0</v>
      </c>
      <c r="O434" t="n">
        <v>0</v>
      </c>
      <c r="P434" t="n">
        <v>0</v>
      </c>
      <c r="Q434" t="n">
        <v>0</v>
      </c>
      <c r="R434" s="2" t="inlineStr"/>
    </row>
    <row r="435" ht="15" customHeight="1">
      <c r="A435" t="inlineStr">
        <is>
          <t>A 46680-2022</t>
        </is>
      </c>
      <c r="B435" s="1" t="n">
        <v>44851</v>
      </c>
      <c r="C435" s="1" t="n">
        <v>45353</v>
      </c>
      <c r="D435" t="inlineStr">
        <is>
          <t>DALARNAS LÄN</t>
        </is>
      </c>
      <c r="E435" t="inlineStr">
        <is>
          <t>LUDVIKA</t>
        </is>
      </c>
      <c r="G435" t="n">
        <v>2.6</v>
      </c>
      <c r="H435" t="n">
        <v>0</v>
      </c>
      <c r="I435" t="n">
        <v>0</v>
      </c>
      <c r="J435" t="n">
        <v>0</v>
      </c>
      <c r="K435" t="n">
        <v>0</v>
      </c>
      <c r="L435" t="n">
        <v>0</v>
      </c>
      <c r="M435" t="n">
        <v>0</v>
      </c>
      <c r="N435" t="n">
        <v>0</v>
      </c>
      <c r="O435" t="n">
        <v>0</v>
      </c>
      <c r="P435" t="n">
        <v>0</v>
      </c>
      <c r="Q435" t="n">
        <v>0</v>
      </c>
      <c r="R435" s="2" t="inlineStr"/>
    </row>
    <row r="436" ht="15" customHeight="1">
      <c r="A436" t="inlineStr">
        <is>
          <t>A 46905-2022</t>
        </is>
      </c>
      <c r="B436" s="1" t="n">
        <v>44851</v>
      </c>
      <c r="C436" s="1" t="n">
        <v>45353</v>
      </c>
      <c r="D436" t="inlineStr">
        <is>
          <t>DALARNAS LÄN</t>
        </is>
      </c>
      <c r="E436" t="inlineStr">
        <is>
          <t>LUDVIKA</t>
        </is>
      </c>
      <c r="F436" t="inlineStr">
        <is>
          <t>Naturvårdsverket</t>
        </is>
      </c>
      <c r="G436" t="n">
        <v>0.6</v>
      </c>
      <c r="H436" t="n">
        <v>0</v>
      </c>
      <c r="I436" t="n">
        <v>0</v>
      </c>
      <c r="J436" t="n">
        <v>0</v>
      </c>
      <c r="K436" t="n">
        <v>0</v>
      </c>
      <c r="L436" t="n">
        <v>0</v>
      </c>
      <c r="M436" t="n">
        <v>0</v>
      </c>
      <c r="N436" t="n">
        <v>0</v>
      </c>
      <c r="O436" t="n">
        <v>0</v>
      </c>
      <c r="P436" t="n">
        <v>0</v>
      </c>
      <c r="Q436" t="n">
        <v>0</v>
      </c>
      <c r="R436" s="2" t="inlineStr"/>
    </row>
    <row r="437" ht="15" customHeight="1">
      <c r="A437" t="inlineStr">
        <is>
          <t>A 47071-2022</t>
        </is>
      </c>
      <c r="B437" s="1" t="n">
        <v>44852</v>
      </c>
      <c r="C437" s="1" t="n">
        <v>45353</v>
      </c>
      <c r="D437" t="inlineStr">
        <is>
          <t>DALARNAS LÄN</t>
        </is>
      </c>
      <c r="E437" t="inlineStr">
        <is>
          <t>LUDVIKA</t>
        </is>
      </c>
      <c r="G437" t="n">
        <v>1.2</v>
      </c>
      <c r="H437" t="n">
        <v>0</v>
      </c>
      <c r="I437" t="n">
        <v>0</v>
      </c>
      <c r="J437" t="n">
        <v>0</v>
      </c>
      <c r="K437" t="n">
        <v>0</v>
      </c>
      <c r="L437" t="n">
        <v>0</v>
      </c>
      <c r="M437" t="n">
        <v>0</v>
      </c>
      <c r="N437" t="n">
        <v>0</v>
      </c>
      <c r="O437" t="n">
        <v>0</v>
      </c>
      <c r="P437" t="n">
        <v>0</v>
      </c>
      <c r="Q437" t="n">
        <v>0</v>
      </c>
      <c r="R437" s="2" t="inlineStr"/>
    </row>
    <row r="438" ht="15" customHeight="1">
      <c r="A438" t="inlineStr">
        <is>
          <t>A 47496-2022</t>
        </is>
      </c>
      <c r="B438" s="1" t="n">
        <v>44853</v>
      </c>
      <c r="C438" s="1" t="n">
        <v>45353</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47731-2022</t>
        </is>
      </c>
      <c r="B439" s="1" t="n">
        <v>44854</v>
      </c>
      <c r="C439" s="1" t="n">
        <v>45353</v>
      </c>
      <c r="D439" t="inlineStr">
        <is>
          <t>DALARNAS LÄN</t>
        </is>
      </c>
      <c r="E439" t="inlineStr">
        <is>
          <t>LUDVIKA</t>
        </is>
      </c>
      <c r="F439" t="inlineStr">
        <is>
          <t>Naturvårdsverket</t>
        </is>
      </c>
      <c r="G439" t="n">
        <v>2.1</v>
      </c>
      <c r="H439" t="n">
        <v>0</v>
      </c>
      <c r="I439" t="n">
        <v>0</v>
      </c>
      <c r="J439" t="n">
        <v>0</v>
      </c>
      <c r="K439" t="n">
        <v>0</v>
      </c>
      <c r="L439" t="n">
        <v>0</v>
      </c>
      <c r="M439" t="n">
        <v>0</v>
      </c>
      <c r="N439" t="n">
        <v>0</v>
      </c>
      <c r="O439" t="n">
        <v>0</v>
      </c>
      <c r="P439" t="n">
        <v>0</v>
      </c>
      <c r="Q439" t="n">
        <v>0</v>
      </c>
      <c r="R439" s="2" t="inlineStr"/>
    </row>
    <row r="440" ht="15" customHeight="1">
      <c r="A440" t="inlineStr">
        <is>
          <t>A 48740-2022</t>
        </is>
      </c>
      <c r="B440" s="1" t="n">
        <v>44859</v>
      </c>
      <c r="C440" s="1" t="n">
        <v>45353</v>
      </c>
      <c r="D440" t="inlineStr">
        <is>
          <t>DALARNAS LÄN</t>
        </is>
      </c>
      <c r="E440" t="inlineStr">
        <is>
          <t>LUDVIKA</t>
        </is>
      </c>
      <c r="F440" t="inlineStr">
        <is>
          <t>Bergvik skog väst AB</t>
        </is>
      </c>
      <c r="G440" t="n">
        <v>0.3</v>
      </c>
      <c r="H440" t="n">
        <v>0</v>
      </c>
      <c r="I440" t="n">
        <v>0</v>
      </c>
      <c r="J440" t="n">
        <v>0</v>
      </c>
      <c r="K440" t="n">
        <v>0</v>
      </c>
      <c r="L440" t="n">
        <v>0</v>
      </c>
      <c r="M440" t="n">
        <v>0</v>
      </c>
      <c r="N440" t="n">
        <v>0</v>
      </c>
      <c r="O440" t="n">
        <v>0</v>
      </c>
      <c r="P440" t="n">
        <v>0</v>
      </c>
      <c r="Q440" t="n">
        <v>0</v>
      </c>
      <c r="R440" s="2" t="inlineStr"/>
    </row>
    <row r="441" ht="15" customHeight="1">
      <c r="A441" t="inlineStr">
        <is>
          <t>A 48804-2022</t>
        </is>
      </c>
      <c r="B441" s="1" t="n">
        <v>44859</v>
      </c>
      <c r="C441" s="1" t="n">
        <v>45353</v>
      </c>
      <c r="D441" t="inlineStr">
        <is>
          <t>DALARNAS LÄN</t>
        </is>
      </c>
      <c r="E441" t="inlineStr">
        <is>
          <t>LUDVIKA</t>
        </is>
      </c>
      <c r="F441" t="inlineStr">
        <is>
          <t>Naturvårdsverket</t>
        </is>
      </c>
      <c r="G441" t="n">
        <v>5.1</v>
      </c>
      <c r="H441" t="n">
        <v>0</v>
      </c>
      <c r="I441" t="n">
        <v>0</v>
      </c>
      <c r="J441" t="n">
        <v>0</v>
      </c>
      <c r="K441" t="n">
        <v>0</v>
      </c>
      <c r="L441" t="n">
        <v>0</v>
      </c>
      <c r="M441" t="n">
        <v>0</v>
      </c>
      <c r="N441" t="n">
        <v>0</v>
      </c>
      <c r="O441" t="n">
        <v>0</v>
      </c>
      <c r="P441" t="n">
        <v>0</v>
      </c>
      <c r="Q441" t="n">
        <v>0</v>
      </c>
      <c r="R441" s="2" t="inlineStr"/>
    </row>
    <row r="442" ht="15" customHeight="1">
      <c r="A442" t="inlineStr">
        <is>
          <t>A 48642-2022</t>
        </is>
      </c>
      <c r="B442" s="1" t="n">
        <v>44859</v>
      </c>
      <c r="C442" s="1" t="n">
        <v>45353</v>
      </c>
      <c r="D442" t="inlineStr">
        <is>
          <t>DALARNAS LÄN</t>
        </is>
      </c>
      <c r="E442" t="inlineStr">
        <is>
          <t>LUDVIKA</t>
        </is>
      </c>
      <c r="F442" t="inlineStr">
        <is>
          <t>Naturvårdsverket</t>
        </is>
      </c>
      <c r="G442" t="n">
        <v>1.5</v>
      </c>
      <c r="H442" t="n">
        <v>0</v>
      </c>
      <c r="I442" t="n">
        <v>0</v>
      </c>
      <c r="J442" t="n">
        <v>0</v>
      </c>
      <c r="K442" t="n">
        <v>0</v>
      </c>
      <c r="L442" t="n">
        <v>0</v>
      </c>
      <c r="M442" t="n">
        <v>0</v>
      </c>
      <c r="N442" t="n">
        <v>0</v>
      </c>
      <c r="O442" t="n">
        <v>0</v>
      </c>
      <c r="P442" t="n">
        <v>0</v>
      </c>
      <c r="Q442" t="n">
        <v>0</v>
      </c>
      <c r="R442" s="2" t="inlineStr"/>
    </row>
    <row r="443" ht="15" customHeight="1">
      <c r="A443" t="inlineStr">
        <is>
          <t>A 48715-2022</t>
        </is>
      </c>
      <c r="B443" s="1" t="n">
        <v>44859</v>
      </c>
      <c r="C443" s="1" t="n">
        <v>45353</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48748-2022</t>
        </is>
      </c>
      <c r="B444" s="1" t="n">
        <v>44859</v>
      </c>
      <c r="C444" s="1" t="n">
        <v>45353</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48857-2022</t>
        </is>
      </c>
      <c r="B445" s="1" t="n">
        <v>44859</v>
      </c>
      <c r="C445" s="1" t="n">
        <v>45353</v>
      </c>
      <c r="D445" t="inlineStr">
        <is>
          <t>DALARNAS LÄN</t>
        </is>
      </c>
      <c r="E445" t="inlineStr">
        <is>
          <t>LUDVIKA</t>
        </is>
      </c>
      <c r="G445" t="n">
        <v>1.8</v>
      </c>
      <c r="H445" t="n">
        <v>0</v>
      </c>
      <c r="I445" t="n">
        <v>0</v>
      </c>
      <c r="J445" t="n">
        <v>0</v>
      </c>
      <c r="K445" t="n">
        <v>0</v>
      </c>
      <c r="L445" t="n">
        <v>0</v>
      </c>
      <c r="M445" t="n">
        <v>0</v>
      </c>
      <c r="N445" t="n">
        <v>0</v>
      </c>
      <c r="O445" t="n">
        <v>0</v>
      </c>
      <c r="P445" t="n">
        <v>0</v>
      </c>
      <c r="Q445" t="n">
        <v>0</v>
      </c>
      <c r="R445" s="2" t="inlineStr"/>
    </row>
    <row r="446" ht="15" customHeight="1">
      <c r="A446" t="inlineStr">
        <is>
          <t>A 48673-2022</t>
        </is>
      </c>
      <c r="B446" s="1" t="n">
        <v>44859</v>
      </c>
      <c r="C446" s="1" t="n">
        <v>45353</v>
      </c>
      <c r="D446" t="inlineStr">
        <is>
          <t>DALARNAS LÄN</t>
        </is>
      </c>
      <c r="E446" t="inlineStr">
        <is>
          <t>LUDVIKA</t>
        </is>
      </c>
      <c r="F446" t="inlineStr">
        <is>
          <t>Naturvårdsverket</t>
        </is>
      </c>
      <c r="G446" t="n">
        <v>1.4</v>
      </c>
      <c r="H446" t="n">
        <v>0</v>
      </c>
      <c r="I446" t="n">
        <v>0</v>
      </c>
      <c r="J446" t="n">
        <v>0</v>
      </c>
      <c r="K446" t="n">
        <v>0</v>
      </c>
      <c r="L446" t="n">
        <v>0</v>
      </c>
      <c r="M446" t="n">
        <v>0</v>
      </c>
      <c r="N446" t="n">
        <v>0</v>
      </c>
      <c r="O446" t="n">
        <v>0</v>
      </c>
      <c r="P446" t="n">
        <v>0</v>
      </c>
      <c r="Q446" t="n">
        <v>0</v>
      </c>
      <c r="R446" s="2" t="inlineStr"/>
    </row>
    <row r="447" ht="15" customHeight="1">
      <c r="A447" t="inlineStr">
        <is>
          <t>A 48759-2022</t>
        </is>
      </c>
      <c r="B447" s="1" t="n">
        <v>44859</v>
      </c>
      <c r="C447" s="1" t="n">
        <v>45353</v>
      </c>
      <c r="D447" t="inlineStr">
        <is>
          <t>DALARNAS LÄN</t>
        </is>
      </c>
      <c r="E447" t="inlineStr">
        <is>
          <t>LUDVIKA</t>
        </is>
      </c>
      <c r="F447" t="inlineStr">
        <is>
          <t>Naturvårdsverket</t>
        </is>
      </c>
      <c r="G447" t="n">
        <v>4.2</v>
      </c>
      <c r="H447" t="n">
        <v>0</v>
      </c>
      <c r="I447" t="n">
        <v>0</v>
      </c>
      <c r="J447" t="n">
        <v>0</v>
      </c>
      <c r="K447" t="n">
        <v>0</v>
      </c>
      <c r="L447" t="n">
        <v>0</v>
      </c>
      <c r="M447" t="n">
        <v>0</v>
      </c>
      <c r="N447" t="n">
        <v>0</v>
      </c>
      <c r="O447" t="n">
        <v>0</v>
      </c>
      <c r="P447" t="n">
        <v>0</v>
      </c>
      <c r="Q447" t="n">
        <v>0</v>
      </c>
      <c r="R447" s="2" t="inlineStr"/>
    </row>
    <row r="448" ht="15" customHeight="1">
      <c r="A448" t="inlineStr">
        <is>
          <t>A 49371-2022</t>
        </is>
      </c>
      <c r="B448" s="1" t="n">
        <v>44861</v>
      </c>
      <c r="C448" s="1" t="n">
        <v>45353</v>
      </c>
      <c r="D448" t="inlineStr">
        <is>
          <t>DALARNAS LÄN</t>
        </is>
      </c>
      <c r="E448" t="inlineStr">
        <is>
          <t>LUDVIKA</t>
        </is>
      </c>
      <c r="F448" t="inlineStr">
        <is>
          <t>Bergvik skog väst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49564-2022</t>
        </is>
      </c>
      <c r="B449" s="1" t="n">
        <v>44862</v>
      </c>
      <c r="C449" s="1" t="n">
        <v>45353</v>
      </c>
      <c r="D449" t="inlineStr">
        <is>
          <t>DALARNAS LÄN</t>
        </is>
      </c>
      <c r="E449" t="inlineStr">
        <is>
          <t>LUDVIKA</t>
        </is>
      </c>
      <c r="F449" t="inlineStr">
        <is>
          <t>Bergvik skog väst AB</t>
        </is>
      </c>
      <c r="G449" t="n">
        <v>5.1</v>
      </c>
      <c r="H449" t="n">
        <v>0</v>
      </c>
      <c r="I449" t="n">
        <v>0</v>
      </c>
      <c r="J449" t="n">
        <v>0</v>
      </c>
      <c r="K449" t="n">
        <v>0</v>
      </c>
      <c r="L449" t="n">
        <v>0</v>
      </c>
      <c r="M449" t="n">
        <v>0</v>
      </c>
      <c r="N449" t="n">
        <v>0</v>
      </c>
      <c r="O449" t="n">
        <v>0</v>
      </c>
      <c r="P449" t="n">
        <v>0</v>
      </c>
      <c r="Q449" t="n">
        <v>0</v>
      </c>
      <c r="R449" s="2" t="inlineStr"/>
    </row>
    <row r="450" ht="15" customHeight="1">
      <c r="A450" t="inlineStr">
        <is>
          <t>A 50078-2022</t>
        </is>
      </c>
      <c r="B450" s="1" t="n">
        <v>44865</v>
      </c>
      <c r="C450" s="1" t="n">
        <v>45353</v>
      </c>
      <c r="D450" t="inlineStr">
        <is>
          <t>DALARNAS LÄN</t>
        </is>
      </c>
      <c r="E450" t="inlineStr">
        <is>
          <t>LUDVIKA</t>
        </is>
      </c>
      <c r="F450" t="inlineStr">
        <is>
          <t>Naturvårdsverket</t>
        </is>
      </c>
      <c r="G450" t="n">
        <v>0.7</v>
      </c>
      <c r="H450" t="n">
        <v>0</v>
      </c>
      <c r="I450" t="n">
        <v>0</v>
      </c>
      <c r="J450" t="n">
        <v>0</v>
      </c>
      <c r="K450" t="n">
        <v>0</v>
      </c>
      <c r="L450" t="n">
        <v>0</v>
      </c>
      <c r="M450" t="n">
        <v>0</v>
      </c>
      <c r="N450" t="n">
        <v>0</v>
      </c>
      <c r="O450" t="n">
        <v>0</v>
      </c>
      <c r="P450" t="n">
        <v>0</v>
      </c>
      <c r="Q450" t="n">
        <v>0</v>
      </c>
      <c r="R450" s="2" t="inlineStr"/>
    </row>
    <row r="451" ht="15" customHeight="1">
      <c r="A451" t="inlineStr">
        <is>
          <t>A 49951-2022</t>
        </is>
      </c>
      <c r="B451" s="1" t="n">
        <v>44865</v>
      </c>
      <c r="C451" s="1" t="n">
        <v>45353</v>
      </c>
      <c r="D451" t="inlineStr">
        <is>
          <t>DALARNAS LÄN</t>
        </is>
      </c>
      <c r="E451" t="inlineStr">
        <is>
          <t>LUDVIKA</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50057-2022</t>
        </is>
      </c>
      <c r="B452" s="1" t="n">
        <v>44865</v>
      </c>
      <c r="C452" s="1" t="n">
        <v>45353</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50814-2022</t>
        </is>
      </c>
      <c r="B453" s="1" t="n">
        <v>44867</v>
      </c>
      <c r="C453" s="1" t="n">
        <v>45353</v>
      </c>
      <c r="D453" t="inlineStr">
        <is>
          <t>DALARNAS LÄN</t>
        </is>
      </c>
      <c r="E453" t="inlineStr">
        <is>
          <t>LUDVIKA</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50862-2022</t>
        </is>
      </c>
      <c r="B454" s="1" t="n">
        <v>44867</v>
      </c>
      <c r="C454" s="1" t="n">
        <v>45353</v>
      </c>
      <c r="D454" t="inlineStr">
        <is>
          <t>DALARNAS LÄN</t>
        </is>
      </c>
      <c r="E454" t="inlineStr">
        <is>
          <t>LUDVIKA</t>
        </is>
      </c>
      <c r="F454" t="inlineStr">
        <is>
          <t>Naturvårdsverket</t>
        </is>
      </c>
      <c r="G454" t="n">
        <v>14</v>
      </c>
      <c r="H454" t="n">
        <v>0</v>
      </c>
      <c r="I454" t="n">
        <v>0</v>
      </c>
      <c r="J454" t="n">
        <v>0</v>
      </c>
      <c r="K454" t="n">
        <v>0</v>
      </c>
      <c r="L454" t="n">
        <v>0</v>
      </c>
      <c r="M454" t="n">
        <v>0</v>
      </c>
      <c r="N454" t="n">
        <v>0</v>
      </c>
      <c r="O454" t="n">
        <v>0</v>
      </c>
      <c r="P454" t="n">
        <v>0</v>
      </c>
      <c r="Q454" t="n">
        <v>0</v>
      </c>
      <c r="R454" s="2" t="inlineStr"/>
    </row>
    <row r="455" ht="15" customHeight="1">
      <c r="A455" t="inlineStr">
        <is>
          <t>A 51386-2022</t>
        </is>
      </c>
      <c r="B455" s="1" t="n">
        <v>44869</v>
      </c>
      <c r="C455" s="1" t="n">
        <v>45353</v>
      </c>
      <c r="D455" t="inlineStr">
        <is>
          <t>DALARNAS LÄN</t>
        </is>
      </c>
      <c r="E455" t="inlineStr">
        <is>
          <t>LUDVIKA</t>
        </is>
      </c>
      <c r="F455" t="inlineStr">
        <is>
          <t>Bergvik skog väst AB</t>
        </is>
      </c>
      <c r="G455" t="n">
        <v>5.2</v>
      </c>
      <c r="H455" t="n">
        <v>0</v>
      </c>
      <c r="I455" t="n">
        <v>0</v>
      </c>
      <c r="J455" t="n">
        <v>0</v>
      </c>
      <c r="K455" t="n">
        <v>0</v>
      </c>
      <c r="L455" t="n">
        <v>0</v>
      </c>
      <c r="M455" t="n">
        <v>0</v>
      </c>
      <c r="N455" t="n">
        <v>0</v>
      </c>
      <c r="O455" t="n">
        <v>0</v>
      </c>
      <c r="P455" t="n">
        <v>0</v>
      </c>
      <c r="Q455" t="n">
        <v>0</v>
      </c>
      <c r="R455" s="2" t="inlineStr"/>
    </row>
    <row r="456" ht="15" customHeight="1">
      <c r="A456" t="inlineStr">
        <is>
          <t>A 51453-2022</t>
        </is>
      </c>
      <c r="B456" s="1" t="n">
        <v>44869</v>
      </c>
      <c r="C456" s="1" t="n">
        <v>45353</v>
      </c>
      <c r="D456" t="inlineStr">
        <is>
          <t>DALARNAS LÄN</t>
        </is>
      </c>
      <c r="E456" t="inlineStr">
        <is>
          <t>LUDVIKA</t>
        </is>
      </c>
      <c r="F456" t="inlineStr">
        <is>
          <t>Bergvik skog väst AB</t>
        </is>
      </c>
      <c r="G456" t="n">
        <v>8</v>
      </c>
      <c r="H456" t="n">
        <v>0</v>
      </c>
      <c r="I456" t="n">
        <v>0</v>
      </c>
      <c r="J456" t="n">
        <v>0</v>
      </c>
      <c r="K456" t="n">
        <v>0</v>
      </c>
      <c r="L456" t="n">
        <v>0</v>
      </c>
      <c r="M456" t="n">
        <v>0</v>
      </c>
      <c r="N456" t="n">
        <v>0</v>
      </c>
      <c r="O456" t="n">
        <v>0</v>
      </c>
      <c r="P456" t="n">
        <v>0</v>
      </c>
      <c r="Q456" t="n">
        <v>0</v>
      </c>
      <c r="R456" s="2" t="inlineStr"/>
    </row>
    <row r="457" ht="15" customHeight="1">
      <c r="A457" t="inlineStr">
        <is>
          <t>A 52303-2022</t>
        </is>
      </c>
      <c r="B457" s="1" t="n">
        <v>44869</v>
      </c>
      <c r="C457" s="1" t="n">
        <v>45353</v>
      </c>
      <c r="D457" t="inlineStr">
        <is>
          <t>DALARNAS LÄN</t>
        </is>
      </c>
      <c r="E457" t="inlineStr">
        <is>
          <t>LUDVIKA</t>
        </is>
      </c>
      <c r="G457" t="n">
        <v>1</v>
      </c>
      <c r="H457" t="n">
        <v>0</v>
      </c>
      <c r="I457" t="n">
        <v>0</v>
      </c>
      <c r="J457" t="n">
        <v>0</v>
      </c>
      <c r="K457" t="n">
        <v>0</v>
      </c>
      <c r="L457" t="n">
        <v>0</v>
      </c>
      <c r="M457" t="n">
        <v>0</v>
      </c>
      <c r="N457" t="n">
        <v>0</v>
      </c>
      <c r="O457" t="n">
        <v>0</v>
      </c>
      <c r="P457" t="n">
        <v>0</v>
      </c>
      <c r="Q457" t="n">
        <v>0</v>
      </c>
      <c r="R457" s="2" t="inlineStr"/>
    </row>
    <row r="458" ht="15" customHeight="1">
      <c r="A458" t="inlineStr">
        <is>
          <t>A 51713-2022</t>
        </is>
      </c>
      <c r="B458" s="1" t="n">
        <v>44872</v>
      </c>
      <c r="C458" s="1" t="n">
        <v>45353</v>
      </c>
      <c r="D458" t="inlineStr">
        <is>
          <t>DALARNAS LÄN</t>
        </is>
      </c>
      <c r="E458" t="inlineStr">
        <is>
          <t>LUDVIKA</t>
        </is>
      </c>
      <c r="F458" t="inlineStr">
        <is>
          <t>Bergvik skog väst AB</t>
        </is>
      </c>
      <c r="G458" t="n">
        <v>1.6</v>
      </c>
      <c r="H458" t="n">
        <v>0</v>
      </c>
      <c r="I458" t="n">
        <v>0</v>
      </c>
      <c r="J458" t="n">
        <v>0</v>
      </c>
      <c r="K458" t="n">
        <v>0</v>
      </c>
      <c r="L458" t="n">
        <v>0</v>
      </c>
      <c r="M458" t="n">
        <v>0</v>
      </c>
      <c r="N458" t="n">
        <v>0</v>
      </c>
      <c r="O458" t="n">
        <v>0</v>
      </c>
      <c r="P458" t="n">
        <v>0</v>
      </c>
      <c r="Q458" t="n">
        <v>0</v>
      </c>
      <c r="R458" s="2" t="inlineStr"/>
    </row>
    <row r="459" ht="15" customHeight="1">
      <c r="A459" t="inlineStr">
        <is>
          <t>A 51659-2022</t>
        </is>
      </c>
      <c r="B459" s="1" t="n">
        <v>44872</v>
      </c>
      <c r="C459" s="1" t="n">
        <v>45353</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51709-2022</t>
        </is>
      </c>
      <c r="B460" s="1" t="n">
        <v>44872</v>
      </c>
      <c r="C460" s="1" t="n">
        <v>45353</v>
      </c>
      <c r="D460" t="inlineStr">
        <is>
          <t>DALARNAS LÄN</t>
        </is>
      </c>
      <c r="E460" t="inlineStr">
        <is>
          <t>LUDVIKA</t>
        </is>
      </c>
      <c r="F460" t="inlineStr">
        <is>
          <t>Bergvik skog väst AB</t>
        </is>
      </c>
      <c r="G460" t="n">
        <v>2.1</v>
      </c>
      <c r="H460" t="n">
        <v>0</v>
      </c>
      <c r="I460" t="n">
        <v>0</v>
      </c>
      <c r="J460" t="n">
        <v>0</v>
      </c>
      <c r="K460" t="n">
        <v>0</v>
      </c>
      <c r="L460" t="n">
        <v>0</v>
      </c>
      <c r="M460" t="n">
        <v>0</v>
      </c>
      <c r="N460" t="n">
        <v>0</v>
      </c>
      <c r="O460" t="n">
        <v>0</v>
      </c>
      <c r="P460" t="n">
        <v>0</v>
      </c>
      <c r="Q460" t="n">
        <v>0</v>
      </c>
      <c r="R460" s="2" t="inlineStr"/>
    </row>
    <row r="461" ht="15" customHeight="1">
      <c r="A461" t="inlineStr">
        <is>
          <t>A 51886-2022</t>
        </is>
      </c>
      <c r="B461" s="1" t="n">
        <v>44872</v>
      </c>
      <c r="C461" s="1" t="n">
        <v>45353</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52432-2022</t>
        </is>
      </c>
      <c r="B462" s="1" t="n">
        <v>44874</v>
      </c>
      <c r="C462" s="1" t="n">
        <v>45353</v>
      </c>
      <c r="D462" t="inlineStr">
        <is>
          <t>DALARNAS LÄN</t>
        </is>
      </c>
      <c r="E462" t="inlineStr">
        <is>
          <t>LUDVIKA</t>
        </is>
      </c>
      <c r="F462" t="inlineStr">
        <is>
          <t>Bergvik skog väst AB</t>
        </is>
      </c>
      <c r="G462" t="n">
        <v>1.9</v>
      </c>
      <c r="H462" t="n">
        <v>0</v>
      </c>
      <c r="I462" t="n">
        <v>0</v>
      </c>
      <c r="J462" t="n">
        <v>0</v>
      </c>
      <c r="K462" t="n">
        <v>0</v>
      </c>
      <c r="L462" t="n">
        <v>0</v>
      </c>
      <c r="M462" t="n">
        <v>0</v>
      </c>
      <c r="N462" t="n">
        <v>0</v>
      </c>
      <c r="O462" t="n">
        <v>0</v>
      </c>
      <c r="P462" t="n">
        <v>0</v>
      </c>
      <c r="Q462" t="n">
        <v>0</v>
      </c>
      <c r="R462" s="2" t="inlineStr"/>
    </row>
    <row r="463" ht="15" customHeight="1">
      <c r="A463" t="inlineStr">
        <is>
          <t>A 53509-2022</t>
        </is>
      </c>
      <c r="B463" s="1" t="n">
        <v>44879</v>
      </c>
      <c r="C463" s="1" t="n">
        <v>45353</v>
      </c>
      <c r="D463" t="inlineStr">
        <is>
          <t>DALARNAS LÄN</t>
        </is>
      </c>
      <c r="E463" t="inlineStr">
        <is>
          <t>LUDVIKA</t>
        </is>
      </c>
      <c r="F463" t="inlineStr">
        <is>
          <t>Naturvårdsverket</t>
        </is>
      </c>
      <c r="G463" t="n">
        <v>4.9</v>
      </c>
      <c r="H463" t="n">
        <v>0</v>
      </c>
      <c r="I463" t="n">
        <v>0</v>
      </c>
      <c r="J463" t="n">
        <v>0</v>
      </c>
      <c r="K463" t="n">
        <v>0</v>
      </c>
      <c r="L463" t="n">
        <v>0</v>
      </c>
      <c r="M463" t="n">
        <v>0</v>
      </c>
      <c r="N463" t="n">
        <v>0</v>
      </c>
      <c r="O463" t="n">
        <v>0</v>
      </c>
      <c r="P463" t="n">
        <v>0</v>
      </c>
      <c r="Q463" t="n">
        <v>0</v>
      </c>
      <c r="R463" s="2" t="inlineStr"/>
    </row>
    <row r="464" ht="15" customHeight="1">
      <c r="A464" t="inlineStr">
        <is>
          <t>A 53619-2022</t>
        </is>
      </c>
      <c r="B464" s="1" t="n">
        <v>44879</v>
      </c>
      <c r="C464" s="1" t="n">
        <v>45353</v>
      </c>
      <c r="D464" t="inlineStr">
        <is>
          <t>DALARNAS LÄN</t>
        </is>
      </c>
      <c r="E464" t="inlineStr">
        <is>
          <t>LUDVIKA</t>
        </is>
      </c>
      <c r="G464" t="n">
        <v>1</v>
      </c>
      <c r="H464" t="n">
        <v>0</v>
      </c>
      <c r="I464" t="n">
        <v>0</v>
      </c>
      <c r="J464" t="n">
        <v>0</v>
      </c>
      <c r="K464" t="n">
        <v>0</v>
      </c>
      <c r="L464" t="n">
        <v>0</v>
      </c>
      <c r="M464" t="n">
        <v>0</v>
      </c>
      <c r="N464" t="n">
        <v>0</v>
      </c>
      <c r="O464" t="n">
        <v>0</v>
      </c>
      <c r="P464" t="n">
        <v>0</v>
      </c>
      <c r="Q464" t="n">
        <v>0</v>
      </c>
      <c r="R464" s="2" t="inlineStr"/>
    </row>
    <row r="465" ht="15" customHeight="1">
      <c r="A465" t="inlineStr">
        <is>
          <t>A 53620-2022</t>
        </is>
      </c>
      <c r="B465" s="1" t="n">
        <v>44879</v>
      </c>
      <c r="C465" s="1" t="n">
        <v>45353</v>
      </c>
      <c r="D465" t="inlineStr">
        <is>
          <t>DALARNAS LÄN</t>
        </is>
      </c>
      <c r="E465" t="inlineStr">
        <is>
          <t>LUDVIKA</t>
        </is>
      </c>
      <c r="G465" t="n">
        <v>3.7</v>
      </c>
      <c r="H465" t="n">
        <v>0</v>
      </c>
      <c r="I465" t="n">
        <v>0</v>
      </c>
      <c r="J465" t="n">
        <v>0</v>
      </c>
      <c r="K465" t="n">
        <v>0</v>
      </c>
      <c r="L465" t="n">
        <v>0</v>
      </c>
      <c r="M465" t="n">
        <v>0</v>
      </c>
      <c r="N465" t="n">
        <v>0</v>
      </c>
      <c r="O465" t="n">
        <v>0</v>
      </c>
      <c r="P465" t="n">
        <v>0</v>
      </c>
      <c r="Q465" t="n">
        <v>0</v>
      </c>
      <c r="R465" s="2" t="inlineStr"/>
    </row>
    <row r="466" ht="15" customHeight="1">
      <c r="A466" t="inlineStr">
        <is>
          <t>A 53705-2022</t>
        </is>
      </c>
      <c r="B466" s="1" t="n">
        <v>44880</v>
      </c>
      <c r="C466" s="1" t="n">
        <v>45353</v>
      </c>
      <c r="D466" t="inlineStr">
        <is>
          <t>DALARNAS LÄN</t>
        </is>
      </c>
      <c r="E466" t="inlineStr">
        <is>
          <t>LUDVIKA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54730-2022</t>
        </is>
      </c>
      <c r="B467" s="1" t="n">
        <v>44883</v>
      </c>
      <c r="C467" s="1" t="n">
        <v>45353</v>
      </c>
      <c r="D467" t="inlineStr">
        <is>
          <t>DALARNAS LÄN</t>
        </is>
      </c>
      <c r="E467" t="inlineStr">
        <is>
          <t>LUDVIKA</t>
        </is>
      </c>
      <c r="F467" t="inlineStr">
        <is>
          <t>Bergvik skog väst AB</t>
        </is>
      </c>
      <c r="G467" t="n">
        <v>2.4</v>
      </c>
      <c r="H467" t="n">
        <v>0</v>
      </c>
      <c r="I467" t="n">
        <v>0</v>
      </c>
      <c r="J467" t="n">
        <v>0</v>
      </c>
      <c r="K467" t="n">
        <v>0</v>
      </c>
      <c r="L467" t="n">
        <v>0</v>
      </c>
      <c r="M467" t="n">
        <v>0</v>
      </c>
      <c r="N467" t="n">
        <v>0</v>
      </c>
      <c r="O467" t="n">
        <v>0</v>
      </c>
      <c r="P467" t="n">
        <v>0</v>
      </c>
      <c r="Q467" t="n">
        <v>0</v>
      </c>
      <c r="R467" s="2" t="inlineStr"/>
    </row>
    <row r="468" ht="15" customHeight="1">
      <c r="A468" t="inlineStr">
        <is>
          <t>A 54767-2022</t>
        </is>
      </c>
      <c r="B468" s="1" t="n">
        <v>44883</v>
      </c>
      <c r="C468" s="1" t="n">
        <v>45353</v>
      </c>
      <c r="D468" t="inlineStr">
        <is>
          <t>DALARNAS LÄN</t>
        </is>
      </c>
      <c r="E468" t="inlineStr">
        <is>
          <t>LUDVIKA</t>
        </is>
      </c>
      <c r="F468" t="inlineStr">
        <is>
          <t>Bergvik skog väst AB</t>
        </is>
      </c>
      <c r="G468" t="n">
        <v>0.6</v>
      </c>
      <c r="H468" t="n">
        <v>0</v>
      </c>
      <c r="I468" t="n">
        <v>0</v>
      </c>
      <c r="J468" t="n">
        <v>0</v>
      </c>
      <c r="K468" t="n">
        <v>0</v>
      </c>
      <c r="L468" t="n">
        <v>0</v>
      </c>
      <c r="M468" t="n">
        <v>0</v>
      </c>
      <c r="N468" t="n">
        <v>0</v>
      </c>
      <c r="O468" t="n">
        <v>0</v>
      </c>
      <c r="P468" t="n">
        <v>0</v>
      </c>
      <c r="Q468" t="n">
        <v>0</v>
      </c>
      <c r="R468" s="2" t="inlineStr"/>
    </row>
    <row r="469" ht="15" customHeight="1">
      <c r="A469" t="inlineStr">
        <is>
          <t>A 54914-2022</t>
        </is>
      </c>
      <c r="B469" s="1" t="n">
        <v>44886</v>
      </c>
      <c r="C469" s="1" t="n">
        <v>45353</v>
      </c>
      <c r="D469" t="inlineStr">
        <is>
          <t>DALARNAS LÄN</t>
        </is>
      </c>
      <c r="E469" t="inlineStr">
        <is>
          <t>LUDVIKA</t>
        </is>
      </c>
      <c r="F469" t="inlineStr">
        <is>
          <t>Naturvårdsverket</t>
        </is>
      </c>
      <c r="G469" t="n">
        <v>0.6</v>
      </c>
      <c r="H469" t="n">
        <v>0</v>
      </c>
      <c r="I469" t="n">
        <v>0</v>
      </c>
      <c r="J469" t="n">
        <v>0</v>
      </c>
      <c r="K469" t="n">
        <v>0</v>
      </c>
      <c r="L469" t="n">
        <v>0</v>
      </c>
      <c r="M469" t="n">
        <v>0</v>
      </c>
      <c r="N469" t="n">
        <v>0</v>
      </c>
      <c r="O469" t="n">
        <v>0</v>
      </c>
      <c r="P469" t="n">
        <v>0</v>
      </c>
      <c r="Q469" t="n">
        <v>0</v>
      </c>
      <c r="R469" s="2" t="inlineStr"/>
    </row>
    <row r="470" ht="15" customHeight="1">
      <c r="A470" t="inlineStr">
        <is>
          <t>A 55262-2022</t>
        </is>
      </c>
      <c r="B470" s="1" t="n">
        <v>44887</v>
      </c>
      <c r="C470" s="1" t="n">
        <v>45353</v>
      </c>
      <c r="D470" t="inlineStr">
        <is>
          <t>DALARNAS LÄN</t>
        </is>
      </c>
      <c r="E470" t="inlineStr">
        <is>
          <t>LUDVIKA</t>
        </is>
      </c>
      <c r="F470" t="inlineStr">
        <is>
          <t>Bergvik skog väst AB</t>
        </is>
      </c>
      <c r="G470" t="n">
        <v>4.4</v>
      </c>
      <c r="H470" t="n">
        <v>0</v>
      </c>
      <c r="I470" t="n">
        <v>0</v>
      </c>
      <c r="J470" t="n">
        <v>0</v>
      </c>
      <c r="K470" t="n">
        <v>0</v>
      </c>
      <c r="L470" t="n">
        <v>0</v>
      </c>
      <c r="M470" t="n">
        <v>0</v>
      </c>
      <c r="N470" t="n">
        <v>0</v>
      </c>
      <c r="O470" t="n">
        <v>0</v>
      </c>
      <c r="P470" t="n">
        <v>0</v>
      </c>
      <c r="Q470" t="n">
        <v>0</v>
      </c>
      <c r="R470" s="2" t="inlineStr"/>
    </row>
    <row r="471" ht="15" customHeight="1">
      <c r="A471" t="inlineStr">
        <is>
          <t>A 56346-2022</t>
        </is>
      </c>
      <c r="B471" s="1" t="n">
        <v>44890</v>
      </c>
      <c r="C471" s="1" t="n">
        <v>45353</v>
      </c>
      <c r="D471" t="inlineStr">
        <is>
          <t>DALARNAS LÄN</t>
        </is>
      </c>
      <c r="E471" t="inlineStr">
        <is>
          <t>LUDVIKA</t>
        </is>
      </c>
      <c r="F471" t="inlineStr">
        <is>
          <t>Bergvik skog väst AB</t>
        </is>
      </c>
      <c r="G471" t="n">
        <v>1.2</v>
      </c>
      <c r="H471" t="n">
        <v>0</v>
      </c>
      <c r="I471" t="n">
        <v>0</v>
      </c>
      <c r="J471" t="n">
        <v>0</v>
      </c>
      <c r="K471" t="n">
        <v>0</v>
      </c>
      <c r="L471" t="n">
        <v>0</v>
      </c>
      <c r="M471" t="n">
        <v>0</v>
      </c>
      <c r="N471" t="n">
        <v>0</v>
      </c>
      <c r="O471" t="n">
        <v>0</v>
      </c>
      <c r="P471" t="n">
        <v>0</v>
      </c>
      <c r="Q471" t="n">
        <v>0</v>
      </c>
      <c r="R471" s="2" t="inlineStr"/>
    </row>
    <row r="472" ht="15" customHeight="1">
      <c r="A472" t="inlineStr">
        <is>
          <t>A 56347-2022</t>
        </is>
      </c>
      <c r="B472" s="1" t="n">
        <v>44890</v>
      </c>
      <c r="C472" s="1" t="n">
        <v>45353</v>
      </c>
      <c r="D472" t="inlineStr">
        <is>
          <t>DALARNAS LÄN</t>
        </is>
      </c>
      <c r="E472" t="inlineStr">
        <is>
          <t>LUDVIKA</t>
        </is>
      </c>
      <c r="F472" t="inlineStr">
        <is>
          <t>Bergvik skog väst AB</t>
        </is>
      </c>
      <c r="G472" t="n">
        <v>1</v>
      </c>
      <c r="H472" t="n">
        <v>0</v>
      </c>
      <c r="I472" t="n">
        <v>0</v>
      </c>
      <c r="J472" t="n">
        <v>0</v>
      </c>
      <c r="K472" t="n">
        <v>0</v>
      </c>
      <c r="L472" t="n">
        <v>0</v>
      </c>
      <c r="M472" t="n">
        <v>0</v>
      </c>
      <c r="N472" t="n">
        <v>0</v>
      </c>
      <c r="O472" t="n">
        <v>0</v>
      </c>
      <c r="P472" t="n">
        <v>0</v>
      </c>
      <c r="Q472" t="n">
        <v>0</v>
      </c>
      <c r="R472" s="2" t="inlineStr"/>
    </row>
    <row r="473" ht="15" customHeight="1">
      <c r="A473" t="inlineStr">
        <is>
          <t>A 56680-2022</t>
        </is>
      </c>
      <c r="B473" s="1" t="n">
        <v>44893</v>
      </c>
      <c r="C473" s="1" t="n">
        <v>45353</v>
      </c>
      <c r="D473" t="inlineStr">
        <is>
          <t>DALARNAS LÄN</t>
        </is>
      </c>
      <c r="E473" t="inlineStr">
        <is>
          <t>LUDVIKA</t>
        </is>
      </c>
      <c r="G473" t="n">
        <v>0.4</v>
      </c>
      <c r="H473" t="n">
        <v>0</v>
      </c>
      <c r="I473" t="n">
        <v>0</v>
      </c>
      <c r="J473" t="n">
        <v>0</v>
      </c>
      <c r="K473" t="n">
        <v>0</v>
      </c>
      <c r="L473" t="n">
        <v>0</v>
      </c>
      <c r="M473" t="n">
        <v>0</v>
      </c>
      <c r="N473" t="n">
        <v>0</v>
      </c>
      <c r="O473" t="n">
        <v>0</v>
      </c>
      <c r="P473" t="n">
        <v>0</v>
      </c>
      <c r="Q473" t="n">
        <v>0</v>
      </c>
      <c r="R473" s="2" t="inlineStr"/>
    </row>
    <row r="474" ht="15" customHeight="1">
      <c r="A474" t="inlineStr">
        <is>
          <t>A 56686-2022</t>
        </is>
      </c>
      <c r="B474" s="1" t="n">
        <v>44893</v>
      </c>
      <c r="C474" s="1" t="n">
        <v>45353</v>
      </c>
      <c r="D474" t="inlineStr">
        <is>
          <t>DALARNAS LÄN</t>
        </is>
      </c>
      <c r="E474" t="inlineStr">
        <is>
          <t>LUDVIKA</t>
        </is>
      </c>
      <c r="G474" t="n">
        <v>0.7</v>
      </c>
      <c r="H474" t="n">
        <v>0</v>
      </c>
      <c r="I474" t="n">
        <v>0</v>
      </c>
      <c r="J474" t="n">
        <v>0</v>
      </c>
      <c r="K474" t="n">
        <v>0</v>
      </c>
      <c r="L474" t="n">
        <v>0</v>
      </c>
      <c r="M474" t="n">
        <v>0</v>
      </c>
      <c r="N474" t="n">
        <v>0</v>
      </c>
      <c r="O474" t="n">
        <v>0</v>
      </c>
      <c r="P474" t="n">
        <v>0</v>
      </c>
      <c r="Q474" t="n">
        <v>0</v>
      </c>
      <c r="R474" s="2" t="inlineStr"/>
    </row>
    <row r="475" ht="15" customHeight="1">
      <c r="A475" t="inlineStr">
        <is>
          <t>A 56685-2022</t>
        </is>
      </c>
      <c r="B475" s="1" t="n">
        <v>44893</v>
      </c>
      <c r="C475" s="1" t="n">
        <v>45353</v>
      </c>
      <c r="D475" t="inlineStr">
        <is>
          <t>DALARNAS LÄN</t>
        </is>
      </c>
      <c r="E475" t="inlineStr">
        <is>
          <t>LUDVIKA</t>
        </is>
      </c>
      <c r="G475" t="n">
        <v>0.6</v>
      </c>
      <c r="H475" t="n">
        <v>0</v>
      </c>
      <c r="I475" t="n">
        <v>0</v>
      </c>
      <c r="J475" t="n">
        <v>0</v>
      </c>
      <c r="K475" t="n">
        <v>0</v>
      </c>
      <c r="L475" t="n">
        <v>0</v>
      </c>
      <c r="M475" t="n">
        <v>0</v>
      </c>
      <c r="N475" t="n">
        <v>0</v>
      </c>
      <c r="O475" t="n">
        <v>0</v>
      </c>
      <c r="P475" t="n">
        <v>0</v>
      </c>
      <c r="Q475" t="n">
        <v>0</v>
      </c>
      <c r="R475" s="2" t="inlineStr"/>
    </row>
    <row r="476" ht="15" customHeight="1">
      <c r="A476" t="inlineStr">
        <is>
          <t>A 57193-2022</t>
        </is>
      </c>
      <c r="B476" s="1" t="n">
        <v>44895</v>
      </c>
      <c r="C476" s="1" t="n">
        <v>45353</v>
      </c>
      <c r="D476" t="inlineStr">
        <is>
          <t>DALARNAS LÄN</t>
        </is>
      </c>
      <c r="E476" t="inlineStr">
        <is>
          <t>LUDVIKA</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58021-2022</t>
        </is>
      </c>
      <c r="B477" s="1" t="n">
        <v>44900</v>
      </c>
      <c r="C477" s="1" t="n">
        <v>45353</v>
      </c>
      <c r="D477" t="inlineStr">
        <is>
          <t>DALARNAS LÄN</t>
        </is>
      </c>
      <c r="E477" t="inlineStr">
        <is>
          <t>LUDVIKA</t>
        </is>
      </c>
      <c r="F477" t="inlineStr">
        <is>
          <t>Bergvik skog väst AB</t>
        </is>
      </c>
      <c r="G477" t="n">
        <v>22.3</v>
      </c>
      <c r="H477" t="n">
        <v>0</v>
      </c>
      <c r="I477" t="n">
        <v>0</v>
      </c>
      <c r="J477" t="n">
        <v>0</v>
      </c>
      <c r="K477" t="n">
        <v>0</v>
      </c>
      <c r="L477" t="n">
        <v>0</v>
      </c>
      <c r="M477" t="n">
        <v>0</v>
      </c>
      <c r="N477" t="n">
        <v>0</v>
      </c>
      <c r="O477" t="n">
        <v>0</v>
      </c>
      <c r="P477" t="n">
        <v>0</v>
      </c>
      <c r="Q477" t="n">
        <v>0</v>
      </c>
      <c r="R477" s="2" t="inlineStr"/>
    </row>
    <row r="478" ht="15" customHeight="1">
      <c r="A478" t="inlineStr">
        <is>
          <t>A 59050-2022</t>
        </is>
      </c>
      <c r="B478" s="1" t="n">
        <v>44903</v>
      </c>
      <c r="C478" s="1" t="n">
        <v>45353</v>
      </c>
      <c r="D478" t="inlineStr">
        <is>
          <t>DALARNAS LÄN</t>
        </is>
      </c>
      <c r="E478" t="inlineStr">
        <is>
          <t>LUDVIKA</t>
        </is>
      </c>
      <c r="G478" t="n">
        <v>2.8</v>
      </c>
      <c r="H478" t="n">
        <v>0</v>
      </c>
      <c r="I478" t="n">
        <v>0</v>
      </c>
      <c r="J478" t="n">
        <v>0</v>
      </c>
      <c r="K478" t="n">
        <v>0</v>
      </c>
      <c r="L478" t="n">
        <v>0</v>
      </c>
      <c r="M478" t="n">
        <v>0</v>
      </c>
      <c r="N478" t="n">
        <v>0</v>
      </c>
      <c r="O478" t="n">
        <v>0</v>
      </c>
      <c r="P478" t="n">
        <v>0</v>
      </c>
      <c r="Q478" t="n">
        <v>0</v>
      </c>
      <c r="R478" s="2" t="inlineStr"/>
    </row>
    <row r="479" ht="15" customHeight="1">
      <c r="A479" t="inlineStr">
        <is>
          <t>A 59415-2022</t>
        </is>
      </c>
      <c r="B479" s="1" t="n">
        <v>44907</v>
      </c>
      <c r="C479" s="1" t="n">
        <v>45353</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59413-2022</t>
        </is>
      </c>
      <c r="B480" s="1" t="n">
        <v>44907</v>
      </c>
      <c r="C480" s="1" t="n">
        <v>45353</v>
      </c>
      <c r="D480" t="inlineStr">
        <is>
          <t>DALARNAS LÄN</t>
        </is>
      </c>
      <c r="E480" t="inlineStr">
        <is>
          <t>LUDVIKA</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61050-2022</t>
        </is>
      </c>
      <c r="B481" s="1" t="n">
        <v>44915</v>
      </c>
      <c r="C481" s="1" t="n">
        <v>45353</v>
      </c>
      <c r="D481" t="inlineStr">
        <is>
          <t>DALARNAS LÄN</t>
        </is>
      </c>
      <c r="E481" t="inlineStr">
        <is>
          <t>LUDVIKA</t>
        </is>
      </c>
      <c r="G481" t="n">
        <v>2.4</v>
      </c>
      <c r="H481" t="n">
        <v>0</v>
      </c>
      <c r="I481" t="n">
        <v>0</v>
      </c>
      <c r="J481" t="n">
        <v>0</v>
      </c>
      <c r="K481" t="n">
        <v>0</v>
      </c>
      <c r="L481" t="n">
        <v>0</v>
      </c>
      <c r="M481" t="n">
        <v>0</v>
      </c>
      <c r="N481" t="n">
        <v>0</v>
      </c>
      <c r="O481" t="n">
        <v>0</v>
      </c>
      <c r="P481" t="n">
        <v>0</v>
      </c>
      <c r="Q481" t="n">
        <v>0</v>
      </c>
      <c r="R481" s="2" t="inlineStr"/>
    </row>
    <row r="482" ht="15" customHeight="1">
      <c r="A482" t="inlineStr">
        <is>
          <t>A 61309-2022</t>
        </is>
      </c>
      <c r="B482" s="1" t="n">
        <v>44915</v>
      </c>
      <c r="C482" s="1" t="n">
        <v>45353</v>
      </c>
      <c r="D482" t="inlineStr">
        <is>
          <t>DALARNAS LÄN</t>
        </is>
      </c>
      <c r="E482" t="inlineStr">
        <is>
          <t>LUDVIKA</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61278-2022</t>
        </is>
      </c>
      <c r="B483" s="1" t="n">
        <v>44915</v>
      </c>
      <c r="C483" s="1" t="n">
        <v>45353</v>
      </c>
      <c r="D483" t="inlineStr">
        <is>
          <t>DALARNAS LÄN</t>
        </is>
      </c>
      <c r="E483" t="inlineStr">
        <is>
          <t>LUDVIKA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61621-2022</t>
        </is>
      </c>
      <c r="B484" s="1" t="n">
        <v>44916</v>
      </c>
      <c r="C484" s="1" t="n">
        <v>45353</v>
      </c>
      <c r="D484" t="inlineStr">
        <is>
          <t>DALARNAS LÄN</t>
        </is>
      </c>
      <c r="E484" t="inlineStr">
        <is>
          <t>LUDVIKA</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62275-2022</t>
        </is>
      </c>
      <c r="B485" s="1" t="n">
        <v>44923</v>
      </c>
      <c r="C485" s="1" t="n">
        <v>45353</v>
      </c>
      <c r="D485" t="inlineStr">
        <is>
          <t>DALARNAS LÄN</t>
        </is>
      </c>
      <c r="E485" t="inlineStr">
        <is>
          <t>LUDVIKA</t>
        </is>
      </c>
      <c r="G485" t="n">
        <v>4.6</v>
      </c>
      <c r="H485" t="n">
        <v>0</v>
      </c>
      <c r="I485" t="n">
        <v>0</v>
      </c>
      <c r="J485" t="n">
        <v>0</v>
      </c>
      <c r="K485" t="n">
        <v>0</v>
      </c>
      <c r="L485" t="n">
        <v>0</v>
      </c>
      <c r="M485" t="n">
        <v>0</v>
      </c>
      <c r="N485" t="n">
        <v>0</v>
      </c>
      <c r="O485" t="n">
        <v>0</v>
      </c>
      <c r="P485" t="n">
        <v>0</v>
      </c>
      <c r="Q485" t="n">
        <v>0</v>
      </c>
      <c r="R485" s="2" t="inlineStr"/>
    </row>
    <row r="486" ht="15" customHeight="1">
      <c r="A486" t="inlineStr">
        <is>
          <t>A 400-2023</t>
        </is>
      </c>
      <c r="B486" s="1" t="n">
        <v>44929</v>
      </c>
      <c r="C486" s="1" t="n">
        <v>45353</v>
      </c>
      <c r="D486" t="inlineStr">
        <is>
          <t>DALARNAS LÄN</t>
        </is>
      </c>
      <c r="E486" t="inlineStr">
        <is>
          <t>LUDVIKA</t>
        </is>
      </c>
      <c r="G486" t="n">
        <v>3.6</v>
      </c>
      <c r="H486" t="n">
        <v>0</v>
      </c>
      <c r="I486" t="n">
        <v>0</v>
      </c>
      <c r="J486" t="n">
        <v>0</v>
      </c>
      <c r="K486" t="n">
        <v>0</v>
      </c>
      <c r="L486" t="n">
        <v>0</v>
      </c>
      <c r="M486" t="n">
        <v>0</v>
      </c>
      <c r="N486" t="n">
        <v>0</v>
      </c>
      <c r="O486" t="n">
        <v>0</v>
      </c>
      <c r="P486" t="n">
        <v>0</v>
      </c>
      <c r="Q486" t="n">
        <v>0</v>
      </c>
      <c r="R486" s="2" t="inlineStr"/>
    </row>
    <row r="487" ht="15" customHeight="1">
      <c r="A487" t="inlineStr">
        <is>
          <t>A 381-2023</t>
        </is>
      </c>
      <c r="B487" s="1" t="n">
        <v>44929</v>
      </c>
      <c r="C487" s="1" t="n">
        <v>45353</v>
      </c>
      <c r="D487" t="inlineStr">
        <is>
          <t>DALARNAS LÄN</t>
        </is>
      </c>
      <c r="E487" t="inlineStr">
        <is>
          <t>LUDVIKA</t>
        </is>
      </c>
      <c r="G487" t="n">
        <v>7.9</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45353</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45353</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45353</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45353</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45353</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45353</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45353</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45353</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45353</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45353</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45353</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45353</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45353</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45353</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45353</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45353</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45353</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45353</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45353</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45353</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45353</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45353</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45353</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45353</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45353</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45353</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45353</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45353</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45353</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45353</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45353</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45353</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45353</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45353</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45353</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45353</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45353</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45353</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45353</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45353</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45353</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45353</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45353</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45353</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45353</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45353</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45353</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45353</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45353</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45353</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45353</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45353</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45353</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45353</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45353</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45353</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45353</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45353</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45353</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45353</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45353</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45353</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45353</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45353</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45353</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45353</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45353</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45353</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45353</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45353</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45353</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45353</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45353</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45353</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45353</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45353</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45353</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45353</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45353</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45353</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45353</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45353</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45353</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45353</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45353</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45353</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45353</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45353</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45353</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45353</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45353</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45353</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45353</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45353</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45353</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45353</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45353</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45353</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45353</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45353</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45353</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45353</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45353</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45353</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45353</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45353</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45353</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45353</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45353</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45353</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45353</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30053-2023</t>
        </is>
      </c>
      <c r="B599" s="1" t="n">
        <v>45110</v>
      </c>
      <c r="C599" s="1" t="n">
        <v>45353</v>
      </c>
      <c r="D599" t="inlineStr">
        <is>
          <t>DALARNAS LÄN</t>
        </is>
      </c>
      <c r="E599" t="inlineStr">
        <is>
          <t>LUDVIKA</t>
        </is>
      </c>
      <c r="F599" t="inlineStr">
        <is>
          <t>Bergvik skog väst AB</t>
        </is>
      </c>
      <c r="G599" t="n">
        <v>6.8</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45353</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45353</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45353</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45353</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45353</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45353</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45353</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45353</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45353</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45353</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45353</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45353</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45353</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45353</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45353</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45353</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45353</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45353</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45353</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45353</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45353</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45353</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45353</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45353</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45353</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45353</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45353</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45353</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45353</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45353</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45353</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45353</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45353</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45353</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45353</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45353</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45353</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45353</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45353</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45353</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45353</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45353</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45353</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45353</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45353</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45353</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45353</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45353</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45353</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45353</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45353</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45353</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45353</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45353</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45353</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45353</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45353</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45353</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45353</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45353</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45353</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45353</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45353</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45353</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45353</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45353</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45353</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45353</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45353</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45353</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45353</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45353</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45353</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45353</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45353</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45353</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45353</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45353</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45353</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45353</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45353</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45353</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45353</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45353</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45353</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45353</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45353</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45353</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45353</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45353</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45353</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45353</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45353</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45353</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45353</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42089-2023</t>
        </is>
      </c>
      <c r="B695" s="1" t="n">
        <v>45177</v>
      </c>
      <c r="C695" s="1" t="n">
        <v>45353</v>
      </c>
      <c r="D695" t="inlineStr">
        <is>
          <t>DALARNAS LÄN</t>
        </is>
      </c>
      <c r="E695" t="inlineStr">
        <is>
          <t>LUDVIKA</t>
        </is>
      </c>
      <c r="F695" t="inlineStr">
        <is>
          <t>Bergvik skog väst AB</t>
        </is>
      </c>
      <c r="G695" t="n">
        <v>2.5</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45353</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45353</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45353</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45353</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45353</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45353</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45353</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45353</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45353</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45353</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45353</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45353</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45353</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45353</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45353</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45353</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45353</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45353</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45353</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45353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45353</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45353</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45353</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45353</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45353</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45353</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45353</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45353</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45353</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45353</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45353</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45353</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45353</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45353</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45353</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45353</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45353</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45353</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45353</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45353</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45353</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45353</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45353</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45353</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45353</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45353</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45353</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45353</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45353</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45353</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45353</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45353</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45353</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45353</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45353</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45353</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45353</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45353</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45353</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45353</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45353</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45353</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45353</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45353</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45353</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45353</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45353</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45353</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45353</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45353</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45353</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45353</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45353</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45353</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45353</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45353</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45353</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45353</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45353</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45353</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45353</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45353</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45353</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45353</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45353</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45353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45353</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45353</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45353</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45353</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45353</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45353</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45353</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45353</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45353</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45353</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45353</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45353</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45353</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45353</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45353</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45353</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45353</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45353</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45353</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45353</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45353</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45353</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45353</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45353</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45353</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45353</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45353</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45353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45353</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45353</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45353</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45353</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45353</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45353</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45353</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45353</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45353</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45353</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45353</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45353</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45353</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45353</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45353</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45353</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45353</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45353</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45353</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45353</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45353</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45353</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45353</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45353</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45353</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45353</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45353</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45353</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45353</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8170-2024</t>
        </is>
      </c>
      <c r="B839" s="1" t="n">
        <v>45349</v>
      </c>
      <c r="C839" s="1" t="n">
        <v>45353</v>
      </c>
      <c r="D839" t="inlineStr">
        <is>
          <t>DALARNAS LÄN</t>
        </is>
      </c>
      <c r="E839" t="inlineStr">
        <is>
          <t>LUDVIKA</t>
        </is>
      </c>
      <c r="F839" t="inlineStr">
        <is>
          <t>Allmännings- och besparingsskogar</t>
        </is>
      </c>
      <c r="G839" t="n">
        <v>5.7</v>
      </c>
      <c r="H839" t="n">
        <v>0</v>
      </c>
      <c r="I839" t="n">
        <v>0</v>
      </c>
      <c r="J839" t="n">
        <v>0</v>
      </c>
      <c r="K839" t="n">
        <v>0</v>
      </c>
      <c r="L839" t="n">
        <v>0</v>
      </c>
      <c r="M839" t="n">
        <v>0</v>
      </c>
      <c r="N839" t="n">
        <v>0</v>
      </c>
      <c r="O839" t="n">
        <v>0</v>
      </c>
      <c r="P839" t="n">
        <v>0</v>
      </c>
      <c r="Q839" t="n">
        <v>0</v>
      </c>
      <c r="R839" s="2" t="inlineStr"/>
    </row>
    <row r="840" ht="15" customHeight="1">
      <c r="A840" t="inlineStr">
        <is>
          <t>A 8162-2024</t>
        </is>
      </c>
      <c r="B840" s="1" t="n">
        <v>45349</v>
      </c>
      <c r="C840" s="1" t="n">
        <v>45353</v>
      </c>
      <c r="D840" t="inlineStr">
        <is>
          <t>DALARNAS LÄN</t>
        </is>
      </c>
      <c r="E840" t="inlineStr">
        <is>
          <t>LUDVIKA</t>
        </is>
      </c>
      <c r="F840" t="inlineStr">
        <is>
          <t>Allmännings- och besparingsskogar</t>
        </is>
      </c>
      <c r="G840" t="n">
        <v>6.9</v>
      </c>
      <c r="H840" t="n">
        <v>0</v>
      </c>
      <c r="I840" t="n">
        <v>0</v>
      </c>
      <c r="J840" t="n">
        <v>0</v>
      </c>
      <c r="K840" t="n">
        <v>0</v>
      </c>
      <c r="L840" t="n">
        <v>0</v>
      </c>
      <c r="M840" t="n">
        <v>0</v>
      </c>
      <c r="N840" t="n">
        <v>0</v>
      </c>
      <c r="O840" t="n">
        <v>0</v>
      </c>
      <c r="P840" t="n">
        <v>0</v>
      </c>
      <c r="Q840" t="n">
        <v>0</v>
      </c>
      <c r="R840" s="2" t="inlineStr"/>
      <c r="U840">
        <f>HYPERLINK("https://klasma.github.io/Logging_2085/knärot/A 8162-2024 karta knärot.png", "A 8162-2024")</f>
        <v/>
      </c>
      <c r="V840">
        <f>HYPERLINK("https://klasma.github.io/Logging_2085/klagomål/A 8162-2024 FSC-klagomål.docx", "A 8162-2024")</f>
        <v/>
      </c>
      <c r="W840">
        <f>HYPERLINK("https://klasma.github.io/Logging_2085/klagomålsmail/A 8162-2024 FSC-klagomål mail.docx", "A 8162-2024")</f>
        <v/>
      </c>
      <c r="X840">
        <f>HYPERLINK("https://klasma.github.io/Logging_2085/tillsyn/A 8162-2024 tillsynsbegäran.docx", "A 8162-2024")</f>
        <v/>
      </c>
      <c r="Y840">
        <f>HYPERLINK("https://klasma.github.io/Logging_2085/tillsynsmail/A 8162-2024 tillsynsbegäran mail.docx", "A 8162-2024")</f>
        <v/>
      </c>
    </row>
    <row r="841" ht="15" customHeight="1">
      <c r="A841" t="inlineStr">
        <is>
          <t>A 8172-2024</t>
        </is>
      </c>
      <c r="B841" s="1" t="n">
        <v>45349</v>
      </c>
      <c r="C841" s="1" t="n">
        <v>45353</v>
      </c>
      <c r="D841" t="inlineStr">
        <is>
          <t>DALARNAS LÄN</t>
        </is>
      </c>
      <c r="E841" t="inlineStr">
        <is>
          <t>LUDVIKA</t>
        </is>
      </c>
      <c r="F841" t="inlineStr">
        <is>
          <t>Allmännings- och besparingsskogar</t>
        </is>
      </c>
      <c r="G841" t="n">
        <v>2</v>
      </c>
      <c r="H841" t="n">
        <v>0</v>
      </c>
      <c r="I841" t="n">
        <v>0</v>
      </c>
      <c r="J841" t="n">
        <v>0</v>
      </c>
      <c r="K841" t="n">
        <v>0</v>
      </c>
      <c r="L841" t="n">
        <v>0</v>
      </c>
      <c r="M841" t="n">
        <v>0</v>
      </c>
      <c r="N841" t="n">
        <v>0</v>
      </c>
      <c r="O841" t="n">
        <v>0</v>
      </c>
      <c r="P841" t="n">
        <v>0</v>
      </c>
      <c r="Q841" t="n">
        <v>0</v>
      </c>
      <c r="R841" s="2" t="inlineStr"/>
    </row>
    <row r="842" ht="15" customHeight="1">
      <c r="A842" t="inlineStr">
        <is>
          <t>A 8175-2024</t>
        </is>
      </c>
      <c r="B842" s="1" t="n">
        <v>45349</v>
      </c>
      <c r="C842" s="1" t="n">
        <v>45353</v>
      </c>
      <c r="D842" t="inlineStr">
        <is>
          <t>DALARNAS LÄN</t>
        </is>
      </c>
      <c r="E842" t="inlineStr">
        <is>
          <t>LUDVIKA</t>
        </is>
      </c>
      <c r="F842" t="inlineStr">
        <is>
          <t>Allmännings- och besparingsskogar</t>
        </is>
      </c>
      <c r="G842" t="n">
        <v>3.8</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45353</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2024-03-02T13:09:09Z</dcterms:created>
  <dcterms:modified xmlns:dcterms="http://purl.org/dc/terms/" xmlns:xsi="http://www.w3.org/2001/XMLSchema-instance" xsi:type="dcterms:W3CDTF">2024-03-02T13:09:10Z</dcterms:modified>
</cp:coreProperties>
</file>
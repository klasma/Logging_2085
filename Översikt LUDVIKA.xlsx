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45666</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45666</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45666</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45666</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55855-2023</t>
        </is>
      </c>
      <c r="B14" s="1" t="n">
        <v>45239</v>
      </c>
      <c r="C14" s="1" t="n">
        <v>45666</v>
      </c>
      <c r="D14" t="inlineStr">
        <is>
          <t>DALARNAS LÄN</t>
        </is>
      </c>
      <c r="E14" t="inlineStr">
        <is>
          <t>LUDVIKA</t>
        </is>
      </c>
      <c r="F14" t="inlineStr">
        <is>
          <t>Bergvik skog väst AB</t>
        </is>
      </c>
      <c r="G14" t="n">
        <v>11.8</v>
      </c>
      <c r="H14" t="n">
        <v>4</v>
      </c>
      <c r="I14" t="n">
        <v>0</v>
      </c>
      <c r="J14" t="n">
        <v>4</v>
      </c>
      <c r="K14" t="n">
        <v>0</v>
      </c>
      <c r="L14" t="n">
        <v>0</v>
      </c>
      <c r="M14" t="n">
        <v>0</v>
      </c>
      <c r="N14" t="n">
        <v>0</v>
      </c>
      <c r="O14" t="n">
        <v>4</v>
      </c>
      <c r="P14" t="n">
        <v>0</v>
      </c>
      <c r="Q14" t="n">
        <v>5</v>
      </c>
      <c r="R14" s="2" t="inlineStr">
        <is>
          <t>Brunklöver
Duvhök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53053-2024</t>
        </is>
      </c>
      <c r="B15" s="1" t="n">
        <v>45611</v>
      </c>
      <c r="C15" s="1" t="n">
        <v>45666</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29285-2020</t>
        </is>
      </c>
      <c r="B16" s="1" t="n">
        <v>44000</v>
      </c>
      <c r="C16" s="1" t="n">
        <v>45666</v>
      </c>
      <c r="D16" t="inlineStr">
        <is>
          <t>DALARNAS LÄN</t>
        </is>
      </c>
      <c r="E16" t="inlineStr">
        <is>
          <t>LUDVIKA</t>
        </is>
      </c>
      <c r="G16" t="n">
        <v>2.5</v>
      </c>
      <c r="H16" t="n">
        <v>1</v>
      </c>
      <c r="I16" t="n">
        <v>1</v>
      </c>
      <c r="J16" t="n">
        <v>2</v>
      </c>
      <c r="K16" t="n">
        <v>0</v>
      </c>
      <c r="L16" t="n">
        <v>0</v>
      </c>
      <c r="M16" t="n">
        <v>0</v>
      </c>
      <c r="N16" t="n">
        <v>0</v>
      </c>
      <c r="O16" t="n">
        <v>2</v>
      </c>
      <c r="P16" t="n">
        <v>0</v>
      </c>
      <c r="Q16" t="n">
        <v>4</v>
      </c>
      <c r="R16" s="2" t="inlineStr">
        <is>
          <t>Violettgrå tagellav
Vitgrynig nållav
Nästlav
Fläcknycklar</t>
        </is>
      </c>
      <c r="S16">
        <f>HYPERLINK("https://klasma.github.io/Logging_2085/artfynd/A 29285-2020 artfynd.xlsx", "A 29285-2020")</f>
        <v/>
      </c>
      <c r="T16">
        <f>HYPERLINK("https://klasma.github.io/Logging_2085/kartor/A 29285-2020 karta.png", "A 29285-2020")</f>
        <v/>
      </c>
      <c r="V16">
        <f>HYPERLINK("https://klasma.github.io/Logging_2085/klagomål/A 29285-2020 FSC-klagomål.docx", "A 29285-2020")</f>
        <v/>
      </c>
      <c r="W16">
        <f>HYPERLINK("https://klasma.github.io/Logging_2085/klagomålsmail/A 29285-2020 FSC-klagomål mail.docx", "A 29285-2020")</f>
        <v/>
      </c>
      <c r="X16">
        <f>HYPERLINK("https://klasma.github.io/Logging_2085/tillsyn/A 29285-2020 tillsynsbegäran.docx", "A 29285-2020")</f>
        <v/>
      </c>
      <c r="Y16">
        <f>HYPERLINK("https://klasma.github.io/Logging_2085/tillsynsmail/A 29285-2020 tillsynsbegäran mail.docx", "A 29285-2020")</f>
        <v/>
      </c>
    </row>
    <row r="17" ht="15" customHeight="1">
      <c r="A17" t="inlineStr">
        <is>
          <t>A 54639-2020</t>
        </is>
      </c>
      <c r="B17" s="1" t="n">
        <v>44127</v>
      </c>
      <c r="C17" s="1" t="n">
        <v>45666</v>
      </c>
      <c r="D17" t="inlineStr">
        <is>
          <t>DALARNAS LÄN</t>
        </is>
      </c>
      <c r="E17" t="inlineStr">
        <is>
          <t>LUDVIKA</t>
        </is>
      </c>
      <c r="F17" t="inlineStr">
        <is>
          <t>Övriga Aktiebolag</t>
        </is>
      </c>
      <c r="G17" t="n">
        <v>25.9</v>
      </c>
      <c r="H17" t="n">
        <v>2</v>
      </c>
      <c r="I17" t="n">
        <v>2</v>
      </c>
      <c r="J17" t="n">
        <v>2</v>
      </c>
      <c r="K17" t="n">
        <v>0</v>
      </c>
      <c r="L17" t="n">
        <v>0</v>
      </c>
      <c r="M17" t="n">
        <v>0</v>
      </c>
      <c r="N17" t="n">
        <v>0</v>
      </c>
      <c r="O17" t="n">
        <v>2</v>
      </c>
      <c r="P17" t="n">
        <v>0</v>
      </c>
      <c r="Q17" t="n">
        <v>4</v>
      </c>
      <c r="R17" s="2" t="inlineStr">
        <is>
          <t>Tretåig hackspett
Ullticka
Bronshjon
Korallrot</t>
        </is>
      </c>
      <c r="S17">
        <f>HYPERLINK("https://klasma.github.io/Logging_2085/artfynd/A 54639-2020 artfynd.xlsx", "A 54639-2020")</f>
        <v/>
      </c>
      <c r="T17">
        <f>HYPERLINK("https://klasma.github.io/Logging_2085/kartor/A 54639-2020 karta.png", "A 54639-2020")</f>
        <v/>
      </c>
      <c r="U17">
        <f>HYPERLINK("https://klasma.github.io/Logging_2085/knärot/A 54639-2020 karta knärot.png", "A 54639-2020")</f>
        <v/>
      </c>
      <c r="V17">
        <f>HYPERLINK("https://klasma.github.io/Logging_2085/klagomål/A 54639-2020 FSC-klagomål.docx", "A 54639-2020")</f>
        <v/>
      </c>
      <c r="W17">
        <f>HYPERLINK("https://klasma.github.io/Logging_2085/klagomålsmail/A 54639-2020 FSC-klagomål mail.docx", "A 54639-2020")</f>
        <v/>
      </c>
      <c r="X17">
        <f>HYPERLINK("https://klasma.github.io/Logging_2085/tillsyn/A 54639-2020 tillsynsbegäran.docx", "A 54639-2020")</f>
        <v/>
      </c>
      <c r="Y17">
        <f>HYPERLINK("https://klasma.github.io/Logging_2085/tillsynsmail/A 54639-2020 tillsynsbegäran mail.docx", "A 54639-2020")</f>
        <v/>
      </c>
      <c r="Z17">
        <f>HYPERLINK("https://klasma.github.io/Logging_2085/fåglar/A 54639-2020 prioriterade fågelarter.docx", "A 54639-2020")</f>
        <v/>
      </c>
    </row>
    <row r="18" ht="15" customHeight="1">
      <c r="A18" t="inlineStr">
        <is>
          <t>A 44535-2021</t>
        </is>
      </c>
      <c r="B18" s="1" t="n">
        <v>44435</v>
      </c>
      <c r="C18" s="1" t="n">
        <v>45666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45666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45666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45666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45666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45666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45666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45666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45666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45666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45666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45666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45666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45666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45666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42558-2022</t>
        </is>
      </c>
      <c r="B33" s="1" t="n">
        <v>44831</v>
      </c>
      <c r="C33" s="1" t="n">
        <v>45666</v>
      </c>
      <c r="D33" t="inlineStr">
        <is>
          <t>DALARNAS LÄN</t>
        </is>
      </c>
      <c r="E33" t="inlineStr">
        <is>
          <t>LUDVIKA</t>
        </is>
      </c>
      <c r="F33" t="inlineStr">
        <is>
          <t>Naturvårdsverket</t>
        </is>
      </c>
      <c r="G33" t="n">
        <v>4.9</v>
      </c>
      <c r="H33" t="n">
        <v>1</v>
      </c>
      <c r="I33" t="n">
        <v>0</v>
      </c>
      <c r="J33" t="n">
        <v>0</v>
      </c>
      <c r="K33" t="n">
        <v>1</v>
      </c>
      <c r="L33" t="n">
        <v>0</v>
      </c>
      <c r="M33" t="n">
        <v>0</v>
      </c>
      <c r="N33" t="n">
        <v>0</v>
      </c>
      <c r="O33" t="n">
        <v>1</v>
      </c>
      <c r="P33" t="n">
        <v>1</v>
      </c>
      <c r="Q33" t="n">
        <v>2</v>
      </c>
      <c r="R33" s="2" t="inlineStr">
        <is>
          <t>Gräddporing
Lopplummer</t>
        </is>
      </c>
      <c r="S33">
        <f>HYPERLINK("https://klasma.github.io/Logging_2085/artfynd/A 42558-2022 artfynd.xlsx", "A 42558-2022")</f>
        <v/>
      </c>
      <c r="T33">
        <f>HYPERLINK("https://klasma.github.io/Logging_2085/kartor/A 42558-2022 karta.png", "A 42558-2022")</f>
        <v/>
      </c>
      <c r="V33">
        <f>HYPERLINK("https://klasma.github.io/Logging_2085/klagomål/A 42558-2022 FSC-klagomål.docx", "A 42558-2022")</f>
        <v/>
      </c>
      <c r="W33">
        <f>HYPERLINK("https://klasma.github.io/Logging_2085/klagomålsmail/A 42558-2022 FSC-klagomål mail.docx", "A 42558-2022")</f>
        <v/>
      </c>
      <c r="X33">
        <f>HYPERLINK("https://klasma.github.io/Logging_2085/tillsyn/A 42558-2022 tillsynsbegäran.docx", "A 42558-2022")</f>
        <v/>
      </c>
      <c r="Y33">
        <f>HYPERLINK("https://klasma.github.io/Logging_2085/tillsynsmail/A 42558-2022 tillsynsbegäran mail.docx", "A 42558-2022")</f>
        <v/>
      </c>
    </row>
    <row r="34" ht="15" customHeight="1">
      <c r="A34" t="inlineStr">
        <is>
          <t>A 12093-2023</t>
        </is>
      </c>
      <c r="B34" s="1" t="n">
        <v>44998</v>
      </c>
      <c r="C34" s="1" t="n">
        <v>45666</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19338-2023</t>
        </is>
      </c>
      <c r="B35" s="1" t="n">
        <v>45049</v>
      </c>
      <c r="C35" s="1" t="n">
        <v>45666</v>
      </c>
      <c r="D35" t="inlineStr">
        <is>
          <t>DALARNAS LÄN</t>
        </is>
      </c>
      <c r="E35" t="inlineStr">
        <is>
          <t>LUDVIKA</t>
        </is>
      </c>
      <c r="G35" t="n">
        <v>13.7</v>
      </c>
      <c r="H35" t="n">
        <v>0</v>
      </c>
      <c r="I35" t="n">
        <v>1</v>
      </c>
      <c r="J35" t="n">
        <v>1</v>
      </c>
      <c r="K35" t="n">
        <v>0</v>
      </c>
      <c r="L35" t="n">
        <v>0</v>
      </c>
      <c r="M35" t="n">
        <v>0</v>
      </c>
      <c r="N35" t="n">
        <v>0</v>
      </c>
      <c r="O35" t="n">
        <v>1</v>
      </c>
      <c r="P35" t="n">
        <v>0</v>
      </c>
      <c r="Q35" t="n">
        <v>2</v>
      </c>
      <c r="R35" s="2" t="inlineStr">
        <is>
          <t>Motaggsvamp
Dropptaggsvamp</t>
        </is>
      </c>
      <c r="S35">
        <f>HYPERLINK("https://klasma.github.io/Logging_2085/artfynd/A 19338-2023 artfynd.xlsx", "A 19338-2023")</f>
        <v/>
      </c>
      <c r="T35">
        <f>HYPERLINK("https://klasma.github.io/Logging_2085/kartor/A 19338-2023 karta.png", "A 19338-2023")</f>
        <v/>
      </c>
      <c r="V35">
        <f>HYPERLINK("https://klasma.github.io/Logging_2085/klagomål/A 19338-2023 FSC-klagomål.docx", "A 19338-2023")</f>
        <v/>
      </c>
      <c r="W35">
        <f>HYPERLINK("https://klasma.github.io/Logging_2085/klagomålsmail/A 19338-2023 FSC-klagomål mail.docx", "A 19338-2023")</f>
        <v/>
      </c>
      <c r="X35">
        <f>HYPERLINK("https://klasma.github.io/Logging_2085/tillsyn/A 19338-2023 tillsynsbegäran.docx", "A 19338-2023")</f>
        <v/>
      </c>
      <c r="Y35">
        <f>HYPERLINK("https://klasma.github.io/Logging_2085/tillsynsmail/A 19338-2023 tillsynsbegäran mail.docx", "A 19338-2023")</f>
        <v/>
      </c>
    </row>
    <row r="36" ht="15" customHeight="1">
      <c r="A36" t="inlineStr">
        <is>
          <t>A 21074-2023</t>
        </is>
      </c>
      <c r="B36" s="1" t="n">
        <v>45061</v>
      </c>
      <c r="C36" s="1" t="n">
        <v>45666</v>
      </c>
      <c r="D36" t="inlineStr">
        <is>
          <t>DALARNAS LÄN</t>
        </is>
      </c>
      <c r="E36" t="inlineStr">
        <is>
          <t>LUDVIKA</t>
        </is>
      </c>
      <c r="F36" t="inlineStr">
        <is>
          <t>Bergvik skog väst AB</t>
        </is>
      </c>
      <c r="G36" t="n">
        <v>12</v>
      </c>
      <c r="H36" t="n">
        <v>0</v>
      </c>
      <c r="I36" t="n">
        <v>2</v>
      </c>
      <c r="J36" t="n">
        <v>0</v>
      </c>
      <c r="K36" t="n">
        <v>0</v>
      </c>
      <c r="L36" t="n">
        <v>0</v>
      </c>
      <c r="M36" t="n">
        <v>0</v>
      </c>
      <c r="N36" t="n">
        <v>0</v>
      </c>
      <c r="O36" t="n">
        <v>0</v>
      </c>
      <c r="P36" t="n">
        <v>0</v>
      </c>
      <c r="Q36" t="n">
        <v>2</v>
      </c>
      <c r="R36" s="2" t="inlineStr">
        <is>
          <t>Bårdlav
Korallblylav</t>
        </is>
      </c>
      <c r="S36">
        <f>HYPERLINK("https://klasma.github.io/Logging_2085/artfynd/A 21074-2023 artfynd.xlsx", "A 21074-2023")</f>
        <v/>
      </c>
      <c r="T36">
        <f>HYPERLINK("https://klasma.github.io/Logging_2085/kartor/A 21074-2023 karta.png", "A 21074-2023")</f>
        <v/>
      </c>
      <c r="V36">
        <f>HYPERLINK("https://klasma.github.io/Logging_2085/klagomål/A 21074-2023 FSC-klagomål.docx", "A 21074-2023")</f>
        <v/>
      </c>
      <c r="W36">
        <f>HYPERLINK("https://klasma.github.io/Logging_2085/klagomålsmail/A 21074-2023 FSC-klagomål mail.docx", "A 21074-2023")</f>
        <v/>
      </c>
      <c r="X36">
        <f>HYPERLINK("https://klasma.github.io/Logging_2085/tillsyn/A 21074-2023 tillsynsbegäran.docx", "A 21074-2023")</f>
        <v/>
      </c>
      <c r="Y36">
        <f>HYPERLINK("https://klasma.github.io/Logging_2085/tillsynsmail/A 21074-2023 tillsynsbegäran mail.docx", "A 21074-2023")</f>
        <v/>
      </c>
    </row>
    <row r="37" ht="15" customHeight="1">
      <c r="A37" t="inlineStr">
        <is>
          <t>A 49390-2023</t>
        </is>
      </c>
      <c r="B37" s="1" t="n">
        <v>45211</v>
      </c>
      <c r="C37" s="1" t="n">
        <v>45666</v>
      </c>
      <c r="D37" t="inlineStr">
        <is>
          <t>DALARNAS LÄN</t>
        </is>
      </c>
      <c r="E37" t="inlineStr">
        <is>
          <t>LUDVIKA</t>
        </is>
      </c>
      <c r="F37" t="inlineStr">
        <is>
          <t>Bergvik skog väst AB</t>
        </is>
      </c>
      <c r="G37" t="n">
        <v>12.7</v>
      </c>
      <c r="H37" t="n">
        <v>0</v>
      </c>
      <c r="I37" t="n">
        <v>2</v>
      </c>
      <c r="J37" t="n">
        <v>0</v>
      </c>
      <c r="K37" t="n">
        <v>0</v>
      </c>
      <c r="L37" t="n">
        <v>0</v>
      </c>
      <c r="M37" t="n">
        <v>0</v>
      </c>
      <c r="N37" t="n">
        <v>0</v>
      </c>
      <c r="O37" t="n">
        <v>0</v>
      </c>
      <c r="P37" t="n">
        <v>0</v>
      </c>
      <c r="Q37" t="n">
        <v>2</v>
      </c>
      <c r="R37" s="2" t="inlineStr">
        <is>
          <t>Sotriska
Svart trolldruva</t>
        </is>
      </c>
      <c r="S37">
        <f>HYPERLINK("https://klasma.github.io/Logging_2085/artfynd/A 49390-2023 artfynd.xlsx", "A 49390-2023")</f>
        <v/>
      </c>
      <c r="T37">
        <f>HYPERLINK("https://klasma.github.io/Logging_2085/kartor/A 49390-2023 karta.png", "A 49390-2023")</f>
        <v/>
      </c>
      <c r="V37">
        <f>HYPERLINK("https://klasma.github.io/Logging_2085/klagomål/A 49390-2023 FSC-klagomål.docx", "A 49390-2023")</f>
        <v/>
      </c>
      <c r="W37">
        <f>HYPERLINK("https://klasma.github.io/Logging_2085/klagomålsmail/A 49390-2023 FSC-klagomål mail.docx", "A 49390-2023")</f>
        <v/>
      </c>
      <c r="X37">
        <f>HYPERLINK("https://klasma.github.io/Logging_2085/tillsyn/A 49390-2023 tillsynsbegäran.docx", "A 49390-2023")</f>
        <v/>
      </c>
      <c r="Y37">
        <f>HYPERLINK("https://klasma.github.io/Logging_2085/tillsynsmail/A 49390-2023 tillsynsbegäran mail.docx", "A 49390-2023")</f>
        <v/>
      </c>
    </row>
    <row r="38" ht="15" customHeight="1">
      <c r="A38" t="inlineStr">
        <is>
          <t>A 25448-2024</t>
        </is>
      </c>
      <c r="B38" s="1" t="n">
        <v>45463</v>
      </c>
      <c r="C38" s="1" t="n">
        <v>45666</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29758-2024</t>
        </is>
      </c>
      <c r="B39" s="1" t="n">
        <v>45485</v>
      </c>
      <c r="C39" s="1" t="n">
        <v>45666</v>
      </c>
      <c r="D39" t="inlineStr">
        <is>
          <t>DALARNAS LÄN</t>
        </is>
      </c>
      <c r="E39" t="inlineStr">
        <is>
          <t>LUDVIKA</t>
        </is>
      </c>
      <c r="F39" t="inlineStr">
        <is>
          <t>Övriga Aktiebolag</t>
        </is>
      </c>
      <c r="G39" t="n">
        <v>8.699999999999999</v>
      </c>
      <c r="H39" t="n">
        <v>1</v>
      </c>
      <c r="I39" t="n">
        <v>1</v>
      </c>
      <c r="J39" t="n">
        <v>0</v>
      </c>
      <c r="K39" t="n">
        <v>1</v>
      </c>
      <c r="L39" t="n">
        <v>0</v>
      </c>
      <c r="M39" t="n">
        <v>0</v>
      </c>
      <c r="N39" t="n">
        <v>0</v>
      </c>
      <c r="O39" t="n">
        <v>1</v>
      </c>
      <c r="P39" t="n">
        <v>1</v>
      </c>
      <c r="Q39" t="n">
        <v>2</v>
      </c>
      <c r="R39" s="2" t="inlineStr">
        <is>
          <t>Knärot
Dropptaggsvamp</t>
        </is>
      </c>
      <c r="S39">
        <f>HYPERLINK("https://klasma.github.io/Logging_2085/artfynd/A 29758-2024 artfynd.xlsx", "A 29758-2024")</f>
        <v/>
      </c>
      <c r="T39">
        <f>HYPERLINK("https://klasma.github.io/Logging_2085/kartor/A 29758-2024 karta.png", "A 29758-2024")</f>
        <v/>
      </c>
      <c r="U39">
        <f>HYPERLINK("https://klasma.github.io/Logging_2085/knärot/A 29758-2024 karta knärot.png", "A 29758-2024")</f>
        <v/>
      </c>
      <c r="V39">
        <f>HYPERLINK("https://klasma.github.io/Logging_2085/klagomål/A 29758-2024 FSC-klagomål.docx", "A 29758-2024")</f>
        <v/>
      </c>
      <c r="W39">
        <f>HYPERLINK("https://klasma.github.io/Logging_2085/klagomålsmail/A 29758-2024 FSC-klagomål mail.docx", "A 29758-2024")</f>
        <v/>
      </c>
      <c r="X39">
        <f>HYPERLINK("https://klasma.github.io/Logging_2085/tillsyn/A 29758-2024 tillsynsbegäran.docx", "A 29758-2024")</f>
        <v/>
      </c>
      <c r="Y39">
        <f>HYPERLINK("https://klasma.github.io/Logging_2085/tillsynsmail/A 29758-2024 tillsynsbegäran mail.docx", "A 29758-2024")</f>
        <v/>
      </c>
    </row>
    <row r="40" ht="15" customHeight="1">
      <c r="A40" t="inlineStr">
        <is>
          <t>A 21672-2019</t>
        </is>
      </c>
      <c r="B40" s="1" t="n">
        <v>43581</v>
      </c>
      <c r="C40" s="1" t="n">
        <v>45666</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45666</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45666</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45666</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45666</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45666</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45666</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45666</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45666</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45666</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45666</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45666</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45666</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45666</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45666</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42758-2022</t>
        </is>
      </c>
      <c r="B55" s="1" t="n">
        <v>44832</v>
      </c>
      <c r="C55" s="1" t="n">
        <v>45666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45666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45666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45666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45666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45666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45666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45666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45666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45666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45666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45666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45666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45666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45666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45666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45666</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45666</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45666</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45666</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45666</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45666</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45666</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45666</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45666</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45666</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45666</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45666</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45666</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45666</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45666</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45666</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45666</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45666</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45666</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45666</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45666</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45666</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45666</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45666</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45666</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45666</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45666</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45666</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45666</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45666</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45666</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45666</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45666</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45666</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45666</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45666</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45666</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45666</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45666</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45666</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45666</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45666</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45666</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45666</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45666</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45666</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45666</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45666</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45666</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45666</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45666</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45666</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45666</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45666</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45666</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45666</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45666</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45666</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45666</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45666</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45666</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45666</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45666</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45666</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45666</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45666</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45666</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45666</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45666</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45666</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45666</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45666</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45666</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45666</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45666</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45666</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45666</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45666</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45666</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45666</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45666</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45666</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45666</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45666</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45666</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45666</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45666</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45666</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45666</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45666</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45666</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45666</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45666</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45666</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45666</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45666</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45666</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45666</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45666</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45666</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45666</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45666</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45666</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45666</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45666</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45666</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45666</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45666</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45666</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45666</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45666</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45666</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45666</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45666</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45666</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45666</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45666</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45666</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45666</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45666</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45666</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45666</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45666</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45666</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45666</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45666</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45666</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45666</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45666</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45666</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45666</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45666</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45666</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45666</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45666</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45666</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45666</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45666</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45666</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45666</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45666</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45666</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45666</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45666</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45666</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45666</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45666</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45666</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45666</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45666</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45666</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45666</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45666</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45666</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45666</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45666</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45666</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45666</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45666</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45666</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45666</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45666</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45666</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45666</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45666</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45666</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45666</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45666</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45666</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45666</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45666</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45666</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45666</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45666</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45666</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45666</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45666</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45666</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45666</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45666</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45666</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45666</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45666</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45666</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45666</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45666</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45666</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45666</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45666</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45666</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45666</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45666</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45666</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45666</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45666</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45666</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45666</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45666</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45666</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45666</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45666</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45666</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45666</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45666</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45666</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45666</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45666</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45666</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45666</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45666</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45666</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45666</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45666</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45666</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45666</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45666</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45666</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45666</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45666</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45666</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45666</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45666</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45666</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45666</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45666</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45666</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45666</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45666</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45666</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45666</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45666</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45666</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45666</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45666</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45666</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45666</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45666</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45666</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45666</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45666</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45666</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45666</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45666</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45666</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45666</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45666</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45666</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45666</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45666</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45666</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45666</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45666</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45666</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45666</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45666</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45666</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45666</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45666</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45666</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45666</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45666</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45666</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45666</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45666</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45666</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45666</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45666</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45666</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45666</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45666</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45666</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45666</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45666</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45666</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45666</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45666</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45666</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45666</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45666</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45666</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45666</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45666</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45666</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45666</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45666</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45666</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45666</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45666</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45666</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45666</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45666</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45666</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45666</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45666</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45666</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45666</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45666</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45666</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45666</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45666</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45666</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45666</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45666</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45666</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45666</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45666</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45666</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45666</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45666</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45666</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45666</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45666</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45666</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45666</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45666</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45666</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45666</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45666</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45666</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45666</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45666</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45666</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45666</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45666</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45666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45666</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45666</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45666</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45666</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45666</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45666</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45666</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45666</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45666</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45666</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45666</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45666</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45666</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45666</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45666</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45666</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45666</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45666</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45666</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45666</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45666</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45666</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45666</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45666</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45666</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45666</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45666</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45666</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45666</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45666</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45666</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45666</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45666</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45666</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45666</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45666</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45666</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45666</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45666</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45666</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45666</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45666</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45666</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45666</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45666</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45666</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45666</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45666</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45666</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45666</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45666</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45666</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45666</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45666</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45666</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45666</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45666</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45666</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45666</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45666</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45666</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45666</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45666</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45666</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45666</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45666</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45666</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45666</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45666</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45666</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45666</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45666</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45666</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45666</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45666</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45666</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45666</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45666</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45666</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45666</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45666</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45666</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45666</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45666</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45666</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45666</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45666</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45666</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45666</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45666</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45666</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45666</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45666</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45666</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45666</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45666</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45666</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45666</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45666</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45666</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45666</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45666</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45666</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45666</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45666</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45666</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45666</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45666</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45666</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45666</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45666</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45666</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45666</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45666</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45666</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45666</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45666</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45666</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45666</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45666</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45666</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45666</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45666</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45666</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45666</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45666</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45666</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45666</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45666</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45666</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45666</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45666</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45666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45666</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45666</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45666</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45666</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45666</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45666</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45666</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45666</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45666</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45666</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45666</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45666</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45666</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45666</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45666</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45666</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45666</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45666</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45666</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45666</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45666</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45666</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45666</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45666</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45666</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45666</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45666</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45666</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45666</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45666</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45666</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45666</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45666</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45666</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45666</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45666</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45666</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45666</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45666</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45666</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45666</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45666</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45666</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45666</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45666</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45666</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45666</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45666</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45666</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45666</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45666</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45666</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45666</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45666</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45666</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45666</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45666</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45666</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45666</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45666</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45666</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45666</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45666</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45666</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45666</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45666</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45666</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45666</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45666</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45666</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45666</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45666</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45666</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45666</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45666</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45666</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45666</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45666</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45666</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45666</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45666</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45666</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45666</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45666</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45666</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45666</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45666</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45666</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45666</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45666</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45666</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45666</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45666</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45666</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45666</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45666</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45666</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45666</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45666</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45666</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45666</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45666</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45666</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45666</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45666</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45666</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45666</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45666</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45666</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45666</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45666</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45666</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45666</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45666</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45666</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45666</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45666</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45666</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45666</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45666</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45666</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45666</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45666</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45666</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45666</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45666</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45666</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45666</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45666</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45666</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45666</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45666</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45666</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45666</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45666</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45666</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45666</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45666</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45666</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45666</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45666</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45666</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45666</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45666</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45666</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45666</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45666</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45666</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45666</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45666</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45666</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45666</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45666</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45666</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45666</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45666</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45666</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45666</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45666</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45666</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45666</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45666</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45666</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45666</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45666</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45666</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45666</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45666</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45666</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45666</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45666</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45666</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45666</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45666</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45666</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45666</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45666</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45666</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45666</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45666</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45666</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45666</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45666</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45666</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45666</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45666</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45666</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45666</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45666</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45666</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45666</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45666</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45666</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45666</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45666</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45666</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45666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45666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45666</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45666</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45666</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45666</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45666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45666</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45666</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45666</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45666</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45666</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45666</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45666</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45666</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45666</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45666</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45666</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45666</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45666</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45666</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45666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45666</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45666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45666</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45666</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45666</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45666</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45666</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45666</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45666</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45666</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45666</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45666</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45666</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45666</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45666</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45666</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45666</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45666</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45666</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45666</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45666</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45666</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45666</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45666</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45666</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45666</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45666</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45666</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45666</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45666</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45666</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45666</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45666</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45666</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45666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45666</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45666</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45666</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45666</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45666</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45666</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45666</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45666</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45666</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45666</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45666</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45666</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45666</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45666</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45666</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45666</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45666</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45666</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45666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45666</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45666</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45666</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45666</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45666</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45666</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45666</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45666</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45666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45666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45666</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45666</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45666</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45666</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45666</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45666</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45666</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45666</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45666</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45666</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45666</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45666</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45666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45666</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45666</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45666</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45666</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45666</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45666</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45666</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45666</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45666</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45666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45666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45666</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45666</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45666</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45666</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45666</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45666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45666</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45666</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45666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45666</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45666</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45666</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45666</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45666</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45666</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45666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45666</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45666</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45666</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45666</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45666</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45666</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45666</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45666</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45666</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45666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45666</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45666</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45666</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45666</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45666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45666</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45666</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45666</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45666</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45666</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45666</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45666</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45666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45666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45666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45666</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45666</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45666</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45666</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45666</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45666</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45666</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45666</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45666</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45666</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45666</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45666</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45666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45666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45666</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45666</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45666</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45666</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45666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45666</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45666</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45666</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45666</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45666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45666</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45666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45666</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45666</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45666</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45666</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45666</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45666</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45666</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45666</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45666</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45666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45666</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45666</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45666</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45666</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45666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45666</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45666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45666</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45666</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45666</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45666</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45666</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45666</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45666</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45666</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45666</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45666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45666</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45666</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45666</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45666</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45666</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45666</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45666</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45666</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45666</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45666</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45666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45666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45666</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45666</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45666</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45666</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45666</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45666</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45666</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45666</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45666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45666</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45666</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45666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45666</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45666</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45666</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45666</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45666</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45666</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45666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45666</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45666</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45666</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45666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45666</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45666</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45666</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45666</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45666</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45666</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45666</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45666</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45666</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45666</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45666</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45666</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45666</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45666</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45666</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45666</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45666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45666</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45666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45666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45666</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45666</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45666</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45666</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45666</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45666</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45666</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45666</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45666</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45666</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45666</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45666</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45666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45666</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45666</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45666</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45666</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45666</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45666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45666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45666</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45666</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45666</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45666</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45666</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45666</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45666</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45666</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45666</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45666</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45666</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45666</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45666</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45666</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45666</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45666</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45666</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45666</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45666</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45666</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45666</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45666</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45666</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45666</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45666</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45666</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45666</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45666</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45666</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45666</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45666</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45666</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45666</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45666</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45666</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45666</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45666</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45666</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45666</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45666</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45666</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45666</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45666</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45666</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45666</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45666</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45666</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45666</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45666</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45666</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45666</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45666</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45666</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45666</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45666</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45666</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45666</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45666</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45666</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45666</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45666</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45666</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45666</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45666</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45666</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45666</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45666</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45666</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45666</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45666</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45666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45666</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45666</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45666</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45666</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45666</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45666</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45666</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45666</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45666</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45666</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45666</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45666</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45666</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45666</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45666</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45666</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45666</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45666</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45666</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45666</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45666</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45666</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45666</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45666</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59347-2024</t>
        </is>
      </c>
      <c r="B1136" s="1" t="n">
        <v>45638</v>
      </c>
      <c r="C1136" s="1" t="n">
        <v>45666</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59398-2024</t>
        </is>
      </c>
      <c r="B1137" s="1" t="n">
        <v>45638</v>
      </c>
      <c r="C1137" s="1" t="n">
        <v>45666</v>
      </c>
      <c r="D1137" t="inlineStr">
        <is>
          <t>DALARNAS LÄN</t>
        </is>
      </c>
      <c r="E1137" t="inlineStr">
        <is>
          <t>LUDVIKA</t>
        </is>
      </c>
      <c r="F1137" t="inlineStr">
        <is>
          <t>Naturvårdsverket</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45666</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45666</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45666</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45666</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45666</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45666</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60787-2024</t>
        </is>
      </c>
      <c r="B1144" s="1" t="n">
        <v>45644</v>
      </c>
      <c r="C1144" s="1" t="n">
        <v>45666</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45666</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45666</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61231-2024</t>
        </is>
      </c>
      <c r="B1147" s="1" t="n">
        <v>45645</v>
      </c>
      <c r="C1147" s="1" t="n">
        <v>45666</v>
      </c>
      <c r="D1147" t="inlineStr">
        <is>
          <t>DALARNAS LÄN</t>
        </is>
      </c>
      <c r="E1147" t="inlineStr">
        <is>
          <t>LUDVIKA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45666</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45666</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2025-01-09T16:08:53Z</dcterms:created>
  <dcterms:modified xmlns:dcterms="http://purl.org/dc/terms/" xmlns:xsi="http://www.w3.org/2001/XMLSchema-instance" xsi:type="dcterms:W3CDTF">2025-01-09T16:08:54Z</dcterms:modified>
</cp:coreProperties>
</file>
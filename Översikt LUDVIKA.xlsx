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46304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46304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46304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46304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46304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46304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46304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46304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46304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46304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46304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46304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46304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46304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46304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46304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46304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46304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46304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46304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46304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46304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46304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46304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46304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46304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46304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46304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46304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46304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46304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46304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46304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46304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46304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46304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46304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46304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46304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46304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46304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38635-2026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46283</v>
      </c>
      <c r="E52" s="1" t="n">
        <v>46304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2.2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Lunglav
Mörk husmossa
Vedticka
Vågbandad barkbock</t>
        </is>
      </c>
      <c r="W52">
        <f>HYPERLINK("https://klasma.github.io/Logging_2085/artfynd/A 38635-2026 artfynd.xlsx", "A 38635-2026")</f>
        <v/>
      </c>
      <c r="X52">
        <f>HYPERLINK("https://klasma.github.io/Logging_2085/kartor/A 38635-2026 karta.png", "A 38635-2026")</f>
        <v/>
      </c>
      <c r="Y52">
        <f>HYPERLINK("https://klasma.github.io/Logging_2085/kartor_geotiff/A 38635-2026 georefererad karta.tif", "A 38635-2026")</f>
        <v/>
      </c>
      <c r="AA52">
        <f>HYPERLINK("https://klasma.github.io/Logging_2085/klagomål/A 38635-2026 FSC-klagomål.docx", "A 38635-2026")</f>
        <v/>
      </c>
      <c r="AB52">
        <f>HYPERLINK("https://klasma.github.io/Logging_2085/klagomålsmail/A 38635-2026 FSC-klagomål mail.docx", "A 38635-2026")</f>
        <v/>
      </c>
      <c r="AC52">
        <f>HYPERLINK("https://klasma.github.io/Logging_2085/tillsyn/A 38635-2026 tillsynsbegäran.docx", "A 38635-2026")</f>
        <v/>
      </c>
      <c r="AD52">
        <f>HYPERLINK("https://klasma.github.io/Logging_2085/tillsynsmail/A 38635-2026 tillsynsbegäran mail.docx", "A 38635-2026")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46304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A 23682-2026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46163</v>
      </c>
      <c r="E54" s="1" t="n">
        <v>46304</v>
      </c>
      <c r="F54" t="inlineStr">
        <is>
          <t>DALARNAS LÄN</t>
        </is>
      </c>
      <c r="G54" t="inlineStr">
        <is>
          <t>LUDVIKA</t>
        </is>
      </c>
      <c r="I54" t="n">
        <v>3.9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Vårärt
Järpe
Spillkråka
Tjäder</t>
        </is>
      </c>
      <c r="W54">
        <f>HYPERLINK("https://klasma.github.io/Logging_2085/artfynd/A 23682-2026 artfynd.xlsx", "A 23682-2026")</f>
        <v/>
      </c>
      <c r="X54">
        <f>HYPERLINK("https://klasma.github.io/Logging_2085/kartor/A 23682-2026 karta.png", "A 23682-2026")</f>
        <v/>
      </c>
      <c r="Y54">
        <f>HYPERLINK("https://klasma.github.io/Logging_2085/kartor_geotiff/A 23682-2026 georefererad karta.tif", "A 23682-2026")</f>
        <v/>
      </c>
      <c r="AA54">
        <f>HYPERLINK("https://klasma.github.io/Logging_2085/klagomål/A 23682-2026 FSC-klagomål.docx", "A 23682-2026")</f>
        <v/>
      </c>
      <c r="AB54">
        <f>HYPERLINK("https://klasma.github.io/Logging_2085/klagomålsmail/A 23682-2026 FSC-klagomål mail.docx", "A 23682-2026")</f>
        <v/>
      </c>
      <c r="AC54">
        <f>HYPERLINK("https://klasma.github.io/Logging_2085/tillsyn/A 23682-2026 tillsynsbegäran.docx", "A 23682-2026")</f>
        <v/>
      </c>
      <c r="AD54">
        <f>HYPERLINK("https://klasma.github.io/Logging_2085/tillsynsmail/A 23682-2026 tillsynsbegäran mail.docx", "A 23682-2026")</f>
        <v/>
      </c>
      <c r="AE54">
        <f>HYPERLINK("https://klasma.github.io/Logging_2085/fåglar/A 23682-2026 prioriterade fågelarter.docx", "A 23682-2026")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46304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A 47044-2025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45929</v>
      </c>
      <c r="E56" s="1" t="n">
        <v>46304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2.7</v>
      </c>
      <c r="J56" t="n">
        <v>4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Duvhök
Tretåig hackspett
Järpe
Tjäder</t>
        </is>
      </c>
      <c r="W56">
        <f>HYPERLINK("https://klasma.github.io/Logging_2085/artfynd/A 47044-2025 artfynd.xlsx", "A 47044-2025")</f>
        <v/>
      </c>
      <c r="X56">
        <f>HYPERLINK("https://klasma.github.io/Logging_2085/kartor/A 47044-2025 karta.png", "A 47044-2025")</f>
        <v/>
      </c>
      <c r="Y56">
        <f>HYPERLINK("https://klasma.github.io/Logging_2085/kartor_geotiff/A 47044-2025 georefererad karta.tif", "A 47044-2025")</f>
        <v/>
      </c>
      <c r="AA56">
        <f>HYPERLINK("https://klasma.github.io/Logging_2085/klagomål/A 47044-2025 FSC-klagomål.docx", "A 47044-2025")</f>
        <v/>
      </c>
      <c r="AB56">
        <f>HYPERLINK("https://klasma.github.io/Logging_2085/klagomålsmail/A 47044-2025 FSC-klagomål mail.docx", "A 47044-2025")</f>
        <v/>
      </c>
      <c r="AC56">
        <f>HYPERLINK("https://klasma.github.io/Logging_2085/tillsyn/A 47044-2025 tillsynsbegäran.docx", "A 47044-2025")</f>
        <v/>
      </c>
      <c r="AD56">
        <f>HYPERLINK("https://klasma.github.io/Logging_2085/tillsynsmail/A 47044-2025 tillsynsbegäran mail.docx", "A 47044-2025")</f>
        <v/>
      </c>
      <c r="AE56">
        <f>HYPERLINK("https://klasma.github.io/Logging_2085/fåglar/A 47044-2025 prioriterade fågelarter.docx", "A 47044-2025")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46304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35820-2026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46265</v>
      </c>
      <c r="E58" s="1" t="n">
        <v>46304</v>
      </c>
      <c r="F58" t="inlineStr">
        <is>
          <t>DALARNAS LÄN</t>
        </is>
      </c>
      <c r="G58" t="inlineStr">
        <is>
          <t>LUDVIKA</t>
        </is>
      </c>
      <c r="H58" t="inlineStr">
        <is>
          <t>Naturvårdsverket</t>
        </is>
      </c>
      <c r="I58" t="n">
        <v>4.3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4</v>
      </c>
      <c r="T58" t="n">
        <v>4</v>
      </c>
      <c r="U58" t="n">
        <v>0</v>
      </c>
      <c r="V58" s="2" t="inlineStr">
        <is>
          <t>Garnlav
Kortskaftad ärgspik
Vedtrappmossa
Spillkråka</t>
        </is>
      </c>
      <c r="W58">
        <f>HYPERLINK("https://klasma.github.io/Logging_2085/artfynd/A 35820-2026 artfynd.xlsx", "A 35820-2026")</f>
        <v/>
      </c>
      <c r="X58">
        <f>HYPERLINK("https://klasma.github.io/Logging_2085/kartor/A 35820-2026 karta.png", "A 35820-2026")</f>
        <v/>
      </c>
      <c r="Y58">
        <f>HYPERLINK("https://klasma.github.io/Logging_2085/kartor_geotiff/A 35820-2026 georefererad karta.tif", "A 35820-2026")</f>
        <v/>
      </c>
      <c r="AA58">
        <f>HYPERLINK("https://klasma.github.io/Logging_2085/klagomål/A 35820-2026 FSC-klagomål.docx", "A 35820-2026")</f>
        <v/>
      </c>
      <c r="AB58">
        <f>HYPERLINK("https://klasma.github.io/Logging_2085/klagomålsmail/A 35820-2026 FSC-klagomål mail.docx", "A 35820-2026")</f>
        <v/>
      </c>
      <c r="AC58">
        <f>HYPERLINK("https://klasma.github.io/Logging_2085/tillsyn/A 35820-2026 tillsynsbegäran.docx", "A 35820-2026")</f>
        <v/>
      </c>
      <c r="AD58">
        <f>HYPERLINK("https://klasma.github.io/Logging_2085/tillsynsmail/A 35820-2026 tillsynsbegäran mail.docx", "A 35820-2026")</f>
        <v/>
      </c>
      <c r="AE58">
        <f>HYPERLINK("https://klasma.github.io/Logging_2085/fåglar/A 35820-2026 prioriterade fågelarter.docx", "A 35820-2026")</f>
        <v/>
      </c>
    </row>
    <row r="59" ht="15" customHeight="1">
      <c r="A59" t="inlineStr">
        <is>
          <t>A 35101-2026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46260</v>
      </c>
      <c r="E59" s="1" t="n">
        <v>46304</v>
      </c>
      <c r="F59" t="inlineStr">
        <is>
          <t>DALARNAS LÄN</t>
        </is>
      </c>
      <c r="G59" t="inlineStr">
        <is>
          <t>LUDVIKA</t>
        </is>
      </c>
      <c r="I59" t="n">
        <v>2.3</v>
      </c>
      <c r="J59" t="n">
        <v>3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4</v>
      </c>
      <c r="T59" t="n">
        <v>7</v>
      </c>
      <c r="U59" t="n">
        <v>7</v>
      </c>
      <c r="V59" s="2" t="inlineStr">
        <is>
          <t>Tretåig hackspett
Rödgul trumpetsvamp
Järpe
Spillkråka</t>
        </is>
      </c>
      <c r="W59">
        <f>HYPERLINK("https://klasma.github.io/Logging_2085/artfynd/A 35101-2026 artfynd.xlsx", "A 35101-2026")</f>
        <v/>
      </c>
      <c r="X59">
        <f>HYPERLINK("https://klasma.github.io/Logging_2085/kartor/A 35101-2026 karta.png", "A 35101-2026")</f>
        <v/>
      </c>
      <c r="Y59">
        <f>HYPERLINK("https://klasma.github.io/Logging_2085/kartor_geotiff/A 35101-2026 georefererad karta.tif", "A 35101-2026")</f>
        <v/>
      </c>
      <c r="AA59">
        <f>HYPERLINK("https://klasma.github.io/Logging_2085/klagomål/A 35101-2026 FSC-klagomål.docx", "A 35101-2026")</f>
        <v/>
      </c>
      <c r="AB59">
        <f>HYPERLINK("https://klasma.github.io/Logging_2085/klagomålsmail/A 35101-2026 FSC-klagomål mail.docx", "A 35101-2026")</f>
        <v/>
      </c>
      <c r="AC59">
        <f>HYPERLINK("https://klasma.github.io/Logging_2085/tillsyn/A 35101-2026 tillsynsbegäran.docx", "A 35101-2026")</f>
        <v/>
      </c>
      <c r="AD59">
        <f>HYPERLINK("https://klasma.github.io/Logging_2085/tillsynsmail/A 35101-2026 tillsynsbegäran mail.docx", "A 35101-2026")</f>
        <v/>
      </c>
      <c r="AE59">
        <f>HYPERLINK("https://klasma.github.io/Logging_2085/fåglar/A 35101-2026 prioriterade fågelarter.docx", "A 35101-2026")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46304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74432-2021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44560</v>
      </c>
      <c r="E61" s="1" t="n">
        <v>46304</v>
      </c>
      <c r="F61" t="inlineStr">
        <is>
          <t>DALARNAS LÄN</t>
        </is>
      </c>
      <c r="G61" t="inlineStr">
        <is>
          <t>LUDVIKA</t>
        </is>
      </c>
      <c r="H61" t="inlineStr">
        <is>
          <t>Kommuner</t>
        </is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Spillkråka
Gröngöling
Kungsfågel</t>
        </is>
      </c>
      <c r="W61">
        <f>HYPERLINK("https://klasma.github.io/Logging_2085/artfynd/A 74432-2021 artfynd.xlsx", "A 74432-2021")</f>
        <v/>
      </c>
      <c r="X61">
        <f>HYPERLINK("https://klasma.github.io/Logging_2085/kartor/A 74432-2021 karta.png", "A 74432-2021")</f>
        <v/>
      </c>
      <c r="Y61">
        <f>HYPERLINK("https://klasma.github.io/Logging_2085/kartor_geotiff/A 74432-2021 georefererad karta.tif", "A 74432-2021")</f>
        <v/>
      </c>
      <c r="AA61">
        <f>HYPERLINK("https://klasma.github.io/Logging_2085/klagomål/A 74432-2021 FSC-klagomål.docx", "A 74432-2021")</f>
        <v/>
      </c>
      <c r="AB61">
        <f>HYPERLINK("https://klasma.github.io/Logging_2085/klagomålsmail/A 74432-2021 FSC-klagomål mail.docx", "A 74432-2021")</f>
        <v/>
      </c>
      <c r="AC61">
        <f>HYPERLINK("https://klasma.github.io/Logging_2085/tillsyn/A 74432-2021 tillsynsbegäran.docx", "A 74432-2021")</f>
        <v/>
      </c>
      <c r="AD61">
        <f>HYPERLINK("https://klasma.github.io/Logging_2085/tillsynsmail/A 74432-2021 tillsynsbegäran mail.docx", "A 74432-2021")</f>
        <v/>
      </c>
      <c r="AE61">
        <f>HYPERLINK("https://klasma.github.io/Logging_2085/fåglar/A 74432-2021 prioriterade fågelarter.docx", "A 74432-2021")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46304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46304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46304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46304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23087-2025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46304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0.9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Dropptaggsvamp
Motaggsvamp
Orange taggsvamp</t>
        </is>
      </c>
      <c r="W66">
        <f>HYPERLINK("https://klasma.github.io/Logging_2085/artfynd/A 23087-2025 artfynd.xlsx", "A 23087-2025")</f>
        <v/>
      </c>
      <c r="X66">
        <f>HYPERLINK("https://klasma.github.io/Logging_2085/kartor/A 23087-2025 karta.png", "A 23087-2025")</f>
        <v/>
      </c>
      <c r="Y66">
        <f>HYPERLINK("https://klasma.github.io/Logging_2085/kartor_geotiff/A 23087-2025 georefererad karta.tif", "A 23087-2025")</f>
        <v/>
      </c>
      <c r="AA66">
        <f>HYPERLINK("https://klasma.github.io/Logging_2085/klagomål/A 23087-2025 FSC-klagomål.docx", "A 23087-2025")</f>
        <v/>
      </c>
      <c r="AB66">
        <f>HYPERLINK("https://klasma.github.io/Logging_2085/klagomålsmail/A 23087-2025 FSC-klagomål mail.docx", "A 23087-2025")</f>
        <v/>
      </c>
      <c r="AC66">
        <f>HYPERLINK("https://klasma.github.io/Logging_2085/tillsyn/A 23087-2025 tillsynsbegäran.docx", "A 23087-2025")</f>
        <v/>
      </c>
      <c r="AD66">
        <f>HYPERLINK("https://klasma.github.io/Logging_2085/tillsynsmail/A 23087-2025 tillsynsbegäran mail.docx", "A 23087-2025")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46304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46304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46304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46304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46304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46304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46304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44262-2025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46304</v>
      </c>
      <c r="F74" t="inlineStr">
        <is>
          <t>DALARNAS LÄN</t>
        </is>
      </c>
      <c r="G74" t="inlineStr">
        <is>
          <t>LUDVIKA</t>
        </is>
      </c>
      <c r="I74" t="n">
        <v>3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6</v>
      </c>
      <c r="U74" t="n">
        <v>0</v>
      </c>
      <c r="V74" s="2" t="inlineStr">
        <is>
          <t>Nordfladdermus
Fläcknycklar</t>
        </is>
      </c>
      <c r="W74">
        <f>HYPERLINK("https://klasma.github.io/Logging_2085/artfynd/A 44262-2025 artfynd.xlsx", "A 44262-2025")</f>
        <v/>
      </c>
      <c r="X74">
        <f>HYPERLINK("https://klasma.github.io/Logging_2085/kartor/A 44262-2025 karta.png", "A 44262-2025")</f>
        <v/>
      </c>
      <c r="Y74">
        <f>HYPERLINK("https://klasma.github.io/Logging_2085/kartor_geotiff/A 44262-2025 georefererad karta.tif", "A 44262-2025")</f>
        <v/>
      </c>
      <c r="AA74">
        <f>HYPERLINK("https://klasma.github.io/Logging_2085/klagomål/A 44262-2025 FSC-klagomål.docx", "A 44262-2025")</f>
        <v/>
      </c>
      <c r="AB74">
        <f>HYPERLINK("https://klasma.github.io/Logging_2085/klagomålsmail/A 44262-2025 FSC-klagomål mail.docx", "A 44262-2025")</f>
        <v/>
      </c>
      <c r="AC74">
        <f>HYPERLINK("https://klasma.github.io/Logging_2085/tillsyn/A 44262-2025 tillsynsbegäran.docx", "A 44262-2025")</f>
        <v/>
      </c>
      <c r="AD74">
        <f>HYPERLINK("https://klasma.github.io/Logging_2085/tillsynsmail/A 44262-2025 tillsynsbegäran mail.docx", "A 44262-2025")</f>
        <v/>
      </c>
    </row>
    <row r="75" ht="15" customHeight="1">
      <c r="A75" t="inlineStr">
        <is>
          <t>A 45791-2025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46304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Vitfläckig guldvinge
Fläcknycklar</t>
        </is>
      </c>
      <c r="W75">
        <f>HYPERLINK("https://klasma.github.io/Logging_2085/artfynd/A 45791-2025 artfynd.xlsx", "A 45791-2025")</f>
        <v/>
      </c>
      <c r="X75">
        <f>HYPERLINK("https://klasma.github.io/Logging_2085/kartor/A 45791-2025 karta.png", "A 45791-2025")</f>
        <v/>
      </c>
      <c r="Y75">
        <f>HYPERLINK("https://klasma.github.io/Logging_2085/kartor_geotiff/A 45791-2025 georefererad karta.tif", "A 45791-2025")</f>
        <v/>
      </c>
      <c r="AA75">
        <f>HYPERLINK("https://klasma.github.io/Logging_2085/klagomål/A 45791-2025 FSC-klagomål.docx", "A 45791-2025")</f>
        <v/>
      </c>
      <c r="AB75">
        <f>HYPERLINK("https://klasma.github.io/Logging_2085/klagomålsmail/A 45791-2025 FSC-klagomål mail.docx", "A 45791-2025")</f>
        <v/>
      </c>
      <c r="AC75">
        <f>HYPERLINK("https://klasma.github.io/Logging_2085/tillsyn/A 45791-2025 tillsynsbegäran.docx", "A 45791-2025")</f>
        <v/>
      </c>
      <c r="AD75">
        <f>HYPERLINK("https://klasma.github.io/Logging_2085/tillsynsmail/A 45791-2025 tillsynsbegäran mail.docx", "A 45791-2025")</f>
        <v/>
      </c>
    </row>
    <row r="76" ht="15" customHeight="1">
      <c r="A76" t="inlineStr">
        <is>
          <t>A 45225-2024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45575</v>
      </c>
      <c r="E76" s="1" t="n">
        <v>46304</v>
      </c>
      <c r="F76" t="inlineStr">
        <is>
          <t>DALARNAS LÄN</t>
        </is>
      </c>
      <c r="G76" t="inlineStr">
        <is>
          <t>LUDVIKA</t>
        </is>
      </c>
      <c r="I76" t="n">
        <v>1.1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Kungsfågel
Ärtsångare</t>
        </is>
      </c>
      <c r="W76">
        <f>HYPERLINK("https://klasma.github.io/Logging_2085/artfynd/A 45225-2024 artfynd.xlsx", "A 45225-2024")</f>
        <v/>
      </c>
      <c r="X76">
        <f>HYPERLINK("https://klasma.github.io/Logging_2085/kartor/A 45225-2024 karta.png", "A 45225-2024")</f>
        <v/>
      </c>
      <c r="Y76">
        <f>HYPERLINK("https://klasma.github.io/Logging_2085/kartor_geotiff/A 45225-2024 georefererad karta.tif", "A 45225-2024")</f>
        <v/>
      </c>
      <c r="AA76">
        <f>HYPERLINK("https://klasma.github.io/Logging_2085/klagomål/A 45225-2024 FSC-klagomål.docx", "A 45225-2024")</f>
        <v/>
      </c>
      <c r="AB76">
        <f>HYPERLINK("https://klasma.github.io/Logging_2085/klagomålsmail/A 45225-2024 FSC-klagomål mail.docx", "A 45225-2024")</f>
        <v/>
      </c>
      <c r="AC76">
        <f>HYPERLINK("https://klasma.github.io/Logging_2085/tillsyn/A 45225-2024 tillsynsbegäran.docx", "A 45225-2024")</f>
        <v/>
      </c>
      <c r="AD76">
        <f>HYPERLINK("https://klasma.github.io/Logging_2085/tillsynsmail/A 45225-2024 tillsynsbegäran mail.docx", "A 45225-2024")</f>
        <v/>
      </c>
    </row>
    <row r="77" ht="15" customHeight="1">
      <c r="A77" t="inlineStr">
        <is>
          <t>A 62275-2022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46304</v>
      </c>
      <c r="F77" t="inlineStr">
        <is>
          <t>DALARNAS LÄN</t>
        </is>
      </c>
      <c r="G77" t="inlineStr">
        <is>
          <t>LUDVIKA</t>
        </is>
      </c>
      <c r="I77" t="n">
        <v>4.6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5</v>
      </c>
      <c r="U77" t="n">
        <v>5</v>
      </c>
      <c r="V77" s="2" t="inlineStr">
        <is>
          <t>Knärot
Brunklöver</t>
        </is>
      </c>
      <c r="W77">
        <f>HYPERLINK("https://klasma.github.io/Logging_2085/artfynd/A 62275-2022 artfynd.xlsx", "A 62275-2022")</f>
        <v/>
      </c>
      <c r="X77">
        <f>HYPERLINK("https://klasma.github.io/Logging_2085/kartor/A 62275-2022 karta.png", "A 62275-2022")</f>
        <v/>
      </c>
      <c r="Y77">
        <f>HYPERLINK("https://klasma.github.io/Logging_2085/kartor_geotiff/A 62275-2022 georefererad karta.tif", "A 62275-2022")</f>
        <v/>
      </c>
      <c r="Z77">
        <f>HYPERLINK("https://klasma.github.io/Logging_2085/knärot/A 62275-2022 karta knärot.png", "A 62275-2022")</f>
        <v/>
      </c>
      <c r="AA77">
        <f>HYPERLINK("https://klasma.github.io/Logging_2085/klagomål/A 62275-2022 FSC-klagomål.docx", "A 62275-2022")</f>
        <v/>
      </c>
      <c r="AB77">
        <f>HYPERLINK("https://klasma.github.io/Logging_2085/klagomålsmail/A 62275-2022 FSC-klagomål mail.docx", "A 62275-2022")</f>
        <v/>
      </c>
      <c r="AC77">
        <f>HYPERLINK("https://klasma.github.io/Logging_2085/tillsyn/A 62275-2022 tillsynsbegäran.docx", "A 62275-2022")</f>
        <v/>
      </c>
      <c r="AD77">
        <f>HYPERLINK("https://klasma.github.io/Logging_2085/tillsynsmail/A 62275-2022 tillsynsbegäran mail.docx", "A 62275-2022")</f>
        <v/>
      </c>
    </row>
    <row r="78" ht="15" customHeight="1">
      <c r="A78" t="inlineStr">
        <is>
          <t>A 49767-2025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46304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4</v>
      </c>
      <c r="U78" t="n">
        <v>4</v>
      </c>
      <c r="V78" s="2" t="inlineStr">
        <is>
          <t>Garnlav
Tretåig hackspett</t>
        </is>
      </c>
      <c r="W78">
        <f>HYPERLINK("https://klasma.github.io/Logging_2085/artfynd/A 49767-2025 artfynd.xlsx", "A 49767-2025")</f>
        <v/>
      </c>
      <c r="X78">
        <f>HYPERLINK("https://klasma.github.io/Logging_2085/kartor/A 49767-2025 karta.png", "A 49767-2025")</f>
        <v/>
      </c>
      <c r="Y78">
        <f>HYPERLINK("https://klasma.github.io/Logging_2085/kartor_geotiff/A 49767-2025 georefererad karta.tif", "A 49767-2025")</f>
        <v/>
      </c>
      <c r="AA78">
        <f>HYPERLINK("https://klasma.github.io/Logging_2085/klagomål/A 49767-2025 FSC-klagomål.docx", "A 49767-2025")</f>
        <v/>
      </c>
      <c r="AB78">
        <f>HYPERLINK("https://klasma.github.io/Logging_2085/klagomålsmail/A 49767-2025 FSC-klagomål mail.docx", "A 49767-2025")</f>
        <v/>
      </c>
      <c r="AC78">
        <f>HYPERLINK("https://klasma.github.io/Logging_2085/tillsyn/A 49767-2025 tillsynsbegäran.docx", "A 49767-2025")</f>
        <v/>
      </c>
      <c r="AD78">
        <f>HYPERLINK("https://klasma.github.io/Logging_2085/tillsynsmail/A 49767-2025 tillsynsbegäran mail.docx", "A 49767-2025")</f>
        <v/>
      </c>
      <c r="AE78">
        <f>HYPERLINK("https://klasma.github.io/Logging_2085/fåglar/A 49767-2025 prioriterade fågelarter.docx", "A 49767-2025")</f>
        <v/>
      </c>
    </row>
    <row r="79" ht="15" customHeight="1">
      <c r="A79" t="inlineStr">
        <is>
          <t>A 50170-2025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46304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Labyrintlav
Gulnål</t>
        </is>
      </c>
      <c r="W79">
        <f>HYPERLINK("https://klasma.github.io/Logging_2085/artfynd/A 50170-2025 artfynd.xlsx", "A 50170-2025")</f>
        <v/>
      </c>
      <c r="X79">
        <f>HYPERLINK("https://klasma.github.io/Logging_2085/kartor/A 50170-2025 karta.png", "A 50170-2025")</f>
        <v/>
      </c>
      <c r="Y79">
        <f>HYPERLINK("https://klasma.github.io/Logging_2085/kartor_geotiff/A 50170-2025 georefererad karta.tif", "A 50170-2025")</f>
        <v/>
      </c>
      <c r="AA79">
        <f>HYPERLINK("https://klasma.github.io/Logging_2085/klagomål/A 50170-2025 FSC-klagomål.docx", "A 50170-2025")</f>
        <v/>
      </c>
      <c r="AB79">
        <f>HYPERLINK("https://klasma.github.io/Logging_2085/klagomålsmail/A 50170-2025 FSC-klagomål mail.docx", "A 50170-2025")</f>
        <v/>
      </c>
      <c r="AC79">
        <f>HYPERLINK("https://klasma.github.io/Logging_2085/tillsyn/A 50170-2025 tillsynsbegäran.docx", "A 50170-2025")</f>
        <v/>
      </c>
      <c r="AD79">
        <f>HYPERLINK("https://klasma.github.io/Logging_2085/tillsynsmail/A 50170-2025 tillsynsbegäran mail.docx", "A 50170-2025")</f>
        <v/>
      </c>
    </row>
    <row r="80" ht="15" customHeight="1">
      <c r="A80" t="inlineStr">
        <is>
          <t>A 11755-2023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46304</v>
      </c>
      <c r="F80" t="inlineStr">
        <is>
          <t>DALARNAS LÄN</t>
        </is>
      </c>
      <c r="G80" t="inlineStr">
        <is>
          <t>LUDVIKA</t>
        </is>
      </c>
      <c r="H80" t="inlineStr">
        <is>
          <t>Övriga Aktiebolag</t>
        </is>
      </c>
      <c r="I80" t="n">
        <v>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Garnlav
Spillkråka</t>
        </is>
      </c>
      <c r="W80">
        <f>HYPERLINK("https://klasma.github.io/Logging_2085/artfynd/A 11755-2023 artfynd.xlsx", "A 11755-2023")</f>
        <v/>
      </c>
      <c r="X80">
        <f>HYPERLINK("https://klasma.github.io/Logging_2085/kartor/A 11755-2023 karta.png", "A 11755-2023")</f>
        <v/>
      </c>
      <c r="Y80">
        <f>HYPERLINK("https://klasma.github.io/Logging_2085/kartor_geotiff/A 11755-2023 georefererad karta.tif", "A 11755-2023")</f>
        <v/>
      </c>
      <c r="AA80">
        <f>HYPERLINK("https://klasma.github.io/Logging_2085/klagomål/A 11755-2023 FSC-klagomål.docx", "A 11755-2023")</f>
        <v/>
      </c>
      <c r="AB80">
        <f>HYPERLINK("https://klasma.github.io/Logging_2085/klagomålsmail/A 11755-2023 FSC-klagomål mail.docx", "A 11755-2023")</f>
        <v/>
      </c>
      <c r="AC80">
        <f>HYPERLINK("https://klasma.github.io/Logging_2085/tillsyn/A 11755-2023 tillsynsbegäran.docx", "A 11755-2023")</f>
        <v/>
      </c>
      <c r="AD80">
        <f>HYPERLINK("https://klasma.github.io/Logging_2085/tillsynsmail/A 11755-2023 tillsynsbegäran mail.docx", "A 11755-2023")</f>
        <v/>
      </c>
      <c r="AE80">
        <f>HYPERLINK("https://klasma.github.io/Logging_2085/fåglar/A 11755-2023 prioriterade fågelarter.docx", "A 11755-2023")</f>
        <v/>
      </c>
    </row>
    <row r="81" ht="15" customHeight="1">
      <c r="A81" t="inlineStr">
        <is>
          <t>A 56179-2025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46304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2.8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Gultoppig fingersvamp
Kortskaftad ärgspik</t>
        </is>
      </c>
      <c r="W81">
        <f>HYPERLINK("https://klasma.github.io/Logging_2085/artfynd/A 56179-2025 artfynd.xlsx", "A 56179-2025")</f>
        <v/>
      </c>
      <c r="X81">
        <f>HYPERLINK("https://klasma.github.io/Logging_2085/kartor/A 56179-2025 karta.png", "A 56179-2025")</f>
        <v/>
      </c>
      <c r="Y81">
        <f>HYPERLINK("https://klasma.github.io/Logging_2085/kartor_geotiff/A 56179-2025 georefererad karta.tif", "A 56179-2025")</f>
        <v/>
      </c>
      <c r="Z81">
        <f>HYPERLINK("https://klasma.github.io/Logging_2085/knärot/A 56179-2025 karta knärot.png", "A 56179-2025")</f>
        <v/>
      </c>
      <c r="AA81">
        <f>HYPERLINK("https://klasma.github.io/Logging_2085/klagomål/A 56179-2025 FSC-klagomål.docx", "A 56179-2025")</f>
        <v/>
      </c>
      <c r="AB81">
        <f>HYPERLINK("https://klasma.github.io/Logging_2085/klagomålsmail/A 56179-2025 FSC-klagomål mail.docx", "A 56179-2025")</f>
        <v/>
      </c>
      <c r="AC81">
        <f>HYPERLINK("https://klasma.github.io/Logging_2085/tillsyn/A 56179-2025 tillsynsbegäran.docx", "A 56179-2025")</f>
        <v/>
      </c>
      <c r="AD81">
        <f>HYPERLINK("https://klasma.github.io/Logging_2085/tillsynsmail/A 56179-2025 tillsynsbegäran mail.docx", "A 56179-2025")</f>
        <v/>
      </c>
    </row>
    <row r="82" ht="15" customHeight="1">
      <c r="A82" t="inlineStr">
        <is>
          <t>A 3809-2024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45321</v>
      </c>
      <c r="E82" s="1" t="n">
        <v>46304</v>
      </c>
      <c r="F82" t="inlineStr">
        <is>
          <t>DALARNAS LÄN</t>
        </is>
      </c>
      <c r="G82" t="inlineStr">
        <is>
          <t>LUDVIKA</t>
        </is>
      </c>
      <c r="I82" t="n">
        <v>0.5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8</v>
      </c>
      <c r="U82" t="n">
        <v>8</v>
      </c>
      <c r="V82" s="2" t="inlineStr">
        <is>
          <t>Nordfladdermus
Fläcknycklar</t>
        </is>
      </c>
      <c r="W82">
        <f>HYPERLINK("https://klasma.github.io/Logging_2085/artfynd/A 3809-2024 artfynd.xlsx", "A 3809-2024")</f>
        <v/>
      </c>
      <c r="X82">
        <f>HYPERLINK("https://klasma.github.io/Logging_2085/kartor/A 3809-2024 karta.png", "A 3809-2024")</f>
        <v/>
      </c>
      <c r="Y82">
        <f>HYPERLINK("https://klasma.github.io/Logging_2085/kartor_geotiff/A 3809-2024 georefererad karta.tif", "A 3809-2024")</f>
        <v/>
      </c>
      <c r="AA82">
        <f>HYPERLINK("https://klasma.github.io/Logging_2085/klagomål/A 3809-2024 FSC-klagomål.docx", "A 3809-2024")</f>
        <v/>
      </c>
      <c r="AB82">
        <f>HYPERLINK("https://klasma.github.io/Logging_2085/klagomålsmail/A 3809-2024 FSC-klagomål mail.docx", "A 3809-2024")</f>
        <v/>
      </c>
      <c r="AC82">
        <f>HYPERLINK("https://klasma.github.io/Logging_2085/tillsyn/A 3809-2024 tillsynsbegäran.docx", "A 3809-2024")</f>
        <v/>
      </c>
      <c r="AD82">
        <f>HYPERLINK("https://klasma.github.io/Logging_2085/tillsynsmail/A 3809-2024 tillsynsbegäran mail.docx", "A 3809-2024")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46304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18024-2026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46125</v>
      </c>
      <c r="E84" s="1" t="n">
        <v>46304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Skinnlav
Svavelriska</t>
        </is>
      </c>
      <c r="W84">
        <f>HYPERLINK("https://klasma.github.io/Logging_2085/artfynd/A 18024-2026 artfynd.xlsx", "A 18024-2026")</f>
        <v/>
      </c>
      <c r="X84">
        <f>HYPERLINK("https://klasma.github.io/Logging_2085/kartor/A 18024-2026 karta.png", "A 18024-2026")</f>
        <v/>
      </c>
      <c r="Y84">
        <f>HYPERLINK("https://klasma.github.io/Logging_2085/kartor_geotiff/A 18024-2026 georefererad karta.tif", "A 18024-2026")</f>
        <v/>
      </c>
      <c r="AA84">
        <f>HYPERLINK("https://klasma.github.io/Logging_2085/klagomål/A 18024-2026 FSC-klagomål.docx", "A 18024-2026")</f>
        <v/>
      </c>
      <c r="AB84">
        <f>HYPERLINK("https://klasma.github.io/Logging_2085/klagomålsmail/A 18024-2026 FSC-klagomål mail.docx", "A 18024-2026")</f>
        <v/>
      </c>
      <c r="AC84">
        <f>HYPERLINK("https://klasma.github.io/Logging_2085/tillsyn/A 18024-2026 tillsynsbegäran.docx", "A 18024-2026")</f>
        <v/>
      </c>
      <c r="AD84">
        <f>HYPERLINK("https://klasma.github.io/Logging_2085/tillsynsmail/A 18024-2026 tillsynsbegäran mail.docx", "A 18024-2026")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46304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46304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55399-2025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45971</v>
      </c>
      <c r="E87" s="1" t="n">
        <v>46304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11.5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Spillkråka
Revlummer</t>
        </is>
      </c>
      <c r="W87">
        <f>HYPERLINK("https://klasma.github.io/Logging_2085/artfynd/A 55399-2025 artfynd.xlsx", "A 55399-2025")</f>
        <v/>
      </c>
      <c r="X87">
        <f>HYPERLINK("https://klasma.github.io/Logging_2085/kartor/A 55399-2025 karta.png", "A 55399-2025")</f>
        <v/>
      </c>
      <c r="Y87">
        <f>HYPERLINK("https://klasma.github.io/Logging_2085/kartor_geotiff/A 55399-2025 georefererad karta.tif", "A 55399-2025")</f>
        <v/>
      </c>
      <c r="AA87">
        <f>HYPERLINK("https://klasma.github.io/Logging_2085/klagomål/A 55399-2025 FSC-klagomål.docx", "A 55399-2025")</f>
        <v/>
      </c>
      <c r="AB87">
        <f>HYPERLINK("https://klasma.github.io/Logging_2085/klagomålsmail/A 55399-2025 FSC-klagomål mail.docx", "A 55399-2025")</f>
        <v/>
      </c>
      <c r="AC87">
        <f>HYPERLINK("https://klasma.github.io/Logging_2085/tillsyn/A 55399-2025 tillsynsbegäran.docx", "A 55399-2025")</f>
        <v/>
      </c>
      <c r="AD87">
        <f>HYPERLINK("https://klasma.github.io/Logging_2085/tillsynsmail/A 55399-2025 tillsynsbegäran mail.docx", "A 55399-2025")</f>
        <v/>
      </c>
      <c r="AE87">
        <f>HYPERLINK("https://klasma.github.io/Logging_2085/fåglar/A 55399-2025 prioriterade fågelarter.docx", "A 55399-2025")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46304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28639-2026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46304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 taggsvamp
Motaggsvamp</t>
        </is>
      </c>
      <c r="W89">
        <f>HYPERLINK("https://klasma.github.io/Logging_2085/artfynd/A 28639-2026 artfynd.xlsx", "A 28639-2026")</f>
        <v/>
      </c>
      <c r="X89">
        <f>HYPERLINK("https://klasma.github.io/Logging_2085/kartor/A 28639-2026 karta.png", "A 28639-2026")</f>
        <v/>
      </c>
      <c r="Y89">
        <f>HYPERLINK("https://klasma.github.io/Logging_2085/kartor_geotiff/A 28639-2026 georefererad karta.tif", "A 28639-2026")</f>
        <v/>
      </c>
      <c r="AA89">
        <f>HYPERLINK("https://klasma.github.io/Logging_2085/klagomål/A 28639-2026 FSC-klagomål.docx", "A 28639-2026")</f>
        <v/>
      </c>
      <c r="AB89">
        <f>HYPERLINK("https://klasma.github.io/Logging_2085/klagomålsmail/A 28639-2026 FSC-klagomål mail.docx", "A 28639-2026")</f>
        <v/>
      </c>
      <c r="AC89">
        <f>HYPERLINK("https://klasma.github.io/Logging_2085/tillsyn/A 28639-2026 tillsynsbegäran.docx", "A 28639-2026")</f>
        <v/>
      </c>
      <c r="AD89">
        <f>HYPERLINK("https://klasma.github.io/Logging_2085/tillsynsmail/A 28639-2026 tillsynsbegäran mail.docx", "A 28639-2026")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46304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46304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42558-2022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46304</v>
      </c>
      <c r="F92" t="inlineStr">
        <is>
          <t>DALARNAS LÄN</t>
        </is>
      </c>
      <c r="G92" t="inlineStr">
        <is>
          <t>LUDVIKA</t>
        </is>
      </c>
      <c r="H92" t="inlineStr">
        <is>
          <t>Naturvårdsverket</t>
        </is>
      </c>
      <c r="I92" t="n">
        <v>4.9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Gräddporing
Lopplummer (aggregat)</t>
        </is>
      </c>
      <c r="W92">
        <f>HYPERLINK("https://klasma.github.io/Logging_2085/artfynd/A 42558-2022 artfynd.xlsx", "A 42558-2022")</f>
        <v/>
      </c>
      <c r="X92">
        <f>HYPERLINK("https://klasma.github.io/Logging_2085/kartor/A 42558-2022 karta.png", "A 42558-2022")</f>
        <v/>
      </c>
      <c r="Y92">
        <f>HYPERLINK("https://klasma.github.io/Logging_2085/kartor_geotiff/A 42558-2022 georefererad karta.tif", "A 42558-2022")</f>
        <v/>
      </c>
      <c r="AA92">
        <f>HYPERLINK("https://klasma.github.io/Logging_2085/klagomål/A 42558-2022 FSC-klagomål.docx", "A 42558-2022")</f>
        <v/>
      </c>
      <c r="AB92">
        <f>HYPERLINK("https://klasma.github.io/Logging_2085/klagomålsmail/A 42558-2022 FSC-klagomål mail.docx", "A 42558-2022")</f>
        <v/>
      </c>
      <c r="AC92">
        <f>HYPERLINK("https://klasma.github.io/Logging_2085/tillsyn/A 42558-2022 tillsynsbegäran.docx", "A 42558-2022")</f>
        <v/>
      </c>
      <c r="AD92">
        <f>HYPERLINK("https://klasma.github.io/Logging_2085/tillsynsmail/A 42558-2022 tillsynsbegäran mail.docx", "A 42558-2022")</f>
        <v/>
      </c>
    </row>
    <row r="93" ht="15" customHeight="1">
      <c r="A93" t="inlineStr">
        <is>
          <t>A 8202-2025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46304</v>
      </c>
      <c r="F93" t="inlineStr">
        <is>
          <t>DALARNAS LÄN</t>
        </is>
      </c>
      <c r="G93" t="inlineStr">
        <is>
          <t>LUDVIKA</t>
        </is>
      </c>
      <c r="I93" t="n">
        <v>6.4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7</v>
      </c>
      <c r="U93" t="n">
        <v>7</v>
      </c>
      <c r="V93" s="2" t="inlineStr">
        <is>
          <t>Tretåig hackspett
Spillkråka</t>
        </is>
      </c>
      <c r="W93">
        <f>HYPERLINK("https://klasma.github.io/Logging_2085/artfynd/A 8202-2025 artfynd.xlsx", "A 8202-2025")</f>
        <v/>
      </c>
      <c r="X93">
        <f>HYPERLINK("https://klasma.github.io/Logging_2085/kartor/A 8202-2025 karta.png", "A 8202-2025")</f>
        <v/>
      </c>
      <c r="Y93">
        <f>HYPERLINK("https://klasma.github.io/Logging_2085/kartor_geotiff/A 8202-2025 georefererad karta.tif", "A 8202-2025")</f>
        <v/>
      </c>
      <c r="AA93">
        <f>HYPERLINK("https://klasma.github.io/Logging_2085/klagomål/A 8202-2025 FSC-klagomål.docx", "A 8202-2025")</f>
        <v/>
      </c>
      <c r="AB93">
        <f>HYPERLINK("https://klasma.github.io/Logging_2085/klagomålsmail/A 8202-2025 FSC-klagomål mail.docx", "A 8202-2025")</f>
        <v/>
      </c>
      <c r="AC93">
        <f>HYPERLINK("https://klasma.github.io/Logging_2085/tillsyn/A 8202-2025 tillsynsbegäran.docx", "A 8202-2025")</f>
        <v/>
      </c>
      <c r="AD93">
        <f>HYPERLINK("https://klasma.github.io/Logging_2085/tillsynsmail/A 8202-2025 tillsynsbegäran mail.docx", "A 8202-2025")</f>
        <v/>
      </c>
      <c r="AE93">
        <f>HYPERLINK("https://klasma.github.io/Logging_2085/fåglar/A 8202-2025 prioriterade fågelarter.docx", "A 8202-2025")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46304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46304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A 35104-2026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46260</v>
      </c>
      <c r="E96" s="1" t="n">
        <v>46304</v>
      </c>
      <c r="F96" t="inlineStr">
        <is>
          <t>DALARNAS LÄN</t>
        </is>
      </c>
      <c r="G96" t="inlineStr">
        <is>
          <t>LUDVIKA</t>
        </is>
      </c>
      <c r="I96" t="n">
        <v>1.4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Knärot
Rödgul trumpetsvamp</t>
        </is>
      </c>
      <c r="W96">
        <f>HYPERLINK("https://klasma.github.io/Logging_2085/artfynd/A 35104-2026 artfynd.xlsx", "A 35104-2026")</f>
        <v/>
      </c>
      <c r="X96">
        <f>HYPERLINK("https://klasma.github.io/Logging_2085/kartor/A 35104-2026 karta.png", "A 35104-2026")</f>
        <v/>
      </c>
      <c r="Y96">
        <f>HYPERLINK("https://klasma.github.io/Logging_2085/kartor_geotiff/A 35104-2026 georefererad karta.tif", "A 35104-2026")</f>
        <v/>
      </c>
      <c r="Z96">
        <f>HYPERLINK("https://klasma.github.io/Logging_2085/knärot/A 35104-2026 karta knärot.png", "A 35104-2026")</f>
        <v/>
      </c>
      <c r="AA96">
        <f>HYPERLINK("https://klasma.github.io/Logging_2085/klagomål/A 35104-2026 FSC-klagomål.docx", "A 35104-2026")</f>
        <v/>
      </c>
      <c r="AB96">
        <f>HYPERLINK("https://klasma.github.io/Logging_2085/klagomålsmail/A 35104-2026 FSC-klagomål mail.docx", "A 35104-2026")</f>
        <v/>
      </c>
      <c r="AC96">
        <f>HYPERLINK("https://klasma.github.io/Logging_2085/tillsyn/A 35104-2026 tillsynsbegäran.docx", "A 35104-2026")</f>
        <v/>
      </c>
      <c r="AD96">
        <f>HYPERLINK("https://klasma.github.io/Logging_2085/tillsynsmail/A 35104-2026 tillsynsbegäran mail.docx", "A 35104-2026")</f>
        <v/>
      </c>
    </row>
    <row r="97" ht="15" customHeight="1">
      <c r="A97" t="inlineStr">
        <is>
          <t>S 296-2025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45687</v>
      </c>
      <c r="E97" s="1" t="n">
        <v>46304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278.6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Brunpudrad nållav
Rödgul trumpetsvamp</t>
        </is>
      </c>
      <c r="W97">
        <f>HYPERLINK("https://klasma.github.io/Logging_2085/artfynd/S 296-2025 artfynd.xlsx", "S 296-2025")</f>
        <v/>
      </c>
      <c r="X97">
        <f>HYPERLINK("https://klasma.github.io/Logging_2085/kartor/S 296-2025 karta.png", "S 296-2025")</f>
        <v/>
      </c>
      <c r="Y97">
        <f>HYPERLINK("https://klasma.github.io/Logging_2085/kartor_geotiff/S 296-2025 georefererad karta.tif", "S 296-2025")</f>
        <v/>
      </c>
      <c r="AA97">
        <f>HYPERLINK("https://klasma.github.io/Logging_2085/klagomål/S 296-2025 FSC-klagomål.docx", "S 296-2025")</f>
        <v/>
      </c>
      <c r="AB97">
        <f>HYPERLINK("https://klasma.github.io/Logging_2085/klagomålsmail/S 296-2025 FSC-klagomål mail.docx", "S 296-2025")</f>
        <v/>
      </c>
      <c r="AC97">
        <f>HYPERLINK("https://klasma.github.io/Logging_2085/tillsyn/S 296-2025 tillsynsbegäran.docx", "S 296-2025")</f>
        <v/>
      </c>
      <c r="AD97">
        <f>HYPERLINK("https://klasma.github.io/Logging_2085/tillsynsmail/S 296-2025 tillsynsbegäran mail.docx", "S 296-2025")</f>
        <v/>
      </c>
    </row>
    <row r="98" ht="15" customHeight="1">
      <c r="A98" t="inlineStr">
        <is>
          <t>S 3586-2025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46010</v>
      </c>
      <c r="E98" s="1" t="n">
        <v>46304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275.6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Järpe</t>
        </is>
      </c>
      <c r="W98">
        <f>HYPERLINK("https://klasma.github.io/Logging_2085/artfynd/S 3586-2025 artfynd.xlsx", "S 3586-2025")</f>
        <v/>
      </c>
      <c r="X98">
        <f>HYPERLINK("https://klasma.github.io/Logging_2085/kartor/S 3586-2025 karta.png", "S 3586-2025")</f>
        <v/>
      </c>
      <c r="Y98">
        <f>HYPERLINK("https://klasma.github.io/Logging_2085/kartor_geotiff/S 3586-2025 georefererad karta.tif", "S 3586-2025")</f>
        <v/>
      </c>
      <c r="AA98">
        <f>HYPERLINK("https://klasma.github.io/Logging_2085/klagomål/S 3586-2025 FSC-klagomål.docx", "S 3586-2025")</f>
        <v/>
      </c>
      <c r="AB98">
        <f>HYPERLINK("https://klasma.github.io/Logging_2085/klagomålsmail/S 3586-2025 FSC-klagomål mail.docx", "S 3586-2025")</f>
        <v/>
      </c>
      <c r="AC98">
        <f>HYPERLINK("https://klasma.github.io/Logging_2085/tillsyn/S 3586-2025 tillsynsbegäran.docx", "S 3586-2025")</f>
        <v/>
      </c>
      <c r="AD98">
        <f>HYPERLINK("https://klasma.github.io/Logging_2085/tillsynsmail/S 3586-2025 tillsynsbegäran mail.docx", "S 3586-2025")</f>
        <v/>
      </c>
      <c r="AE98">
        <f>HYPERLINK("https://klasma.github.io/Logging_2085/fåglar/S 3586-2025 prioriterade fågelarter.docx", "S 3586-2025")</f>
        <v/>
      </c>
    </row>
    <row r="99" ht="15" customHeight="1">
      <c r="A99" t="inlineStr">
        <is>
          <t>A 927-2022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46304</v>
      </c>
      <c r="F99" t="inlineStr">
        <is>
          <t>DALARNAS LÄN</t>
        </is>
      </c>
      <c r="G99" t="inlineStr">
        <is>
          <t>LUDVIKA</t>
        </is>
      </c>
      <c r="H99" t="inlineStr">
        <is>
          <t>Allmännings- och besparingsskogar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Brunklöver</t>
        </is>
      </c>
      <c r="W99">
        <f>HYPERLINK("https://klasma.github.io/Logging_2085/artfynd/A 927-2022 artfynd.xlsx", "A 927-2022")</f>
        <v/>
      </c>
      <c r="X99">
        <f>HYPERLINK("https://klasma.github.io/Logging_2085/kartor/A 927-2022 karta.png", "A 927-2022")</f>
        <v/>
      </c>
      <c r="Y99">
        <f>HYPERLINK("https://klasma.github.io/Logging_2085/kartor_geotiff/A 927-2022 georefererad karta.tif", "A 927-2022")</f>
        <v/>
      </c>
      <c r="AA99">
        <f>HYPERLINK("https://klasma.github.io/Logging_2085/klagomål/A 927-2022 FSC-klagomål.docx", "A 927-2022")</f>
        <v/>
      </c>
      <c r="AB99">
        <f>HYPERLINK("https://klasma.github.io/Logging_2085/klagomålsmail/A 927-2022 FSC-klagomål mail.docx", "A 927-2022")</f>
        <v/>
      </c>
      <c r="AC99">
        <f>HYPERLINK("https://klasma.github.io/Logging_2085/tillsyn/A 927-2022 tillsynsbegäran.docx", "A 927-2022")</f>
        <v/>
      </c>
      <c r="AD99">
        <f>HYPERLINK("https://klasma.github.io/Logging_2085/tillsynsmail/A 927-2022 tillsynsbegäran mail.docx", "A 927-2022")</f>
        <v/>
      </c>
    </row>
    <row r="100" ht="15" customHeight="1">
      <c r="A100" t="inlineStr">
        <is>
          <t>A 13051-2022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46304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Mosippa</t>
        </is>
      </c>
      <c r="W100">
        <f>HYPERLINK("https://klasma.github.io/Logging_2085/artfynd/A 13051-2022 artfynd.xlsx", "A 13051-2022")</f>
        <v/>
      </c>
      <c r="X100">
        <f>HYPERLINK("https://klasma.github.io/Logging_2085/kartor/A 13051-2022 karta.png", "A 13051-2022")</f>
        <v/>
      </c>
      <c r="Y100">
        <f>HYPERLINK("https://klasma.github.io/Logging_2085/kartor_geotiff/A 13051-2022 georefererad karta.tif", "A 13051-2022")</f>
        <v/>
      </c>
      <c r="AA100">
        <f>HYPERLINK("https://klasma.github.io/Logging_2085/klagomål/A 13051-2022 FSC-klagomål.docx", "A 13051-2022")</f>
        <v/>
      </c>
      <c r="AB100">
        <f>HYPERLINK("https://klasma.github.io/Logging_2085/klagomålsmail/A 13051-2022 FSC-klagomål mail.docx", "A 13051-2022")</f>
        <v/>
      </c>
      <c r="AC100">
        <f>HYPERLINK("https://klasma.github.io/Logging_2085/tillsyn/A 13051-2022 tillsynsbegäran.docx", "A 13051-2022")</f>
        <v/>
      </c>
      <c r="AD100">
        <f>HYPERLINK("https://klasma.github.io/Logging_2085/tillsynsmail/A 13051-2022 tillsynsbegäran mail.docx", "A 13051-2022")</f>
        <v/>
      </c>
    </row>
    <row r="101" ht="15" customHeight="1">
      <c r="A101" t="inlineStr">
        <is>
          <t>A 51709-2022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46304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Ängsmetallvinge</t>
        </is>
      </c>
      <c r="W101">
        <f>HYPERLINK("https://klasma.github.io/Logging_2085/artfynd/A 51709-2022 artfynd.xlsx", "A 51709-2022")</f>
        <v/>
      </c>
      <c r="X101">
        <f>HYPERLINK("https://klasma.github.io/Logging_2085/kartor/A 51709-2022 karta.png", "A 51709-2022")</f>
        <v/>
      </c>
      <c r="Y101">
        <f>HYPERLINK("https://klasma.github.io/Logging_2085/kartor_geotiff/A 51709-2022 georefererad karta.tif", "A 51709-2022")</f>
        <v/>
      </c>
      <c r="AA101">
        <f>HYPERLINK("https://klasma.github.io/Logging_2085/klagomål/A 51709-2022 FSC-klagomål.docx", "A 51709-2022")</f>
        <v/>
      </c>
      <c r="AB101">
        <f>HYPERLINK("https://klasma.github.io/Logging_2085/klagomålsmail/A 51709-2022 FSC-klagomål mail.docx", "A 51709-2022")</f>
        <v/>
      </c>
      <c r="AC101">
        <f>HYPERLINK("https://klasma.github.io/Logging_2085/tillsyn/A 51709-2022 tillsynsbegäran.docx", "A 51709-2022")</f>
        <v/>
      </c>
      <c r="AD101">
        <f>HYPERLINK("https://klasma.github.io/Logging_2085/tillsynsmail/A 51709-2022 tillsynsbegäran mail.docx", "A 51709-2022")</f>
        <v/>
      </c>
    </row>
    <row r="102" ht="15" customHeight="1">
      <c r="A102" t="inlineStr">
        <is>
          <t>A 18189-2025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45761</v>
      </c>
      <c r="E102" s="1" t="n">
        <v>46304</v>
      </c>
      <c r="F102" t="inlineStr">
        <is>
          <t>DALARNAS LÄN</t>
        </is>
      </c>
      <c r="G102" t="inlineStr">
        <is>
          <t>LUDVIKA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HYPERLINK("https://klasma.github.io/Logging_2085/artfynd/A 18189-2025 artfynd.xlsx", "A 18189-2025")</f>
        <v/>
      </c>
      <c r="X102">
        <f>HYPERLINK("https://klasma.github.io/Logging_2085/kartor/A 18189-2025 karta.png", "A 18189-2025")</f>
        <v/>
      </c>
      <c r="Y102">
        <f>HYPERLINK("https://klasma.github.io/Logging_2085/kartor_geotiff/A 18189-2025 georefererad karta.tif", "A 18189-2025")</f>
        <v/>
      </c>
      <c r="AA102">
        <f>HYPERLINK("https://klasma.github.io/Logging_2085/klagomål/A 18189-2025 FSC-klagomål.docx", "A 18189-2025")</f>
        <v/>
      </c>
      <c r="AB102">
        <f>HYPERLINK("https://klasma.github.io/Logging_2085/klagomålsmail/A 18189-2025 FSC-klagomål mail.docx", "A 18189-2025")</f>
        <v/>
      </c>
      <c r="AC102">
        <f>HYPERLINK("https://klasma.github.io/Logging_2085/tillsyn/A 18189-2025 tillsynsbegäran.docx", "A 18189-2025")</f>
        <v/>
      </c>
      <c r="AD102">
        <f>HYPERLINK("https://klasma.github.io/Logging_2085/tillsynsmail/A 18189-2025 tillsynsbegäran mail.docx", "A 18189-2025")</f>
        <v/>
      </c>
    </row>
    <row r="103" ht="15" customHeight="1">
      <c r="A103" t="inlineStr">
        <is>
          <t>A 44578-2023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46304</v>
      </c>
      <c r="F103" t="inlineStr">
        <is>
          <t>DALARNAS LÄN</t>
        </is>
      </c>
      <c r="G103" t="inlineStr">
        <is>
          <t>LUDVIKA</t>
        </is>
      </c>
      <c r="H103" t="inlineStr">
        <is>
          <t>Övriga Aktiebolag</t>
        </is>
      </c>
      <c r="I103" t="n">
        <v>12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Dofttaggsvamp</t>
        </is>
      </c>
      <c r="W103">
        <f>HYPERLINK("https://klasma.github.io/Logging_2085/artfynd/A 44578-2023 artfynd.xlsx", "A 44578-2023")</f>
        <v/>
      </c>
      <c r="X103">
        <f>HYPERLINK("https://klasma.github.io/Logging_2085/kartor/A 44578-2023 karta.png", "A 44578-2023")</f>
        <v/>
      </c>
      <c r="Y103">
        <f>HYPERLINK("https://klasma.github.io/Logging_2085/kartor_geotiff/A 44578-2023 georefererad karta.tif", "A 44578-2023")</f>
        <v/>
      </c>
      <c r="AA103">
        <f>HYPERLINK("https://klasma.github.io/Logging_2085/klagomål/A 44578-2023 FSC-klagomål.docx", "A 44578-2023")</f>
        <v/>
      </c>
      <c r="AB103">
        <f>HYPERLINK("https://klasma.github.io/Logging_2085/klagomålsmail/A 44578-2023 FSC-klagomål mail.docx", "A 44578-2023")</f>
        <v/>
      </c>
      <c r="AC103">
        <f>HYPERLINK("https://klasma.github.io/Logging_2085/tillsyn/A 44578-2023 tillsynsbegäran.docx", "A 44578-2023")</f>
        <v/>
      </c>
      <c r="AD103">
        <f>HYPERLINK("https://klasma.github.io/Logging_2085/tillsynsmail/A 44578-2023 tillsynsbegäran mail.docx", "A 44578-2023")</f>
        <v/>
      </c>
    </row>
    <row r="104" ht="15" customHeight="1">
      <c r="A104" t="inlineStr">
        <is>
          <t>A 6579-2023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44960</v>
      </c>
      <c r="E104" s="1" t="n">
        <v>46304</v>
      </c>
      <c r="F104" t="inlineStr">
        <is>
          <t>DALARNAS LÄN</t>
        </is>
      </c>
      <c r="G104" t="inlineStr">
        <is>
          <t>LUDVIKA</t>
        </is>
      </c>
      <c r="I104" t="n">
        <v>3.4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Blomkålssvamp</t>
        </is>
      </c>
      <c r="W104">
        <f>HYPERLINK("https://klasma.github.io/Logging_2085/artfynd/A 6579-2023 artfynd.xlsx", "A 6579-2023")</f>
        <v/>
      </c>
      <c r="X104">
        <f>HYPERLINK("https://klasma.github.io/Logging_2085/kartor/A 6579-2023 karta.png", "A 6579-2023")</f>
        <v/>
      </c>
      <c r="Y104">
        <f>HYPERLINK("https://klasma.github.io/Logging_2085/kartor_geotiff/A 6579-2023 georefererad karta.tif", "A 6579-2023")</f>
        <v/>
      </c>
      <c r="AA104">
        <f>HYPERLINK("https://klasma.github.io/Logging_2085/klagomål/A 6579-2023 FSC-klagomål.docx", "A 6579-2023")</f>
        <v/>
      </c>
      <c r="AB104">
        <f>HYPERLINK("https://klasma.github.io/Logging_2085/klagomålsmail/A 6579-2023 FSC-klagomål mail.docx", "A 6579-2023")</f>
        <v/>
      </c>
      <c r="AC104">
        <f>HYPERLINK("https://klasma.github.io/Logging_2085/tillsyn/A 6579-2023 tillsynsbegäran.docx", "A 6579-2023")</f>
        <v/>
      </c>
      <c r="AD104">
        <f>HYPERLINK("https://klasma.github.io/Logging_2085/tillsynsmail/A 6579-2023 tillsynsbegäran mail.docx", "A 6579-2023")</f>
        <v/>
      </c>
    </row>
    <row r="105" ht="15" customHeight="1">
      <c r="A105" t="inlineStr">
        <is>
          <t>A 55550-2022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46304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Ögonpyrola</t>
        </is>
      </c>
      <c r="W105">
        <f>HYPERLINK("https://klasma.github.io/Logging_2085/artfynd/A 55550-2022 artfynd.xlsx", "A 55550-2022")</f>
        <v/>
      </c>
      <c r="X105">
        <f>HYPERLINK("https://klasma.github.io/Logging_2085/kartor/A 55550-2022 karta.png", "A 55550-2022")</f>
        <v/>
      </c>
      <c r="Y105">
        <f>HYPERLINK("https://klasma.github.io/Logging_2085/kartor_geotiff/A 55550-2022 georefererad karta.tif", "A 55550-2022")</f>
        <v/>
      </c>
      <c r="AA105">
        <f>HYPERLINK("https://klasma.github.io/Logging_2085/klagomål/A 55550-2022 FSC-klagomål.docx", "A 55550-2022")</f>
        <v/>
      </c>
      <c r="AB105">
        <f>HYPERLINK("https://klasma.github.io/Logging_2085/klagomålsmail/A 55550-2022 FSC-klagomål mail.docx", "A 55550-2022")</f>
        <v/>
      </c>
      <c r="AC105">
        <f>HYPERLINK("https://klasma.github.io/Logging_2085/tillsyn/A 55550-2022 tillsynsbegäran.docx", "A 55550-2022")</f>
        <v/>
      </c>
      <c r="AD105">
        <f>HYPERLINK("https://klasma.github.io/Logging_2085/tillsynsmail/A 55550-2022 tillsynsbegäran mail.docx", "A 55550-2022")</f>
        <v/>
      </c>
    </row>
    <row r="106" ht="15" customHeight="1">
      <c r="A106" t="inlineStr">
        <is>
          <t>A 1047-2023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46304</v>
      </c>
      <c r="F106" t="inlineStr">
        <is>
          <t>DALARNAS LÄN</t>
        </is>
      </c>
      <c r="G106" t="inlineStr">
        <is>
          <t>LUDVIKA</t>
        </is>
      </c>
      <c r="H106" t="inlineStr">
        <is>
          <t>Kommuner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Ullticka</t>
        </is>
      </c>
      <c r="W106">
        <f>HYPERLINK("https://klasma.github.io/Logging_2085/artfynd/A 1047-2023 artfynd.xlsx", "A 1047-2023")</f>
        <v/>
      </c>
      <c r="X106">
        <f>HYPERLINK("https://klasma.github.io/Logging_2085/kartor/A 1047-2023 karta.png", "A 1047-2023")</f>
        <v/>
      </c>
      <c r="Y106">
        <f>HYPERLINK("https://klasma.github.io/Logging_2085/kartor_geotiff/A 1047-2023 georefererad karta.tif", "A 1047-2023")</f>
        <v/>
      </c>
      <c r="AA106">
        <f>HYPERLINK("https://klasma.github.io/Logging_2085/klagomål/A 1047-2023 FSC-klagomål.docx", "A 1047-2023")</f>
        <v/>
      </c>
      <c r="AB106">
        <f>HYPERLINK("https://klasma.github.io/Logging_2085/klagomålsmail/A 1047-2023 FSC-klagomål mail.docx", "A 1047-2023")</f>
        <v/>
      </c>
      <c r="AC106">
        <f>HYPERLINK("https://klasma.github.io/Logging_2085/tillsyn/A 1047-2023 tillsynsbegäran.docx", "A 1047-2023")</f>
        <v/>
      </c>
      <c r="AD106">
        <f>HYPERLINK("https://klasma.github.io/Logging_2085/tillsynsmail/A 1047-2023 tillsynsbegäran mail.docx", "A 1047-2023")</f>
        <v/>
      </c>
    </row>
    <row r="107" ht="15" customHeight="1">
      <c r="A107" t="inlineStr">
        <is>
          <t>A 29733-2025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46304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10.4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Stuplav</t>
        </is>
      </c>
      <c r="W107">
        <f>HYPERLINK("https://klasma.github.io/Logging_2085/artfynd/A 29733-2025 artfynd.xlsx", "A 29733-2025")</f>
        <v/>
      </c>
      <c r="X107">
        <f>HYPERLINK("https://klasma.github.io/Logging_2085/kartor/A 29733-2025 karta.png", "A 29733-2025")</f>
        <v/>
      </c>
      <c r="Y107">
        <f>HYPERLINK("https://klasma.github.io/Logging_2085/kartor_geotiff/A 29733-2025 georefererad karta.tif", "A 29733-2025")</f>
        <v/>
      </c>
      <c r="AA107">
        <f>HYPERLINK("https://klasma.github.io/Logging_2085/klagomål/A 29733-2025 FSC-klagomål.docx", "A 29733-2025")</f>
        <v/>
      </c>
      <c r="AB107">
        <f>HYPERLINK("https://klasma.github.io/Logging_2085/klagomålsmail/A 29733-2025 FSC-klagomål mail.docx", "A 29733-2025")</f>
        <v/>
      </c>
      <c r="AC107">
        <f>HYPERLINK("https://klasma.github.io/Logging_2085/tillsyn/A 29733-2025 tillsynsbegäran.docx", "A 29733-2025")</f>
        <v/>
      </c>
      <c r="AD107">
        <f>HYPERLINK("https://klasma.github.io/Logging_2085/tillsynsmail/A 29733-2025 tillsynsbegäran mail.docx", "A 29733-2025")</f>
        <v/>
      </c>
    </row>
    <row r="108" ht="15" customHeight="1">
      <c r="A108" t="inlineStr">
        <is>
          <t>A 3687-2024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46304</v>
      </c>
      <c r="F108" t="inlineStr">
        <is>
          <t>DALARNAS LÄN</t>
        </is>
      </c>
      <c r="G108" t="inlineStr">
        <is>
          <t>LUDVIKA</t>
        </is>
      </c>
      <c r="I108" t="n">
        <v>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Nordfladdermus</t>
        </is>
      </c>
      <c r="W108">
        <f>HYPERLINK("https://klasma.github.io/Logging_2085/artfynd/A 3687-2024 artfynd.xlsx", "A 3687-2024")</f>
        <v/>
      </c>
      <c r="X108">
        <f>HYPERLINK("https://klasma.github.io/Logging_2085/kartor/A 3687-2024 karta.png", "A 3687-2024")</f>
        <v/>
      </c>
      <c r="Y108">
        <f>HYPERLINK("https://klasma.github.io/Logging_2085/kartor_geotiff/A 3687-2024 georefererad karta.tif", "A 3687-2024")</f>
        <v/>
      </c>
      <c r="AA108">
        <f>HYPERLINK("https://klasma.github.io/Logging_2085/klagomål/A 3687-2024 FSC-klagomål.docx", "A 3687-2024")</f>
        <v/>
      </c>
      <c r="AB108">
        <f>HYPERLINK("https://klasma.github.io/Logging_2085/klagomålsmail/A 3687-2024 FSC-klagomål mail.docx", "A 3687-2024")</f>
        <v/>
      </c>
      <c r="AC108">
        <f>HYPERLINK("https://klasma.github.io/Logging_2085/tillsyn/A 3687-2024 tillsynsbegäran.docx", "A 3687-2024")</f>
        <v/>
      </c>
      <c r="AD108">
        <f>HYPERLINK("https://klasma.github.io/Logging_2085/tillsynsmail/A 3687-2024 tillsynsbegäran mail.docx", "A 3687-2024")</f>
        <v/>
      </c>
    </row>
    <row r="109" ht="15" customHeight="1">
      <c r="A109" t="inlineStr">
        <is>
          <t>A 33560-2023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45131</v>
      </c>
      <c r="E109" s="1" t="n">
        <v>46304</v>
      </c>
      <c r="F109" t="inlineStr">
        <is>
          <t>DALARNAS LÄN</t>
        </is>
      </c>
      <c r="G109" t="inlineStr">
        <is>
          <t>LUDVIKA</t>
        </is>
      </c>
      <c r="I109" t="n">
        <v>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vattensalamander</t>
        </is>
      </c>
      <c r="W109">
        <f>HYPERLINK("https://klasma.github.io/Logging_2085/artfynd/A 33560-2023 artfynd.xlsx", "A 33560-2023")</f>
        <v/>
      </c>
      <c r="X109">
        <f>HYPERLINK("https://klasma.github.io/Logging_2085/kartor/A 33560-2023 karta.png", "A 33560-2023")</f>
        <v/>
      </c>
      <c r="Y109">
        <f>HYPERLINK("https://klasma.github.io/Logging_2085/kartor_geotiff/A 33560-2023 georefererad karta.tif", "A 33560-2023")</f>
        <v/>
      </c>
      <c r="AA109">
        <f>HYPERLINK("https://klasma.github.io/Logging_2085/klagomål/A 33560-2023 FSC-klagomål.docx", "A 33560-2023")</f>
        <v/>
      </c>
      <c r="AB109">
        <f>HYPERLINK("https://klasma.github.io/Logging_2085/klagomålsmail/A 33560-2023 FSC-klagomål mail.docx", "A 33560-2023")</f>
        <v/>
      </c>
      <c r="AC109">
        <f>HYPERLINK("https://klasma.github.io/Logging_2085/tillsyn/A 33560-2023 tillsynsbegäran.docx", "A 33560-2023")</f>
        <v/>
      </c>
      <c r="AD109">
        <f>HYPERLINK("https://klasma.github.io/Logging_2085/tillsynsmail/A 33560-2023 tillsynsbegäran mail.docx", "A 33560-2023")</f>
        <v/>
      </c>
    </row>
    <row r="110" ht="15" customHeight="1">
      <c r="A110" t="inlineStr">
        <is>
          <t>A 74401-2021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44560</v>
      </c>
      <c r="E110" s="1" t="n">
        <v>46304</v>
      </c>
      <c r="F110" t="inlineStr">
        <is>
          <t>DALARNAS LÄN</t>
        </is>
      </c>
      <c r="G110" t="inlineStr">
        <is>
          <t>LUDVIKA</t>
        </is>
      </c>
      <c r="H110" t="inlineStr">
        <is>
          <t>Kommuner</t>
        </is>
      </c>
      <c r="I110" t="n">
        <v>0.6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Gullgröppa</t>
        </is>
      </c>
      <c r="W110">
        <f>HYPERLINK("https://klasma.github.io/Logging_2085/artfynd/A 74401-2021 artfynd.xlsx", "A 74401-2021")</f>
        <v/>
      </c>
      <c r="X110">
        <f>HYPERLINK("https://klasma.github.io/Logging_2085/kartor/A 74401-2021 karta.png", "A 74401-2021")</f>
        <v/>
      </c>
      <c r="Y110">
        <f>HYPERLINK("https://klasma.github.io/Logging_2085/kartor_geotiff/A 74401-2021 georefererad karta.tif", "A 74401-2021")</f>
        <v/>
      </c>
      <c r="AA110">
        <f>HYPERLINK("https://klasma.github.io/Logging_2085/klagomål/A 74401-2021 FSC-klagomål.docx", "A 74401-2021")</f>
        <v/>
      </c>
      <c r="AB110">
        <f>HYPERLINK("https://klasma.github.io/Logging_2085/klagomålsmail/A 74401-2021 FSC-klagomål mail.docx", "A 74401-2021")</f>
        <v/>
      </c>
      <c r="AC110">
        <f>HYPERLINK("https://klasma.github.io/Logging_2085/tillsyn/A 74401-2021 tillsynsbegäran.docx", "A 74401-2021")</f>
        <v/>
      </c>
      <c r="AD110">
        <f>HYPERLINK("https://klasma.github.io/Logging_2085/tillsynsmail/A 74401-2021 tillsynsbegäran mail.docx", "A 74401-2021")</f>
        <v/>
      </c>
    </row>
    <row r="111" ht="15" customHeight="1">
      <c r="A111" t="inlineStr">
        <is>
          <t>A 26850-2023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46304</v>
      </c>
      <c r="F111" t="inlineStr">
        <is>
          <t>DALARNAS LÄN</t>
        </is>
      </c>
      <c r="G111" t="inlineStr">
        <is>
          <t>LUDVIKA</t>
        </is>
      </c>
      <c r="H111" t="inlineStr">
        <is>
          <t>Naturvårdsverket</t>
        </is>
      </c>
      <c r="I111" t="n">
        <v>2.7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HYPERLINK("https://klasma.github.io/Logging_2085/artfynd/A 26850-2023 artfynd.xlsx", "A 26850-2023")</f>
        <v/>
      </c>
      <c r="X111">
        <f>HYPERLINK("https://klasma.github.io/Logging_2085/kartor/A 26850-2023 karta.png", "A 26850-2023")</f>
        <v/>
      </c>
      <c r="Y111">
        <f>HYPERLINK("https://klasma.github.io/Logging_2085/kartor_geotiff/A 26850-2023 georefererad karta.tif", "A 26850-2023")</f>
        <v/>
      </c>
      <c r="AA111">
        <f>HYPERLINK("https://klasma.github.io/Logging_2085/klagomål/A 26850-2023 FSC-klagomål.docx", "A 26850-2023")</f>
        <v/>
      </c>
      <c r="AB111">
        <f>HYPERLINK("https://klasma.github.io/Logging_2085/klagomålsmail/A 26850-2023 FSC-klagomål mail.docx", "A 26850-2023")</f>
        <v/>
      </c>
      <c r="AC111">
        <f>HYPERLINK("https://klasma.github.io/Logging_2085/tillsyn/A 26850-2023 tillsynsbegäran.docx", "A 26850-2023")</f>
        <v/>
      </c>
      <c r="AD111">
        <f>HYPERLINK("https://klasma.github.io/Logging_2085/tillsynsmail/A 26850-2023 tillsynsbegäran mail.docx", "A 26850-2023")</f>
        <v/>
      </c>
    </row>
    <row r="112" ht="15" customHeight="1">
      <c r="A112" t="inlineStr">
        <is>
          <t>A 45858-2025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46304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1.3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Granbarkgnagare</t>
        </is>
      </c>
      <c r="W112">
        <f>HYPERLINK("https://klasma.github.io/Logging_2085/artfynd/A 45858-2025 artfynd.xlsx", "A 45858-2025")</f>
        <v/>
      </c>
      <c r="X112">
        <f>HYPERLINK("https://klasma.github.io/Logging_2085/kartor/A 45858-2025 karta.png", "A 45858-2025")</f>
        <v/>
      </c>
      <c r="Y112">
        <f>HYPERLINK("https://klasma.github.io/Logging_2085/kartor_geotiff/A 45858-2025 georefererad karta.tif", "A 45858-2025")</f>
        <v/>
      </c>
      <c r="AA112">
        <f>HYPERLINK("https://klasma.github.io/Logging_2085/klagomål/A 45858-2025 FSC-klagomål.docx", "A 45858-2025")</f>
        <v/>
      </c>
      <c r="AB112">
        <f>HYPERLINK("https://klasma.github.io/Logging_2085/klagomålsmail/A 45858-2025 FSC-klagomål mail.docx", "A 45858-2025")</f>
        <v/>
      </c>
      <c r="AC112">
        <f>HYPERLINK("https://klasma.github.io/Logging_2085/tillsyn/A 45858-2025 tillsynsbegäran.docx", "A 45858-2025")</f>
        <v/>
      </c>
      <c r="AD112">
        <f>HYPERLINK("https://klasma.github.io/Logging_2085/tillsynsmail/A 45858-2025 tillsynsbegäran mail.docx", "A 45858-2025")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46304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Garnlav</t>
        </is>
      </c>
      <c r="W113">
        <f>HYPERLINK("https://klasma.github.io/Logging_2085/artfynd/A 25588-2023 artfynd.xlsx", "A 25588-2023")</f>
        <v/>
      </c>
      <c r="X113">
        <f>HYPERLINK("https://klasma.github.io/Logging_2085/kartor/A 25588-2023 karta.png", "A 25588-2023")</f>
        <v/>
      </c>
      <c r="Y113">
        <f>HYPERLINK("https://klasma.github.io/Logging_2085/kartor_geotiff/A 25588-2023 georefererad karta.tif", "A 25588-2023")</f>
        <v/>
      </c>
      <c r="AA113">
        <f>HYPERLINK("https://klasma.github.io/Logging_2085/klagomål/A 25588-2023 FSC-klagomål.docx", "A 25588-2023")</f>
        <v/>
      </c>
      <c r="AB113">
        <f>HYPERLINK("https://klasma.github.io/Logging_2085/klagomålsmail/A 25588-2023 FSC-klagomål mail.docx", "A 25588-2023")</f>
        <v/>
      </c>
      <c r="AC113">
        <f>HYPERLINK("https://klasma.github.io/Logging_2085/tillsyn/A 25588-2023 tillsynsbegäran.docx", "A 25588-2023")</f>
        <v/>
      </c>
      <c r="AD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36050-2025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45866</v>
      </c>
      <c r="E114" s="1" t="n">
        <v>46304</v>
      </c>
      <c r="F114" t="inlineStr">
        <is>
          <t>DALARNAS LÄN</t>
        </is>
      </c>
      <c r="G114" t="inlineStr">
        <is>
          <t>LUDVIKA</t>
        </is>
      </c>
      <c r="I114" t="n">
        <v>1.4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HYPERLINK("https://klasma.github.io/Logging_2085/artfynd/A 36050-2025 artfynd.xlsx", "A 36050-2025")</f>
        <v/>
      </c>
      <c r="X114">
        <f>HYPERLINK("https://klasma.github.io/Logging_2085/kartor/A 36050-2025 karta.png", "A 36050-2025")</f>
        <v/>
      </c>
      <c r="Y114">
        <f>HYPERLINK("https://klasma.github.io/Logging_2085/kartor_geotiff/A 36050-2025 georefererad karta.tif", "A 36050-2025")</f>
        <v/>
      </c>
      <c r="AA114">
        <f>HYPERLINK("https://klasma.github.io/Logging_2085/klagomål/A 36050-2025 FSC-klagomål.docx", "A 36050-2025")</f>
        <v/>
      </c>
      <c r="AB114">
        <f>HYPERLINK("https://klasma.github.io/Logging_2085/klagomålsmail/A 36050-2025 FSC-klagomål mail.docx", "A 36050-2025")</f>
        <v/>
      </c>
      <c r="AC114">
        <f>HYPERLINK("https://klasma.github.io/Logging_2085/tillsyn/A 36050-2025 tillsynsbegäran.docx", "A 36050-2025")</f>
        <v/>
      </c>
      <c r="AD114">
        <f>HYPERLINK("https://klasma.github.io/Logging_2085/tillsynsmail/A 36050-2025 tillsynsbegäran mail.docx", "A 36050-2025")</f>
        <v/>
      </c>
      <c r="AE114">
        <f>HYPERLINK("https://klasma.github.io/Logging_2085/fåglar/A 36050-2025 prioriterade fågelarter.docx", "A 36050-2025")</f>
        <v/>
      </c>
    </row>
    <row r="115" ht="15" customHeight="1">
      <c r="A115" t="inlineStr">
        <is>
          <t>A 59873-2025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46304</v>
      </c>
      <c r="F115" t="inlineStr">
        <is>
          <t>DALARNAS LÄN</t>
        </is>
      </c>
      <c r="G115" t="inlineStr">
        <is>
          <t>LUDVIKA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Lateritticka</t>
        </is>
      </c>
      <c r="W115">
        <f>HYPERLINK("https://klasma.github.io/Logging_2085/artfynd/A 59873-2025 artfynd.xlsx", "A 59873-2025")</f>
        <v/>
      </c>
      <c r="X115">
        <f>HYPERLINK("https://klasma.github.io/Logging_2085/kartor/A 59873-2025 karta.png", "A 59873-2025")</f>
        <v/>
      </c>
      <c r="Y115">
        <f>HYPERLINK("https://klasma.github.io/Logging_2085/kartor_geotiff/A 59873-2025 georefererad karta.tif", "A 59873-2025")</f>
        <v/>
      </c>
      <c r="AA115">
        <f>HYPERLINK("https://klasma.github.io/Logging_2085/klagomål/A 59873-2025 FSC-klagomål.docx", "A 59873-2025")</f>
        <v/>
      </c>
      <c r="AB115">
        <f>HYPERLINK("https://klasma.github.io/Logging_2085/klagomålsmail/A 59873-2025 FSC-klagomål mail.docx", "A 59873-2025")</f>
        <v/>
      </c>
      <c r="AC115">
        <f>HYPERLINK("https://klasma.github.io/Logging_2085/tillsyn/A 59873-2025 tillsynsbegäran.docx", "A 59873-2025")</f>
        <v/>
      </c>
      <c r="AD115">
        <f>HYPERLINK("https://klasma.github.io/Logging_2085/tillsynsmail/A 59873-2025 tillsynsbegäran mail.docx", "A 59873-2025")</f>
        <v/>
      </c>
    </row>
    <row r="116" ht="15" customHeight="1">
      <c r="A116" t="inlineStr">
        <is>
          <t>A 62676-2025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46304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HYPERLINK("https://klasma.github.io/Logging_2085/artfynd/A 62676-2025 artfynd.xlsx", "A 62676-2025")</f>
        <v/>
      </c>
      <c r="X116">
        <f>HYPERLINK("https://klasma.github.io/Logging_2085/kartor/A 62676-2025 karta.png", "A 62676-2025")</f>
        <v/>
      </c>
      <c r="Y116">
        <f>HYPERLINK("https://klasma.github.io/Logging_2085/kartor_geotiff/A 62676-2025 georefererad karta.tif", "A 62676-2025")</f>
        <v/>
      </c>
      <c r="AA116">
        <f>HYPERLINK("https://klasma.github.io/Logging_2085/klagomål/A 62676-2025 FSC-klagomål.docx", "A 62676-2025")</f>
        <v/>
      </c>
      <c r="AB116">
        <f>HYPERLINK("https://klasma.github.io/Logging_2085/klagomålsmail/A 62676-2025 FSC-klagomål mail.docx", "A 62676-2025")</f>
        <v/>
      </c>
      <c r="AC116">
        <f>HYPERLINK("https://klasma.github.io/Logging_2085/tillsyn/A 62676-2025 tillsynsbegäran.docx", "A 62676-2025")</f>
        <v/>
      </c>
      <c r="AD116">
        <f>HYPERLINK("https://klasma.github.io/Logging_2085/tillsynsmail/A 62676-2025 tillsynsbegäran mail.docx", "A 62676-2025")</f>
        <v/>
      </c>
    </row>
    <row r="117" ht="15" customHeight="1">
      <c r="A117" t="inlineStr">
        <is>
          <t>A 17987-2025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46304</v>
      </c>
      <c r="F117" t="inlineStr">
        <is>
          <t>DALARNAS LÄN</t>
        </is>
      </c>
      <c r="G117" t="inlineStr">
        <is>
          <t>LUDVIKA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HYPERLINK("https://klasma.github.io/Logging_2085/artfynd/A 17987-2025 artfynd.xlsx", "A 17987-2025")</f>
        <v/>
      </c>
      <c r="X117">
        <f>HYPERLINK("https://klasma.github.io/Logging_2085/kartor/A 17987-2025 karta.png", "A 17987-2025")</f>
        <v/>
      </c>
      <c r="Y117">
        <f>HYPERLINK("https://klasma.github.io/Logging_2085/kartor_geotiff/A 17987-2025 georefererad karta.tif", "A 17987-2025")</f>
        <v/>
      </c>
      <c r="AA117">
        <f>HYPERLINK("https://klasma.github.io/Logging_2085/klagomål/A 17987-2025 FSC-klagomål.docx", "A 17987-2025")</f>
        <v/>
      </c>
      <c r="AB117">
        <f>HYPERLINK("https://klasma.github.io/Logging_2085/klagomålsmail/A 17987-2025 FSC-klagomål mail.docx", "A 17987-2025")</f>
        <v/>
      </c>
      <c r="AC117">
        <f>HYPERLINK("https://klasma.github.io/Logging_2085/tillsyn/A 17987-2025 tillsynsbegäran.docx", "A 17987-2025")</f>
        <v/>
      </c>
      <c r="AD117">
        <f>HYPERLINK("https://klasma.github.io/Logging_2085/tillsynsmail/A 17987-2025 tillsynsbegäran mail.docx", "A 17987-2025")</f>
        <v/>
      </c>
      <c r="AE117">
        <f>HYPERLINK("https://klasma.github.io/Logging_2085/fåglar/A 17987-2025 prioriterade fågelarter.docx", "A 17987-2025")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46304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59947-2025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46304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Tjäder</t>
        </is>
      </c>
      <c r="W119">
        <f>HYPERLINK("https://klasma.github.io/Logging_2085/artfynd/A 59947-2025 artfynd.xlsx", "A 59947-2025")</f>
        <v/>
      </c>
      <c r="X119">
        <f>HYPERLINK("https://klasma.github.io/Logging_2085/kartor/A 59947-2025 karta.png", "A 59947-2025")</f>
        <v/>
      </c>
      <c r="Y119">
        <f>HYPERLINK("https://klasma.github.io/Logging_2085/kartor_geotiff/A 59947-2025 georefererad karta.tif", "A 59947-2025")</f>
        <v/>
      </c>
      <c r="AA119">
        <f>HYPERLINK("https://klasma.github.io/Logging_2085/klagomål/A 59947-2025 FSC-klagomål.docx", "A 59947-2025")</f>
        <v/>
      </c>
      <c r="AB119">
        <f>HYPERLINK("https://klasma.github.io/Logging_2085/klagomålsmail/A 59947-2025 FSC-klagomål mail.docx", "A 59947-2025")</f>
        <v/>
      </c>
      <c r="AC119">
        <f>HYPERLINK("https://klasma.github.io/Logging_2085/tillsyn/A 59947-2025 tillsynsbegäran.docx", "A 59947-2025")</f>
        <v/>
      </c>
      <c r="AD119">
        <f>HYPERLINK("https://klasma.github.io/Logging_2085/tillsynsmail/A 59947-2025 tillsynsbegäran mail.docx", "A 59947-2025")</f>
        <v/>
      </c>
      <c r="AE119">
        <f>HYPERLINK("https://klasma.github.io/Logging_2085/fåglar/A 59947-2025 prioriterade fågelarter.docx", "A 59947-2025")</f>
        <v/>
      </c>
    </row>
    <row r="120" ht="15" customHeight="1">
      <c r="A120" t="inlineStr">
        <is>
          <t>A 400-2023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46304</v>
      </c>
      <c r="F120" t="inlineStr">
        <is>
          <t>DALARNAS LÄN</t>
        </is>
      </c>
      <c r="G120" t="inlineStr">
        <is>
          <t>LUDVIKA</t>
        </is>
      </c>
      <c r="I120" t="n">
        <v>3.6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HYPERLINK("https://klasma.github.io/Logging_2085/artfynd/A 400-2023 artfynd.xlsx", "A 400-2023")</f>
        <v/>
      </c>
      <c r="X120">
        <f>HYPERLINK("https://klasma.github.io/Logging_2085/kartor/A 400-2023 karta.png", "A 400-2023")</f>
        <v/>
      </c>
      <c r="Y120">
        <f>HYPERLINK("https://klasma.github.io/Logging_2085/kartor_geotiff/A 400-2023 georefererad karta.tif", "A 400-2023")</f>
        <v/>
      </c>
      <c r="AA120">
        <f>HYPERLINK("https://klasma.github.io/Logging_2085/klagomål/A 400-2023 FSC-klagomål.docx", "A 400-2023")</f>
        <v/>
      </c>
      <c r="AB120">
        <f>HYPERLINK("https://klasma.github.io/Logging_2085/klagomålsmail/A 400-2023 FSC-klagomål mail.docx", "A 400-2023")</f>
        <v/>
      </c>
      <c r="AC120">
        <f>HYPERLINK("https://klasma.github.io/Logging_2085/tillsyn/A 400-2023 tillsynsbegäran.docx", "A 400-2023")</f>
        <v/>
      </c>
      <c r="AD120">
        <f>HYPERLINK("https://klasma.github.io/Logging_2085/tillsynsmail/A 400-2023 tillsynsbegäran mail.docx", "A 400-2023")</f>
        <v/>
      </c>
    </row>
    <row r="121" ht="15" customHeight="1">
      <c r="A121" t="inlineStr">
        <is>
          <t>A 31478-2023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45114</v>
      </c>
      <c r="E121" s="1" t="n">
        <v>46304</v>
      </c>
      <c r="F121" t="inlineStr">
        <is>
          <t>DALARNAS LÄN</t>
        </is>
      </c>
      <c r="G121" t="inlineStr">
        <is>
          <t>LUDVIKA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HYPERLINK("https://klasma.github.io/Logging_2085/artfynd/A 31478-2023 artfynd.xlsx", "A 31478-2023")</f>
        <v/>
      </c>
      <c r="X121">
        <f>HYPERLINK("https://klasma.github.io/Logging_2085/kartor/A 31478-2023 karta.png", "A 31478-2023")</f>
        <v/>
      </c>
      <c r="Y121">
        <f>HYPERLINK("https://klasma.github.io/Logging_2085/kartor_geotiff/A 31478-2023 georefererad karta.tif", "A 31478-2023")</f>
        <v/>
      </c>
      <c r="AA121">
        <f>HYPERLINK("https://klasma.github.io/Logging_2085/klagomål/A 31478-2023 FSC-klagomål.docx", "A 31478-2023")</f>
        <v/>
      </c>
      <c r="AB121">
        <f>HYPERLINK("https://klasma.github.io/Logging_2085/klagomålsmail/A 31478-2023 FSC-klagomål mail.docx", "A 31478-2023")</f>
        <v/>
      </c>
      <c r="AC121">
        <f>HYPERLINK("https://klasma.github.io/Logging_2085/tillsyn/A 31478-2023 tillsynsbegäran.docx", "A 31478-2023")</f>
        <v/>
      </c>
      <c r="AD121">
        <f>HYPERLINK("https://klasma.github.io/Logging_2085/tillsynsmail/A 31478-2023 tillsynsbegäran mail.docx", "A 31478-2023")</f>
        <v/>
      </c>
    </row>
    <row r="122" ht="15" customHeight="1">
      <c r="A122" t="inlineStr">
        <is>
          <t>A 25448-2024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45463</v>
      </c>
      <c r="E122" s="1" t="n">
        <v>46304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24.7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0</v>
      </c>
      <c r="V122" s="2" t="inlineStr">
        <is>
          <t>Blåsippa</t>
        </is>
      </c>
      <c r="W122">
        <f>HYPERLINK("https://klasma.github.io/Logging_2085/artfynd/A 25448-2024 artfynd.xlsx", "A 25448-2024")</f>
        <v/>
      </c>
      <c r="X122">
        <f>HYPERLINK("https://klasma.github.io/Logging_2085/kartor/A 25448-2024 karta.png", "A 25448-2024")</f>
        <v/>
      </c>
      <c r="Y122">
        <f>HYPERLINK("https://klasma.github.io/Logging_2085/kartor_geotiff/A 25448-2024 georefererad karta.tif", "A 25448-2024")</f>
        <v/>
      </c>
      <c r="AA122">
        <f>HYPERLINK("https://klasma.github.io/Logging_2085/klagomål/A 25448-2024 FSC-klagomål.docx", "A 25448-2024")</f>
        <v/>
      </c>
      <c r="AB122">
        <f>HYPERLINK("https://klasma.github.io/Logging_2085/klagomålsmail/A 25448-2024 FSC-klagomål mail.docx", "A 25448-2024")</f>
        <v/>
      </c>
      <c r="AC122">
        <f>HYPERLINK("https://klasma.github.io/Logging_2085/tillsyn/A 25448-2024 tillsynsbegäran.docx", "A 25448-2024")</f>
        <v/>
      </c>
      <c r="AD122">
        <f>HYPERLINK("https://klasma.github.io/Logging_2085/tillsynsmail/A 25448-2024 tillsynsbegäran mail.docx", "A 25448-2024")</f>
        <v/>
      </c>
    </row>
    <row r="123" ht="15" customHeight="1">
      <c r="A123" t="inlineStr">
        <is>
          <t>A 21880-2026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46304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3.2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21880-2026 artfynd.xlsx", "A 21880-2026")</f>
        <v/>
      </c>
      <c r="X123">
        <f>HYPERLINK("https://klasma.github.io/Logging_2085/kartor/A 21880-2026 karta.png", "A 21880-2026")</f>
        <v/>
      </c>
      <c r="Y123">
        <f>HYPERLINK("https://klasma.github.io/Logging_2085/kartor_geotiff/A 21880-2026 georefererad karta.tif", "A 21880-2026")</f>
        <v/>
      </c>
      <c r="AA123">
        <f>HYPERLINK("https://klasma.github.io/Logging_2085/klagomål/A 21880-2026 FSC-klagomål.docx", "A 21880-2026")</f>
        <v/>
      </c>
      <c r="AB123">
        <f>HYPERLINK("https://klasma.github.io/Logging_2085/klagomålsmail/A 21880-2026 FSC-klagomål mail.docx", "A 21880-2026")</f>
        <v/>
      </c>
      <c r="AC123">
        <f>HYPERLINK("https://klasma.github.io/Logging_2085/tillsyn/A 21880-2026 tillsynsbegäran.docx", "A 21880-2026")</f>
        <v/>
      </c>
      <c r="AD123">
        <f>HYPERLINK("https://klasma.github.io/Logging_2085/tillsynsmail/A 21880-2026 tillsynsbegäran mail.docx", "A 21880-2026")</f>
        <v/>
      </c>
      <c r="AE123">
        <f>HYPERLINK("https://klasma.github.io/Logging_2085/fåglar/A 21880-2026 prioriterade fågelarter.docx", "A 21880-2026")</f>
        <v/>
      </c>
    </row>
    <row r="124" ht="15" customHeight="1">
      <c r="A124" t="inlineStr">
        <is>
          <t>A 23720-2026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46163</v>
      </c>
      <c r="E124" s="1" t="n">
        <v>46304</v>
      </c>
      <c r="F124" t="inlineStr">
        <is>
          <t>DALARNAS LÄN</t>
        </is>
      </c>
      <c r="G124" t="inlineStr">
        <is>
          <t>LUDVIKA</t>
        </is>
      </c>
      <c r="I124" t="n">
        <v>3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Tretåig hackspett</t>
        </is>
      </c>
      <c r="W124">
        <f>HYPERLINK("https://klasma.github.io/Logging_2085/artfynd/A 23720-2026 artfynd.xlsx", "A 23720-2026")</f>
        <v/>
      </c>
      <c r="X124">
        <f>HYPERLINK("https://klasma.github.io/Logging_2085/kartor/A 23720-2026 karta.png", "A 23720-2026")</f>
        <v/>
      </c>
      <c r="Y124">
        <f>HYPERLINK("https://klasma.github.io/Logging_2085/kartor_geotiff/A 23720-2026 georefererad karta.tif", "A 23720-2026")</f>
        <v/>
      </c>
      <c r="AA124">
        <f>HYPERLINK("https://klasma.github.io/Logging_2085/klagomål/A 23720-2026 FSC-klagomål.docx", "A 23720-2026")</f>
        <v/>
      </c>
      <c r="AB124">
        <f>HYPERLINK("https://klasma.github.io/Logging_2085/klagomålsmail/A 23720-2026 FSC-klagomål mail.docx", "A 23720-2026")</f>
        <v/>
      </c>
      <c r="AC124">
        <f>HYPERLINK("https://klasma.github.io/Logging_2085/tillsyn/A 23720-2026 tillsynsbegäran.docx", "A 23720-2026")</f>
        <v/>
      </c>
      <c r="AD124">
        <f>HYPERLINK("https://klasma.github.io/Logging_2085/tillsynsmail/A 23720-2026 tillsynsbegäran mail.docx", "A 23720-2026")</f>
        <v/>
      </c>
      <c r="AE124">
        <f>HYPERLINK("https://klasma.github.io/Logging_2085/fåglar/A 23720-2026 prioriterade fågelarter.docx", "A 23720-2026")</f>
        <v/>
      </c>
    </row>
    <row r="125" ht="15" customHeight="1">
      <c r="A125" t="inlineStr">
        <is>
          <t>A 23778-2026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46164</v>
      </c>
      <c r="E125" s="1" t="n">
        <v>46304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23778-2026 artfynd.xlsx", "A 23778-2026")</f>
        <v/>
      </c>
      <c r="X125">
        <f>HYPERLINK("https://klasma.github.io/Logging_2085/kartor/A 23778-2026 karta.png", "A 23778-2026")</f>
        <v/>
      </c>
      <c r="Y125">
        <f>HYPERLINK("https://klasma.github.io/Logging_2085/kartor_geotiff/A 23778-2026 georefererad karta.tif", "A 23778-2026")</f>
        <v/>
      </c>
      <c r="AA125">
        <f>HYPERLINK("https://klasma.github.io/Logging_2085/klagomål/A 23778-2026 FSC-klagomål.docx", "A 23778-2026")</f>
        <v/>
      </c>
      <c r="AB125">
        <f>HYPERLINK("https://klasma.github.io/Logging_2085/klagomålsmail/A 23778-2026 FSC-klagomål mail.docx", "A 23778-2026")</f>
        <v/>
      </c>
      <c r="AC125">
        <f>HYPERLINK("https://klasma.github.io/Logging_2085/tillsyn/A 23778-2026 tillsynsbegäran.docx", "A 23778-2026")</f>
        <v/>
      </c>
      <c r="AD125">
        <f>HYPERLINK("https://klasma.github.io/Logging_2085/tillsynsmail/A 23778-2026 tillsynsbegäran mail.docx", "A 23778-2026")</f>
        <v/>
      </c>
      <c r="AE125">
        <f>HYPERLINK("https://klasma.github.io/Logging_2085/fåglar/A 23778-2026 prioriterade fågelarter.docx", "A 23778-2026")</f>
        <v/>
      </c>
    </row>
    <row r="126" ht="15" customHeight="1">
      <c r="A126" t="inlineStr">
        <is>
          <t>A 12093-2023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46304</v>
      </c>
      <c r="F126" t="inlineStr">
        <is>
          <t>DALARNAS LÄN</t>
        </is>
      </c>
      <c r="G126" t="inlineStr">
        <is>
          <t>LUDVIKA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Bitter taggsvamp</t>
        </is>
      </c>
      <c r="W126">
        <f>HYPERLINK("https://klasma.github.io/Logging_2085/artfynd/A 12093-2023 artfynd.xlsx", "A 12093-2023")</f>
        <v/>
      </c>
      <c r="X126">
        <f>HYPERLINK("https://klasma.github.io/Logging_2085/kartor/A 12093-2023 karta.png", "A 12093-2023")</f>
        <v/>
      </c>
      <c r="Y126">
        <f>HYPERLINK("https://klasma.github.io/Logging_2085/kartor_geotiff/A 12093-2023 georefererad karta.tif", "A 12093-2023")</f>
        <v/>
      </c>
      <c r="AA126">
        <f>HYPERLINK("https://klasma.github.io/Logging_2085/klagomål/A 12093-2023 FSC-klagomål.docx", "A 12093-2023")</f>
        <v/>
      </c>
      <c r="AB126">
        <f>HYPERLINK("https://klasma.github.io/Logging_2085/klagomålsmail/A 12093-2023 FSC-klagomål mail.docx", "A 12093-2023")</f>
        <v/>
      </c>
      <c r="AC126">
        <f>HYPERLINK("https://klasma.github.io/Logging_2085/tillsyn/A 12093-2023 tillsynsbegäran.docx", "A 12093-2023")</f>
        <v/>
      </c>
      <c r="AD126">
        <f>HYPERLINK("https://klasma.github.io/Logging_2085/tillsynsmail/A 12093-2023 tillsynsbegäran mail.docx", "A 12093-2023")</f>
        <v/>
      </c>
    </row>
    <row r="127" ht="15" customHeight="1">
      <c r="A127" t="inlineStr">
        <is>
          <t>A 63005-2025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46304</v>
      </c>
      <c r="F127" t="inlineStr">
        <is>
          <t>DALARNAS LÄN</t>
        </is>
      </c>
      <c r="G127" t="inlineStr">
        <is>
          <t>LUDVIKA</t>
        </is>
      </c>
      <c r="I127" t="n">
        <v>4.4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63005-2025 artfynd.xlsx", "A 63005-2025")</f>
        <v/>
      </c>
      <c r="X127">
        <f>HYPERLINK("https://klasma.github.io/Logging_2085/kartor/A 63005-2025 karta.png", "A 63005-2025")</f>
        <v/>
      </c>
      <c r="Y127">
        <f>HYPERLINK("https://klasma.github.io/Logging_2085/kartor_geotiff/A 63005-2025 georefererad karta.tif", "A 63005-2025")</f>
        <v/>
      </c>
      <c r="AA127">
        <f>HYPERLINK("https://klasma.github.io/Logging_2085/klagomål/A 63005-2025 FSC-klagomål.docx", "A 63005-2025")</f>
        <v/>
      </c>
      <c r="AB127">
        <f>HYPERLINK("https://klasma.github.io/Logging_2085/klagomålsmail/A 63005-2025 FSC-klagomål mail.docx", "A 63005-2025")</f>
        <v/>
      </c>
      <c r="AC127">
        <f>HYPERLINK("https://klasma.github.io/Logging_2085/tillsyn/A 63005-2025 tillsynsbegäran.docx", "A 63005-2025")</f>
        <v/>
      </c>
      <c r="AD127">
        <f>HYPERLINK("https://klasma.github.io/Logging_2085/tillsynsmail/A 63005-2025 tillsynsbegäran mail.docx", "A 63005-2025")</f>
        <v/>
      </c>
      <c r="AE127">
        <f>HYPERLINK("https://klasma.github.io/Logging_2085/fåglar/A 63005-2025 prioriterade fågelarter.docx", "A 63005-2025")</f>
        <v/>
      </c>
    </row>
    <row r="128" ht="15" customHeight="1">
      <c r="A128" t="inlineStr">
        <is>
          <t>A 25159-2026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46175</v>
      </c>
      <c r="E128" s="1" t="n">
        <v>46304</v>
      </c>
      <c r="F128" t="inlineStr">
        <is>
          <t>DALARNAS LÄN</t>
        </is>
      </c>
      <c r="G128" t="inlineStr">
        <is>
          <t>LUDVIKA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HYPERLINK("https://klasma.github.io/Logging_2085/artfynd/A 25159-2026 artfynd.xlsx", "A 25159-2026")</f>
        <v/>
      </c>
      <c r="X128">
        <f>HYPERLINK("https://klasma.github.io/Logging_2085/kartor/A 25159-2026 karta.png", "A 25159-2026")</f>
        <v/>
      </c>
      <c r="Y128">
        <f>HYPERLINK("https://klasma.github.io/Logging_2085/kartor_geotiff/A 25159-2026 georefererad karta.tif", "A 25159-2026")</f>
        <v/>
      </c>
      <c r="AA128">
        <f>HYPERLINK("https://klasma.github.io/Logging_2085/klagomål/A 25159-2026 FSC-klagomål.docx", "A 25159-2026")</f>
        <v/>
      </c>
      <c r="AB128">
        <f>HYPERLINK("https://klasma.github.io/Logging_2085/klagomålsmail/A 25159-2026 FSC-klagomål mail.docx", "A 25159-2026")</f>
        <v/>
      </c>
      <c r="AC128">
        <f>HYPERLINK("https://klasma.github.io/Logging_2085/tillsyn/A 25159-2026 tillsynsbegäran.docx", "A 25159-2026")</f>
        <v/>
      </c>
      <c r="AD128">
        <f>HYPERLINK("https://klasma.github.io/Logging_2085/tillsynsmail/A 25159-2026 tillsynsbegäran mail.docx", "A 25159-2026")</f>
        <v/>
      </c>
    </row>
    <row r="129" ht="15" customHeight="1">
      <c r="A129" t="inlineStr">
        <is>
          <t>A 56655-2025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46304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8.5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56655-2025 artfynd.xlsx", "A 56655-2025")</f>
        <v/>
      </c>
      <c r="X129">
        <f>HYPERLINK("https://klasma.github.io/Logging_2085/kartor/A 56655-2025 karta.png", "A 56655-2025")</f>
        <v/>
      </c>
      <c r="Y129">
        <f>HYPERLINK("https://klasma.github.io/Logging_2085/kartor_geotiff/A 56655-2025 georefererad karta.tif", "A 56655-2025")</f>
        <v/>
      </c>
      <c r="AA129">
        <f>HYPERLINK("https://klasma.github.io/Logging_2085/klagomål/A 56655-2025 FSC-klagomål.docx", "A 56655-2025")</f>
        <v/>
      </c>
      <c r="AB129">
        <f>HYPERLINK("https://klasma.github.io/Logging_2085/klagomålsmail/A 56655-2025 FSC-klagomål mail.docx", "A 56655-2025")</f>
        <v/>
      </c>
      <c r="AC129">
        <f>HYPERLINK("https://klasma.github.io/Logging_2085/tillsyn/A 56655-2025 tillsynsbegäran.docx", "A 56655-2025")</f>
        <v/>
      </c>
      <c r="AD129">
        <f>HYPERLINK("https://klasma.github.io/Logging_2085/tillsynsmail/A 56655-2025 tillsynsbegäran mail.docx", "A 56655-2025")</f>
        <v/>
      </c>
      <c r="AE129">
        <f>HYPERLINK("https://klasma.github.io/Logging_2085/fåglar/A 56655-2025 prioriterade fågelarter.docx", "A 56655-2025")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46304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46304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46304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37560-2026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46276</v>
      </c>
      <c r="E133" s="1" t="n">
        <v>46304</v>
      </c>
      <c r="F133" t="inlineStr">
        <is>
          <t>DALARNAS LÄN</t>
        </is>
      </c>
      <c r="G133" t="inlineStr">
        <is>
          <t>LUDVIKA</t>
        </is>
      </c>
      <c r="H133" t="inlineStr">
        <is>
          <t>Naturvårdsverket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HYPERLINK("https://klasma.github.io/Logging_2085/artfynd/A 37560-2026 artfynd.xlsx", "A 37560-2026")</f>
        <v/>
      </c>
      <c r="X133">
        <f>HYPERLINK("https://klasma.github.io/Logging_2085/kartor/A 37560-2026 karta.png", "A 37560-2026")</f>
        <v/>
      </c>
      <c r="Y133">
        <f>HYPERLINK("https://klasma.github.io/Logging_2085/kartor_geotiff/A 37560-2026 georefererad karta.tif", "A 37560-2026")</f>
        <v/>
      </c>
      <c r="AA133">
        <f>HYPERLINK("https://klasma.github.io/Logging_2085/klagomål/A 37560-2026 FSC-klagomål.docx", "A 37560-2026")</f>
        <v/>
      </c>
      <c r="AB133">
        <f>HYPERLINK("https://klasma.github.io/Logging_2085/klagomålsmail/A 37560-2026 FSC-klagomål mail.docx", "A 37560-2026")</f>
        <v/>
      </c>
      <c r="AC133">
        <f>HYPERLINK("https://klasma.github.io/Logging_2085/tillsyn/A 37560-2026 tillsynsbegäran.docx", "A 37560-2026")</f>
        <v/>
      </c>
      <c r="AD133">
        <f>HYPERLINK("https://klasma.github.io/Logging_2085/tillsynsmail/A 37560-2026 tillsynsbegäran mail.docx", "A 37560-2026")</f>
        <v/>
      </c>
    </row>
    <row r="134" ht="15" customHeight="1">
      <c r="A134" t="inlineStr">
        <is>
          <t>A 29882-2024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45486</v>
      </c>
      <c r="E134" s="1" t="n">
        <v>46304</v>
      </c>
      <c r="F134" t="inlineStr">
        <is>
          <t>DALARNAS LÄN</t>
        </is>
      </c>
      <c r="G134" t="inlineStr">
        <is>
          <t>LUDVIKA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Spillkråka</t>
        </is>
      </c>
      <c r="W134">
        <f>HYPERLINK("https://klasma.github.io/Logging_2085/artfynd/A 29882-2024 artfynd.xlsx", "A 29882-2024")</f>
        <v/>
      </c>
      <c r="X134">
        <f>HYPERLINK("https://klasma.github.io/Logging_2085/kartor/A 29882-2024 karta.png", "A 29882-2024")</f>
        <v/>
      </c>
      <c r="Y134">
        <f>HYPERLINK("https://klasma.github.io/Logging_2085/kartor_geotiff/A 29882-2024 georefererad karta.tif", "A 29882-2024")</f>
        <v/>
      </c>
      <c r="AA134">
        <f>HYPERLINK("https://klasma.github.io/Logging_2085/klagomål/A 29882-2024 FSC-klagomål.docx", "A 29882-2024")</f>
        <v/>
      </c>
      <c r="AB134">
        <f>HYPERLINK("https://klasma.github.io/Logging_2085/klagomålsmail/A 29882-2024 FSC-klagomål mail.docx", "A 29882-2024")</f>
        <v/>
      </c>
      <c r="AC134">
        <f>HYPERLINK("https://klasma.github.io/Logging_2085/tillsyn/A 29882-2024 tillsynsbegäran.docx", "A 29882-2024")</f>
        <v/>
      </c>
      <c r="AD134">
        <f>HYPERLINK("https://klasma.github.io/Logging_2085/tillsynsmail/A 29882-2024 tillsynsbegäran mail.docx", "A 29882-2024")</f>
        <v/>
      </c>
      <c r="AE134">
        <f>HYPERLINK("https://klasma.github.io/Logging_2085/fåglar/A 29882-2024 prioriterade fågelarter.docx", "A 29882-2024")</f>
        <v/>
      </c>
    </row>
    <row r="135" ht="15" customHeight="1">
      <c r="A135" t="inlineStr">
        <is>
          <t>A 23102-2025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46304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0.8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Vanlig groda</t>
        </is>
      </c>
      <c r="W135">
        <f>HYPERLINK("https://klasma.github.io/Logging_2085/artfynd/A 23102-2025 artfynd.xlsx", "A 23102-2025")</f>
        <v/>
      </c>
      <c r="X135">
        <f>HYPERLINK("https://klasma.github.io/Logging_2085/kartor/A 23102-2025 karta.png", "A 23102-2025")</f>
        <v/>
      </c>
      <c r="Y135">
        <f>HYPERLINK("https://klasma.github.io/Logging_2085/kartor_geotiff/A 23102-2025 georefererad karta.tif", "A 23102-2025")</f>
        <v/>
      </c>
      <c r="AA135">
        <f>HYPERLINK("https://klasma.github.io/Logging_2085/klagomål/A 23102-2025 FSC-klagomål.docx", "A 23102-2025")</f>
        <v/>
      </c>
      <c r="AB135">
        <f>HYPERLINK("https://klasma.github.io/Logging_2085/klagomålsmail/A 23102-2025 FSC-klagomål mail.docx", "A 23102-2025")</f>
        <v/>
      </c>
      <c r="AC135">
        <f>HYPERLINK("https://klasma.github.io/Logging_2085/tillsyn/A 23102-2025 tillsynsbegäran.docx", "A 23102-2025")</f>
        <v/>
      </c>
      <c r="AD135">
        <f>HYPERLINK("https://klasma.github.io/Logging_2085/tillsynsmail/A 23102-2025 tillsynsbegäran mail.docx", "A 23102-2025")</f>
        <v/>
      </c>
    </row>
    <row r="136" ht="15" customHeight="1">
      <c r="A136" t="inlineStr">
        <is>
          <t>A 33399-2026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46247</v>
      </c>
      <c r="E136" s="1" t="n">
        <v>46304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0.8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Järpe</t>
        </is>
      </c>
      <c r="W136">
        <f>HYPERLINK("https://klasma.github.io/Logging_2085/artfynd/A 33399-2026 artfynd.xlsx", "A 33399-2026")</f>
        <v/>
      </c>
      <c r="X136">
        <f>HYPERLINK("https://klasma.github.io/Logging_2085/kartor/A 33399-2026 karta.png", "A 33399-2026")</f>
        <v/>
      </c>
      <c r="Y136">
        <f>HYPERLINK("https://klasma.github.io/Logging_2085/kartor_geotiff/A 33399-2026 georefererad karta.tif", "A 33399-2026")</f>
        <v/>
      </c>
      <c r="AA136">
        <f>HYPERLINK("https://klasma.github.io/Logging_2085/klagomål/A 33399-2026 FSC-klagomål.docx", "A 33399-2026")</f>
        <v/>
      </c>
      <c r="AB136">
        <f>HYPERLINK("https://klasma.github.io/Logging_2085/klagomålsmail/A 33399-2026 FSC-klagomål mail.docx", "A 33399-2026")</f>
        <v/>
      </c>
      <c r="AC136">
        <f>HYPERLINK("https://klasma.github.io/Logging_2085/tillsyn/A 33399-2026 tillsynsbegäran.docx", "A 33399-2026")</f>
        <v/>
      </c>
      <c r="AD136">
        <f>HYPERLINK("https://klasma.github.io/Logging_2085/tillsynsmail/A 33399-2026 tillsynsbegäran mail.docx", "A 33399-2026")</f>
        <v/>
      </c>
      <c r="AE136">
        <f>HYPERLINK("https://klasma.github.io/Logging_2085/fåglar/A 33399-2026 prioriterade fågelarter.docx", "A 33399-2026")</f>
        <v/>
      </c>
    </row>
    <row r="137" ht="15" customHeight="1">
      <c r="A137" t="inlineStr">
        <is>
          <t>A 36478-2026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46269</v>
      </c>
      <c r="E137" s="1" t="n">
        <v>46304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Skogsalm</t>
        </is>
      </c>
      <c r="W137">
        <f>HYPERLINK("https://klasma.github.io/Logging_2085/artfynd/A 36478-2026 artfynd.xlsx", "A 36478-2026")</f>
        <v/>
      </c>
      <c r="X137">
        <f>HYPERLINK("https://klasma.github.io/Logging_2085/kartor/A 36478-2026 karta.png", "A 36478-2026")</f>
        <v/>
      </c>
      <c r="Y137">
        <f>HYPERLINK("https://klasma.github.io/Logging_2085/kartor_geotiff/A 36478-2026 georefererad karta.tif", "A 36478-2026")</f>
        <v/>
      </c>
      <c r="AA137">
        <f>HYPERLINK("https://klasma.github.io/Logging_2085/klagomål/A 36478-2026 FSC-klagomål.docx", "A 36478-2026")</f>
        <v/>
      </c>
      <c r="AB137">
        <f>HYPERLINK("https://klasma.github.io/Logging_2085/klagomålsmail/A 36478-2026 FSC-klagomål mail.docx", "A 36478-2026")</f>
        <v/>
      </c>
      <c r="AC137">
        <f>HYPERLINK("https://klasma.github.io/Logging_2085/tillsyn/A 36478-2026 tillsynsbegäran.docx", "A 36478-2026")</f>
        <v/>
      </c>
      <c r="AD137">
        <f>HYPERLINK("https://klasma.github.io/Logging_2085/tillsynsmail/A 36478-2026 tillsynsbegäran mail.docx", "A 36478-2026")</f>
        <v/>
      </c>
    </row>
    <row r="138" ht="15" customHeight="1">
      <c r="A138" t="inlineStr">
        <is>
          <t>A 35652-2026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46304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Garnlav</t>
        </is>
      </c>
      <c r="W138">
        <f>HYPERLINK("https://klasma.github.io/Logging_2085/artfynd/A 35652-2026 artfynd.xlsx", "A 35652-2026")</f>
        <v/>
      </c>
      <c r="X138">
        <f>HYPERLINK("https://klasma.github.io/Logging_2085/kartor/A 35652-2026 karta.png", "A 35652-2026")</f>
        <v/>
      </c>
      <c r="Y138">
        <f>HYPERLINK("https://klasma.github.io/Logging_2085/kartor_geotiff/A 35652-2026 georefererad karta.tif", "A 35652-2026")</f>
        <v/>
      </c>
      <c r="AA138">
        <f>HYPERLINK("https://klasma.github.io/Logging_2085/klagomål/A 35652-2026 FSC-klagomål.docx", "A 35652-2026")</f>
        <v/>
      </c>
      <c r="AB138">
        <f>HYPERLINK("https://klasma.github.io/Logging_2085/klagomålsmail/A 35652-2026 FSC-klagomål mail.docx", "A 35652-2026")</f>
        <v/>
      </c>
      <c r="AC138">
        <f>HYPERLINK("https://klasma.github.io/Logging_2085/tillsyn/A 35652-2026 tillsynsbegäran.docx", "A 35652-2026")</f>
        <v/>
      </c>
      <c r="AD138">
        <f>HYPERLINK("https://klasma.github.io/Logging_2085/tillsynsmail/A 35652-2026 tillsynsbegäran mail.docx", "A 35652-2026")</f>
        <v/>
      </c>
    </row>
    <row r="139" ht="15" customHeight="1">
      <c r="A139" t="inlineStr">
        <is>
          <t>A 31273-2022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44771</v>
      </c>
      <c r="E139" s="1" t="n">
        <v>46304</v>
      </c>
      <c r="F139" t="inlineStr">
        <is>
          <t>DALARNAS LÄN</t>
        </is>
      </c>
      <c r="G139" t="inlineStr">
        <is>
          <t>LUDVIKA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46304</v>
      </c>
      <c r="F140" t="inlineStr">
        <is>
          <t>DALARNAS LÄN</t>
        </is>
      </c>
      <c r="G140" t="inlineStr">
        <is>
          <t>LUDVIKA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62152-2021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46304</v>
      </c>
      <c r="F141" t="inlineStr">
        <is>
          <t>DALARNAS LÄN</t>
        </is>
      </c>
      <c r="G141" t="inlineStr">
        <is>
          <t>LUDVIKA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46304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46304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46304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46304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46304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46304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46304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46304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46304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46304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46304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46304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46304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46304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46304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46304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57002-2021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46304</v>
      </c>
      <c r="F158" t="inlineStr">
        <is>
          <t>DALARNAS LÄN</t>
        </is>
      </c>
      <c r="G158" t="inlineStr">
        <is>
          <t>LUDVIKA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63267-2021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44508</v>
      </c>
      <c r="E159" s="1" t="n">
        <v>46304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44715</v>
      </c>
      <c r="E160" s="1" t="n">
        <v>46304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56996-2021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46304</v>
      </c>
      <c r="F161" t="inlineStr">
        <is>
          <t>DALARNAS LÄN</t>
        </is>
      </c>
      <c r="G161" t="inlineStr">
        <is>
          <t>LUDVIKA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44893</v>
      </c>
      <c r="E162" s="1" t="n">
        <v>46304</v>
      </c>
      <c r="F162" t="inlineStr">
        <is>
          <t>DALARNAS LÄN</t>
        </is>
      </c>
      <c r="G162" t="inlineStr">
        <is>
          <t>LUDVIKA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45569</v>
      </c>
      <c r="E163" s="1" t="n">
        <v>46304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46304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44841</v>
      </c>
      <c r="E165" s="1" t="n">
        <v>46304</v>
      </c>
      <c r="F165" t="inlineStr">
        <is>
          <t>DALARNAS LÄN</t>
        </is>
      </c>
      <c r="G165" t="inlineStr">
        <is>
          <t>LUDVIKA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46304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46304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3277-2024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45317</v>
      </c>
      <c r="E168" s="1" t="n">
        <v>46304</v>
      </c>
      <c r="F168" t="inlineStr">
        <is>
          <t>DALARNAS LÄN</t>
        </is>
      </c>
      <c r="G168" t="inlineStr">
        <is>
          <t>LUDVIKA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46304</v>
      </c>
      <c r="F169" t="inlineStr">
        <is>
          <t>DALARNAS LÄN</t>
        </is>
      </c>
      <c r="G169" t="inlineStr">
        <is>
          <t>LUDVIKA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46304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46304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46304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46304</v>
      </c>
      <c r="F173" t="inlineStr">
        <is>
          <t>DALARNAS LÄN</t>
        </is>
      </c>
      <c r="G173" t="inlineStr">
        <is>
          <t>LUDVIKA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46304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46304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46304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46304</v>
      </c>
      <c r="F177" t="inlineStr">
        <is>
          <t>DALARNAS LÄN</t>
        </is>
      </c>
      <c r="G177" t="inlineStr">
        <is>
          <t>LUDVIKA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46304</v>
      </c>
      <c r="F178" t="inlineStr">
        <is>
          <t>DALARNAS LÄN</t>
        </is>
      </c>
      <c r="G178" t="inlineStr">
        <is>
          <t>LUDVIKA</t>
        </is>
      </c>
      <c r="H178" t="inlineStr">
        <is>
          <t>Naturvårdsverket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46304</v>
      </c>
      <c r="F179" t="inlineStr">
        <is>
          <t>DALARNAS LÄN</t>
        </is>
      </c>
      <c r="G179" t="inlineStr">
        <is>
          <t>LUDVIKA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44730</v>
      </c>
      <c r="E180" s="1" t="n">
        <v>46304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45450</v>
      </c>
      <c r="E181" s="1" t="n">
        <v>46304</v>
      </c>
      <c r="F181" t="inlineStr">
        <is>
          <t>DALARNAS LÄN</t>
        </is>
      </c>
      <c r="G181" t="inlineStr">
        <is>
          <t>LUDVIKA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45105</v>
      </c>
      <c r="E182" s="1" t="n">
        <v>46304</v>
      </c>
      <c r="F182" t="inlineStr">
        <is>
          <t>DALARNAS LÄN</t>
        </is>
      </c>
      <c r="G182" t="inlineStr">
        <is>
          <t>LUDVIKA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46304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48740-2022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44859</v>
      </c>
      <c r="E184" s="1" t="n">
        <v>46304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45106</v>
      </c>
      <c r="E185" s="1" t="n">
        <v>46304</v>
      </c>
      <c r="F185" t="inlineStr">
        <is>
          <t>DALARNAS LÄN</t>
        </is>
      </c>
      <c r="G185" t="inlineStr">
        <is>
          <t>LUDVIKA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45754</v>
      </c>
      <c r="E186" s="1" t="n">
        <v>46304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46304</v>
      </c>
      <c r="F187" t="inlineStr">
        <is>
          <t>DALARNAS LÄN</t>
        </is>
      </c>
      <c r="G187" t="inlineStr">
        <is>
          <t>LUDVIKA</t>
        </is>
      </c>
      <c r="I187" t="n">
        <v>20.8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46304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46304</v>
      </c>
      <c r="F189" t="inlineStr">
        <is>
          <t>DALARNAS LÄN</t>
        </is>
      </c>
      <c r="G189" t="inlineStr">
        <is>
          <t>LUDVIKA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46304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46304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44859</v>
      </c>
      <c r="E192" s="1" t="n">
        <v>46304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46304</v>
      </c>
      <c r="F193" t="inlineStr">
        <is>
          <t>DALARNAS LÄN</t>
        </is>
      </c>
      <c r="G193" t="inlineStr">
        <is>
          <t>LUDVIKA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46304</v>
      </c>
      <c r="F194" t="inlineStr">
        <is>
          <t>DALARNAS LÄN</t>
        </is>
      </c>
      <c r="G194" t="inlineStr">
        <is>
          <t>LUDVIKA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46304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46304</v>
      </c>
      <c r="F196" t="inlineStr">
        <is>
          <t>DALARNAS LÄN</t>
        </is>
      </c>
      <c r="G196" t="inlineStr">
        <is>
          <t>LUDVIKA</t>
        </is>
      </c>
      <c r="H196" t="inlineStr">
        <is>
          <t>Naturvårdsverket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46304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46304</v>
      </c>
      <c r="F198" t="inlineStr">
        <is>
          <t>DALARNAS LÄN</t>
        </is>
      </c>
      <c r="G198" t="inlineStr">
        <is>
          <t>LUDVIKA</t>
        </is>
      </c>
      <c r="H198" t="inlineStr">
        <is>
          <t>Sveaskog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46304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45840</v>
      </c>
      <c r="E200" s="1" t="n">
        <v>46304</v>
      </c>
      <c r="F200" t="inlineStr">
        <is>
          <t>DALARNAS LÄN</t>
        </is>
      </c>
      <c r="G200" t="inlineStr">
        <is>
          <t>LUDVIKA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46304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45623</v>
      </c>
      <c r="E202" s="1" t="n">
        <v>46304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34067-2025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45845</v>
      </c>
      <c r="E203" s="1" t="n">
        <v>46304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45502</v>
      </c>
      <c r="E204" s="1" t="n">
        <v>46304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46304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51704-2024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46304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65195-2021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44515</v>
      </c>
      <c r="E207" s="1" t="n">
        <v>46304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45849</v>
      </c>
      <c r="E208" s="1" t="n">
        <v>46304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46304</v>
      </c>
      <c r="F209" t="inlineStr">
        <is>
          <t>DALARNAS LÄN</t>
        </is>
      </c>
      <c r="G209" t="inlineStr">
        <is>
          <t>LUDVIKA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46304</v>
      </c>
      <c r="F210" t="inlineStr">
        <is>
          <t>DALARNAS LÄN</t>
        </is>
      </c>
      <c r="G210" t="inlineStr">
        <is>
          <t>LUDVIKA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46304</v>
      </c>
      <c r="F211" t="inlineStr">
        <is>
          <t>DALARNAS LÄN</t>
        </is>
      </c>
      <c r="G211" t="inlineStr">
        <is>
          <t>LUDVIKA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46304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31100-2024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45502</v>
      </c>
      <c r="E213" s="1" t="n">
        <v>46304</v>
      </c>
      <c r="F213" t="inlineStr">
        <is>
          <t>DALARNAS LÄN</t>
        </is>
      </c>
      <c r="G213" t="inlineStr">
        <is>
          <t>LUDVIKA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46304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46304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46304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46304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46304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46304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44680</v>
      </c>
      <c r="E220" s="1" t="n">
        <v>46304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45869</v>
      </c>
      <c r="E221" s="1" t="n">
        <v>46304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39754-2025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46304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46304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46304</v>
      </c>
      <c r="F224" t="inlineStr">
        <is>
          <t>DALARNAS LÄN</t>
        </is>
      </c>
      <c r="G224" t="inlineStr">
        <is>
          <t>LUDVIKA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46304</v>
      </c>
      <c r="F225" t="inlineStr">
        <is>
          <t>DALARNAS LÄN</t>
        </is>
      </c>
      <c r="G225" t="inlineStr">
        <is>
          <t>LUDVIKA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46304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46304</v>
      </c>
      <c r="F227" t="inlineStr">
        <is>
          <t>DALARNAS LÄN</t>
        </is>
      </c>
      <c r="G227" t="inlineStr">
        <is>
          <t>LUDVIKA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8703-2023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44978</v>
      </c>
      <c r="E228" s="1" t="n">
        <v>46304</v>
      </c>
      <c r="F228" t="inlineStr">
        <is>
          <t>DALARNAS LÄN</t>
        </is>
      </c>
      <c r="G228" t="inlineStr">
        <is>
          <t>LUDVIKA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45208</v>
      </c>
      <c r="E229" s="1" t="n">
        <v>46304</v>
      </c>
      <c r="F229" t="inlineStr">
        <is>
          <t>DALARNAS LÄN</t>
        </is>
      </c>
      <c r="G229" t="inlineStr">
        <is>
          <t>LUDVIKA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46304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46304</v>
      </c>
      <c r="F231" t="inlineStr">
        <is>
          <t>DALARNAS LÄN</t>
        </is>
      </c>
      <c r="G231" t="inlineStr">
        <is>
          <t>LUDVIKA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46304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46304</v>
      </c>
      <c r="F233" t="inlineStr">
        <is>
          <t>DALARNAS LÄN</t>
        </is>
      </c>
      <c r="G233" t="inlineStr">
        <is>
          <t>LUDVIKA</t>
        </is>
      </c>
      <c r="I233" t="n">
        <v>12.7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46304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46304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46304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46304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46304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36338-2025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45868</v>
      </c>
      <c r="E239" s="1" t="n">
        <v>46304</v>
      </c>
      <c r="F239" t="inlineStr">
        <is>
          <t>DALARNAS LÄN</t>
        </is>
      </c>
      <c r="G239" t="inlineStr">
        <is>
          <t>LUDVIKA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46304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49035-2024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45594</v>
      </c>
      <c r="E241" s="1" t="n">
        <v>46304</v>
      </c>
      <c r="F241" t="inlineStr">
        <is>
          <t>DALARNAS LÄN</t>
        </is>
      </c>
      <c r="G241" t="inlineStr">
        <is>
          <t>LUDVIKA</t>
        </is>
      </c>
      <c r="H241" t="inlineStr">
        <is>
          <t>Naturvårdsverket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46304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46304</v>
      </c>
      <c r="F243" t="inlineStr">
        <is>
          <t>DALARNAS LÄN</t>
        </is>
      </c>
      <c r="G243" t="inlineStr">
        <is>
          <t>LUDVIKA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46304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46304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46304</v>
      </c>
      <c r="F246" t="inlineStr">
        <is>
          <t>DALARNAS LÄN</t>
        </is>
      </c>
      <c r="G246" t="inlineStr">
        <is>
          <t>LUDVIKA</t>
        </is>
      </c>
      <c r="H246" t="inlineStr">
        <is>
          <t>Naturvårdsverket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46304</v>
      </c>
      <c r="F247" t="inlineStr">
        <is>
          <t>DALARNAS LÄN</t>
        </is>
      </c>
      <c r="G247" t="inlineStr">
        <is>
          <t>LUDVIKA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46304</v>
      </c>
      <c r="F248" t="inlineStr">
        <is>
          <t>DALARNAS LÄN</t>
        </is>
      </c>
      <c r="G248" t="inlineStr">
        <is>
          <t>LUDVIKA</t>
        </is>
      </c>
      <c r="H248" t="inlineStr">
        <is>
          <t>Naturvårdsverket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43145-2025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46304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46304</v>
      </c>
      <c r="F250" t="inlineStr">
        <is>
          <t>DALARNAS LÄN</t>
        </is>
      </c>
      <c r="G250" t="inlineStr">
        <is>
          <t>LUDVIKA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46304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46304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46304</v>
      </c>
      <c r="F253" t="inlineStr">
        <is>
          <t>DALARNAS LÄN</t>
        </is>
      </c>
      <c r="G253" t="inlineStr">
        <is>
          <t>LUDVIKA</t>
        </is>
      </c>
      <c r="H253" t="inlineStr">
        <is>
          <t>Övriga Aktiebolag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46304</v>
      </c>
      <c r="F254" t="inlineStr">
        <is>
          <t>DALARNAS LÄN</t>
        </is>
      </c>
      <c r="G254" t="inlineStr">
        <is>
          <t>LUDVIKA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46304</v>
      </c>
      <c r="F255" t="inlineStr">
        <is>
          <t>DALARNAS LÄN</t>
        </is>
      </c>
      <c r="G255" t="inlineStr">
        <is>
          <t>LUDVIKA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46304</v>
      </c>
      <c r="F256" t="inlineStr">
        <is>
          <t>DALARNAS LÄN</t>
        </is>
      </c>
      <c r="G256" t="inlineStr">
        <is>
          <t>LUDVIKA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46304</v>
      </c>
      <c r="F257" t="inlineStr">
        <is>
          <t>DALARNAS LÄN</t>
        </is>
      </c>
      <c r="G257" t="inlineStr">
        <is>
          <t>LUDVIKA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46304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46304</v>
      </c>
      <c r="F259" t="inlineStr">
        <is>
          <t>DALARNAS LÄN</t>
        </is>
      </c>
      <c r="G259" t="inlineStr">
        <is>
          <t>LUDVIKA</t>
        </is>
      </c>
      <c r="H259" t="inlineStr">
        <is>
          <t>Naturvårdsverket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43762-2025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46304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46304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46304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44687</v>
      </c>
      <c r="E263" s="1" t="n">
        <v>46304</v>
      </c>
      <c r="F263" t="inlineStr">
        <is>
          <t>DALARNAS LÄN</t>
        </is>
      </c>
      <c r="G263" t="inlineStr">
        <is>
          <t>LUDVIKA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46304</v>
      </c>
      <c r="F264" t="inlineStr">
        <is>
          <t>DALARNAS LÄN</t>
        </is>
      </c>
      <c r="G264" t="inlineStr">
        <is>
          <t>LUDVIKA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46304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46304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46108-2025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46304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45541</v>
      </c>
      <c r="E268" s="1" t="n">
        <v>46304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46304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46304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46304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46304</v>
      </c>
      <c r="F272" t="inlineStr">
        <is>
          <t>DALARNAS LÄN</t>
        </is>
      </c>
      <c r="G272" t="inlineStr">
        <is>
          <t>LUDVIKA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33673-2022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44789</v>
      </c>
      <c r="E273" s="1" t="n">
        <v>46304</v>
      </c>
      <c r="F273" t="inlineStr">
        <is>
          <t>DALARNAS LÄN</t>
        </is>
      </c>
      <c r="G273" t="inlineStr">
        <is>
          <t>LUDVIKA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44893</v>
      </c>
      <c r="E274" s="1" t="n">
        <v>46304</v>
      </c>
      <c r="F274" t="inlineStr">
        <is>
          <t>DALARNAS LÄN</t>
        </is>
      </c>
      <c r="G274" t="inlineStr">
        <is>
          <t>LUDVIKA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73703-2021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44552</v>
      </c>
      <c r="E275" s="1" t="n">
        <v>46304</v>
      </c>
      <c r="F275" t="inlineStr">
        <is>
          <t>DALARNAS LÄN</t>
        </is>
      </c>
      <c r="G275" t="inlineStr">
        <is>
          <t>LUDVIKA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46304</v>
      </c>
      <c r="F276" t="inlineStr">
        <is>
          <t>DALARNAS LÄN</t>
        </is>
      </c>
      <c r="G276" t="inlineStr">
        <is>
          <t>LUDVIKA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45189</v>
      </c>
      <c r="E277" s="1" t="n">
        <v>46304</v>
      </c>
      <c r="F277" t="inlineStr">
        <is>
          <t>DALARNAS LÄN</t>
        </is>
      </c>
      <c r="G277" t="inlineStr">
        <is>
          <t>LUDVIKA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45629</v>
      </c>
      <c r="E278" s="1" t="n">
        <v>46304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46304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46304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46304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41090-2022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46304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50444-2025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45944</v>
      </c>
      <c r="E283" s="1" t="n">
        <v>46304</v>
      </c>
      <c r="F283" t="inlineStr">
        <is>
          <t>DALARNAS LÄN</t>
        </is>
      </c>
      <c r="G283" t="inlineStr">
        <is>
          <t>LUDVIKA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46114</v>
      </c>
      <c r="E284" s="1" t="n">
        <v>46304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45301</v>
      </c>
      <c r="E285" s="1" t="n">
        <v>46304</v>
      </c>
      <c r="F285" t="inlineStr">
        <is>
          <t>DALARNAS LÄN</t>
        </is>
      </c>
      <c r="G285" t="inlineStr">
        <is>
          <t>LUDVIKA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923-2024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45301</v>
      </c>
      <c r="E286" s="1" t="n">
        <v>46304</v>
      </c>
      <c r="F286" t="inlineStr">
        <is>
          <t>DALARNAS LÄN</t>
        </is>
      </c>
      <c r="G286" t="inlineStr">
        <is>
          <t>LUDVIKA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45297</v>
      </c>
      <c r="E287" s="1" t="n">
        <v>46304</v>
      </c>
      <c r="F287" t="inlineStr">
        <is>
          <t>DALARNAS LÄN</t>
        </is>
      </c>
      <c r="G287" t="inlineStr">
        <is>
          <t>LUDVIKA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45335</v>
      </c>
      <c r="E288" s="1" t="n">
        <v>46304</v>
      </c>
      <c r="F288" t="inlineStr">
        <is>
          <t>DALARNAS LÄN</t>
        </is>
      </c>
      <c r="G288" t="inlineStr">
        <is>
          <t>LUDVIKA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46304</v>
      </c>
      <c r="F289" t="inlineStr">
        <is>
          <t>DALARNAS LÄN</t>
        </is>
      </c>
      <c r="G289" t="inlineStr">
        <is>
          <t>LUDVIKA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45639</v>
      </c>
      <c r="E290" s="1" t="n">
        <v>46304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46304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32277-2024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45512</v>
      </c>
      <c r="E292" s="1" t="n">
        <v>46304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46304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46304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46304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52552-2025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45954</v>
      </c>
      <c r="E296" s="1" t="n">
        <v>46304</v>
      </c>
      <c r="F296" t="inlineStr">
        <is>
          <t>DALARNAS LÄN</t>
        </is>
      </c>
      <c r="G296" t="inlineStr">
        <is>
          <t>LUDVIKA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46304</v>
      </c>
      <c r="F297" t="inlineStr">
        <is>
          <t>DALARNAS LÄN</t>
        </is>
      </c>
      <c r="G297" t="inlineStr">
        <is>
          <t>LUDVIKA</t>
        </is>
      </c>
      <c r="H297" t="inlineStr">
        <is>
          <t>Naturvårdsverket</t>
        </is>
      </c>
      <c r="I297" t="n">
        <v>19.8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46304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52556-2025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45954</v>
      </c>
      <c r="E299" s="1" t="n">
        <v>46304</v>
      </c>
      <c r="F299" t="inlineStr">
        <is>
          <t>DALARNAS LÄN</t>
        </is>
      </c>
      <c r="G299" t="inlineStr">
        <is>
          <t>LUDVIKA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52459-2025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46304</v>
      </c>
      <c r="F300" t="inlineStr">
        <is>
          <t>DALARNAS LÄN</t>
        </is>
      </c>
      <c r="G300" t="inlineStr">
        <is>
          <t>LUDVIKA</t>
        </is>
      </c>
      <c r="H300" t="inlineStr">
        <is>
          <t>Övriga Aktiebolag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46304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9.300000000000001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52427-2025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45954</v>
      </c>
      <c r="E302" s="1" t="n">
        <v>46304</v>
      </c>
      <c r="F302" t="inlineStr">
        <is>
          <t>DALARNAS LÄN</t>
        </is>
      </c>
      <c r="G302" t="inlineStr">
        <is>
          <t>LUDVIKA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46304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46304</v>
      </c>
      <c r="F304" t="inlineStr">
        <is>
          <t>DALARNAS LÄN</t>
        </is>
      </c>
      <c r="G304" t="inlineStr">
        <is>
          <t>LUDVIKA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46304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46304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46304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46122</v>
      </c>
      <c r="E308" s="1" t="n">
        <v>46304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46304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46304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54341-2025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45965</v>
      </c>
      <c r="E311" s="1" t="n">
        <v>46304</v>
      </c>
      <c r="F311" t="inlineStr">
        <is>
          <t>DALARNAS LÄN</t>
        </is>
      </c>
      <c r="G311" t="inlineStr">
        <is>
          <t>LUDVIKA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46304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46304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12497-2024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45379</v>
      </c>
      <c r="E314" s="1" t="n">
        <v>46304</v>
      </c>
      <c r="F314" t="inlineStr">
        <is>
          <t>DALARNAS LÄN</t>
        </is>
      </c>
      <c r="G314" t="inlineStr">
        <is>
          <t>LUDVIKA</t>
        </is>
      </c>
      <c r="H314" t="inlineStr">
        <is>
          <t>Naturvårdsverket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45963</v>
      </c>
      <c r="E315" s="1" t="n">
        <v>46304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46304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45891</v>
      </c>
      <c r="E317" s="1" t="n">
        <v>46304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46304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46304</v>
      </c>
      <c r="F319" t="inlineStr">
        <is>
          <t>DALARNAS LÄN</t>
        </is>
      </c>
      <c r="G319" t="inlineStr">
        <is>
          <t>LUDVIKA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46304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46304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18355-2026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46304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46304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46304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46304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45099</v>
      </c>
      <c r="E326" s="1" t="n">
        <v>46304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46304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46304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46304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46304</v>
      </c>
      <c r="F330" t="inlineStr">
        <is>
          <t>DALARNAS LÄN</t>
        </is>
      </c>
      <c r="G330" t="inlineStr">
        <is>
          <t>LUDVIKA</t>
        </is>
      </c>
      <c r="H330" t="inlineStr">
        <is>
          <t>Kommuner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46304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46304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46304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56178-2025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46304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46304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46304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46304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46304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46304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45488</v>
      </c>
      <c r="E340" s="1" t="n">
        <v>46304</v>
      </c>
      <c r="F340" t="inlineStr">
        <is>
          <t>DALARNAS LÄN</t>
        </is>
      </c>
      <c r="G340" t="inlineStr">
        <is>
          <t>LUDVIKA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46304</v>
      </c>
      <c r="F341" t="inlineStr">
        <is>
          <t>DALARNAS LÄN</t>
        </is>
      </c>
      <c r="G341" t="inlineStr">
        <is>
          <t>LUDVIKA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46304</v>
      </c>
      <c r="F342" t="inlineStr">
        <is>
          <t>DALARNAS LÄN</t>
        </is>
      </c>
      <c r="G342" t="inlineStr">
        <is>
          <t>LUDVIKA</t>
        </is>
      </c>
      <c r="H342" t="inlineStr">
        <is>
          <t>Övriga Aktiebolag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44970</v>
      </c>
      <c r="E343" s="1" t="n">
        <v>46304</v>
      </c>
      <c r="F343" t="inlineStr">
        <is>
          <t>DALARNAS LÄN</t>
        </is>
      </c>
      <c r="G343" t="inlineStr">
        <is>
          <t>LUDVIKA</t>
        </is>
      </c>
      <c r="H343" t="inlineStr">
        <is>
          <t>Övriga Aktiebolag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45551</v>
      </c>
      <c r="E344" s="1" t="n">
        <v>46304</v>
      </c>
      <c r="F344" t="inlineStr">
        <is>
          <t>DALARNAS LÄN</t>
        </is>
      </c>
      <c r="G344" t="inlineStr">
        <is>
          <t>LUDVIKA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46304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47496-2022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44853</v>
      </c>
      <c r="E346" s="1" t="n">
        <v>46304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64171-2023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46304</v>
      </c>
      <c r="F347" t="inlineStr">
        <is>
          <t>DALARNAS LÄN</t>
        </is>
      </c>
      <c r="G347" t="inlineStr">
        <is>
          <t>LUDVIKA</t>
        </is>
      </c>
      <c r="I347" t="n">
        <v>8.6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46304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46304</v>
      </c>
      <c r="F349" t="inlineStr">
        <is>
          <t>DALARNAS LÄN</t>
        </is>
      </c>
      <c r="G349" t="inlineStr">
        <is>
          <t>LUDVIKA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46304</v>
      </c>
      <c r="F350" t="inlineStr">
        <is>
          <t>DALARNAS LÄN</t>
        </is>
      </c>
      <c r="G350" t="inlineStr">
        <is>
          <t>LUDVIKA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46304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46304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45929</v>
      </c>
      <c r="E353" s="1" t="n">
        <v>46304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46304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45891</v>
      </c>
      <c r="E355" s="1" t="n">
        <v>46304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46304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45568</v>
      </c>
      <c r="E357" s="1" t="n">
        <v>46304</v>
      </c>
      <c r="F357" t="inlineStr">
        <is>
          <t>DALARNAS LÄN</t>
        </is>
      </c>
      <c r="G357" t="inlineStr">
        <is>
          <t>LUDVIKA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46304</v>
      </c>
      <c r="F358" t="inlineStr">
        <is>
          <t>DALARNAS LÄN</t>
        </is>
      </c>
      <c r="G358" t="inlineStr">
        <is>
          <t>LUDVIKA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45989</v>
      </c>
      <c r="E359" s="1" t="n">
        <v>46304</v>
      </c>
      <c r="F359" t="inlineStr">
        <is>
          <t>DALARNAS LÄN</t>
        </is>
      </c>
      <c r="G359" t="inlineStr">
        <is>
          <t>LUDVIKA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46304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19610-2026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46304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46304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46304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46304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41158-2022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44825</v>
      </c>
      <c r="E365" s="1" t="n">
        <v>46304</v>
      </c>
      <c r="F365" t="inlineStr">
        <is>
          <t>DALARNAS LÄN</t>
        </is>
      </c>
      <c r="G365" t="inlineStr">
        <is>
          <t>LUDVIKA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46304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46304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18708-2023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45043</v>
      </c>
      <c r="E368" s="1" t="n">
        <v>46304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46304</v>
      </c>
      <c r="F369" t="inlineStr">
        <is>
          <t>DALARNAS LÄN</t>
        </is>
      </c>
      <c r="G369" t="inlineStr">
        <is>
          <t>LUDVIKA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60455-2025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46304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46304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14986-2024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45399</v>
      </c>
      <c r="E372" s="1" t="n">
        <v>46304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46304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60843-2024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46304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46001</v>
      </c>
      <c r="E375" s="1" t="n">
        <v>46304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65104-2023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45288</v>
      </c>
      <c r="E376" s="1" t="n">
        <v>46304</v>
      </c>
      <c r="F376" t="inlineStr">
        <is>
          <t>DALARNAS LÄN</t>
        </is>
      </c>
      <c r="G376" t="inlineStr">
        <is>
          <t>LUDVIKA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55151-2025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45968</v>
      </c>
      <c r="E377" s="1" t="n">
        <v>46304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45531</v>
      </c>
      <c r="E378" s="1" t="n">
        <v>46304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34868-2025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45849</v>
      </c>
      <c r="E379" s="1" t="n">
        <v>46304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62367-2025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46304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45743</v>
      </c>
      <c r="E381" s="1" t="n">
        <v>46304</v>
      </c>
      <c r="F381" t="inlineStr">
        <is>
          <t>DALARNAS LÄN</t>
        </is>
      </c>
      <c r="G381" t="inlineStr">
        <is>
          <t>LUDVIKA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46304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52912-2025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46304</v>
      </c>
      <c r="F383" t="inlineStr">
        <is>
          <t>DALARNAS LÄN</t>
        </is>
      </c>
      <c r="G383" t="inlineStr">
        <is>
          <t>LUDVIKA</t>
        </is>
      </c>
      <c r="I383" t="n">
        <v>9.800000000000001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46304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46304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46304</v>
      </c>
      <c r="F386" t="inlineStr">
        <is>
          <t>DALARNAS LÄN</t>
        </is>
      </c>
      <c r="G386" t="inlineStr">
        <is>
          <t>LUDVIKA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46304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62945-2025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46009</v>
      </c>
      <c r="E388" s="1" t="n">
        <v>46304</v>
      </c>
      <c r="F388" t="inlineStr">
        <is>
          <t>DALARNAS LÄN</t>
        </is>
      </c>
      <c r="G388" t="inlineStr">
        <is>
          <t>LUDVIKA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62845-2025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46304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46304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62838-2025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46304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59050-2022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44903</v>
      </c>
      <c r="E392" s="1" t="n">
        <v>46304</v>
      </c>
      <c r="F392" t="inlineStr">
        <is>
          <t>DALARNAS LÄN</t>
        </is>
      </c>
      <c r="G392" t="inlineStr">
        <is>
          <t>LUDVIKA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62824-2025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46304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46304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45544-2024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45579</v>
      </c>
      <c r="E395" s="1" t="n">
        <v>46304</v>
      </c>
      <c r="F395" t="inlineStr">
        <is>
          <t>DALARNAS LÄN</t>
        </is>
      </c>
      <c r="G395" t="inlineStr">
        <is>
          <t>LUDVIKA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45547-2024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45579</v>
      </c>
      <c r="E396" s="1" t="n">
        <v>46304</v>
      </c>
      <c r="F396" t="inlineStr">
        <is>
          <t>DALARNAS LÄN</t>
        </is>
      </c>
      <c r="G396" t="inlineStr">
        <is>
          <t>LUDVIKA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46304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46304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46304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46304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45902</v>
      </c>
      <c r="E401" s="1" t="n">
        <v>46304</v>
      </c>
      <c r="F401" t="inlineStr">
        <is>
          <t>DALARNAS LÄN</t>
        </is>
      </c>
      <c r="G401" t="inlineStr">
        <is>
          <t>LUDVIKA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45860</v>
      </c>
      <c r="E402" s="1" t="n">
        <v>46304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34875-2025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45849</v>
      </c>
      <c r="E403" s="1" t="n">
        <v>46304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46304</v>
      </c>
      <c r="F404" t="inlineStr">
        <is>
          <t>DALARNAS LÄN</t>
        </is>
      </c>
      <c r="G404" t="inlineStr">
        <is>
          <t>LUDVIKA</t>
        </is>
      </c>
      <c r="H404" t="inlineStr">
        <is>
          <t>Övriga Aktiebolag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55323-2025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46304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46304</v>
      </c>
      <c r="F406" t="inlineStr">
        <is>
          <t>DALARNAS LÄN</t>
        </is>
      </c>
      <c r="G406" t="inlineStr">
        <is>
          <t>LUDVIKA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32854-2023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46304</v>
      </c>
      <c r="F407" t="inlineStr">
        <is>
          <t>DALARNAS LÄN</t>
        </is>
      </c>
      <c r="G407" t="inlineStr">
        <is>
          <t>LUDVIKA</t>
        </is>
      </c>
      <c r="H407" t="inlineStr">
        <is>
          <t>Kommuner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46620-2023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46304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42106-2024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45562</v>
      </c>
      <c r="E409" s="1" t="n">
        <v>46304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61507-2023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45265</v>
      </c>
      <c r="E410" s="1" t="n">
        <v>46304</v>
      </c>
      <c r="F410" t="inlineStr">
        <is>
          <t>DALARNAS LÄN</t>
        </is>
      </c>
      <c r="G410" t="inlineStr">
        <is>
          <t>LUDVIKA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44865</v>
      </c>
      <c r="E411" s="1" t="n">
        <v>46304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47671-2024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45588</v>
      </c>
      <c r="E412" s="1" t="n">
        <v>46304</v>
      </c>
      <c r="F412" t="inlineStr">
        <is>
          <t>DALARNAS LÄN</t>
        </is>
      </c>
      <c r="G412" t="inlineStr">
        <is>
          <t>LUDVIKA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45845</v>
      </c>
      <c r="E413" s="1" t="n">
        <v>46304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46304</v>
      </c>
      <c r="F414" t="inlineStr">
        <is>
          <t>DALARNAS LÄN</t>
        </is>
      </c>
      <c r="G414" t="inlineStr">
        <is>
          <t>LUDVIKA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52466-2023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45225</v>
      </c>
      <c r="E415" s="1" t="n">
        <v>46304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46002</v>
      </c>
      <c r="E416" s="1" t="n">
        <v>46304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46304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46304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29114-2024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45481</v>
      </c>
      <c r="E419" s="1" t="n">
        <v>46304</v>
      </c>
      <c r="F419" t="inlineStr">
        <is>
          <t>DALARNAS LÄN</t>
        </is>
      </c>
      <c r="G419" t="inlineStr">
        <is>
          <t>LUDVIKA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16814-2024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45411</v>
      </c>
      <c r="E420" s="1" t="n">
        <v>46304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46304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46304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31270-2022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44771</v>
      </c>
      <c r="E423" s="1" t="n">
        <v>46304</v>
      </c>
      <c r="F423" t="inlineStr">
        <is>
          <t>DALARNAS LÄN</t>
        </is>
      </c>
      <c r="G423" t="inlineStr">
        <is>
          <t>LUDVIKA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46304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45624</v>
      </c>
      <c r="E425" s="1" t="n">
        <v>46304</v>
      </c>
      <c r="F425" t="inlineStr">
        <is>
          <t>DALARNAS LÄN</t>
        </is>
      </c>
      <c r="G425" t="inlineStr">
        <is>
          <t>LUDVIKA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46304</v>
      </c>
      <c r="F426" t="inlineStr">
        <is>
          <t>DALARNAS LÄN</t>
        </is>
      </c>
      <c r="G426" t="inlineStr">
        <is>
          <t>LUDVIKA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46304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39437-2023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46304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46304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45520</v>
      </c>
      <c r="E430" s="1" t="n">
        <v>46304</v>
      </c>
      <c r="F430" t="inlineStr">
        <is>
          <t>DALARNAS LÄN</t>
        </is>
      </c>
      <c r="G430" t="inlineStr">
        <is>
          <t>LUDVIKA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44883</v>
      </c>
      <c r="E431" s="1" t="n">
        <v>46304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56615-2025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45975</v>
      </c>
      <c r="E432" s="1" t="n">
        <v>46304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46185-2024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45581</v>
      </c>
      <c r="E433" s="1" t="n">
        <v>46304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46304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46304</v>
      </c>
      <c r="F435" t="inlineStr">
        <is>
          <t>DALARNAS LÄN</t>
        </is>
      </c>
      <c r="G435" t="inlineStr">
        <is>
          <t>LUDVIKA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45831</v>
      </c>
      <c r="E436" s="1" t="n">
        <v>46304</v>
      </c>
      <c r="F436" t="inlineStr">
        <is>
          <t>DALARNAS LÄN</t>
        </is>
      </c>
      <c r="G436" t="inlineStr">
        <is>
          <t>LUDVIKA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45062</v>
      </c>
      <c r="E437" s="1" t="n">
        <v>46304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46007</v>
      </c>
      <c r="E438" s="1" t="n">
        <v>46304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39849-2023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46304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45616</v>
      </c>
      <c r="E440" s="1" t="n">
        <v>46304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45765</v>
      </c>
      <c r="E441" s="1" t="n">
        <v>46304</v>
      </c>
      <c r="F441" t="inlineStr">
        <is>
          <t>DALARNAS LÄN</t>
        </is>
      </c>
      <c r="G441" t="inlineStr">
        <is>
          <t>LUDVIKA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45594</v>
      </c>
      <c r="E442" s="1" t="n">
        <v>46304</v>
      </c>
      <c r="F442" t="inlineStr">
        <is>
          <t>DALARNAS LÄN</t>
        </is>
      </c>
      <c r="G442" t="inlineStr">
        <is>
          <t>LUDVIKA</t>
        </is>
      </c>
      <c r="H442" t="inlineStr">
        <is>
          <t>Naturvårdsverket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46304</v>
      </c>
      <c r="F443" t="inlineStr">
        <is>
          <t>DALARNAS LÄN</t>
        </is>
      </c>
      <c r="G443" t="inlineStr">
        <is>
          <t>LUDVIKA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46304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70046-2021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44533</v>
      </c>
      <c r="E445" s="1" t="n">
        <v>46304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46142</v>
      </c>
      <c r="E446" s="1" t="n">
        <v>46304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45569</v>
      </c>
      <c r="E447" s="1" t="n">
        <v>46304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46304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17998-2025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45761</v>
      </c>
      <c r="E449" s="1" t="n">
        <v>46304</v>
      </c>
      <c r="F449" t="inlineStr">
        <is>
          <t>DALARNAS LÄN</t>
        </is>
      </c>
      <c r="G449" t="inlineStr">
        <is>
          <t>LUDVIKA</t>
        </is>
      </c>
      <c r="H449" t="inlineStr">
        <is>
          <t>Naturvårdsverket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45110</v>
      </c>
      <c r="E450" s="1" t="n">
        <v>46304</v>
      </c>
      <c r="F450" t="inlineStr">
        <is>
          <t>DALARNAS LÄN</t>
        </is>
      </c>
      <c r="G450" t="inlineStr">
        <is>
          <t>LUDVIKA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46304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39400-2023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46304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46304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45883</v>
      </c>
      <c r="E454" s="1" t="n">
        <v>46304</v>
      </c>
      <c r="F454" t="inlineStr">
        <is>
          <t>DALARNAS LÄN</t>
        </is>
      </c>
      <c r="G454" t="inlineStr">
        <is>
          <t>LUDVIKA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46304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46150</v>
      </c>
      <c r="E456" s="1" t="n">
        <v>46304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32119-2023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45119</v>
      </c>
      <c r="E457" s="1" t="n">
        <v>46304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21798-2026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46150</v>
      </c>
      <c r="E458" s="1" t="n">
        <v>46304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34845-2024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45526</v>
      </c>
      <c r="E459" s="1" t="n">
        <v>46304</v>
      </c>
      <c r="F459" t="inlineStr">
        <is>
          <t>DALARNAS LÄN</t>
        </is>
      </c>
      <c r="G459" t="inlineStr">
        <is>
          <t>LUDVIKA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25299-2022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44730</v>
      </c>
      <c r="E460" s="1" t="n">
        <v>46304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45373</v>
      </c>
      <c r="E461" s="1" t="n">
        <v>46304</v>
      </c>
      <c r="F461" t="inlineStr">
        <is>
          <t>DALARNAS LÄN</t>
        </is>
      </c>
      <c r="G461" t="inlineStr">
        <is>
          <t>LUDVIKA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46304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46304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45973</v>
      </c>
      <c r="E464" s="1" t="n">
        <v>46304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22580-2026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46304</v>
      </c>
      <c r="F465" t="inlineStr">
        <is>
          <t>DALARNAS LÄN</t>
        </is>
      </c>
      <c r="G465" t="inlineStr">
        <is>
          <t>LUDVIKA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45243</v>
      </c>
      <c r="E466" s="1" t="n">
        <v>46304</v>
      </c>
      <c r="F466" t="inlineStr">
        <is>
          <t>DALARNAS LÄN</t>
        </is>
      </c>
      <c r="G466" t="inlineStr">
        <is>
          <t>LUDVIKA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22464-2026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46304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46142</v>
      </c>
      <c r="E468" s="1" t="n">
        <v>46304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45679</v>
      </c>
      <c r="E469" s="1" t="n">
        <v>46304</v>
      </c>
      <c r="F469" t="inlineStr">
        <is>
          <t>DALARNAS LÄN</t>
        </is>
      </c>
      <c r="G469" t="inlineStr">
        <is>
          <t>LUDVIKA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45512</v>
      </c>
      <c r="E470" s="1" t="n">
        <v>46304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16843-2026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46113</v>
      </c>
      <c r="E471" s="1" t="n">
        <v>46304</v>
      </c>
      <c r="F471" t="inlineStr">
        <is>
          <t>DALARNAS LÄN</t>
        </is>
      </c>
      <c r="G471" t="inlineStr">
        <is>
          <t>LUDVIKA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46304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46160</v>
      </c>
      <c r="E473" s="1" t="n">
        <v>46304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23082-2026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46304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61309-2022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44915</v>
      </c>
      <c r="E475" s="1" t="n">
        <v>46304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45485</v>
      </c>
      <c r="E476" s="1" t="n">
        <v>46304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60788-2024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46304</v>
      </c>
      <c r="F477" t="inlineStr">
        <is>
          <t>DALARNAS LÄN</t>
        </is>
      </c>
      <c r="G477" t="inlineStr">
        <is>
          <t>LUDVIKA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46304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51043-2024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45603</v>
      </c>
      <c r="E479" s="1" t="n">
        <v>46304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55034-2024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45621</v>
      </c>
      <c r="E480" s="1" t="n">
        <v>46304</v>
      </c>
      <c r="F480" t="inlineStr">
        <is>
          <t>DALARNAS LÄN</t>
        </is>
      </c>
      <c r="G480" t="inlineStr">
        <is>
          <t>LUDVIKA</t>
        </is>
      </c>
      <c r="H480" t="inlineStr">
        <is>
          <t>Naturvårdsverket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44942</v>
      </c>
      <c r="E481" s="1" t="n">
        <v>46304</v>
      </c>
      <c r="F481" t="inlineStr">
        <is>
          <t>DALARNAS LÄN</t>
        </is>
      </c>
      <c r="G481" t="inlineStr">
        <is>
          <t>LUDVIKA</t>
        </is>
      </c>
      <c r="I481" t="n">
        <v>13.1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46304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23097-2025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46304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46304</v>
      </c>
      <c r="F484" t="inlineStr">
        <is>
          <t>DALARNAS LÄN</t>
        </is>
      </c>
      <c r="G484" t="inlineStr">
        <is>
          <t>LUDVIKA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45833</v>
      </c>
      <c r="E485" s="1" t="n">
        <v>46304</v>
      </c>
      <c r="F485" t="inlineStr">
        <is>
          <t>DALARNAS LÄN</t>
        </is>
      </c>
      <c r="G485" t="inlineStr">
        <is>
          <t>LUDVIKA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31818-2025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45834</v>
      </c>
      <c r="E486" s="1" t="n">
        <v>46304</v>
      </c>
      <c r="F486" t="inlineStr">
        <is>
          <t>DALARNAS LÄN</t>
        </is>
      </c>
      <c r="G486" t="inlineStr">
        <is>
          <t>LUDVIKA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46304</v>
      </c>
      <c r="F487" t="inlineStr">
        <is>
          <t>DALARNAS LÄN</t>
        </is>
      </c>
      <c r="G487" t="inlineStr">
        <is>
          <t>LUDVIKA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46304</v>
      </c>
      <c r="F488" t="inlineStr">
        <is>
          <t>DALARNAS LÄN</t>
        </is>
      </c>
      <c r="G488" t="inlineStr">
        <is>
          <t>LUDVIKA</t>
        </is>
      </c>
      <c r="H488" t="inlineStr">
        <is>
          <t>Naturvårdsverket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46171</v>
      </c>
      <c r="E489" s="1" t="n">
        <v>46304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16768-2025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45754</v>
      </c>
      <c r="E490" s="1" t="n">
        <v>46304</v>
      </c>
      <c r="F490" t="inlineStr">
        <is>
          <t>DALARNAS LÄN</t>
        </is>
      </c>
      <c r="G490" t="inlineStr">
        <is>
          <t>LUDVIKA</t>
        </is>
      </c>
      <c r="H490" t="inlineStr">
        <is>
          <t>Naturvårdsverket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44599</v>
      </c>
      <c r="E491" s="1" t="n">
        <v>46304</v>
      </c>
      <c r="F491" t="inlineStr">
        <is>
          <t>DALARNAS LÄN</t>
        </is>
      </c>
      <c r="G491" t="inlineStr">
        <is>
          <t>LUDVIKA</t>
        </is>
      </c>
      <c r="I491" t="n">
        <v>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46304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23515-2026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46304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46304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25320-2026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46304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46304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25193-2026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46304</v>
      </c>
      <c r="F497" t="inlineStr">
        <is>
          <t>DALARNAS LÄN</t>
        </is>
      </c>
      <c r="G497" t="inlineStr">
        <is>
          <t>LUDVIKA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46304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46171</v>
      </c>
      <c r="E499" s="1" t="n">
        <v>46304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46167</v>
      </c>
      <c r="E500" s="1" t="n">
        <v>46304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56818-2023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45244</v>
      </c>
      <c r="E501" s="1" t="n">
        <v>46304</v>
      </c>
      <c r="F501" t="inlineStr">
        <is>
          <t>DALARNAS LÄN</t>
        </is>
      </c>
      <c r="G501" t="inlineStr">
        <is>
          <t>LUDVIKA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44970</v>
      </c>
      <c r="E502" s="1" t="n">
        <v>46304</v>
      </c>
      <c r="F502" t="inlineStr">
        <is>
          <t>DALARNAS LÄN</t>
        </is>
      </c>
      <c r="G502" t="inlineStr">
        <is>
          <t>LUDVIKA</t>
        </is>
      </c>
      <c r="H502" t="inlineStr">
        <is>
          <t>Övriga Aktiebolag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46656-2023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45198</v>
      </c>
      <c r="E503" s="1" t="n">
        <v>46304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20969-2026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46142</v>
      </c>
      <c r="E504" s="1" t="n">
        <v>46304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49166-2025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45938</v>
      </c>
      <c r="E505" s="1" t="n">
        <v>46304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46304</v>
      </c>
      <c r="F506" t="inlineStr">
        <is>
          <t>DALARNAS LÄN</t>
        </is>
      </c>
      <c r="G506" t="inlineStr">
        <is>
          <t>LUDVIKA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53620-2022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44879</v>
      </c>
      <c r="E507" s="1" t="n">
        <v>46304</v>
      </c>
      <c r="F507" t="inlineStr">
        <is>
          <t>DALARNAS LÄN</t>
        </is>
      </c>
      <c r="G507" t="inlineStr">
        <is>
          <t>LUDVIKA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46304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46304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46304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57969-2024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45631</v>
      </c>
      <c r="E511" s="1" t="n">
        <v>46304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39761-2022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44819</v>
      </c>
      <c r="E512" s="1" t="n">
        <v>46304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46304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45596</v>
      </c>
      <c r="E514" s="1" t="n">
        <v>46304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21145-2023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45062</v>
      </c>
      <c r="E515" s="1" t="n">
        <v>46304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46304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15851-2024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45404</v>
      </c>
      <c r="E517" s="1" t="n">
        <v>46304</v>
      </c>
      <c r="F517" t="inlineStr">
        <is>
          <t>DALARNAS LÄN</t>
        </is>
      </c>
      <c r="G517" t="inlineStr">
        <is>
          <t>LUDVIKA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41400-2022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44826</v>
      </c>
      <c r="E518" s="1" t="n">
        <v>46304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46191</v>
      </c>
      <c r="E519" s="1" t="n">
        <v>46304</v>
      </c>
      <c r="F519" t="inlineStr">
        <is>
          <t>DALARNAS LÄN</t>
        </is>
      </c>
      <c r="G519" t="inlineStr">
        <is>
          <t>LUDVIKA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26727-2026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46184</v>
      </c>
      <c r="E520" s="1" t="n">
        <v>46304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46304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46304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27611-2026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46304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48774-2024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45593</v>
      </c>
      <c r="E524" s="1" t="n">
        <v>46304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46030</v>
      </c>
      <c r="E525" s="1" t="n">
        <v>46304</v>
      </c>
      <c r="F525" t="inlineStr">
        <is>
          <t>DALARNAS LÄN</t>
        </is>
      </c>
      <c r="G525" t="inlineStr">
        <is>
          <t>LUDVIKA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46304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46160</v>
      </c>
      <c r="E527" s="1" t="n">
        <v>46304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28714-2026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46304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45156</v>
      </c>
      <c r="E529" s="1" t="n">
        <v>46304</v>
      </c>
      <c r="F529" t="inlineStr">
        <is>
          <t>DALARNAS LÄN</t>
        </is>
      </c>
      <c r="G529" t="inlineStr">
        <is>
          <t>LUDVIKA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22817-2026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46160</v>
      </c>
      <c r="E530" s="1" t="n">
        <v>46304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46160</v>
      </c>
      <c r="E531" s="1" t="n">
        <v>46304</v>
      </c>
      <c r="F531" t="inlineStr">
        <is>
          <t>DALARNAS LÄN</t>
        </is>
      </c>
      <c r="G531" t="inlineStr">
        <is>
          <t>LUDVIKA</t>
        </is>
      </c>
      <c r="H531" t="inlineStr">
        <is>
          <t>Naturvårdsverket</t>
        </is>
      </c>
      <c r="I531" t="n">
        <v>9.9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46304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46304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11436-2024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45372</v>
      </c>
      <c r="E534" s="1" t="n">
        <v>46304</v>
      </c>
      <c r="F534" t="inlineStr">
        <is>
          <t>DALARNAS LÄN</t>
        </is>
      </c>
      <c r="G534" t="inlineStr">
        <is>
          <t>LUDVIKA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40142-2022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44820</v>
      </c>
      <c r="E535" s="1" t="n">
        <v>46304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40151-2022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44820</v>
      </c>
      <c r="E536" s="1" t="n">
        <v>46304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21741-2022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44708</v>
      </c>
      <c r="E537" s="1" t="n">
        <v>46304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46304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46304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10.4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51015-2023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45218</v>
      </c>
      <c r="E540" s="1" t="n">
        <v>46304</v>
      </c>
      <c r="F540" t="inlineStr">
        <is>
          <t>DALARNAS LÄN</t>
        </is>
      </c>
      <c r="G540" t="inlineStr">
        <is>
          <t>LUDVIKA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46304</v>
      </c>
      <c r="F541" t="inlineStr">
        <is>
          <t>DALARNAS LÄN</t>
        </is>
      </c>
      <c r="G541" t="inlineStr">
        <is>
          <t>LUDVIKA</t>
        </is>
      </c>
      <c r="H541" t="inlineStr">
        <is>
          <t>Naturvårdsverket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46304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30106-2026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46304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46304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46304</v>
      </c>
      <c r="F545" t="inlineStr">
        <is>
          <t>DALARNAS LÄN</t>
        </is>
      </c>
      <c r="G545" t="inlineStr">
        <is>
          <t>LUDVIKA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41616-2024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46304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33345-2024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45519</v>
      </c>
      <c r="E547" s="1" t="n">
        <v>46304</v>
      </c>
      <c r="F547" t="inlineStr">
        <is>
          <t>DALARNAS LÄN</t>
        </is>
      </c>
      <c r="G547" t="inlineStr">
        <is>
          <t>LUDVIKA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46304</v>
      </c>
      <c r="F548" t="inlineStr">
        <is>
          <t>DALARNAS LÄN</t>
        </is>
      </c>
      <c r="G548" t="inlineStr">
        <is>
          <t>LUDVIKA</t>
        </is>
      </c>
      <c r="H548" t="inlineStr">
        <is>
          <t>Kommuner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28062-2026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46195</v>
      </c>
      <c r="E549" s="1" t="n">
        <v>46304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46304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45071</v>
      </c>
      <c r="E551" s="1" t="n">
        <v>46304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3280-2024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45317</v>
      </c>
      <c r="E552" s="1" t="n">
        <v>46304</v>
      </c>
      <c r="F552" t="inlineStr">
        <is>
          <t>DALARNAS LÄN</t>
        </is>
      </c>
      <c r="G552" t="inlineStr">
        <is>
          <t>LUDVIKA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3470-2025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45680</v>
      </c>
      <c r="E553" s="1" t="n">
        <v>46304</v>
      </c>
      <c r="F553" t="inlineStr">
        <is>
          <t>DALARNAS LÄN</t>
        </is>
      </c>
      <c r="G553" t="inlineStr">
        <is>
          <t>LUDVIKA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48288-2023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45205</v>
      </c>
      <c r="E554" s="1" t="n">
        <v>46304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46304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2838-2022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44581</v>
      </c>
      <c r="E556" s="1" t="n">
        <v>46304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51029-2024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45603</v>
      </c>
      <c r="E557" s="1" t="n">
        <v>46304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22276-2026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46154</v>
      </c>
      <c r="E558" s="1" t="n">
        <v>46304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45685</v>
      </c>
      <c r="E559" s="1" t="n">
        <v>46304</v>
      </c>
      <c r="F559" t="inlineStr">
        <is>
          <t>DALARNAS LÄN</t>
        </is>
      </c>
      <c r="G559" t="inlineStr">
        <is>
          <t>LUDVIKA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46304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46304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28162-2026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46304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28116-2026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46304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46304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28801-2026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46304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40125-2024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45554</v>
      </c>
      <c r="E566" s="1" t="n">
        <v>46304</v>
      </c>
      <c r="F566" t="inlineStr">
        <is>
          <t>DALARNAS LÄN</t>
        </is>
      </c>
      <c r="G566" t="inlineStr">
        <is>
          <t>LUDVIKA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45253</v>
      </c>
      <c r="E567" s="1" t="n">
        <v>46304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46304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46304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46304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46304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46304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46304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31299-2026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46218</v>
      </c>
      <c r="E574" s="1" t="n">
        <v>46304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43839-2023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46304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31227-2026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46217</v>
      </c>
      <c r="E576" s="1" t="n">
        <v>46304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46304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46219</v>
      </c>
      <c r="E578" s="1" t="n">
        <v>46304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45110</v>
      </c>
      <c r="E579" s="1" t="n">
        <v>46304</v>
      </c>
      <c r="F579" t="inlineStr">
        <is>
          <t>DALARNAS LÄN</t>
        </is>
      </c>
      <c r="G579" t="inlineStr">
        <is>
          <t>LUDVIKA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35837-2026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46304</v>
      </c>
      <c r="F580" t="inlineStr">
        <is>
          <t>DALARNAS LÄN</t>
        </is>
      </c>
      <c r="G580" t="inlineStr">
        <is>
          <t>LUDVIKA</t>
        </is>
      </c>
      <c r="H580" t="inlineStr">
        <is>
          <t>Kyrkan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35490-2026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46262</v>
      </c>
      <c r="E581" s="1" t="n">
        <v>46304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19.9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25273-2022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44729</v>
      </c>
      <c r="E582" s="1" t="n">
        <v>46304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5673-2023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44960</v>
      </c>
      <c r="E583" s="1" t="n">
        <v>46304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44967</v>
      </c>
      <c r="E584" s="1" t="n">
        <v>46304</v>
      </c>
      <c r="F584" t="inlineStr">
        <is>
          <t>DALARNAS LÄN</t>
        </is>
      </c>
      <c r="G584" t="inlineStr">
        <is>
          <t>LUDVIKA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46267</v>
      </c>
      <c r="E585" s="1" t="n">
        <v>46304</v>
      </c>
      <c r="F585" t="inlineStr">
        <is>
          <t>DALARNAS LÄN</t>
        </is>
      </c>
      <c r="G585" t="inlineStr">
        <is>
          <t>LUDVIKA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60138-2023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45258</v>
      </c>
      <c r="E586" s="1" t="n">
        <v>46304</v>
      </c>
      <c r="F586" t="inlineStr">
        <is>
          <t>DALARNAS LÄN</t>
        </is>
      </c>
      <c r="G586" t="inlineStr">
        <is>
          <t>LUDVIKA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46225</v>
      </c>
      <c r="E587" s="1" t="n">
        <v>46304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46273</v>
      </c>
      <c r="E588" s="1" t="n">
        <v>46304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37586-2024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45541</v>
      </c>
      <c r="E589" s="1" t="n">
        <v>46304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55551-2024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45622</v>
      </c>
      <c r="E590" s="1" t="n">
        <v>46304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36820-2026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46272</v>
      </c>
      <c r="E591" s="1" t="n">
        <v>46304</v>
      </c>
      <c r="F591" t="inlineStr">
        <is>
          <t>DALARNAS LÄN</t>
        </is>
      </c>
      <c r="G591" t="inlineStr">
        <is>
          <t>LUDVIKA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46273</v>
      </c>
      <c r="E592" s="1" t="n">
        <v>46304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37052-2026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46273</v>
      </c>
      <c r="E593" s="1" t="n">
        <v>46304</v>
      </c>
      <c r="F593" t="inlineStr">
        <is>
          <t>DALARNAS LÄN</t>
        </is>
      </c>
      <c r="G593" t="inlineStr">
        <is>
          <t>LUDVIKA</t>
        </is>
      </c>
      <c r="I593" t="n">
        <v>8.5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37000-2026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46273</v>
      </c>
      <c r="E594" s="1" t="n">
        <v>46304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30844-2024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45497</v>
      </c>
      <c r="E595" s="1" t="n">
        <v>46304</v>
      </c>
      <c r="F595" t="inlineStr">
        <is>
          <t>DALARNAS LÄN</t>
        </is>
      </c>
      <c r="G595" t="inlineStr">
        <is>
          <t>LUDVIKA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45056</v>
      </c>
      <c r="E596" s="1" t="n">
        <v>46304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59347-2024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45638</v>
      </c>
      <c r="E597" s="1" t="n">
        <v>46304</v>
      </c>
      <c r="F597" t="inlineStr">
        <is>
          <t>DALARNAS LÄN</t>
        </is>
      </c>
      <c r="G597" t="inlineStr">
        <is>
          <t>LUDVIKA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31778-2026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46230</v>
      </c>
      <c r="E598" s="1" t="n">
        <v>46304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46230</v>
      </c>
      <c r="E599" s="1" t="n">
        <v>46304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30210-2026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46304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50777-2024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45602</v>
      </c>
      <c r="E601" s="1" t="n">
        <v>46304</v>
      </c>
      <c r="F601" t="inlineStr">
        <is>
          <t>DALARNAS LÄN</t>
        </is>
      </c>
      <c r="G601" t="inlineStr">
        <is>
          <t>LUDVIKA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41668-2023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46304</v>
      </c>
      <c r="F602" t="inlineStr">
        <is>
          <t>DALARNAS LÄN</t>
        </is>
      </c>
      <c r="G602" t="inlineStr">
        <is>
          <t>LUDVIKA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55462-2024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45622</v>
      </c>
      <c r="E603" s="1" t="n">
        <v>46304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55474-2024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45622</v>
      </c>
      <c r="E604" s="1" t="n">
        <v>46304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55510-2024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45622</v>
      </c>
      <c r="E605" s="1" t="n">
        <v>46304</v>
      </c>
      <c r="F605" t="inlineStr">
        <is>
          <t>DALARNAS LÄN</t>
        </is>
      </c>
      <c r="G605" t="inlineStr">
        <is>
          <t>LUDVIKA</t>
        </is>
      </c>
      <c r="H605" t="inlineStr">
        <is>
          <t>Naturvårdsverket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37359-2026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46275</v>
      </c>
      <c r="E606" s="1" t="n">
        <v>46304</v>
      </c>
      <c r="F606" t="inlineStr">
        <is>
          <t>DALARNAS LÄN</t>
        </is>
      </c>
      <c r="G606" t="inlineStr">
        <is>
          <t>LUDVIKA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45687</v>
      </c>
      <c r="E607" s="1" t="n">
        <v>46304</v>
      </c>
      <c r="F607" t="inlineStr">
        <is>
          <t>DALARNAS LÄN</t>
        </is>
      </c>
      <c r="G607" t="inlineStr">
        <is>
          <t>LUDVIKA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18421-2025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46304</v>
      </c>
      <c r="F608" t="inlineStr">
        <is>
          <t>DALARNAS LÄN</t>
        </is>
      </c>
      <c r="G608" t="inlineStr">
        <is>
          <t>LUDVIKA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50714-2024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45602</v>
      </c>
      <c r="E609" s="1" t="n">
        <v>46304</v>
      </c>
      <c r="F609" t="inlineStr">
        <is>
          <t>DALARNAS LÄN</t>
        </is>
      </c>
      <c r="G609" t="inlineStr">
        <is>
          <t>LUDVIKA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46279</v>
      </c>
      <c r="E610" s="1" t="n">
        <v>46304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32016-2026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46233</v>
      </c>
      <c r="E611" s="1" t="n">
        <v>46304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46304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46276</v>
      </c>
      <c r="E613" s="1" t="n">
        <v>46304</v>
      </c>
      <c r="F613" t="inlineStr">
        <is>
          <t>DALARNAS LÄN</t>
        </is>
      </c>
      <c r="G613" t="inlineStr">
        <is>
          <t>LUDVIKA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37706-2026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46279</v>
      </c>
      <c r="E614" s="1" t="n">
        <v>46304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36073-2026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46267</v>
      </c>
      <c r="E615" s="1" t="n">
        <v>46304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46267</v>
      </c>
      <c r="E616" s="1" t="n">
        <v>46304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37957-2026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46280</v>
      </c>
      <c r="E617" s="1" t="n">
        <v>46304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38160-2026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46281</v>
      </c>
      <c r="E618" s="1" t="n">
        <v>46304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46304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7.7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38359-2024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45545</v>
      </c>
      <c r="E620" s="1" t="n">
        <v>46304</v>
      </c>
      <c r="F620" t="inlineStr">
        <is>
          <t>DALARNAS LÄN</t>
        </is>
      </c>
      <c r="G620" t="inlineStr">
        <is>
          <t>LUDVIKA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21893-2025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45784</v>
      </c>
      <c r="E621" s="1" t="n">
        <v>46304</v>
      </c>
      <c r="F621" t="inlineStr">
        <is>
          <t>DALARNAS LÄN</t>
        </is>
      </c>
      <c r="G621" t="inlineStr">
        <is>
          <t>LUDVIKA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42421-2024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45565</v>
      </c>
      <c r="E622" s="1" t="n">
        <v>46304</v>
      </c>
      <c r="F622" t="inlineStr">
        <is>
          <t>DALARNAS LÄN</t>
        </is>
      </c>
      <c r="G622" t="inlineStr">
        <is>
          <t>LUDVIKA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53602-2023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45230</v>
      </c>
      <c r="E623" s="1" t="n">
        <v>46304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52359-2024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45609</v>
      </c>
      <c r="E624" s="1" t="n">
        <v>46304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46283</v>
      </c>
      <c r="E625" s="1" t="n">
        <v>46304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6.5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21891-2025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45784</v>
      </c>
      <c r="E626" s="1" t="n">
        <v>46304</v>
      </c>
      <c r="F626" t="inlineStr">
        <is>
          <t>DALARNAS LÄN</t>
        </is>
      </c>
      <c r="G626" t="inlineStr">
        <is>
          <t>LUDVIKA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33914-2023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45134</v>
      </c>
      <c r="E627" s="1" t="n">
        <v>46304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46283</v>
      </c>
      <c r="E628" s="1" t="n">
        <v>46304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46095-2024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45581</v>
      </c>
      <c r="E629" s="1" t="n">
        <v>46304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41539-2024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45560</v>
      </c>
      <c r="E630" s="1" t="n">
        <v>46304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45789</v>
      </c>
      <c r="E631" s="1" t="n">
        <v>46304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22606-2025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45789</v>
      </c>
      <c r="E632" s="1" t="n">
        <v>46304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22610-2025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45789</v>
      </c>
      <c r="E633" s="1" t="n">
        <v>46304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46093-2024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45581</v>
      </c>
      <c r="E634" s="1" t="n">
        <v>46304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46107-2024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45581</v>
      </c>
      <c r="E635" s="1" t="n">
        <v>46304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38620-2026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46283</v>
      </c>
      <c r="E636" s="1" t="n">
        <v>46304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46304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38357-2026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46282</v>
      </c>
      <c r="E638" s="1" t="n">
        <v>46304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50240-2024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45600</v>
      </c>
      <c r="E639" s="1" t="n">
        <v>46304</v>
      </c>
      <c r="F639" t="inlineStr">
        <is>
          <t>DALARNAS LÄN</t>
        </is>
      </c>
      <c r="G639" t="inlineStr">
        <is>
          <t>LUDVIKA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43702-2024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45569</v>
      </c>
      <c r="E640" s="1" t="n">
        <v>46304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45460</v>
      </c>
      <c r="E641" s="1" t="n">
        <v>46304</v>
      </c>
      <c r="F641" t="inlineStr">
        <is>
          <t>DALARNAS LÄN</t>
        </is>
      </c>
      <c r="G641" t="inlineStr">
        <is>
          <t>LUDVIKA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22599-2025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45789</v>
      </c>
      <c r="E642" s="1" t="n">
        <v>46304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23088-2025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45791</v>
      </c>
      <c r="E643" s="1" t="n">
        <v>46304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23105-2025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45791</v>
      </c>
      <c r="E644" s="1" t="n">
        <v>46304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32749-2026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46241</v>
      </c>
      <c r="E645" s="1" t="n">
        <v>46304</v>
      </c>
      <c r="F645" t="inlineStr">
        <is>
          <t>DALARNAS LÄN</t>
        </is>
      </c>
      <c r="G645" t="inlineStr">
        <is>
          <t>LUDVIKA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39093-2026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46287</v>
      </c>
      <c r="E646" s="1" t="n">
        <v>46304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34280-2024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45524</v>
      </c>
      <c r="E647" s="1" t="n">
        <v>46304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36066-2024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45533</v>
      </c>
      <c r="E648" s="1" t="n">
        <v>46304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47233-2024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45586</v>
      </c>
      <c r="E649" s="1" t="n">
        <v>46304</v>
      </c>
      <c r="F649" t="inlineStr">
        <is>
          <t>DALARNAS LÄN</t>
        </is>
      </c>
      <c r="G649" t="inlineStr">
        <is>
          <t>LUDVIKA</t>
        </is>
      </c>
      <c r="I649" t="n">
        <v>9.5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39104-2026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46287</v>
      </c>
      <c r="E650" s="1" t="n">
        <v>46304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46241</v>
      </c>
      <c r="E651" s="1" t="n">
        <v>46304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46241</v>
      </c>
      <c r="E652" s="1" t="n">
        <v>46304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22686-2025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45786</v>
      </c>
      <c r="E653" s="1" t="n">
        <v>46304</v>
      </c>
      <c r="F653" t="inlineStr">
        <is>
          <t>DALARNAS LÄN</t>
        </is>
      </c>
      <c r="G653" t="inlineStr">
        <is>
          <t>LUDVIKA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46241</v>
      </c>
      <c r="E654" s="1" t="n">
        <v>46304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61278-2022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44915</v>
      </c>
      <c r="E655" s="1" t="n">
        <v>46304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19677-2025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45770</v>
      </c>
      <c r="E656" s="1" t="n">
        <v>46304</v>
      </c>
      <c r="F656" t="inlineStr">
        <is>
          <t>DALARNAS LÄN</t>
        </is>
      </c>
      <c r="G656" t="inlineStr">
        <is>
          <t>LUDVIKA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23137-2025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45791</v>
      </c>
      <c r="E657" s="1" t="n">
        <v>46304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32757-2026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46241</v>
      </c>
      <c r="E658" s="1" t="n">
        <v>46304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23443-2024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45453</v>
      </c>
      <c r="E659" s="1" t="n">
        <v>46304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37549-2024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45541</v>
      </c>
      <c r="E660" s="1" t="n">
        <v>46304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20642-2025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45776</v>
      </c>
      <c r="E661" s="1" t="n">
        <v>46304</v>
      </c>
      <c r="F661" t="inlineStr">
        <is>
          <t>DALARNAS LÄN</t>
        </is>
      </c>
      <c r="G661" t="inlineStr">
        <is>
          <t>LUDVIKA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24027-2025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45796</v>
      </c>
      <c r="E662" s="1" t="n">
        <v>46304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23117-2025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45791</v>
      </c>
      <c r="E663" s="1" t="n">
        <v>46304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45791</v>
      </c>
      <c r="E664" s="1" t="n">
        <v>46304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39435-2026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46288</v>
      </c>
      <c r="E665" s="1" t="n">
        <v>46304</v>
      </c>
      <c r="F665" t="inlineStr">
        <is>
          <t>DALARNAS LÄN</t>
        </is>
      </c>
      <c r="G665" t="inlineStr">
        <is>
          <t>LUDVIKA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30977-2024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45499</v>
      </c>
      <c r="E666" s="1" t="n">
        <v>46304</v>
      </c>
      <c r="F666" t="inlineStr">
        <is>
          <t>DALARNAS LÄN</t>
        </is>
      </c>
      <c r="G666" t="inlineStr">
        <is>
          <t>LUDVIKA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25004-2025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45799</v>
      </c>
      <c r="E667" s="1" t="n">
        <v>46304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46304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38869-2026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46286</v>
      </c>
      <c r="E669" s="1" t="n">
        <v>46304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25235-2025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45800</v>
      </c>
      <c r="E670" s="1" t="n">
        <v>46304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46304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45805</v>
      </c>
      <c r="E672" s="1" t="n">
        <v>46304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39879-2026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46304</v>
      </c>
      <c r="F673" t="inlineStr">
        <is>
          <t>DALARNAS LÄN</t>
        </is>
      </c>
      <c r="G673" t="inlineStr">
        <is>
          <t>LUDVIKA</t>
        </is>
      </c>
      <c r="H673" t="inlineStr">
        <is>
          <t>Naturvårdsverket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46290</v>
      </c>
      <c r="E674" s="1" t="n">
        <v>46304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33419-2026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46304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38831-2026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46286</v>
      </c>
      <c r="E676" s="1" t="n">
        <v>46304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26698-2025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45810</v>
      </c>
      <c r="E677" s="1" t="n">
        <v>46304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33689-2026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46248</v>
      </c>
      <c r="E678" s="1" t="n">
        <v>46304</v>
      </c>
      <c r="F678" t="inlineStr">
        <is>
          <t>DALARNAS LÄN</t>
        </is>
      </c>
      <c r="G678" t="inlineStr">
        <is>
          <t>LUDVIKA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26794-2025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45810</v>
      </c>
      <c r="E679" s="1" t="n">
        <v>46304</v>
      </c>
      <c r="F679" t="inlineStr">
        <is>
          <t>DALARNAS LÄN</t>
        </is>
      </c>
      <c r="G679" t="inlineStr">
        <is>
          <t>LUDVIKA</t>
        </is>
      </c>
      <c r="H679" t="inlineStr">
        <is>
          <t>Kommuner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26628-2025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45810</v>
      </c>
      <c r="E680" s="1" t="n">
        <v>46304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43700-2024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45569</v>
      </c>
      <c r="E681" s="1" t="n">
        <v>46304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46247</v>
      </c>
      <c r="E682" s="1" t="n">
        <v>46304</v>
      </c>
      <c r="F682" t="inlineStr">
        <is>
          <t>DALARNAS LÄN</t>
        </is>
      </c>
      <c r="G682" t="inlineStr">
        <is>
          <t>LUDVIKA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39878-2026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46290</v>
      </c>
      <c r="E683" s="1" t="n">
        <v>46304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46304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39789-2026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46304</v>
      </c>
      <c r="F685" t="inlineStr">
        <is>
          <t>DALARNAS LÄN</t>
        </is>
      </c>
      <c r="G685" t="inlineStr">
        <is>
          <t>LUDVIKA</t>
        </is>
      </c>
      <c r="H685" t="inlineStr">
        <is>
          <t>Naturvårdsverket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27506-2025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45813</v>
      </c>
      <c r="E686" s="1" t="n">
        <v>46304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27448-2025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46304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27525-2025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45813</v>
      </c>
      <c r="E688" s="1" t="n">
        <v>46304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45813</v>
      </c>
      <c r="E689" s="1" t="n">
        <v>46304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46294</v>
      </c>
      <c r="E690" s="1" t="n">
        <v>46304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40438-2026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46294</v>
      </c>
      <c r="E691" s="1" t="n">
        <v>46304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40445-2026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46294</v>
      </c>
      <c r="E692" s="1" t="n">
        <v>46304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29443-2025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45824</v>
      </c>
      <c r="E693" s="1" t="n">
        <v>46304</v>
      </c>
      <c r="F693" t="inlineStr">
        <is>
          <t>DALARNAS LÄN</t>
        </is>
      </c>
      <c r="G693" t="inlineStr">
        <is>
          <t>LUDVIKA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30288-2025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45827</v>
      </c>
      <c r="E694" s="1" t="n">
        <v>46304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29966-2025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45826</v>
      </c>
      <c r="E695" s="1" t="n">
        <v>46304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29918-2025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45826</v>
      </c>
      <c r="E696" s="1" t="n">
        <v>46304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40431-2026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46294</v>
      </c>
      <c r="E697" s="1" t="n">
        <v>46304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30760-2025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45831</v>
      </c>
      <c r="E698" s="1" t="n">
        <v>46304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46294</v>
      </c>
      <c r="E699" s="1" t="n">
        <v>46304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45831</v>
      </c>
      <c r="E700" s="1" t="n">
        <v>46304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31001-2025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45832</v>
      </c>
      <c r="E701" s="1" t="n">
        <v>46304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32019-2025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45835</v>
      </c>
      <c r="E702" s="1" t="n">
        <v>46304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17913-2026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46304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34584-2026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46255</v>
      </c>
      <c r="E704" s="1" t="n">
        <v>46304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46255</v>
      </c>
      <c r="E705" s="1" t="n">
        <v>46304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33397-2026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46247</v>
      </c>
      <c r="E706" s="1" t="n">
        <v>46304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34631-2026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46255</v>
      </c>
      <c r="E707" s="1" t="n">
        <v>46304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34558-2026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46255</v>
      </c>
      <c r="E708" s="1" t="n">
        <v>46304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46304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46258</v>
      </c>
      <c r="E710" s="1" t="n">
        <v>46304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41443-2026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46301</v>
      </c>
      <c r="E711" s="1" t="n">
        <v>46304</v>
      </c>
      <c r="F711" t="inlineStr">
        <is>
          <t>DALARNAS LÄN</t>
        </is>
      </c>
      <c r="G711" t="inlineStr">
        <is>
          <t>LUDVIKA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31393-2026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46220</v>
      </c>
      <c r="E712" s="1" t="n">
        <v>46304</v>
      </c>
      <c r="F712" t="inlineStr">
        <is>
          <t>DALARNAS LÄN</t>
        </is>
      </c>
      <c r="G712" t="inlineStr">
        <is>
          <t>LUDVIKA</t>
        </is>
      </c>
      <c r="H712" t="inlineStr">
        <is>
          <t>Naturvårdsverket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34632-2026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46255</v>
      </c>
      <c r="E713" s="1" t="n">
        <v>46304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34550-2026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46255</v>
      </c>
      <c r="E714" s="1" t="n">
        <v>46304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34599-2026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46255</v>
      </c>
      <c r="E715" s="1" t="n">
        <v>46304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34147-2026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46253</v>
      </c>
      <c r="E716" s="1" t="n">
        <v>46304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35105-2026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46260</v>
      </c>
      <c r="E717" s="1" t="n">
        <v>46304</v>
      </c>
      <c r="F717" t="inlineStr">
        <is>
          <t>DALARNAS LÄN</t>
        </is>
      </c>
      <c r="G717" t="inlineStr">
        <is>
          <t>LUDVIKA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35103-2026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46260</v>
      </c>
      <c r="E718" s="1" t="n">
        <v>46304</v>
      </c>
      <c r="F718" t="inlineStr">
        <is>
          <t>DALARNAS LÄN</t>
        </is>
      </c>
      <c r="G718" t="inlineStr">
        <is>
          <t>LUDVIKA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35179-2026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46260</v>
      </c>
      <c r="E719" s="1" t="n">
        <v>46304</v>
      </c>
      <c r="F719" t="inlineStr">
        <is>
          <t>DALARNAS LÄN</t>
        </is>
      </c>
      <c r="G719" t="inlineStr">
        <is>
          <t>LUDVIKA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46258</v>
      </c>
      <c r="E720" s="1" t="n">
        <v>46304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35648-2026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46265</v>
      </c>
      <c r="E721" s="1" t="n">
        <v>46304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2837-2023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45167</v>
      </c>
      <c r="E722" s="1" t="n">
        <v>46304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1122-2023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46304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115.7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3660-2023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45216</v>
      </c>
      <c r="E724" s="1" t="n">
        <v>46304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1246-2024</t>
        </is>
      </c>
      <c r="B725" t="inlineStr">
        <is>
          <t>samrådsanmälan</t>
        </is>
      </c>
      <c r="C725" t="inlineStr">
        <is>
          <t>Skogsgödsling</t>
        </is>
      </c>
      <c r="D725" s="1" t="n">
        <v>45400</v>
      </c>
      <c r="E725" s="1" t="n">
        <v>46304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35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1096-2024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45391</v>
      </c>
      <c r="E726" s="1" t="n">
        <v>46304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26.7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4863-2022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44805</v>
      </c>
      <c r="E727" s="1" t="n">
        <v>46304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1113-2023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46304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>
      <c r="A729" t="inlineStr">
        <is>
          <t>S 1815-2026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46190</v>
      </c>
      <c r="E729" s="1" t="n">
        <v>46304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2026-10-09T02:07:06Z</dcterms:created>
  <dcterms:modified xmlns:dcterms="http://purl.org/dc/terms/" xmlns:xsi="http://www.w3.org/2001/XMLSchema-instance" xsi:type="dcterms:W3CDTF">2026-10-09T02:07:07Z</dcterms:modified>
</cp:coreProperties>
</file>
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46252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46252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46252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46252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46252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46252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46252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46252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46252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46252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46252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46252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46252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46252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46252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46252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46252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57701-2025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46252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5.5</v>
      </c>
      <c r="J19" t="n">
        <v>6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8</v>
      </c>
      <c r="T19" t="n">
        <v>25</v>
      </c>
      <c r="U19" t="n">
        <v>24</v>
      </c>
      <c r="V19" s="2" t="inlineStr">
        <is>
          <t>Knärot
Kortskaftad ärgspik
Sparvuggla
Tretåig hackspett
Vedticka
Järpe
Spillkråka
Utter</t>
        </is>
      </c>
      <c r="W19">
        <f>HYPERLINK("https://klasma.github.io/Logging_2085/artfynd/A 57701-2025 artfynd.xlsx", "A 57701-2025")</f>
        <v/>
      </c>
      <c r="X19">
        <f>HYPERLINK("https://klasma.github.io/Logging_2085/kartor/A 57701-2025 karta.png", "A 57701-2025")</f>
        <v/>
      </c>
      <c r="Y19">
        <f>HYPERLINK("https://klasma.github.io/Logging_2085/kartor_geotiff/A 57701-2025 georefererad karta.tif", "A 57701-2025")</f>
        <v/>
      </c>
      <c r="Z19">
        <f>HYPERLINK("https://klasma.github.io/Logging_2085/knärot/A 57701-2025 karta knärot.png", "A 57701-2025")</f>
        <v/>
      </c>
      <c r="AA19">
        <f>HYPERLINK("https://klasma.github.io/Logging_2085/klagomål/A 57701-2025 FSC-klagomål.docx", "A 57701-2025")</f>
        <v/>
      </c>
      <c r="AB19">
        <f>HYPERLINK("https://klasma.github.io/Logging_2085/klagomålsmail/A 57701-2025 FSC-klagomål mail.docx", "A 57701-2025")</f>
        <v/>
      </c>
      <c r="AC19">
        <f>HYPERLINK("https://klasma.github.io/Logging_2085/tillsyn/A 57701-2025 tillsynsbegäran.docx", "A 57701-2025")</f>
        <v/>
      </c>
      <c r="AD19">
        <f>HYPERLINK("https://klasma.github.io/Logging_2085/tillsynsmail/A 57701-2025 tillsynsbegäran mail.docx", "A 57701-2025")</f>
        <v/>
      </c>
      <c r="AE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46252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46252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46252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t="n">
        <v>0</v>
      </c>
      <c r="V22" s="2" t="inlineStr">
        <is>
          <t>Aspgelélav
Gränsticka
Bårdlav
Dvärgtufs
Luddlav
Skinnlav
Sotlav
Vedticka</t>
        </is>
      </c>
      <c r="W22">
        <f>HYPERLINK("https://klasma.github.io/Logging_2085/artfynd/A 50453-2025 artfynd.xlsx", "A 50453-2025")</f>
        <v/>
      </c>
      <c r="X22">
        <f>HYPERLINK("https://klasma.github.io/Logging_2085/kartor/A 50453-2025 karta.png", "A 50453-2025")</f>
        <v/>
      </c>
      <c r="Y22">
        <f>HYPERLINK("https://klasma.github.io/Logging_2085/kartor_geotiff/A 50453-2025 georefererad karta.tif", "A 50453-2025")</f>
        <v/>
      </c>
      <c r="AA22">
        <f>HYPERLINK("https://klasma.github.io/Logging_2085/klagomål/A 50453-2025 FSC-klagomål.docx", "A 50453-2025")</f>
        <v/>
      </c>
      <c r="AB22">
        <f>HYPERLINK("https://klasma.github.io/Logging_2085/klagomålsmail/A 50453-2025 FSC-klagomål mail.docx", "A 50453-2025")</f>
        <v/>
      </c>
      <c r="AC22">
        <f>HYPERLINK("https://klasma.github.io/Logging_2085/tillsyn/A 50453-2025 tillsynsbegäran.docx", "A 50453-2025")</f>
        <v/>
      </c>
      <c r="AD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46252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46252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46252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46252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46252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46252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46252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59946-2025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45993</v>
      </c>
      <c r="E30" s="1" t="n">
        <v>46252</v>
      </c>
      <c r="F30" t="inlineStr">
        <is>
          <t>DALARNAS LÄN</t>
        </is>
      </c>
      <c r="G30" t="inlineStr">
        <is>
          <t>LUDVIKA</t>
        </is>
      </c>
      <c r="I30" t="n">
        <v>2.3</v>
      </c>
      <c r="J30" t="n">
        <v>2</v>
      </c>
      <c r="K30" t="n">
        <v>1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16</v>
      </c>
      <c r="U30" t="n">
        <v>16</v>
      </c>
      <c r="V30" s="2" t="inlineStr">
        <is>
          <t>Garnlav
Knärot
Kolflarnlav
Mörk kolflarnlav
Tretåig hackspett
Mindre märgborre</t>
        </is>
      </c>
      <c r="W30">
        <f>HYPERLINK("https://klasma.github.io/Logging_2085/artfynd/A 59946-2025 artfynd.xlsx", "A 59946-2025")</f>
        <v/>
      </c>
      <c r="X30">
        <f>HYPERLINK("https://klasma.github.io/Logging_2085/kartor/A 59946-2025 karta.png", "A 59946-2025")</f>
        <v/>
      </c>
      <c r="Y30">
        <f>HYPERLINK("https://klasma.github.io/Logging_2085/kartor_geotiff/A 59946-2025 georefererad karta.tif", "A 59946-2025")</f>
        <v/>
      </c>
      <c r="Z30">
        <f>HYPERLINK("https://klasma.github.io/Logging_2085/knärot/A 59946-2025 karta knärot.png", "A 59946-2025")</f>
        <v/>
      </c>
      <c r="AA30">
        <f>HYPERLINK("https://klasma.github.io/Logging_2085/klagomål/A 59946-2025 FSC-klagomål.docx", "A 59946-2025")</f>
        <v/>
      </c>
      <c r="AB30">
        <f>HYPERLINK("https://klasma.github.io/Logging_2085/klagomålsmail/A 59946-2025 FSC-klagomål mail.docx", "A 59946-2025")</f>
        <v/>
      </c>
      <c r="AC30">
        <f>HYPERLINK("https://klasma.github.io/Logging_2085/tillsyn/A 59946-2025 tillsynsbegäran.docx", "A 59946-2025")</f>
        <v/>
      </c>
      <c r="AD30">
        <f>HYPERLINK("https://klasma.github.io/Logging_2085/tillsynsmail/A 59946-2025 tillsynsbegäran mail.docx", "A 59946-2025")</f>
        <v/>
      </c>
      <c r="AE30">
        <f>HYPERLINK("https://klasma.github.io/Logging_2085/fåglar/A 59946-2025 prioriterade fågelarter.docx", "A 59946-2025")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46252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49775-2025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45940</v>
      </c>
      <c r="E32" s="1" t="n">
        <v>46252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25.5</v>
      </c>
      <c r="J32" t="n">
        <v>3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6</v>
      </c>
      <c r="T32" t="n">
        <v>20</v>
      </c>
      <c r="U32" t="n">
        <v>20</v>
      </c>
      <c r="V32" s="2" t="inlineStr">
        <is>
          <t>Garnlav
Kolflarnlav
Tretåig hackspett
Mindre märgborre
Järpe
Orre</t>
        </is>
      </c>
      <c r="W32">
        <f>HYPERLINK("https://klasma.github.io/Logging_2085/artfynd/A 49775-2025 artfynd.xlsx", "A 49775-2025")</f>
        <v/>
      </c>
      <c r="X32">
        <f>HYPERLINK("https://klasma.github.io/Logging_2085/kartor/A 49775-2025 karta.png", "A 49775-2025")</f>
        <v/>
      </c>
      <c r="Y32">
        <f>HYPERLINK("https://klasma.github.io/Logging_2085/kartor_geotiff/A 49775-2025 georefererad karta.tif", "A 49775-2025")</f>
        <v/>
      </c>
      <c r="AA32">
        <f>HYPERLINK("https://klasma.github.io/Logging_2085/klagomål/A 49775-2025 FSC-klagomål.docx", "A 49775-2025")</f>
        <v/>
      </c>
      <c r="AB32">
        <f>HYPERLINK("https://klasma.github.io/Logging_2085/klagomålsmail/A 49775-2025 FSC-klagomål mail.docx", "A 49775-2025")</f>
        <v/>
      </c>
      <c r="AC32">
        <f>HYPERLINK("https://klasma.github.io/Logging_2085/tillsyn/A 49775-2025 tillsynsbegäran.docx", "A 49775-2025")</f>
        <v/>
      </c>
      <c r="AD32">
        <f>HYPERLINK("https://klasma.github.io/Logging_2085/tillsynsmail/A 49775-2025 tillsynsbegäran mail.docx", "A 49775-2025")</f>
        <v/>
      </c>
      <c r="AE32">
        <f>HYPERLINK("https://klasma.github.io/Logging_2085/fåglar/A 49775-2025 prioriterade fågelarter.docx", "A 49775-2025")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46252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23862-2026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46252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4.5</v>
      </c>
      <c r="J34" t="n">
        <v>1</v>
      </c>
      <c r="K34" t="n">
        <v>5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6</v>
      </c>
      <c r="T34" t="n">
        <v>7</v>
      </c>
      <c r="U34" t="n">
        <v>0</v>
      </c>
      <c r="V34" s="2" t="inlineStr">
        <is>
          <t>Bårdlav
Dvärgtufs
Korallblylav
Skinnlav
Stuplav
Utter</t>
        </is>
      </c>
      <c r="W34">
        <f>HYPERLINK("https://klasma.github.io/Logging_2085/artfynd/A 23862-2026 artfynd.xlsx", "A 23862-2026")</f>
        <v/>
      </c>
      <c r="X34">
        <f>HYPERLINK("https://klasma.github.io/Logging_2085/kartor/A 23862-2026 karta.png", "A 23862-2026")</f>
        <v/>
      </c>
      <c r="Y34">
        <f>HYPERLINK("https://klasma.github.io/Logging_2085/kartor_geotiff/A 23862-2026 georefererad karta.tif", "A 23862-2026")</f>
        <v/>
      </c>
      <c r="AA34">
        <f>HYPERLINK("https://klasma.github.io/Logging_2085/klagomål/A 23862-2026 FSC-klagomål.docx", "A 23862-2026")</f>
        <v/>
      </c>
      <c r="AB34">
        <f>HYPERLINK("https://klasma.github.io/Logging_2085/klagomålsmail/A 23862-2026 FSC-klagomål mail.docx", "A 23862-2026")</f>
        <v/>
      </c>
      <c r="AC34">
        <f>HYPERLINK("https://klasma.github.io/Logging_2085/tillsyn/A 23862-2026 tillsynsbegäran.docx", "A 23862-2026")</f>
        <v/>
      </c>
      <c r="AD34">
        <f>HYPERLINK("https://klasma.github.io/Logging_2085/tillsynsmail/A 23862-2026 tillsynsbegäran mail.docx", "A 23862-2026")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46252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46252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46252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46252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46252</v>
      </c>
      <c r="F39" t="inlineStr">
        <is>
          <t>DALARNAS LÄN</t>
        </is>
      </c>
      <c r="G39" t="inlineStr">
        <is>
          <t>LUDVIKA</t>
        </is>
      </c>
      <c r="I39" t="n">
        <v>1.4</v>
      </c>
      <c r="J39" t="n">
        <v>2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Mindre märgborre
Järpe
Spillkråka
Timmerticka</t>
        </is>
      </c>
      <c r="W39">
        <f>HYPERLINK("https://klasma.github.io/Logging_2085/artfynd/A 23711-2026 artfynd.xlsx", "A 23711-2026")</f>
        <v/>
      </c>
      <c r="X39">
        <f>HYPERLINK("https://klasma.github.io/Logging_2085/kartor/A 23711-2026 karta.png", "A 23711-2026")</f>
        <v/>
      </c>
      <c r="Y39">
        <f>HYPERLINK("https://klasma.github.io/Logging_2085/kartor_geotiff/A 23711-2026 georefererad karta.tif", "A 23711-2026")</f>
        <v/>
      </c>
      <c r="AA39">
        <f>HYPERLINK("https://klasma.github.io/Logging_2085/klagomål/A 23711-2026 FSC-klagomål.docx", "A 23711-2026")</f>
        <v/>
      </c>
      <c r="AB39">
        <f>HYPERLINK("https://klasma.github.io/Logging_2085/klagomålsmail/A 23711-2026 FSC-klagomål mail.docx", "A 23711-2026")</f>
        <v/>
      </c>
      <c r="AC39">
        <f>HYPERLINK("https://klasma.github.io/Logging_2085/tillsyn/A 23711-2026 tillsynsbegäran.docx", "A 23711-2026")</f>
        <v/>
      </c>
      <c r="AD39">
        <f>HYPERLINK("https://klasma.github.io/Logging_2085/tillsynsmail/A 23711-2026 tillsynsbegäran mail.docx", "A 23711-2026")</f>
        <v/>
      </c>
      <c r="AE39">
        <f>HYPERLINK("https://klasma.github.io/Logging_2085/fåglar/A 23711-2026 prioriterade fågelarter.docx", "A 23711-2026")</f>
        <v/>
      </c>
    </row>
    <row r="40" ht="15" customHeight="1">
      <c r="A40" t="inlineStr">
        <is>
          <t>A 23714-2026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46252</v>
      </c>
      <c r="F40" t="inlineStr">
        <is>
          <t>DALARNAS LÄN</t>
        </is>
      </c>
      <c r="G40" t="inlineStr">
        <is>
          <t>LUDVIKA</t>
        </is>
      </c>
      <c r="I40" t="n">
        <v>4.6</v>
      </c>
      <c r="J40" t="n">
        <v>2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7</v>
      </c>
      <c r="V40" s="2" t="inlineStr">
        <is>
          <t>Garnlav
Rosenticka
Tretåig hackspett
Ullticka
Spillkråka</t>
        </is>
      </c>
      <c r="W40">
        <f>HYPERLINK("https://klasma.github.io/Logging_2085/artfynd/A 23714-2026 artfynd.xlsx", "A 23714-2026")</f>
        <v/>
      </c>
      <c r="X40">
        <f>HYPERLINK("https://klasma.github.io/Logging_2085/kartor/A 23714-2026 karta.png", "A 23714-2026")</f>
        <v/>
      </c>
      <c r="Y40">
        <f>HYPERLINK("https://klasma.github.io/Logging_2085/kartor_geotiff/A 23714-2026 georefererad karta.tif", "A 23714-2026")</f>
        <v/>
      </c>
      <c r="AA40">
        <f>HYPERLINK("https://klasma.github.io/Logging_2085/klagomål/A 23714-2026 FSC-klagomål.docx", "A 23714-2026")</f>
        <v/>
      </c>
      <c r="AB40">
        <f>HYPERLINK("https://klasma.github.io/Logging_2085/klagomålsmail/A 23714-2026 FSC-klagomål mail.docx", "A 23714-2026")</f>
        <v/>
      </c>
      <c r="AC40">
        <f>HYPERLINK("https://klasma.github.io/Logging_2085/tillsyn/A 23714-2026 tillsynsbegäran.docx", "A 23714-2026")</f>
        <v/>
      </c>
      <c r="AD40">
        <f>HYPERLINK("https://klasma.github.io/Logging_2085/tillsynsmail/A 23714-2026 tillsynsbegäran mail.docx", "A 23714-2026")</f>
        <v/>
      </c>
      <c r="AE40">
        <f>HYPERLINK("https://klasma.github.io/Logging_2085/fåglar/A 23714-2026 prioriterade fågelarter.docx", "A 23714-2026")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46252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44535-2021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46252</v>
      </c>
      <c r="F42" t="inlineStr">
        <is>
          <t>DALARNAS LÄN</t>
        </is>
      </c>
      <c r="G42" t="inlineStr">
        <is>
          <t>LUDVIKA</t>
        </is>
      </c>
      <c r="I42" t="n">
        <v>3.6</v>
      </c>
      <c r="J42" t="n">
        <v>1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t="n">
        <v>3</v>
      </c>
      <c r="V42" s="2" t="inlineStr">
        <is>
          <t>Dropptaggsvamp
Vedskivlav
Rävticka
Spillkråka</t>
        </is>
      </c>
      <c r="W42">
        <f>HYPERLINK("https://klasma.github.io/Logging_2085/artfynd/A 44535-2021 artfynd.xlsx", "A 44535-2021")</f>
        <v/>
      </c>
      <c r="X42">
        <f>HYPERLINK("https://klasma.github.io/Logging_2085/kartor/A 44535-2021 karta.png", "A 44535-2021")</f>
        <v/>
      </c>
      <c r="Y42">
        <f>HYPERLINK("https://klasma.github.io/Logging_2085/kartor_geotiff/A 44535-2021 georefererad karta.tif", "A 44535-2021")</f>
        <v/>
      </c>
      <c r="AA42">
        <f>HYPERLINK("https://klasma.github.io/Logging_2085/klagomål/A 44535-2021 FSC-klagomål.docx", "A 44535-2021")</f>
        <v/>
      </c>
      <c r="AB42">
        <f>HYPERLINK("https://klasma.github.io/Logging_2085/klagomålsmail/A 44535-2021 FSC-klagomål mail.docx", "A 44535-2021")</f>
        <v/>
      </c>
      <c r="AC42">
        <f>HYPERLINK("https://klasma.github.io/Logging_2085/tillsyn/A 44535-2021 tillsynsbegäran.docx", "A 44535-2021")</f>
        <v/>
      </c>
      <c r="AD42">
        <f>HYPERLINK("https://klasma.github.io/Logging_2085/tillsynsmail/A 44535-2021 tillsynsbegäran mail.docx", "A 44535-2021")</f>
        <v/>
      </c>
      <c r="AE42">
        <f>HYPERLINK("https://klasma.github.io/Logging_2085/fåglar/A 44535-2021 prioriterade fågelarter.docx", "A 44535-2021")</f>
        <v/>
      </c>
    </row>
    <row r="43" ht="15" customHeight="1">
      <c r="A43" t="inlineStr">
        <is>
          <t>A 47044-2025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46252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2.7</v>
      </c>
      <c r="J43" t="n">
        <v>4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Duvhök
Tretåig hackspett
Järpe
Tjäder</t>
        </is>
      </c>
      <c r="W43">
        <f>HYPERLINK("https://klasma.github.io/Logging_2085/artfynd/A 47044-2025 artfynd.xlsx", "A 47044-2025")</f>
        <v/>
      </c>
      <c r="X43">
        <f>HYPERLINK("https://klasma.github.io/Logging_2085/kartor/A 47044-2025 karta.png", "A 47044-2025")</f>
        <v/>
      </c>
      <c r="Y43">
        <f>HYPERLINK("https://klasma.github.io/Logging_2085/kartor_geotiff/A 47044-2025 georefererad karta.tif", "A 47044-2025")</f>
        <v/>
      </c>
      <c r="AA43">
        <f>HYPERLINK("https://klasma.github.io/Logging_2085/klagomål/A 47044-2025 FSC-klagomål.docx", "A 47044-2025")</f>
        <v/>
      </c>
      <c r="AB43">
        <f>HYPERLINK("https://klasma.github.io/Logging_2085/klagomålsmail/A 47044-2025 FSC-klagomål mail.docx", "A 47044-2025")</f>
        <v/>
      </c>
      <c r="AC43">
        <f>HYPERLINK("https://klasma.github.io/Logging_2085/tillsyn/A 47044-2025 tillsynsbegäran.docx", "A 47044-2025")</f>
        <v/>
      </c>
      <c r="AD43">
        <f>HYPERLINK("https://klasma.github.io/Logging_2085/tillsynsmail/A 47044-2025 tillsynsbegäran mail.docx", "A 47044-2025")</f>
        <v/>
      </c>
      <c r="AE43">
        <f>HYPERLINK("https://klasma.github.io/Logging_2085/fåglar/A 47044-2025 prioriterade fågelarter.docx", "A 47044-2025")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46252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4</v>
      </c>
      <c r="V44" s="2" t="inlineStr">
        <is>
          <t>Talltita
Tretåig hackspett
Vedskivlav
Järpe</t>
        </is>
      </c>
      <c r="W44">
        <f>HYPERLINK("https://klasma.github.io/Logging_2085/artfynd/A 46721-2025 artfynd.xlsx", "A 46721-2025")</f>
        <v/>
      </c>
      <c r="X44">
        <f>HYPERLINK("https://klasma.github.io/Logging_2085/kartor/A 46721-2025 karta.png", "A 46721-2025")</f>
        <v/>
      </c>
      <c r="Y44">
        <f>HYPERLINK("https://klasma.github.io/Logging_2085/kartor_geotiff/A 46721-2025 georefererad karta.tif", "A 46721-2025")</f>
        <v/>
      </c>
      <c r="AA44">
        <f>HYPERLINK("https://klasma.github.io/Logging_2085/klagomål/A 46721-2025 FSC-klagomål.docx", "A 46721-2025")</f>
        <v/>
      </c>
      <c r="AB44">
        <f>HYPERLINK("https://klasma.github.io/Logging_2085/klagomålsmail/A 46721-2025 FSC-klagomål mail.docx", "A 46721-2025")</f>
        <v/>
      </c>
      <c r="AC44">
        <f>HYPERLINK("https://klasma.github.io/Logging_2085/tillsyn/A 46721-2025 tillsynsbegäran.docx", "A 46721-2025")</f>
        <v/>
      </c>
      <c r="AD44">
        <f>HYPERLINK("https://klasma.github.io/Logging_2085/tillsynsmail/A 46721-2025 tillsynsbegäran mail.docx", "A 46721-2025")</f>
        <v/>
      </c>
      <c r="AE44">
        <f>HYPERLINK("https://klasma.github.io/Logging_2085/fåglar/A 46721-2025 prioriterade fågelarter.docx", "A 46721-2025")</f>
        <v/>
      </c>
    </row>
    <row r="45" ht="15" customHeight="1">
      <c r="A45" t="inlineStr">
        <is>
          <t>A 57803-2023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45246</v>
      </c>
      <c r="E45" s="1" t="n">
        <v>46252</v>
      </c>
      <c r="F45" t="inlineStr">
        <is>
          <t>DALARNAS LÄN</t>
        </is>
      </c>
      <c r="G45" t="inlineStr">
        <is>
          <t>LUDVIKA</t>
        </is>
      </c>
      <c r="I45" t="n">
        <v>3.3</v>
      </c>
      <c r="J45" t="n">
        <v>3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Spillkråka
Tjäder
Gröngöling</t>
        </is>
      </c>
      <c r="W45">
        <f>HYPERLINK("https://klasma.github.io/Logging_2085/artfynd/A 57803-2023 artfynd.xlsx", "A 57803-2023")</f>
        <v/>
      </c>
      <c r="X45">
        <f>HYPERLINK("https://klasma.github.io/Logging_2085/kartor/A 57803-2023 karta.png", "A 57803-2023")</f>
        <v/>
      </c>
      <c r="Y45">
        <f>HYPERLINK("https://klasma.github.io/Logging_2085/kartor_geotiff/A 57803-2023 georefererad karta.tif", "A 57803-2023")</f>
        <v/>
      </c>
      <c r="AA45">
        <f>HYPERLINK("https://klasma.github.io/Logging_2085/klagomål/A 57803-2023 FSC-klagomål.docx", "A 57803-2023")</f>
        <v/>
      </c>
      <c r="AB45">
        <f>HYPERLINK("https://klasma.github.io/Logging_2085/klagomålsmail/A 57803-2023 FSC-klagomål mail.docx", "A 57803-2023")</f>
        <v/>
      </c>
      <c r="AC45">
        <f>HYPERLINK("https://klasma.github.io/Logging_2085/tillsyn/A 57803-2023 tillsynsbegäran.docx", "A 57803-2023")</f>
        <v/>
      </c>
      <c r="AD45">
        <f>HYPERLINK("https://klasma.github.io/Logging_2085/tillsynsmail/A 57803-2023 tillsynsbegäran mail.docx", "A 57803-2023")</f>
        <v/>
      </c>
      <c r="AE45">
        <f>HYPERLINK("https://klasma.github.io/Logging_2085/fåglar/A 57803-2023 prioriterade fågelarter.docx", "A 57803-2023")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46252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22589-2026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46155</v>
      </c>
      <c r="E47" s="1" t="n">
        <v>46252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3.7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Järpe
Spillkråka
Tjäder</t>
        </is>
      </c>
      <c r="W47">
        <f>HYPERLINK("https://klasma.github.io/Logging_2085/artfynd/A 22589-2026 artfynd.xlsx", "A 22589-2026")</f>
        <v/>
      </c>
      <c r="X47">
        <f>HYPERLINK("https://klasma.github.io/Logging_2085/kartor/A 22589-2026 karta.png", "A 22589-2026")</f>
        <v/>
      </c>
      <c r="Y47">
        <f>HYPERLINK("https://klasma.github.io/Logging_2085/kartor_geotiff/A 22589-2026 georefererad karta.tif", "A 22589-2026")</f>
        <v/>
      </c>
      <c r="AA47">
        <f>HYPERLINK("https://klasma.github.io/Logging_2085/klagomål/A 22589-2026 FSC-klagomål.docx", "A 22589-2026")</f>
        <v/>
      </c>
      <c r="AB47">
        <f>HYPERLINK("https://klasma.github.io/Logging_2085/klagomålsmail/A 22589-2026 FSC-klagomål mail.docx", "A 22589-2026")</f>
        <v/>
      </c>
      <c r="AC47">
        <f>HYPERLINK("https://klasma.github.io/Logging_2085/tillsyn/A 22589-2026 tillsynsbegäran.docx", "A 22589-2026")</f>
        <v/>
      </c>
      <c r="AD47">
        <f>HYPERLINK("https://klasma.github.io/Logging_2085/tillsynsmail/A 22589-2026 tillsynsbegäran mail.docx", "A 22589-2026")</f>
        <v/>
      </c>
      <c r="AE47">
        <f>HYPERLINK("https://klasma.github.io/Logging_2085/fåglar/A 22589-2026 prioriterade fågelarter.docx", "A 22589-2026")</f>
        <v/>
      </c>
    </row>
    <row r="48" ht="15" customHeight="1">
      <c r="A48" t="inlineStr">
        <is>
          <t>A 49676-2024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45596</v>
      </c>
      <c r="E48" s="1" t="n">
        <v>46252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3.5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8</v>
      </c>
      <c r="U48" t="n">
        <v>8</v>
      </c>
      <c r="V48" s="2" t="inlineStr">
        <is>
          <t>Garnlav
Dropptaggsvamp
Järpe
Spillkråka</t>
        </is>
      </c>
      <c r="W48">
        <f>HYPERLINK("https://klasma.github.io/Logging_2085/artfynd/A 49676-2024 artfynd.xlsx", "A 49676-2024")</f>
        <v/>
      </c>
      <c r="X48">
        <f>HYPERLINK("https://klasma.github.io/Logging_2085/kartor/A 49676-2024 karta.png", "A 49676-2024")</f>
        <v/>
      </c>
      <c r="Y48">
        <f>HYPERLINK("https://klasma.github.io/Logging_2085/kartor_geotiff/A 49676-2024 georefererad karta.tif", "A 49676-2024")</f>
        <v/>
      </c>
      <c r="AA48">
        <f>HYPERLINK("https://klasma.github.io/Logging_2085/klagomål/A 49676-2024 FSC-klagomål.docx", "A 49676-2024")</f>
        <v/>
      </c>
      <c r="AB48">
        <f>HYPERLINK("https://klasma.github.io/Logging_2085/klagomålsmail/A 49676-2024 FSC-klagomål mail.docx", "A 49676-2024")</f>
        <v/>
      </c>
      <c r="AC48">
        <f>HYPERLINK("https://klasma.github.io/Logging_2085/tillsyn/A 49676-2024 tillsynsbegäran.docx", "A 49676-2024")</f>
        <v/>
      </c>
      <c r="AD48">
        <f>HYPERLINK("https://klasma.github.io/Logging_2085/tillsynsmail/A 49676-2024 tillsynsbegäran mail.docx", "A 49676-2024")</f>
        <v/>
      </c>
      <c r="AE48">
        <f>HYPERLINK("https://klasma.github.io/Logging_2085/fåglar/A 49676-2024 prioriterade fågelarter.docx", "A 49676-2024")</f>
        <v/>
      </c>
    </row>
    <row r="49" ht="15" customHeight="1">
      <c r="A49" t="inlineStr">
        <is>
          <t>A 11705-2024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46252</v>
      </c>
      <c r="F49" t="inlineStr">
        <is>
          <t>DALARNAS LÄN</t>
        </is>
      </c>
      <c r="G49" t="inlineStr">
        <is>
          <t>LUDVIKA</t>
        </is>
      </c>
      <c r="I49" t="n">
        <v>35.4</v>
      </c>
      <c r="J49" t="n">
        <v>2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45</v>
      </c>
      <c r="U49" t="n">
        <v>45</v>
      </c>
      <c r="V49" s="2" t="inlineStr">
        <is>
          <t>Garnlav
Kortskaftad ärgspik
Tretåig hackspett
Spillkråka</t>
        </is>
      </c>
      <c r="W49">
        <f>HYPERLINK("https://klasma.github.io/Logging_2085/artfynd/A 11705-2024 artfynd.xlsx", "A 11705-2024")</f>
        <v/>
      </c>
      <c r="X49">
        <f>HYPERLINK("https://klasma.github.io/Logging_2085/kartor/A 11705-2024 karta.png", "A 11705-2024")</f>
        <v/>
      </c>
      <c r="Y49">
        <f>HYPERLINK("https://klasma.github.io/Logging_2085/kartor_geotiff/A 11705-2024 georefererad karta.tif", "A 11705-2024")</f>
        <v/>
      </c>
      <c r="AA49">
        <f>HYPERLINK("https://klasma.github.io/Logging_2085/klagomål/A 11705-2024 FSC-klagomål.docx", "A 11705-2024")</f>
        <v/>
      </c>
      <c r="AB49">
        <f>HYPERLINK("https://klasma.github.io/Logging_2085/klagomålsmail/A 11705-2024 FSC-klagomål mail.docx", "A 11705-2024")</f>
        <v/>
      </c>
      <c r="AC49">
        <f>HYPERLINK("https://klasma.github.io/Logging_2085/tillsyn/A 11705-2024 tillsynsbegäran.docx", "A 11705-2024")</f>
        <v/>
      </c>
      <c r="AD49">
        <f>HYPERLINK("https://klasma.github.io/Logging_2085/tillsynsmail/A 11705-2024 tillsynsbegäran mail.docx", "A 11705-2024")</f>
        <v/>
      </c>
      <c r="AE49">
        <f>HYPERLINK("https://klasma.github.io/Logging_2085/fåglar/A 11705-2024 prioriterade fågelarter.docx", "A 11705-2024")</f>
        <v/>
      </c>
    </row>
    <row r="50" ht="15" customHeight="1">
      <c r="A50" t="inlineStr">
        <is>
          <t>A 28738-2026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46252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1.5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12</v>
      </c>
      <c r="U50" t="n">
        <v>12</v>
      </c>
      <c r="V50" s="2" t="inlineStr">
        <is>
          <t>Garnlav
Violettgrå tagellav
Mindre märgborre
Spillkråka</t>
        </is>
      </c>
      <c r="W50">
        <f>HYPERLINK("https://klasma.github.io/Logging_2085/artfynd/A 28738-2026 artfynd.xlsx", "A 28738-2026")</f>
        <v/>
      </c>
      <c r="X50">
        <f>HYPERLINK("https://klasma.github.io/Logging_2085/kartor/A 28738-2026 karta.png", "A 28738-2026")</f>
        <v/>
      </c>
      <c r="Y50">
        <f>HYPERLINK("https://klasma.github.io/Logging_2085/kartor_geotiff/A 28738-2026 georefererad karta.tif", "A 28738-2026")</f>
        <v/>
      </c>
      <c r="AA50">
        <f>HYPERLINK("https://klasma.github.io/Logging_2085/klagomål/A 28738-2026 FSC-klagomål.docx", "A 28738-2026")</f>
        <v/>
      </c>
      <c r="AB50">
        <f>HYPERLINK("https://klasma.github.io/Logging_2085/klagomålsmail/A 28738-2026 FSC-klagomål mail.docx", "A 28738-2026")</f>
        <v/>
      </c>
      <c r="AC50">
        <f>HYPERLINK("https://klasma.github.io/Logging_2085/tillsyn/A 28738-2026 tillsynsbegäran.docx", "A 28738-2026")</f>
        <v/>
      </c>
      <c r="AD50">
        <f>HYPERLINK("https://klasma.github.io/Logging_2085/tillsynsmail/A 28738-2026 tillsynsbegäran mail.docx", "A 28738-2026")</f>
        <v/>
      </c>
      <c r="AE50">
        <f>HYPERLINK("https://klasma.github.io/Logging_2085/fåglar/A 28738-2026 prioriterade fågelarter.docx", "A 28738-2026")</f>
        <v/>
      </c>
    </row>
    <row r="51" ht="15" customHeight="1">
      <c r="A51" t="inlineStr">
        <is>
          <t>A 51928-2024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46252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27.9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Brunpudrad nållav
Gulnål
Kornig nållav
Vedticka</t>
        </is>
      </c>
      <c r="W51">
        <f>HYPERLINK("https://klasma.github.io/Logging_2085/artfynd/A 51928-2024 artfynd.xlsx", "A 51928-2024")</f>
        <v/>
      </c>
      <c r="X51">
        <f>HYPERLINK("https://klasma.github.io/Logging_2085/kartor/A 51928-2024 karta.png", "A 51928-2024")</f>
        <v/>
      </c>
      <c r="Y51">
        <f>HYPERLINK("https://klasma.github.io/Logging_2085/kartor_geotiff/A 51928-2024 georefererad karta.tif", "A 51928-2024")</f>
        <v/>
      </c>
      <c r="AA51">
        <f>HYPERLINK("https://klasma.github.io/Logging_2085/klagomål/A 51928-2024 FSC-klagomål.docx", "A 51928-2024")</f>
        <v/>
      </c>
      <c r="AB51">
        <f>HYPERLINK("https://klasma.github.io/Logging_2085/klagomålsmail/A 51928-2024 FSC-klagomål mail.docx", "A 51928-2024")</f>
        <v/>
      </c>
      <c r="AC51">
        <f>HYPERLINK("https://klasma.github.io/Logging_2085/tillsyn/A 51928-2024 tillsynsbegäran.docx", "A 51928-2024")</f>
        <v/>
      </c>
      <c r="AD51">
        <f>HYPERLINK("https://klasma.github.io/Logging_2085/tillsynsmail/A 51928-2024 tillsynsbegäran mail.docx", "A 51928-2024")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46252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S 1284-2022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44624</v>
      </c>
      <c r="E53" s="1" t="n">
        <v>46252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374</v>
      </c>
      <c r="J53" t="n">
        <v>3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4</v>
      </c>
      <c r="U53" t="n">
        <v>3</v>
      </c>
      <c r="V53" s="2" t="inlineStr">
        <is>
          <t>Korallblylav
Purpurknipprot
Järpe
Orre</t>
        </is>
      </c>
      <c r="W53">
        <f>HYPERLINK("https://klasma.github.io/Logging_2085/artfynd/S 1284-2022 artfynd.xlsx", "S 1284-2022")</f>
        <v/>
      </c>
      <c r="X53">
        <f>HYPERLINK("https://klasma.github.io/Logging_2085/kartor/S 1284-2022 karta.png", "S 1284-2022")</f>
        <v/>
      </c>
      <c r="Y53">
        <f>HYPERLINK("https://klasma.github.io/Logging_2085/kartor_geotiff/S 1284-2022 georefererad karta.tif", "S 1284-2022")</f>
        <v/>
      </c>
      <c r="AA53">
        <f>HYPERLINK("https://klasma.github.io/Logging_2085/klagomål/S 1284-2022 FSC-klagomål.docx", "S 1284-2022")</f>
        <v/>
      </c>
      <c r="AB53">
        <f>HYPERLINK("https://klasma.github.io/Logging_2085/klagomålsmail/S 1284-2022 FSC-klagomål mail.docx", "S 1284-2022")</f>
        <v/>
      </c>
      <c r="AC53">
        <f>HYPERLINK("https://klasma.github.io/Logging_2085/tillsyn/S 1284-2022 tillsynsbegäran.docx", "S 1284-2022")</f>
        <v/>
      </c>
      <c r="AD53">
        <f>HYPERLINK("https://klasma.github.io/Logging_2085/tillsynsmail/S 1284-2022 tillsynsbegäran mail.docx", "S 1284-2022")</f>
        <v/>
      </c>
      <c r="AE53">
        <f>HYPERLINK("https://klasma.github.io/Logging_2085/fåglar/S 1284-2022 prioriterade fågelarter.docx", "S 1284-2022")</f>
        <v/>
      </c>
    </row>
    <row r="54" ht="15" customHeight="1">
      <c r="A54" t="inlineStr">
        <is>
          <t>A 41456-2025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45901</v>
      </c>
      <c r="E54" s="1" t="n">
        <v>46252</v>
      </c>
      <c r="F54" t="inlineStr">
        <is>
          <t>DALARNAS LÄN</t>
        </is>
      </c>
      <c r="G54" t="inlineStr">
        <is>
          <t>LUDVIKA</t>
        </is>
      </c>
      <c r="I54" t="n">
        <v>1.9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3</v>
      </c>
      <c r="V54" s="2" t="inlineStr">
        <is>
          <t>Aspgelélav
Lunglav
Järpe</t>
        </is>
      </c>
      <c r="W54">
        <f>HYPERLINK("https://klasma.github.io/Logging_2085/artfynd/A 41456-2025 artfynd.xlsx", "A 41456-2025")</f>
        <v/>
      </c>
      <c r="X54">
        <f>HYPERLINK("https://klasma.github.io/Logging_2085/kartor/A 41456-2025 karta.png", "A 41456-2025")</f>
        <v/>
      </c>
      <c r="Y54">
        <f>HYPERLINK("https://klasma.github.io/Logging_2085/kartor_geotiff/A 41456-2025 georefererad karta.tif", "A 41456-2025")</f>
        <v/>
      </c>
      <c r="AA54">
        <f>HYPERLINK("https://klasma.github.io/Logging_2085/klagomål/A 41456-2025 FSC-klagomål.docx", "A 41456-2025")</f>
        <v/>
      </c>
      <c r="AB54">
        <f>HYPERLINK("https://klasma.github.io/Logging_2085/klagomålsmail/A 41456-2025 FSC-klagomål mail.docx", "A 41456-2025")</f>
        <v/>
      </c>
      <c r="AC54">
        <f>HYPERLINK("https://klasma.github.io/Logging_2085/tillsyn/A 41456-2025 tillsynsbegäran.docx", "A 41456-2025")</f>
        <v/>
      </c>
      <c r="AD54">
        <f>HYPERLINK("https://klasma.github.io/Logging_2085/tillsynsmail/A 41456-2025 tillsynsbegäran mail.docx", "A 41456-2025")</f>
        <v/>
      </c>
      <c r="AE54">
        <f>HYPERLINK("https://klasma.github.io/Logging_2085/fåglar/A 41456-2025 prioriterade fågelarter.docx", "A 41456-2025")</f>
        <v/>
      </c>
    </row>
    <row r="55" ht="15" customHeight="1">
      <c r="A55" t="inlineStr">
        <is>
          <t>A 74432-2021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44560</v>
      </c>
      <c r="E55" s="1" t="n">
        <v>46252</v>
      </c>
      <c r="F55" t="inlineStr">
        <is>
          <t>DALARNAS LÄN</t>
        </is>
      </c>
      <c r="G55" t="inlineStr">
        <is>
          <t>LUDVIKA</t>
        </is>
      </c>
      <c r="H55" t="inlineStr">
        <is>
          <t>Kommuner</t>
        </is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Spillkråka
Gröngöling
Kungsfågel</t>
        </is>
      </c>
      <c r="W55">
        <f>HYPERLINK("https://klasma.github.io/Logging_2085/artfynd/A 74432-2021 artfynd.xlsx", "A 74432-2021")</f>
        <v/>
      </c>
      <c r="X55">
        <f>HYPERLINK("https://klasma.github.io/Logging_2085/kartor/A 74432-2021 karta.png", "A 74432-2021")</f>
        <v/>
      </c>
      <c r="Y55">
        <f>HYPERLINK("https://klasma.github.io/Logging_2085/kartor_geotiff/A 74432-2021 georefererad karta.tif", "A 74432-2021")</f>
        <v/>
      </c>
      <c r="AA55">
        <f>HYPERLINK("https://klasma.github.io/Logging_2085/klagomål/A 74432-2021 FSC-klagomål.docx", "A 74432-2021")</f>
        <v/>
      </c>
      <c r="AB55">
        <f>HYPERLINK("https://klasma.github.io/Logging_2085/klagomålsmail/A 74432-2021 FSC-klagomål mail.docx", "A 74432-2021")</f>
        <v/>
      </c>
      <c r="AC55">
        <f>HYPERLINK("https://klasma.github.io/Logging_2085/tillsyn/A 74432-2021 tillsynsbegäran.docx", "A 74432-2021")</f>
        <v/>
      </c>
      <c r="AD55">
        <f>HYPERLINK("https://klasma.github.io/Logging_2085/tillsynsmail/A 74432-2021 tillsynsbegäran mail.docx", "A 74432-2021")</f>
        <v/>
      </c>
      <c r="AE55">
        <f>HYPERLINK("https://klasma.github.io/Logging_2085/fåglar/A 74432-2021 prioriterade fågelarter.docx", "A 74432-2021")</f>
        <v/>
      </c>
    </row>
    <row r="56" ht="15" customHeight="1">
      <c r="A56" t="inlineStr">
        <is>
          <t>A 29144-2023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45105</v>
      </c>
      <c r="E56" s="1" t="n">
        <v>46252</v>
      </c>
      <c r="F56" t="inlineStr">
        <is>
          <t>DALARNAS LÄN</t>
        </is>
      </c>
      <c r="G56" t="inlineStr">
        <is>
          <t>LUDVIKA</t>
        </is>
      </c>
      <c r="H56" t="inlineStr">
        <is>
          <t>Allmännings- och besparingsskogar</t>
        </is>
      </c>
      <c r="I56" t="n">
        <v>6.2</v>
      </c>
      <c r="J56" t="n">
        <v>1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14</v>
      </c>
      <c r="U56" t="n">
        <v>0</v>
      </c>
      <c r="V56" s="2" t="inlineStr">
        <is>
          <t>Garnlav
Knärot
Brunklöver</t>
        </is>
      </c>
      <c r="W56">
        <f>HYPERLINK("https://klasma.github.io/Logging_2085/artfynd/A 29144-2023 artfynd.xlsx", "A 29144-2023")</f>
        <v/>
      </c>
      <c r="X56">
        <f>HYPERLINK("https://klasma.github.io/Logging_2085/kartor/A 29144-2023 karta.png", "A 29144-2023")</f>
        <v/>
      </c>
      <c r="Y56">
        <f>HYPERLINK("https://klasma.github.io/Logging_2085/kartor_geotiff/A 29144-2023 georefererad karta.tif", "A 29144-2023")</f>
        <v/>
      </c>
      <c r="Z56">
        <f>HYPERLINK("https://klasma.github.io/Logging_2085/knärot/A 29144-2023 karta knärot.png", "A 29144-2023")</f>
        <v/>
      </c>
      <c r="AA56">
        <f>HYPERLINK("https://klasma.github.io/Logging_2085/klagomål/A 29144-2023 FSC-klagomål.docx", "A 29144-2023")</f>
        <v/>
      </c>
      <c r="AB56">
        <f>HYPERLINK("https://klasma.github.io/Logging_2085/klagomålsmail/A 29144-2023 FSC-klagomål mail.docx", "A 29144-2023")</f>
        <v/>
      </c>
      <c r="AC56">
        <f>HYPERLINK("https://klasma.github.io/Logging_2085/tillsyn/A 29144-2023 tillsynsbegäran.docx", "A 29144-2023")</f>
        <v/>
      </c>
      <c r="AD56">
        <f>HYPERLINK("https://klasma.github.io/Logging_2085/tillsynsmail/A 29144-2023 tillsynsbegäran mail.docx", "A 29144-2023")</f>
        <v/>
      </c>
    </row>
    <row r="57" ht="15" customHeight="1">
      <c r="A57" t="inlineStr">
        <is>
          <t>A 18759-2026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46252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3.5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11</v>
      </c>
      <c r="U57" t="n">
        <v>0</v>
      </c>
      <c r="V57" s="2" t="inlineStr">
        <is>
          <t>Knärot
Dropptaggsvamp
Nattviol</t>
        </is>
      </c>
      <c r="W57">
        <f>HYPERLINK("https://klasma.github.io/Logging_2085/artfynd/A 18759-2026 artfynd.xlsx", "A 18759-2026")</f>
        <v/>
      </c>
      <c r="X57">
        <f>HYPERLINK("https://klasma.github.io/Logging_2085/kartor/A 18759-2026 karta.png", "A 18759-2026")</f>
        <v/>
      </c>
      <c r="Y57">
        <f>HYPERLINK("https://klasma.github.io/Logging_2085/kartor_geotiff/A 18759-2026 georefererad karta.tif", "A 18759-2026")</f>
        <v/>
      </c>
      <c r="Z57">
        <f>HYPERLINK("https://klasma.github.io/Logging_2085/knärot/A 18759-2026 karta knärot.png", "A 18759-2026")</f>
        <v/>
      </c>
      <c r="AA57">
        <f>HYPERLINK("https://klasma.github.io/Logging_2085/klagomål/A 18759-2026 FSC-klagomål.docx", "A 18759-2026")</f>
        <v/>
      </c>
      <c r="AB57">
        <f>HYPERLINK("https://klasma.github.io/Logging_2085/klagomålsmail/A 18759-2026 FSC-klagomål mail.docx", "A 18759-2026")</f>
        <v/>
      </c>
      <c r="AC57">
        <f>HYPERLINK("https://klasma.github.io/Logging_2085/tillsyn/A 18759-2026 tillsynsbegäran.docx", "A 18759-2026")</f>
        <v/>
      </c>
      <c r="AD57">
        <f>HYPERLINK("https://klasma.github.io/Logging_2085/tillsynsmail/A 18759-2026 tillsynsbegäran mail.docx", "A 18759-2026")</f>
        <v/>
      </c>
    </row>
    <row r="58" ht="15" customHeight="1">
      <c r="A58" t="inlineStr">
        <is>
          <t>A 24425-2026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46168</v>
      </c>
      <c r="E58" s="1" t="n">
        <v>46252</v>
      </c>
      <c r="F58" t="inlineStr">
        <is>
          <t>DALARNAS LÄN</t>
        </is>
      </c>
      <c r="G58" t="inlineStr">
        <is>
          <t>LUDVIKA</t>
        </is>
      </c>
      <c r="H58" t="inlineStr">
        <is>
          <t>Övriga Aktiebolag</t>
        </is>
      </c>
      <c r="I58" t="n">
        <v>5.6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6</v>
      </c>
      <c r="U58" t="n">
        <v>0</v>
      </c>
      <c r="V58" s="2" t="inlineStr">
        <is>
          <t>Tretåig hackspett
Spillkråka
Sälg</t>
        </is>
      </c>
      <c r="W58">
        <f>HYPERLINK("https://klasma.github.io/Logging_2085/artfynd/A 24425-2026 artfynd.xlsx", "A 24425-2026")</f>
        <v/>
      </c>
      <c r="X58">
        <f>HYPERLINK("https://klasma.github.io/Logging_2085/kartor/A 24425-2026 karta.png", "A 24425-2026")</f>
        <v/>
      </c>
      <c r="Y58">
        <f>HYPERLINK("https://klasma.github.io/Logging_2085/kartor_geotiff/A 24425-2026 georefererad karta.tif", "A 24425-2026")</f>
        <v/>
      </c>
      <c r="AA58">
        <f>HYPERLINK("https://klasma.github.io/Logging_2085/klagomål/A 24425-2026 FSC-klagomål.docx", "A 24425-2026")</f>
        <v/>
      </c>
      <c r="AB58">
        <f>HYPERLINK("https://klasma.github.io/Logging_2085/klagomålsmail/A 24425-2026 FSC-klagomål mail.docx", "A 24425-2026")</f>
        <v/>
      </c>
      <c r="AC58">
        <f>HYPERLINK("https://klasma.github.io/Logging_2085/tillsyn/A 24425-2026 tillsynsbegäran.docx", "A 24425-2026")</f>
        <v/>
      </c>
      <c r="AD58">
        <f>HYPERLINK("https://klasma.github.io/Logging_2085/tillsynsmail/A 24425-2026 tillsynsbegäran mail.docx", "A 24425-2026")</f>
        <v/>
      </c>
      <c r="AE58">
        <f>HYPERLINK("https://klasma.github.io/Logging_2085/fåglar/A 24425-2026 prioriterade fågelarter.docx", "A 24425-2026")</f>
        <v/>
      </c>
    </row>
    <row r="59" ht="15" customHeight="1">
      <c r="A59" t="inlineStr">
        <is>
          <t>A 43226-2025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45910</v>
      </c>
      <c r="E59" s="1" t="n">
        <v>46252</v>
      </c>
      <c r="F59" t="inlineStr">
        <is>
          <t>DALARNAS LÄN</t>
        </is>
      </c>
      <c r="G59" t="inlineStr">
        <is>
          <t>LUDVIKA</t>
        </is>
      </c>
      <c r="I59" t="n">
        <v>1.1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4</v>
      </c>
      <c r="V59" s="2" t="inlineStr">
        <is>
          <t>Tretåig hackspett
Rävticka
Rödgul trumpetsvamp</t>
        </is>
      </c>
      <c r="W59">
        <f>HYPERLINK("https://klasma.github.io/Logging_2085/artfynd/A 43226-2025 artfynd.xlsx", "A 43226-2025")</f>
        <v/>
      </c>
      <c r="X59">
        <f>HYPERLINK("https://klasma.github.io/Logging_2085/kartor/A 43226-2025 karta.png", "A 43226-2025")</f>
        <v/>
      </c>
      <c r="Y59">
        <f>HYPERLINK("https://klasma.github.io/Logging_2085/kartor_geotiff/A 43226-2025 georefererad karta.tif", "A 43226-2025")</f>
        <v/>
      </c>
      <c r="AA59">
        <f>HYPERLINK("https://klasma.github.io/Logging_2085/klagomål/A 43226-2025 FSC-klagomål.docx", "A 43226-2025")</f>
        <v/>
      </c>
      <c r="AB59">
        <f>HYPERLINK("https://klasma.github.io/Logging_2085/klagomålsmail/A 43226-2025 FSC-klagomål mail.docx", "A 43226-2025")</f>
        <v/>
      </c>
      <c r="AC59">
        <f>HYPERLINK("https://klasma.github.io/Logging_2085/tillsyn/A 43226-2025 tillsynsbegäran.docx", "A 43226-2025")</f>
        <v/>
      </c>
      <c r="AD59">
        <f>HYPERLINK("https://klasma.github.io/Logging_2085/tillsynsmail/A 43226-2025 tillsynsbegäran mail.docx", "A 43226-2025")</f>
        <v/>
      </c>
      <c r="AE59">
        <f>HYPERLINK("https://klasma.github.io/Logging_2085/fåglar/A 43226-2025 prioriterade fågelarter.docx", "A 43226-2025")</f>
        <v/>
      </c>
    </row>
    <row r="60" ht="15" customHeight="1">
      <c r="A60" t="inlineStr">
        <is>
          <t>A 23087-2025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46252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0.9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Dropptaggsvamp
Motaggsvamp
Orange taggsvamp</t>
        </is>
      </c>
      <c r="W60">
        <f>HYPERLINK("https://klasma.github.io/Logging_2085/artfynd/A 23087-2025 artfynd.xlsx", "A 23087-2025")</f>
        <v/>
      </c>
      <c r="X60">
        <f>HYPERLINK("https://klasma.github.io/Logging_2085/kartor/A 23087-2025 karta.png", "A 23087-2025")</f>
        <v/>
      </c>
      <c r="Y60">
        <f>HYPERLINK("https://klasma.github.io/Logging_2085/kartor_geotiff/A 23087-2025 georefererad karta.tif", "A 23087-2025")</f>
        <v/>
      </c>
      <c r="AA60">
        <f>HYPERLINK("https://klasma.github.io/Logging_2085/klagomål/A 23087-2025 FSC-klagomål.docx", "A 23087-2025")</f>
        <v/>
      </c>
      <c r="AB60">
        <f>HYPERLINK("https://klasma.github.io/Logging_2085/klagomålsmail/A 23087-2025 FSC-klagomål mail.docx", "A 23087-2025")</f>
        <v/>
      </c>
      <c r="AC60">
        <f>HYPERLINK("https://klasma.github.io/Logging_2085/tillsyn/A 23087-2025 tillsynsbegäran.docx", "A 23087-2025")</f>
        <v/>
      </c>
      <c r="AD60">
        <f>HYPERLINK("https://klasma.github.io/Logging_2085/tillsynsmail/A 23087-2025 tillsynsbegäran mail.docx", "A 23087-2025")</f>
        <v/>
      </c>
    </row>
    <row r="61" ht="15" customHeight="1">
      <c r="A61" t="inlineStr">
        <is>
          <t>S 1583-2026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46170</v>
      </c>
      <c r="E61" s="1" t="n">
        <v>46252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3.5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Ullticka
Vedticka
Spillkråka</t>
        </is>
      </c>
      <c r="W61">
        <f>HYPERLINK("https://klasma.github.io/Logging_2085/artfynd/S 1583-2026 artfynd.xlsx", "S 1583-2026")</f>
        <v/>
      </c>
      <c r="X61">
        <f>HYPERLINK("https://klasma.github.io/Logging_2085/kartor/S 1583-2026 karta.png", "S 1583-2026")</f>
        <v/>
      </c>
      <c r="Y61">
        <f>HYPERLINK("https://klasma.github.io/Logging_2085/kartor_geotiff/S 1583-2026 georefererad karta.tif", "S 1583-2026")</f>
        <v/>
      </c>
      <c r="AA61">
        <f>HYPERLINK("https://klasma.github.io/Logging_2085/klagomål/S 1583-2026 FSC-klagomål.docx", "S 1583-2026")</f>
        <v/>
      </c>
      <c r="AB61">
        <f>HYPERLINK("https://klasma.github.io/Logging_2085/klagomålsmail/S 1583-2026 FSC-klagomål mail.docx", "S 1583-2026")</f>
        <v/>
      </c>
      <c r="AC61">
        <f>HYPERLINK("https://klasma.github.io/Logging_2085/tillsyn/S 1583-2026 tillsynsbegäran.docx", "S 1583-2026")</f>
        <v/>
      </c>
      <c r="AD61">
        <f>HYPERLINK("https://klasma.github.io/Logging_2085/tillsynsmail/S 1583-2026 tillsynsbegäran mail.docx", "S 1583-2026")</f>
        <v/>
      </c>
      <c r="AE61">
        <f>HYPERLINK("https://klasma.github.io/Logging_2085/fåglar/S 1583-2026 prioriterade fågelarter.docx", "S 1583-2026")</f>
        <v/>
      </c>
    </row>
    <row r="62" ht="15" customHeight="1">
      <c r="A62" t="inlineStr">
        <is>
          <t>A 45225-2024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45575</v>
      </c>
      <c r="E62" s="1" t="n">
        <v>46252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Kungsfågel
Ärtsångare</t>
        </is>
      </c>
      <c r="W62">
        <f>HYPERLINK("https://klasma.github.io/Logging_2085/artfynd/A 45225-2024 artfynd.xlsx", "A 45225-2024")</f>
        <v/>
      </c>
      <c r="X62">
        <f>HYPERLINK("https://klasma.github.io/Logging_2085/kartor/A 45225-2024 karta.png", "A 45225-2024")</f>
        <v/>
      </c>
      <c r="Y62">
        <f>HYPERLINK("https://klasma.github.io/Logging_2085/kartor_geotiff/A 45225-2024 georefererad karta.tif", "A 45225-2024")</f>
        <v/>
      </c>
      <c r="AA62">
        <f>HYPERLINK("https://klasma.github.io/Logging_2085/klagomål/A 45225-2024 FSC-klagomål.docx", "A 45225-2024")</f>
        <v/>
      </c>
      <c r="AB62">
        <f>HYPERLINK("https://klasma.github.io/Logging_2085/klagomålsmail/A 45225-2024 FSC-klagomål mail.docx", "A 45225-2024")</f>
        <v/>
      </c>
      <c r="AC62">
        <f>HYPERLINK("https://klasma.github.io/Logging_2085/tillsyn/A 45225-2024 tillsynsbegäran.docx", "A 45225-2024")</f>
        <v/>
      </c>
      <c r="AD62">
        <f>HYPERLINK("https://klasma.github.io/Logging_2085/tillsynsmail/A 45225-2024 tillsynsbegäran mail.docx", "A 45225-2024")</f>
        <v/>
      </c>
    </row>
    <row r="63" ht="15" customHeight="1">
      <c r="A63" t="inlineStr">
        <is>
          <t>A 49051-2024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46252</v>
      </c>
      <c r="F63" t="inlineStr">
        <is>
          <t>DALARNAS LÄN</t>
        </is>
      </c>
      <c r="G63" t="inlineStr">
        <is>
          <t>LUDVIKA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2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t="n">
        <v>0</v>
      </c>
      <c r="V63" s="2" t="inlineStr">
        <is>
          <t>Ladparasitspik
Vedkastanjelav</t>
        </is>
      </c>
      <c r="W63">
        <f>HYPERLINK("https://klasma.github.io/Logging_2085/artfynd/A 49051-2024 artfynd.xlsx", "A 49051-2024")</f>
        <v/>
      </c>
      <c r="X63">
        <f>HYPERLINK("https://klasma.github.io/Logging_2085/kartor/A 49051-2024 karta.png", "A 49051-2024")</f>
        <v/>
      </c>
      <c r="Y63">
        <f>HYPERLINK("https://klasma.github.io/Logging_2085/kartor_geotiff/A 49051-2024 georefererad karta.tif", "A 49051-2024")</f>
        <v/>
      </c>
      <c r="AA63">
        <f>HYPERLINK("https://klasma.github.io/Logging_2085/klagomål/A 49051-2024 FSC-klagomål.docx", "A 49051-2024")</f>
        <v/>
      </c>
      <c r="AB63">
        <f>HYPERLINK("https://klasma.github.io/Logging_2085/klagomålsmail/A 49051-2024 FSC-klagomål mail.docx", "A 49051-2024")</f>
        <v/>
      </c>
      <c r="AC63">
        <f>HYPERLINK("https://klasma.github.io/Logging_2085/tillsyn/A 49051-2024 tillsynsbegäran.docx", "A 49051-2024")</f>
        <v/>
      </c>
      <c r="AD63">
        <f>HYPERLINK("https://klasma.github.io/Logging_2085/tillsynsmail/A 49051-2024 tillsynsbegäran mail.docx", "A 49051-2024")</f>
        <v/>
      </c>
    </row>
    <row r="64" ht="15" customHeight="1">
      <c r="A64" t="inlineStr">
        <is>
          <t>A 11755-2023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46252</v>
      </c>
      <c r="F64" t="inlineStr">
        <is>
          <t>DALARNAS LÄN</t>
        </is>
      </c>
      <c r="G64" t="inlineStr">
        <is>
          <t>LUDVIKA</t>
        </is>
      </c>
      <c r="H64" t="inlineStr">
        <is>
          <t>Övriga Aktiebolag</t>
        </is>
      </c>
      <c r="I64" t="n">
        <v>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Garnlav
Spillkråka</t>
        </is>
      </c>
      <c r="W64">
        <f>HYPERLINK("https://klasma.github.io/Logging_2085/artfynd/A 11755-2023 artfynd.xlsx", "A 11755-2023")</f>
        <v/>
      </c>
      <c r="X64">
        <f>HYPERLINK("https://klasma.github.io/Logging_2085/kartor/A 11755-2023 karta.png", "A 11755-2023")</f>
        <v/>
      </c>
      <c r="Y64">
        <f>HYPERLINK("https://klasma.github.io/Logging_2085/kartor_geotiff/A 11755-2023 georefererad karta.tif", "A 11755-2023")</f>
        <v/>
      </c>
      <c r="AA64">
        <f>HYPERLINK("https://klasma.github.io/Logging_2085/klagomål/A 11755-2023 FSC-klagomål.docx", "A 11755-2023")</f>
        <v/>
      </c>
      <c r="AB64">
        <f>HYPERLINK("https://klasma.github.io/Logging_2085/klagomålsmail/A 11755-2023 FSC-klagomål mail.docx", "A 11755-2023")</f>
        <v/>
      </c>
      <c r="AC64">
        <f>HYPERLINK("https://klasma.github.io/Logging_2085/tillsyn/A 11755-2023 tillsynsbegäran.docx", "A 11755-2023")</f>
        <v/>
      </c>
      <c r="AD64">
        <f>HYPERLINK("https://klasma.github.io/Logging_2085/tillsynsmail/A 11755-2023 tillsynsbegäran mail.docx", "A 11755-2023")</f>
        <v/>
      </c>
      <c r="AE64">
        <f>HYPERLINK("https://klasma.github.io/Logging_2085/fåglar/A 11755-2023 prioriterade fågelarter.docx", "A 11755-2023")</f>
        <v/>
      </c>
    </row>
    <row r="65" ht="15" customHeight="1">
      <c r="A65" t="inlineStr">
        <is>
          <t>A 44262-2025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46252</v>
      </c>
      <c r="F65" t="inlineStr">
        <is>
          <t>DALARNAS LÄN</t>
        </is>
      </c>
      <c r="G65" t="inlineStr">
        <is>
          <t>LUDVIKA</t>
        </is>
      </c>
      <c r="I65" t="n">
        <v>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6</v>
      </c>
      <c r="U65" t="n">
        <v>0</v>
      </c>
      <c r="V65" s="2" t="inlineStr">
        <is>
          <t>Nordfladdermus
Fläcknycklar</t>
        </is>
      </c>
      <c r="W65">
        <f>HYPERLINK("https://klasma.github.io/Logging_2085/artfynd/A 44262-2025 artfynd.xlsx", "A 44262-2025")</f>
        <v/>
      </c>
      <c r="X65">
        <f>HYPERLINK("https://klasma.github.io/Logging_2085/kartor/A 44262-2025 karta.png", "A 44262-2025")</f>
        <v/>
      </c>
      <c r="Y65">
        <f>HYPERLINK("https://klasma.github.io/Logging_2085/kartor_geotiff/A 44262-2025 georefererad karta.tif", "A 44262-2025")</f>
        <v/>
      </c>
      <c r="AA65">
        <f>HYPERLINK("https://klasma.github.io/Logging_2085/klagomål/A 44262-2025 FSC-klagomål.docx", "A 44262-2025")</f>
        <v/>
      </c>
      <c r="AB65">
        <f>HYPERLINK("https://klasma.github.io/Logging_2085/klagomålsmail/A 44262-2025 FSC-klagomål mail.docx", "A 44262-2025")</f>
        <v/>
      </c>
      <c r="AC65">
        <f>HYPERLINK("https://klasma.github.io/Logging_2085/tillsyn/A 44262-2025 tillsynsbegäran.docx", "A 44262-2025")</f>
        <v/>
      </c>
      <c r="AD65">
        <f>HYPERLINK("https://klasma.github.io/Logging_2085/tillsynsmail/A 44262-2025 tillsynsbegäran mail.docx", "A 44262-2025")</f>
        <v/>
      </c>
    </row>
    <row r="66" ht="15" customHeight="1">
      <c r="A66" t="inlineStr">
        <is>
          <t>A 3809-2024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46252</v>
      </c>
      <c r="F66" t="inlineStr">
        <is>
          <t>DALARNAS LÄN</t>
        </is>
      </c>
      <c r="G66" t="inlineStr">
        <is>
          <t>LUDVIKA</t>
        </is>
      </c>
      <c r="I66" t="n">
        <v>0.5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8</v>
      </c>
      <c r="U66" t="n">
        <v>8</v>
      </c>
      <c r="V66" s="2" t="inlineStr">
        <is>
          <t>Nordfladdermus
Fläcknycklar</t>
        </is>
      </c>
      <c r="W66">
        <f>HYPERLINK("https://klasma.github.io/Logging_2085/artfynd/A 3809-2024 artfynd.xlsx", "A 3809-2024")</f>
        <v/>
      </c>
      <c r="X66">
        <f>HYPERLINK("https://klasma.github.io/Logging_2085/kartor/A 3809-2024 karta.png", "A 3809-2024")</f>
        <v/>
      </c>
      <c r="Y66">
        <f>HYPERLINK("https://klasma.github.io/Logging_2085/kartor_geotiff/A 3809-2024 georefererad karta.tif", "A 3809-2024")</f>
        <v/>
      </c>
      <c r="AA66">
        <f>HYPERLINK("https://klasma.github.io/Logging_2085/klagomål/A 3809-2024 FSC-klagomål.docx", "A 3809-2024")</f>
        <v/>
      </c>
      <c r="AB66">
        <f>HYPERLINK("https://klasma.github.io/Logging_2085/klagomålsmail/A 3809-2024 FSC-klagomål mail.docx", "A 3809-2024")</f>
        <v/>
      </c>
      <c r="AC66">
        <f>HYPERLINK("https://klasma.github.io/Logging_2085/tillsyn/A 3809-2024 tillsynsbegäran.docx", "A 3809-2024")</f>
        <v/>
      </c>
      <c r="AD66">
        <f>HYPERLINK("https://klasma.github.io/Logging_2085/tillsynsmail/A 3809-2024 tillsynsbegäran mail.docx", "A 3809-2024")</f>
        <v/>
      </c>
    </row>
    <row r="67" ht="15" customHeight="1">
      <c r="A67" t="inlineStr">
        <is>
          <t>A 49767-2025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45940</v>
      </c>
      <c r="E67" s="1" t="n">
        <v>46252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2.5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Garnlav
Tretåig hackspett</t>
        </is>
      </c>
      <c r="W67">
        <f>HYPERLINK("https://klasma.github.io/Logging_2085/artfynd/A 49767-2025 artfynd.xlsx", "A 49767-2025")</f>
        <v/>
      </c>
      <c r="X67">
        <f>HYPERLINK("https://klasma.github.io/Logging_2085/kartor/A 49767-2025 karta.png", "A 49767-2025")</f>
        <v/>
      </c>
      <c r="Y67">
        <f>HYPERLINK("https://klasma.github.io/Logging_2085/kartor_geotiff/A 49767-2025 georefererad karta.tif", "A 49767-2025")</f>
        <v/>
      </c>
      <c r="AA67">
        <f>HYPERLINK("https://klasma.github.io/Logging_2085/klagomål/A 49767-2025 FSC-klagomål.docx", "A 49767-2025")</f>
        <v/>
      </c>
      <c r="AB67">
        <f>HYPERLINK("https://klasma.github.io/Logging_2085/klagomålsmail/A 49767-2025 FSC-klagomål mail.docx", "A 49767-2025")</f>
        <v/>
      </c>
      <c r="AC67">
        <f>HYPERLINK("https://klasma.github.io/Logging_2085/tillsyn/A 49767-2025 tillsynsbegäran.docx", "A 49767-2025")</f>
        <v/>
      </c>
      <c r="AD67">
        <f>HYPERLINK("https://klasma.github.io/Logging_2085/tillsynsmail/A 49767-2025 tillsynsbegäran mail.docx", "A 49767-2025")</f>
        <v/>
      </c>
      <c r="AE67">
        <f>HYPERLINK("https://klasma.github.io/Logging_2085/fåglar/A 49767-2025 prioriterade fågelarter.docx", "A 49767-2025")</f>
        <v/>
      </c>
    </row>
    <row r="68" ht="15" customHeight="1">
      <c r="A68" t="inlineStr">
        <is>
          <t>A 33155-2024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45518</v>
      </c>
      <c r="E68" s="1" t="n">
        <v>46252</v>
      </c>
      <c r="F68" t="inlineStr">
        <is>
          <t>DALARNAS LÄN</t>
        </is>
      </c>
      <c r="G68" t="inlineStr">
        <is>
          <t>LUDVIKA</t>
        </is>
      </c>
      <c r="I68" t="n">
        <v>2.9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Brunpudrad nållav
Tretåig hackspett</t>
        </is>
      </c>
      <c r="W68">
        <f>HYPERLINK("https://klasma.github.io/Logging_2085/artfynd/A 33155-2024 artfynd.xlsx", "A 33155-2024")</f>
        <v/>
      </c>
      <c r="X68">
        <f>HYPERLINK("https://klasma.github.io/Logging_2085/kartor/A 33155-2024 karta.png", "A 33155-2024")</f>
        <v/>
      </c>
      <c r="Y68">
        <f>HYPERLINK("https://klasma.github.io/Logging_2085/kartor_geotiff/A 33155-2024 georefererad karta.tif", "A 33155-2024")</f>
        <v/>
      </c>
      <c r="AA68">
        <f>HYPERLINK("https://klasma.github.io/Logging_2085/klagomål/A 33155-2024 FSC-klagomål.docx", "A 33155-2024")</f>
        <v/>
      </c>
      <c r="AB68">
        <f>HYPERLINK("https://klasma.github.io/Logging_2085/klagomålsmail/A 33155-2024 FSC-klagomål mail.docx", "A 33155-2024")</f>
        <v/>
      </c>
      <c r="AC68">
        <f>HYPERLINK("https://klasma.github.io/Logging_2085/tillsyn/A 33155-2024 tillsynsbegäran.docx", "A 33155-2024")</f>
        <v/>
      </c>
      <c r="AD68">
        <f>HYPERLINK("https://klasma.github.io/Logging_2085/tillsynsmail/A 33155-2024 tillsynsbegäran mail.docx", "A 33155-2024")</f>
        <v/>
      </c>
      <c r="AE68">
        <f>HYPERLINK("https://klasma.github.io/Logging_2085/fåglar/A 33155-2024 prioriterade fågelarter.docx", "A 33155-2024")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46252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56179-2025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46252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Gultoppig fingersvamp
Kortskaftad ärgspik</t>
        </is>
      </c>
      <c r="W70">
        <f>HYPERLINK("https://klasma.github.io/Logging_2085/artfynd/A 56179-2025 artfynd.xlsx", "A 56179-2025")</f>
        <v/>
      </c>
      <c r="X70">
        <f>HYPERLINK("https://klasma.github.io/Logging_2085/kartor/A 56179-2025 karta.png", "A 56179-2025")</f>
        <v/>
      </c>
      <c r="Y70">
        <f>HYPERLINK("https://klasma.github.io/Logging_2085/kartor_geotiff/A 56179-2025 georefererad karta.tif", "A 56179-2025")</f>
        <v/>
      </c>
      <c r="Z70">
        <f>HYPERLINK("https://klasma.github.io/Logging_2085/knärot/A 56179-2025 karta knärot.png", "A 56179-2025")</f>
        <v/>
      </c>
      <c r="AA70">
        <f>HYPERLINK("https://klasma.github.io/Logging_2085/klagomål/A 56179-2025 FSC-klagomål.docx", "A 56179-2025")</f>
        <v/>
      </c>
      <c r="AB70">
        <f>HYPERLINK("https://klasma.github.io/Logging_2085/klagomålsmail/A 56179-2025 FSC-klagomål mail.docx", "A 56179-2025")</f>
        <v/>
      </c>
      <c r="AC70">
        <f>HYPERLINK("https://klasma.github.io/Logging_2085/tillsyn/A 56179-2025 tillsynsbegäran.docx", "A 56179-2025")</f>
        <v/>
      </c>
      <c r="AD70">
        <f>HYPERLINK("https://klasma.github.io/Logging_2085/tillsynsmail/A 56179-2025 tillsynsbegäran mail.docx", "A 56179-2025")</f>
        <v/>
      </c>
    </row>
    <row r="71" ht="15" customHeight="1">
      <c r="A71" t="inlineStr">
        <is>
          <t>A 18024-2026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46125</v>
      </c>
      <c r="E71" s="1" t="n">
        <v>46252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1.9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Skinnlav
Svavelriska</t>
        </is>
      </c>
      <c r="W71">
        <f>HYPERLINK("https://klasma.github.io/Logging_2085/artfynd/A 18024-2026 artfynd.xlsx", "A 18024-2026")</f>
        <v/>
      </c>
      <c r="X71">
        <f>HYPERLINK("https://klasma.github.io/Logging_2085/kartor/A 18024-2026 karta.png", "A 18024-2026")</f>
        <v/>
      </c>
      <c r="Y71">
        <f>HYPERLINK("https://klasma.github.io/Logging_2085/kartor_geotiff/A 18024-2026 georefererad karta.tif", "A 18024-2026")</f>
        <v/>
      </c>
      <c r="AA71">
        <f>HYPERLINK("https://klasma.github.io/Logging_2085/klagomål/A 18024-2026 FSC-klagomål.docx", "A 18024-2026")</f>
        <v/>
      </c>
      <c r="AB71">
        <f>HYPERLINK("https://klasma.github.io/Logging_2085/klagomålsmail/A 18024-2026 FSC-klagomål mail.docx", "A 18024-2026")</f>
        <v/>
      </c>
      <c r="AC71">
        <f>HYPERLINK("https://klasma.github.io/Logging_2085/tillsyn/A 18024-2026 tillsynsbegäran.docx", "A 18024-2026")</f>
        <v/>
      </c>
      <c r="AD71">
        <f>HYPERLINK("https://klasma.github.io/Logging_2085/tillsynsmail/A 18024-2026 tillsynsbegäran mail.docx", "A 18024-2026")</f>
        <v/>
      </c>
    </row>
    <row r="72" ht="15" customHeight="1">
      <c r="A72" t="inlineStr">
        <is>
          <t>A 21369-2023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46252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0.4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Skogsalm
Tibast</t>
        </is>
      </c>
      <c r="W72">
        <f>HYPERLINK("https://klasma.github.io/Logging_2085/artfynd/A 21369-2023 artfynd.xlsx", "A 21369-2023")</f>
        <v/>
      </c>
      <c r="X72">
        <f>HYPERLINK("https://klasma.github.io/Logging_2085/kartor/A 21369-2023 karta.png", "A 21369-2023")</f>
        <v/>
      </c>
      <c r="Y72">
        <f>HYPERLINK("https://klasma.github.io/Logging_2085/kartor_geotiff/A 21369-2023 georefererad karta.tif", "A 21369-2023")</f>
        <v/>
      </c>
      <c r="AA72">
        <f>HYPERLINK("https://klasma.github.io/Logging_2085/klagomål/A 21369-2023 FSC-klagomål.docx", "A 21369-2023")</f>
        <v/>
      </c>
      <c r="AB72">
        <f>HYPERLINK("https://klasma.github.io/Logging_2085/klagomålsmail/A 21369-2023 FSC-klagomål mail.docx", "A 21369-2023")</f>
        <v/>
      </c>
      <c r="AC72">
        <f>HYPERLINK("https://klasma.github.io/Logging_2085/tillsyn/A 21369-2023 tillsynsbegäran.docx", "A 21369-2023")</f>
        <v/>
      </c>
      <c r="AD72">
        <f>HYPERLINK("https://klasma.github.io/Logging_2085/tillsynsmail/A 21369-2023 tillsynsbegäran mail.docx", "A 21369-2023")</f>
        <v/>
      </c>
    </row>
    <row r="73" ht="15" customHeight="1">
      <c r="A73" t="inlineStr">
        <is>
          <t>A 23919-2026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46167</v>
      </c>
      <c r="E73" s="1" t="n">
        <v>46252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Korallblylav
Skinnlav</t>
        </is>
      </c>
      <c r="W73">
        <f>HYPERLINK("https://klasma.github.io/Logging_2085/artfynd/A 23919-2026 artfynd.xlsx", "A 23919-2026")</f>
        <v/>
      </c>
      <c r="X73">
        <f>HYPERLINK("https://klasma.github.io/Logging_2085/kartor/A 23919-2026 karta.png", "A 23919-2026")</f>
        <v/>
      </c>
      <c r="Y73">
        <f>HYPERLINK("https://klasma.github.io/Logging_2085/kartor_geotiff/A 23919-2026 georefererad karta.tif", "A 23919-2026")</f>
        <v/>
      </c>
      <c r="AA73">
        <f>HYPERLINK("https://klasma.github.io/Logging_2085/klagomål/A 23919-2026 FSC-klagomål.docx", "A 23919-2026")</f>
        <v/>
      </c>
      <c r="AB73">
        <f>HYPERLINK("https://klasma.github.io/Logging_2085/klagomålsmail/A 23919-2026 FSC-klagomål mail.docx", "A 23919-2026")</f>
        <v/>
      </c>
      <c r="AC73">
        <f>HYPERLINK("https://klasma.github.io/Logging_2085/tillsyn/A 23919-2026 tillsynsbegäran.docx", "A 23919-2026")</f>
        <v/>
      </c>
      <c r="AD73">
        <f>HYPERLINK("https://klasma.github.io/Logging_2085/tillsynsmail/A 23919-2026 tillsynsbegäran mail.docx", "A 23919-2026")</f>
        <v/>
      </c>
    </row>
    <row r="74" ht="15" customHeight="1">
      <c r="A74" t="inlineStr">
        <is>
          <t>A 56826-2025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45978</v>
      </c>
      <c r="E74" s="1" t="n">
        <v>46252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4.5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8</v>
      </c>
      <c r="U74" t="n">
        <v>8</v>
      </c>
      <c r="V74" s="2" t="inlineStr">
        <is>
          <t>Garnlav
Tretåig hackspett</t>
        </is>
      </c>
      <c r="W74">
        <f>HYPERLINK("https://klasma.github.io/Logging_2085/artfynd/A 56826-2025 artfynd.xlsx", "A 56826-2025")</f>
        <v/>
      </c>
      <c r="X74">
        <f>HYPERLINK("https://klasma.github.io/Logging_2085/kartor/A 56826-2025 karta.png", "A 56826-2025")</f>
        <v/>
      </c>
      <c r="Y74">
        <f>HYPERLINK("https://klasma.github.io/Logging_2085/kartor_geotiff/A 56826-2025 georefererad karta.tif", "A 56826-2025")</f>
        <v/>
      </c>
      <c r="AA74">
        <f>HYPERLINK("https://klasma.github.io/Logging_2085/klagomål/A 56826-2025 FSC-klagomål.docx", "A 56826-2025")</f>
        <v/>
      </c>
      <c r="AB74">
        <f>HYPERLINK("https://klasma.github.io/Logging_2085/klagomålsmail/A 56826-2025 FSC-klagomål mail.docx", "A 56826-2025")</f>
        <v/>
      </c>
      <c r="AC74">
        <f>HYPERLINK("https://klasma.github.io/Logging_2085/tillsyn/A 56826-2025 tillsynsbegäran.docx", "A 56826-2025")</f>
        <v/>
      </c>
      <c r="AD74">
        <f>HYPERLINK("https://klasma.github.io/Logging_2085/tillsynsmail/A 56826-2025 tillsynsbegäran mail.docx", "A 56826-2025")</f>
        <v/>
      </c>
      <c r="AE74">
        <f>HYPERLINK("https://klasma.github.io/Logging_2085/fåglar/A 56826-2025 prioriterade fågelarter.docx", "A 56826-2025")</f>
        <v/>
      </c>
    </row>
    <row r="75" ht="15" customHeight="1">
      <c r="A75" t="inlineStr">
        <is>
          <t>A 56879-2025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46252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Garnlav
Tjäder</t>
        </is>
      </c>
      <c r="W75">
        <f>HYPERLINK("https://klasma.github.io/Logging_2085/artfynd/A 56879-2025 artfynd.xlsx", "A 56879-2025")</f>
        <v/>
      </c>
      <c r="X75">
        <f>HYPERLINK("https://klasma.github.io/Logging_2085/kartor/A 56879-2025 karta.png", "A 56879-2025")</f>
        <v/>
      </c>
      <c r="Y75">
        <f>HYPERLINK("https://klasma.github.io/Logging_2085/kartor_geotiff/A 56879-2025 georefererad karta.tif", "A 56879-2025")</f>
        <v/>
      </c>
      <c r="AA75">
        <f>HYPERLINK("https://klasma.github.io/Logging_2085/klagomål/A 56879-2025 FSC-klagomål.docx", "A 56879-2025")</f>
        <v/>
      </c>
      <c r="AB75">
        <f>HYPERLINK("https://klasma.github.io/Logging_2085/klagomålsmail/A 56879-2025 FSC-klagomål mail.docx", "A 56879-2025")</f>
        <v/>
      </c>
      <c r="AC75">
        <f>HYPERLINK("https://klasma.github.io/Logging_2085/tillsyn/A 56879-2025 tillsynsbegäran.docx", "A 56879-2025")</f>
        <v/>
      </c>
      <c r="AD75">
        <f>HYPERLINK("https://klasma.github.io/Logging_2085/tillsynsmail/A 56879-2025 tillsynsbegäran mail.docx", "A 56879-2025")</f>
        <v/>
      </c>
      <c r="AE75">
        <f>HYPERLINK("https://klasma.github.io/Logging_2085/fåglar/A 56879-2025 prioriterade fågelarter.docx", "A 56879-2025")</f>
        <v/>
      </c>
    </row>
    <row r="76" ht="15" customHeight="1">
      <c r="A76" t="inlineStr">
        <is>
          <t>A 8202-2025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45708</v>
      </c>
      <c r="E76" s="1" t="n">
        <v>46252</v>
      </c>
      <c r="F76" t="inlineStr">
        <is>
          <t>DALARNAS LÄN</t>
        </is>
      </c>
      <c r="G76" t="inlineStr">
        <is>
          <t>LUDVIKA</t>
        </is>
      </c>
      <c r="I76" t="n">
        <v>6.4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7</v>
      </c>
      <c r="U76" t="n">
        <v>7</v>
      </c>
      <c r="V76" s="2" t="inlineStr">
        <is>
          <t>Tretåig hackspett
Spillkråka</t>
        </is>
      </c>
      <c r="W76">
        <f>HYPERLINK("https://klasma.github.io/Logging_2085/artfynd/A 8202-2025 artfynd.xlsx", "A 8202-2025")</f>
        <v/>
      </c>
      <c r="X76">
        <f>HYPERLINK("https://klasma.github.io/Logging_2085/kartor/A 8202-2025 karta.png", "A 8202-2025")</f>
        <v/>
      </c>
      <c r="Y76">
        <f>HYPERLINK("https://klasma.github.io/Logging_2085/kartor_geotiff/A 8202-2025 georefererad karta.tif", "A 8202-2025")</f>
        <v/>
      </c>
      <c r="AA76">
        <f>HYPERLINK("https://klasma.github.io/Logging_2085/klagomål/A 8202-2025 FSC-klagomål.docx", "A 8202-2025")</f>
        <v/>
      </c>
      <c r="AB76">
        <f>HYPERLINK("https://klasma.github.io/Logging_2085/klagomålsmail/A 8202-2025 FSC-klagomål mail.docx", "A 8202-2025")</f>
        <v/>
      </c>
      <c r="AC76">
        <f>HYPERLINK("https://klasma.github.io/Logging_2085/tillsyn/A 8202-2025 tillsynsbegäran.docx", "A 8202-2025")</f>
        <v/>
      </c>
      <c r="AD76">
        <f>HYPERLINK("https://klasma.github.io/Logging_2085/tillsynsmail/A 8202-2025 tillsynsbegäran mail.docx", "A 8202-2025")</f>
        <v/>
      </c>
      <c r="AE76">
        <f>HYPERLINK("https://klasma.github.io/Logging_2085/fåglar/A 8202-2025 prioriterade fågelarter.docx", "A 8202-2025")</f>
        <v/>
      </c>
    </row>
    <row r="77" ht="15" customHeight="1">
      <c r="A77" t="inlineStr">
        <is>
          <t>A 19538-2026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46134</v>
      </c>
      <c r="E77" s="1" t="n">
        <v>46252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3.8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Mörk husmossa
Tibast</t>
        </is>
      </c>
      <c r="W77">
        <f>HYPERLINK("https://klasma.github.io/Logging_2085/artfynd/A 19538-2026 artfynd.xlsx", "A 19538-2026")</f>
        <v/>
      </c>
      <c r="X77">
        <f>HYPERLINK("https://klasma.github.io/Logging_2085/kartor/A 19538-2026 karta.png", "A 19538-2026")</f>
        <v/>
      </c>
      <c r="Y77">
        <f>HYPERLINK("https://klasma.github.io/Logging_2085/kartor_geotiff/A 19538-2026 georefererad karta.tif", "A 19538-2026")</f>
        <v/>
      </c>
      <c r="AA77">
        <f>HYPERLINK("https://klasma.github.io/Logging_2085/klagomål/A 19538-2026 FSC-klagomål.docx", "A 19538-2026")</f>
        <v/>
      </c>
      <c r="AB77">
        <f>HYPERLINK("https://klasma.github.io/Logging_2085/klagomålsmail/A 19538-2026 FSC-klagomål mail.docx", "A 19538-2026")</f>
        <v/>
      </c>
      <c r="AC77">
        <f>HYPERLINK("https://klasma.github.io/Logging_2085/tillsyn/A 19538-2026 tillsynsbegäran.docx", "A 19538-2026")</f>
        <v/>
      </c>
      <c r="AD77">
        <f>HYPERLINK("https://klasma.github.io/Logging_2085/tillsynsmail/A 19538-2026 tillsynsbegäran mail.docx", "A 19538-2026")</f>
        <v/>
      </c>
    </row>
    <row r="78" ht="15" customHeight="1">
      <c r="A78" t="inlineStr">
        <is>
          <t>A 28727-2026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46198</v>
      </c>
      <c r="E78" s="1" t="n">
        <v>46252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14</v>
      </c>
      <c r="J78" t="n">
        <v>0</v>
      </c>
      <c r="K78" t="n">
        <v>1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Mindre märgborre</t>
        </is>
      </c>
      <c r="W78">
        <f>HYPERLINK("https://klasma.github.io/Logging_2085/artfynd/A 28727-2026 artfynd.xlsx", "A 28727-2026")</f>
        <v/>
      </c>
      <c r="X78">
        <f>HYPERLINK("https://klasma.github.io/Logging_2085/kartor/A 28727-2026 karta.png", "A 28727-2026")</f>
        <v/>
      </c>
      <c r="Y78">
        <f>HYPERLINK("https://klasma.github.io/Logging_2085/kartor_geotiff/A 28727-2026 georefererad karta.tif", "A 28727-2026")</f>
        <v/>
      </c>
      <c r="AA78">
        <f>HYPERLINK("https://klasma.github.io/Logging_2085/klagomål/A 28727-2026 FSC-klagomål.docx", "A 28727-2026")</f>
        <v/>
      </c>
      <c r="AB78">
        <f>HYPERLINK("https://klasma.github.io/Logging_2085/klagomålsmail/A 28727-2026 FSC-klagomål mail.docx", "A 28727-2026")</f>
        <v/>
      </c>
      <c r="AC78">
        <f>HYPERLINK("https://klasma.github.io/Logging_2085/tillsyn/A 28727-2026 tillsynsbegäran.docx", "A 28727-2026")</f>
        <v/>
      </c>
      <c r="AD78">
        <f>HYPERLINK("https://klasma.github.io/Logging_2085/tillsynsmail/A 28727-2026 tillsynsbegäran mail.docx", "A 28727-2026")</f>
        <v/>
      </c>
    </row>
    <row r="79" ht="15" customHeight="1">
      <c r="A79" t="inlineStr">
        <is>
          <t>A 55399-2025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45971</v>
      </c>
      <c r="E79" s="1" t="n">
        <v>46252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11.5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HYPERLINK("https://klasma.github.io/Logging_2085/artfynd/A 55399-2025 artfynd.xlsx", "A 55399-2025")</f>
        <v/>
      </c>
      <c r="X79">
        <f>HYPERLINK("https://klasma.github.io/Logging_2085/kartor/A 55399-2025 karta.png", "A 55399-2025")</f>
        <v/>
      </c>
      <c r="Y79">
        <f>HYPERLINK("https://klasma.github.io/Logging_2085/kartor_geotiff/A 55399-2025 georefererad karta.tif", "A 55399-2025")</f>
        <v/>
      </c>
      <c r="AA79">
        <f>HYPERLINK("https://klasma.github.io/Logging_2085/klagomål/A 55399-2025 FSC-klagomål.docx", "A 55399-2025")</f>
        <v/>
      </c>
      <c r="AB79">
        <f>HYPERLINK("https://klasma.github.io/Logging_2085/klagomålsmail/A 55399-2025 FSC-klagomål mail.docx", "A 55399-2025")</f>
        <v/>
      </c>
      <c r="AC79">
        <f>HYPERLINK("https://klasma.github.io/Logging_2085/tillsyn/A 55399-2025 tillsynsbegäran.docx", "A 55399-2025")</f>
        <v/>
      </c>
      <c r="AD79">
        <f>HYPERLINK("https://klasma.github.io/Logging_2085/tillsynsmail/A 55399-2025 tillsynsbegäran mail.docx", "A 55399-2025")</f>
        <v/>
      </c>
      <c r="AE79">
        <f>HYPERLINK("https://klasma.github.io/Logging_2085/fåglar/A 55399-2025 prioriterade fågelarter.docx", "A 55399-2025")</f>
        <v/>
      </c>
    </row>
    <row r="80" ht="15" customHeight="1">
      <c r="A80" t="inlineStr">
        <is>
          <t>A 28639-2026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46252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Blå taggsvamp
Motaggsvamp</t>
        </is>
      </c>
      <c r="W80">
        <f>HYPERLINK("https://klasma.github.io/Logging_2085/artfynd/A 28639-2026 artfynd.xlsx", "A 28639-2026")</f>
        <v/>
      </c>
      <c r="X80">
        <f>HYPERLINK("https://klasma.github.io/Logging_2085/kartor/A 28639-2026 karta.png", "A 28639-2026")</f>
        <v/>
      </c>
      <c r="Y80">
        <f>HYPERLINK("https://klasma.github.io/Logging_2085/kartor_geotiff/A 28639-2026 georefererad karta.tif", "A 28639-2026")</f>
        <v/>
      </c>
      <c r="AA80">
        <f>HYPERLINK("https://klasma.github.io/Logging_2085/klagomål/A 28639-2026 FSC-klagomål.docx", "A 28639-2026")</f>
        <v/>
      </c>
      <c r="AB80">
        <f>HYPERLINK("https://klasma.github.io/Logging_2085/klagomålsmail/A 28639-2026 FSC-klagomål mail.docx", "A 28639-2026")</f>
        <v/>
      </c>
      <c r="AC80">
        <f>HYPERLINK("https://klasma.github.io/Logging_2085/tillsyn/A 28639-2026 tillsynsbegäran.docx", "A 28639-2026")</f>
        <v/>
      </c>
      <c r="AD80">
        <f>HYPERLINK("https://klasma.github.io/Logging_2085/tillsynsmail/A 28639-2026 tillsynsbegäran mail.docx", "A 28639-2026")</f>
        <v/>
      </c>
    </row>
    <row r="81" ht="15" customHeight="1">
      <c r="A81" t="inlineStr">
        <is>
          <t>A 49763-2025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46252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6.9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2</v>
      </c>
      <c r="V81" s="2" t="inlineStr">
        <is>
          <t>Dvärgbägarlav
Vedticka</t>
        </is>
      </c>
      <c r="W81">
        <f>HYPERLINK("https://klasma.github.io/Logging_2085/artfynd/A 49763-2025 artfynd.xlsx", "A 49763-2025")</f>
        <v/>
      </c>
      <c r="X81">
        <f>HYPERLINK("https://klasma.github.io/Logging_2085/kartor/A 49763-2025 karta.png", "A 49763-2025")</f>
        <v/>
      </c>
      <c r="Y81">
        <f>HYPERLINK("https://klasma.github.io/Logging_2085/kartor_geotiff/A 49763-2025 georefererad karta.tif", "A 49763-2025")</f>
        <v/>
      </c>
      <c r="AA81">
        <f>HYPERLINK("https://klasma.github.io/Logging_2085/klagomål/A 49763-2025 FSC-klagomål.docx", "A 49763-2025")</f>
        <v/>
      </c>
      <c r="AB81">
        <f>HYPERLINK("https://klasma.github.io/Logging_2085/klagomålsmail/A 49763-2025 FSC-klagomål mail.docx", "A 49763-2025")</f>
        <v/>
      </c>
      <c r="AC81">
        <f>HYPERLINK("https://klasma.github.io/Logging_2085/tillsyn/A 49763-2025 tillsynsbegäran.docx", "A 49763-2025")</f>
        <v/>
      </c>
      <c r="AD81">
        <f>HYPERLINK("https://klasma.github.io/Logging_2085/tillsynsmail/A 49763-2025 tillsynsbegäran mail.docx", "A 49763-2025")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46252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21876-2026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46252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Tretåig hackspett</t>
        </is>
      </c>
      <c r="W83">
        <f>HYPERLINK("https://klasma.github.io/Logging_2085/artfynd/A 21876-2026 artfynd.xlsx", "A 21876-2026")</f>
        <v/>
      </c>
      <c r="X83">
        <f>HYPERLINK("https://klasma.github.io/Logging_2085/kartor/A 21876-2026 karta.png", "A 21876-2026")</f>
        <v/>
      </c>
      <c r="Y83">
        <f>HYPERLINK("https://klasma.github.io/Logging_2085/kartor_geotiff/A 21876-2026 georefererad karta.tif", "A 21876-2026")</f>
        <v/>
      </c>
      <c r="AA83">
        <f>HYPERLINK("https://klasma.github.io/Logging_2085/klagomål/A 21876-2026 FSC-klagomål.docx", "A 21876-2026")</f>
        <v/>
      </c>
      <c r="AB83">
        <f>HYPERLINK("https://klasma.github.io/Logging_2085/klagomålsmail/A 21876-2026 FSC-klagomål mail.docx", "A 21876-2026")</f>
        <v/>
      </c>
      <c r="AC83">
        <f>HYPERLINK("https://klasma.github.io/Logging_2085/tillsyn/A 21876-2026 tillsynsbegäran.docx", "A 21876-2026")</f>
        <v/>
      </c>
      <c r="AD83">
        <f>HYPERLINK("https://klasma.github.io/Logging_2085/tillsynsmail/A 21876-2026 tillsynsbegäran mail.docx", "A 21876-2026")</f>
        <v/>
      </c>
      <c r="AE83">
        <f>HYPERLINK("https://klasma.github.io/Logging_2085/fåglar/A 21876-2026 prioriterade fågelarter.docx", "A 21876-2026")</f>
        <v/>
      </c>
    </row>
    <row r="84" ht="15" customHeight="1">
      <c r="A84" t="inlineStr">
        <is>
          <t>A 19512-2022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46252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2.8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Tretåig hackspett
Nästlav</t>
        </is>
      </c>
      <c r="W84">
        <f>HYPERLINK("https://klasma.github.io/Logging_2085/artfynd/A 19512-2022 artfynd.xlsx", "A 19512-2022")</f>
        <v/>
      </c>
      <c r="X84">
        <f>HYPERLINK("https://klasma.github.io/Logging_2085/kartor/A 19512-2022 karta.png", "A 19512-2022")</f>
        <v/>
      </c>
      <c r="Y84">
        <f>HYPERLINK("https://klasma.github.io/Logging_2085/kartor_geotiff/A 19512-2022 georefererad karta.tif", "A 19512-2022")</f>
        <v/>
      </c>
      <c r="AA84">
        <f>HYPERLINK("https://klasma.github.io/Logging_2085/klagomål/A 19512-2022 FSC-klagomål.docx", "A 19512-2022")</f>
        <v/>
      </c>
      <c r="AB84">
        <f>HYPERLINK("https://klasma.github.io/Logging_2085/klagomålsmail/A 19512-2022 FSC-klagomål mail.docx", "A 19512-2022")</f>
        <v/>
      </c>
      <c r="AC84">
        <f>HYPERLINK("https://klasma.github.io/Logging_2085/tillsyn/A 19512-2022 tillsynsbegäran.docx", "A 19512-2022")</f>
        <v/>
      </c>
      <c r="AD84">
        <f>HYPERLINK("https://klasma.github.io/Logging_2085/tillsynsmail/A 19512-2022 tillsynsbegäran mail.docx", "A 19512-2022")</f>
        <v/>
      </c>
      <c r="AE84">
        <f>HYPERLINK("https://klasma.github.io/Logging_2085/fåglar/A 19512-2022 prioriterade fågelarter.docx", "A 19512-2022")</f>
        <v/>
      </c>
    </row>
    <row r="85" ht="15" customHeight="1">
      <c r="A85" t="inlineStr">
        <is>
          <t>A 42558-2022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44831</v>
      </c>
      <c r="E85" s="1" t="n">
        <v>46252</v>
      </c>
      <c r="F85" t="inlineStr">
        <is>
          <t>DALARNAS LÄN</t>
        </is>
      </c>
      <c r="G85" t="inlineStr">
        <is>
          <t>LUDVIKA</t>
        </is>
      </c>
      <c r="H85" t="inlineStr">
        <is>
          <t>Naturvårdsverket</t>
        </is>
      </c>
      <c r="I85" t="n">
        <v>4.9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Gräddporing
Lopplummer (aggregat)</t>
        </is>
      </c>
      <c r="W85">
        <f>HYPERLINK("https://klasma.github.io/Logging_2085/artfynd/A 42558-2022 artfynd.xlsx", "A 42558-2022")</f>
        <v/>
      </c>
      <c r="X85">
        <f>HYPERLINK("https://klasma.github.io/Logging_2085/kartor/A 42558-2022 karta.png", "A 42558-2022")</f>
        <v/>
      </c>
      <c r="Y85">
        <f>HYPERLINK("https://klasma.github.io/Logging_2085/kartor_geotiff/A 42558-2022 georefererad karta.tif", "A 42558-2022")</f>
        <v/>
      </c>
      <c r="AA85">
        <f>HYPERLINK("https://klasma.github.io/Logging_2085/klagomål/A 42558-2022 FSC-klagomål.docx", "A 42558-2022")</f>
        <v/>
      </c>
      <c r="AB85">
        <f>HYPERLINK("https://klasma.github.io/Logging_2085/klagomålsmail/A 42558-2022 FSC-klagomål mail.docx", "A 42558-2022")</f>
        <v/>
      </c>
      <c r="AC85">
        <f>HYPERLINK("https://klasma.github.io/Logging_2085/tillsyn/A 42558-2022 tillsynsbegäran.docx", "A 42558-2022")</f>
        <v/>
      </c>
      <c r="AD85">
        <f>HYPERLINK("https://klasma.github.io/Logging_2085/tillsynsmail/A 42558-2022 tillsynsbegäran mail.docx", "A 42558-2022")</f>
        <v/>
      </c>
    </row>
    <row r="86" ht="15" customHeight="1">
      <c r="A86" t="inlineStr">
        <is>
          <t>A 31070-2026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46216</v>
      </c>
      <c r="E86" s="1" t="n">
        <v>46252</v>
      </c>
      <c r="F86" t="inlineStr">
        <is>
          <t>DALARNAS LÄN</t>
        </is>
      </c>
      <c r="G86" t="inlineStr">
        <is>
          <t>LUDVIKA</t>
        </is>
      </c>
      <c r="I86" t="n">
        <v>8.9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Knärot
Blåsippa</t>
        </is>
      </c>
      <c r="W86">
        <f>HYPERLINK("https://klasma.github.io/Logging_2085/artfynd/A 31070-2026 artfynd.xlsx", "A 31070-2026")</f>
        <v/>
      </c>
      <c r="X86">
        <f>HYPERLINK("https://klasma.github.io/Logging_2085/kartor/A 31070-2026 karta.png", "A 31070-2026")</f>
        <v/>
      </c>
      <c r="Y86">
        <f>HYPERLINK("https://klasma.github.io/Logging_2085/kartor_geotiff/A 31070-2026 georefererad karta.tif", "A 31070-2026")</f>
        <v/>
      </c>
      <c r="Z86">
        <f>HYPERLINK("https://klasma.github.io/Logging_2085/knärot/A 31070-2026 karta knärot.png", "A 31070-2026")</f>
        <v/>
      </c>
      <c r="AA86">
        <f>HYPERLINK("https://klasma.github.io/Logging_2085/klagomål/A 31070-2026 FSC-klagomål.docx", "A 31070-2026")</f>
        <v/>
      </c>
      <c r="AB86">
        <f>HYPERLINK("https://klasma.github.io/Logging_2085/klagomålsmail/A 31070-2026 FSC-klagomål mail.docx", "A 31070-2026")</f>
        <v/>
      </c>
      <c r="AC86">
        <f>HYPERLINK("https://klasma.github.io/Logging_2085/tillsyn/A 31070-2026 tillsynsbegäran.docx", "A 31070-2026")</f>
        <v/>
      </c>
      <c r="AD86">
        <f>HYPERLINK("https://klasma.github.io/Logging_2085/tillsynsmail/A 31070-2026 tillsynsbegäran mail.docx", "A 31070-2026")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46252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46252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46252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46252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46252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46252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46252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62275-2022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44923</v>
      </c>
      <c r="E94" s="1" t="n">
        <v>46252</v>
      </c>
      <c r="F94" t="inlineStr">
        <is>
          <t>DALARNAS LÄN</t>
        </is>
      </c>
      <c r="G94" t="inlineStr">
        <is>
          <t>LUDVIKA</t>
        </is>
      </c>
      <c r="I94" t="n">
        <v>4.6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2</v>
      </c>
      <c r="V94" s="2" t="inlineStr">
        <is>
          <t>Knärot</t>
        </is>
      </c>
      <c r="W94">
        <f>HYPERLINK("https://klasma.github.io/Logging_2085/artfynd/A 62275-2022 artfynd.xlsx", "A 62275-2022")</f>
        <v/>
      </c>
      <c r="X94">
        <f>HYPERLINK("https://klasma.github.io/Logging_2085/kartor/A 62275-2022 karta.png", "A 62275-2022")</f>
        <v/>
      </c>
      <c r="Y94">
        <f>HYPERLINK("https://klasma.github.io/Logging_2085/kartor_geotiff/A 62275-2022 georefererad karta.tif", "A 62275-2022")</f>
        <v/>
      </c>
      <c r="Z94">
        <f>HYPERLINK("https://klasma.github.io/Logging_2085/knärot/A 62275-2022 karta knärot.png", "A 62275-2022")</f>
        <v/>
      </c>
      <c r="AA94">
        <f>HYPERLINK("https://klasma.github.io/Logging_2085/klagomål/A 62275-2022 FSC-klagomål.docx", "A 62275-2022")</f>
        <v/>
      </c>
      <c r="AB94">
        <f>HYPERLINK("https://klasma.github.io/Logging_2085/klagomålsmail/A 62275-2022 FSC-klagomål mail.docx", "A 62275-2022")</f>
        <v/>
      </c>
      <c r="AC94">
        <f>HYPERLINK("https://klasma.github.io/Logging_2085/tillsyn/A 62275-2022 tillsynsbegäran.docx", "A 62275-2022")</f>
        <v/>
      </c>
      <c r="AD94">
        <f>HYPERLINK("https://klasma.github.io/Logging_2085/tillsynsmail/A 62275-2022 tillsynsbegäran mail.docx", "A 62275-2022")</f>
        <v/>
      </c>
    </row>
    <row r="95" ht="15" customHeight="1">
      <c r="A95" t="inlineStr">
        <is>
          <t>A 25588-2023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45089</v>
      </c>
      <c r="E95" s="1" t="n">
        <v>46252</v>
      </c>
      <c r="F95" t="inlineStr">
        <is>
          <t>DALARNAS LÄN</t>
        </is>
      </c>
      <c r="G95" t="inlineStr">
        <is>
          <t>LUDVIKA</t>
        </is>
      </c>
      <c r="I95" t="n">
        <v>9.4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0</v>
      </c>
      <c r="V95" s="2" t="inlineStr">
        <is>
          <t>Garnlav</t>
        </is>
      </c>
      <c r="W95">
        <f>HYPERLINK("https://klasma.github.io/Logging_2085/artfynd/A 25588-2023 artfynd.xlsx", "A 25588-2023")</f>
        <v/>
      </c>
      <c r="X95">
        <f>HYPERLINK("https://klasma.github.io/Logging_2085/kartor/A 25588-2023 karta.png", "A 25588-2023")</f>
        <v/>
      </c>
      <c r="Y95">
        <f>HYPERLINK("https://klasma.github.io/Logging_2085/kartor_geotiff/A 25588-2023 georefererad karta.tif", "A 25588-2023")</f>
        <v/>
      </c>
      <c r="AA95">
        <f>HYPERLINK("https://klasma.github.io/Logging_2085/klagomål/A 25588-2023 FSC-klagomål.docx", "A 25588-2023")</f>
        <v/>
      </c>
      <c r="AB95">
        <f>HYPERLINK("https://klasma.github.io/Logging_2085/klagomålsmail/A 25588-2023 FSC-klagomål mail.docx", "A 25588-2023")</f>
        <v/>
      </c>
      <c r="AC95">
        <f>HYPERLINK("https://klasma.github.io/Logging_2085/tillsyn/A 25588-2023 tillsynsbegäran.docx", "A 25588-2023")</f>
        <v/>
      </c>
      <c r="AD95">
        <f>HYPERLINK("https://klasma.github.io/Logging_2085/tillsynsmail/A 25588-2023 tillsynsbegäran mail.docx", "A 25588-2023")</f>
        <v/>
      </c>
    </row>
    <row r="96" ht="15" customHeight="1">
      <c r="A96" t="inlineStr">
        <is>
          <t>A 51886-2022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46252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1.8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Brun gräsfjäril</t>
        </is>
      </c>
      <c r="W96">
        <f>HYPERLINK("https://klasma.github.io/Logging_2085/artfynd/A 51886-2022 artfynd.xlsx", "A 51886-2022")</f>
        <v/>
      </c>
      <c r="X96">
        <f>HYPERLINK("https://klasma.github.io/Logging_2085/kartor/A 51886-2022 karta.png", "A 51886-2022")</f>
        <v/>
      </c>
      <c r="Y96">
        <f>HYPERLINK("https://klasma.github.io/Logging_2085/kartor_geotiff/A 51886-2022 georefererad karta.tif", "A 51886-2022")</f>
        <v/>
      </c>
      <c r="AA96">
        <f>HYPERLINK("https://klasma.github.io/Logging_2085/klagomål/A 51886-2022 FSC-klagomål.docx", "A 51886-2022")</f>
        <v/>
      </c>
      <c r="AB96">
        <f>HYPERLINK("https://klasma.github.io/Logging_2085/klagomålsmail/A 51886-2022 FSC-klagomål mail.docx", "A 51886-2022")</f>
        <v/>
      </c>
      <c r="AC96">
        <f>HYPERLINK("https://klasma.github.io/Logging_2085/tillsyn/A 51886-2022 tillsynsbegäran.docx", "A 51886-2022")</f>
        <v/>
      </c>
      <c r="AD96">
        <f>HYPERLINK("https://klasma.github.io/Logging_2085/tillsynsmail/A 51886-2022 tillsynsbegäran mail.docx", "A 51886-2022")</f>
        <v/>
      </c>
    </row>
    <row r="97" ht="15" customHeight="1">
      <c r="A97" t="inlineStr">
        <is>
          <t>A 56119-2021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44477</v>
      </c>
      <c r="E97" s="1" t="n">
        <v>46252</v>
      </c>
      <c r="F97" t="inlineStr">
        <is>
          <t>DALARNAS LÄN</t>
        </is>
      </c>
      <c r="G97" t="inlineStr">
        <is>
          <t>LUDVIKA</t>
        </is>
      </c>
      <c r="I97" t="n">
        <v>1.3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HYPERLINK("https://klasma.github.io/Logging_2085/artfynd/A 56119-2021 artfynd.xlsx", "A 56119-2021")</f>
        <v/>
      </c>
      <c r="X97">
        <f>HYPERLINK("https://klasma.github.io/Logging_2085/kartor/A 56119-2021 karta.png", "A 56119-2021")</f>
        <v/>
      </c>
      <c r="Y97">
        <f>HYPERLINK("https://klasma.github.io/Logging_2085/kartor_geotiff/A 56119-2021 georefererad karta.tif", "A 56119-2021")</f>
        <v/>
      </c>
      <c r="AA97">
        <f>HYPERLINK("https://klasma.github.io/Logging_2085/klagomål/A 56119-2021 FSC-klagomål.docx", "A 56119-2021")</f>
        <v/>
      </c>
      <c r="AB97">
        <f>HYPERLINK("https://klasma.github.io/Logging_2085/klagomålsmail/A 56119-2021 FSC-klagomål mail.docx", "A 56119-2021")</f>
        <v/>
      </c>
      <c r="AC97">
        <f>HYPERLINK("https://klasma.github.io/Logging_2085/tillsyn/A 56119-2021 tillsynsbegäran.docx", "A 56119-2021")</f>
        <v/>
      </c>
      <c r="AD97">
        <f>HYPERLINK("https://klasma.github.io/Logging_2085/tillsynsmail/A 56119-2021 tillsynsbegäran mail.docx", "A 56119-2021")</f>
        <v/>
      </c>
    </row>
    <row r="98" ht="15" customHeight="1">
      <c r="A98" t="inlineStr">
        <is>
          <t>A 45791-2025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46252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3.2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Vitfläckig guldvinge</t>
        </is>
      </c>
      <c r="W98">
        <f>HYPERLINK("https://klasma.github.io/Logging_2085/artfynd/A 45791-2025 artfynd.xlsx", "A 45791-2025")</f>
        <v/>
      </c>
      <c r="X98">
        <f>HYPERLINK("https://klasma.github.io/Logging_2085/kartor/A 45791-2025 karta.png", "A 45791-2025")</f>
        <v/>
      </c>
      <c r="Y98">
        <f>HYPERLINK("https://klasma.github.io/Logging_2085/kartor_geotiff/A 45791-2025 georefererad karta.tif", "A 45791-2025")</f>
        <v/>
      </c>
      <c r="AA98">
        <f>HYPERLINK("https://klasma.github.io/Logging_2085/klagomål/A 45791-2025 FSC-klagomål.docx", "A 45791-2025")</f>
        <v/>
      </c>
      <c r="AB98">
        <f>HYPERLINK("https://klasma.github.io/Logging_2085/klagomålsmail/A 45791-2025 FSC-klagomål mail.docx", "A 45791-2025")</f>
        <v/>
      </c>
      <c r="AC98">
        <f>HYPERLINK("https://klasma.github.io/Logging_2085/tillsyn/A 45791-2025 tillsynsbegäran.docx", "A 45791-2025")</f>
        <v/>
      </c>
      <c r="AD98">
        <f>HYPERLINK("https://klasma.github.io/Logging_2085/tillsynsmail/A 45791-2025 tillsynsbegäran mail.docx", "A 45791-2025")</f>
        <v/>
      </c>
    </row>
    <row r="99" ht="15" customHeight="1">
      <c r="A99" t="inlineStr">
        <is>
          <t>A 45858-2025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46252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Granbarkgnagare</t>
        </is>
      </c>
      <c r="W99">
        <f>HYPERLINK("https://klasma.github.io/Logging_2085/artfynd/A 45858-2025 artfynd.xlsx", "A 45858-2025")</f>
        <v/>
      </c>
      <c r="X99">
        <f>HYPERLINK("https://klasma.github.io/Logging_2085/kartor/A 45858-2025 karta.png", "A 45858-2025")</f>
        <v/>
      </c>
      <c r="Y99">
        <f>HYPERLINK("https://klasma.github.io/Logging_2085/kartor_geotiff/A 45858-2025 georefererad karta.tif", "A 45858-2025")</f>
        <v/>
      </c>
      <c r="AA99">
        <f>HYPERLINK("https://klasma.github.io/Logging_2085/klagomål/A 45858-2025 FSC-klagomål.docx", "A 45858-2025")</f>
        <v/>
      </c>
      <c r="AB99">
        <f>HYPERLINK("https://klasma.github.io/Logging_2085/klagomålsmail/A 45858-2025 FSC-klagomål mail.docx", "A 45858-2025")</f>
        <v/>
      </c>
      <c r="AC99">
        <f>HYPERLINK("https://klasma.github.io/Logging_2085/tillsyn/A 45858-2025 tillsynsbegäran.docx", "A 45858-2025")</f>
        <v/>
      </c>
      <c r="AD99">
        <f>HYPERLINK("https://klasma.github.io/Logging_2085/tillsynsmail/A 45858-2025 tillsynsbegäran mail.docx", "A 45858-2025")</f>
        <v/>
      </c>
    </row>
    <row r="100" ht="15" customHeight="1">
      <c r="A100" t="inlineStr">
        <is>
          <t>A 29733-2025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45825</v>
      </c>
      <c r="E100" s="1" t="n">
        <v>46252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10.4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Stuplav</t>
        </is>
      </c>
      <c r="W100">
        <f>HYPERLINK("https://klasma.github.io/Logging_2085/artfynd/A 29733-2025 artfynd.xlsx", "A 29733-2025")</f>
        <v/>
      </c>
      <c r="X100">
        <f>HYPERLINK("https://klasma.github.io/Logging_2085/kartor/A 29733-2025 karta.png", "A 29733-2025")</f>
        <v/>
      </c>
      <c r="Y100">
        <f>HYPERLINK("https://klasma.github.io/Logging_2085/kartor_geotiff/A 29733-2025 georefererad karta.tif", "A 29733-2025")</f>
        <v/>
      </c>
      <c r="AA100">
        <f>HYPERLINK("https://klasma.github.io/Logging_2085/klagomål/A 29733-2025 FSC-klagomål.docx", "A 29733-2025")</f>
        <v/>
      </c>
      <c r="AB100">
        <f>HYPERLINK("https://klasma.github.io/Logging_2085/klagomålsmail/A 29733-2025 FSC-klagomål mail.docx", "A 29733-2025")</f>
        <v/>
      </c>
      <c r="AC100">
        <f>HYPERLINK("https://klasma.github.io/Logging_2085/tillsyn/A 29733-2025 tillsynsbegäran.docx", "A 29733-2025")</f>
        <v/>
      </c>
      <c r="AD100">
        <f>HYPERLINK("https://klasma.github.io/Logging_2085/tillsynsmail/A 29733-2025 tillsynsbegäran mail.docx", "A 29733-2025")</f>
        <v/>
      </c>
    </row>
    <row r="101" ht="15" customHeight="1">
      <c r="A101" t="inlineStr">
        <is>
          <t>A 18189-2025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46252</v>
      </c>
      <c r="F101" t="inlineStr">
        <is>
          <t>DALARNAS LÄN</t>
        </is>
      </c>
      <c r="G101" t="inlineStr">
        <is>
          <t>LUDVIKA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HYPERLINK("https://klasma.github.io/Logging_2085/artfynd/A 18189-2025 artfynd.xlsx", "A 18189-2025")</f>
        <v/>
      </c>
      <c r="X101">
        <f>HYPERLINK("https://klasma.github.io/Logging_2085/kartor/A 18189-2025 karta.png", "A 18189-2025")</f>
        <v/>
      </c>
      <c r="Y101">
        <f>HYPERLINK("https://klasma.github.io/Logging_2085/kartor_geotiff/A 18189-2025 georefererad karta.tif", "A 18189-2025")</f>
        <v/>
      </c>
      <c r="AA101">
        <f>HYPERLINK("https://klasma.github.io/Logging_2085/klagomål/A 18189-2025 FSC-klagomål.docx", "A 18189-2025")</f>
        <v/>
      </c>
      <c r="AB101">
        <f>HYPERLINK("https://klasma.github.io/Logging_2085/klagomålsmail/A 18189-2025 FSC-klagomål mail.docx", "A 18189-2025")</f>
        <v/>
      </c>
      <c r="AC101">
        <f>HYPERLINK("https://klasma.github.io/Logging_2085/tillsyn/A 18189-2025 tillsynsbegäran.docx", "A 18189-2025")</f>
        <v/>
      </c>
      <c r="AD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44578-2023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46252</v>
      </c>
      <c r="F102" t="inlineStr">
        <is>
          <t>DALARNAS LÄN</t>
        </is>
      </c>
      <c r="G102" t="inlineStr">
        <is>
          <t>LUDVIKA</t>
        </is>
      </c>
      <c r="H102" t="inlineStr">
        <is>
          <t>Övriga Aktiebolag</t>
        </is>
      </c>
      <c r="I102" t="n">
        <v>12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Dofttaggsvamp</t>
        </is>
      </c>
      <c r="W102">
        <f>HYPERLINK("https://klasma.github.io/Logging_2085/artfynd/A 44578-2023 artfynd.xlsx", "A 44578-2023")</f>
        <v/>
      </c>
      <c r="X102">
        <f>HYPERLINK("https://klasma.github.io/Logging_2085/kartor/A 44578-2023 karta.png", "A 44578-2023")</f>
        <v/>
      </c>
      <c r="Y102">
        <f>HYPERLINK("https://klasma.github.io/Logging_2085/kartor_geotiff/A 44578-2023 georefererad karta.tif", "A 44578-2023")</f>
        <v/>
      </c>
      <c r="AA102">
        <f>HYPERLINK("https://klasma.github.io/Logging_2085/klagomål/A 44578-2023 FSC-klagomål.docx", "A 44578-2023")</f>
        <v/>
      </c>
      <c r="AB102">
        <f>HYPERLINK("https://klasma.github.io/Logging_2085/klagomålsmail/A 44578-2023 FSC-klagomål mail.docx", "A 44578-2023")</f>
        <v/>
      </c>
      <c r="AC102">
        <f>HYPERLINK("https://klasma.github.io/Logging_2085/tillsyn/A 44578-2023 tillsynsbegäran.docx", "A 44578-2023")</f>
        <v/>
      </c>
      <c r="AD102">
        <f>HYPERLINK("https://klasma.github.io/Logging_2085/tillsynsmail/A 44578-2023 tillsynsbegäran mail.docx", "A 44578-2023")</f>
        <v/>
      </c>
    </row>
    <row r="103" ht="15" customHeight="1">
      <c r="A103" t="inlineStr">
        <is>
          <t>A 6579-2023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44960</v>
      </c>
      <c r="E103" s="1" t="n">
        <v>46252</v>
      </c>
      <c r="F103" t="inlineStr">
        <is>
          <t>DALARNAS LÄN</t>
        </is>
      </c>
      <c r="G103" t="inlineStr">
        <is>
          <t>LUDVIKA</t>
        </is>
      </c>
      <c r="I103" t="n">
        <v>3.4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HYPERLINK("https://klasma.github.io/Logging_2085/artfynd/A 6579-2023 artfynd.xlsx", "A 6579-2023")</f>
        <v/>
      </c>
      <c r="X103">
        <f>HYPERLINK("https://klasma.github.io/Logging_2085/kartor/A 6579-2023 karta.png", "A 6579-2023")</f>
        <v/>
      </c>
      <c r="Y103">
        <f>HYPERLINK("https://klasma.github.io/Logging_2085/kartor_geotiff/A 6579-2023 georefererad karta.tif", "A 6579-2023")</f>
        <v/>
      </c>
      <c r="AA103">
        <f>HYPERLINK("https://klasma.github.io/Logging_2085/klagomål/A 6579-2023 FSC-klagomål.docx", "A 6579-2023")</f>
        <v/>
      </c>
      <c r="AB103">
        <f>HYPERLINK("https://klasma.github.io/Logging_2085/klagomålsmail/A 6579-2023 FSC-klagomål mail.docx", "A 6579-2023")</f>
        <v/>
      </c>
      <c r="AC103">
        <f>HYPERLINK("https://klasma.github.io/Logging_2085/tillsyn/A 6579-2023 tillsynsbegäran.docx", "A 6579-2023")</f>
        <v/>
      </c>
      <c r="AD103">
        <f>HYPERLINK("https://klasma.github.io/Logging_2085/tillsynsmail/A 6579-2023 tillsynsbegäran mail.docx", "A 6579-2023")</f>
        <v/>
      </c>
    </row>
    <row r="104" ht="15" customHeight="1">
      <c r="A104" t="inlineStr">
        <is>
          <t>A 17987-2025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45761</v>
      </c>
      <c r="E104" s="1" t="n">
        <v>46252</v>
      </c>
      <c r="F104" t="inlineStr">
        <is>
          <t>DALARNAS LÄN</t>
        </is>
      </c>
      <c r="G104" t="inlineStr">
        <is>
          <t>LUDVIKA</t>
        </is>
      </c>
      <c r="I104" t="n">
        <v>0.5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HYPERLINK("https://klasma.github.io/Logging_2085/artfynd/A 17987-2025 artfynd.xlsx", "A 17987-2025")</f>
        <v/>
      </c>
      <c r="X104">
        <f>HYPERLINK("https://klasma.github.io/Logging_2085/kartor/A 17987-2025 karta.png", "A 17987-2025")</f>
        <v/>
      </c>
      <c r="Y104">
        <f>HYPERLINK("https://klasma.github.io/Logging_2085/kartor_geotiff/A 17987-2025 georefererad karta.tif", "A 17987-2025")</f>
        <v/>
      </c>
      <c r="AA104">
        <f>HYPERLINK("https://klasma.github.io/Logging_2085/klagomål/A 17987-2025 FSC-klagomål.docx", "A 17987-2025")</f>
        <v/>
      </c>
      <c r="AB104">
        <f>HYPERLINK("https://klasma.github.io/Logging_2085/klagomålsmail/A 17987-2025 FSC-klagomål mail.docx", "A 17987-2025")</f>
        <v/>
      </c>
      <c r="AC104">
        <f>HYPERLINK("https://klasma.github.io/Logging_2085/tillsyn/A 17987-2025 tillsynsbegäran.docx", "A 17987-2025")</f>
        <v/>
      </c>
      <c r="AD104">
        <f>HYPERLINK("https://klasma.github.io/Logging_2085/tillsynsmail/A 17987-2025 tillsynsbegäran mail.docx", "A 17987-2025")</f>
        <v/>
      </c>
      <c r="AE104">
        <f>HYPERLINK("https://klasma.github.io/Logging_2085/fåglar/A 17987-2025 prioriterade fågelarter.docx", "A 17987-2025")</f>
        <v/>
      </c>
    </row>
    <row r="105" ht="15" customHeight="1">
      <c r="A105" t="inlineStr">
        <is>
          <t>A 21499-2022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44706</v>
      </c>
      <c r="E105" s="1" t="n">
        <v>46252</v>
      </c>
      <c r="F105" t="inlineStr">
        <is>
          <t>DALARNAS LÄN</t>
        </is>
      </c>
      <c r="G105" t="inlineStr">
        <is>
          <t>LUDVIKA</t>
        </is>
      </c>
      <c r="I105" t="n">
        <v>4.3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Strimspindling</t>
        </is>
      </c>
      <c r="W105">
        <f>HYPERLINK("https://klasma.github.io/Logging_2085/artfynd/A 21499-2022 artfynd.xlsx", "A 21499-2022")</f>
        <v/>
      </c>
      <c r="X105">
        <f>HYPERLINK("https://klasma.github.io/Logging_2085/kartor/A 21499-2022 karta.png", "A 21499-2022")</f>
        <v/>
      </c>
      <c r="Y105">
        <f>HYPERLINK("https://klasma.github.io/Logging_2085/kartor_geotiff/A 21499-2022 georefererad karta.tif", "A 21499-2022")</f>
        <v/>
      </c>
      <c r="AA105">
        <f>HYPERLINK("https://klasma.github.io/Logging_2085/klagomål/A 21499-2022 FSC-klagomål.docx", "A 21499-2022")</f>
        <v/>
      </c>
      <c r="AB105">
        <f>HYPERLINK("https://klasma.github.io/Logging_2085/klagomålsmail/A 21499-2022 FSC-klagomål mail.docx", "A 21499-2022")</f>
        <v/>
      </c>
      <c r="AC105">
        <f>HYPERLINK("https://klasma.github.io/Logging_2085/tillsyn/A 21499-2022 tillsynsbegäran.docx", "A 21499-2022")</f>
        <v/>
      </c>
      <c r="AD105">
        <f>HYPERLINK("https://klasma.github.io/Logging_2085/tillsynsmail/A 21499-2022 tillsynsbegäran mail.docx", "A 21499-2022")</f>
        <v/>
      </c>
    </row>
    <row r="106" ht="15" customHeight="1">
      <c r="A106" t="inlineStr">
        <is>
          <t>A 74401-2021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44560</v>
      </c>
      <c r="E106" s="1" t="n">
        <v>46252</v>
      </c>
      <c r="F106" t="inlineStr">
        <is>
          <t>DALARNAS LÄN</t>
        </is>
      </c>
      <c r="G106" t="inlineStr">
        <is>
          <t>LUDVIKA</t>
        </is>
      </c>
      <c r="H106" t="inlineStr">
        <is>
          <t>Kommuner</t>
        </is>
      </c>
      <c r="I106" t="n">
        <v>0.6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Gullgröppa</t>
        </is>
      </c>
      <c r="W106">
        <f>HYPERLINK("https://klasma.github.io/Logging_2085/artfynd/A 74401-2021 artfynd.xlsx", "A 74401-2021")</f>
        <v/>
      </c>
      <c r="X106">
        <f>HYPERLINK("https://klasma.github.io/Logging_2085/kartor/A 74401-2021 karta.png", "A 74401-2021")</f>
        <v/>
      </c>
      <c r="Y106">
        <f>HYPERLINK("https://klasma.github.io/Logging_2085/kartor_geotiff/A 74401-2021 georefererad karta.tif", "A 74401-2021")</f>
        <v/>
      </c>
      <c r="AA106">
        <f>HYPERLINK("https://klasma.github.io/Logging_2085/klagomål/A 74401-2021 FSC-klagomål.docx", "A 74401-2021")</f>
        <v/>
      </c>
      <c r="AB106">
        <f>HYPERLINK("https://klasma.github.io/Logging_2085/klagomålsmail/A 74401-2021 FSC-klagomål mail.docx", "A 74401-2021")</f>
        <v/>
      </c>
      <c r="AC106">
        <f>HYPERLINK("https://klasma.github.io/Logging_2085/tillsyn/A 74401-2021 tillsynsbegäran.docx", "A 74401-2021")</f>
        <v/>
      </c>
      <c r="AD106">
        <f>HYPERLINK("https://klasma.github.io/Logging_2085/tillsynsmail/A 74401-2021 tillsynsbegäran mail.docx", "A 74401-2021")</f>
        <v/>
      </c>
    </row>
    <row r="107" ht="15" customHeight="1">
      <c r="A107" t="inlineStr">
        <is>
          <t>A 55550-2022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44888</v>
      </c>
      <c r="E107" s="1" t="n">
        <v>46252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1.1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Ögonpyrola</t>
        </is>
      </c>
      <c r="W107">
        <f>HYPERLINK("https://klasma.github.io/Logging_2085/artfynd/A 55550-2022 artfynd.xlsx", "A 55550-2022")</f>
        <v/>
      </c>
      <c r="X107">
        <f>HYPERLINK("https://klasma.github.io/Logging_2085/kartor/A 55550-2022 karta.png", "A 55550-2022")</f>
        <v/>
      </c>
      <c r="Y107">
        <f>HYPERLINK("https://klasma.github.io/Logging_2085/kartor_geotiff/A 55550-2022 georefererad karta.tif", "A 55550-2022")</f>
        <v/>
      </c>
      <c r="AA107">
        <f>HYPERLINK("https://klasma.github.io/Logging_2085/klagomål/A 55550-2022 FSC-klagomål.docx", "A 55550-2022")</f>
        <v/>
      </c>
      <c r="AB107">
        <f>HYPERLINK("https://klasma.github.io/Logging_2085/klagomålsmail/A 55550-2022 FSC-klagomål mail.docx", "A 55550-2022")</f>
        <v/>
      </c>
      <c r="AC107">
        <f>HYPERLINK("https://klasma.github.io/Logging_2085/tillsyn/A 55550-2022 tillsynsbegäran.docx", "A 55550-2022")</f>
        <v/>
      </c>
      <c r="AD107">
        <f>HYPERLINK("https://klasma.github.io/Logging_2085/tillsynsmail/A 55550-2022 tillsynsbegäran mail.docx", "A 55550-2022")</f>
        <v/>
      </c>
    </row>
    <row r="108" ht="15" customHeight="1">
      <c r="A108" t="inlineStr">
        <is>
          <t>A 36050-2025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45866</v>
      </c>
      <c r="E108" s="1" t="n">
        <v>46252</v>
      </c>
      <c r="F108" t="inlineStr">
        <is>
          <t>DALARNAS LÄN</t>
        </is>
      </c>
      <c r="G108" t="inlineStr">
        <is>
          <t>LUDVIKA</t>
        </is>
      </c>
      <c r="I108" t="n">
        <v>1.4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Mindre hackspett</t>
        </is>
      </c>
      <c r="W108">
        <f>HYPERLINK("https://klasma.github.io/Logging_2085/artfynd/A 36050-2025 artfynd.xlsx", "A 36050-2025")</f>
        <v/>
      </c>
      <c r="X108">
        <f>HYPERLINK("https://klasma.github.io/Logging_2085/kartor/A 36050-2025 karta.png", "A 36050-2025")</f>
        <v/>
      </c>
      <c r="Y108">
        <f>HYPERLINK("https://klasma.github.io/Logging_2085/kartor_geotiff/A 36050-2025 georefererad karta.tif", "A 36050-2025")</f>
        <v/>
      </c>
      <c r="AA108">
        <f>HYPERLINK("https://klasma.github.io/Logging_2085/klagomål/A 36050-2025 FSC-klagomål.docx", "A 36050-2025")</f>
        <v/>
      </c>
      <c r="AB108">
        <f>HYPERLINK("https://klasma.github.io/Logging_2085/klagomålsmail/A 36050-2025 FSC-klagomål mail.docx", "A 36050-2025")</f>
        <v/>
      </c>
      <c r="AC108">
        <f>HYPERLINK("https://klasma.github.io/Logging_2085/tillsyn/A 36050-2025 tillsynsbegäran.docx", "A 36050-2025")</f>
        <v/>
      </c>
      <c r="AD108">
        <f>HYPERLINK("https://klasma.github.io/Logging_2085/tillsynsmail/A 36050-2025 tillsynsbegäran mail.docx", "A 36050-2025")</f>
        <v/>
      </c>
      <c r="AE108">
        <f>HYPERLINK("https://klasma.github.io/Logging_2085/fåglar/A 36050-2025 prioriterade fågelarter.docx", "A 36050-2025")</f>
        <v/>
      </c>
    </row>
    <row r="109" ht="15" customHeight="1">
      <c r="A109" t="inlineStr">
        <is>
          <t>A 1047-2023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44929</v>
      </c>
      <c r="E109" s="1" t="n">
        <v>46252</v>
      </c>
      <c r="F109" t="inlineStr">
        <is>
          <t>DALARNAS LÄN</t>
        </is>
      </c>
      <c r="G109" t="inlineStr">
        <is>
          <t>LUDVIKA</t>
        </is>
      </c>
      <c r="H109" t="inlineStr">
        <is>
          <t>Kommuner</t>
        </is>
      </c>
      <c r="I109" t="n">
        <v>3.2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Ullticka</t>
        </is>
      </c>
      <c r="W109">
        <f>HYPERLINK("https://klasma.github.io/Logging_2085/artfynd/A 1047-2023 artfynd.xlsx", "A 1047-2023")</f>
        <v/>
      </c>
      <c r="X109">
        <f>HYPERLINK("https://klasma.github.io/Logging_2085/kartor/A 1047-2023 karta.png", "A 1047-2023")</f>
        <v/>
      </c>
      <c r="Y109">
        <f>HYPERLINK("https://klasma.github.io/Logging_2085/kartor_geotiff/A 1047-2023 georefererad karta.tif", "A 1047-2023")</f>
        <v/>
      </c>
      <c r="AA109">
        <f>HYPERLINK("https://klasma.github.io/Logging_2085/klagomål/A 1047-2023 FSC-klagomål.docx", "A 1047-2023")</f>
        <v/>
      </c>
      <c r="AB109">
        <f>HYPERLINK("https://klasma.github.io/Logging_2085/klagomålsmail/A 1047-2023 FSC-klagomål mail.docx", "A 1047-2023")</f>
        <v/>
      </c>
      <c r="AC109">
        <f>HYPERLINK("https://klasma.github.io/Logging_2085/tillsyn/A 1047-2023 tillsynsbegäran.docx", "A 1047-2023")</f>
        <v/>
      </c>
      <c r="AD109">
        <f>HYPERLINK("https://klasma.github.io/Logging_2085/tillsynsmail/A 1047-2023 tillsynsbegäran mail.docx", "A 1047-2023")</f>
        <v/>
      </c>
    </row>
    <row r="110" ht="15" customHeight="1">
      <c r="A110" t="inlineStr">
        <is>
          <t>A 56655-2025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46252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8.5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HYPERLINK("https://klasma.github.io/Logging_2085/artfynd/A 56655-2025 artfynd.xlsx", "A 56655-2025")</f>
        <v/>
      </c>
      <c r="X110">
        <f>HYPERLINK("https://klasma.github.io/Logging_2085/kartor/A 56655-2025 karta.png", "A 56655-2025")</f>
        <v/>
      </c>
      <c r="Y110">
        <f>HYPERLINK("https://klasma.github.io/Logging_2085/kartor_geotiff/A 56655-2025 georefererad karta.tif", "A 56655-2025")</f>
        <v/>
      </c>
      <c r="AA110">
        <f>HYPERLINK("https://klasma.github.io/Logging_2085/klagomål/A 56655-2025 FSC-klagomål.docx", "A 56655-2025")</f>
        <v/>
      </c>
      <c r="AB110">
        <f>HYPERLINK("https://klasma.github.io/Logging_2085/klagomålsmail/A 56655-2025 FSC-klagomål mail.docx", "A 56655-2025")</f>
        <v/>
      </c>
      <c r="AC110">
        <f>HYPERLINK("https://klasma.github.io/Logging_2085/tillsyn/A 56655-2025 tillsynsbegäran.docx", "A 56655-2025")</f>
        <v/>
      </c>
      <c r="AD110">
        <f>HYPERLINK("https://klasma.github.io/Logging_2085/tillsynsmail/A 56655-2025 tillsynsbegäran mail.docx", "A 56655-2025")</f>
        <v/>
      </c>
      <c r="AE110">
        <f>HYPERLINK("https://klasma.github.io/Logging_2085/fåglar/A 56655-2025 prioriterade fågelarter.docx", "A 56655-2025")</f>
        <v/>
      </c>
    </row>
    <row r="111" ht="15" customHeight="1">
      <c r="A111" t="inlineStr">
        <is>
          <t>A 400-2023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44929</v>
      </c>
      <c r="E111" s="1" t="n">
        <v>46252</v>
      </c>
      <c r="F111" t="inlineStr">
        <is>
          <t>DALARNAS LÄN</t>
        </is>
      </c>
      <c r="G111" t="inlineStr">
        <is>
          <t>LUDVIKA</t>
        </is>
      </c>
      <c r="I111" t="n">
        <v>3.6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Nordfladdermus</t>
        </is>
      </c>
      <c r="W111">
        <f>HYPERLINK("https://klasma.github.io/Logging_2085/artfynd/A 400-2023 artfynd.xlsx", "A 400-2023")</f>
        <v/>
      </c>
      <c r="X111">
        <f>HYPERLINK("https://klasma.github.io/Logging_2085/kartor/A 400-2023 karta.png", "A 400-2023")</f>
        <v/>
      </c>
      <c r="Y111">
        <f>HYPERLINK("https://klasma.github.io/Logging_2085/kartor_geotiff/A 400-2023 georefererad karta.tif", "A 400-2023")</f>
        <v/>
      </c>
      <c r="AA111">
        <f>HYPERLINK("https://klasma.github.io/Logging_2085/klagomål/A 400-2023 FSC-klagomål.docx", "A 400-2023")</f>
        <v/>
      </c>
      <c r="AB111">
        <f>HYPERLINK("https://klasma.github.io/Logging_2085/klagomålsmail/A 400-2023 FSC-klagomål mail.docx", "A 400-2023")</f>
        <v/>
      </c>
      <c r="AC111">
        <f>HYPERLINK("https://klasma.github.io/Logging_2085/tillsyn/A 400-2023 tillsynsbegäran.docx", "A 400-2023")</f>
        <v/>
      </c>
      <c r="AD111">
        <f>HYPERLINK("https://klasma.github.io/Logging_2085/tillsynsmail/A 400-2023 tillsynsbegäran mail.docx", "A 400-2023")</f>
        <v/>
      </c>
    </row>
    <row r="112" ht="15" customHeight="1">
      <c r="A112" t="inlineStr">
        <is>
          <t>A 59873-2025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46252</v>
      </c>
      <c r="F112" t="inlineStr">
        <is>
          <t>DALARNAS LÄN</t>
        </is>
      </c>
      <c r="G112" t="inlineStr">
        <is>
          <t>LUDVIKA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Lateritticka</t>
        </is>
      </c>
      <c r="W112">
        <f>HYPERLINK("https://klasma.github.io/Logging_2085/artfynd/A 59873-2025 artfynd.xlsx", "A 59873-2025")</f>
        <v/>
      </c>
      <c r="X112">
        <f>HYPERLINK("https://klasma.github.io/Logging_2085/kartor/A 59873-2025 karta.png", "A 59873-2025")</f>
        <v/>
      </c>
      <c r="Y112">
        <f>HYPERLINK("https://klasma.github.io/Logging_2085/kartor_geotiff/A 59873-2025 georefererad karta.tif", "A 59873-2025")</f>
        <v/>
      </c>
      <c r="AA112">
        <f>HYPERLINK("https://klasma.github.io/Logging_2085/klagomål/A 59873-2025 FSC-klagomål.docx", "A 59873-2025")</f>
        <v/>
      </c>
      <c r="AB112">
        <f>HYPERLINK("https://klasma.github.io/Logging_2085/klagomålsmail/A 59873-2025 FSC-klagomål mail.docx", "A 59873-2025")</f>
        <v/>
      </c>
      <c r="AC112">
        <f>HYPERLINK("https://klasma.github.io/Logging_2085/tillsyn/A 59873-2025 tillsynsbegäran.docx", "A 59873-2025")</f>
        <v/>
      </c>
      <c r="AD112">
        <f>HYPERLINK("https://klasma.github.io/Logging_2085/tillsynsmail/A 59873-2025 tillsynsbegäran mail.docx", "A 59873-2025")</f>
        <v/>
      </c>
    </row>
    <row r="113" ht="15" customHeight="1">
      <c r="A113" t="inlineStr">
        <is>
          <t>A 31478-2023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45114</v>
      </c>
      <c r="E113" s="1" t="n">
        <v>46252</v>
      </c>
      <c r="F113" t="inlineStr">
        <is>
          <t>DALARNAS LÄN</t>
        </is>
      </c>
      <c r="G113" t="inlineStr">
        <is>
          <t>LUDVIKA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HYPERLINK("https://klasma.github.io/Logging_2085/artfynd/A 31478-2023 artfynd.xlsx", "A 31478-2023")</f>
        <v/>
      </c>
      <c r="X113">
        <f>HYPERLINK("https://klasma.github.io/Logging_2085/kartor/A 31478-2023 karta.png", "A 31478-2023")</f>
        <v/>
      </c>
      <c r="Y113">
        <f>HYPERLINK("https://klasma.github.io/Logging_2085/kartor_geotiff/A 31478-2023 georefererad karta.tif", "A 31478-2023")</f>
        <v/>
      </c>
      <c r="AA113">
        <f>HYPERLINK("https://klasma.github.io/Logging_2085/klagomål/A 31478-2023 FSC-klagomål.docx", "A 31478-2023")</f>
        <v/>
      </c>
      <c r="AB113">
        <f>HYPERLINK("https://klasma.github.io/Logging_2085/klagomålsmail/A 31478-2023 FSC-klagomål mail.docx", "A 31478-2023")</f>
        <v/>
      </c>
      <c r="AC113">
        <f>HYPERLINK("https://klasma.github.io/Logging_2085/tillsyn/A 31478-2023 tillsynsbegäran.docx", "A 31478-2023")</f>
        <v/>
      </c>
      <c r="AD113">
        <f>HYPERLINK("https://klasma.github.io/Logging_2085/tillsynsmail/A 31478-2023 tillsynsbegäran mail.docx", "A 31478-2023")</f>
        <v/>
      </c>
    </row>
    <row r="114" ht="15" customHeight="1">
      <c r="A114" t="inlineStr">
        <is>
          <t>A 25448-2024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45463</v>
      </c>
      <c r="E114" s="1" t="n">
        <v>46252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24.7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Blåsippa</t>
        </is>
      </c>
      <c r="W114">
        <f>HYPERLINK("https://klasma.github.io/Logging_2085/artfynd/A 25448-2024 artfynd.xlsx", "A 25448-2024")</f>
        <v/>
      </c>
      <c r="X114">
        <f>HYPERLINK("https://klasma.github.io/Logging_2085/kartor/A 25448-2024 karta.png", "A 25448-2024")</f>
        <v/>
      </c>
      <c r="Y114">
        <f>HYPERLINK("https://klasma.github.io/Logging_2085/kartor_geotiff/A 25448-2024 georefererad karta.tif", "A 25448-2024")</f>
        <v/>
      </c>
      <c r="AA114">
        <f>HYPERLINK("https://klasma.github.io/Logging_2085/klagomål/A 25448-2024 FSC-klagomål.docx", "A 25448-2024")</f>
        <v/>
      </c>
      <c r="AB114">
        <f>HYPERLINK("https://klasma.github.io/Logging_2085/klagomålsmail/A 25448-2024 FSC-klagomål mail.docx", "A 25448-2024")</f>
        <v/>
      </c>
      <c r="AC114">
        <f>HYPERLINK("https://klasma.github.io/Logging_2085/tillsyn/A 25448-2024 tillsynsbegäran.docx", "A 25448-2024")</f>
        <v/>
      </c>
      <c r="AD114">
        <f>HYPERLINK("https://klasma.github.io/Logging_2085/tillsynsmail/A 25448-2024 tillsynsbegäran mail.docx", "A 25448-2024")</f>
        <v/>
      </c>
    </row>
    <row r="115" ht="15" customHeight="1">
      <c r="A115" t="inlineStr">
        <is>
          <t>A 3687-2024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45321</v>
      </c>
      <c r="E115" s="1" t="n">
        <v>46252</v>
      </c>
      <c r="F115" t="inlineStr">
        <is>
          <t>DALARNAS LÄN</t>
        </is>
      </c>
      <c r="G115" t="inlineStr">
        <is>
          <t>LUDVIKA</t>
        </is>
      </c>
      <c r="I115" t="n">
        <v>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Nordfladdermus</t>
        </is>
      </c>
      <c r="W115">
        <f>HYPERLINK("https://klasma.github.io/Logging_2085/artfynd/A 3687-2024 artfynd.xlsx", "A 3687-2024")</f>
        <v/>
      </c>
      <c r="X115">
        <f>HYPERLINK("https://klasma.github.io/Logging_2085/kartor/A 3687-2024 karta.png", "A 3687-2024")</f>
        <v/>
      </c>
      <c r="Y115">
        <f>HYPERLINK("https://klasma.github.io/Logging_2085/kartor_geotiff/A 3687-2024 georefererad karta.tif", "A 3687-2024")</f>
        <v/>
      </c>
      <c r="AA115">
        <f>HYPERLINK("https://klasma.github.io/Logging_2085/klagomål/A 3687-2024 FSC-klagomål.docx", "A 3687-2024")</f>
        <v/>
      </c>
      <c r="AB115">
        <f>HYPERLINK("https://klasma.github.io/Logging_2085/klagomålsmail/A 3687-2024 FSC-klagomål mail.docx", "A 3687-2024")</f>
        <v/>
      </c>
      <c r="AC115">
        <f>HYPERLINK("https://klasma.github.io/Logging_2085/tillsyn/A 3687-2024 tillsynsbegäran.docx", "A 3687-2024")</f>
        <v/>
      </c>
      <c r="AD115">
        <f>HYPERLINK("https://klasma.github.io/Logging_2085/tillsynsmail/A 3687-2024 tillsynsbegäran mail.docx", "A 3687-2024")</f>
        <v/>
      </c>
    </row>
    <row r="116" ht="15" customHeight="1">
      <c r="A116" t="inlineStr">
        <is>
          <t>A 62676-2025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46252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4.2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Kolflarnlav</t>
        </is>
      </c>
      <c r="W116">
        <f>HYPERLINK("https://klasma.github.io/Logging_2085/artfynd/A 62676-2025 artfynd.xlsx", "A 62676-2025")</f>
        <v/>
      </c>
      <c r="X116">
        <f>HYPERLINK("https://klasma.github.io/Logging_2085/kartor/A 62676-2025 karta.png", "A 62676-2025")</f>
        <v/>
      </c>
      <c r="Y116">
        <f>HYPERLINK("https://klasma.github.io/Logging_2085/kartor_geotiff/A 62676-2025 georefererad karta.tif", "A 62676-2025")</f>
        <v/>
      </c>
      <c r="AA116">
        <f>HYPERLINK("https://klasma.github.io/Logging_2085/klagomål/A 62676-2025 FSC-klagomål.docx", "A 62676-2025")</f>
        <v/>
      </c>
      <c r="AB116">
        <f>HYPERLINK("https://klasma.github.io/Logging_2085/klagomålsmail/A 62676-2025 FSC-klagomål mail.docx", "A 62676-2025")</f>
        <v/>
      </c>
      <c r="AC116">
        <f>HYPERLINK("https://klasma.github.io/Logging_2085/tillsyn/A 62676-2025 tillsynsbegäran.docx", "A 62676-2025")</f>
        <v/>
      </c>
      <c r="AD116">
        <f>HYPERLINK("https://klasma.github.io/Logging_2085/tillsynsmail/A 62676-2025 tillsynsbegäran mail.docx", "A 62676-2025")</f>
        <v/>
      </c>
    </row>
    <row r="117" ht="15" customHeight="1">
      <c r="A117" t="inlineStr">
        <is>
          <t>A 33560-2023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45131</v>
      </c>
      <c r="E117" s="1" t="n">
        <v>46252</v>
      </c>
      <c r="F117" t="inlineStr">
        <is>
          <t>DALARNAS LÄN</t>
        </is>
      </c>
      <c r="G117" t="inlineStr">
        <is>
          <t>LUDVIKA</t>
        </is>
      </c>
      <c r="I117" t="n">
        <v>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vattensalamander</t>
        </is>
      </c>
      <c r="W117">
        <f>HYPERLINK("https://klasma.github.io/Logging_2085/artfynd/A 33560-2023 artfynd.xlsx", "A 33560-2023")</f>
        <v/>
      </c>
      <c r="X117">
        <f>HYPERLINK("https://klasma.github.io/Logging_2085/kartor/A 33560-2023 karta.png", "A 33560-2023")</f>
        <v/>
      </c>
      <c r="Y117">
        <f>HYPERLINK("https://klasma.github.io/Logging_2085/kartor_geotiff/A 33560-2023 georefererad karta.tif", "A 33560-2023")</f>
        <v/>
      </c>
      <c r="AA117">
        <f>HYPERLINK("https://klasma.github.io/Logging_2085/klagomål/A 33560-2023 FSC-klagomål.docx", "A 33560-2023")</f>
        <v/>
      </c>
      <c r="AB117">
        <f>HYPERLINK("https://klasma.github.io/Logging_2085/klagomålsmail/A 33560-2023 FSC-klagomål mail.docx", "A 33560-2023")</f>
        <v/>
      </c>
      <c r="AC117">
        <f>HYPERLINK("https://klasma.github.io/Logging_2085/tillsyn/A 33560-2023 tillsynsbegäran.docx", "A 33560-2023")</f>
        <v/>
      </c>
      <c r="AD117">
        <f>HYPERLINK("https://klasma.github.io/Logging_2085/tillsynsmail/A 33560-2023 tillsynsbegäran mail.docx", "A 33560-2023")</f>
        <v/>
      </c>
    </row>
    <row r="118" ht="15" customHeight="1">
      <c r="A118" t="inlineStr">
        <is>
          <t>A 1237-2026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46252</v>
      </c>
      <c r="F118" t="inlineStr">
        <is>
          <t>DALARNAS LÄN</t>
        </is>
      </c>
      <c r="G118" t="inlineStr">
        <is>
          <t>LUDVIKA</t>
        </is>
      </c>
      <c r="I118" t="n">
        <v>5.9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3</v>
      </c>
      <c r="U118" t="n">
        <v>0</v>
      </c>
      <c r="V118" s="2" t="inlineStr">
        <is>
          <t>Fläcknycklar</t>
        </is>
      </c>
      <c r="W118">
        <f>HYPERLINK("https://klasma.github.io/Logging_2085/artfynd/A 1237-2026 artfynd.xlsx", "A 1237-2026")</f>
        <v/>
      </c>
      <c r="X118">
        <f>HYPERLINK("https://klasma.github.io/Logging_2085/kartor/A 1237-2026 karta.png", "A 1237-2026")</f>
        <v/>
      </c>
      <c r="Y118">
        <f>HYPERLINK("https://klasma.github.io/Logging_2085/kartor_geotiff/A 1237-2026 georefererad karta.tif", "A 1237-2026")</f>
        <v/>
      </c>
      <c r="AA118">
        <f>HYPERLINK("https://klasma.github.io/Logging_2085/klagomål/A 1237-2026 FSC-klagomål.docx", "A 1237-2026")</f>
        <v/>
      </c>
      <c r="AB118">
        <f>HYPERLINK("https://klasma.github.io/Logging_2085/klagomålsmail/A 1237-2026 FSC-klagomål mail.docx", "A 1237-2026")</f>
        <v/>
      </c>
      <c r="AC118">
        <f>HYPERLINK("https://klasma.github.io/Logging_2085/tillsyn/A 1237-2026 tillsynsbegäran.docx", "A 1237-2026")</f>
        <v/>
      </c>
      <c r="AD118">
        <f>HYPERLINK("https://klasma.github.io/Logging_2085/tillsynsmail/A 1237-2026 tillsynsbegäran mail.docx", "A 1237-2026")</f>
        <v/>
      </c>
    </row>
    <row r="119" ht="15" customHeight="1">
      <c r="A119" t="inlineStr">
        <is>
          <t>A 26850-2023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45093</v>
      </c>
      <c r="E119" s="1" t="n">
        <v>46252</v>
      </c>
      <c r="F119" t="inlineStr">
        <is>
          <t>DALARNAS LÄN</t>
        </is>
      </c>
      <c r="G119" t="inlineStr">
        <is>
          <t>LUDVIKA</t>
        </is>
      </c>
      <c r="H119" t="inlineStr">
        <is>
          <t>Naturvårdsverket</t>
        </is>
      </c>
      <c r="I119" t="n">
        <v>2.7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HYPERLINK("https://klasma.github.io/Logging_2085/artfynd/A 26850-2023 artfynd.xlsx", "A 26850-2023")</f>
        <v/>
      </c>
      <c r="X119">
        <f>HYPERLINK("https://klasma.github.io/Logging_2085/kartor/A 26850-2023 karta.png", "A 26850-2023")</f>
        <v/>
      </c>
      <c r="Y119">
        <f>HYPERLINK("https://klasma.github.io/Logging_2085/kartor_geotiff/A 26850-2023 georefererad karta.tif", "A 26850-2023")</f>
        <v/>
      </c>
      <c r="AA119">
        <f>HYPERLINK("https://klasma.github.io/Logging_2085/klagomål/A 26850-2023 FSC-klagomål.docx", "A 26850-2023")</f>
        <v/>
      </c>
      <c r="AB119">
        <f>HYPERLINK("https://klasma.github.io/Logging_2085/klagomålsmail/A 26850-2023 FSC-klagomål mail.docx", "A 26850-2023")</f>
        <v/>
      </c>
      <c r="AC119">
        <f>HYPERLINK("https://klasma.github.io/Logging_2085/tillsyn/A 26850-2023 tillsynsbegäran.docx", "A 26850-2023")</f>
        <v/>
      </c>
      <c r="AD119">
        <f>HYPERLINK("https://klasma.github.io/Logging_2085/tillsynsmail/A 26850-2023 tillsynsbegäran mail.docx", "A 26850-2023")</f>
        <v/>
      </c>
    </row>
    <row r="120" ht="15" customHeight="1">
      <c r="A120" t="inlineStr">
        <is>
          <t>A 59947-2025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46252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Tjäder</t>
        </is>
      </c>
      <c r="W120">
        <f>HYPERLINK("https://klasma.github.io/Logging_2085/artfynd/A 59947-2025 artfynd.xlsx", "A 59947-2025")</f>
        <v/>
      </c>
      <c r="X120">
        <f>HYPERLINK("https://klasma.github.io/Logging_2085/kartor/A 59947-2025 karta.png", "A 59947-2025")</f>
        <v/>
      </c>
      <c r="Y120">
        <f>HYPERLINK("https://klasma.github.io/Logging_2085/kartor_geotiff/A 59947-2025 georefererad karta.tif", "A 59947-2025")</f>
        <v/>
      </c>
      <c r="AA120">
        <f>HYPERLINK("https://klasma.github.io/Logging_2085/klagomål/A 59947-2025 FSC-klagomål.docx", "A 59947-2025")</f>
        <v/>
      </c>
      <c r="AB120">
        <f>HYPERLINK("https://klasma.github.io/Logging_2085/klagomålsmail/A 59947-2025 FSC-klagomål mail.docx", "A 59947-2025")</f>
        <v/>
      </c>
      <c r="AC120">
        <f>HYPERLINK("https://klasma.github.io/Logging_2085/tillsyn/A 59947-2025 tillsynsbegäran.docx", "A 59947-2025")</f>
        <v/>
      </c>
      <c r="AD120">
        <f>HYPERLINK("https://klasma.github.io/Logging_2085/tillsynsmail/A 59947-2025 tillsynsbegäran mail.docx", "A 59947-2025")</f>
        <v/>
      </c>
      <c r="AE120">
        <f>HYPERLINK("https://klasma.github.io/Logging_2085/fåglar/A 59947-2025 prioriterade fågelarter.docx", "A 59947-2025")</f>
        <v/>
      </c>
    </row>
    <row r="121" ht="15" customHeight="1">
      <c r="A121" t="inlineStr">
        <is>
          <t>A 12093-2023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46252</v>
      </c>
      <c r="F121" t="inlineStr">
        <is>
          <t>DALARNAS LÄN</t>
        </is>
      </c>
      <c r="G121" t="inlineStr">
        <is>
          <t>LUDVIKA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Bitter taggsvamp</t>
        </is>
      </c>
      <c r="W121">
        <f>HYPERLINK("https://klasma.github.io/Logging_2085/artfynd/A 12093-2023 artfynd.xlsx", "A 12093-2023")</f>
        <v/>
      </c>
      <c r="X121">
        <f>HYPERLINK("https://klasma.github.io/Logging_2085/kartor/A 12093-2023 karta.png", "A 12093-2023")</f>
        <v/>
      </c>
      <c r="Y121">
        <f>HYPERLINK("https://klasma.github.io/Logging_2085/kartor_geotiff/A 12093-2023 georefererad karta.tif", "A 12093-2023")</f>
        <v/>
      </c>
      <c r="AA121">
        <f>HYPERLINK("https://klasma.github.io/Logging_2085/klagomål/A 12093-2023 FSC-klagomål.docx", "A 12093-2023")</f>
        <v/>
      </c>
      <c r="AB121">
        <f>HYPERLINK("https://klasma.github.io/Logging_2085/klagomålsmail/A 12093-2023 FSC-klagomål mail.docx", "A 12093-2023")</f>
        <v/>
      </c>
      <c r="AC121">
        <f>HYPERLINK("https://klasma.github.io/Logging_2085/tillsyn/A 12093-2023 tillsynsbegäran.docx", "A 12093-2023")</f>
        <v/>
      </c>
      <c r="AD121">
        <f>HYPERLINK("https://klasma.github.io/Logging_2085/tillsynsmail/A 12093-2023 tillsynsbegäran mail.docx", "A 12093-2023")</f>
        <v/>
      </c>
    </row>
    <row r="122" ht="15" customHeight="1">
      <c r="A122" t="inlineStr">
        <is>
          <t>A 49660-2024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45596</v>
      </c>
      <c r="E122" s="1" t="n">
        <v>46252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0.9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Mörk husmossa</t>
        </is>
      </c>
      <c r="W122">
        <f>HYPERLINK("https://klasma.github.io/Logging_2085/artfynd/A 49660-2024 artfynd.xlsx", "A 49660-2024")</f>
        <v/>
      </c>
      <c r="X122">
        <f>HYPERLINK("https://klasma.github.io/Logging_2085/kartor/A 49660-2024 karta.png", "A 49660-2024")</f>
        <v/>
      </c>
      <c r="Y122">
        <f>HYPERLINK("https://klasma.github.io/Logging_2085/kartor_geotiff/A 49660-2024 georefererad karta.tif", "A 49660-2024")</f>
        <v/>
      </c>
      <c r="AA122">
        <f>HYPERLINK("https://klasma.github.io/Logging_2085/klagomål/A 49660-2024 FSC-klagomål.docx", "A 49660-2024")</f>
        <v/>
      </c>
      <c r="AB122">
        <f>HYPERLINK("https://klasma.github.io/Logging_2085/klagomålsmail/A 49660-2024 FSC-klagomål mail.docx", "A 49660-2024")</f>
        <v/>
      </c>
      <c r="AC122">
        <f>HYPERLINK("https://klasma.github.io/Logging_2085/tillsyn/A 49660-2024 tillsynsbegäran.docx", "A 49660-2024")</f>
        <v/>
      </c>
      <c r="AD122">
        <f>HYPERLINK("https://klasma.github.io/Logging_2085/tillsynsmail/A 49660-2024 tillsynsbegäran mail.docx", "A 49660-2024")</f>
        <v/>
      </c>
    </row>
    <row r="123" ht="15" customHeight="1">
      <c r="A123" t="inlineStr">
        <is>
          <t>A 60787-2024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45644</v>
      </c>
      <c r="E123" s="1" t="n">
        <v>46252</v>
      </c>
      <c r="F123" t="inlineStr">
        <is>
          <t>DALARNAS LÄN</t>
        </is>
      </c>
      <c r="G123" t="inlineStr">
        <is>
          <t>LUDVIKA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Järpe</t>
        </is>
      </c>
      <c r="W123">
        <f>HYPERLINK("https://klasma.github.io/Logging_2085/artfynd/A 60787-2024 artfynd.xlsx", "A 60787-2024")</f>
        <v/>
      </c>
      <c r="X123">
        <f>HYPERLINK("https://klasma.github.io/Logging_2085/kartor/A 60787-2024 karta.png", "A 60787-2024")</f>
        <v/>
      </c>
      <c r="Y123">
        <f>HYPERLINK("https://klasma.github.io/Logging_2085/kartor_geotiff/A 60787-2024 georefererad karta.tif", "A 60787-2024")</f>
        <v/>
      </c>
      <c r="AA123">
        <f>HYPERLINK("https://klasma.github.io/Logging_2085/klagomål/A 60787-2024 FSC-klagomål.docx", "A 60787-2024")</f>
        <v/>
      </c>
      <c r="AB123">
        <f>HYPERLINK("https://klasma.github.io/Logging_2085/klagomålsmail/A 60787-2024 FSC-klagomål mail.docx", "A 60787-2024")</f>
        <v/>
      </c>
      <c r="AC123">
        <f>HYPERLINK("https://klasma.github.io/Logging_2085/tillsyn/A 60787-2024 tillsynsbegäran.docx", "A 60787-2024")</f>
        <v/>
      </c>
      <c r="AD123">
        <f>HYPERLINK("https://klasma.github.io/Logging_2085/tillsynsmail/A 60787-2024 tillsynsbegäran mail.docx", "A 60787-2024")</f>
        <v/>
      </c>
      <c r="AE123">
        <f>HYPERLINK("https://klasma.github.io/Logging_2085/fåglar/A 60787-2024 prioriterade fågelarter.docx", "A 60787-2024")</f>
        <v/>
      </c>
    </row>
    <row r="124" ht="15" customHeight="1">
      <c r="A124" t="inlineStr">
        <is>
          <t>A 33399-2026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46247</v>
      </c>
      <c r="E124" s="1" t="n">
        <v>46252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0.8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Järpe</t>
        </is>
      </c>
      <c r="W124">
        <f>HYPERLINK("https://klasma.github.io/Logging_2085/artfynd/A 33399-2026 artfynd.xlsx", "A 33399-2026")</f>
        <v/>
      </c>
      <c r="X124">
        <f>HYPERLINK("https://klasma.github.io/Logging_2085/kartor/A 33399-2026 karta.png", "A 33399-2026")</f>
        <v/>
      </c>
      <c r="Y124">
        <f>HYPERLINK("https://klasma.github.io/Logging_2085/kartor_geotiff/A 33399-2026 georefererad karta.tif", "A 33399-2026")</f>
        <v/>
      </c>
      <c r="AA124">
        <f>HYPERLINK("https://klasma.github.io/Logging_2085/klagomål/A 33399-2026 FSC-klagomål.docx", "A 33399-2026")</f>
        <v/>
      </c>
      <c r="AB124">
        <f>HYPERLINK("https://klasma.github.io/Logging_2085/klagomålsmail/A 33399-2026 FSC-klagomål mail.docx", "A 33399-2026")</f>
        <v/>
      </c>
      <c r="AC124">
        <f>HYPERLINK("https://klasma.github.io/Logging_2085/tillsyn/A 33399-2026 tillsynsbegäran.docx", "A 33399-2026")</f>
        <v/>
      </c>
      <c r="AD124">
        <f>HYPERLINK("https://klasma.github.io/Logging_2085/tillsynsmail/A 33399-2026 tillsynsbegäran mail.docx", "A 33399-2026")</f>
        <v/>
      </c>
      <c r="AE124">
        <f>HYPERLINK("https://klasma.github.io/Logging_2085/fåglar/A 33399-2026 prioriterade fågelarter.docx", "A 33399-2026")</f>
        <v/>
      </c>
    </row>
    <row r="125" ht="15" customHeight="1">
      <c r="A125" t="inlineStr">
        <is>
          <t>A 21880-2026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46150</v>
      </c>
      <c r="E125" s="1" t="n">
        <v>46252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3.2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21880-2026 artfynd.xlsx", "A 21880-2026")</f>
        <v/>
      </c>
      <c r="X125">
        <f>HYPERLINK("https://klasma.github.io/Logging_2085/kartor/A 21880-2026 karta.png", "A 21880-2026")</f>
        <v/>
      </c>
      <c r="Y125">
        <f>HYPERLINK("https://klasma.github.io/Logging_2085/kartor_geotiff/A 21880-2026 georefererad karta.tif", "A 21880-2026")</f>
        <v/>
      </c>
      <c r="AA125">
        <f>HYPERLINK("https://klasma.github.io/Logging_2085/klagomål/A 21880-2026 FSC-klagomål.docx", "A 21880-2026")</f>
        <v/>
      </c>
      <c r="AB125">
        <f>HYPERLINK("https://klasma.github.io/Logging_2085/klagomålsmail/A 21880-2026 FSC-klagomål mail.docx", "A 21880-2026")</f>
        <v/>
      </c>
      <c r="AC125">
        <f>HYPERLINK("https://klasma.github.io/Logging_2085/tillsyn/A 21880-2026 tillsynsbegäran.docx", "A 21880-2026")</f>
        <v/>
      </c>
      <c r="AD125">
        <f>HYPERLINK("https://klasma.github.io/Logging_2085/tillsynsmail/A 21880-2026 tillsynsbegäran mail.docx", "A 21880-2026")</f>
        <v/>
      </c>
      <c r="AE125">
        <f>HYPERLINK("https://klasma.github.io/Logging_2085/fåglar/A 21880-2026 prioriterade fågelarter.docx", "A 21880-2026")</f>
        <v/>
      </c>
    </row>
    <row r="126" ht="15" customHeight="1">
      <c r="A126" t="inlineStr">
        <is>
          <t>A 29882-2024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45486</v>
      </c>
      <c r="E126" s="1" t="n">
        <v>46252</v>
      </c>
      <c r="F126" t="inlineStr">
        <is>
          <t>DALARNAS LÄN</t>
        </is>
      </c>
      <c r="G126" t="inlineStr">
        <is>
          <t>LUDVIKA</t>
        </is>
      </c>
      <c r="I126" t="n">
        <v>1.3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29882-2024 artfynd.xlsx", "A 29882-2024")</f>
        <v/>
      </c>
      <c r="X126">
        <f>HYPERLINK("https://klasma.github.io/Logging_2085/kartor/A 29882-2024 karta.png", "A 29882-2024")</f>
        <v/>
      </c>
      <c r="Y126">
        <f>HYPERLINK("https://klasma.github.io/Logging_2085/kartor_geotiff/A 29882-2024 georefererad karta.tif", "A 29882-2024")</f>
        <v/>
      </c>
      <c r="AA126">
        <f>HYPERLINK("https://klasma.github.io/Logging_2085/klagomål/A 29882-2024 FSC-klagomål.docx", "A 29882-2024")</f>
        <v/>
      </c>
      <c r="AB126">
        <f>HYPERLINK("https://klasma.github.io/Logging_2085/klagomålsmail/A 29882-2024 FSC-klagomål mail.docx", "A 29882-2024")</f>
        <v/>
      </c>
      <c r="AC126">
        <f>HYPERLINK("https://klasma.github.io/Logging_2085/tillsyn/A 29882-2024 tillsynsbegäran.docx", "A 29882-2024")</f>
        <v/>
      </c>
      <c r="AD126">
        <f>HYPERLINK("https://klasma.github.io/Logging_2085/tillsynsmail/A 29882-2024 tillsynsbegäran mail.docx", "A 29882-2024")</f>
        <v/>
      </c>
      <c r="AE126">
        <f>HYPERLINK("https://klasma.github.io/Logging_2085/fåglar/A 29882-2024 prioriterade fågelarter.docx", "A 29882-2024")</f>
        <v/>
      </c>
    </row>
    <row r="127" ht="15" customHeight="1">
      <c r="A127" t="inlineStr">
        <is>
          <t>A 23102-2025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46252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0.8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Vanlig groda</t>
        </is>
      </c>
      <c r="W127">
        <f>HYPERLINK("https://klasma.github.io/Logging_2085/artfynd/A 23102-2025 artfynd.xlsx", "A 23102-2025")</f>
        <v/>
      </c>
      <c r="X127">
        <f>HYPERLINK("https://klasma.github.io/Logging_2085/kartor/A 23102-2025 karta.png", "A 23102-2025")</f>
        <v/>
      </c>
      <c r="Y127">
        <f>HYPERLINK("https://klasma.github.io/Logging_2085/kartor_geotiff/A 23102-2025 georefererad karta.tif", "A 23102-2025")</f>
        <v/>
      </c>
      <c r="AA127">
        <f>HYPERLINK("https://klasma.github.io/Logging_2085/klagomål/A 23102-2025 FSC-klagomål.docx", "A 23102-2025")</f>
        <v/>
      </c>
      <c r="AB127">
        <f>HYPERLINK("https://klasma.github.io/Logging_2085/klagomålsmail/A 23102-2025 FSC-klagomål mail.docx", "A 23102-2025")</f>
        <v/>
      </c>
      <c r="AC127">
        <f>HYPERLINK("https://klasma.github.io/Logging_2085/tillsyn/A 23102-2025 tillsynsbegäran.docx", "A 23102-2025")</f>
        <v/>
      </c>
      <c r="AD127">
        <f>HYPERLINK("https://klasma.github.io/Logging_2085/tillsynsmail/A 23102-2025 tillsynsbegäran mail.docx", "A 23102-2025")</f>
        <v/>
      </c>
    </row>
    <row r="128" ht="15" customHeight="1">
      <c r="A128" t="inlineStr">
        <is>
          <t>A 23720-2026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46163</v>
      </c>
      <c r="E128" s="1" t="n">
        <v>46252</v>
      </c>
      <c r="F128" t="inlineStr">
        <is>
          <t>DALARNAS LÄN</t>
        </is>
      </c>
      <c r="G128" t="inlineStr">
        <is>
          <t>LUDVIKA</t>
        </is>
      </c>
      <c r="I128" t="n">
        <v>3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Tretåig hackspett</t>
        </is>
      </c>
      <c r="W128">
        <f>HYPERLINK("https://klasma.github.io/Logging_2085/artfynd/A 23720-2026 artfynd.xlsx", "A 23720-2026")</f>
        <v/>
      </c>
      <c r="X128">
        <f>HYPERLINK("https://klasma.github.io/Logging_2085/kartor/A 23720-2026 karta.png", "A 23720-2026")</f>
        <v/>
      </c>
      <c r="Y128">
        <f>HYPERLINK("https://klasma.github.io/Logging_2085/kartor_geotiff/A 23720-2026 georefererad karta.tif", "A 23720-2026")</f>
        <v/>
      </c>
      <c r="AA128">
        <f>HYPERLINK("https://klasma.github.io/Logging_2085/klagomål/A 23720-2026 FSC-klagomål.docx", "A 23720-2026")</f>
        <v/>
      </c>
      <c r="AB128">
        <f>HYPERLINK("https://klasma.github.io/Logging_2085/klagomålsmail/A 23720-2026 FSC-klagomål mail.docx", "A 23720-2026")</f>
        <v/>
      </c>
      <c r="AC128">
        <f>HYPERLINK("https://klasma.github.io/Logging_2085/tillsyn/A 23720-2026 tillsynsbegäran.docx", "A 23720-2026")</f>
        <v/>
      </c>
      <c r="AD128">
        <f>HYPERLINK("https://klasma.github.io/Logging_2085/tillsynsmail/A 23720-2026 tillsynsbegäran mail.docx", "A 23720-2026")</f>
        <v/>
      </c>
      <c r="AE128">
        <f>HYPERLINK("https://klasma.github.io/Logging_2085/fåglar/A 23720-2026 prioriterade fågelarter.docx", "A 23720-2026")</f>
        <v/>
      </c>
    </row>
    <row r="129" ht="15" customHeight="1">
      <c r="A129" t="inlineStr">
        <is>
          <t>A 23778-2026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46164</v>
      </c>
      <c r="E129" s="1" t="n">
        <v>46252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23778-2026 artfynd.xlsx", "A 23778-2026")</f>
        <v/>
      </c>
      <c r="X129">
        <f>HYPERLINK("https://klasma.github.io/Logging_2085/kartor/A 23778-2026 karta.png", "A 23778-2026")</f>
        <v/>
      </c>
      <c r="Y129">
        <f>HYPERLINK("https://klasma.github.io/Logging_2085/kartor_geotiff/A 23778-2026 georefererad karta.tif", "A 23778-2026")</f>
        <v/>
      </c>
      <c r="AA129">
        <f>HYPERLINK("https://klasma.github.io/Logging_2085/klagomål/A 23778-2026 FSC-klagomål.docx", "A 23778-2026")</f>
        <v/>
      </c>
      <c r="AB129">
        <f>HYPERLINK("https://klasma.github.io/Logging_2085/klagomålsmail/A 23778-2026 FSC-klagomål mail.docx", "A 23778-2026")</f>
        <v/>
      </c>
      <c r="AC129">
        <f>HYPERLINK("https://klasma.github.io/Logging_2085/tillsyn/A 23778-2026 tillsynsbegäran.docx", "A 23778-2026")</f>
        <v/>
      </c>
      <c r="AD129">
        <f>HYPERLINK("https://klasma.github.io/Logging_2085/tillsynsmail/A 23778-2026 tillsynsbegäran mail.docx", "A 23778-2026")</f>
        <v/>
      </c>
      <c r="AE129">
        <f>HYPERLINK("https://klasma.github.io/Logging_2085/fåglar/A 23778-2026 prioriterade fågelarter.docx", "A 23778-2026")</f>
        <v/>
      </c>
    </row>
    <row r="130" ht="15" customHeight="1">
      <c r="A130" t="inlineStr">
        <is>
          <t>A 63005-2025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46252</v>
      </c>
      <c r="F130" t="inlineStr">
        <is>
          <t>DALARNAS LÄN</t>
        </is>
      </c>
      <c r="G130" t="inlineStr">
        <is>
          <t>LUDVIKA</t>
        </is>
      </c>
      <c r="I130" t="n">
        <v>4.4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Spillkråka</t>
        </is>
      </c>
      <c r="W130">
        <f>HYPERLINK("https://klasma.github.io/Logging_2085/artfynd/A 63005-2025 artfynd.xlsx", "A 63005-2025")</f>
        <v/>
      </c>
      <c r="X130">
        <f>HYPERLINK("https://klasma.github.io/Logging_2085/kartor/A 63005-2025 karta.png", "A 63005-2025")</f>
        <v/>
      </c>
      <c r="Y130">
        <f>HYPERLINK("https://klasma.github.io/Logging_2085/kartor_geotiff/A 63005-2025 georefererad karta.tif", "A 63005-2025")</f>
        <v/>
      </c>
      <c r="AA130">
        <f>HYPERLINK("https://klasma.github.io/Logging_2085/klagomål/A 63005-2025 FSC-klagomål.docx", "A 63005-2025")</f>
        <v/>
      </c>
      <c r="AB130">
        <f>HYPERLINK("https://klasma.github.io/Logging_2085/klagomålsmail/A 63005-2025 FSC-klagomål mail.docx", "A 63005-2025")</f>
        <v/>
      </c>
      <c r="AC130">
        <f>HYPERLINK("https://klasma.github.io/Logging_2085/tillsyn/A 63005-2025 tillsynsbegäran.docx", "A 63005-2025")</f>
        <v/>
      </c>
      <c r="AD130">
        <f>HYPERLINK("https://klasma.github.io/Logging_2085/tillsynsmail/A 63005-2025 tillsynsbegäran mail.docx", "A 63005-2025")</f>
        <v/>
      </c>
      <c r="AE130">
        <f>HYPERLINK("https://klasma.github.io/Logging_2085/fåglar/A 63005-2025 prioriterade fågelarter.docx", "A 63005-2025")</f>
        <v/>
      </c>
    </row>
    <row r="131" ht="15" customHeight="1">
      <c r="A131" t="inlineStr">
        <is>
          <t>A 25159-2026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46175</v>
      </c>
      <c r="E131" s="1" t="n">
        <v>46252</v>
      </c>
      <c r="F131" t="inlineStr">
        <is>
          <t>DALARNAS LÄN</t>
        </is>
      </c>
      <c r="G131" t="inlineStr">
        <is>
          <t>LUDVIKA</t>
        </is>
      </c>
      <c r="I131" t="n">
        <v>2.3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HYPERLINK("https://klasma.github.io/Logging_2085/artfynd/A 25159-2026 artfynd.xlsx", "A 25159-2026")</f>
        <v/>
      </c>
      <c r="X131">
        <f>HYPERLINK("https://klasma.github.io/Logging_2085/kartor/A 25159-2026 karta.png", "A 25159-2026")</f>
        <v/>
      </c>
      <c r="Y131">
        <f>HYPERLINK("https://klasma.github.io/Logging_2085/kartor_geotiff/A 25159-2026 georefererad karta.tif", "A 25159-2026")</f>
        <v/>
      </c>
      <c r="AA131">
        <f>HYPERLINK("https://klasma.github.io/Logging_2085/klagomål/A 25159-2026 FSC-klagomål.docx", "A 25159-2026")</f>
        <v/>
      </c>
      <c r="AB131">
        <f>HYPERLINK("https://klasma.github.io/Logging_2085/klagomålsmail/A 25159-2026 FSC-klagomål mail.docx", "A 25159-2026")</f>
        <v/>
      </c>
      <c r="AC131">
        <f>HYPERLINK("https://klasma.github.io/Logging_2085/tillsyn/A 25159-2026 tillsynsbegäran.docx", "A 25159-2026")</f>
        <v/>
      </c>
      <c r="AD131">
        <f>HYPERLINK("https://klasma.github.io/Logging_2085/tillsynsmail/A 25159-2026 tillsynsbegäran mail.docx", "A 25159-2026")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46252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Tvåblad</t>
        </is>
      </c>
      <c r="W132">
        <f>HYPERLINK("https://klasma.github.io/Logging_2085/artfynd/A 31352-2026 artfynd.xlsx", "A 31352-2026")</f>
        <v/>
      </c>
      <c r="X132">
        <f>HYPERLINK("https://klasma.github.io/Logging_2085/kartor/A 31352-2026 karta.png", "A 31352-2026")</f>
        <v/>
      </c>
      <c r="Y132">
        <f>HYPERLINK("https://klasma.github.io/Logging_2085/kartor_geotiff/A 31352-2026 georefererad karta.tif", "A 31352-2026")</f>
        <v/>
      </c>
      <c r="AA132">
        <f>HYPERLINK("https://klasma.github.io/Logging_2085/klagomål/A 31352-2026 FSC-klagomål.docx", "A 31352-2026")</f>
        <v/>
      </c>
      <c r="AB132">
        <f>HYPERLINK("https://klasma.github.io/Logging_2085/klagomålsmail/A 31352-2026 FSC-klagomål mail.docx", "A 31352-2026")</f>
        <v/>
      </c>
      <c r="AC132">
        <f>HYPERLINK("https://klasma.github.io/Logging_2085/tillsyn/A 31352-2026 tillsynsbegäran.docx", "A 31352-2026")</f>
        <v/>
      </c>
      <c r="AD132">
        <f>HYPERLINK("https://klasma.github.io/Logging_2085/tillsynsmail/A 31352-2026 tillsynsbegäran mail.docx", "A 31352-2026")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46252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46252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46252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46252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46252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46252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46252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46252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46252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46252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46252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46252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46252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46252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46252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46252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46252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46252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46252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46252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46252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46252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46252</v>
      </c>
      <c r="F155" t="inlineStr">
        <is>
          <t>DALARNAS LÄN</t>
        </is>
      </c>
      <c r="G155" t="inlineStr">
        <is>
          <t>LUDVIKA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26794-2025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45810</v>
      </c>
      <c r="E156" s="1" t="n">
        <v>46252</v>
      </c>
      <c r="F156" t="inlineStr">
        <is>
          <t>DALARNAS LÄN</t>
        </is>
      </c>
      <c r="G156" t="inlineStr">
        <is>
          <t>LUDVIKA</t>
        </is>
      </c>
      <c r="H156" t="inlineStr">
        <is>
          <t>Kommuner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26628-2025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45810</v>
      </c>
      <c r="E157" s="1" t="n">
        <v>46252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45569</v>
      </c>
      <c r="E158" s="1" t="n">
        <v>46252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73703-2021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44552</v>
      </c>
      <c r="E159" s="1" t="n">
        <v>46252</v>
      </c>
      <c r="F159" t="inlineStr">
        <is>
          <t>DALARNAS LÄN</t>
        </is>
      </c>
      <c r="G159" t="inlineStr">
        <is>
          <t>LUDVIKA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45813</v>
      </c>
      <c r="E160" s="1" t="n">
        <v>46252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46252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46252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45813</v>
      </c>
      <c r="E163" s="1" t="n">
        <v>46252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45474</v>
      </c>
      <c r="E164" s="1" t="n">
        <v>46252</v>
      </c>
      <c r="F164" t="inlineStr">
        <is>
          <t>DALARNAS LÄN</t>
        </is>
      </c>
      <c r="G164" t="inlineStr">
        <is>
          <t>LUDVIKA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37538-2024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46252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57002-2021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44482</v>
      </c>
      <c r="E166" s="1" t="n">
        <v>46252</v>
      </c>
      <c r="F166" t="inlineStr">
        <is>
          <t>DALARNAS LÄN</t>
        </is>
      </c>
      <c r="G166" t="inlineStr">
        <is>
          <t>LUDVIKA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63267-2021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44508</v>
      </c>
      <c r="E167" s="1" t="n">
        <v>46252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46252</v>
      </c>
      <c r="F168" t="inlineStr">
        <is>
          <t>DALARNAS LÄN</t>
        </is>
      </c>
      <c r="G168" t="inlineStr">
        <is>
          <t>LUDVIKA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54279-2021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44470</v>
      </c>
      <c r="E169" s="1" t="n">
        <v>46252</v>
      </c>
      <c r="F169" t="inlineStr">
        <is>
          <t>DALARNAS LÄN</t>
        </is>
      </c>
      <c r="G169" t="inlineStr">
        <is>
          <t>LUDVIKA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45629</v>
      </c>
      <c r="E170" s="1" t="n">
        <v>46252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17.3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46252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45589</v>
      </c>
      <c r="E172" s="1" t="n">
        <v>46252</v>
      </c>
      <c r="F172" t="inlineStr">
        <is>
          <t>DALARNAS LÄN</t>
        </is>
      </c>
      <c r="G172" t="inlineStr">
        <is>
          <t>LUDVIKA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22920-2022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44715</v>
      </c>
      <c r="E173" s="1" t="n">
        <v>46252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45824</v>
      </c>
      <c r="E174" s="1" t="n">
        <v>46252</v>
      </c>
      <c r="F174" t="inlineStr">
        <is>
          <t>DALARNAS LÄN</t>
        </is>
      </c>
      <c r="G174" t="inlineStr">
        <is>
          <t>LUDVIKA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46252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46252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46252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46252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46252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50347-2021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44459</v>
      </c>
      <c r="E180" s="1" t="n">
        <v>46252</v>
      </c>
      <c r="F180" t="inlineStr">
        <is>
          <t>DALARNAS LÄN</t>
        </is>
      </c>
      <c r="G180" t="inlineStr">
        <is>
          <t>LUDVIKA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45831</v>
      </c>
      <c r="E181" s="1" t="n">
        <v>46252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46252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45301</v>
      </c>
      <c r="E183" s="1" t="n">
        <v>46252</v>
      </c>
      <c r="F183" t="inlineStr">
        <is>
          <t>DALARNAS LÄN</t>
        </is>
      </c>
      <c r="G183" t="inlineStr">
        <is>
          <t>LUDVIKA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923-2024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45301</v>
      </c>
      <c r="E184" s="1" t="n">
        <v>46252</v>
      </c>
      <c r="F184" t="inlineStr">
        <is>
          <t>DALARNAS LÄN</t>
        </is>
      </c>
      <c r="G184" t="inlineStr">
        <is>
          <t>LUDVIKA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45297</v>
      </c>
      <c r="E185" s="1" t="n">
        <v>46252</v>
      </c>
      <c r="F185" t="inlineStr">
        <is>
          <t>DALARNAS LÄN</t>
        </is>
      </c>
      <c r="G185" t="inlineStr">
        <is>
          <t>LUDVIKA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46252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56996-2021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44482</v>
      </c>
      <c r="E187" s="1" t="n">
        <v>46252</v>
      </c>
      <c r="F187" t="inlineStr">
        <is>
          <t>DALARNAS LÄN</t>
        </is>
      </c>
      <c r="G187" t="inlineStr">
        <is>
          <t>LUDVIKA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27644-2025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45813</v>
      </c>
      <c r="E188" s="1" t="n">
        <v>46252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5841-2024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45335</v>
      </c>
      <c r="E189" s="1" t="n">
        <v>46252</v>
      </c>
      <c r="F189" t="inlineStr">
        <is>
          <t>DALARNAS LÄN</t>
        </is>
      </c>
      <c r="G189" t="inlineStr">
        <is>
          <t>LUDVIKA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44893</v>
      </c>
      <c r="E190" s="1" t="n">
        <v>46252</v>
      </c>
      <c r="F190" t="inlineStr">
        <is>
          <t>DALARNAS LÄN</t>
        </is>
      </c>
      <c r="G190" t="inlineStr">
        <is>
          <t>LUDVIKA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45891</v>
      </c>
      <c r="E191" s="1" t="n">
        <v>46252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40246-2025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46252</v>
      </c>
      <c r="F192" t="inlineStr">
        <is>
          <t>DALARNAS LÄN</t>
        </is>
      </c>
      <c r="G192" t="inlineStr">
        <is>
          <t>LUDVIKA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45639</v>
      </c>
      <c r="E193" s="1" t="n">
        <v>46252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45569</v>
      </c>
      <c r="E194" s="1" t="n">
        <v>46252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46252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45196</v>
      </c>
      <c r="E196" s="1" t="n">
        <v>46252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45060-2022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44841</v>
      </c>
      <c r="E197" s="1" t="n">
        <v>46252</v>
      </c>
      <c r="F197" t="inlineStr">
        <is>
          <t>DALARNAS LÄN</t>
        </is>
      </c>
      <c r="G197" t="inlineStr">
        <is>
          <t>LUDVIKA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46252</v>
      </c>
      <c r="F198" t="inlineStr">
        <is>
          <t>DALARNAS LÄN</t>
        </is>
      </c>
      <c r="G198" t="inlineStr">
        <is>
          <t>LUDVIKA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32019-2025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45835</v>
      </c>
      <c r="E199" s="1" t="n">
        <v>46252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8703-2023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44978</v>
      </c>
      <c r="E200" s="1" t="n">
        <v>46252</v>
      </c>
      <c r="F200" t="inlineStr">
        <is>
          <t>DALARNAS LÄN</t>
        </is>
      </c>
      <c r="G200" t="inlineStr">
        <is>
          <t>LUDVIKA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46252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46252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45903</v>
      </c>
      <c r="E203" s="1" t="n">
        <v>46252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46252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45902</v>
      </c>
      <c r="E205" s="1" t="n">
        <v>46252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41866-2025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46252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46252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46252</v>
      </c>
      <c r="F208" t="inlineStr">
        <is>
          <t>DALARNAS LÄN</t>
        </is>
      </c>
      <c r="G208" t="inlineStr">
        <is>
          <t>LUDVIKA</t>
        </is>
      </c>
      <c r="H208" t="inlineStr">
        <is>
          <t>Naturvårdsverket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36338-2025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45868</v>
      </c>
      <c r="E209" s="1" t="n">
        <v>46252</v>
      </c>
      <c r="F209" t="inlineStr">
        <is>
          <t>DALARNAS LÄN</t>
        </is>
      </c>
      <c r="G209" t="inlineStr">
        <is>
          <t>LUDVIKA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12497-2024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45379</v>
      </c>
      <c r="E210" s="1" t="n">
        <v>46252</v>
      </c>
      <c r="F210" t="inlineStr">
        <is>
          <t>DALARNAS LÄN</t>
        </is>
      </c>
      <c r="G210" t="inlineStr">
        <is>
          <t>LUDVIKA</t>
        </is>
      </c>
      <c r="H210" t="inlineStr">
        <is>
          <t>Naturvårdsverket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45909</v>
      </c>
      <c r="E211" s="1" t="n">
        <v>46252</v>
      </c>
      <c r="F211" t="inlineStr">
        <is>
          <t>DALARNAS LÄN</t>
        </is>
      </c>
      <c r="G211" t="inlineStr">
        <is>
          <t>LUDVIKA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46252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46252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43348-2025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46252</v>
      </c>
      <c r="F214" t="inlineStr">
        <is>
          <t>DALARNAS LÄN</t>
        </is>
      </c>
      <c r="G214" t="inlineStr">
        <is>
          <t>LUDVIKA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46252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46252</v>
      </c>
      <c r="F216" t="inlineStr">
        <is>
          <t>DALARNAS LÄN</t>
        </is>
      </c>
      <c r="G216" t="inlineStr">
        <is>
          <t>LUDVIKA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46252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45611</v>
      </c>
      <c r="E218" s="1" t="n">
        <v>46252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46252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45113</v>
      </c>
      <c r="E220" s="1" t="n">
        <v>46252</v>
      </c>
      <c r="F220" t="inlineStr">
        <is>
          <t>DALARNAS LÄN</t>
        </is>
      </c>
      <c r="G220" t="inlineStr">
        <is>
          <t>LUDVIKA</t>
        </is>
      </c>
      <c r="H220" t="inlineStr">
        <is>
          <t>Kommuner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44711</v>
      </c>
      <c r="E221" s="1" t="n">
        <v>46252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46252</v>
      </c>
      <c r="F222" t="inlineStr">
        <is>
          <t>DALARNAS LÄN</t>
        </is>
      </c>
      <c r="G222" t="inlineStr">
        <is>
          <t>LUDVIKA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45488</v>
      </c>
      <c r="E223" s="1" t="n">
        <v>46252</v>
      </c>
      <c r="F223" t="inlineStr">
        <is>
          <t>DALARNAS LÄN</t>
        </is>
      </c>
      <c r="G223" t="inlineStr">
        <is>
          <t>LUDVIKA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46252</v>
      </c>
      <c r="F224" t="inlineStr">
        <is>
          <t>DALARNAS LÄN</t>
        </is>
      </c>
      <c r="G224" t="inlineStr">
        <is>
          <t>LUDVIKA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46252</v>
      </c>
      <c r="F225" t="inlineStr">
        <is>
          <t>DALARNAS LÄN</t>
        </is>
      </c>
      <c r="G225" t="inlineStr">
        <is>
          <t>LUDVIKA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44970</v>
      </c>
      <c r="E226" s="1" t="n">
        <v>46252</v>
      </c>
      <c r="F226" t="inlineStr">
        <is>
          <t>DALARNAS LÄN</t>
        </is>
      </c>
      <c r="G226" t="inlineStr">
        <is>
          <t>LUDVIKA</t>
        </is>
      </c>
      <c r="H226" t="inlineStr">
        <is>
          <t>Övriga Aktiebolag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44970</v>
      </c>
      <c r="E227" s="1" t="n">
        <v>46252</v>
      </c>
      <c r="F227" t="inlineStr">
        <is>
          <t>DALARNAS LÄN</t>
        </is>
      </c>
      <c r="G227" t="inlineStr">
        <is>
          <t>LUDVIKA</t>
        </is>
      </c>
      <c r="H227" t="inlineStr">
        <is>
          <t>Övriga Aktiebolag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45840</v>
      </c>
      <c r="E228" s="1" t="n">
        <v>46252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34067-2025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45845</v>
      </c>
      <c r="E229" s="1" t="n">
        <v>46252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44879-2025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46252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45502</v>
      </c>
      <c r="E231" s="1" t="n">
        <v>46252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39519-2024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45551</v>
      </c>
      <c r="E232" s="1" t="n">
        <v>46252</v>
      </c>
      <c r="F232" t="inlineStr">
        <is>
          <t>DALARNAS LÄN</t>
        </is>
      </c>
      <c r="G232" t="inlineStr">
        <is>
          <t>LUDVIKA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3277-2024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45317</v>
      </c>
      <c r="E233" s="1" t="n">
        <v>46252</v>
      </c>
      <c r="F233" t="inlineStr">
        <is>
          <t>DALARNAS LÄN</t>
        </is>
      </c>
      <c r="G233" t="inlineStr">
        <is>
          <t>LUDVIKA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41737-2025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46252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51160-2023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45219</v>
      </c>
      <c r="E235" s="1" t="n">
        <v>46252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47496-2022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44853</v>
      </c>
      <c r="E236" s="1" t="n">
        <v>46252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45912</v>
      </c>
      <c r="E237" s="1" t="n">
        <v>46252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46252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46252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46252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46252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46252</v>
      </c>
      <c r="F242" t="inlineStr">
        <is>
          <t>DALARNAS LÄN</t>
        </is>
      </c>
      <c r="G242" t="inlineStr">
        <is>
          <t>LUDVIKA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34455-2024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45525</v>
      </c>
      <c r="E243" s="1" t="n">
        <v>46252</v>
      </c>
      <c r="F243" t="inlineStr">
        <is>
          <t>DALARNAS LÄN</t>
        </is>
      </c>
      <c r="G243" t="inlineStr">
        <is>
          <t>LUDVIKA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64171-2023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45279</v>
      </c>
      <c r="E244" s="1" t="n">
        <v>46252</v>
      </c>
      <c r="F244" t="inlineStr">
        <is>
          <t>DALARNAS LÄN</t>
        </is>
      </c>
      <c r="G244" t="inlineStr">
        <is>
          <t>LUDVIKA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46252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46252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46252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46108-2025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46252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28134-2023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45099</v>
      </c>
      <c r="E249" s="1" t="n">
        <v>46252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55485-2024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45622</v>
      </c>
      <c r="E250" s="1" t="n">
        <v>46252</v>
      </c>
      <c r="F250" t="inlineStr">
        <is>
          <t>DALARNAS LÄN</t>
        </is>
      </c>
      <c r="G250" t="inlineStr">
        <is>
          <t>LUDVIKA</t>
        </is>
      </c>
      <c r="H250" t="inlineStr">
        <is>
          <t>Naturvårdsverket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45810</v>
      </c>
      <c r="E251" s="1" t="n">
        <v>46252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29654-2025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45825</v>
      </c>
      <c r="E252" s="1" t="n">
        <v>46252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45568</v>
      </c>
      <c r="E253" s="1" t="n">
        <v>46252</v>
      </c>
      <c r="F253" t="inlineStr">
        <is>
          <t>DALARNAS LÄN</t>
        </is>
      </c>
      <c r="G253" t="inlineStr">
        <is>
          <t>LUDVIKA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46598-2025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46252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46252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46252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45512</v>
      </c>
      <c r="E257" s="1" t="n">
        <v>46252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46252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45832</v>
      </c>
      <c r="E259" s="1" t="n">
        <v>46252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46252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45840</v>
      </c>
      <c r="E261" s="1" t="n">
        <v>46252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45687</v>
      </c>
      <c r="E262" s="1" t="n">
        <v>46252</v>
      </c>
      <c r="F262" t="inlineStr">
        <is>
          <t>DALARNAS LÄN</t>
        </is>
      </c>
      <c r="G262" t="inlineStr">
        <is>
          <t>LUDVIKA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44680</v>
      </c>
      <c r="E263" s="1" t="n">
        <v>46252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41158-2022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44825</v>
      </c>
      <c r="E264" s="1" t="n">
        <v>46252</v>
      </c>
      <c r="F264" t="inlineStr">
        <is>
          <t>DALARNAS LÄN</t>
        </is>
      </c>
      <c r="G264" t="inlineStr">
        <is>
          <t>LUDVIKA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36437-2025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45869</v>
      </c>
      <c r="E265" s="1" t="n">
        <v>46252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45567</v>
      </c>
      <c r="E266" s="1" t="n">
        <v>46252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18708-2023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45043</v>
      </c>
      <c r="E267" s="1" t="n">
        <v>46252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17999-2025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45761</v>
      </c>
      <c r="E268" s="1" t="n">
        <v>46252</v>
      </c>
      <c r="F268" t="inlineStr">
        <is>
          <t>DALARNAS LÄN</t>
        </is>
      </c>
      <c r="G268" t="inlineStr">
        <is>
          <t>LUDVIKA</t>
        </is>
      </c>
      <c r="H268" t="inlineStr">
        <is>
          <t>Naturvårdsverket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44844</v>
      </c>
      <c r="E269" s="1" t="n">
        <v>46252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32301-2024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45512</v>
      </c>
      <c r="E270" s="1" t="n">
        <v>46252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14986-2024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45399</v>
      </c>
      <c r="E271" s="1" t="n">
        <v>46252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61054-2024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45645</v>
      </c>
      <c r="E272" s="1" t="n">
        <v>46252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47071-2022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44852</v>
      </c>
      <c r="E273" s="1" t="n">
        <v>46252</v>
      </c>
      <c r="F273" t="inlineStr">
        <is>
          <t>DALARNAS LÄN</t>
        </is>
      </c>
      <c r="G273" t="inlineStr">
        <is>
          <t>LUDVIKA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45644</v>
      </c>
      <c r="E274" s="1" t="n">
        <v>46252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44960</v>
      </c>
      <c r="E275" s="1" t="n">
        <v>46252</v>
      </c>
      <c r="F275" t="inlineStr">
        <is>
          <t>DALARNAS LÄN</t>
        </is>
      </c>
      <c r="G275" t="inlineStr">
        <is>
          <t>LUDVIKA</t>
        </is>
      </c>
      <c r="H275" t="inlineStr">
        <is>
          <t>Naturvårdsverket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65104-2023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45288</v>
      </c>
      <c r="E276" s="1" t="n">
        <v>46252</v>
      </c>
      <c r="F276" t="inlineStr">
        <is>
          <t>DALARNAS LÄN</t>
        </is>
      </c>
      <c r="G276" t="inlineStr">
        <is>
          <t>LUDVIKA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49874-2025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45940</v>
      </c>
      <c r="E277" s="1" t="n">
        <v>46252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45940</v>
      </c>
      <c r="E278" s="1" t="n">
        <v>46252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46252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45743</v>
      </c>
      <c r="E280" s="1" t="n">
        <v>46252</v>
      </c>
      <c r="F280" t="inlineStr">
        <is>
          <t>DALARNAS LÄN</t>
        </is>
      </c>
      <c r="G280" t="inlineStr">
        <is>
          <t>LUDVIKA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33330-2024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45519</v>
      </c>
      <c r="E281" s="1" t="n">
        <v>46252</v>
      </c>
      <c r="F281" t="inlineStr">
        <is>
          <t>DALARNAS LÄN</t>
        </is>
      </c>
      <c r="G281" t="inlineStr">
        <is>
          <t>LUDVIKA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6151-2024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45337</v>
      </c>
      <c r="E282" s="1" t="n">
        <v>46252</v>
      </c>
      <c r="F282" t="inlineStr">
        <is>
          <t>DALARNAS LÄN</t>
        </is>
      </c>
      <c r="G282" t="inlineStr">
        <is>
          <t>LUDVIKA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59050-2022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44903</v>
      </c>
      <c r="E283" s="1" t="n">
        <v>46252</v>
      </c>
      <c r="F283" t="inlineStr">
        <is>
          <t>DALARNAS LÄN</t>
        </is>
      </c>
      <c r="G283" t="inlineStr">
        <is>
          <t>LUDVIKA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45544-2024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45579</v>
      </c>
      <c r="E284" s="1" t="n">
        <v>46252</v>
      </c>
      <c r="F284" t="inlineStr">
        <is>
          <t>DALARNAS LÄN</t>
        </is>
      </c>
      <c r="G284" t="inlineStr">
        <is>
          <t>LUDVIKA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45579</v>
      </c>
      <c r="E285" s="1" t="n">
        <v>46252</v>
      </c>
      <c r="F285" t="inlineStr">
        <is>
          <t>DALARNAS LÄN</t>
        </is>
      </c>
      <c r="G285" t="inlineStr">
        <is>
          <t>LUDVIKA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50444-2025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45944</v>
      </c>
      <c r="E286" s="1" t="n">
        <v>46252</v>
      </c>
      <c r="F286" t="inlineStr">
        <is>
          <t>DALARNAS LÄN</t>
        </is>
      </c>
      <c r="G286" t="inlineStr">
        <is>
          <t>LUDVIKA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45761</v>
      </c>
      <c r="E287" s="1" t="n">
        <v>46252</v>
      </c>
      <c r="F287" t="inlineStr">
        <is>
          <t>DALARNAS LÄN</t>
        </is>
      </c>
      <c r="G287" t="inlineStr">
        <is>
          <t>LUDVIKA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25296-2022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44730</v>
      </c>
      <c r="E288" s="1" t="n">
        <v>46252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23103-2024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45450</v>
      </c>
      <c r="E289" s="1" t="n">
        <v>46252</v>
      </c>
      <c r="F289" t="inlineStr">
        <is>
          <t>DALARNAS LÄN</t>
        </is>
      </c>
      <c r="G289" t="inlineStr">
        <is>
          <t>LUDVIKA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31702-2023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45105</v>
      </c>
      <c r="E290" s="1" t="n">
        <v>46252</v>
      </c>
      <c r="F290" t="inlineStr">
        <is>
          <t>DALARNAS LÄN</t>
        </is>
      </c>
      <c r="G290" t="inlineStr">
        <is>
          <t>LUDVIKA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57193-2022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44895</v>
      </c>
      <c r="E291" s="1" t="n">
        <v>46252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45875</v>
      </c>
      <c r="E292" s="1" t="n">
        <v>46252</v>
      </c>
      <c r="F292" t="inlineStr">
        <is>
          <t>DALARNAS LÄN</t>
        </is>
      </c>
      <c r="G292" t="inlineStr">
        <is>
          <t>LUDVIKA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48740-2022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44859</v>
      </c>
      <c r="E293" s="1" t="n">
        <v>46252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45952</v>
      </c>
      <c r="E294" s="1" t="n">
        <v>46252</v>
      </c>
      <c r="F294" t="inlineStr">
        <is>
          <t>DALARNAS LÄN</t>
        </is>
      </c>
      <c r="G294" t="inlineStr">
        <is>
          <t>LUDVIKA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11237-2024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45371</v>
      </c>
      <c r="E295" s="1" t="n">
        <v>46252</v>
      </c>
      <c r="F295" t="inlineStr">
        <is>
          <t>DALARNAS LÄN</t>
        </is>
      </c>
      <c r="G295" t="inlineStr">
        <is>
          <t>LUDVIKA</t>
        </is>
      </c>
      <c r="I295" t="n">
        <v>20.8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45954</v>
      </c>
      <c r="E296" s="1" t="n">
        <v>46252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45705</v>
      </c>
      <c r="E297" s="1" t="n">
        <v>46252</v>
      </c>
      <c r="F297" t="inlineStr">
        <is>
          <t>DALARNAS LÄN</t>
        </is>
      </c>
      <c r="G297" t="inlineStr">
        <is>
          <t>LUDVIKA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32854-2023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45112</v>
      </c>
      <c r="E298" s="1" t="n">
        <v>46252</v>
      </c>
      <c r="F298" t="inlineStr">
        <is>
          <t>DALARNAS LÄN</t>
        </is>
      </c>
      <c r="G298" t="inlineStr">
        <is>
          <t>LUDVIKA</t>
        </is>
      </c>
      <c r="H298" t="inlineStr">
        <is>
          <t>Kommuner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46252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52724-2025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45957</v>
      </c>
      <c r="E300" s="1" t="n">
        <v>46252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46620-2023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45198</v>
      </c>
      <c r="E301" s="1" t="n">
        <v>46252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45954</v>
      </c>
      <c r="E302" s="1" t="n">
        <v>46252</v>
      </c>
      <c r="F302" t="inlineStr">
        <is>
          <t>DALARNAS LÄN</t>
        </is>
      </c>
      <c r="G302" t="inlineStr">
        <is>
          <t>LUDVIKA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46252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52832-2025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45957</v>
      </c>
      <c r="E304" s="1" t="n">
        <v>46252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52556-2025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45954</v>
      </c>
      <c r="E305" s="1" t="n">
        <v>46252</v>
      </c>
      <c r="F305" t="inlineStr">
        <is>
          <t>DALARNAS LÄN</t>
        </is>
      </c>
      <c r="G305" t="inlineStr">
        <is>
          <t>LUDVIKA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52459-2025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46252</v>
      </c>
      <c r="F306" t="inlineStr">
        <is>
          <t>DALARNAS LÄN</t>
        </is>
      </c>
      <c r="G306" t="inlineStr">
        <is>
          <t>LUDVIKA</t>
        </is>
      </c>
      <c r="H306" t="inlineStr">
        <is>
          <t>Övriga Aktiebolag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46252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52427-2025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45954</v>
      </c>
      <c r="E308" s="1" t="n">
        <v>46252</v>
      </c>
      <c r="F308" t="inlineStr">
        <is>
          <t>DALARNAS LÄN</t>
        </is>
      </c>
      <c r="G308" t="inlineStr">
        <is>
          <t>LUDVIKA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61507-2023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45265</v>
      </c>
      <c r="E309" s="1" t="n">
        <v>46252</v>
      </c>
      <c r="F309" t="inlineStr">
        <is>
          <t>DALARNAS LÄN</t>
        </is>
      </c>
      <c r="G309" t="inlineStr">
        <is>
          <t>LUDVIKA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46252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29535-2023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45106</v>
      </c>
      <c r="E311" s="1" t="n">
        <v>46252</v>
      </c>
      <c r="F311" t="inlineStr">
        <is>
          <t>DALARNAS LÄN</t>
        </is>
      </c>
      <c r="G311" t="inlineStr">
        <is>
          <t>LUDVIKA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52900-2025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46252</v>
      </c>
      <c r="F312" t="inlineStr">
        <is>
          <t>DALARNAS LÄN</t>
        </is>
      </c>
      <c r="G312" t="inlineStr">
        <is>
          <t>LUDVIKA</t>
        </is>
      </c>
      <c r="I312" t="n">
        <v>8.300000000000001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16807-2025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45754</v>
      </c>
      <c r="E313" s="1" t="n">
        <v>46252</v>
      </c>
      <c r="F313" t="inlineStr">
        <is>
          <t>DALARNAS LÄN</t>
        </is>
      </c>
      <c r="G313" t="inlineStr">
        <is>
          <t>LUDVIKA</t>
        </is>
      </c>
      <c r="H313" t="inlineStr">
        <is>
          <t>Naturvårdsverket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49951-2022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44865</v>
      </c>
      <c r="E314" s="1" t="n">
        <v>46252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38170-2023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45161</v>
      </c>
      <c r="E315" s="1" t="n">
        <v>46252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45622</v>
      </c>
      <c r="E316" s="1" t="n">
        <v>46252</v>
      </c>
      <c r="F316" t="inlineStr">
        <is>
          <t>DALARNAS LÄN</t>
        </is>
      </c>
      <c r="G316" t="inlineStr">
        <is>
          <t>LUDVIKA</t>
        </is>
      </c>
      <c r="H316" t="inlineStr">
        <is>
          <t>Naturvårdsverket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61384-2024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45646</v>
      </c>
      <c r="E317" s="1" t="n">
        <v>46252</v>
      </c>
      <c r="F317" t="inlineStr">
        <is>
          <t>DALARNAS LÄN</t>
        </is>
      </c>
      <c r="G317" t="inlineStr">
        <is>
          <t>LUDVIKA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46252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54341-2025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45965</v>
      </c>
      <c r="E319" s="1" t="n">
        <v>46252</v>
      </c>
      <c r="F319" t="inlineStr">
        <is>
          <t>DALARNAS LÄN</t>
        </is>
      </c>
      <c r="G319" t="inlineStr">
        <is>
          <t>LUDVIKA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46252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46252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45963</v>
      </c>
      <c r="E322" s="1" t="n">
        <v>46252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39828-2025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45891</v>
      </c>
      <c r="E323" s="1" t="n">
        <v>46252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54673-2025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45966</v>
      </c>
      <c r="E324" s="1" t="n">
        <v>46252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45904</v>
      </c>
      <c r="E325" s="1" t="n">
        <v>46252</v>
      </c>
      <c r="F325" t="inlineStr">
        <is>
          <t>DALARNAS LÄN</t>
        </is>
      </c>
      <c r="G325" t="inlineStr">
        <is>
          <t>LUDVIKA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45481</v>
      </c>
      <c r="E326" s="1" t="n">
        <v>46252</v>
      </c>
      <c r="F326" t="inlineStr">
        <is>
          <t>DALARNAS LÄN</t>
        </is>
      </c>
      <c r="G326" t="inlineStr">
        <is>
          <t>LUDVIKA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46252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46252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46252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9.4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55211-2025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45968</v>
      </c>
      <c r="E330" s="1" t="n">
        <v>46252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45625</v>
      </c>
      <c r="E331" s="1" t="n">
        <v>46252</v>
      </c>
      <c r="F331" t="inlineStr">
        <is>
          <t>DALARNAS LÄN</t>
        </is>
      </c>
      <c r="G331" t="inlineStr">
        <is>
          <t>LUDVIKA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55554-2025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46252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48522-2023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45208</v>
      </c>
      <c r="E333" s="1" t="n">
        <v>46252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46252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31270-2022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44771</v>
      </c>
      <c r="E335" s="1" t="n">
        <v>46252</v>
      </c>
      <c r="F335" t="inlineStr">
        <is>
          <t>DALARNAS LÄN</t>
        </is>
      </c>
      <c r="G335" t="inlineStr">
        <is>
          <t>LUDVIKA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45208</v>
      </c>
      <c r="E336" s="1" t="n">
        <v>46252</v>
      </c>
      <c r="F336" t="inlineStr">
        <is>
          <t>DALARNAS LÄN</t>
        </is>
      </c>
      <c r="G336" t="inlineStr">
        <is>
          <t>LUDVIKA</t>
        </is>
      </c>
      <c r="H336" t="inlineStr">
        <is>
          <t>Naturvårdsverket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46252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56002-2025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46252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56203-2024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45624</v>
      </c>
      <c r="E339" s="1" t="n">
        <v>46252</v>
      </c>
      <c r="F339" t="inlineStr">
        <is>
          <t>DALARNAS LÄN</t>
        </is>
      </c>
      <c r="G339" t="inlineStr">
        <is>
          <t>LUDVIKA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48715-2022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44859</v>
      </c>
      <c r="E340" s="1" t="n">
        <v>46252</v>
      </c>
      <c r="F340" t="inlineStr">
        <is>
          <t>DALARNAS LÄN</t>
        </is>
      </c>
      <c r="G340" t="inlineStr">
        <is>
          <t>LUDVIKA</t>
        </is>
      </c>
      <c r="H340" t="inlineStr">
        <is>
          <t>Naturvårdsverket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45973</v>
      </c>
      <c r="E341" s="1" t="n">
        <v>46252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56030-2025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46252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55646-2025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45972</v>
      </c>
      <c r="E343" s="1" t="n">
        <v>46252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45559-2024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45579</v>
      </c>
      <c r="E344" s="1" t="n">
        <v>46252</v>
      </c>
      <c r="F344" t="inlineStr">
        <is>
          <t>DALARNAS LÄN</t>
        </is>
      </c>
      <c r="G344" t="inlineStr">
        <is>
          <t>LUDVIKA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28507-2023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46252</v>
      </c>
      <c r="F345" t="inlineStr">
        <is>
          <t>DALARNAS LÄN</t>
        </is>
      </c>
      <c r="G345" t="inlineStr">
        <is>
          <t>LUDVIKA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36527-2024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45537</v>
      </c>
      <c r="E346" s="1" t="n">
        <v>46252</v>
      </c>
      <c r="F346" t="inlineStr">
        <is>
          <t>DALARNAS LÄN</t>
        </is>
      </c>
      <c r="G346" t="inlineStr">
        <is>
          <t>LUDVIKA</t>
        </is>
      </c>
      <c r="H346" t="inlineStr">
        <is>
          <t>Övriga Aktiebolag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45775</v>
      </c>
      <c r="E347" s="1" t="n">
        <v>46252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56178-2025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46252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39437-2023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45166</v>
      </c>
      <c r="E349" s="1" t="n">
        <v>46252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46252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56316-2025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46252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56219-2025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46252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56155-2025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46252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56249-2025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45974</v>
      </c>
      <c r="E354" s="1" t="n">
        <v>46252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33839-2024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45520</v>
      </c>
      <c r="E355" s="1" t="n">
        <v>46252</v>
      </c>
      <c r="F355" t="inlineStr">
        <is>
          <t>DALARNAS LÄN</t>
        </is>
      </c>
      <c r="G355" t="inlineStr">
        <is>
          <t>LUDVIKA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44883</v>
      </c>
      <c r="E356" s="1" t="n">
        <v>46252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57832-2025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45981</v>
      </c>
      <c r="E357" s="1" t="n">
        <v>46252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46252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57870-2025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46252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45309-2021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44439</v>
      </c>
      <c r="E360" s="1" t="n">
        <v>46252</v>
      </c>
      <c r="F360" t="inlineStr">
        <is>
          <t>DALARNAS LÄN</t>
        </is>
      </c>
      <c r="G360" t="inlineStr">
        <is>
          <t>LUDVIKA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51080-2024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45603</v>
      </c>
      <c r="E361" s="1" t="n">
        <v>46252</v>
      </c>
      <c r="F361" t="inlineStr">
        <is>
          <t>DALARNAS LÄN</t>
        </is>
      </c>
      <c r="G361" t="inlineStr">
        <is>
          <t>LUDVIKA</t>
        </is>
      </c>
      <c r="H361" t="inlineStr">
        <is>
          <t>Naturvårdsverket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21152-2023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45062</v>
      </c>
      <c r="E362" s="1" t="n">
        <v>46252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39849-2023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45168</v>
      </c>
      <c r="E363" s="1" t="n">
        <v>46252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53996-2024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45616</v>
      </c>
      <c r="E364" s="1" t="n">
        <v>46252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56346-2022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44890</v>
      </c>
      <c r="E365" s="1" t="n">
        <v>46252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19071-2025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45765</v>
      </c>
      <c r="E366" s="1" t="n">
        <v>46252</v>
      </c>
      <c r="F366" t="inlineStr">
        <is>
          <t>DALARNAS LÄN</t>
        </is>
      </c>
      <c r="G366" t="inlineStr">
        <is>
          <t>LUDVIKA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49045-2024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45594</v>
      </c>
      <c r="E367" s="1" t="n">
        <v>46252</v>
      </c>
      <c r="F367" t="inlineStr">
        <is>
          <t>DALARNAS LÄN</t>
        </is>
      </c>
      <c r="G367" t="inlineStr">
        <is>
          <t>LUDVIKA</t>
        </is>
      </c>
      <c r="H367" t="inlineStr">
        <is>
          <t>Naturvårdsverket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14046-2025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45740</v>
      </c>
      <c r="E368" s="1" t="n">
        <v>46252</v>
      </c>
      <c r="F368" t="inlineStr">
        <is>
          <t>DALARNAS LÄN</t>
        </is>
      </c>
      <c r="G368" t="inlineStr">
        <is>
          <t>LUDVIKA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45045-2023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45191</v>
      </c>
      <c r="E369" s="1" t="n">
        <v>46252</v>
      </c>
      <c r="F369" t="inlineStr">
        <is>
          <t>DALARNAS LÄN</t>
        </is>
      </c>
      <c r="G369" t="inlineStr">
        <is>
          <t>LUDVIKA</t>
        </is>
      </c>
      <c r="H369" t="inlineStr">
        <is>
          <t>Sveaskog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42985-2025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45909</v>
      </c>
      <c r="E370" s="1" t="n">
        <v>46252</v>
      </c>
      <c r="F370" t="inlineStr">
        <is>
          <t>DALARNAS LÄN</t>
        </is>
      </c>
      <c r="G370" t="inlineStr">
        <is>
          <t>LUDVIKA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59439-2025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46252</v>
      </c>
      <c r="F371" t="inlineStr">
        <is>
          <t>DALARNAS LÄN</t>
        </is>
      </c>
      <c r="G371" t="inlineStr">
        <is>
          <t>LUDVIKA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46252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45929</v>
      </c>
      <c r="E373" s="1" t="n">
        <v>46252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47032-2025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45929</v>
      </c>
      <c r="E374" s="1" t="n">
        <v>46252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38921-2025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45887</v>
      </c>
      <c r="E375" s="1" t="n">
        <v>46252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39833-2025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45891</v>
      </c>
      <c r="E376" s="1" t="n">
        <v>46252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59176-2025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46252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59444-2025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46252</v>
      </c>
      <c r="F378" t="inlineStr">
        <is>
          <t>DALARNAS LÄN</t>
        </is>
      </c>
      <c r="G378" t="inlineStr">
        <is>
          <t>LUDVIKA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45989</v>
      </c>
      <c r="E379" s="1" t="n">
        <v>46252</v>
      </c>
      <c r="F379" t="inlineStr">
        <is>
          <t>DALARNAS LÄN</t>
        </is>
      </c>
      <c r="G379" t="inlineStr">
        <is>
          <t>LUDVIKA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59530-2025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45989</v>
      </c>
      <c r="E380" s="1" t="n">
        <v>46252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55961-2024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45623</v>
      </c>
      <c r="E381" s="1" t="n">
        <v>46252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55633-2021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44476</v>
      </c>
      <c r="E382" s="1" t="n">
        <v>46252</v>
      </c>
      <c r="F382" t="inlineStr">
        <is>
          <t>DALARNAS LÄN</t>
        </is>
      </c>
      <c r="G382" t="inlineStr">
        <is>
          <t>LUDVIKA</t>
        </is>
      </c>
      <c r="H382" t="inlineStr">
        <is>
          <t>Övriga Aktiebolag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70046-2021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44533</v>
      </c>
      <c r="E383" s="1" t="n">
        <v>46252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15128-2025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45744</v>
      </c>
      <c r="E384" s="1" t="n">
        <v>46252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43704-2024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45569</v>
      </c>
      <c r="E385" s="1" t="n">
        <v>46252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60454-2025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45995</v>
      </c>
      <c r="E386" s="1" t="n">
        <v>46252</v>
      </c>
      <c r="F386" t="inlineStr">
        <is>
          <t>DALARNAS LÄN</t>
        </is>
      </c>
      <c r="G386" t="inlineStr">
        <is>
          <t>LUDVIKA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60455-2025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45995</v>
      </c>
      <c r="E387" s="1" t="n">
        <v>46252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60452-2025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45995</v>
      </c>
      <c r="E388" s="1" t="n">
        <v>46252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17998-2025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45761</v>
      </c>
      <c r="E389" s="1" t="n">
        <v>46252</v>
      </c>
      <c r="F389" t="inlineStr">
        <is>
          <t>DALARNAS LÄN</t>
        </is>
      </c>
      <c r="G389" t="inlineStr">
        <is>
          <t>LUDVIKA</t>
        </is>
      </c>
      <c r="H389" t="inlineStr">
        <is>
          <t>Naturvårdsverket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48003-2024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45589</v>
      </c>
      <c r="E390" s="1" t="n">
        <v>46252</v>
      </c>
      <c r="F390" t="inlineStr">
        <is>
          <t>DALARNAS LÄN</t>
        </is>
      </c>
      <c r="G390" t="inlineStr">
        <is>
          <t>LUDVIKA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30123-2023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46252</v>
      </c>
      <c r="F391" t="inlineStr">
        <is>
          <t>DALARNAS LÄN</t>
        </is>
      </c>
      <c r="G391" t="inlineStr">
        <is>
          <t>LUDVIKA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65195-2021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44515</v>
      </c>
      <c r="E392" s="1" t="n">
        <v>46252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61502-2025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46001</v>
      </c>
      <c r="E393" s="1" t="n">
        <v>46252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56685-2022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44893</v>
      </c>
      <c r="E394" s="1" t="n">
        <v>46252</v>
      </c>
      <c r="F394" t="inlineStr">
        <is>
          <t>DALARNAS LÄN</t>
        </is>
      </c>
      <c r="G394" t="inlineStr">
        <is>
          <t>LUDVIKA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44994</v>
      </c>
      <c r="E395" s="1" t="n">
        <v>46252</v>
      </c>
      <c r="F395" t="inlineStr">
        <is>
          <t>DALARNAS LÄN</t>
        </is>
      </c>
      <c r="G395" t="inlineStr">
        <is>
          <t>LUDVIKA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61505-2025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46001</v>
      </c>
      <c r="E396" s="1" t="n">
        <v>46252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45502</v>
      </c>
      <c r="E397" s="1" t="n">
        <v>46252</v>
      </c>
      <c r="F397" t="inlineStr">
        <is>
          <t>DALARNAS LÄN</t>
        </is>
      </c>
      <c r="G397" t="inlineStr">
        <is>
          <t>LUDVIKA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39400-2023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45166</v>
      </c>
      <c r="E398" s="1" t="n">
        <v>46252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20104-2026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46136</v>
      </c>
      <c r="E399" s="1" t="n">
        <v>46252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15421-2025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45747</v>
      </c>
      <c r="E400" s="1" t="n">
        <v>46252</v>
      </c>
      <c r="F400" t="inlineStr">
        <is>
          <t>DALARNAS LÄN</t>
        </is>
      </c>
      <c r="G400" t="inlineStr">
        <is>
          <t>LUDVIKA</t>
        </is>
      </c>
      <c r="H400" t="inlineStr">
        <is>
          <t>Övriga Aktiebolag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32119-2023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45119</v>
      </c>
      <c r="E401" s="1" t="n">
        <v>46252</v>
      </c>
      <c r="F401" t="inlineStr">
        <is>
          <t>DALARNAS LÄN</t>
        </is>
      </c>
      <c r="G401" t="inlineStr">
        <is>
          <t>LUDVIKA</t>
        </is>
      </c>
      <c r="H401" t="inlineStr">
        <is>
          <t>Naturvårdsverket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62367-2025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46007</v>
      </c>
      <c r="E402" s="1" t="n">
        <v>46252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46252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62695-2025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46008</v>
      </c>
      <c r="E404" s="1" t="n">
        <v>46252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62706-2025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46252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62930-2025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46252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62945-2025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46009</v>
      </c>
      <c r="E407" s="1" t="n">
        <v>46252</v>
      </c>
      <c r="F407" t="inlineStr">
        <is>
          <t>DALARNAS LÄN</t>
        </is>
      </c>
      <c r="G407" t="inlineStr">
        <is>
          <t>LUDVIKA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62845-2025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46008</v>
      </c>
      <c r="E408" s="1" t="n">
        <v>46252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46008</v>
      </c>
      <c r="E409" s="1" t="n">
        <v>46252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34845-2024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45526</v>
      </c>
      <c r="E410" s="1" t="n">
        <v>46252</v>
      </c>
      <c r="F410" t="inlineStr">
        <is>
          <t>DALARNAS LÄN</t>
        </is>
      </c>
      <c r="G410" t="inlineStr">
        <is>
          <t>LUDVIKA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25299-2022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44730</v>
      </c>
      <c r="E411" s="1" t="n">
        <v>46252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62838-2025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46008</v>
      </c>
      <c r="E412" s="1" t="n">
        <v>46252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62824-2025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46008</v>
      </c>
      <c r="E413" s="1" t="n">
        <v>46252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62842-2025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46252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62704-2025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46252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11632-2024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45373</v>
      </c>
      <c r="E416" s="1" t="n">
        <v>46252</v>
      </c>
      <c r="F416" t="inlineStr">
        <is>
          <t>DALARNAS LÄN</t>
        </is>
      </c>
      <c r="G416" t="inlineStr">
        <is>
          <t>LUDVIKA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59351-2023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45253</v>
      </c>
      <c r="E417" s="1" t="n">
        <v>46252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46252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48683-2023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45208</v>
      </c>
      <c r="E419" s="1" t="n">
        <v>46252</v>
      </c>
      <c r="F419" t="inlineStr">
        <is>
          <t>DALARNAS LÄN</t>
        </is>
      </c>
      <c r="G419" t="inlineStr">
        <is>
          <t>LUDVIKA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63222-2025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46252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45243</v>
      </c>
      <c r="E421" s="1" t="n">
        <v>46252</v>
      </c>
      <c r="F421" t="inlineStr">
        <is>
          <t>DALARNAS LÄN</t>
        </is>
      </c>
      <c r="G421" t="inlineStr">
        <is>
          <t>LUDVIKA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32305-2024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45512</v>
      </c>
      <c r="E422" s="1" t="n">
        <v>46252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32332-2024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45512</v>
      </c>
      <c r="E423" s="1" t="n">
        <v>46252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57557-2023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45246</v>
      </c>
      <c r="E424" s="1" t="n">
        <v>46252</v>
      </c>
      <c r="F424" t="inlineStr">
        <is>
          <t>DALARNAS LÄN</t>
        </is>
      </c>
      <c r="G424" t="inlineStr">
        <is>
          <t>LUDVIKA</t>
        </is>
      </c>
      <c r="I424" t="n">
        <v>12.7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20341-2026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46139</v>
      </c>
      <c r="E425" s="1" t="n">
        <v>46252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61309-2022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44915</v>
      </c>
      <c r="E426" s="1" t="n">
        <v>46252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46029</v>
      </c>
      <c r="E427" s="1" t="n">
        <v>46252</v>
      </c>
      <c r="F427" t="inlineStr">
        <is>
          <t>DALARNAS LÄN</t>
        </is>
      </c>
      <c r="G427" t="inlineStr">
        <is>
          <t>LUDVIKA</t>
        </is>
      </c>
      <c r="H427" t="inlineStr">
        <is>
          <t>Övriga Aktiebolag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45485</v>
      </c>
      <c r="E428" s="1" t="n">
        <v>46252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60788-2024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45644</v>
      </c>
      <c r="E429" s="1" t="n">
        <v>46252</v>
      </c>
      <c r="F429" t="inlineStr">
        <is>
          <t>DALARNAS LÄN</t>
        </is>
      </c>
      <c r="G429" t="inlineStr">
        <is>
          <t>LUDVIKA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42254-2024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45562</v>
      </c>
      <c r="E430" s="1" t="n">
        <v>46252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49035-2024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45594</v>
      </c>
      <c r="E431" s="1" t="n">
        <v>46252</v>
      </c>
      <c r="F431" t="inlineStr">
        <is>
          <t>DALARNAS LÄN</t>
        </is>
      </c>
      <c r="G431" t="inlineStr">
        <is>
          <t>LUDVIKA</t>
        </is>
      </c>
      <c r="H431" t="inlineStr">
        <is>
          <t>Naturvårdsverket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20969-2026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46142</v>
      </c>
      <c r="E432" s="1" t="n">
        <v>46252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61621-2022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44916</v>
      </c>
      <c r="E433" s="1" t="n">
        <v>46252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43115-2021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44431</v>
      </c>
      <c r="E434" s="1" t="n">
        <v>46252</v>
      </c>
      <c r="F434" t="inlineStr">
        <is>
          <t>DALARNAS LÄN</t>
        </is>
      </c>
      <c r="G434" t="inlineStr">
        <is>
          <t>LUDVIKA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51043-2024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45603</v>
      </c>
      <c r="E435" s="1" t="n">
        <v>46252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55034-2024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45621</v>
      </c>
      <c r="E436" s="1" t="n">
        <v>46252</v>
      </c>
      <c r="F436" t="inlineStr">
        <is>
          <t>DALARNAS LÄN</t>
        </is>
      </c>
      <c r="G436" t="inlineStr">
        <is>
          <t>LUDVIKA</t>
        </is>
      </c>
      <c r="H436" t="inlineStr">
        <is>
          <t>Naturvårdsverket</t>
        </is>
      </c>
      <c r="I436" t="n">
        <v>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49060-2023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45210</v>
      </c>
      <c r="E437" s="1" t="n">
        <v>46252</v>
      </c>
      <c r="F437" t="inlineStr">
        <is>
          <t>DALARNAS LÄN</t>
        </is>
      </c>
      <c r="G437" t="inlineStr">
        <is>
          <t>LUDVIKA</t>
        </is>
      </c>
      <c r="H437" t="inlineStr">
        <is>
          <t>Naturvårdsverket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49114-2023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46252</v>
      </c>
      <c r="F438" t="inlineStr">
        <is>
          <t>DALARNAS LÄN</t>
        </is>
      </c>
      <c r="G438" t="inlineStr">
        <is>
          <t>LUDVIKA</t>
        </is>
      </c>
      <c r="H438" t="inlineStr">
        <is>
          <t>Naturvårdsverket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2614-2023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44942</v>
      </c>
      <c r="E439" s="1" t="n">
        <v>46252</v>
      </c>
      <c r="F439" t="inlineStr">
        <is>
          <t>DALARNAS LÄN</t>
        </is>
      </c>
      <c r="G439" t="inlineStr">
        <is>
          <t>LUDVIKA</t>
        </is>
      </c>
      <c r="I439" t="n">
        <v>13.1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47366-2023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45202</v>
      </c>
      <c r="E440" s="1" t="n">
        <v>46252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31393-2026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46220</v>
      </c>
      <c r="E441" s="1" t="n">
        <v>46252</v>
      </c>
      <c r="F441" t="inlineStr">
        <is>
          <t>DALARNAS LÄN</t>
        </is>
      </c>
      <c r="G441" t="inlineStr">
        <is>
          <t>LUDVIKA</t>
        </is>
      </c>
      <c r="H441" t="inlineStr">
        <is>
          <t>Naturvårdsverket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49166-2025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45938</v>
      </c>
      <c r="E442" s="1" t="n">
        <v>46252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60660-2024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45644</v>
      </c>
      <c r="E443" s="1" t="n">
        <v>46252</v>
      </c>
      <c r="F443" t="inlineStr">
        <is>
          <t>DALARNAS LÄN</t>
        </is>
      </c>
      <c r="G443" t="inlineStr">
        <is>
          <t>LUDVIKA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61799-2025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46002</v>
      </c>
      <c r="E444" s="1" t="n">
        <v>46252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59346-2024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45637</v>
      </c>
      <c r="E445" s="1" t="n">
        <v>46252</v>
      </c>
      <c r="F445" t="inlineStr">
        <is>
          <t>DALARNAS LÄN</t>
        </is>
      </c>
      <c r="G445" t="inlineStr">
        <is>
          <t>LUDVIKA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23617-2026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46163</v>
      </c>
      <c r="E446" s="1" t="n">
        <v>46252</v>
      </c>
      <c r="F446" t="inlineStr">
        <is>
          <t>DALARNAS LÄN</t>
        </is>
      </c>
      <c r="G446" t="inlineStr">
        <is>
          <t>LUDVIKA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48642-2022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44859</v>
      </c>
      <c r="E447" s="1" t="n">
        <v>46252</v>
      </c>
      <c r="F447" t="inlineStr">
        <is>
          <t>DALARNAS LÄN</t>
        </is>
      </c>
      <c r="G447" t="inlineStr">
        <is>
          <t>LUDVIKA</t>
        </is>
      </c>
      <c r="H447" t="inlineStr">
        <is>
          <t>Naturvårdsverket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18724-2022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44687</v>
      </c>
      <c r="E448" s="1" t="n">
        <v>46252</v>
      </c>
      <c r="F448" t="inlineStr">
        <is>
          <t>DALARNAS LÄN</t>
        </is>
      </c>
      <c r="G448" t="inlineStr">
        <is>
          <t>LUDVIKA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53981-2025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45961</v>
      </c>
      <c r="E449" s="1" t="n">
        <v>46252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53979-2025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45961</v>
      </c>
      <c r="E450" s="1" t="n">
        <v>46252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42128-2024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45562</v>
      </c>
      <c r="E451" s="1" t="n">
        <v>46252</v>
      </c>
      <c r="F451" t="inlineStr">
        <is>
          <t>DALARNAS LÄN</t>
        </is>
      </c>
      <c r="G451" t="inlineStr">
        <is>
          <t>LUDVIKA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33673-2022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44789</v>
      </c>
      <c r="E452" s="1" t="n">
        <v>46252</v>
      </c>
      <c r="F452" t="inlineStr">
        <is>
          <t>DALARNAS LÄN</t>
        </is>
      </c>
      <c r="G452" t="inlineStr">
        <is>
          <t>LUDVIKA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46225</v>
      </c>
      <c r="E453" s="1" t="n">
        <v>46252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56680-2022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44893</v>
      </c>
      <c r="E454" s="1" t="n">
        <v>46252</v>
      </c>
      <c r="F454" t="inlineStr">
        <is>
          <t>DALARNAS LÄN</t>
        </is>
      </c>
      <c r="G454" t="inlineStr">
        <is>
          <t>LUDVIKA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16768-2025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45754</v>
      </c>
      <c r="E455" s="1" t="n">
        <v>46252</v>
      </c>
      <c r="F455" t="inlineStr">
        <is>
          <t>DALARNAS LÄN</t>
        </is>
      </c>
      <c r="G455" t="inlineStr">
        <is>
          <t>LUDVIKA</t>
        </is>
      </c>
      <c r="H455" t="inlineStr">
        <is>
          <t>Naturvårdsverket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5970-2022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44599</v>
      </c>
      <c r="E456" s="1" t="n">
        <v>46252</v>
      </c>
      <c r="F456" t="inlineStr">
        <is>
          <t>DALARNAS LÄN</t>
        </is>
      </c>
      <c r="G456" t="inlineStr">
        <is>
          <t>LUDVIKA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26382-2026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46252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56615-2025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45975</v>
      </c>
      <c r="E458" s="1" t="n">
        <v>46252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56818-2023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45244</v>
      </c>
      <c r="E459" s="1" t="n">
        <v>46252</v>
      </c>
      <c r="F459" t="inlineStr">
        <is>
          <t>DALARNAS LÄN</t>
        </is>
      </c>
      <c r="G459" t="inlineStr">
        <is>
          <t>LUDVIKA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44970</v>
      </c>
      <c r="E460" s="1" t="n">
        <v>46252</v>
      </c>
      <c r="F460" t="inlineStr">
        <is>
          <t>DALARNAS LÄN</t>
        </is>
      </c>
      <c r="G460" t="inlineStr">
        <is>
          <t>LUDVIKA</t>
        </is>
      </c>
      <c r="H460" t="inlineStr">
        <is>
          <t>Övriga Aktiebolag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46656-2023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45198</v>
      </c>
      <c r="E461" s="1" t="n">
        <v>46252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52230-2023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45224</v>
      </c>
      <c r="E462" s="1" t="n">
        <v>46252</v>
      </c>
      <c r="F462" t="inlineStr">
        <is>
          <t>DALARNAS LÄN</t>
        </is>
      </c>
      <c r="G462" t="inlineStr">
        <is>
          <t>LUDVIKA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30813-2025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46252</v>
      </c>
      <c r="F463" t="inlineStr">
        <is>
          <t>DALARNAS LÄN</t>
        </is>
      </c>
      <c r="G463" t="inlineStr">
        <is>
          <t>LUDVIKA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31778-2026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46230</v>
      </c>
      <c r="E464" s="1" t="n">
        <v>46252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62368-2025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46007</v>
      </c>
      <c r="E465" s="1" t="n">
        <v>46252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46185</v>
      </c>
      <c r="E466" s="1" t="n">
        <v>46252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26902-2026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46185</v>
      </c>
      <c r="E467" s="1" t="n">
        <v>46252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53620-2022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44879</v>
      </c>
      <c r="E468" s="1" t="n">
        <v>46252</v>
      </c>
      <c r="F468" t="inlineStr">
        <is>
          <t>DALARNAS LÄN</t>
        </is>
      </c>
      <c r="G468" t="inlineStr">
        <is>
          <t>LUDVIKA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57969-2024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45631</v>
      </c>
      <c r="E469" s="1" t="n">
        <v>46252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31776-2026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46230</v>
      </c>
      <c r="E470" s="1" t="n">
        <v>46252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39761-2022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44819</v>
      </c>
      <c r="E471" s="1" t="n">
        <v>46252</v>
      </c>
      <c r="F471" t="inlineStr">
        <is>
          <t>DALARNAS LÄN</t>
        </is>
      </c>
      <c r="G471" t="inlineStr">
        <is>
          <t>LUDVIKA</t>
        </is>
      </c>
      <c r="H471" t="inlineStr">
        <is>
          <t>Naturvårdsverket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46252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21145-2023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45062</v>
      </c>
      <c r="E473" s="1" t="n">
        <v>46252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15851-2024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45404</v>
      </c>
      <c r="E474" s="1" t="n">
        <v>46252</v>
      </c>
      <c r="F474" t="inlineStr">
        <is>
          <t>DALARNAS LÄN</t>
        </is>
      </c>
      <c r="G474" t="inlineStr">
        <is>
          <t>LUDVIKA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41400-2022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44826</v>
      </c>
      <c r="E475" s="1" t="n">
        <v>46252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49669-2024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45596</v>
      </c>
      <c r="E476" s="1" t="n">
        <v>46252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32016-2026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46233</v>
      </c>
      <c r="E477" s="1" t="n">
        <v>46252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48774-2024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45593</v>
      </c>
      <c r="E478" s="1" t="n">
        <v>46252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26574-2026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46183</v>
      </c>
      <c r="E479" s="1" t="n">
        <v>46252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20.6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28116-2026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46195</v>
      </c>
      <c r="E480" s="1" t="n">
        <v>46252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37392-2023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45156</v>
      </c>
      <c r="E481" s="1" t="n">
        <v>46252</v>
      </c>
      <c r="F481" t="inlineStr">
        <is>
          <t>DALARNAS LÄN</t>
        </is>
      </c>
      <c r="G481" t="inlineStr">
        <is>
          <t>LUDVIKA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28162-2026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46252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46195</v>
      </c>
      <c r="E483" s="1" t="n">
        <v>46252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28054-2026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46195</v>
      </c>
      <c r="E484" s="1" t="n">
        <v>46252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28062-2026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46195</v>
      </c>
      <c r="E485" s="1" t="n">
        <v>46252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46252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11436-2024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45372</v>
      </c>
      <c r="E487" s="1" t="n">
        <v>46252</v>
      </c>
      <c r="F487" t="inlineStr">
        <is>
          <t>DALARNAS LÄN</t>
        </is>
      </c>
      <c r="G487" t="inlineStr">
        <is>
          <t>LUDVIKA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28158-2026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46252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46195</v>
      </c>
      <c r="E489" s="1" t="n">
        <v>46252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46252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28073-2026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46252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27853-2026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46191</v>
      </c>
      <c r="E492" s="1" t="n">
        <v>46252</v>
      </c>
      <c r="F492" t="inlineStr">
        <is>
          <t>DALARNAS LÄN</t>
        </is>
      </c>
      <c r="G492" t="inlineStr">
        <is>
          <t>LUDVIKA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46252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26727-2026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46184</v>
      </c>
      <c r="E494" s="1" t="n">
        <v>46252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27613-2026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46190</v>
      </c>
      <c r="E495" s="1" t="n">
        <v>46252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17054-2026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46114</v>
      </c>
      <c r="E496" s="1" t="n">
        <v>46252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7.5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40142-2022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44820</v>
      </c>
      <c r="E497" s="1" t="n">
        <v>46252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40151-2022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44820</v>
      </c>
      <c r="E498" s="1" t="n">
        <v>46252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21741-2022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44708</v>
      </c>
      <c r="E499" s="1" t="n">
        <v>46252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27609-2026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46190</v>
      </c>
      <c r="E500" s="1" t="n">
        <v>46252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27611-2026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46190</v>
      </c>
      <c r="E501" s="1" t="n">
        <v>46252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46119</v>
      </c>
      <c r="E502" s="1" t="n">
        <v>46252</v>
      </c>
      <c r="F502" t="inlineStr">
        <is>
          <t>DALARNAS LÄN</t>
        </is>
      </c>
      <c r="G502" t="inlineStr">
        <is>
          <t>LUDVIKA</t>
        </is>
      </c>
      <c r="H502" t="inlineStr">
        <is>
          <t>Naturvårdsverket</t>
        </is>
      </c>
      <c r="I502" t="n">
        <v>19.8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51015-2023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45218</v>
      </c>
      <c r="E503" s="1" t="n">
        <v>46252</v>
      </c>
      <c r="F503" t="inlineStr">
        <is>
          <t>DALARNAS LÄN</t>
        </is>
      </c>
      <c r="G503" t="inlineStr">
        <is>
          <t>LUDVIKA</t>
        </is>
      </c>
      <c r="I503" t="n">
        <v>5.9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17787-2026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46252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17879-2026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46252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17913-2026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46252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17882-2026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46122</v>
      </c>
      <c r="E507" s="1" t="n">
        <v>46252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17915-2026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46122</v>
      </c>
      <c r="E508" s="1" t="n">
        <v>46252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18357-2026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46126</v>
      </c>
      <c r="E509" s="1" t="n">
        <v>46252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46126</v>
      </c>
      <c r="E510" s="1" t="n">
        <v>46252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18362-2026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46126</v>
      </c>
      <c r="E511" s="1" t="n">
        <v>46252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56621-2023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45243</v>
      </c>
      <c r="E512" s="1" t="n">
        <v>46252</v>
      </c>
      <c r="F512" t="inlineStr">
        <is>
          <t>DALARNAS LÄN</t>
        </is>
      </c>
      <c r="G512" t="inlineStr">
        <is>
          <t>LUDVIKA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41616-2024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45560</v>
      </c>
      <c r="E513" s="1" t="n">
        <v>46252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33345-2024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45519</v>
      </c>
      <c r="E514" s="1" t="n">
        <v>46252</v>
      </c>
      <c r="F514" t="inlineStr">
        <is>
          <t>DALARNAS LÄN</t>
        </is>
      </c>
      <c r="G514" t="inlineStr">
        <is>
          <t>LUDVIKA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32752-2026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46241</v>
      </c>
      <c r="E515" s="1" t="n">
        <v>46252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18829-2026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46128</v>
      </c>
      <c r="E516" s="1" t="n">
        <v>46252</v>
      </c>
      <c r="F516" t="inlineStr">
        <is>
          <t>DALARNAS LÄN</t>
        </is>
      </c>
      <c r="G516" t="inlineStr">
        <is>
          <t>LUDVIKA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22555-2023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45071</v>
      </c>
      <c r="E517" s="1" t="n">
        <v>46252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32755-2026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46241</v>
      </c>
      <c r="E518" s="1" t="n">
        <v>46252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46241</v>
      </c>
      <c r="E519" s="1" t="n">
        <v>46252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46252</v>
      </c>
      <c r="F520" t="inlineStr">
        <is>
          <t>DALARNAS LÄN</t>
        </is>
      </c>
      <c r="G520" t="inlineStr">
        <is>
          <t>LUDVIKA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3280-2024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45317</v>
      </c>
      <c r="E521" s="1" t="n">
        <v>46252</v>
      </c>
      <c r="F521" t="inlineStr">
        <is>
          <t>DALARNAS LÄN</t>
        </is>
      </c>
      <c r="G521" t="inlineStr">
        <is>
          <t>LUDVIKA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3470-2025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45680</v>
      </c>
      <c r="E522" s="1" t="n">
        <v>46252</v>
      </c>
      <c r="F522" t="inlineStr">
        <is>
          <t>DALARNAS LÄN</t>
        </is>
      </c>
      <c r="G522" t="inlineStr">
        <is>
          <t>LUDVIKA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22806-2026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46160</v>
      </c>
      <c r="E523" s="1" t="n">
        <v>46252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22821-2026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46160</v>
      </c>
      <c r="E524" s="1" t="n">
        <v>46252</v>
      </c>
      <c r="F524" t="inlineStr">
        <is>
          <t>DALARNAS LÄN</t>
        </is>
      </c>
      <c r="G524" t="inlineStr">
        <is>
          <t>LUDVIKA</t>
        </is>
      </c>
      <c r="H524" t="inlineStr">
        <is>
          <t>Naturvårdsverket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28714-2026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46198</v>
      </c>
      <c r="E525" s="1" t="n">
        <v>46252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48288-2023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45205</v>
      </c>
      <c r="E526" s="1" t="n">
        <v>46252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22817-2026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46160</v>
      </c>
      <c r="E527" s="1" t="n">
        <v>46252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2838-2022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44581</v>
      </c>
      <c r="E528" s="1" t="n">
        <v>46252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51029-2024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45603</v>
      </c>
      <c r="E529" s="1" t="n">
        <v>46252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19610-2026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46134</v>
      </c>
      <c r="E530" s="1" t="n">
        <v>46252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32780-2026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46241</v>
      </c>
      <c r="E531" s="1" t="n">
        <v>46252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28801-2026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46252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19834-2026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46135</v>
      </c>
      <c r="E533" s="1" t="n">
        <v>46252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50273-2021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44459</v>
      </c>
      <c r="E534" s="1" t="n">
        <v>46252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53554-2025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45960</v>
      </c>
      <c r="E535" s="1" t="n">
        <v>46252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22824-2026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46160</v>
      </c>
      <c r="E536" s="1" t="n">
        <v>46252</v>
      </c>
      <c r="F536" t="inlineStr">
        <is>
          <t>DALARNAS LÄN</t>
        </is>
      </c>
      <c r="G536" t="inlineStr">
        <is>
          <t>LUDVIKA</t>
        </is>
      </c>
      <c r="H536" t="inlineStr">
        <is>
          <t>Naturvårdsverket</t>
        </is>
      </c>
      <c r="I536" t="n">
        <v>9.9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40125-2024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45554</v>
      </c>
      <c r="E537" s="1" t="n">
        <v>46252</v>
      </c>
      <c r="F537" t="inlineStr">
        <is>
          <t>DALARNAS LÄN</t>
        </is>
      </c>
      <c r="G537" t="inlineStr">
        <is>
          <t>LUDVIKA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28838-2026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46252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59206-2023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45253</v>
      </c>
      <c r="E539" s="1" t="n">
        <v>46252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59186-2025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45988</v>
      </c>
      <c r="E540" s="1" t="n">
        <v>46252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20.5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46241</v>
      </c>
      <c r="E541" s="1" t="n">
        <v>46252</v>
      </c>
      <c r="F541" t="inlineStr">
        <is>
          <t>DALARNAS LÄN</t>
        </is>
      </c>
      <c r="G541" t="inlineStr">
        <is>
          <t>LUDVIKA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7714-2026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46062</v>
      </c>
      <c r="E542" s="1" t="n">
        <v>46252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46252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21034-2026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46146</v>
      </c>
      <c r="E544" s="1" t="n">
        <v>46252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32224-2025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45835</v>
      </c>
      <c r="E545" s="1" t="n">
        <v>46252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43839-2023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45187</v>
      </c>
      <c r="E546" s="1" t="n">
        <v>46252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21032-2026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46146</v>
      </c>
      <c r="E547" s="1" t="n">
        <v>46252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20096-2026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46136</v>
      </c>
      <c r="E548" s="1" t="n">
        <v>46252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30113-2023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45110</v>
      </c>
      <c r="E549" s="1" t="n">
        <v>46252</v>
      </c>
      <c r="F549" t="inlineStr">
        <is>
          <t>DALARNAS LÄN</t>
        </is>
      </c>
      <c r="G549" t="inlineStr">
        <is>
          <t>LUDVIKA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55151-2025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45968</v>
      </c>
      <c r="E550" s="1" t="n">
        <v>46252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35353-2024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45531</v>
      </c>
      <c r="E551" s="1" t="n">
        <v>46252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25273-2022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44729</v>
      </c>
      <c r="E552" s="1" t="n">
        <v>46252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34868-2025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45849</v>
      </c>
      <c r="E553" s="1" t="n">
        <v>46252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52912-2025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45954</v>
      </c>
      <c r="E554" s="1" t="n">
        <v>46252</v>
      </c>
      <c r="F554" t="inlineStr">
        <is>
          <t>DALARNAS LÄN</t>
        </is>
      </c>
      <c r="G554" t="inlineStr">
        <is>
          <t>LUDVIKA</t>
        </is>
      </c>
      <c r="I554" t="n">
        <v>9.800000000000001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5673-2023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44960</v>
      </c>
      <c r="E555" s="1" t="n">
        <v>46252</v>
      </c>
      <c r="F555" t="inlineStr">
        <is>
          <t>DALARNAS LÄN</t>
        </is>
      </c>
      <c r="G555" t="inlineStr">
        <is>
          <t>LUDVIKA</t>
        </is>
      </c>
      <c r="H555" t="inlineStr">
        <is>
          <t>Naturvårdsverket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29578-2025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45825</v>
      </c>
      <c r="E556" s="1" t="n">
        <v>46252</v>
      </c>
      <c r="F556" t="inlineStr">
        <is>
          <t>DALARNAS LÄN</t>
        </is>
      </c>
      <c r="G556" t="inlineStr">
        <is>
          <t>LUDVIKA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6975-2023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44967</v>
      </c>
      <c r="E557" s="1" t="n">
        <v>46252</v>
      </c>
      <c r="F557" t="inlineStr">
        <is>
          <t>DALARNAS LÄN</t>
        </is>
      </c>
      <c r="G557" t="inlineStr">
        <is>
          <t>LUDVIKA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20106-2026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46136</v>
      </c>
      <c r="E558" s="1" t="n">
        <v>46252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30399-2025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45827</v>
      </c>
      <c r="E559" s="1" t="n">
        <v>46252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41828-2025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45902</v>
      </c>
      <c r="E560" s="1" t="n">
        <v>46252</v>
      </c>
      <c r="F560" t="inlineStr">
        <is>
          <t>DALARNAS LÄN</t>
        </is>
      </c>
      <c r="G560" t="inlineStr">
        <is>
          <t>LUDVIKA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35708-2025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45860</v>
      </c>
      <c r="E561" s="1" t="n">
        <v>46252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22611-2026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46155</v>
      </c>
      <c r="E562" s="1" t="n">
        <v>46252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60138-2023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45258</v>
      </c>
      <c r="E563" s="1" t="n">
        <v>46252</v>
      </c>
      <c r="F563" t="inlineStr">
        <is>
          <t>DALARNAS LÄN</t>
        </is>
      </c>
      <c r="G563" t="inlineStr">
        <is>
          <t>LUDVIKA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46171</v>
      </c>
      <c r="E564" s="1" t="n">
        <v>46252</v>
      </c>
      <c r="F564" t="inlineStr">
        <is>
          <t>DALARNAS LÄN</t>
        </is>
      </c>
      <c r="G564" t="inlineStr">
        <is>
          <t>LUDVIKA</t>
        </is>
      </c>
      <c r="H564" t="inlineStr">
        <is>
          <t>Naturvårdsverket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34875-2025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45849</v>
      </c>
      <c r="E565" s="1" t="n">
        <v>46252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46252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55323-2025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45971</v>
      </c>
      <c r="E567" s="1" t="n">
        <v>46252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33419-2026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46247</v>
      </c>
      <c r="E568" s="1" t="n">
        <v>46252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42106-2024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45562</v>
      </c>
      <c r="E569" s="1" t="n">
        <v>46252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33397-2026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46247</v>
      </c>
      <c r="E570" s="1" t="n">
        <v>46252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33373-2026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46247</v>
      </c>
      <c r="E571" s="1" t="n">
        <v>46252</v>
      </c>
      <c r="F571" t="inlineStr">
        <is>
          <t>DALARNAS LÄN</t>
        </is>
      </c>
      <c r="G571" t="inlineStr">
        <is>
          <t>LUDVIKA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47671-2024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45588</v>
      </c>
      <c r="E572" s="1" t="n">
        <v>46252</v>
      </c>
      <c r="F572" t="inlineStr">
        <is>
          <t>DALARNAS LÄN</t>
        </is>
      </c>
      <c r="G572" t="inlineStr">
        <is>
          <t>LUDVIKA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34070-2025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45845</v>
      </c>
      <c r="E573" s="1" t="n">
        <v>46252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37586-2024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45541</v>
      </c>
      <c r="E574" s="1" t="n">
        <v>46252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2890-2026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46037</v>
      </c>
      <c r="E575" s="1" t="n">
        <v>46252</v>
      </c>
      <c r="F575" t="inlineStr">
        <is>
          <t>DALARNAS LÄN</t>
        </is>
      </c>
      <c r="G575" t="inlineStr">
        <is>
          <t>LUDVIKA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55551-2024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45622</v>
      </c>
      <c r="E576" s="1" t="n">
        <v>46252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6.2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52466-2023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45225</v>
      </c>
      <c r="E577" s="1" t="n">
        <v>46252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44537-2024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45574</v>
      </c>
      <c r="E578" s="1" t="n">
        <v>46252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7683-2026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46252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30844-2024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45497</v>
      </c>
      <c r="E580" s="1" t="n">
        <v>46252</v>
      </c>
      <c r="F580" t="inlineStr">
        <is>
          <t>DALARNAS LÄN</t>
        </is>
      </c>
      <c r="G580" t="inlineStr">
        <is>
          <t>LUDVIKA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20789-2026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46141</v>
      </c>
      <c r="E581" s="1" t="n">
        <v>46252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20411-2023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45056</v>
      </c>
      <c r="E582" s="1" t="n">
        <v>46252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59347-2024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45638</v>
      </c>
      <c r="E583" s="1" t="n">
        <v>46252</v>
      </c>
      <c r="F583" t="inlineStr">
        <is>
          <t>DALARNAS LÄN</t>
        </is>
      </c>
      <c r="G583" t="inlineStr">
        <is>
          <t>LUDVIKA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33689-2026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46248</v>
      </c>
      <c r="E584" s="1" t="n">
        <v>46252</v>
      </c>
      <c r="F584" t="inlineStr">
        <is>
          <t>DALARNAS LÄN</t>
        </is>
      </c>
      <c r="G584" t="inlineStr">
        <is>
          <t>LUDVIKA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20666-2026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46141</v>
      </c>
      <c r="E585" s="1" t="n">
        <v>46252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29791-2026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46252</v>
      </c>
      <c r="F586" t="inlineStr">
        <is>
          <t>DALARNAS LÄN</t>
        </is>
      </c>
      <c r="G586" t="inlineStr">
        <is>
          <t>LUDVIKA</t>
        </is>
      </c>
      <c r="H586" t="inlineStr">
        <is>
          <t>Naturvårdsverket</t>
        </is>
      </c>
      <c r="I586" t="n">
        <v>8.300000000000001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46185-2024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45581</v>
      </c>
      <c r="E587" s="1" t="n">
        <v>46252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50777-2024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45602</v>
      </c>
      <c r="E588" s="1" t="n">
        <v>46252</v>
      </c>
      <c r="F588" t="inlineStr">
        <is>
          <t>DALARNAS LÄN</t>
        </is>
      </c>
      <c r="G588" t="inlineStr">
        <is>
          <t>LUDVIKA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20778-2026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46141</v>
      </c>
      <c r="E589" s="1" t="n">
        <v>46252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30113-2026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46252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41668-2023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45176</v>
      </c>
      <c r="E591" s="1" t="n">
        <v>46252</v>
      </c>
      <c r="F591" t="inlineStr">
        <is>
          <t>DALARNAS LÄN</t>
        </is>
      </c>
      <c r="G591" t="inlineStr">
        <is>
          <t>LUDVIKA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55462-2024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45622</v>
      </c>
      <c r="E592" s="1" t="n">
        <v>46252</v>
      </c>
      <c r="F592" t="inlineStr">
        <is>
          <t>DALARNAS LÄN</t>
        </is>
      </c>
      <c r="G592" t="inlineStr">
        <is>
          <t>LUDVIKA</t>
        </is>
      </c>
      <c r="H592" t="inlineStr">
        <is>
          <t>Naturvårdsverket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55474-2024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45622</v>
      </c>
      <c r="E593" s="1" t="n">
        <v>46252</v>
      </c>
      <c r="F593" t="inlineStr">
        <is>
          <t>DALARNAS LÄN</t>
        </is>
      </c>
      <c r="G593" t="inlineStr">
        <is>
          <t>LUDVIKA</t>
        </is>
      </c>
      <c r="H593" t="inlineStr">
        <is>
          <t>Naturvårdsverket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55510-2024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45622</v>
      </c>
      <c r="E594" s="1" t="n">
        <v>46252</v>
      </c>
      <c r="F594" t="inlineStr">
        <is>
          <t>DALARNAS LÄN</t>
        </is>
      </c>
      <c r="G594" t="inlineStr">
        <is>
          <t>LUDVIKA</t>
        </is>
      </c>
      <c r="H594" t="inlineStr">
        <is>
          <t>Naturvårdsverket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8728-2026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46066</v>
      </c>
      <c r="E595" s="1" t="n">
        <v>46252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45687</v>
      </c>
      <c r="E596" s="1" t="n">
        <v>46252</v>
      </c>
      <c r="F596" t="inlineStr">
        <is>
          <t>DALARNAS LÄN</t>
        </is>
      </c>
      <c r="G596" t="inlineStr">
        <is>
          <t>LUDVIKA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18421-2025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45762</v>
      </c>
      <c r="E597" s="1" t="n">
        <v>46252</v>
      </c>
      <c r="F597" t="inlineStr">
        <is>
          <t>DALARNAS LÄN</t>
        </is>
      </c>
      <c r="G597" t="inlineStr">
        <is>
          <t>LUDVIKA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50714-2024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45602</v>
      </c>
      <c r="E598" s="1" t="n">
        <v>46252</v>
      </c>
      <c r="F598" t="inlineStr">
        <is>
          <t>DALARNAS LÄN</t>
        </is>
      </c>
      <c r="G598" t="inlineStr">
        <is>
          <t>LUDVIKA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30106-2026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46252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20974-2026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46142</v>
      </c>
      <c r="E600" s="1" t="n">
        <v>46252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20973-2026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46142</v>
      </c>
      <c r="E601" s="1" t="n">
        <v>46252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20882-2026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46142</v>
      </c>
      <c r="E602" s="1" t="n">
        <v>46252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20888-2026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46142</v>
      </c>
      <c r="E603" s="1" t="n">
        <v>46252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27608-2026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46190</v>
      </c>
      <c r="E604" s="1" t="n">
        <v>46252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46147</v>
      </c>
      <c r="E605" s="1" t="n">
        <v>46252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4173-2025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45685</v>
      </c>
      <c r="E606" s="1" t="n">
        <v>46252</v>
      </c>
      <c r="F606" t="inlineStr">
        <is>
          <t>DALARNAS LÄN</t>
        </is>
      </c>
      <c r="G606" t="inlineStr">
        <is>
          <t>LUDVIKA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21472-2026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46148</v>
      </c>
      <c r="E607" s="1" t="n">
        <v>46252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38446-2025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45883</v>
      </c>
      <c r="E608" s="1" t="n">
        <v>46252</v>
      </c>
      <c r="F608" t="inlineStr">
        <is>
          <t>DALARNAS LÄN</t>
        </is>
      </c>
      <c r="G608" t="inlineStr">
        <is>
          <t>LUDVIKA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21462-2026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46148</v>
      </c>
      <c r="E609" s="1" t="n">
        <v>46252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46252</v>
      </c>
      <c r="F610" t="inlineStr">
        <is>
          <t>DALARNAS LÄN</t>
        </is>
      </c>
      <c r="G610" t="inlineStr">
        <is>
          <t>LUDVIKA</t>
        </is>
      </c>
      <c r="H610" t="inlineStr">
        <is>
          <t>Naturvårdsverket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21872-2026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46150</v>
      </c>
      <c r="E611" s="1" t="n">
        <v>46252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38359-2024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45545</v>
      </c>
      <c r="E612" s="1" t="n">
        <v>46252</v>
      </c>
      <c r="F612" t="inlineStr">
        <is>
          <t>DALARNAS LÄN</t>
        </is>
      </c>
      <c r="G612" t="inlineStr">
        <is>
          <t>LUDVIKA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21798-2026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46150</v>
      </c>
      <c r="E613" s="1" t="n">
        <v>46252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21893-2025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45784</v>
      </c>
      <c r="E614" s="1" t="n">
        <v>46252</v>
      </c>
      <c r="F614" t="inlineStr">
        <is>
          <t>DALARNAS LÄN</t>
        </is>
      </c>
      <c r="G614" t="inlineStr">
        <is>
          <t>LUDVIKA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42421-2024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45565</v>
      </c>
      <c r="E615" s="1" t="n">
        <v>46252</v>
      </c>
      <c r="F615" t="inlineStr">
        <is>
          <t>DALARNAS LÄN</t>
        </is>
      </c>
      <c r="G615" t="inlineStr">
        <is>
          <t>LUDVIKA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22278-2026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46154</v>
      </c>
      <c r="E616" s="1" t="n">
        <v>46252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22276-2026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46154</v>
      </c>
      <c r="E617" s="1" t="n">
        <v>46252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53602-2023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45230</v>
      </c>
      <c r="E618" s="1" t="n">
        <v>46252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22538-2026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46155</v>
      </c>
      <c r="E619" s="1" t="n">
        <v>46252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52359-2024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45609</v>
      </c>
      <c r="E620" s="1" t="n">
        <v>46252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22558-2026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46155</v>
      </c>
      <c r="E621" s="1" t="n">
        <v>46252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21891-2025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45784</v>
      </c>
      <c r="E622" s="1" t="n">
        <v>46252</v>
      </c>
      <c r="F622" t="inlineStr">
        <is>
          <t>DALARNAS LÄN</t>
        </is>
      </c>
      <c r="G622" t="inlineStr">
        <is>
          <t>LUDVIKA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55972-2025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45973</v>
      </c>
      <c r="E623" s="1" t="n">
        <v>46252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22580-2026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46155</v>
      </c>
      <c r="E624" s="1" t="n">
        <v>46252</v>
      </c>
      <c r="F624" t="inlineStr">
        <is>
          <t>DALARNAS LÄN</t>
        </is>
      </c>
      <c r="G624" t="inlineStr">
        <is>
          <t>LUDVIKA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33914-2023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45134</v>
      </c>
      <c r="E625" s="1" t="n">
        <v>46252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22464-2026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46155</v>
      </c>
      <c r="E626" s="1" t="n">
        <v>46252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9.800000000000001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21002-2026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46142</v>
      </c>
      <c r="E627" s="1" t="n">
        <v>46252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8.9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3170-2025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45679</v>
      </c>
      <c r="E628" s="1" t="n">
        <v>46252</v>
      </c>
      <c r="F628" t="inlineStr">
        <is>
          <t>DALARNAS LÄN</t>
        </is>
      </c>
      <c r="G628" t="inlineStr">
        <is>
          <t>LUDVIKA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16843-2026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46113</v>
      </c>
      <c r="E629" s="1" t="n">
        <v>46252</v>
      </c>
      <c r="F629" t="inlineStr">
        <is>
          <t>DALARNAS LÄN</t>
        </is>
      </c>
      <c r="G629" t="inlineStr">
        <is>
          <t>LUDVIKA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22585-2026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46155</v>
      </c>
      <c r="E630" s="1" t="n">
        <v>46252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46095-2024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45581</v>
      </c>
      <c r="E631" s="1" t="n">
        <v>46252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41539-2024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45560</v>
      </c>
      <c r="E632" s="1" t="n">
        <v>46252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22594-2025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45789</v>
      </c>
      <c r="E633" s="1" t="n">
        <v>46252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22606-2025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45789</v>
      </c>
      <c r="E634" s="1" t="n">
        <v>46252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22610-2025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45789</v>
      </c>
      <c r="E635" s="1" t="n">
        <v>46252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46093-2024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45581</v>
      </c>
      <c r="E636" s="1" t="n">
        <v>46252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46107-2024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45581</v>
      </c>
      <c r="E637" s="1" t="n">
        <v>46252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50240-2024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45600</v>
      </c>
      <c r="E638" s="1" t="n">
        <v>46252</v>
      </c>
      <c r="F638" t="inlineStr">
        <is>
          <t>DALARNAS LÄN</t>
        </is>
      </c>
      <c r="G638" t="inlineStr">
        <is>
          <t>LUDVIKA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43702-2024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45569</v>
      </c>
      <c r="E639" s="1" t="n">
        <v>46252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22830-2026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46160</v>
      </c>
      <c r="E640" s="1" t="n">
        <v>46252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24712-2024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45460</v>
      </c>
      <c r="E641" s="1" t="n">
        <v>46252</v>
      </c>
      <c r="F641" t="inlineStr">
        <is>
          <t>DALARNAS LÄN</t>
        </is>
      </c>
      <c r="G641" t="inlineStr">
        <is>
          <t>LUDVIKA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23082-2026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46161</v>
      </c>
      <c r="E642" s="1" t="n">
        <v>46252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22599-2025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45789</v>
      </c>
      <c r="E643" s="1" t="n">
        <v>46252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23088-2025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45791</v>
      </c>
      <c r="E644" s="1" t="n">
        <v>46252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23105-2025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45791</v>
      </c>
      <c r="E645" s="1" t="n">
        <v>46252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34280-2024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45524</v>
      </c>
      <c r="E646" s="1" t="n">
        <v>46252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36066-2024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45533</v>
      </c>
      <c r="E647" s="1" t="n">
        <v>46252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22813-2026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46160</v>
      </c>
      <c r="E648" s="1" t="n">
        <v>46252</v>
      </c>
      <c r="F648" t="inlineStr">
        <is>
          <t>DALARNAS LÄN</t>
        </is>
      </c>
      <c r="G648" t="inlineStr">
        <is>
          <t>LUDVIKA</t>
        </is>
      </c>
      <c r="H648" t="inlineStr">
        <is>
          <t>Naturvårdsverket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22850-2025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45790</v>
      </c>
      <c r="E649" s="1" t="n">
        <v>46252</v>
      </c>
      <c r="F649" t="inlineStr">
        <is>
          <t>DALARNAS LÄN</t>
        </is>
      </c>
      <c r="G649" t="inlineStr">
        <is>
          <t>LUDVIKA</t>
        </is>
      </c>
      <c r="H649" t="inlineStr">
        <is>
          <t>Övriga Aktiebolag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47233-2024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45586</v>
      </c>
      <c r="E650" s="1" t="n">
        <v>46252</v>
      </c>
      <c r="F650" t="inlineStr">
        <is>
          <t>DALARNAS LÄN</t>
        </is>
      </c>
      <c r="G650" t="inlineStr">
        <is>
          <t>LUDVIKA</t>
        </is>
      </c>
      <c r="I650" t="n">
        <v>9.5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23871-2026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46167</v>
      </c>
      <c r="E651" s="1" t="n">
        <v>46252</v>
      </c>
      <c r="F651" t="inlineStr">
        <is>
          <t>DALARNAS LÄN</t>
        </is>
      </c>
      <c r="G651" t="inlineStr">
        <is>
          <t>LUDVIKA</t>
        </is>
      </c>
      <c r="H651" t="inlineStr">
        <is>
          <t>Kommuner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22686-2025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45786</v>
      </c>
      <c r="E652" s="1" t="n">
        <v>46252</v>
      </c>
      <c r="F652" t="inlineStr">
        <is>
          <t>DALARNAS LÄN</t>
        </is>
      </c>
      <c r="G652" t="inlineStr">
        <is>
          <t>LUDVIKA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61278-2022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44915</v>
      </c>
      <c r="E653" s="1" t="n">
        <v>46252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19677-2025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45770</v>
      </c>
      <c r="E654" s="1" t="n">
        <v>46252</v>
      </c>
      <c r="F654" t="inlineStr">
        <is>
          <t>DALARNAS LÄN</t>
        </is>
      </c>
      <c r="G654" t="inlineStr">
        <is>
          <t>LUDVIKA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23137-2025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45791</v>
      </c>
      <c r="E655" s="1" t="n">
        <v>46252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23443-2024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45453</v>
      </c>
      <c r="E656" s="1" t="n">
        <v>46252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24021-2026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46167</v>
      </c>
      <c r="E657" s="1" t="n">
        <v>46252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37549-2024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45541</v>
      </c>
      <c r="E658" s="1" t="n">
        <v>46252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20642-2025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45776</v>
      </c>
      <c r="E659" s="1" t="n">
        <v>46252</v>
      </c>
      <c r="F659" t="inlineStr">
        <is>
          <t>DALARNAS LÄN</t>
        </is>
      </c>
      <c r="G659" t="inlineStr">
        <is>
          <t>LUDVIKA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23097-2025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45791</v>
      </c>
      <c r="E660" s="1" t="n">
        <v>46252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24027-2025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45796</v>
      </c>
      <c r="E661" s="1" t="n">
        <v>46252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23117-2025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45791</v>
      </c>
      <c r="E662" s="1" t="n">
        <v>46252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23139-2025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45791</v>
      </c>
      <c r="E663" s="1" t="n">
        <v>46252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30977-2024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45499</v>
      </c>
      <c r="E664" s="1" t="n">
        <v>46252</v>
      </c>
      <c r="F664" t="inlineStr">
        <is>
          <t>DALARNAS LÄN</t>
        </is>
      </c>
      <c r="G664" t="inlineStr">
        <is>
          <t>LUDVIKA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25004-2025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45799</v>
      </c>
      <c r="E665" s="1" t="n">
        <v>46252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2979-2026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46038</v>
      </c>
      <c r="E666" s="1" t="n">
        <v>46252</v>
      </c>
      <c r="F666" t="inlineStr">
        <is>
          <t>DALARNAS LÄN</t>
        </is>
      </c>
      <c r="G666" t="inlineStr">
        <is>
          <t>LUDVIKA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31380-2025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45833</v>
      </c>
      <c r="E667" s="1" t="n">
        <v>46252</v>
      </c>
      <c r="F667" t="inlineStr">
        <is>
          <t>DALARNAS LÄN</t>
        </is>
      </c>
      <c r="G667" t="inlineStr">
        <is>
          <t>LUDVIKA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45800</v>
      </c>
      <c r="E668" s="1" t="n">
        <v>46252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25235-2025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45800</v>
      </c>
      <c r="E669" s="1" t="n">
        <v>46252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31818-2025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45834</v>
      </c>
      <c r="E670" s="1" t="n">
        <v>46252</v>
      </c>
      <c r="F670" t="inlineStr">
        <is>
          <t>DALARNAS LÄN</t>
        </is>
      </c>
      <c r="G670" t="inlineStr">
        <is>
          <t>LUDVIKA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24682-2026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46171</v>
      </c>
      <c r="E671" s="1" t="n">
        <v>46252</v>
      </c>
      <c r="F671" t="inlineStr">
        <is>
          <t>DALARNAS LÄN</t>
        </is>
      </c>
      <c r="G671" t="inlineStr">
        <is>
          <t>LUDVIKA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31227-2026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46217</v>
      </c>
      <c r="E672" s="1" t="n">
        <v>46252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26320-2025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45805</v>
      </c>
      <c r="E673" s="1" t="n">
        <v>46252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24768-2026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46171</v>
      </c>
      <c r="E674" s="1" t="n">
        <v>46252</v>
      </c>
      <c r="F674" t="inlineStr">
        <is>
          <t>DALARNAS LÄN</t>
        </is>
      </c>
      <c r="G674" t="inlineStr">
        <is>
          <t>LUDVIKA</t>
        </is>
      </c>
      <c r="H674" t="inlineStr">
        <is>
          <t>Naturvårdsverket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26698-2025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45810</v>
      </c>
      <c r="E675" s="1" t="n">
        <v>46252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26719-2025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45810</v>
      </c>
      <c r="E676" s="1" t="n">
        <v>46252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24776-2026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46171</v>
      </c>
      <c r="E677" s="1" t="n">
        <v>46252</v>
      </c>
      <c r="F677" t="inlineStr">
        <is>
          <t>DALARNAS LÄN</t>
        </is>
      </c>
      <c r="G677" t="inlineStr">
        <is>
          <t>LUDVIKA</t>
        </is>
      </c>
      <c r="H677" t="inlineStr">
        <is>
          <t>Naturvårdsverket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31350-2026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46219</v>
      </c>
      <c r="E678" s="1" t="n">
        <v>46252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24673-2026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46171</v>
      </c>
      <c r="E679" s="1" t="n">
        <v>46252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23515-2026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46163</v>
      </c>
      <c r="E680" s="1" t="n">
        <v>46252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24678-2026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46171</v>
      </c>
      <c r="E681" s="1" t="n">
        <v>46252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25320-2026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46176</v>
      </c>
      <c r="E682" s="1" t="n">
        <v>46252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31299-2026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46218</v>
      </c>
      <c r="E683" s="1" t="n">
        <v>46252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15.8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24609-2026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46171</v>
      </c>
      <c r="E684" s="1" t="n">
        <v>46252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25193-2026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46175</v>
      </c>
      <c r="E685" s="1" t="n">
        <v>46252</v>
      </c>
      <c r="F685" t="inlineStr">
        <is>
          <t>DALARNAS LÄN</t>
        </is>
      </c>
      <c r="G685" t="inlineStr">
        <is>
          <t>LUDVIKA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24670-2026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46171</v>
      </c>
      <c r="E686" s="1" t="n">
        <v>46252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24687-2026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46171</v>
      </c>
      <c r="E687" s="1" t="n">
        <v>46252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23917-2026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46167</v>
      </c>
      <c r="E688" s="1" t="n">
        <v>46252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2837-2023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45167</v>
      </c>
      <c r="E689" s="1" t="n">
        <v>46252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1122-2023</t>
        </is>
      </c>
      <c r="B690" t="inlineStr">
        <is>
          <t>samrådsanmälan</t>
        </is>
      </c>
      <c r="C690" t="inlineStr">
        <is>
          <t>Skogsgödsling</t>
        </is>
      </c>
      <c r="D690" s="1" t="n">
        <v>45015</v>
      </c>
      <c r="E690" s="1" t="n">
        <v>46252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115.7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3660-2023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45216</v>
      </c>
      <c r="E691" s="1" t="n">
        <v>46252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5.9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1246-2024</t>
        </is>
      </c>
      <c r="B692" t="inlineStr">
        <is>
          <t>samrådsanmälan</t>
        </is>
      </c>
      <c r="C692" t="inlineStr">
        <is>
          <t>Skogsgödsling</t>
        </is>
      </c>
      <c r="D692" s="1" t="n">
        <v>45400</v>
      </c>
      <c r="E692" s="1" t="n">
        <v>46252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35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1096-2024</t>
        </is>
      </c>
      <c r="B693" t="inlineStr">
        <is>
          <t>samrådsanmälan</t>
        </is>
      </c>
      <c r="C693" t="inlineStr">
        <is>
          <t>Skogsgödsling</t>
        </is>
      </c>
      <c r="D693" s="1" t="n">
        <v>45391</v>
      </c>
      <c r="E693" s="1" t="n">
        <v>46252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26.7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4863-2022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44805</v>
      </c>
      <c r="E694" s="1" t="n">
        <v>46252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1113-2023</t>
        </is>
      </c>
      <c r="B695" t="inlineStr">
        <is>
          <t>samrådsanmälan</t>
        </is>
      </c>
      <c r="C695" t="inlineStr">
        <is>
          <t>Skogsgödsling</t>
        </is>
      </c>
      <c r="D695" s="1" t="n">
        <v>45015</v>
      </c>
      <c r="E695" s="1" t="n">
        <v>46252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37.9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1815-2026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46190</v>
      </c>
      <c r="E696" s="1" t="n">
        <v>46252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2026-08-18T01:44:07Z</dcterms:created>
  <dcterms:modified xmlns:dcterms="http://purl.org/dc/terms/" xmlns:xsi="http://www.w3.org/2001/XMLSchema-instance" xsi:type="dcterms:W3CDTF">2026-08-18T01:44:08Z</dcterms:modified>
</cp:coreProperties>
</file>
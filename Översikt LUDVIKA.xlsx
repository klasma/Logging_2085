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45588</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45588</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45588</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45588</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45588</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45588</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45588</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45588</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45588</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45588</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45588</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45588</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45588</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45588</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45588</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45588</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45588</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45588</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45588</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45588</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45588</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45588</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45588</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45588</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45588</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45588</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45588</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45588</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45588</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45588</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45588</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45588</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45588</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45588</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45588</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45588</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45588</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45588</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45588</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45588</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45588</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45588</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45588</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381-2023</t>
        </is>
      </c>
      <c r="B49" s="1" t="n">
        <v>44929</v>
      </c>
      <c r="C49" s="1" t="n">
        <v>45588</v>
      </c>
      <c r="D49" t="inlineStr">
        <is>
          <t>DALARNAS LÄN</t>
        </is>
      </c>
      <c r="E49" t="inlineStr">
        <is>
          <t>LUDVIKA</t>
        </is>
      </c>
      <c r="G49" t="n">
        <v>7.9</v>
      </c>
      <c r="H49" t="n">
        <v>1</v>
      </c>
      <c r="I49" t="n">
        <v>0</v>
      </c>
      <c r="J49" t="n">
        <v>0</v>
      </c>
      <c r="K49" t="n">
        <v>0</v>
      </c>
      <c r="L49" t="n">
        <v>0</v>
      </c>
      <c r="M49" t="n">
        <v>0</v>
      </c>
      <c r="N49" t="n">
        <v>0</v>
      </c>
      <c r="O49" t="n">
        <v>0</v>
      </c>
      <c r="P49" t="n">
        <v>0</v>
      </c>
      <c r="Q49" t="n">
        <v>1</v>
      </c>
      <c r="R49" s="2" t="inlineStr">
        <is>
          <t>Fläcknycklar</t>
        </is>
      </c>
      <c r="S49">
        <f>HYPERLINK("https://klasma.github.io/Logging_2085/artfynd/A 381-2023 artfynd.xlsx", "A 381-2023")</f>
        <v/>
      </c>
      <c r="T49">
        <f>HYPERLINK("https://klasma.github.io/Logging_2085/kartor/A 381-2023 karta.png", "A 381-2023")</f>
        <v/>
      </c>
      <c r="V49">
        <f>HYPERLINK("https://klasma.github.io/Logging_2085/klagomål/A 381-2023 FSC-klagomål.docx", "A 381-2023")</f>
        <v/>
      </c>
      <c r="W49">
        <f>HYPERLINK("https://klasma.github.io/Logging_2085/klagomålsmail/A 381-2023 FSC-klagomål mail.docx", "A 381-2023")</f>
        <v/>
      </c>
      <c r="X49">
        <f>HYPERLINK("https://klasma.github.io/Logging_2085/tillsyn/A 381-2023 tillsynsbegäran.docx", "A 381-2023")</f>
        <v/>
      </c>
      <c r="Y49">
        <f>HYPERLINK("https://klasma.github.io/Logging_2085/tillsynsmail/A 381-2023 tillsynsbegäran mail.docx", "A 381-2023")</f>
        <v/>
      </c>
    </row>
    <row r="50" ht="15" customHeight="1">
      <c r="A50" t="inlineStr">
        <is>
          <t>A 17310-2023</t>
        </is>
      </c>
      <c r="B50" s="1" t="n">
        <v>45035</v>
      </c>
      <c r="C50" s="1" t="n">
        <v>45588</v>
      </c>
      <c r="D50" t="inlineStr">
        <is>
          <t>DALARNAS LÄN</t>
        </is>
      </c>
      <c r="E50" t="inlineStr">
        <is>
          <t>LUDVIKA</t>
        </is>
      </c>
      <c r="G50" t="n">
        <v>10.2</v>
      </c>
      <c r="H50" t="n">
        <v>0</v>
      </c>
      <c r="I50" t="n">
        <v>0</v>
      </c>
      <c r="J50" t="n">
        <v>1</v>
      </c>
      <c r="K50" t="n">
        <v>0</v>
      </c>
      <c r="L50" t="n">
        <v>0</v>
      </c>
      <c r="M50" t="n">
        <v>0</v>
      </c>
      <c r="N50" t="n">
        <v>0</v>
      </c>
      <c r="O50" t="n">
        <v>1</v>
      </c>
      <c r="P50" t="n">
        <v>0</v>
      </c>
      <c r="Q50" t="n">
        <v>1</v>
      </c>
      <c r="R50" s="2" t="inlineStr">
        <is>
          <t>Barrpraktbagge</t>
        </is>
      </c>
      <c r="S50">
        <f>HYPERLINK("https://klasma.github.io/Logging_2085/artfynd/A 17310-2023 artfynd.xlsx", "A 17310-2023")</f>
        <v/>
      </c>
      <c r="T50">
        <f>HYPERLINK("https://klasma.github.io/Logging_2085/kartor/A 17310-2023 karta.png", "A 17310-2023")</f>
        <v/>
      </c>
      <c r="V50">
        <f>HYPERLINK("https://klasma.github.io/Logging_2085/klagomål/A 17310-2023 FSC-klagomål.docx", "A 17310-2023")</f>
        <v/>
      </c>
      <c r="W50">
        <f>HYPERLINK("https://klasma.github.io/Logging_2085/klagomålsmail/A 17310-2023 FSC-klagomål mail.docx", "A 17310-2023")</f>
        <v/>
      </c>
      <c r="X50">
        <f>HYPERLINK("https://klasma.github.io/Logging_2085/tillsyn/A 17310-2023 tillsynsbegäran.docx", "A 17310-2023")</f>
        <v/>
      </c>
      <c r="Y50">
        <f>HYPERLINK("https://klasma.github.io/Logging_2085/tillsynsmail/A 17310-2023 tillsynsbegäran mail.docx", "A 17310-2023")</f>
        <v/>
      </c>
    </row>
    <row r="51" ht="15" customHeight="1">
      <c r="A51" t="inlineStr">
        <is>
          <t>A 18298-2023</t>
        </is>
      </c>
      <c r="B51" s="1" t="n">
        <v>45041</v>
      </c>
      <c r="C51" s="1" t="n">
        <v>45588</v>
      </c>
      <c r="D51" t="inlineStr">
        <is>
          <t>DALARNAS LÄN</t>
        </is>
      </c>
      <c r="E51" t="inlineStr">
        <is>
          <t>LUDVIKA</t>
        </is>
      </c>
      <c r="G51" t="n">
        <v>3.4</v>
      </c>
      <c r="H51" t="n">
        <v>1</v>
      </c>
      <c r="I51" t="n">
        <v>0</v>
      </c>
      <c r="J51" t="n">
        <v>0</v>
      </c>
      <c r="K51" t="n">
        <v>0</v>
      </c>
      <c r="L51" t="n">
        <v>0</v>
      </c>
      <c r="M51" t="n">
        <v>0</v>
      </c>
      <c r="N51" t="n">
        <v>0</v>
      </c>
      <c r="O51" t="n">
        <v>0</v>
      </c>
      <c r="P51" t="n">
        <v>0</v>
      </c>
      <c r="Q51" t="n">
        <v>1</v>
      </c>
      <c r="R51" s="2" t="inlineStr">
        <is>
          <t>Fläcknycklar</t>
        </is>
      </c>
      <c r="S51">
        <f>HYPERLINK("https://klasma.github.io/Logging_2085/artfynd/A 18298-2023 artfynd.xlsx", "A 18298-2023")</f>
        <v/>
      </c>
      <c r="T51">
        <f>HYPERLINK("https://klasma.github.io/Logging_2085/kartor/A 18298-2023 karta.png", "A 18298-2023")</f>
        <v/>
      </c>
      <c r="V51">
        <f>HYPERLINK("https://klasma.github.io/Logging_2085/klagomål/A 18298-2023 FSC-klagomål.docx", "A 18298-2023")</f>
        <v/>
      </c>
      <c r="W51">
        <f>HYPERLINK("https://klasma.github.io/Logging_2085/klagomålsmail/A 18298-2023 FSC-klagomål mail.docx", "A 18298-2023")</f>
        <v/>
      </c>
      <c r="X51">
        <f>HYPERLINK("https://klasma.github.io/Logging_2085/tillsyn/A 18298-2023 tillsynsbegäran.docx", "A 18298-2023")</f>
        <v/>
      </c>
      <c r="Y51">
        <f>HYPERLINK("https://klasma.github.io/Logging_2085/tillsynsmail/A 18298-2023 tillsynsbegäran mail.docx", "A 18298-2023")</f>
        <v/>
      </c>
    </row>
    <row r="52" ht="15" customHeight="1">
      <c r="A52" t="inlineStr">
        <is>
          <t>A 25588-2023</t>
        </is>
      </c>
      <c r="B52" s="1" t="n">
        <v>45089</v>
      </c>
      <c r="C52" s="1" t="n">
        <v>45588</v>
      </c>
      <c r="D52" t="inlineStr">
        <is>
          <t>DALARNAS LÄN</t>
        </is>
      </c>
      <c r="E52" t="inlineStr">
        <is>
          <t>LUDVIKA</t>
        </is>
      </c>
      <c r="G52" t="n">
        <v>9.4</v>
      </c>
      <c r="H52" t="n">
        <v>0</v>
      </c>
      <c r="I52" t="n">
        <v>0</v>
      </c>
      <c r="J52" t="n">
        <v>1</v>
      </c>
      <c r="K52" t="n">
        <v>0</v>
      </c>
      <c r="L52" t="n">
        <v>0</v>
      </c>
      <c r="M52" t="n">
        <v>0</v>
      </c>
      <c r="N52" t="n">
        <v>0</v>
      </c>
      <c r="O52" t="n">
        <v>1</v>
      </c>
      <c r="P52" t="n">
        <v>0</v>
      </c>
      <c r="Q52" t="n">
        <v>1</v>
      </c>
      <c r="R52" s="2" t="inlineStr">
        <is>
          <t>Garnlav</t>
        </is>
      </c>
      <c r="S52">
        <f>HYPERLINK("https://klasma.github.io/Logging_2085/artfynd/A 25588-2023 artfynd.xlsx", "A 25588-2023")</f>
        <v/>
      </c>
      <c r="T52">
        <f>HYPERLINK("https://klasma.github.io/Logging_2085/kartor/A 25588-2023 karta.png", "A 25588-2023")</f>
        <v/>
      </c>
      <c r="V52">
        <f>HYPERLINK("https://klasma.github.io/Logging_2085/klagomål/A 25588-2023 FSC-klagomål.docx", "A 25588-2023")</f>
        <v/>
      </c>
      <c r="W52">
        <f>HYPERLINK("https://klasma.github.io/Logging_2085/klagomålsmail/A 25588-2023 FSC-klagomål mail.docx", "A 25588-2023")</f>
        <v/>
      </c>
      <c r="X52">
        <f>HYPERLINK("https://klasma.github.io/Logging_2085/tillsyn/A 25588-2023 tillsynsbegäran.docx", "A 25588-2023")</f>
        <v/>
      </c>
      <c r="Y52">
        <f>HYPERLINK("https://klasma.github.io/Logging_2085/tillsynsmail/A 25588-2023 tillsynsbegäran mail.docx", "A 25588-2023")</f>
        <v/>
      </c>
    </row>
    <row r="53" ht="15" customHeight="1">
      <c r="A53" t="inlineStr">
        <is>
          <t>A 26850-2023</t>
        </is>
      </c>
      <c r="B53" s="1" t="n">
        <v>45093</v>
      </c>
      <c r="C53" s="1" t="n">
        <v>45588</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29144-2023</t>
        </is>
      </c>
      <c r="B54" s="1" t="n">
        <v>45105</v>
      </c>
      <c r="C54" s="1" t="n">
        <v>45588</v>
      </c>
      <c r="D54" t="inlineStr">
        <is>
          <t>DALARNAS LÄN</t>
        </is>
      </c>
      <c r="E54" t="inlineStr">
        <is>
          <t>LUDVIKA</t>
        </is>
      </c>
      <c r="F54" t="inlineStr">
        <is>
          <t>Allmännings- och besparingsskogar</t>
        </is>
      </c>
      <c r="G54" t="n">
        <v>7.2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30053-2023</t>
        </is>
      </c>
      <c r="B55" s="1" t="n">
        <v>45110</v>
      </c>
      <c r="C55" s="1" t="n">
        <v>45588</v>
      </c>
      <c r="D55" t="inlineStr">
        <is>
          <t>DALARNAS LÄN</t>
        </is>
      </c>
      <c r="E55" t="inlineStr">
        <is>
          <t>LUDVIKA</t>
        </is>
      </c>
      <c r="F55" t="inlineStr">
        <is>
          <t>Bergvik skog väst AB</t>
        </is>
      </c>
      <c r="G55" t="n">
        <v>6.8</v>
      </c>
      <c r="H55" t="n">
        <v>0</v>
      </c>
      <c r="I55" t="n">
        <v>0</v>
      </c>
      <c r="J55" t="n">
        <v>1</v>
      </c>
      <c r="K55" t="n">
        <v>0</v>
      </c>
      <c r="L55" t="n">
        <v>0</v>
      </c>
      <c r="M55" t="n">
        <v>0</v>
      </c>
      <c r="N55" t="n">
        <v>0</v>
      </c>
      <c r="O55" t="n">
        <v>1</v>
      </c>
      <c r="P55" t="n">
        <v>0</v>
      </c>
      <c r="Q55" t="n">
        <v>1</v>
      </c>
      <c r="R55" s="2" t="inlineStr">
        <is>
          <t>Garnlav</t>
        </is>
      </c>
      <c r="S55">
        <f>HYPERLINK("https://klasma.github.io/Logging_2085/artfynd/A 30053-2023 artfynd.xlsx", "A 30053-2023")</f>
        <v/>
      </c>
      <c r="T55">
        <f>HYPERLINK("https://klasma.github.io/Logging_2085/kartor/A 30053-2023 karta.png", "A 30053-2023")</f>
        <v/>
      </c>
      <c r="V55">
        <f>HYPERLINK("https://klasma.github.io/Logging_2085/klagomål/A 30053-2023 FSC-klagomål.docx", "A 30053-2023")</f>
        <v/>
      </c>
      <c r="W55">
        <f>HYPERLINK("https://klasma.github.io/Logging_2085/klagomålsmail/A 30053-2023 FSC-klagomål mail.docx", "A 30053-2023")</f>
        <v/>
      </c>
      <c r="X55">
        <f>HYPERLINK("https://klasma.github.io/Logging_2085/tillsyn/A 30053-2023 tillsynsbegäran.docx", "A 30053-2023")</f>
        <v/>
      </c>
      <c r="Y55">
        <f>HYPERLINK("https://klasma.github.io/Logging_2085/tillsynsmail/A 30053-2023 tillsynsbegäran mail.docx", "A 30053-2023")</f>
        <v/>
      </c>
    </row>
    <row r="56" ht="15" customHeight="1">
      <c r="A56" t="inlineStr">
        <is>
          <t>A 33055-2023</t>
        </is>
      </c>
      <c r="B56" s="1" t="n">
        <v>45126</v>
      </c>
      <c r="C56" s="1" t="n">
        <v>45588</v>
      </c>
      <c r="D56" t="inlineStr">
        <is>
          <t>DALARNAS LÄN</t>
        </is>
      </c>
      <c r="E56" t="inlineStr">
        <is>
          <t>LUDVIKA</t>
        </is>
      </c>
      <c r="F56" t="inlineStr">
        <is>
          <t>Bergvik skog väst AB</t>
        </is>
      </c>
      <c r="G56" t="n">
        <v>6</v>
      </c>
      <c r="H56" t="n">
        <v>0</v>
      </c>
      <c r="I56" t="n">
        <v>1</v>
      </c>
      <c r="J56" t="n">
        <v>0</v>
      </c>
      <c r="K56" t="n">
        <v>0</v>
      </c>
      <c r="L56" t="n">
        <v>0</v>
      </c>
      <c r="M56" t="n">
        <v>0</v>
      </c>
      <c r="N56" t="n">
        <v>0</v>
      </c>
      <c r="O56" t="n">
        <v>0</v>
      </c>
      <c r="P56" t="n">
        <v>0</v>
      </c>
      <c r="Q56" t="n">
        <v>1</v>
      </c>
      <c r="R56" s="2" t="inlineStr">
        <is>
          <t>Vedticka</t>
        </is>
      </c>
      <c r="S56">
        <f>HYPERLINK("https://klasma.github.io/Logging_2085/artfynd/A 33055-2023 artfynd.xlsx", "A 33055-2023")</f>
        <v/>
      </c>
      <c r="T56">
        <f>HYPERLINK("https://klasma.github.io/Logging_2085/kartor/A 33055-2023 karta.png", "A 33055-2023")</f>
        <v/>
      </c>
      <c r="V56">
        <f>HYPERLINK("https://klasma.github.io/Logging_2085/klagomål/A 33055-2023 FSC-klagomål.docx", "A 33055-2023")</f>
        <v/>
      </c>
      <c r="W56">
        <f>HYPERLINK("https://klasma.github.io/Logging_2085/klagomålsmail/A 33055-2023 FSC-klagomål mail.docx", "A 33055-2023")</f>
        <v/>
      </c>
      <c r="X56">
        <f>HYPERLINK("https://klasma.github.io/Logging_2085/tillsyn/A 33055-2023 tillsynsbegäran.docx", "A 33055-2023")</f>
        <v/>
      </c>
      <c r="Y56">
        <f>HYPERLINK("https://klasma.github.io/Logging_2085/tillsynsmail/A 33055-2023 tillsynsbegäran mail.docx", "A 33055-2023")</f>
        <v/>
      </c>
    </row>
    <row r="57" ht="15" customHeight="1">
      <c r="A57" t="inlineStr">
        <is>
          <t>A 34539-2023</t>
        </is>
      </c>
      <c r="B57" s="1" t="n">
        <v>45140</v>
      </c>
      <c r="C57" s="1" t="n">
        <v>45588</v>
      </c>
      <c r="D57" t="inlineStr">
        <is>
          <t>DALARNAS LÄN</t>
        </is>
      </c>
      <c r="E57" t="inlineStr">
        <is>
          <t>LUDVIKA</t>
        </is>
      </c>
      <c r="F57" t="inlineStr">
        <is>
          <t>Bergvik skog väst AB</t>
        </is>
      </c>
      <c r="G57" t="n">
        <v>6.1</v>
      </c>
      <c r="H57" t="n">
        <v>1</v>
      </c>
      <c r="I57" t="n">
        <v>0</v>
      </c>
      <c r="J57" t="n">
        <v>0</v>
      </c>
      <c r="K57" t="n">
        <v>0</v>
      </c>
      <c r="L57" t="n">
        <v>0</v>
      </c>
      <c r="M57" t="n">
        <v>0</v>
      </c>
      <c r="N57" t="n">
        <v>0</v>
      </c>
      <c r="O57" t="n">
        <v>0</v>
      </c>
      <c r="P57" t="n">
        <v>0</v>
      </c>
      <c r="Q57" t="n">
        <v>1</v>
      </c>
      <c r="R57" s="2" t="inlineStr">
        <is>
          <t>Gullviva</t>
        </is>
      </c>
      <c r="S57">
        <f>HYPERLINK("https://klasma.github.io/Logging_2085/artfynd/A 34539-2023 artfynd.xlsx", "A 34539-2023")</f>
        <v/>
      </c>
      <c r="T57">
        <f>HYPERLINK("https://klasma.github.io/Logging_2085/kartor/A 34539-2023 karta.png", "A 34539-2023")</f>
        <v/>
      </c>
      <c r="V57">
        <f>HYPERLINK("https://klasma.github.io/Logging_2085/klagomål/A 34539-2023 FSC-klagomål.docx", "A 34539-2023")</f>
        <v/>
      </c>
      <c r="W57">
        <f>HYPERLINK("https://klasma.github.io/Logging_2085/klagomålsmail/A 34539-2023 FSC-klagomål mail.docx", "A 34539-2023")</f>
        <v/>
      </c>
      <c r="X57">
        <f>HYPERLINK("https://klasma.github.io/Logging_2085/tillsyn/A 34539-2023 tillsynsbegäran.docx", "A 34539-2023")</f>
        <v/>
      </c>
      <c r="Y57">
        <f>HYPERLINK("https://klasma.github.io/Logging_2085/tillsynsmail/A 34539-2023 tillsynsbegäran mail.docx", "A 34539-2023")</f>
        <v/>
      </c>
    </row>
    <row r="58" ht="15" customHeight="1">
      <c r="A58" t="inlineStr">
        <is>
          <t>A 36559-2023</t>
        </is>
      </c>
      <c r="B58" s="1" t="n">
        <v>45153</v>
      </c>
      <c r="C58" s="1" t="n">
        <v>45588</v>
      </c>
      <c r="D58" t="inlineStr">
        <is>
          <t>DALARNAS LÄN</t>
        </is>
      </c>
      <c r="E58" t="inlineStr">
        <is>
          <t>LUDVIKA</t>
        </is>
      </c>
      <c r="F58" t="inlineStr">
        <is>
          <t>Bergvik skog väst AB</t>
        </is>
      </c>
      <c r="G58" t="n">
        <v>34.7</v>
      </c>
      <c r="H58" t="n">
        <v>0</v>
      </c>
      <c r="I58" t="n">
        <v>0</v>
      </c>
      <c r="J58" t="n">
        <v>1</v>
      </c>
      <c r="K58" t="n">
        <v>0</v>
      </c>
      <c r="L58" t="n">
        <v>0</v>
      </c>
      <c r="M58" t="n">
        <v>0</v>
      </c>
      <c r="N58" t="n">
        <v>0</v>
      </c>
      <c r="O58" t="n">
        <v>1</v>
      </c>
      <c r="P58" t="n">
        <v>0</v>
      </c>
      <c r="Q58" t="n">
        <v>1</v>
      </c>
      <c r="R58" s="2" t="inlineStr">
        <is>
          <t>Garnlav</t>
        </is>
      </c>
      <c r="S58">
        <f>HYPERLINK("https://klasma.github.io/Logging_2085/artfynd/A 36559-2023 artfynd.xlsx", "A 36559-2023")</f>
        <v/>
      </c>
      <c r="T58">
        <f>HYPERLINK("https://klasma.github.io/Logging_2085/kartor/A 36559-2023 karta.png", "A 36559-2023")</f>
        <v/>
      </c>
      <c r="V58">
        <f>HYPERLINK("https://klasma.github.io/Logging_2085/klagomål/A 36559-2023 FSC-klagomål.docx", "A 36559-2023")</f>
        <v/>
      </c>
      <c r="W58">
        <f>HYPERLINK("https://klasma.github.io/Logging_2085/klagomålsmail/A 36559-2023 FSC-klagomål mail.docx", "A 36559-2023")</f>
        <v/>
      </c>
      <c r="X58">
        <f>HYPERLINK("https://klasma.github.io/Logging_2085/tillsyn/A 36559-2023 tillsynsbegäran.docx", "A 36559-2023")</f>
        <v/>
      </c>
      <c r="Y58">
        <f>HYPERLINK("https://klasma.github.io/Logging_2085/tillsynsmail/A 36559-2023 tillsynsbegäran mail.docx", "A 36559-2023")</f>
        <v/>
      </c>
    </row>
    <row r="59" ht="15" customHeight="1">
      <c r="A59" t="inlineStr">
        <is>
          <t>A 42089-2023</t>
        </is>
      </c>
      <c r="B59" s="1" t="n">
        <v>45177</v>
      </c>
      <c r="C59" s="1" t="n">
        <v>45588</v>
      </c>
      <c r="D59" t="inlineStr">
        <is>
          <t>DALARNAS LÄN</t>
        </is>
      </c>
      <c r="E59" t="inlineStr">
        <is>
          <t>LUDVIKA</t>
        </is>
      </c>
      <c r="F59" t="inlineStr">
        <is>
          <t>Bergvik skog väst AB</t>
        </is>
      </c>
      <c r="G59" t="n">
        <v>2.5</v>
      </c>
      <c r="H59" t="n">
        <v>0</v>
      </c>
      <c r="I59" t="n">
        <v>0</v>
      </c>
      <c r="J59" t="n">
        <v>1</v>
      </c>
      <c r="K59" t="n">
        <v>0</v>
      </c>
      <c r="L59" t="n">
        <v>0</v>
      </c>
      <c r="M59" t="n">
        <v>0</v>
      </c>
      <c r="N59" t="n">
        <v>0</v>
      </c>
      <c r="O59" t="n">
        <v>1</v>
      </c>
      <c r="P59" t="n">
        <v>0</v>
      </c>
      <c r="Q59" t="n">
        <v>1</v>
      </c>
      <c r="R59" s="2" t="inlineStr">
        <is>
          <t>Ullticka</t>
        </is>
      </c>
      <c r="S59">
        <f>HYPERLINK("https://klasma.github.io/Logging_2085/artfynd/A 42089-2023 artfynd.xlsx", "A 42089-2023")</f>
        <v/>
      </c>
      <c r="T59">
        <f>HYPERLINK("https://klasma.github.io/Logging_2085/kartor/A 42089-2023 karta.png", "A 42089-2023")</f>
        <v/>
      </c>
      <c r="V59">
        <f>HYPERLINK("https://klasma.github.io/Logging_2085/klagomål/A 42089-2023 FSC-klagomål.docx", "A 42089-2023")</f>
        <v/>
      </c>
      <c r="W59">
        <f>HYPERLINK("https://klasma.github.io/Logging_2085/klagomålsmail/A 42089-2023 FSC-klagomål mail.docx", "A 42089-2023")</f>
        <v/>
      </c>
      <c r="X59">
        <f>HYPERLINK("https://klasma.github.io/Logging_2085/tillsyn/A 42089-2023 tillsynsbegäran.docx", "A 42089-2023")</f>
        <v/>
      </c>
      <c r="Y59">
        <f>HYPERLINK("https://klasma.github.io/Logging_2085/tillsynsmail/A 42089-2023 tillsynsbegäran mail.docx", "A 42089-2023")</f>
        <v/>
      </c>
    </row>
    <row r="60" ht="15" customHeight="1">
      <c r="A60" t="inlineStr">
        <is>
          <t>A 44578-2023</t>
        </is>
      </c>
      <c r="B60" s="1" t="n">
        <v>45189</v>
      </c>
      <c r="C60" s="1" t="n">
        <v>45588</v>
      </c>
      <c r="D60" t="inlineStr">
        <is>
          <t>DALARNAS LÄN</t>
        </is>
      </c>
      <c r="E60" t="inlineStr">
        <is>
          <t>LUDVIKA</t>
        </is>
      </c>
      <c r="F60" t="inlineStr">
        <is>
          <t>Övriga Aktiebolag</t>
        </is>
      </c>
      <c r="G60" t="n">
        <v>12</v>
      </c>
      <c r="H60" t="n">
        <v>0</v>
      </c>
      <c r="I60" t="n">
        <v>0</v>
      </c>
      <c r="J60" t="n">
        <v>1</v>
      </c>
      <c r="K60" t="n">
        <v>0</v>
      </c>
      <c r="L60" t="n">
        <v>0</v>
      </c>
      <c r="M60" t="n">
        <v>0</v>
      </c>
      <c r="N60" t="n">
        <v>0</v>
      </c>
      <c r="O60" t="n">
        <v>1</v>
      </c>
      <c r="P60" t="n">
        <v>0</v>
      </c>
      <c r="Q60" t="n">
        <v>1</v>
      </c>
      <c r="R60" s="2" t="inlineStr">
        <is>
          <t>Dofttaggsvamp</t>
        </is>
      </c>
      <c r="S60">
        <f>HYPERLINK("https://klasma.github.io/Logging_2085/artfynd/A 44578-2023 artfynd.xlsx", "A 44578-2023")</f>
        <v/>
      </c>
      <c r="T60">
        <f>HYPERLINK("https://klasma.github.io/Logging_2085/kartor/A 44578-2023 karta.png", "A 44578-2023")</f>
        <v/>
      </c>
      <c r="V60">
        <f>HYPERLINK("https://klasma.github.io/Logging_2085/klagomål/A 44578-2023 FSC-klagomål.docx", "A 44578-2023")</f>
        <v/>
      </c>
      <c r="W60">
        <f>HYPERLINK("https://klasma.github.io/Logging_2085/klagomålsmail/A 44578-2023 FSC-klagomål mail.docx", "A 44578-2023")</f>
        <v/>
      </c>
      <c r="X60">
        <f>HYPERLINK("https://klasma.github.io/Logging_2085/tillsyn/A 44578-2023 tillsynsbegäran.docx", "A 44578-2023")</f>
        <v/>
      </c>
      <c r="Y60">
        <f>HYPERLINK("https://klasma.github.io/Logging_2085/tillsynsmail/A 44578-2023 tillsynsbegäran mail.docx", "A 44578-2023")</f>
        <v/>
      </c>
    </row>
    <row r="61" ht="15" customHeight="1">
      <c r="A61" t="inlineStr">
        <is>
          <t>A 46398-2023</t>
        </is>
      </c>
      <c r="B61" s="1" t="n">
        <v>45197</v>
      </c>
      <c r="C61" s="1" t="n">
        <v>45588</v>
      </c>
      <c r="D61" t="inlineStr">
        <is>
          <t>DALARNAS LÄN</t>
        </is>
      </c>
      <c r="E61" t="inlineStr">
        <is>
          <t>LUDVIKA</t>
        </is>
      </c>
      <c r="G61" t="n">
        <v>2.1</v>
      </c>
      <c r="H61" t="n">
        <v>1</v>
      </c>
      <c r="I61" t="n">
        <v>0</v>
      </c>
      <c r="J61" t="n">
        <v>0</v>
      </c>
      <c r="K61" t="n">
        <v>1</v>
      </c>
      <c r="L61" t="n">
        <v>0</v>
      </c>
      <c r="M61" t="n">
        <v>0</v>
      </c>
      <c r="N61" t="n">
        <v>0</v>
      </c>
      <c r="O61" t="n">
        <v>1</v>
      </c>
      <c r="P61" t="n">
        <v>1</v>
      </c>
      <c r="Q61" t="n">
        <v>1</v>
      </c>
      <c r="R61" s="2" t="inlineStr">
        <is>
          <t>Knärot</t>
        </is>
      </c>
      <c r="S61">
        <f>HYPERLINK("https://klasma.github.io/Logging_2085/artfynd/A 46398-2023 artfynd.xlsx", "A 46398-2023")</f>
        <v/>
      </c>
      <c r="T61">
        <f>HYPERLINK("https://klasma.github.io/Logging_2085/kartor/A 46398-2023 karta.png", "A 46398-2023")</f>
        <v/>
      </c>
      <c r="U61">
        <f>HYPERLINK("https://klasma.github.io/Logging_2085/knärot/A 46398-2023 karta knärot.png", "A 46398-2023")</f>
        <v/>
      </c>
      <c r="V61">
        <f>HYPERLINK("https://klasma.github.io/Logging_2085/klagomål/A 46398-2023 FSC-klagomål.docx", "A 46398-2023")</f>
        <v/>
      </c>
      <c r="W61">
        <f>HYPERLINK("https://klasma.github.io/Logging_2085/klagomålsmail/A 46398-2023 FSC-klagomål mail.docx", "A 46398-2023")</f>
        <v/>
      </c>
      <c r="X61">
        <f>HYPERLINK("https://klasma.github.io/Logging_2085/tillsyn/A 46398-2023 tillsynsbegäran.docx", "A 46398-2023")</f>
        <v/>
      </c>
      <c r="Y61">
        <f>HYPERLINK("https://klasma.github.io/Logging_2085/tillsynsmail/A 46398-2023 tillsynsbegäran mail.docx", "A 46398-2023")</f>
        <v/>
      </c>
    </row>
    <row r="62" ht="15" customHeight="1">
      <c r="A62" t="inlineStr">
        <is>
          <t>A 48544-2023</t>
        </is>
      </c>
      <c r="B62" s="1" t="n">
        <v>45208</v>
      </c>
      <c r="C62" s="1" t="n">
        <v>45588</v>
      </c>
      <c r="D62" t="inlineStr">
        <is>
          <t>DALARNAS LÄN</t>
        </is>
      </c>
      <c r="E62" t="inlineStr">
        <is>
          <t>LUDVIKA</t>
        </is>
      </c>
      <c r="F62" t="inlineStr">
        <is>
          <t>Bergvik skog väst AB</t>
        </is>
      </c>
      <c r="G62" t="n">
        <v>0.9</v>
      </c>
      <c r="H62" t="n">
        <v>0</v>
      </c>
      <c r="I62" t="n">
        <v>0</v>
      </c>
      <c r="J62" t="n">
        <v>1</v>
      </c>
      <c r="K62" t="n">
        <v>0</v>
      </c>
      <c r="L62" t="n">
        <v>0</v>
      </c>
      <c r="M62" t="n">
        <v>0</v>
      </c>
      <c r="N62" t="n">
        <v>0</v>
      </c>
      <c r="O62" t="n">
        <v>1</v>
      </c>
      <c r="P62" t="n">
        <v>0</v>
      </c>
      <c r="Q62" t="n">
        <v>1</v>
      </c>
      <c r="R62" s="2" t="inlineStr">
        <is>
          <t>Garnlav</t>
        </is>
      </c>
      <c r="S62">
        <f>HYPERLINK("https://klasma.github.io/Logging_2085/artfynd/A 48544-2023 artfynd.xlsx", "A 48544-2023")</f>
        <v/>
      </c>
      <c r="T62">
        <f>HYPERLINK("https://klasma.github.io/Logging_2085/kartor/A 48544-2023 karta.png", "A 48544-2023")</f>
        <v/>
      </c>
      <c r="V62">
        <f>HYPERLINK("https://klasma.github.io/Logging_2085/klagomål/A 48544-2023 FSC-klagomål.docx", "A 48544-2023")</f>
        <v/>
      </c>
      <c r="W62">
        <f>HYPERLINK("https://klasma.github.io/Logging_2085/klagomålsmail/A 48544-2023 FSC-klagomål mail.docx", "A 48544-2023")</f>
        <v/>
      </c>
      <c r="X62">
        <f>HYPERLINK("https://klasma.github.io/Logging_2085/tillsyn/A 48544-2023 tillsynsbegäran.docx", "A 48544-2023")</f>
        <v/>
      </c>
      <c r="Y62">
        <f>HYPERLINK("https://klasma.github.io/Logging_2085/tillsynsmail/A 48544-2023 tillsynsbegäran mail.docx", "A 48544-2023")</f>
        <v/>
      </c>
    </row>
    <row r="63" ht="15" customHeight="1">
      <c r="A63" t="inlineStr">
        <is>
          <t>A 3809-2024</t>
        </is>
      </c>
      <c r="B63" s="1" t="n">
        <v>45321</v>
      </c>
      <c r="C63" s="1" t="n">
        <v>45588</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9998-2024</t>
        </is>
      </c>
      <c r="B64" s="1" t="n">
        <v>45363</v>
      </c>
      <c r="C64" s="1" t="n">
        <v>45588</v>
      </c>
      <c r="D64" t="inlineStr">
        <is>
          <t>DALARNAS LÄN</t>
        </is>
      </c>
      <c r="E64" t="inlineStr">
        <is>
          <t>LUDVIKA</t>
        </is>
      </c>
      <c r="G64" t="n">
        <v>8.199999999999999</v>
      </c>
      <c r="H64" t="n">
        <v>1</v>
      </c>
      <c r="I64" t="n">
        <v>0</v>
      </c>
      <c r="J64" t="n">
        <v>0</v>
      </c>
      <c r="K64" t="n">
        <v>0</v>
      </c>
      <c r="L64" t="n">
        <v>0</v>
      </c>
      <c r="M64" t="n">
        <v>0</v>
      </c>
      <c r="N64" t="n">
        <v>0</v>
      </c>
      <c r="O64" t="n">
        <v>0</v>
      </c>
      <c r="P64" t="n">
        <v>0</v>
      </c>
      <c r="Q64" t="n">
        <v>1</v>
      </c>
      <c r="R64" s="2" t="inlineStr">
        <is>
          <t>Tjäder</t>
        </is>
      </c>
      <c r="S64">
        <f>HYPERLINK("https://klasma.github.io/Logging_2085/artfynd/A 9998-2024 artfynd.xlsx", "A 9998-2024")</f>
        <v/>
      </c>
      <c r="T64">
        <f>HYPERLINK("https://klasma.github.io/Logging_2085/kartor/A 9998-2024 karta.png", "A 9998-2024")</f>
        <v/>
      </c>
      <c r="V64">
        <f>HYPERLINK("https://klasma.github.io/Logging_2085/klagomål/A 9998-2024 FSC-klagomål.docx", "A 9998-2024")</f>
        <v/>
      </c>
      <c r="W64">
        <f>HYPERLINK("https://klasma.github.io/Logging_2085/klagomålsmail/A 9998-2024 FSC-klagomål mail.docx", "A 9998-2024")</f>
        <v/>
      </c>
      <c r="X64">
        <f>HYPERLINK("https://klasma.github.io/Logging_2085/tillsyn/A 9998-2024 tillsynsbegäran.docx", "A 9998-2024")</f>
        <v/>
      </c>
      <c r="Y64">
        <f>HYPERLINK("https://klasma.github.io/Logging_2085/tillsynsmail/A 9998-2024 tillsynsbegäran mail.docx", "A 9998-2024")</f>
        <v/>
      </c>
      <c r="Z64">
        <f>HYPERLINK("https://klasma.github.io/Logging_2085/fåglar/A 9998-2024 prioriterade fågelarter.docx", "A 9998-2024")</f>
        <v/>
      </c>
    </row>
    <row r="65" ht="15" customHeight="1">
      <c r="A65" t="inlineStr">
        <is>
          <t>A 11705-2024</t>
        </is>
      </c>
      <c r="B65" s="1" t="n">
        <v>45373</v>
      </c>
      <c r="C65" s="1" t="n">
        <v>45588</v>
      </c>
      <c r="D65" t="inlineStr">
        <is>
          <t>DALARNAS LÄN</t>
        </is>
      </c>
      <c r="E65" t="inlineStr">
        <is>
          <t>LUDVIKA</t>
        </is>
      </c>
      <c r="G65" t="n">
        <v>35.4</v>
      </c>
      <c r="H65" t="n">
        <v>0</v>
      </c>
      <c r="I65" t="n">
        <v>0</v>
      </c>
      <c r="J65" t="n">
        <v>1</v>
      </c>
      <c r="K65" t="n">
        <v>0</v>
      </c>
      <c r="L65" t="n">
        <v>0</v>
      </c>
      <c r="M65" t="n">
        <v>0</v>
      </c>
      <c r="N65" t="n">
        <v>0</v>
      </c>
      <c r="O65" t="n">
        <v>1</v>
      </c>
      <c r="P65" t="n">
        <v>0</v>
      </c>
      <c r="Q65" t="n">
        <v>1</v>
      </c>
      <c r="R65" s="2" t="inlineStr">
        <is>
          <t>Brunpudrad nållav</t>
        </is>
      </c>
      <c r="S65">
        <f>HYPERLINK("https://klasma.github.io/Logging_2085/artfynd/A 11705-2024 artfynd.xlsx", "A 11705-2024")</f>
        <v/>
      </c>
      <c r="T65">
        <f>HYPERLINK("https://klasma.github.io/Logging_2085/kartor/A 11705-2024 karta.png", "A 11705-2024")</f>
        <v/>
      </c>
      <c r="V65">
        <f>HYPERLINK("https://klasma.github.io/Logging_2085/klagomål/A 11705-2024 FSC-klagomål.docx", "A 11705-2024")</f>
        <v/>
      </c>
      <c r="W65">
        <f>HYPERLINK("https://klasma.github.io/Logging_2085/klagomålsmail/A 11705-2024 FSC-klagomål mail.docx", "A 11705-2024")</f>
        <v/>
      </c>
      <c r="X65">
        <f>HYPERLINK("https://klasma.github.io/Logging_2085/tillsyn/A 11705-2024 tillsynsbegäran.docx", "A 11705-2024")</f>
        <v/>
      </c>
      <c r="Y65">
        <f>HYPERLINK("https://klasma.github.io/Logging_2085/tillsynsmail/A 11705-2024 tillsynsbegäran mail.docx", "A 11705-2024")</f>
        <v/>
      </c>
    </row>
    <row r="66" ht="15" customHeight="1">
      <c r="A66" t="inlineStr">
        <is>
          <t>A 29161-2024</t>
        </is>
      </c>
      <c r="B66" s="1" t="n">
        <v>45482</v>
      </c>
      <c r="C66" s="1" t="n">
        <v>45588</v>
      </c>
      <c r="D66" t="inlineStr">
        <is>
          <t>DALARNAS LÄN</t>
        </is>
      </c>
      <c r="E66" t="inlineStr">
        <is>
          <t>LUDVIKA</t>
        </is>
      </c>
      <c r="G66" t="n">
        <v>3.4</v>
      </c>
      <c r="H66" t="n">
        <v>0</v>
      </c>
      <c r="I66" t="n">
        <v>0</v>
      </c>
      <c r="J66" t="n">
        <v>1</v>
      </c>
      <c r="K66" t="n">
        <v>0</v>
      </c>
      <c r="L66" t="n">
        <v>0</v>
      </c>
      <c r="M66" t="n">
        <v>0</v>
      </c>
      <c r="N66" t="n">
        <v>0</v>
      </c>
      <c r="O66" t="n">
        <v>1</v>
      </c>
      <c r="P66" t="n">
        <v>0</v>
      </c>
      <c r="Q66" t="n">
        <v>1</v>
      </c>
      <c r="R66" s="2" t="inlineStr">
        <is>
          <t>Ullticka</t>
        </is>
      </c>
      <c r="S66">
        <f>HYPERLINK("https://klasma.github.io/Logging_2085/artfynd/A 29161-2024 artfynd.xlsx", "A 29161-2024")</f>
        <v/>
      </c>
      <c r="T66">
        <f>HYPERLINK("https://klasma.github.io/Logging_2085/kartor/A 29161-2024 karta.png", "A 29161-2024")</f>
        <v/>
      </c>
      <c r="V66">
        <f>HYPERLINK("https://klasma.github.io/Logging_2085/klagomål/A 29161-2024 FSC-klagomål.docx", "A 29161-2024")</f>
        <v/>
      </c>
      <c r="W66">
        <f>HYPERLINK("https://klasma.github.io/Logging_2085/klagomålsmail/A 29161-2024 FSC-klagomål mail.docx", "A 29161-2024")</f>
        <v/>
      </c>
      <c r="X66">
        <f>HYPERLINK("https://klasma.github.io/Logging_2085/tillsyn/A 29161-2024 tillsynsbegäran.docx", "A 29161-2024")</f>
        <v/>
      </c>
      <c r="Y66">
        <f>HYPERLINK("https://klasma.github.io/Logging_2085/tillsynsmail/A 29161-2024 tillsynsbegäran mail.docx", "A 29161-2024")</f>
        <v/>
      </c>
    </row>
    <row r="67" ht="15" customHeight="1">
      <c r="A67" t="inlineStr">
        <is>
          <t>A 31862-2024</t>
        </is>
      </c>
      <c r="B67" s="1" t="n">
        <v>45509</v>
      </c>
      <c r="C67" s="1" t="n">
        <v>45588</v>
      </c>
      <c r="D67" t="inlineStr">
        <is>
          <t>DALARNAS LÄN</t>
        </is>
      </c>
      <c r="E67" t="inlineStr">
        <is>
          <t>LUDVIKA</t>
        </is>
      </c>
      <c r="F67" t="inlineStr">
        <is>
          <t>Bergvik skog väst AB</t>
        </is>
      </c>
      <c r="G67" t="n">
        <v>7.4</v>
      </c>
      <c r="H67" t="n">
        <v>0</v>
      </c>
      <c r="I67" t="n">
        <v>0</v>
      </c>
      <c r="J67" t="n">
        <v>1</v>
      </c>
      <c r="K67" t="n">
        <v>0</v>
      </c>
      <c r="L67" t="n">
        <v>0</v>
      </c>
      <c r="M67" t="n">
        <v>0</v>
      </c>
      <c r="N67" t="n">
        <v>0</v>
      </c>
      <c r="O67" t="n">
        <v>1</v>
      </c>
      <c r="P67" t="n">
        <v>0</v>
      </c>
      <c r="Q67" t="n">
        <v>1</v>
      </c>
      <c r="R67" s="2" t="inlineStr">
        <is>
          <t>Gultoppig fingersvamp</t>
        </is>
      </c>
      <c r="S67">
        <f>HYPERLINK("https://klasma.github.io/Logging_2085/artfynd/A 31862-2024 artfynd.xlsx", "A 31862-2024")</f>
        <v/>
      </c>
      <c r="T67">
        <f>HYPERLINK("https://klasma.github.io/Logging_2085/kartor/A 31862-2024 karta.png", "A 31862-2024")</f>
        <v/>
      </c>
      <c r="V67">
        <f>HYPERLINK("https://klasma.github.io/Logging_2085/klagomål/A 31862-2024 FSC-klagomål.docx", "A 31862-2024")</f>
        <v/>
      </c>
      <c r="W67">
        <f>HYPERLINK("https://klasma.github.io/Logging_2085/klagomålsmail/A 31862-2024 FSC-klagomål mail.docx", "A 31862-2024")</f>
        <v/>
      </c>
      <c r="X67">
        <f>HYPERLINK("https://klasma.github.io/Logging_2085/tillsyn/A 31862-2024 tillsynsbegäran.docx", "A 31862-2024")</f>
        <v/>
      </c>
      <c r="Y67">
        <f>HYPERLINK("https://klasma.github.io/Logging_2085/tillsynsmail/A 31862-2024 tillsynsbegäran mail.docx", "A 31862-2024")</f>
        <v/>
      </c>
    </row>
    <row r="68" ht="15" customHeight="1">
      <c r="A68" t="inlineStr">
        <is>
          <t>A 33155-2024</t>
        </is>
      </c>
      <c r="B68" s="1" t="n">
        <v>45518</v>
      </c>
      <c r="C68" s="1" t="n">
        <v>45588</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34844-2024</t>
        </is>
      </c>
      <c r="B69" s="1" t="n">
        <v>45527</v>
      </c>
      <c r="C69" s="1" t="n">
        <v>45588</v>
      </c>
      <c r="D69" t="inlineStr">
        <is>
          <t>DALARNAS LÄN</t>
        </is>
      </c>
      <c r="E69" t="inlineStr">
        <is>
          <t>LUDVIKA</t>
        </is>
      </c>
      <c r="G69" t="n">
        <v>3.2</v>
      </c>
      <c r="H69" t="n">
        <v>1</v>
      </c>
      <c r="I69" t="n">
        <v>0</v>
      </c>
      <c r="J69" t="n">
        <v>0</v>
      </c>
      <c r="K69" t="n">
        <v>1</v>
      </c>
      <c r="L69" t="n">
        <v>0</v>
      </c>
      <c r="M69" t="n">
        <v>0</v>
      </c>
      <c r="N69" t="n">
        <v>0</v>
      </c>
      <c r="O69" t="n">
        <v>1</v>
      </c>
      <c r="P69" t="n">
        <v>1</v>
      </c>
      <c r="Q69" t="n">
        <v>1</v>
      </c>
      <c r="R69" s="2" t="inlineStr">
        <is>
          <t>Knärot</t>
        </is>
      </c>
      <c r="S69">
        <f>HYPERLINK("https://klasma.github.io/Logging_2085/artfynd/A 34844-2024 artfynd.xlsx", "A 34844-2024")</f>
        <v/>
      </c>
      <c r="T69">
        <f>HYPERLINK("https://klasma.github.io/Logging_2085/kartor/A 34844-2024 karta.png", "A 34844-2024")</f>
        <v/>
      </c>
      <c r="U69">
        <f>HYPERLINK("https://klasma.github.io/Logging_2085/knärot/A 34844-2024 karta knärot.png", "A 34844-2024")</f>
        <v/>
      </c>
      <c r="V69">
        <f>HYPERLINK("https://klasma.github.io/Logging_2085/klagomål/A 34844-2024 FSC-klagomål.docx", "A 34844-2024")</f>
        <v/>
      </c>
      <c r="W69">
        <f>HYPERLINK("https://klasma.github.io/Logging_2085/klagomålsmail/A 34844-2024 FSC-klagomål mail.docx", "A 34844-2024")</f>
        <v/>
      </c>
      <c r="X69">
        <f>HYPERLINK("https://klasma.github.io/Logging_2085/tillsyn/A 34844-2024 tillsynsbegäran.docx", "A 34844-2024")</f>
        <v/>
      </c>
      <c r="Y69">
        <f>HYPERLINK("https://klasma.github.io/Logging_2085/tillsynsmail/A 34844-2024 tillsynsbegäran mail.docx", "A 34844-2024")</f>
        <v/>
      </c>
    </row>
    <row r="70" ht="15" customHeight="1">
      <c r="A70" t="inlineStr">
        <is>
          <t>A 37639-2024</t>
        </is>
      </c>
      <c r="B70" s="1" t="n">
        <v>45541</v>
      </c>
      <c r="C70" s="1" t="n">
        <v>45588</v>
      </c>
      <c r="D70" t="inlineStr">
        <is>
          <t>DALARNAS LÄN</t>
        </is>
      </c>
      <c r="E70" t="inlineStr">
        <is>
          <t>LUDVIKA</t>
        </is>
      </c>
      <c r="F70" t="inlineStr">
        <is>
          <t>Bergvik skog väst AB</t>
        </is>
      </c>
      <c r="G70" t="n">
        <v>1.6</v>
      </c>
      <c r="H70" t="n">
        <v>0</v>
      </c>
      <c r="I70" t="n">
        <v>1</v>
      </c>
      <c r="J70" t="n">
        <v>0</v>
      </c>
      <c r="K70" t="n">
        <v>0</v>
      </c>
      <c r="L70" t="n">
        <v>0</v>
      </c>
      <c r="M70" t="n">
        <v>0</v>
      </c>
      <c r="N70" t="n">
        <v>0</v>
      </c>
      <c r="O70" t="n">
        <v>0</v>
      </c>
      <c r="P70" t="n">
        <v>0</v>
      </c>
      <c r="Q70" t="n">
        <v>1</v>
      </c>
      <c r="R70" s="2" t="inlineStr">
        <is>
          <t>Gulnål</t>
        </is>
      </c>
      <c r="S70">
        <f>HYPERLINK("https://klasma.github.io/Logging_2085/artfynd/A 37639-2024 artfynd.xlsx", "A 37639-2024")</f>
        <v/>
      </c>
      <c r="T70">
        <f>HYPERLINK("https://klasma.github.io/Logging_2085/kartor/A 37639-2024 karta.png", "A 37639-2024")</f>
        <v/>
      </c>
      <c r="V70">
        <f>HYPERLINK("https://klasma.github.io/Logging_2085/klagomål/A 37639-2024 FSC-klagomål.docx", "A 37639-2024")</f>
        <v/>
      </c>
      <c r="W70">
        <f>HYPERLINK("https://klasma.github.io/Logging_2085/klagomålsmail/A 37639-2024 FSC-klagomål mail.docx", "A 37639-2024")</f>
        <v/>
      </c>
      <c r="X70">
        <f>HYPERLINK("https://klasma.github.io/Logging_2085/tillsyn/A 37639-2024 tillsynsbegäran.docx", "A 37639-2024")</f>
        <v/>
      </c>
      <c r="Y70">
        <f>HYPERLINK("https://klasma.github.io/Logging_2085/tillsynsmail/A 37639-2024 tillsynsbegäran mail.docx", "A 37639-2024")</f>
        <v/>
      </c>
    </row>
    <row r="71" ht="15" customHeight="1">
      <c r="A71" t="inlineStr">
        <is>
          <t>A 43239-2024</t>
        </is>
      </c>
      <c r="B71" s="1" t="n">
        <v>45568</v>
      </c>
      <c r="C71" s="1" t="n">
        <v>45588</v>
      </c>
      <c r="D71" t="inlineStr">
        <is>
          <t>DALARNAS LÄN</t>
        </is>
      </c>
      <c r="E71" t="inlineStr">
        <is>
          <t>LUDVIKA</t>
        </is>
      </c>
      <c r="G71" t="n">
        <v>4</v>
      </c>
      <c r="H71" t="n">
        <v>1</v>
      </c>
      <c r="I71" t="n">
        <v>0</v>
      </c>
      <c r="J71" t="n">
        <v>0</v>
      </c>
      <c r="K71" t="n">
        <v>0</v>
      </c>
      <c r="L71" t="n">
        <v>0</v>
      </c>
      <c r="M71" t="n">
        <v>0</v>
      </c>
      <c r="N71" t="n">
        <v>0</v>
      </c>
      <c r="O71" t="n">
        <v>0</v>
      </c>
      <c r="P71" t="n">
        <v>0</v>
      </c>
      <c r="Q71" t="n">
        <v>1</v>
      </c>
      <c r="R71" s="2" t="inlineStr">
        <is>
          <t>Fläcknycklar</t>
        </is>
      </c>
      <c r="S71">
        <f>HYPERLINK("https://klasma.github.io/Logging_2085/artfynd/A 43239-2024 artfynd.xlsx", "A 43239-2024")</f>
        <v/>
      </c>
      <c r="T71">
        <f>HYPERLINK("https://klasma.github.io/Logging_2085/kartor/A 43239-2024 karta.png", "A 43239-2024")</f>
        <v/>
      </c>
      <c r="V71">
        <f>HYPERLINK("https://klasma.github.io/Logging_2085/klagomål/A 43239-2024 FSC-klagomål.docx", "A 43239-2024")</f>
        <v/>
      </c>
      <c r="W71">
        <f>HYPERLINK("https://klasma.github.io/Logging_2085/klagomålsmail/A 43239-2024 FSC-klagomål mail.docx", "A 43239-2024")</f>
        <v/>
      </c>
      <c r="X71">
        <f>HYPERLINK("https://klasma.github.io/Logging_2085/tillsyn/A 43239-2024 tillsynsbegäran.docx", "A 43239-2024")</f>
        <v/>
      </c>
      <c r="Y71">
        <f>HYPERLINK("https://klasma.github.io/Logging_2085/tillsynsmail/A 43239-2024 tillsynsbegäran mail.docx", "A 43239-2024")</f>
        <v/>
      </c>
    </row>
    <row r="72" ht="15" customHeight="1">
      <c r="A72" t="inlineStr">
        <is>
          <t>A 45225-2024</t>
        </is>
      </c>
      <c r="B72" s="1" t="n">
        <v>45575</v>
      </c>
      <c r="C72" s="1" t="n">
        <v>45588</v>
      </c>
      <c r="D72" t="inlineStr">
        <is>
          <t>DALARNAS LÄN</t>
        </is>
      </c>
      <c r="E72" t="inlineStr">
        <is>
          <t>LUDVIKA</t>
        </is>
      </c>
      <c r="G72" t="n">
        <v>1.1</v>
      </c>
      <c r="H72" t="n">
        <v>1</v>
      </c>
      <c r="I72" t="n">
        <v>0</v>
      </c>
      <c r="J72" t="n">
        <v>1</v>
      </c>
      <c r="K72" t="n">
        <v>0</v>
      </c>
      <c r="L72" t="n">
        <v>0</v>
      </c>
      <c r="M72" t="n">
        <v>0</v>
      </c>
      <c r="N72" t="n">
        <v>0</v>
      </c>
      <c r="O72" t="n">
        <v>1</v>
      </c>
      <c r="P72" t="n">
        <v>0</v>
      </c>
      <c r="Q72" t="n">
        <v>1</v>
      </c>
      <c r="R72" s="2" t="inlineStr">
        <is>
          <t>Ärtsångare</t>
        </is>
      </c>
      <c r="S72">
        <f>HYPERLINK("https://klasma.github.io/Logging_2085/artfynd/A 45225-2024 artfynd.xlsx", "A 45225-2024")</f>
        <v/>
      </c>
      <c r="T72">
        <f>HYPERLINK("https://klasma.github.io/Logging_2085/kartor/A 45225-2024 karta.png", "A 45225-2024")</f>
        <v/>
      </c>
      <c r="V72">
        <f>HYPERLINK("https://klasma.github.io/Logging_2085/klagomål/A 45225-2024 FSC-klagomål.docx", "A 45225-2024")</f>
        <v/>
      </c>
      <c r="W72">
        <f>HYPERLINK("https://klasma.github.io/Logging_2085/klagomålsmail/A 45225-2024 FSC-klagomål mail.docx", "A 45225-2024")</f>
        <v/>
      </c>
      <c r="X72">
        <f>HYPERLINK("https://klasma.github.io/Logging_2085/tillsyn/A 45225-2024 tillsynsbegäran.docx", "A 45225-2024")</f>
        <v/>
      </c>
      <c r="Y72">
        <f>HYPERLINK("https://klasma.github.io/Logging_2085/tillsynsmail/A 45225-2024 tillsynsbegäran mail.docx", "A 45225-2024")</f>
        <v/>
      </c>
      <c r="Z72">
        <f>HYPERLINK("https://klasma.github.io/Logging_2085/fåglar/A 45225-2024 prioriterade fågelarter.docx", "A 45225-2024")</f>
        <v/>
      </c>
    </row>
    <row r="73" ht="15" customHeight="1">
      <c r="A73" t="inlineStr">
        <is>
          <t>A 17947-2019</t>
        </is>
      </c>
      <c r="B73" s="1" t="n">
        <v>43557</v>
      </c>
      <c r="C73" s="1" t="n">
        <v>45588</v>
      </c>
      <c r="D73" t="inlineStr">
        <is>
          <t>DALARNAS LÄN</t>
        </is>
      </c>
      <c r="E73" t="inlineStr">
        <is>
          <t>LUDVIKA</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19571-2019</t>
        </is>
      </c>
      <c r="B74" s="1" t="n">
        <v>43566</v>
      </c>
      <c r="C74" s="1" t="n">
        <v>45588</v>
      </c>
      <c r="D74" t="inlineStr">
        <is>
          <t>DALARNAS LÄN</t>
        </is>
      </c>
      <c r="E74" t="inlineStr">
        <is>
          <t>LUDVIKA</t>
        </is>
      </c>
      <c r="G74" t="n">
        <v>3.7</v>
      </c>
      <c r="H74" t="n">
        <v>0</v>
      </c>
      <c r="I74" t="n">
        <v>0</v>
      </c>
      <c r="J74" t="n">
        <v>0</v>
      </c>
      <c r="K74" t="n">
        <v>0</v>
      </c>
      <c r="L74" t="n">
        <v>0</v>
      </c>
      <c r="M74" t="n">
        <v>0</v>
      </c>
      <c r="N74" t="n">
        <v>0</v>
      </c>
      <c r="O74" t="n">
        <v>0</v>
      </c>
      <c r="P74" t="n">
        <v>0</v>
      </c>
      <c r="Q74" t="n">
        <v>0</v>
      </c>
      <c r="R74" s="2" t="inlineStr"/>
    </row>
    <row r="75" ht="15" customHeight="1">
      <c r="A75" t="inlineStr">
        <is>
          <t>A 23351-2019</t>
        </is>
      </c>
      <c r="B75" s="1" t="n">
        <v>43593</v>
      </c>
      <c r="C75" s="1" t="n">
        <v>45588</v>
      </c>
      <c r="D75" t="inlineStr">
        <is>
          <t>DALARNAS LÄN</t>
        </is>
      </c>
      <c r="E75" t="inlineStr">
        <is>
          <t>LUDVIKA</t>
        </is>
      </c>
      <c r="G75" t="n">
        <v>3.3</v>
      </c>
      <c r="H75" t="n">
        <v>0</v>
      </c>
      <c r="I75" t="n">
        <v>0</v>
      </c>
      <c r="J75" t="n">
        <v>0</v>
      </c>
      <c r="K75" t="n">
        <v>0</v>
      </c>
      <c r="L75" t="n">
        <v>0</v>
      </c>
      <c r="M75" t="n">
        <v>0</v>
      </c>
      <c r="N75" t="n">
        <v>0</v>
      </c>
      <c r="O75" t="n">
        <v>0</v>
      </c>
      <c r="P75" t="n">
        <v>0</v>
      </c>
      <c r="Q75" t="n">
        <v>0</v>
      </c>
      <c r="R75" s="2" t="inlineStr"/>
    </row>
    <row r="76" ht="15" customHeight="1">
      <c r="A76" t="inlineStr">
        <is>
          <t>A 23487-2019</t>
        </is>
      </c>
      <c r="B76" s="1" t="n">
        <v>43594</v>
      </c>
      <c r="C76" s="1" t="n">
        <v>45588</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24629-2019</t>
        </is>
      </c>
      <c r="B77" s="1" t="n">
        <v>43601</v>
      </c>
      <c r="C77" s="1" t="n">
        <v>45588</v>
      </c>
      <c r="D77" t="inlineStr">
        <is>
          <t>DALARNAS LÄN</t>
        </is>
      </c>
      <c r="E77" t="inlineStr">
        <is>
          <t>LUDVIKA</t>
        </is>
      </c>
      <c r="G77" t="n">
        <v>3</v>
      </c>
      <c r="H77" t="n">
        <v>0</v>
      </c>
      <c r="I77" t="n">
        <v>0</v>
      </c>
      <c r="J77" t="n">
        <v>0</v>
      </c>
      <c r="K77" t="n">
        <v>0</v>
      </c>
      <c r="L77" t="n">
        <v>0</v>
      </c>
      <c r="M77" t="n">
        <v>0</v>
      </c>
      <c r="N77" t="n">
        <v>0</v>
      </c>
      <c r="O77" t="n">
        <v>0</v>
      </c>
      <c r="P77" t="n">
        <v>0</v>
      </c>
      <c r="Q77" t="n">
        <v>0</v>
      </c>
      <c r="R77" s="2" t="inlineStr"/>
    </row>
    <row r="78" ht="15" customHeight="1">
      <c r="A78" t="inlineStr">
        <is>
          <t>A 25116-2019</t>
        </is>
      </c>
      <c r="B78" s="1" t="n">
        <v>43605</v>
      </c>
      <c r="C78" s="1" t="n">
        <v>45588</v>
      </c>
      <c r="D78" t="inlineStr">
        <is>
          <t>DALARNAS LÄN</t>
        </is>
      </c>
      <c r="E78" t="inlineStr">
        <is>
          <t>LUDVIKA</t>
        </is>
      </c>
      <c r="G78" t="n">
        <v>3</v>
      </c>
      <c r="H78" t="n">
        <v>0</v>
      </c>
      <c r="I78" t="n">
        <v>0</v>
      </c>
      <c r="J78" t="n">
        <v>0</v>
      </c>
      <c r="K78" t="n">
        <v>0</v>
      </c>
      <c r="L78" t="n">
        <v>0</v>
      </c>
      <c r="M78" t="n">
        <v>0</v>
      </c>
      <c r="N78" t="n">
        <v>0</v>
      </c>
      <c r="O78" t="n">
        <v>0</v>
      </c>
      <c r="P78" t="n">
        <v>0</v>
      </c>
      <c r="Q78" t="n">
        <v>0</v>
      </c>
      <c r="R78" s="2" t="inlineStr"/>
    </row>
    <row r="79" ht="15" customHeight="1">
      <c r="A79" t="inlineStr">
        <is>
          <t>A 27005-2019</t>
        </is>
      </c>
      <c r="B79" s="1" t="n">
        <v>43614</v>
      </c>
      <c r="C79" s="1" t="n">
        <v>45588</v>
      </c>
      <c r="D79" t="inlineStr">
        <is>
          <t>DALARNAS LÄN</t>
        </is>
      </c>
      <c r="E79" t="inlineStr">
        <is>
          <t>LUDVIKA</t>
        </is>
      </c>
      <c r="F79" t="inlineStr">
        <is>
          <t>Bergvik skog väst AB</t>
        </is>
      </c>
      <c r="G79" t="n">
        <v>22.4</v>
      </c>
      <c r="H79" t="n">
        <v>0</v>
      </c>
      <c r="I79" t="n">
        <v>0</v>
      </c>
      <c r="J79" t="n">
        <v>0</v>
      </c>
      <c r="K79" t="n">
        <v>0</v>
      </c>
      <c r="L79" t="n">
        <v>0</v>
      </c>
      <c r="M79" t="n">
        <v>0</v>
      </c>
      <c r="N79" t="n">
        <v>0</v>
      </c>
      <c r="O79" t="n">
        <v>0</v>
      </c>
      <c r="P79" t="n">
        <v>0</v>
      </c>
      <c r="Q79" t="n">
        <v>0</v>
      </c>
      <c r="R79" s="2" t="inlineStr"/>
    </row>
    <row r="80" ht="15" customHeight="1">
      <c r="A80" t="inlineStr">
        <is>
          <t>A 29027-2019</t>
        </is>
      </c>
      <c r="B80" s="1" t="n">
        <v>43628</v>
      </c>
      <c r="C80" s="1" t="n">
        <v>45588</v>
      </c>
      <c r="D80" t="inlineStr">
        <is>
          <t>DALARNAS LÄN</t>
        </is>
      </c>
      <c r="E80" t="inlineStr">
        <is>
          <t>LUDVIKA</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30233-2019</t>
        </is>
      </c>
      <c r="B81" s="1" t="n">
        <v>43630</v>
      </c>
      <c r="C81" s="1" t="n">
        <v>45588</v>
      </c>
      <c r="D81" t="inlineStr">
        <is>
          <t>DALARNAS LÄN</t>
        </is>
      </c>
      <c r="E81" t="inlineStr">
        <is>
          <t>LUDVIKA</t>
        </is>
      </c>
      <c r="G81" t="n">
        <v>0.3</v>
      </c>
      <c r="H81" t="n">
        <v>0</v>
      </c>
      <c r="I81" t="n">
        <v>0</v>
      </c>
      <c r="J81" t="n">
        <v>0</v>
      </c>
      <c r="K81" t="n">
        <v>0</v>
      </c>
      <c r="L81" t="n">
        <v>0</v>
      </c>
      <c r="M81" t="n">
        <v>0</v>
      </c>
      <c r="N81" t="n">
        <v>0</v>
      </c>
      <c r="O81" t="n">
        <v>0</v>
      </c>
      <c r="P81" t="n">
        <v>0</v>
      </c>
      <c r="Q81" t="n">
        <v>0</v>
      </c>
      <c r="R81" s="2" t="inlineStr"/>
    </row>
    <row r="82" ht="15" customHeight="1">
      <c r="A82" t="inlineStr">
        <is>
          <t>A 30102-2019</t>
        </is>
      </c>
      <c r="B82" s="1" t="n">
        <v>43630</v>
      </c>
      <c r="C82" s="1" t="n">
        <v>45588</v>
      </c>
      <c r="D82" t="inlineStr">
        <is>
          <t>DALARNAS LÄN</t>
        </is>
      </c>
      <c r="E82" t="inlineStr">
        <is>
          <t>LUDVIKA</t>
        </is>
      </c>
      <c r="G82" t="n">
        <v>2.3</v>
      </c>
      <c r="H82" t="n">
        <v>0</v>
      </c>
      <c r="I82" t="n">
        <v>0</v>
      </c>
      <c r="J82" t="n">
        <v>0</v>
      </c>
      <c r="K82" t="n">
        <v>0</v>
      </c>
      <c r="L82" t="n">
        <v>0</v>
      </c>
      <c r="M82" t="n">
        <v>0</v>
      </c>
      <c r="N82" t="n">
        <v>0</v>
      </c>
      <c r="O82" t="n">
        <v>0</v>
      </c>
      <c r="P82" t="n">
        <v>0</v>
      </c>
      <c r="Q82" t="n">
        <v>0</v>
      </c>
      <c r="R82" s="2" t="inlineStr"/>
    </row>
    <row r="83" ht="15" customHeight="1">
      <c r="A83" t="inlineStr">
        <is>
          <t>A 30121-2019</t>
        </is>
      </c>
      <c r="B83" s="1" t="n">
        <v>43630</v>
      </c>
      <c r="C83" s="1" t="n">
        <v>45588</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30040-2019</t>
        </is>
      </c>
      <c r="B84" s="1" t="n">
        <v>43633</v>
      </c>
      <c r="C84" s="1" t="n">
        <v>45588</v>
      </c>
      <c r="D84" t="inlineStr">
        <is>
          <t>DALARNAS LÄN</t>
        </is>
      </c>
      <c r="E84" t="inlineStr">
        <is>
          <t>LUDVIKA</t>
        </is>
      </c>
      <c r="G84" t="n">
        <v>8.800000000000001</v>
      </c>
      <c r="H84" t="n">
        <v>0</v>
      </c>
      <c r="I84" t="n">
        <v>0</v>
      </c>
      <c r="J84" t="n">
        <v>0</v>
      </c>
      <c r="K84" t="n">
        <v>0</v>
      </c>
      <c r="L84" t="n">
        <v>0</v>
      </c>
      <c r="M84" t="n">
        <v>0</v>
      </c>
      <c r="N84" t="n">
        <v>0</v>
      </c>
      <c r="O84" t="n">
        <v>0</v>
      </c>
      <c r="P84" t="n">
        <v>0</v>
      </c>
      <c r="Q84" t="n">
        <v>0</v>
      </c>
      <c r="R84" s="2" t="inlineStr"/>
    </row>
    <row r="85" ht="15" customHeight="1">
      <c r="A85" t="inlineStr">
        <is>
          <t>A 30887-2019</t>
        </is>
      </c>
      <c r="B85" s="1" t="n">
        <v>43636</v>
      </c>
      <c r="C85" s="1" t="n">
        <v>45588</v>
      </c>
      <c r="D85" t="inlineStr">
        <is>
          <t>DALARNAS LÄN</t>
        </is>
      </c>
      <c r="E85" t="inlineStr">
        <is>
          <t>LUDVIKA</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33194-2019</t>
        </is>
      </c>
      <c r="B86" s="1" t="n">
        <v>43649</v>
      </c>
      <c r="C86" s="1" t="n">
        <v>45588</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34472-2019</t>
        </is>
      </c>
      <c r="B87" s="1" t="n">
        <v>43656</v>
      </c>
      <c r="C87" s="1" t="n">
        <v>45588</v>
      </c>
      <c r="D87" t="inlineStr">
        <is>
          <t>DALARNAS LÄN</t>
        </is>
      </c>
      <c r="E87" t="inlineStr">
        <is>
          <t>LUDVIKA</t>
        </is>
      </c>
      <c r="G87" t="n">
        <v>1.2</v>
      </c>
      <c r="H87" t="n">
        <v>0</v>
      </c>
      <c r="I87" t="n">
        <v>0</v>
      </c>
      <c r="J87" t="n">
        <v>0</v>
      </c>
      <c r="K87" t="n">
        <v>0</v>
      </c>
      <c r="L87" t="n">
        <v>0</v>
      </c>
      <c r="M87" t="n">
        <v>0</v>
      </c>
      <c r="N87" t="n">
        <v>0</v>
      </c>
      <c r="O87" t="n">
        <v>0</v>
      </c>
      <c r="P87" t="n">
        <v>0</v>
      </c>
      <c r="Q87" t="n">
        <v>0</v>
      </c>
      <c r="R87" s="2" t="inlineStr"/>
    </row>
    <row r="88" ht="15" customHeight="1">
      <c r="A88" t="inlineStr">
        <is>
          <t>A 35230-2019</t>
        </is>
      </c>
      <c r="B88" s="1" t="n">
        <v>43662</v>
      </c>
      <c r="C88" s="1" t="n">
        <v>45588</v>
      </c>
      <c r="D88" t="inlineStr">
        <is>
          <t>DALARNAS LÄN</t>
        </is>
      </c>
      <c r="E88" t="inlineStr">
        <is>
          <t>LUDVIKA</t>
        </is>
      </c>
      <c r="G88" t="n">
        <v>0.4</v>
      </c>
      <c r="H88" t="n">
        <v>0</v>
      </c>
      <c r="I88" t="n">
        <v>0</v>
      </c>
      <c r="J88" t="n">
        <v>0</v>
      </c>
      <c r="K88" t="n">
        <v>0</v>
      </c>
      <c r="L88" t="n">
        <v>0</v>
      </c>
      <c r="M88" t="n">
        <v>0</v>
      </c>
      <c r="N88" t="n">
        <v>0</v>
      </c>
      <c r="O88" t="n">
        <v>0</v>
      </c>
      <c r="P88" t="n">
        <v>0</v>
      </c>
      <c r="Q88" t="n">
        <v>0</v>
      </c>
      <c r="R88" s="2" t="inlineStr"/>
    </row>
    <row r="89" ht="15" customHeight="1">
      <c r="A89" t="inlineStr">
        <is>
          <t>A 35634-2019</t>
        </is>
      </c>
      <c r="B89" s="1" t="n">
        <v>43664</v>
      </c>
      <c r="C89" s="1" t="n">
        <v>45588</v>
      </c>
      <c r="D89" t="inlineStr">
        <is>
          <t>DALARNAS LÄN</t>
        </is>
      </c>
      <c r="E89" t="inlineStr">
        <is>
          <t>LUDVIKA</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37612-2019</t>
        </is>
      </c>
      <c r="B90" s="1" t="n">
        <v>43681</v>
      </c>
      <c r="C90" s="1" t="n">
        <v>45588</v>
      </c>
      <c r="D90" t="inlineStr">
        <is>
          <t>DALARNAS LÄN</t>
        </is>
      </c>
      <c r="E90" t="inlineStr">
        <is>
          <t>LUDVIKA</t>
        </is>
      </c>
      <c r="G90" t="n">
        <v>2.7</v>
      </c>
      <c r="H90" t="n">
        <v>0</v>
      </c>
      <c r="I90" t="n">
        <v>0</v>
      </c>
      <c r="J90" t="n">
        <v>0</v>
      </c>
      <c r="K90" t="n">
        <v>0</v>
      </c>
      <c r="L90" t="n">
        <v>0</v>
      </c>
      <c r="M90" t="n">
        <v>0</v>
      </c>
      <c r="N90" t="n">
        <v>0</v>
      </c>
      <c r="O90" t="n">
        <v>0</v>
      </c>
      <c r="P90" t="n">
        <v>0</v>
      </c>
      <c r="Q90" t="n">
        <v>0</v>
      </c>
      <c r="R90" s="2" t="inlineStr"/>
    </row>
    <row r="91" ht="15" customHeight="1">
      <c r="A91" t="inlineStr">
        <is>
          <t>A 40358-2019</t>
        </is>
      </c>
      <c r="B91" s="1" t="n">
        <v>43696</v>
      </c>
      <c r="C91" s="1" t="n">
        <v>45588</v>
      </c>
      <c r="D91" t="inlineStr">
        <is>
          <t>DALARNAS LÄN</t>
        </is>
      </c>
      <c r="E91" t="inlineStr">
        <is>
          <t>LUDVIKA</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41395-2019</t>
        </is>
      </c>
      <c r="B92" s="1" t="n">
        <v>43698</v>
      </c>
      <c r="C92" s="1" t="n">
        <v>45588</v>
      </c>
      <c r="D92" t="inlineStr">
        <is>
          <t>DALARNAS LÄN</t>
        </is>
      </c>
      <c r="E92" t="inlineStr">
        <is>
          <t>LUDVIKA</t>
        </is>
      </c>
      <c r="G92" t="n">
        <v>1</v>
      </c>
      <c r="H92" t="n">
        <v>0</v>
      </c>
      <c r="I92" t="n">
        <v>0</v>
      </c>
      <c r="J92" t="n">
        <v>0</v>
      </c>
      <c r="K92" t="n">
        <v>0</v>
      </c>
      <c r="L92" t="n">
        <v>0</v>
      </c>
      <c r="M92" t="n">
        <v>0</v>
      </c>
      <c r="N92" t="n">
        <v>0</v>
      </c>
      <c r="O92" t="n">
        <v>0</v>
      </c>
      <c r="P92" t="n">
        <v>0</v>
      </c>
      <c r="Q92" t="n">
        <v>0</v>
      </c>
      <c r="R92" s="2" t="inlineStr"/>
    </row>
    <row r="93" ht="15" customHeight="1">
      <c r="A93" t="inlineStr">
        <is>
          <t>A 42849-2019</t>
        </is>
      </c>
      <c r="B93" s="1" t="n">
        <v>43700</v>
      </c>
      <c r="C93" s="1" t="n">
        <v>45588</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43074-2019</t>
        </is>
      </c>
      <c r="B94" s="1" t="n">
        <v>43705</v>
      </c>
      <c r="C94" s="1" t="n">
        <v>45588</v>
      </c>
      <c r="D94" t="inlineStr">
        <is>
          <t>DALARNAS LÄN</t>
        </is>
      </c>
      <c r="E94" t="inlineStr">
        <is>
          <t>LUDVIKA</t>
        </is>
      </c>
      <c r="F94" t="inlineStr">
        <is>
          <t>Bergvik skog väst AB</t>
        </is>
      </c>
      <c r="G94" t="n">
        <v>3.2</v>
      </c>
      <c r="H94" t="n">
        <v>0</v>
      </c>
      <c r="I94" t="n">
        <v>0</v>
      </c>
      <c r="J94" t="n">
        <v>0</v>
      </c>
      <c r="K94" t="n">
        <v>0</v>
      </c>
      <c r="L94" t="n">
        <v>0</v>
      </c>
      <c r="M94" t="n">
        <v>0</v>
      </c>
      <c r="N94" t="n">
        <v>0</v>
      </c>
      <c r="O94" t="n">
        <v>0</v>
      </c>
      <c r="P94" t="n">
        <v>0</v>
      </c>
      <c r="Q94" t="n">
        <v>0</v>
      </c>
      <c r="R94" s="2" t="inlineStr"/>
    </row>
    <row r="95" ht="15" customHeight="1">
      <c r="A95" t="inlineStr">
        <is>
          <t>A 45480-2019</t>
        </is>
      </c>
      <c r="B95" s="1" t="n">
        <v>43714</v>
      </c>
      <c r="C95" s="1" t="n">
        <v>45588</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47012-2019</t>
        </is>
      </c>
      <c r="B96" s="1" t="n">
        <v>43720</v>
      </c>
      <c r="C96" s="1" t="n">
        <v>45588</v>
      </c>
      <c r="D96" t="inlineStr">
        <is>
          <t>DALARNAS LÄN</t>
        </is>
      </c>
      <c r="E96" t="inlineStr">
        <is>
          <t>LUDVIKA</t>
        </is>
      </c>
      <c r="F96" t="inlineStr">
        <is>
          <t>Kyrkan</t>
        </is>
      </c>
      <c r="G96" t="n">
        <v>2</v>
      </c>
      <c r="H96" t="n">
        <v>0</v>
      </c>
      <c r="I96" t="n">
        <v>0</v>
      </c>
      <c r="J96" t="n">
        <v>0</v>
      </c>
      <c r="K96" t="n">
        <v>0</v>
      </c>
      <c r="L96" t="n">
        <v>0</v>
      </c>
      <c r="M96" t="n">
        <v>0</v>
      </c>
      <c r="N96" t="n">
        <v>0</v>
      </c>
      <c r="O96" t="n">
        <v>0</v>
      </c>
      <c r="P96" t="n">
        <v>0</v>
      </c>
      <c r="Q96" t="n">
        <v>0</v>
      </c>
      <c r="R96" s="2" t="inlineStr"/>
    </row>
    <row r="97" ht="15" customHeight="1">
      <c r="A97" t="inlineStr">
        <is>
          <t>A 49329-2019</t>
        </is>
      </c>
      <c r="B97" s="1" t="n">
        <v>43731</v>
      </c>
      <c r="C97" s="1" t="n">
        <v>45588</v>
      </c>
      <c r="D97" t="inlineStr">
        <is>
          <t>DALARNAS LÄN</t>
        </is>
      </c>
      <c r="E97" t="inlineStr">
        <is>
          <t>LUDVIKA</t>
        </is>
      </c>
      <c r="G97" t="n">
        <v>1.2</v>
      </c>
      <c r="H97" t="n">
        <v>0</v>
      </c>
      <c r="I97" t="n">
        <v>0</v>
      </c>
      <c r="J97" t="n">
        <v>0</v>
      </c>
      <c r="K97" t="n">
        <v>0</v>
      </c>
      <c r="L97" t="n">
        <v>0</v>
      </c>
      <c r="M97" t="n">
        <v>0</v>
      </c>
      <c r="N97" t="n">
        <v>0</v>
      </c>
      <c r="O97" t="n">
        <v>0</v>
      </c>
      <c r="P97" t="n">
        <v>0</v>
      </c>
      <c r="Q97" t="n">
        <v>0</v>
      </c>
      <c r="R97" s="2" t="inlineStr"/>
    </row>
    <row r="98" ht="15" customHeight="1">
      <c r="A98" t="inlineStr">
        <is>
          <t>A 49699-2019</t>
        </is>
      </c>
      <c r="B98" s="1" t="n">
        <v>43733</v>
      </c>
      <c r="C98" s="1" t="n">
        <v>45588</v>
      </c>
      <c r="D98" t="inlineStr">
        <is>
          <t>DALARNAS LÄN</t>
        </is>
      </c>
      <c r="E98" t="inlineStr">
        <is>
          <t>LUDVIKA</t>
        </is>
      </c>
      <c r="G98" t="n">
        <v>2.1</v>
      </c>
      <c r="H98" t="n">
        <v>0</v>
      </c>
      <c r="I98" t="n">
        <v>0</v>
      </c>
      <c r="J98" t="n">
        <v>0</v>
      </c>
      <c r="K98" t="n">
        <v>0</v>
      </c>
      <c r="L98" t="n">
        <v>0</v>
      </c>
      <c r="M98" t="n">
        <v>0</v>
      </c>
      <c r="N98" t="n">
        <v>0</v>
      </c>
      <c r="O98" t="n">
        <v>0</v>
      </c>
      <c r="P98" t="n">
        <v>0</v>
      </c>
      <c r="Q98" t="n">
        <v>0</v>
      </c>
      <c r="R98" s="2" t="inlineStr"/>
    </row>
    <row r="99" ht="15" customHeight="1">
      <c r="A99" t="inlineStr">
        <is>
          <t>A 50024-2019</t>
        </is>
      </c>
      <c r="B99" s="1" t="n">
        <v>43734</v>
      </c>
      <c r="C99" s="1" t="n">
        <v>45588</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53038-2019</t>
        </is>
      </c>
      <c r="B100" s="1" t="n">
        <v>43747</v>
      </c>
      <c r="C100" s="1" t="n">
        <v>45588</v>
      </c>
      <c r="D100" t="inlineStr">
        <is>
          <t>DALARNAS LÄN</t>
        </is>
      </c>
      <c r="E100" t="inlineStr">
        <is>
          <t>LUDVIKA</t>
        </is>
      </c>
      <c r="G100" t="n">
        <v>10.6</v>
      </c>
      <c r="H100" t="n">
        <v>0</v>
      </c>
      <c r="I100" t="n">
        <v>0</v>
      </c>
      <c r="J100" t="n">
        <v>0</v>
      </c>
      <c r="K100" t="n">
        <v>0</v>
      </c>
      <c r="L100" t="n">
        <v>0</v>
      </c>
      <c r="M100" t="n">
        <v>0</v>
      </c>
      <c r="N100" t="n">
        <v>0</v>
      </c>
      <c r="O100" t="n">
        <v>0</v>
      </c>
      <c r="P100" t="n">
        <v>0</v>
      </c>
      <c r="Q100" t="n">
        <v>0</v>
      </c>
      <c r="R100" s="2" t="inlineStr"/>
    </row>
    <row r="101" ht="15" customHeight="1">
      <c r="A101" t="inlineStr">
        <is>
          <t>A 59304-2019</t>
        </is>
      </c>
      <c r="B101" s="1" t="n">
        <v>43770</v>
      </c>
      <c r="C101" s="1" t="n">
        <v>45588</v>
      </c>
      <c r="D101" t="inlineStr">
        <is>
          <t>DALARNAS LÄN</t>
        </is>
      </c>
      <c r="E101" t="inlineStr">
        <is>
          <t>LUDVIKA</t>
        </is>
      </c>
      <c r="G101" t="n">
        <v>3.2</v>
      </c>
      <c r="H101" t="n">
        <v>0</v>
      </c>
      <c r="I101" t="n">
        <v>0</v>
      </c>
      <c r="J101" t="n">
        <v>0</v>
      </c>
      <c r="K101" t="n">
        <v>0</v>
      </c>
      <c r="L101" t="n">
        <v>0</v>
      </c>
      <c r="M101" t="n">
        <v>0</v>
      </c>
      <c r="N101" t="n">
        <v>0</v>
      </c>
      <c r="O101" t="n">
        <v>0</v>
      </c>
      <c r="P101" t="n">
        <v>0</v>
      </c>
      <c r="Q101" t="n">
        <v>0</v>
      </c>
      <c r="R101" s="2" t="inlineStr"/>
    </row>
    <row r="102" ht="15" customHeight="1">
      <c r="A102" t="inlineStr">
        <is>
          <t>A 60221-2019</t>
        </is>
      </c>
      <c r="B102" s="1" t="n">
        <v>43780</v>
      </c>
      <c r="C102" s="1" t="n">
        <v>45588</v>
      </c>
      <c r="D102" t="inlineStr">
        <is>
          <t>DALARNAS LÄN</t>
        </is>
      </c>
      <c r="E102" t="inlineStr">
        <is>
          <t>LUDVIKA</t>
        </is>
      </c>
      <c r="G102" t="n">
        <v>3.4</v>
      </c>
      <c r="H102" t="n">
        <v>0</v>
      </c>
      <c r="I102" t="n">
        <v>0</v>
      </c>
      <c r="J102" t="n">
        <v>0</v>
      </c>
      <c r="K102" t="n">
        <v>0</v>
      </c>
      <c r="L102" t="n">
        <v>0</v>
      </c>
      <c r="M102" t="n">
        <v>0</v>
      </c>
      <c r="N102" t="n">
        <v>0</v>
      </c>
      <c r="O102" t="n">
        <v>0</v>
      </c>
      <c r="P102" t="n">
        <v>0</v>
      </c>
      <c r="Q102" t="n">
        <v>0</v>
      </c>
      <c r="R102" s="2" t="inlineStr"/>
    </row>
    <row r="103" ht="15" customHeight="1">
      <c r="A103" t="inlineStr">
        <is>
          <t>A 61027-2019</t>
        </is>
      </c>
      <c r="B103" s="1" t="n">
        <v>43782</v>
      </c>
      <c r="C103" s="1" t="n">
        <v>45588</v>
      </c>
      <c r="D103" t="inlineStr">
        <is>
          <t>DALARNAS LÄN</t>
        </is>
      </c>
      <c r="E103" t="inlineStr">
        <is>
          <t>LUDVIKA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62356-2019</t>
        </is>
      </c>
      <c r="B104" s="1" t="n">
        <v>43788</v>
      </c>
      <c r="C104" s="1" t="n">
        <v>45588</v>
      </c>
      <c r="D104" t="inlineStr">
        <is>
          <t>DALARNAS LÄN</t>
        </is>
      </c>
      <c r="E104" t="inlineStr">
        <is>
          <t>LUDVIKA</t>
        </is>
      </c>
      <c r="F104" t="inlineStr">
        <is>
          <t>Bergvik skog väst AB</t>
        </is>
      </c>
      <c r="G104" t="n">
        <v>2.8</v>
      </c>
      <c r="H104" t="n">
        <v>0</v>
      </c>
      <c r="I104" t="n">
        <v>0</v>
      </c>
      <c r="J104" t="n">
        <v>0</v>
      </c>
      <c r="K104" t="n">
        <v>0</v>
      </c>
      <c r="L104" t="n">
        <v>0</v>
      </c>
      <c r="M104" t="n">
        <v>0</v>
      </c>
      <c r="N104" t="n">
        <v>0</v>
      </c>
      <c r="O104" t="n">
        <v>0</v>
      </c>
      <c r="P104" t="n">
        <v>0</v>
      </c>
      <c r="Q104" t="n">
        <v>0</v>
      </c>
      <c r="R104" s="2" t="inlineStr"/>
    </row>
    <row r="105" ht="15" customHeight="1">
      <c r="A105" t="inlineStr">
        <is>
          <t>A 63149-2019</t>
        </is>
      </c>
      <c r="B105" s="1" t="n">
        <v>43791</v>
      </c>
      <c r="C105" s="1" t="n">
        <v>45588</v>
      </c>
      <c r="D105" t="inlineStr">
        <is>
          <t>DALARNAS LÄN</t>
        </is>
      </c>
      <c r="E105" t="inlineStr">
        <is>
          <t>LUDVIKA</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64300-2019</t>
        </is>
      </c>
      <c r="B106" s="1" t="n">
        <v>43797</v>
      </c>
      <c r="C106" s="1" t="n">
        <v>45588</v>
      </c>
      <c r="D106" t="inlineStr">
        <is>
          <t>DALARNAS LÄN</t>
        </is>
      </c>
      <c r="E106" t="inlineStr">
        <is>
          <t>LUDVIKA</t>
        </is>
      </c>
      <c r="G106" t="n">
        <v>7.2</v>
      </c>
      <c r="H106" t="n">
        <v>0</v>
      </c>
      <c r="I106" t="n">
        <v>0</v>
      </c>
      <c r="J106" t="n">
        <v>0</v>
      </c>
      <c r="K106" t="n">
        <v>0</v>
      </c>
      <c r="L106" t="n">
        <v>0</v>
      </c>
      <c r="M106" t="n">
        <v>0</v>
      </c>
      <c r="N106" t="n">
        <v>0</v>
      </c>
      <c r="O106" t="n">
        <v>0</v>
      </c>
      <c r="P106" t="n">
        <v>0</v>
      </c>
      <c r="Q106" t="n">
        <v>0</v>
      </c>
      <c r="R106" s="2" t="inlineStr"/>
    </row>
    <row r="107" ht="15" customHeight="1">
      <c r="A107" t="inlineStr">
        <is>
          <t>A 64583-2019</t>
        </is>
      </c>
      <c r="B107" s="1" t="n">
        <v>43798</v>
      </c>
      <c r="C107" s="1" t="n">
        <v>45588</v>
      </c>
      <c r="D107" t="inlineStr">
        <is>
          <t>DALARNAS LÄN</t>
        </is>
      </c>
      <c r="E107" t="inlineStr">
        <is>
          <t>LUDVIKA</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64684-2019</t>
        </is>
      </c>
      <c r="B108" s="1" t="n">
        <v>43798</v>
      </c>
      <c r="C108" s="1" t="n">
        <v>45588</v>
      </c>
      <c r="D108" t="inlineStr">
        <is>
          <t>DALARNAS LÄN</t>
        </is>
      </c>
      <c r="E108" t="inlineStr">
        <is>
          <t>LUDVIKA</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64693-2019</t>
        </is>
      </c>
      <c r="B109" s="1" t="n">
        <v>43798</v>
      </c>
      <c r="C109" s="1" t="n">
        <v>45588</v>
      </c>
      <c r="D109" t="inlineStr">
        <is>
          <t>DALARNAS LÄN</t>
        </is>
      </c>
      <c r="E109" t="inlineStr">
        <is>
          <t>LUDVIKA</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64628-2019</t>
        </is>
      </c>
      <c r="B110" s="1" t="n">
        <v>43798</v>
      </c>
      <c r="C110" s="1" t="n">
        <v>45588</v>
      </c>
      <c r="D110" t="inlineStr">
        <is>
          <t>DALARNAS LÄN</t>
        </is>
      </c>
      <c r="E110" t="inlineStr">
        <is>
          <t>LUDVIKA</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64961-2019</t>
        </is>
      </c>
      <c r="B111" s="1" t="n">
        <v>43801</v>
      </c>
      <c r="C111" s="1" t="n">
        <v>45588</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68226-2019</t>
        </is>
      </c>
      <c r="B112" s="1" t="n">
        <v>43817</v>
      </c>
      <c r="C112" s="1" t="n">
        <v>45588</v>
      </c>
      <c r="D112" t="inlineStr">
        <is>
          <t>DALARNAS LÄN</t>
        </is>
      </c>
      <c r="E112" t="inlineStr">
        <is>
          <t>LUDVIKA</t>
        </is>
      </c>
      <c r="G112" t="n">
        <v>4.4</v>
      </c>
      <c r="H112" t="n">
        <v>0</v>
      </c>
      <c r="I112" t="n">
        <v>0</v>
      </c>
      <c r="J112" t="n">
        <v>0</v>
      </c>
      <c r="K112" t="n">
        <v>0</v>
      </c>
      <c r="L112" t="n">
        <v>0</v>
      </c>
      <c r="M112" t="n">
        <v>0</v>
      </c>
      <c r="N112" t="n">
        <v>0</v>
      </c>
      <c r="O112" t="n">
        <v>0</v>
      </c>
      <c r="P112" t="n">
        <v>0</v>
      </c>
      <c r="Q112" t="n">
        <v>0</v>
      </c>
      <c r="R112" s="2" t="inlineStr"/>
    </row>
    <row r="113" ht="15" customHeight="1">
      <c r="A113" t="inlineStr">
        <is>
          <t>A 68721-2019</t>
        </is>
      </c>
      <c r="B113" s="1" t="n">
        <v>43819</v>
      </c>
      <c r="C113" s="1" t="n">
        <v>45588</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2572-2020</t>
        </is>
      </c>
      <c r="B114" s="1" t="n">
        <v>43847</v>
      </c>
      <c r="C114" s="1" t="n">
        <v>45588</v>
      </c>
      <c r="D114" t="inlineStr">
        <is>
          <t>DALARNAS LÄN</t>
        </is>
      </c>
      <c r="E114" t="inlineStr">
        <is>
          <t>LUDVIKA</t>
        </is>
      </c>
      <c r="G114" t="n">
        <v>5.4</v>
      </c>
      <c r="H114" t="n">
        <v>0</v>
      </c>
      <c r="I114" t="n">
        <v>0</v>
      </c>
      <c r="J114" t="n">
        <v>0</v>
      </c>
      <c r="K114" t="n">
        <v>0</v>
      </c>
      <c r="L114" t="n">
        <v>0</v>
      </c>
      <c r="M114" t="n">
        <v>0</v>
      </c>
      <c r="N114" t="n">
        <v>0</v>
      </c>
      <c r="O114" t="n">
        <v>0</v>
      </c>
      <c r="P114" t="n">
        <v>0</v>
      </c>
      <c r="Q114" t="n">
        <v>0</v>
      </c>
      <c r="R114" s="2" t="inlineStr"/>
    </row>
    <row r="115" ht="15" customHeight="1">
      <c r="A115" t="inlineStr">
        <is>
          <t>A 4071-2020</t>
        </is>
      </c>
      <c r="B115" s="1" t="n">
        <v>43847</v>
      </c>
      <c r="C115" s="1" t="n">
        <v>45588</v>
      </c>
      <c r="D115" t="inlineStr">
        <is>
          <t>DALARNAS LÄN</t>
        </is>
      </c>
      <c r="E115" t="inlineStr">
        <is>
          <t>LUDVIKA</t>
        </is>
      </c>
      <c r="G115" t="n">
        <v>3</v>
      </c>
      <c r="H115" t="n">
        <v>0</v>
      </c>
      <c r="I115" t="n">
        <v>0</v>
      </c>
      <c r="J115" t="n">
        <v>0</v>
      </c>
      <c r="K115" t="n">
        <v>0</v>
      </c>
      <c r="L115" t="n">
        <v>0</v>
      </c>
      <c r="M115" t="n">
        <v>0</v>
      </c>
      <c r="N115" t="n">
        <v>0</v>
      </c>
      <c r="O115" t="n">
        <v>0</v>
      </c>
      <c r="P115" t="n">
        <v>0</v>
      </c>
      <c r="Q115" t="n">
        <v>0</v>
      </c>
      <c r="R115" s="2" t="inlineStr"/>
    </row>
    <row r="116" ht="15" customHeight="1">
      <c r="A116" t="inlineStr">
        <is>
          <t>A 4611-2020</t>
        </is>
      </c>
      <c r="B116" s="1" t="n">
        <v>43858</v>
      </c>
      <c r="C116" s="1" t="n">
        <v>45588</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5243-2020</t>
        </is>
      </c>
      <c r="B117" s="1" t="n">
        <v>43860</v>
      </c>
      <c r="C117" s="1" t="n">
        <v>45588</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5481-2020</t>
        </is>
      </c>
      <c r="B118" s="1" t="n">
        <v>43861</v>
      </c>
      <c r="C118" s="1" t="n">
        <v>45588</v>
      </c>
      <c r="D118" t="inlineStr">
        <is>
          <t>DALARNAS LÄN</t>
        </is>
      </c>
      <c r="E118" t="inlineStr">
        <is>
          <t>LUDVIKA</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5829-2020</t>
        </is>
      </c>
      <c r="B119" s="1" t="n">
        <v>43861</v>
      </c>
      <c r="C119" s="1" t="n">
        <v>45588</v>
      </c>
      <c r="D119" t="inlineStr">
        <is>
          <t>DALARNAS LÄN</t>
        </is>
      </c>
      <c r="E119" t="inlineStr">
        <is>
          <t>LUDVIKA</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6948-2020</t>
        </is>
      </c>
      <c r="B120" s="1" t="n">
        <v>43868</v>
      </c>
      <c r="C120" s="1" t="n">
        <v>45588</v>
      </c>
      <c r="D120" t="inlineStr">
        <is>
          <t>DALARNAS LÄN</t>
        </is>
      </c>
      <c r="E120" t="inlineStr">
        <is>
          <t>LUDVIKA</t>
        </is>
      </c>
      <c r="G120" t="n">
        <v>2.4</v>
      </c>
      <c r="H120" t="n">
        <v>0</v>
      </c>
      <c r="I120" t="n">
        <v>0</v>
      </c>
      <c r="J120" t="n">
        <v>0</v>
      </c>
      <c r="K120" t="n">
        <v>0</v>
      </c>
      <c r="L120" t="n">
        <v>0</v>
      </c>
      <c r="M120" t="n">
        <v>0</v>
      </c>
      <c r="N120" t="n">
        <v>0</v>
      </c>
      <c r="O120" t="n">
        <v>0</v>
      </c>
      <c r="P120" t="n">
        <v>0</v>
      </c>
      <c r="Q120" t="n">
        <v>0</v>
      </c>
      <c r="R120" s="2" t="inlineStr"/>
    </row>
    <row r="121" ht="15" customHeight="1">
      <c r="A121" t="inlineStr">
        <is>
          <t>A 7010-2020</t>
        </is>
      </c>
      <c r="B121" s="1" t="n">
        <v>43868</v>
      </c>
      <c r="C121" s="1" t="n">
        <v>45588</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7709-2020</t>
        </is>
      </c>
      <c r="B122" s="1" t="n">
        <v>43872</v>
      </c>
      <c r="C122" s="1" t="n">
        <v>45588</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7851-2020</t>
        </is>
      </c>
      <c r="B123" s="1" t="n">
        <v>43873</v>
      </c>
      <c r="C123" s="1" t="n">
        <v>45588</v>
      </c>
      <c r="D123" t="inlineStr">
        <is>
          <t>DALARNAS LÄN</t>
        </is>
      </c>
      <c r="E123" t="inlineStr">
        <is>
          <t>LUDVIKA</t>
        </is>
      </c>
      <c r="F123" t="inlineStr">
        <is>
          <t>Naturvårdsverket</t>
        </is>
      </c>
      <c r="G123" t="n">
        <v>1.9</v>
      </c>
      <c r="H123" t="n">
        <v>0</v>
      </c>
      <c r="I123" t="n">
        <v>0</v>
      </c>
      <c r="J123" t="n">
        <v>0</v>
      </c>
      <c r="K123" t="n">
        <v>0</v>
      </c>
      <c r="L123" t="n">
        <v>0</v>
      </c>
      <c r="M123" t="n">
        <v>0</v>
      </c>
      <c r="N123" t="n">
        <v>0</v>
      </c>
      <c r="O123" t="n">
        <v>0</v>
      </c>
      <c r="P123" t="n">
        <v>0</v>
      </c>
      <c r="Q123" t="n">
        <v>0</v>
      </c>
      <c r="R123" s="2" t="inlineStr"/>
    </row>
    <row r="124" ht="15" customHeight="1">
      <c r="A124" t="inlineStr">
        <is>
          <t>A 9552-2020</t>
        </is>
      </c>
      <c r="B124" s="1" t="n">
        <v>43881</v>
      </c>
      <c r="C124" s="1" t="n">
        <v>45588</v>
      </c>
      <c r="D124" t="inlineStr">
        <is>
          <t>DALARNAS LÄN</t>
        </is>
      </c>
      <c r="E124" t="inlineStr">
        <is>
          <t>LUDVIKA</t>
        </is>
      </c>
      <c r="F124" t="inlineStr">
        <is>
          <t>Övriga Aktiebolag</t>
        </is>
      </c>
      <c r="G124" t="n">
        <v>1.3</v>
      </c>
      <c r="H124" t="n">
        <v>0</v>
      </c>
      <c r="I124" t="n">
        <v>0</v>
      </c>
      <c r="J124" t="n">
        <v>0</v>
      </c>
      <c r="K124" t="n">
        <v>0</v>
      </c>
      <c r="L124" t="n">
        <v>0</v>
      </c>
      <c r="M124" t="n">
        <v>0</v>
      </c>
      <c r="N124" t="n">
        <v>0</v>
      </c>
      <c r="O124" t="n">
        <v>0</v>
      </c>
      <c r="P124" t="n">
        <v>0</v>
      </c>
      <c r="Q124" t="n">
        <v>0</v>
      </c>
      <c r="R124" s="2" t="inlineStr"/>
    </row>
    <row r="125" ht="15" customHeight="1">
      <c r="A125" t="inlineStr">
        <is>
          <t>A 9805-2020</t>
        </is>
      </c>
      <c r="B125" s="1" t="n">
        <v>43881</v>
      </c>
      <c r="C125" s="1" t="n">
        <v>45588</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9932-2020</t>
        </is>
      </c>
      <c r="B126" s="1" t="n">
        <v>43882</v>
      </c>
      <c r="C126" s="1" t="n">
        <v>45588</v>
      </c>
      <c r="D126" t="inlineStr">
        <is>
          <t>DALARNAS LÄN</t>
        </is>
      </c>
      <c r="E126" t="inlineStr">
        <is>
          <t>LUDVIKA</t>
        </is>
      </c>
      <c r="G126" t="n">
        <v>0.6</v>
      </c>
      <c r="H126" t="n">
        <v>0</v>
      </c>
      <c r="I126" t="n">
        <v>0</v>
      </c>
      <c r="J126" t="n">
        <v>0</v>
      </c>
      <c r="K126" t="n">
        <v>0</v>
      </c>
      <c r="L126" t="n">
        <v>0</v>
      </c>
      <c r="M126" t="n">
        <v>0</v>
      </c>
      <c r="N126" t="n">
        <v>0</v>
      </c>
      <c r="O126" t="n">
        <v>0</v>
      </c>
      <c r="P126" t="n">
        <v>0</v>
      </c>
      <c r="Q126" t="n">
        <v>0</v>
      </c>
      <c r="R126" s="2" t="inlineStr"/>
    </row>
    <row r="127" ht="15" customHeight="1">
      <c r="A127" t="inlineStr">
        <is>
          <t>A 10578-2020</t>
        </is>
      </c>
      <c r="B127" s="1" t="n">
        <v>43887</v>
      </c>
      <c r="C127" s="1" t="n">
        <v>45588</v>
      </c>
      <c r="D127" t="inlineStr">
        <is>
          <t>DALARNAS LÄN</t>
        </is>
      </c>
      <c r="E127" t="inlineStr">
        <is>
          <t>LUDVIKA</t>
        </is>
      </c>
      <c r="F127" t="inlineStr">
        <is>
          <t>Bergvik skog väst AB</t>
        </is>
      </c>
      <c r="G127" t="n">
        <v>3.3</v>
      </c>
      <c r="H127" t="n">
        <v>0</v>
      </c>
      <c r="I127" t="n">
        <v>0</v>
      </c>
      <c r="J127" t="n">
        <v>0</v>
      </c>
      <c r="K127" t="n">
        <v>0</v>
      </c>
      <c r="L127" t="n">
        <v>0</v>
      </c>
      <c r="M127" t="n">
        <v>0</v>
      </c>
      <c r="N127" t="n">
        <v>0</v>
      </c>
      <c r="O127" t="n">
        <v>0</v>
      </c>
      <c r="P127" t="n">
        <v>0</v>
      </c>
      <c r="Q127" t="n">
        <v>0</v>
      </c>
      <c r="R127" s="2" t="inlineStr"/>
    </row>
    <row r="128" ht="15" customHeight="1">
      <c r="A128" t="inlineStr">
        <is>
          <t>A 10600-2020</t>
        </is>
      </c>
      <c r="B128" s="1" t="n">
        <v>43887</v>
      </c>
      <c r="C128" s="1" t="n">
        <v>45588</v>
      </c>
      <c r="D128" t="inlineStr">
        <is>
          <t>DALARNAS LÄN</t>
        </is>
      </c>
      <c r="E128" t="inlineStr">
        <is>
          <t>LUDVIKA</t>
        </is>
      </c>
      <c r="G128" t="n">
        <v>1.4</v>
      </c>
      <c r="H128" t="n">
        <v>0</v>
      </c>
      <c r="I128" t="n">
        <v>0</v>
      </c>
      <c r="J128" t="n">
        <v>0</v>
      </c>
      <c r="K128" t="n">
        <v>0</v>
      </c>
      <c r="L128" t="n">
        <v>0</v>
      </c>
      <c r="M128" t="n">
        <v>0</v>
      </c>
      <c r="N128" t="n">
        <v>0</v>
      </c>
      <c r="O128" t="n">
        <v>0</v>
      </c>
      <c r="P128" t="n">
        <v>0</v>
      </c>
      <c r="Q128" t="n">
        <v>0</v>
      </c>
      <c r="R128" s="2" t="inlineStr"/>
    </row>
    <row r="129" ht="15" customHeight="1">
      <c r="A129" t="inlineStr">
        <is>
          <t>A 12439-2020</t>
        </is>
      </c>
      <c r="B129" s="1" t="n">
        <v>43892</v>
      </c>
      <c r="C129" s="1" t="n">
        <v>45588</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11207-2020</t>
        </is>
      </c>
      <c r="B130" s="1" t="n">
        <v>43892</v>
      </c>
      <c r="C130" s="1" t="n">
        <v>45588</v>
      </c>
      <c r="D130" t="inlineStr">
        <is>
          <t>DALARNAS LÄN</t>
        </is>
      </c>
      <c r="E130" t="inlineStr">
        <is>
          <t>LUDVIKA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11559-2020</t>
        </is>
      </c>
      <c r="B131" s="1" t="n">
        <v>43893</v>
      </c>
      <c r="C131" s="1" t="n">
        <v>45588</v>
      </c>
      <c r="D131" t="inlineStr">
        <is>
          <t>DALARNAS LÄN</t>
        </is>
      </c>
      <c r="E131" t="inlineStr">
        <is>
          <t>LUDVIKA</t>
        </is>
      </c>
      <c r="G131" t="n">
        <v>32.7</v>
      </c>
      <c r="H131" t="n">
        <v>0</v>
      </c>
      <c r="I131" t="n">
        <v>0</v>
      </c>
      <c r="J131" t="n">
        <v>0</v>
      </c>
      <c r="K131" t="n">
        <v>0</v>
      </c>
      <c r="L131" t="n">
        <v>0</v>
      </c>
      <c r="M131" t="n">
        <v>0</v>
      </c>
      <c r="N131" t="n">
        <v>0</v>
      </c>
      <c r="O131" t="n">
        <v>0</v>
      </c>
      <c r="P131" t="n">
        <v>0</v>
      </c>
      <c r="Q131" t="n">
        <v>0</v>
      </c>
      <c r="R131" s="2" t="inlineStr"/>
    </row>
    <row r="132" ht="15" customHeight="1">
      <c r="A132" t="inlineStr">
        <is>
          <t>A 11626-2020</t>
        </is>
      </c>
      <c r="B132" s="1" t="n">
        <v>43893</v>
      </c>
      <c r="C132" s="1" t="n">
        <v>45588</v>
      </c>
      <c r="D132" t="inlineStr">
        <is>
          <t>DALARNAS LÄN</t>
        </is>
      </c>
      <c r="E132" t="inlineStr">
        <is>
          <t>LUDVIKA</t>
        </is>
      </c>
      <c r="G132" t="n">
        <v>1</v>
      </c>
      <c r="H132" t="n">
        <v>0</v>
      </c>
      <c r="I132" t="n">
        <v>0</v>
      </c>
      <c r="J132" t="n">
        <v>0</v>
      </c>
      <c r="K132" t="n">
        <v>0</v>
      </c>
      <c r="L132" t="n">
        <v>0</v>
      </c>
      <c r="M132" t="n">
        <v>0</v>
      </c>
      <c r="N132" t="n">
        <v>0</v>
      </c>
      <c r="O132" t="n">
        <v>0</v>
      </c>
      <c r="P132" t="n">
        <v>0</v>
      </c>
      <c r="Q132" t="n">
        <v>0</v>
      </c>
      <c r="R132" s="2" t="inlineStr"/>
    </row>
    <row r="133" ht="15" customHeight="1">
      <c r="A133" t="inlineStr">
        <is>
          <t>A 13483-2020</t>
        </is>
      </c>
      <c r="B133" s="1" t="n">
        <v>43894</v>
      </c>
      <c r="C133" s="1" t="n">
        <v>45588</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12049-2020</t>
        </is>
      </c>
      <c r="B134" s="1" t="n">
        <v>43894</v>
      </c>
      <c r="C134" s="1" t="n">
        <v>45588</v>
      </c>
      <c r="D134" t="inlineStr">
        <is>
          <t>DALARNAS LÄN</t>
        </is>
      </c>
      <c r="E134" t="inlineStr">
        <is>
          <t>LUDVIKA</t>
        </is>
      </c>
      <c r="G134" t="n">
        <v>3</v>
      </c>
      <c r="H134" t="n">
        <v>0</v>
      </c>
      <c r="I134" t="n">
        <v>0</v>
      </c>
      <c r="J134" t="n">
        <v>0</v>
      </c>
      <c r="K134" t="n">
        <v>0</v>
      </c>
      <c r="L134" t="n">
        <v>0</v>
      </c>
      <c r="M134" t="n">
        <v>0</v>
      </c>
      <c r="N134" t="n">
        <v>0</v>
      </c>
      <c r="O134" t="n">
        <v>0</v>
      </c>
      <c r="P134" t="n">
        <v>0</v>
      </c>
      <c r="Q134" t="n">
        <v>0</v>
      </c>
      <c r="R134" s="2" t="inlineStr"/>
    </row>
    <row r="135" ht="15" customHeight="1">
      <c r="A135" t="inlineStr">
        <is>
          <t>A 12223-2020</t>
        </is>
      </c>
      <c r="B135" s="1" t="n">
        <v>43895</v>
      </c>
      <c r="C135" s="1" t="n">
        <v>45588</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12560-2020</t>
        </is>
      </c>
      <c r="B136" s="1" t="n">
        <v>43898</v>
      </c>
      <c r="C136" s="1" t="n">
        <v>45588</v>
      </c>
      <c r="D136" t="inlineStr">
        <is>
          <t>DALARNAS LÄN</t>
        </is>
      </c>
      <c r="E136" t="inlineStr">
        <is>
          <t>LUDVIKA</t>
        </is>
      </c>
      <c r="G136" t="n">
        <v>2.7</v>
      </c>
      <c r="H136" t="n">
        <v>0</v>
      </c>
      <c r="I136" t="n">
        <v>0</v>
      </c>
      <c r="J136" t="n">
        <v>0</v>
      </c>
      <c r="K136" t="n">
        <v>0</v>
      </c>
      <c r="L136" t="n">
        <v>0</v>
      </c>
      <c r="M136" t="n">
        <v>0</v>
      </c>
      <c r="N136" t="n">
        <v>0</v>
      </c>
      <c r="O136" t="n">
        <v>0</v>
      </c>
      <c r="P136" t="n">
        <v>0</v>
      </c>
      <c r="Q136" t="n">
        <v>0</v>
      </c>
      <c r="R136" s="2" t="inlineStr"/>
    </row>
    <row r="137" ht="15" customHeight="1">
      <c r="A137" t="inlineStr">
        <is>
          <t>A 12935-2020</t>
        </is>
      </c>
      <c r="B137" s="1" t="n">
        <v>43900</v>
      </c>
      <c r="C137" s="1" t="n">
        <v>45588</v>
      </c>
      <c r="D137" t="inlineStr">
        <is>
          <t>DALARNAS LÄN</t>
        </is>
      </c>
      <c r="E137" t="inlineStr">
        <is>
          <t>LUDVIKA</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13757-2020</t>
        </is>
      </c>
      <c r="B138" s="1" t="n">
        <v>43903</v>
      </c>
      <c r="C138" s="1" t="n">
        <v>45588</v>
      </c>
      <c r="D138" t="inlineStr">
        <is>
          <t>DALARNAS LÄN</t>
        </is>
      </c>
      <c r="E138" t="inlineStr">
        <is>
          <t>LUDVIKA</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13767-2020</t>
        </is>
      </c>
      <c r="B139" s="1" t="n">
        <v>43903</v>
      </c>
      <c r="C139" s="1" t="n">
        <v>45588</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14373-2020</t>
        </is>
      </c>
      <c r="B140" s="1" t="n">
        <v>43908</v>
      </c>
      <c r="C140" s="1" t="n">
        <v>45588</v>
      </c>
      <c r="D140" t="inlineStr">
        <is>
          <t>DALARNAS LÄN</t>
        </is>
      </c>
      <c r="E140" t="inlineStr">
        <is>
          <t>LUDVIKA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15053-2020</t>
        </is>
      </c>
      <c r="B141" s="1" t="n">
        <v>43910</v>
      </c>
      <c r="C141" s="1" t="n">
        <v>45588</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15861-2020</t>
        </is>
      </c>
      <c r="B142" s="1" t="n">
        <v>43915</v>
      </c>
      <c r="C142" s="1" t="n">
        <v>45588</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16407-2020</t>
        </is>
      </c>
      <c r="B143" s="1" t="n">
        <v>43918</v>
      </c>
      <c r="C143" s="1" t="n">
        <v>45588</v>
      </c>
      <c r="D143" t="inlineStr">
        <is>
          <t>DALARNAS LÄN</t>
        </is>
      </c>
      <c r="E143" t="inlineStr">
        <is>
          <t>LUDVIKA</t>
        </is>
      </c>
      <c r="F143" t="inlineStr">
        <is>
          <t>Bergvik skog väst AB</t>
        </is>
      </c>
      <c r="G143" t="n">
        <v>32.8</v>
      </c>
      <c r="H143" t="n">
        <v>0</v>
      </c>
      <c r="I143" t="n">
        <v>0</v>
      </c>
      <c r="J143" t="n">
        <v>0</v>
      </c>
      <c r="K143" t="n">
        <v>0</v>
      </c>
      <c r="L143" t="n">
        <v>0</v>
      </c>
      <c r="M143" t="n">
        <v>0</v>
      </c>
      <c r="N143" t="n">
        <v>0</v>
      </c>
      <c r="O143" t="n">
        <v>0</v>
      </c>
      <c r="P143" t="n">
        <v>0</v>
      </c>
      <c r="Q143" t="n">
        <v>0</v>
      </c>
      <c r="R143" s="2" t="inlineStr"/>
    </row>
    <row r="144" ht="15" customHeight="1">
      <c r="A144" t="inlineStr">
        <is>
          <t>A 16782-2020</t>
        </is>
      </c>
      <c r="B144" s="1" t="n">
        <v>43921</v>
      </c>
      <c r="C144" s="1" t="n">
        <v>45588</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16781-2020</t>
        </is>
      </c>
      <c r="B145" s="1" t="n">
        <v>43921</v>
      </c>
      <c r="C145" s="1" t="n">
        <v>45588</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17166-2020</t>
        </is>
      </c>
      <c r="B146" s="1" t="n">
        <v>43922</v>
      </c>
      <c r="C146" s="1" t="n">
        <v>45588</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17597-2020</t>
        </is>
      </c>
      <c r="B147" s="1" t="n">
        <v>43923</v>
      </c>
      <c r="C147" s="1" t="n">
        <v>45588</v>
      </c>
      <c r="D147" t="inlineStr">
        <is>
          <t>DALARNAS LÄN</t>
        </is>
      </c>
      <c r="E147" t="inlineStr">
        <is>
          <t>LUDVIKA</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17605-2020</t>
        </is>
      </c>
      <c r="B148" s="1" t="n">
        <v>43923</v>
      </c>
      <c r="C148" s="1" t="n">
        <v>45588</v>
      </c>
      <c r="D148" t="inlineStr">
        <is>
          <t>DALARNAS LÄN</t>
        </is>
      </c>
      <c r="E148" t="inlineStr">
        <is>
          <t>LUDVIKA</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17602-2020</t>
        </is>
      </c>
      <c r="B149" s="1" t="n">
        <v>43923</v>
      </c>
      <c r="C149" s="1" t="n">
        <v>45588</v>
      </c>
      <c r="D149" t="inlineStr">
        <is>
          <t>DALARNAS LÄN</t>
        </is>
      </c>
      <c r="E149" t="inlineStr">
        <is>
          <t>LUDVIKA</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17603-2020</t>
        </is>
      </c>
      <c r="B150" s="1" t="n">
        <v>43923</v>
      </c>
      <c r="C150" s="1" t="n">
        <v>45588</v>
      </c>
      <c r="D150" t="inlineStr">
        <is>
          <t>DALARNAS LÄN</t>
        </is>
      </c>
      <c r="E150" t="inlineStr">
        <is>
          <t>LUDVIKA</t>
        </is>
      </c>
      <c r="F150" t="inlineStr">
        <is>
          <t>Bergvik skog väst AB</t>
        </is>
      </c>
      <c r="G150" t="n">
        <v>19.9</v>
      </c>
      <c r="H150" t="n">
        <v>0</v>
      </c>
      <c r="I150" t="n">
        <v>0</v>
      </c>
      <c r="J150" t="n">
        <v>0</v>
      </c>
      <c r="K150" t="n">
        <v>0</v>
      </c>
      <c r="L150" t="n">
        <v>0</v>
      </c>
      <c r="M150" t="n">
        <v>0</v>
      </c>
      <c r="N150" t="n">
        <v>0</v>
      </c>
      <c r="O150" t="n">
        <v>0</v>
      </c>
      <c r="P150" t="n">
        <v>0</v>
      </c>
      <c r="Q150" t="n">
        <v>0</v>
      </c>
      <c r="R150" s="2" t="inlineStr"/>
    </row>
    <row r="151" ht="15" customHeight="1">
      <c r="A151" t="inlineStr">
        <is>
          <t>A 17598-2020</t>
        </is>
      </c>
      <c r="B151" s="1" t="n">
        <v>43923</v>
      </c>
      <c r="C151" s="1" t="n">
        <v>45588</v>
      </c>
      <c r="D151" t="inlineStr">
        <is>
          <t>DALARNAS LÄN</t>
        </is>
      </c>
      <c r="E151" t="inlineStr">
        <is>
          <t>LUDVIKA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17344-2020</t>
        </is>
      </c>
      <c r="B152" s="1" t="n">
        <v>43923</v>
      </c>
      <c r="C152" s="1" t="n">
        <v>45588</v>
      </c>
      <c r="D152" t="inlineStr">
        <is>
          <t>DALARNAS LÄN</t>
        </is>
      </c>
      <c r="E152" t="inlineStr">
        <is>
          <t>LUDVIKA</t>
        </is>
      </c>
      <c r="G152" t="n">
        <v>1.6</v>
      </c>
      <c r="H152" t="n">
        <v>0</v>
      </c>
      <c r="I152" t="n">
        <v>0</v>
      </c>
      <c r="J152" t="n">
        <v>0</v>
      </c>
      <c r="K152" t="n">
        <v>0</v>
      </c>
      <c r="L152" t="n">
        <v>0</v>
      </c>
      <c r="M152" t="n">
        <v>0</v>
      </c>
      <c r="N152" t="n">
        <v>0</v>
      </c>
      <c r="O152" t="n">
        <v>0</v>
      </c>
      <c r="P152" t="n">
        <v>0</v>
      </c>
      <c r="Q152" t="n">
        <v>0</v>
      </c>
      <c r="R152" s="2" t="inlineStr"/>
    </row>
    <row r="153" ht="15" customHeight="1">
      <c r="A153" t="inlineStr">
        <is>
          <t>A 17809-2020</t>
        </is>
      </c>
      <c r="B153" s="1" t="n">
        <v>43924</v>
      </c>
      <c r="C153" s="1" t="n">
        <v>45588</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20725-2020</t>
        </is>
      </c>
      <c r="B154" s="1" t="n">
        <v>43949</v>
      </c>
      <c r="C154" s="1" t="n">
        <v>45588</v>
      </c>
      <c r="D154" t="inlineStr">
        <is>
          <t>DALARNAS LÄN</t>
        </is>
      </c>
      <c r="E154" t="inlineStr">
        <is>
          <t>LUDVIKA</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23086-2020</t>
        </is>
      </c>
      <c r="B155" s="1" t="n">
        <v>43965</v>
      </c>
      <c r="C155" s="1" t="n">
        <v>45588</v>
      </c>
      <c r="D155" t="inlineStr">
        <is>
          <t>DALARNAS LÄN</t>
        </is>
      </c>
      <c r="E155" t="inlineStr">
        <is>
          <t>LUDVIKA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23079-2020</t>
        </is>
      </c>
      <c r="B156" s="1" t="n">
        <v>43965</v>
      </c>
      <c r="C156" s="1" t="n">
        <v>45588</v>
      </c>
      <c r="D156" t="inlineStr">
        <is>
          <t>DALARNAS LÄN</t>
        </is>
      </c>
      <c r="E156" t="inlineStr">
        <is>
          <t>LUDVIKA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23452-2020</t>
        </is>
      </c>
      <c r="B157" s="1" t="n">
        <v>43969</v>
      </c>
      <c r="C157" s="1" t="n">
        <v>45588</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24742-2020</t>
        </is>
      </c>
      <c r="B158" s="1" t="n">
        <v>43978</v>
      </c>
      <c r="C158" s="1" t="n">
        <v>45588</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25450-2020</t>
        </is>
      </c>
      <c r="B159" s="1" t="n">
        <v>43983</v>
      </c>
      <c r="C159" s="1" t="n">
        <v>45588</v>
      </c>
      <c r="D159" t="inlineStr">
        <is>
          <t>DALARNAS LÄN</t>
        </is>
      </c>
      <c r="E159" t="inlineStr">
        <is>
          <t>LUDVIKA</t>
        </is>
      </c>
      <c r="F159" t="inlineStr">
        <is>
          <t>Bergvik skog väst AB</t>
        </is>
      </c>
      <c r="G159" t="n">
        <v>5.8</v>
      </c>
      <c r="H159" t="n">
        <v>0</v>
      </c>
      <c r="I159" t="n">
        <v>0</v>
      </c>
      <c r="J159" t="n">
        <v>0</v>
      </c>
      <c r="K159" t="n">
        <v>0</v>
      </c>
      <c r="L159" t="n">
        <v>0</v>
      </c>
      <c r="M159" t="n">
        <v>0</v>
      </c>
      <c r="N159" t="n">
        <v>0</v>
      </c>
      <c r="O159" t="n">
        <v>0</v>
      </c>
      <c r="P159" t="n">
        <v>0</v>
      </c>
      <c r="Q159" t="n">
        <v>0</v>
      </c>
      <c r="R159" s="2" t="inlineStr"/>
    </row>
    <row r="160" ht="15" customHeight="1">
      <c r="A160" t="inlineStr">
        <is>
          <t>A 25441-2020</t>
        </is>
      </c>
      <c r="B160" s="1" t="n">
        <v>43983</v>
      </c>
      <c r="C160" s="1" t="n">
        <v>45588</v>
      </c>
      <c r="D160" t="inlineStr">
        <is>
          <t>DALARNAS LÄN</t>
        </is>
      </c>
      <c r="E160" t="inlineStr">
        <is>
          <t>LUDVIKA</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25471-2020</t>
        </is>
      </c>
      <c r="B161" s="1" t="n">
        <v>43983</v>
      </c>
      <c r="C161" s="1" t="n">
        <v>45588</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25554-2020</t>
        </is>
      </c>
      <c r="B162" s="1" t="n">
        <v>43983</v>
      </c>
      <c r="C162" s="1" t="n">
        <v>45588</v>
      </c>
      <c r="D162" t="inlineStr">
        <is>
          <t>DALARNAS LÄN</t>
        </is>
      </c>
      <c r="E162" t="inlineStr">
        <is>
          <t>LUDVIKA</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25581-2020</t>
        </is>
      </c>
      <c r="B163" s="1" t="n">
        <v>43983</v>
      </c>
      <c r="C163" s="1" t="n">
        <v>45588</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25458-2020</t>
        </is>
      </c>
      <c r="B164" s="1" t="n">
        <v>43983</v>
      </c>
      <c r="C164" s="1" t="n">
        <v>45588</v>
      </c>
      <c r="D164" t="inlineStr">
        <is>
          <t>DALARNAS LÄN</t>
        </is>
      </c>
      <c r="E164" t="inlineStr">
        <is>
          <t>LUDVIKA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28524-2020</t>
        </is>
      </c>
      <c r="B165" s="1" t="n">
        <v>43999</v>
      </c>
      <c r="C165" s="1" t="n">
        <v>45588</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28802-2020</t>
        </is>
      </c>
      <c r="B166" s="1" t="n">
        <v>44000</v>
      </c>
      <c r="C166" s="1" t="n">
        <v>45588</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28798-2020</t>
        </is>
      </c>
      <c r="B167" s="1" t="n">
        <v>44000</v>
      </c>
      <c r="C167" s="1" t="n">
        <v>45588</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29869-2020</t>
        </is>
      </c>
      <c r="B168" s="1" t="n">
        <v>44006</v>
      </c>
      <c r="C168" s="1" t="n">
        <v>45588</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31257-2020</t>
        </is>
      </c>
      <c r="B169" s="1" t="n">
        <v>44012</v>
      </c>
      <c r="C169" s="1" t="n">
        <v>45588</v>
      </c>
      <c r="D169" t="inlineStr">
        <is>
          <t>DALARNAS LÄN</t>
        </is>
      </c>
      <c r="E169" t="inlineStr">
        <is>
          <t>LUDVIKA</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32994-2020</t>
        </is>
      </c>
      <c r="B170" s="1" t="n">
        <v>44020</v>
      </c>
      <c r="C170" s="1" t="n">
        <v>45588</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33357-2020</t>
        </is>
      </c>
      <c r="B171" s="1" t="n">
        <v>44022</v>
      </c>
      <c r="C171" s="1" t="n">
        <v>45588</v>
      </c>
      <c r="D171" t="inlineStr">
        <is>
          <t>DALARNAS LÄN</t>
        </is>
      </c>
      <c r="E171" t="inlineStr">
        <is>
          <t>LUDVIKA</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34915-2020</t>
        </is>
      </c>
      <c r="B172" s="1" t="n">
        <v>44036</v>
      </c>
      <c r="C172" s="1" t="n">
        <v>45588</v>
      </c>
      <c r="D172" t="inlineStr">
        <is>
          <t>DALARNAS LÄN</t>
        </is>
      </c>
      <c r="E172" t="inlineStr">
        <is>
          <t>LUDVIKA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39915-2020</t>
        </is>
      </c>
      <c r="B173" s="1" t="n">
        <v>44067</v>
      </c>
      <c r="C173" s="1" t="n">
        <v>45588</v>
      </c>
      <c r="D173" t="inlineStr">
        <is>
          <t>DALARNAS LÄN</t>
        </is>
      </c>
      <c r="E173" t="inlineStr">
        <is>
          <t>LUDVIKA</t>
        </is>
      </c>
      <c r="F173" t="inlineStr">
        <is>
          <t>Naturvårdsverket</t>
        </is>
      </c>
      <c r="G173" t="n">
        <v>17.7</v>
      </c>
      <c r="H173" t="n">
        <v>0</v>
      </c>
      <c r="I173" t="n">
        <v>0</v>
      </c>
      <c r="J173" t="n">
        <v>0</v>
      </c>
      <c r="K173" t="n">
        <v>0</v>
      </c>
      <c r="L173" t="n">
        <v>0</v>
      </c>
      <c r="M173" t="n">
        <v>0</v>
      </c>
      <c r="N173" t="n">
        <v>0</v>
      </c>
      <c r="O173" t="n">
        <v>0</v>
      </c>
      <c r="P173" t="n">
        <v>0</v>
      </c>
      <c r="Q173" t="n">
        <v>0</v>
      </c>
      <c r="R173" s="2" t="inlineStr"/>
    </row>
    <row r="174" ht="15" customHeight="1">
      <c r="A174" t="inlineStr">
        <is>
          <t>A 40472-2020</t>
        </is>
      </c>
      <c r="B174" s="1" t="n">
        <v>44069</v>
      </c>
      <c r="C174" s="1" t="n">
        <v>45588</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40504-2020</t>
        </is>
      </c>
      <c r="B175" s="1" t="n">
        <v>44069</v>
      </c>
      <c r="C175" s="1" t="n">
        <v>45588</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40978-2020</t>
        </is>
      </c>
      <c r="B176" s="1" t="n">
        <v>44070</v>
      </c>
      <c r="C176" s="1" t="n">
        <v>45588</v>
      </c>
      <c r="D176" t="inlineStr">
        <is>
          <t>DALARNAS LÄN</t>
        </is>
      </c>
      <c r="E176" t="inlineStr">
        <is>
          <t>LUDVIKA</t>
        </is>
      </c>
      <c r="F176" t="inlineStr">
        <is>
          <t>Bergvik skog väst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43162-2020</t>
        </is>
      </c>
      <c r="B177" s="1" t="n">
        <v>44081</v>
      </c>
      <c r="C177" s="1" t="n">
        <v>45588</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44747-2020</t>
        </is>
      </c>
      <c r="B178" s="1" t="n">
        <v>44085</v>
      </c>
      <c r="C178" s="1" t="n">
        <v>45588</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44746-2020</t>
        </is>
      </c>
      <c r="B179" s="1" t="n">
        <v>44085</v>
      </c>
      <c r="C179" s="1" t="n">
        <v>45588</v>
      </c>
      <c r="D179" t="inlineStr">
        <is>
          <t>DALARNAS LÄN</t>
        </is>
      </c>
      <c r="E179" t="inlineStr">
        <is>
          <t>LUDVIKA</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45390-2020</t>
        </is>
      </c>
      <c r="B180" s="1" t="n">
        <v>44085</v>
      </c>
      <c r="C180" s="1" t="n">
        <v>45588</v>
      </c>
      <c r="D180" t="inlineStr">
        <is>
          <t>DALARNAS LÄN</t>
        </is>
      </c>
      <c r="E180" t="inlineStr">
        <is>
          <t>LUDVIKA</t>
        </is>
      </c>
      <c r="G180" t="n">
        <v>4.4</v>
      </c>
      <c r="H180" t="n">
        <v>0</v>
      </c>
      <c r="I180" t="n">
        <v>0</v>
      </c>
      <c r="J180" t="n">
        <v>0</v>
      </c>
      <c r="K180" t="n">
        <v>0</v>
      </c>
      <c r="L180" t="n">
        <v>0</v>
      </c>
      <c r="M180" t="n">
        <v>0</v>
      </c>
      <c r="N180" t="n">
        <v>0</v>
      </c>
      <c r="O180" t="n">
        <v>0</v>
      </c>
      <c r="P180" t="n">
        <v>0</v>
      </c>
      <c r="Q180" t="n">
        <v>0</v>
      </c>
      <c r="R180" s="2" t="inlineStr"/>
    </row>
    <row r="181" ht="15" customHeight="1">
      <c r="A181" t="inlineStr">
        <is>
          <t>A 44745-2020</t>
        </is>
      </c>
      <c r="B181" s="1" t="n">
        <v>44085</v>
      </c>
      <c r="C181" s="1" t="n">
        <v>45588</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45309-2020</t>
        </is>
      </c>
      <c r="B182" s="1" t="n">
        <v>44089</v>
      </c>
      <c r="C182" s="1" t="n">
        <v>45588</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45613-2020</t>
        </is>
      </c>
      <c r="B183" s="1" t="n">
        <v>44090</v>
      </c>
      <c r="C183" s="1" t="n">
        <v>45588</v>
      </c>
      <c r="D183" t="inlineStr">
        <is>
          <t>DALARNAS LÄN</t>
        </is>
      </c>
      <c r="E183" t="inlineStr">
        <is>
          <t>LUDVIKA</t>
        </is>
      </c>
      <c r="F183" t="inlineStr">
        <is>
          <t>Övriga Aktiebolag</t>
        </is>
      </c>
      <c r="G183" t="n">
        <v>0.7</v>
      </c>
      <c r="H183" t="n">
        <v>0</v>
      </c>
      <c r="I183" t="n">
        <v>0</v>
      </c>
      <c r="J183" t="n">
        <v>0</v>
      </c>
      <c r="K183" t="n">
        <v>0</v>
      </c>
      <c r="L183" t="n">
        <v>0</v>
      </c>
      <c r="M183" t="n">
        <v>0</v>
      </c>
      <c r="N183" t="n">
        <v>0</v>
      </c>
      <c r="O183" t="n">
        <v>0</v>
      </c>
      <c r="P183" t="n">
        <v>0</v>
      </c>
      <c r="Q183" t="n">
        <v>0</v>
      </c>
      <c r="R183" s="2" t="inlineStr"/>
    </row>
    <row r="184" ht="15" customHeight="1">
      <c r="A184" t="inlineStr">
        <is>
          <t>A 46252-2020</t>
        </is>
      </c>
      <c r="B184" s="1" t="n">
        <v>44092</v>
      </c>
      <c r="C184" s="1" t="n">
        <v>45588</v>
      </c>
      <c r="D184" t="inlineStr">
        <is>
          <t>DALARNAS LÄN</t>
        </is>
      </c>
      <c r="E184" t="inlineStr">
        <is>
          <t>LUDVIKA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46268-2020</t>
        </is>
      </c>
      <c r="B185" s="1" t="n">
        <v>44092</v>
      </c>
      <c r="C185" s="1" t="n">
        <v>45588</v>
      </c>
      <c r="D185" t="inlineStr">
        <is>
          <t>DALARNAS LÄN</t>
        </is>
      </c>
      <c r="E185" t="inlineStr">
        <is>
          <t>LUDVIKA</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46329-2020</t>
        </is>
      </c>
      <c r="B186" s="1" t="n">
        <v>44092</v>
      </c>
      <c r="C186" s="1" t="n">
        <v>45588</v>
      </c>
      <c r="D186" t="inlineStr">
        <is>
          <t>DALARNAS LÄN</t>
        </is>
      </c>
      <c r="E186" t="inlineStr">
        <is>
          <t>LUDVIKA</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46147-2020</t>
        </is>
      </c>
      <c r="B187" s="1" t="n">
        <v>44092</v>
      </c>
      <c r="C187" s="1" t="n">
        <v>45588</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46146-2020</t>
        </is>
      </c>
      <c r="B188" s="1" t="n">
        <v>44092</v>
      </c>
      <c r="C188" s="1" t="n">
        <v>45588</v>
      </c>
      <c r="D188" t="inlineStr">
        <is>
          <t>DALARNAS LÄN</t>
        </is>
      </c>
      <c r="E188" t="inlineStr">
        <is>
          <t>LUDVIKA</t>
        </is>
      </c>
      <c r="G188" t="n">
        <v>1.5</v>
      </c>
      <c r="H188" t="n">
        <v>0</v>
      </c>
      <c r="I188" t="n">
        <v>0</v>
      </c>
      <c r="J188" t="n">
        <v>0</v>
      </c>
      <c r="K188" t="n">
        <v>0</v>
      </c>
      <c r="L188" t="n">
        <v>0</v>
      </c>
      <c r="M188" t="n">
        <v>0</v>
      </c>
      <c r="N188" t="n">
        <v>0</v>
      </c>
      <c r="O188" t="n">
        <v>0</v>
      </c>
      <c r="P188" t="n">
        <v>0</v>
      </c>
      <c r="Q188" t="n">
        <v>0</v>
      </c>
      <c r="R188" s="2" t="inlineStr"/>
    </row>
    <row r="189" ht="15" customHeight="1">
      <c r="A189" t="inlineStr">
        <is>
          <t>A 46275-2020</t>
        </is>
      </c>
      <c r="B189" s="1" t="n">
        <v>44092</v>
      </c>
      <c r="C189" s="1" t="n">
        <v>45588</v>
      </c>
      <c r="D189" t="inlineStr">
        <is>
          <t>DALARNAS LÄN</t>
        </is>
      </c>
      <c r="E189" t="inlineStr">
        <is>
          <t>LUDVIKA</t>
        </is>
      </c>
      <c r="F189" t="inlineStr">
        <is>
          <t>Sveaskog</t>
        </is>
      </c>
      <c r="G189" t="n">
        <v>6.1</v>
      </c>
      <c r="H189" t="n">
        <v>0</v>
      </c>
      <c r="I189" t="n">
        <v>0</v>
      </c>
      <c r="J189" t="n">
        <v>0</v>
      </c>
      <c r="K189" t="n">
        <v>0</v>
      </c>
      <c r="L189" t="n">
        <v>0</v>
      </c>
      <c r="M189" t="n">
        <v>0</v>
      </c>
      <c r="N189" t="n">
        <v>0</v>
      </c>
      <c r="O189" t="n">
        <v>0</v>
      </c>
      <c r="P189" t="n">
        <v>0</v>
      </c>
      <c r="Q189" t="n">
        <v>0</v>
      </c>
      <c r="R189" s="2" t="inlineStr"/>
    </row>
    <row r="190" ht="15" customHeight="1">
      <c r="A190" t="inlineStr">
        <is>
          <t>A 46284-2020</t>
        </is>
      </c>
      <c r="B190" s="1" t="n">
        <v>44092</v>
      </c>
      <c r="C190" s="1" t="n">
        <v>45588</v>
      </c>
      <c r="D190" t="inlineStr">
        <is>
          <t>DALARNAS LÄN</t>
        </is>
      </c>
      <c r="E190" t="inlineStr">
        <is>
          <t>LUDVIKA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46369-2020</t>
        </is>
      </c>
      <c r="B191" s="1" t="n">
        <v>44093</v>
      </c>
      <c r="C191" s="1" t="n">
        <v>45588</v>
      </c>
      <c r="D191" t="inlineStr">
        <is>
          <t>DALARNAS LÄN</t>
        </is>
      </c>
      <c r="E191" t="inlineStr">
        <is>
          <t>LUDVIKA</t>
        </is>
      </c>
      <c r="G191" t="n">
        <v>3.8</v>
      </c>
      <c r="H191" t="n">
        <v>0</v>
      </c>
      <c r="I191" t="n">
        <v>0</v>
      </c>
      <c r="J191" t="n">
        <v>0</v>
      </c>
      <c r="K191" t="n">
        <v>0</v>
      </c>
      <c r="L191" t="n">
        <v>0</v>
      </c>
      <c r="M191" t="n">
        <v>0</v>
      </c>
      <c r="N191" t="n">
        <v>0</v>
      </c>
      <c r="O191" t="n">
        <v>0</v>
      </c>
      <c r="P191" t="n">
        <v>0</v>
      </c>
      <c r="Q191" t="n">
        <v>0</v>
      </c>
      <c r="R191" s="2" t="inlineStr"/>
    </row>
    <row r="192" ht="15" customHeight="1">
      <c r="A192" t="inlineStr">
        <is>
          <t>A 47194-2020</t>
        </is>
      </c>
      <c r="B192" s="1" t="n">
        <v>44097</v>
      </c>
      <c r="C192" s="1" t="n">
        <v>45588</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47471-2020</t>
        </is>
      </c>
      <c r="B193" s="1" t="n">
        <v>44097</v>
      </c>
      <c r="C193" s="1" t="n">
        <v>45588</v>
      </c>
      <c r="D193" t="inlineStr">
        <is>
          <t>DALARNAS LÄN</t>
        </is>
      </c>
      <c r="E193" t="inlineStr">
        <is>
          <t>LUDVIKA</t>
        </is>
      </c>
      <c r="G193" t="n">
        <v>0.7</v>
      </c>
      <c r="H193" t="n">
        <v>0</v>
      </c>
      <c r="I193" t="n">
        <v>0</v>
      </c>
      <c r="J193" t="n">
        <v>0</v>
      </c>
      <c r="K193" t="n">
        <v>0</v>
      </c>
      <c r="L193" t="n">
        <v>0</v>
      </c>
      <c r="M193" t="n">
        <v>0</v>
      </c>
      <c r="N193" t="n">
        <v>0</v>
      </c>
      <c r="O193" t="n">
        <v>0</v>
      </c>
      <c r="P193" t="n">
        <v>0</v>
      </c>
      <c r="Q193" t="n">
        <v>0</v>
      </c>
      <c r="R193" s="2" t="inlineStr"/>
    </row>
    <row r="194" ht="15" customHeight="1">
      <c r="A194" t="inlineStr">
        <is>
          <t>A 48557-2020</t>
        </is>
      </c>
      <c r="B194" s="1" t="n">
        <v>44103</v>
      </c>
      <c r="C194" s="1" t="n">
        <v>45588</v>
      </c>
      <c r="D194" t="inlineStr">
        <is>
          <t>DALARNAS LÄN</t>
        </is>
      </c>
      <c r="E194" t="inlineStr">
        <is>
          <t>LUDVIKA</t>
        </is>
      </c>
      <c r="G194" t="n">
        <v>1</v>
      </c>
      <c r="H194" t="n">
        <v>0</v>
      </c>
      <c r="I194" t="n">
        <v>0</v>
      </c>
      <c r="J194" t="n">
        <v>0</v>
      </c>
      <c r="K194" t="n">
        <v>0</v>
      </c>
      <c r="L194" t="n">
        <v>0</v>
      </c>
      <c r="M194" t="n">
        <v>0</v>
      </c>
      <c r="N194" t="n">
        <v>0</v>
      </c>
      <c r="O194" t="n">
        <v>0</v>
      </c>
      <c r="P194" t="n">
        <v>0</v>
      </c>
      <c r="Q194" t="n">
        <v>0</v>
      </c>
      <c r="R194" s="2" t="inlineStr"/>
    </row>
    <row r="195" ht="15" customHeight="1">
      <c r="A195" t="inlineStr">
        <is>
          <t>A 48482-2020</t>
        </is>
      </c>
      <c r="B195" s="1" t="n">
        <v>44103</v>
      </c>
      <c r="C195" s="1" t="n">
        <v>45588</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50146-2020</t>
        </is>
      </c>
      <c r="B196" s="1" t="n">
        <v>44104</v>
      </c>
      <c r="C196" s="1" t="n">
        <v>45588</v>
      </c>
      <c r="D196" t="inlineStr">
        <is>
          <t>DALARNAS LÄN</t>
        </is>
      </c>
      <c r="E196" t="inlineStr">
        <is>
          <t>LUDVIKA</t>
        </is>
      </c>
      <c r="G196" t="n">
        <v>4.7</v>
      </c>
      <c r="H196" t="n">
        <v>0</v>
      </c>
      <c r="I196" t="n">
        <v>0</v>
      </c>
      <c r="J196" t="n">
        <v>0</v>
      </c>
      <c r="K196" t="n">
        <v>0</v>
      </c>
      <c r="L196" t="n">
        <v>0</v>
      </c>
      <c r="M196" t="n">
        <v>0</v>
      </c>
      <c r="N196" t="n">
        <v>0</v>
      </c>
      <c r="O196" t="n">
        <v>0</v>
      </c>
      <c r="P196" t="n">
        <v>0</v>
      </c>
      <c r="Q196" t="n">
        <v>0</v>
      </c>
      <c r="R196" s="2" t="inlineStr"/>
    </row>
    <row r="197" ht="15" customHeight="1">
      <c r="A197" t="inlineStr">
        <is>
          <t>A 51439-2020</t>
        </is>
      </c>
      <c r="B197" s="1" t="n">
        <v>44113</v>
      </c>
      <c r="C197" s="1" t="n">
        <v>45588</v>
      </c>
      <c r="D197" t="inlineStr">
        <is>
          <t>DALARNAS LÄN</t>
        </is>
      </c>
      <c r="E197" t="inlineStr">
        <is>
          <t>LUDVIKA</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51777-2020</t>
        </is>
      </c>
      <c r="B198" s="1" t="n">
        <v>44116</v>
      </c>
      <c r="C198" s="1" t="n">
        <v>45588</v>
      </c>
      <c r="D198" t="inlineStr">
        <is>
          <t>DALARNAS LÄN</t>
        </is>
      </c>
      <c r="E198" t="inlineStr">
        <is>
          <t>LUDVIKA</t>
        </is>
      </c>
      <c r="G198" t="n">
        <v>11.2</v>
      </c>
      <c r="H198" t="n">
        <v>0</v>
      </c>
      <c r="I198" t="n">
        <v>0</v>
      </c>
      <c r="J198" t="n">
        <v>0</v>
      </c>
      <c r="K198" t="n">
        <v>0</v>
      </c>
      <c r="L198" t="n">
        <v>0</v>
      </c>
      <c r="M198" t="n">
        <v>0</v>
      </c>
      <c r="N198" t="n">
        <v>0</v>
      </c>
      <c r="O198" t="n">
        <v>0</v>
      </c>
      <c r="P198" t="n">
        <v>0</v>
      </c>
      <c r="Q198" t="n">
        <v>0</v>
      </c>
      <c r="R198" s="2" t="inlineStr"/>
    </row>
    <row r="199" ht="15" customHeight="1">
      <c r="A199" t="inlineStr">
        <is>
          <t>A 51895-2020</t>
        </is>
      </c>
      <c r="B199" s="1" t="n">
        <v>44116</v>
      </c>
      <c r="C199" s="1" t="n">
        <v>45588</v>
      </c>
      <c r="D199" t="inlineStr">
        <is>
          <t>DALARNAS LÄN</t>
        </is>
      </c>
      <c r="E199" t="inlineStr">
        <is>
          <t>LUDVIKA</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52425-2020</t>
        </is>
      </c>
      <c r="B200" s="1" t="n">
        <v>44118</v>
      </c>
      <c r="C200" s="1" t="n">
        <v>45588</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52748-2020</t>
        </is>
      </c>
      <c r="B201" s="1" t="n">
        <v>44119</v>
      </c>
      <c r="C201" s="1" t="n">
        <v>45588</v>
      </c>
      <c r="D201" t="inlineStr">
        <is>
          <t>DALARNAS LÄN</t>
        </is>
      </c>
      <c r="E201" t="inlineStr">
        <is>
          <t>LUDVIKA</t>
        </is>
      </c>
      <c r="G201" t="n">
        <v>1</v>
      </c>
      <c r="H201" t="n">
        <v>0</v>
      </c>
      <c r="I201" t="n">
        <v>0</v>
      </c>
      <c r="J201" t="n">
        <v>0</v>
      </c>
      <c r="K201" t="n">
        <v>0</v>
      </c>
      <c r="L201" t="n">
        <v>0</v>
      </c>
      <c r="M201" t="n">
        <v>0</v>
      </c>
      <c r="N201" t="n">
        <v>0</v>
      </c>
      <c r="O201" t="n">
        <v>0</v>
      </c>
      <c r="P201" t="n">
        <v>0</v>
      </c>
      <c r="Q201" t="n">
        <v>0</v>
      </c>
      <c r="R201" s="2" t="inlineStr"/>
    </row>
    <row r="202" ht="15" customHeight="1">
      <c r="A202" t="inlineStr">
        <is>
          <t>A 52853-2020</t>
        </is>
      </c>
      <c r="B202" s="1" t="n">
        <v>44119</v>
      </c>
      <c r="C202" s="1" t="n">
        <v>45588</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52929-2020</t>
        </is>
      </c>
      <c r="B203" s="1" t="n">
        <v>44120</v>
      </c>
      <c r="C203" s="1" t="n">
        <v>45588</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53960-2020</t>
        </is>
      </c>
      <c r="B204" s="1" t="n">
        <v>44123</v>
      </c>
      <c r="C204" s="1" t="n">
        <v>45588</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53756-2020</t>
        </is>
      </c>
      <c r="B205" s="1" t="n">
        <v>44124</v>
      </c>
      <c r="C205" s="1" t="n">
        <v>45588</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55646-2020</t>
        </is>
      </c>
      <c r="B206" s="1" t="n">
        <v>44131</v>
      </c>
      <c r="C206" s="1" t="n">
        <v>45588</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61004-2020</t>
        </is>
      </c>
      <c r="B207" s="1" t="n">
        <v>44154</v>
      </c>
      <c r="C207" s="1" t="n">
        <v>45588</v>
      </c>
      <c r="D207" t="inlineStr">
        <is>
          <t>DALARNAS LÄN</t>
        </is>
      </c>
      <c r="E207" t="inlineStr">
        <is>
          <t>LUDVIKA</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60913-2020</t>
        </is>
      </c>
      <c r="B208" s="1" t="n">
        <v>44154</v>
      </c>
      <c r="C208" s="1" t="n">
        <v>45588</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60822-2020</t>
        </is>
      </c>
      <c r="B209" s="1" t="n">
        <v>44154</v>
      </c>
      <c r="C209" s="1" t="n">
        <v>45588</v>
      </c>
      <c r="D209" t="inlineStr">
        <is>
          <t>DALARNAS LÄN</t>
        </is>
      </c>
      <c r="E209" t="inlineStr">
        <is>
          <t>LUDVIKA</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61491-2020</t>
        </is>
      </c>
      <c r="B210" s="1" t="n">
        <v>44154</v>
      </c>
      <c r="C210" s="1" t="n">
        <v>45588</v>
      </c>
      <c r="D210" t="inlineStr">
        <is>
          <t>DALARNAS LÄN</t>
        </is>
      </c>
      <c r="E210" t="inlineStr">
        <is>
          <t>LUDVIKA</t>
        </is>
      </c>
      <c r="G210" t="n">
        <v>1.5</v>
      </c>
      <c r="H210" t="n">
        <v>0</v>
      </c>
      <c r="I210" t="n">
        <v>0</v>
      </c>
      <c r="J210" t="n">
        <v>0</v>
      </c>
      <c r="K210" t="n">
        <v>0</v>
      </c>
      <c r="L210" t="n">
        <v>0</v>
      </c>
      <c r="M210" t="n">
        <v>0</v>
      </c>
      <c r="N210" t="n">
        <v>0</v>
      </c>
      <c r="O210" t="n">
        <v>0</v>
      </c>
      <c r="P210" t="n">
        <v>0</v>
      </c>
      <c r="Q210" t="n">
        <v>0</v>
      </c>
      <c r="R210" s="2" t="inlineStr"/>
    </row>
    <row r="211" ht="15" customHeight="1">
      <c r="A211" t="inlineStr">
        <is>
          <t>A 61501-2020</t>
        </is>
      </c>
      <c r="B211" s="1" t="n">
        <v>44154</v>
      </c>
      <c r="C211" s="1" t="n">
        <v>45588</v>
      </c>
      <c r="D211" t="inlineStr">
        <is>
          <t>DALARNAS LÄN</t>
        </is>
      </c>
      <c r="E211" t="inlineStr">
        <is>
          <t>LUDVIKA</t>
        </is>
      </c>
      <c r="G211" t="n">
        <v>10</v>
      </c>
      <c r="H211" t="n">
        <v>0</v>
      </c>
      <c r="I211" t="n">
        <v>0</v>
      </c>
      <c r="J211" t="n">
        <v>0</v>
      </c>
      <c r="K211" t="n">
        <v>0</v>
      </c>
      <c r="L211" t="n">
        <v>0</v>
      </c>
      <c r="M211" t="n">
        <v>0</v>
      </c>
      <c r="N211" t="n">
        <v>0</v>
      </c>
      <c r="O211" t="n">
        <v>0</v>
      </c>
      <c r="P211" t="n">
        <v>0</v>
      </c>
      <c r="Q211" t="n">
        <v>0</v>
      </c>
      <c r="R211" s="2" t="inlineStr"/>
    </row>
    <row r="212" ht="15" customHeight="1">
      <c r="A212" t="inlineStr">
        <is>
          <t>A 61838-2020</t>
        </is>
      </c>
      <c r="B212" s="1" t="n">
        <v>44159</v>
      </c>
      <c r="C212" s="1" t="n">
        <v>45588</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63799-2020</t>
        </is>
      </c>
      <c r="B213" s="1" t="n">
        <v>44165</v>
      </c>
      <c r="C213" s="1" t="n">
        <v>45588</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63767-2020</t>
        </is>
      </c>
      <c r="B214" s="1" t="n">
        <v>44166</v>
      </c>
      <c r="C214" s="1" t="n">
        <v>45588</v>
      </c>
      <c r="D214" t="inlineStr">
        <is>
          <t>DALARNAS LÄN</t>
        </is>
      </c>
      <c r="E214" t="inlineStr">
        <is>
          <t>LUDVIKA</t>
        </is>
      </c>
      <c r="F214" t="inlineStr">
        <is>
          <t>Kommuner</t>
        </is>
      </c>
      <c r="G214" t="n">
        <v>1.9</v>
      </c>
      <c r="H214" t="n">
        <v>0</v>
      </c>
      <c r="I214" t="n">
        <v>0</v>
      </c>
      <c r="J214" t="n">
        <v>0</v>
      </c>
      <c r="K214" t="n">
        <v>0</v>
      </c>
      <c r="L214" t="n">
        <v>0</v>
      </c>
      <c r="M214" t="n">
        <v>0</v>
      </c>
      <c r="N214" t="n">
        <v>0</v>
      </c>
      <c r="O214" t="n">
        <v>0</v>
      </c>
      <c r="P214" t="n">
        <v>0</v>
      </c>
      <c r="Q214" t="n">
        <v>0</v>
      </c>
      <c r="R214" s="2" t="inlineStr"/>
    </row>
    <row r="215" ht="15" customHeight="1">
      <c r="A215" t="inlineStr">
        <is>
          <t>A 65150-2020</t>
        </is>
      </c>
      <c r="B215" s="1" t="n">
        <v>44168</v>
      </c>
      <c r="C215" s="1" t="n">
        <v>45588</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66188-2020</t>
        </is>
      </c>
      <c r="B216" s="1" t="n">
        <v>44174</v>
      </c>
      <c r="C216" s="1" t="n">
        <v>45588</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69094-2020</t>
        </is>
      </c>
      <c r="B217" s="1" t="n">
        <v>44188</v>
      </c>
      <c r="C217" s="1" t="n">
        <v>45588</v>
      </c>
      <c r="D217" t="inlineStr">
        <is>
          <t>DALARNAS LÄN</t>
        </is>
      </c>
      <c r="E217" t="inlineStr">
        <is>
          <t>LUDVIKA</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69157-2020</t>
        </is>
      </c>
      <c r="B218" s="1" t="n">
        <v>44188</v>
      </c>
      <c r="C218" s="1" t="n">
        <v>45588</v>
      </c>
      <c r="D218" t="inlineStr">
        <is>
          <t>DALARNAS LÄN</t>
        </is>
      </c>
      <c r="E218" t="inlineStr">
        <is>
          <t>LUDVIKA</t>
        </is>
      </c>
      <c r="F218" t="inlineStr">
        <is>
          <t>Kommuner</t>
        </is>
      </c>
      <c r="G218" t="n">
        <v>5.2</v>
      </c>
      <c r="H218" t="n">
        <v>0</v>
      </c>
      <c r="I218" t="n">
        <v>0</v>
      </c>
      <c r="J218" t="n">
        <v>0</v>
      </c>
      <c r="K218" t="n">
        <v>0</v>
      </c>
      <c r="L218" t="n">
        <v>0</v>
      </c>
      <c r="M218" t="n">
        <v>0</v>
      </c>
      <c r="N218" t="n">
        <v>0</v>
      </c>
      <c r="O218" t="n">
        <v>0</v>
      </c>
      <c r="P218" t="n">
        <v>0</v>
      </c>
      <c r="Q218" t="n">
        <v>0</v>
      </c>
      <c r="R218" s="2" t="inlineStr"/>
    </row>
    <row r="219" ht="15" customHeight="1">
      <c r="A219" t="inlineStr">
        <is>
          <t>A 69154-2020</t>
        </is>
      </c>
      <c r="B219" s="1" t="n">
        <v>44188</v>
      </c>
      <c r="C219" s="1" t="n">
        <v>45588</v>
      </c>
      <c r="D219" t="inlineStr">
        <is>
          <t>DALARNAS LÄN</t>
        </is>
      </c>
      <c r="E219" t="inlineStr">
        <is>
          <t>LUDVIKA</t>
        </is>
      </c>
      <c r="F219" t="inlineStr">
        <is>
          <t>Kommuner</t>
        </is>
      </c>
      <c r="G219" t="n">
        <v>13.3</v>
      </c>
      <c r="H219" t="n">
        <v>0</v>
      </c>
      <c r="I219" t="n">
        <v>0</v>
      </c>
      <c r="J219" t="n">
        <v>0</v>
      </c>
      <c r="K219" t="n">
        <v>0</v>
      </c>
      <c r="L219" t="n">
        <v>0</v>
      </c>
      <c r="M219" t="n">
        <v>0</v>
      </c>
      <c r="N219" t="n">
        <v>0</v>
      </c>
      <c r="O219" t="n">
        <v>0</v>
      </c>
      <c r="P219" t="n">
        <v>0</v>
      </c>
      <c r="Q219" t="n">
        <v>0</v>
      </c>
      <c r="R219" s="2" t="inlineStr"/>
    </row>
    <row r="220" ht="15" customHeight="1">
      <c r="A220" t="inlineStr">
        <is>
          <t>A 69090-2020</t>
        </is>
      </c>
      <c r="B220" s="1" t="n">
        <v>44188</v>
      </c>
      <c r="C220" s="1" t="n">
        <v>45588</v>
      </c>
      <c r="D220" t="inlineStr">
        <is>
          <t>DALARNAS LÄN</t>
        </is>
      </c>
      <c r="E220" t="inlineStr">
        <is>
          <t>LUDVIKA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69165-2020</t>
        </is>
      </c>
      <c r="B221" s="1" t="n">
        <v>44188</v>
      </c>
      <c r="C221" s="1" t="n">
        <v>45588</v>
      </c>
      <c r="D221" t="inlineStr">
        <is>
          <t>DALARNAS LÄN</t>
        </is>
      </c>
      <c r="E221" t="inlineStr">
        <is>
          <t>LUDVIKA</t>
        </is>
      </c>
      <c r="F221" t="inlineStr">
        <is>
          <t>Kommuner</t>
        </is>
      </c>
      <c r="G221" t="n">
        <v>1.4</v>
      </c>
      <c r="H221" t="n">
        <v>0</v>
      </c>
      <c r="I221" t="n">
        <v>0</v>
      </c>
      <c r="J221" t="n">
        <v>0</v>
      </c>
      <c r="K221" t="n">
        <v>0</v>
      </c>
      <c r="L221" t="n">
        <v>0</v>
      </c>
      <c r="M221" t="n">
        <v>0</v>
      </c>
      <c r="N221" t="n">
        <v>0</v>
      </c>
      <c r="O221" t="n">
        <v>0</v>
      </c>
      <c r="P221" t="n">
        <v>0</v>
      </c>
      <c r="Q221" t="n">
        <v>0</v>
      </c>
      <c r="R221" s="2" t="inlineStr"/>
    </row>
    <row r="222" ht="15" customHeight="1">
      <c r="A222" t="inlineStr">
        <is>
          <t>A 1633-2021</t>
        </is>
      </c>
      <c r="B222" s="1" t="n">
        <v>44209</v>
      </c>
      <c r="C222" s="1" t="n">
        <v>45588</v>
      </c>
      <c r="D222" t="inlineStr">
        <is>
          <t>DALARNAS LÄN</t>
        </is>
      </c>
      <c r="E222" t="inlineStr">
        <is>
          <t>LUDVIKA</t>
        </is>
      </c>
      <c r="G222" t="n">
        <v>0.6</v>
      </c>
      <c r="H222" t="n">
        <v>0</v>
      </c>
      <c r="I222" t="n">
        <v>0</v>
      </c>
      <c r="J222" t="n">
        <v>0</v>
      </c>
      <c r="K222" t="n">
        <v>0</v>
      </c>
      <c r="L222" t="n">
        <v>0</v>
      </c>
      <c r="M222" t="n">
        <v>0</v>
      </c>
      <c r="N222" t="n">
        <v>0</v>
      </c>
      <c r="O222" t="n">
        <v>0</v>
      </c>
      <c r="P222" t="n">
        <v>0</v>
      </c>
      <c r="Q222" t="n">
        <v>0</v>
      </c>
      <c r="R222" s="2" t="inlineStr"/>
    </row>
    <row r="223" ht="15" customHeight="1">
      <c r="A223" t="inlineStr">
        <is>
          <t>A 3104-2021</t>
        </is>
      </c>
      <c r="B223" s="1" t="n">
        <v>44217</v>
      </c>
      <c r="C223" s="1" t="n">
        <v>45588</v>
      </c>
      <c r="D223" t="inlineStr">
        <is>
          <t>DALARNAS LÄN</t>
        </is>
      </c>
      <c r="E223" t="inlineStr">
        <is>
          <t>LUDVIKA</t>
        </is>
      </c>
      <c r="G223" t="n">
        <v>2.1</v>
      </c>
      <c r="H223" t="n">
        <v>0</v>
      </c>
      <c r="I223" t="n">
        <v>0</v>
      </c>
      <c r="J223" t="n">
        <v>0</v>
      </c>
      <c r="K223" t="n">
        <v>0</v>
      </c>
      <c r="L223" t="n">
        <v>0</v>
      </c>
      <c r="M223" t="n">
        <v>0</v>
      </c>
      <c r="N223" t="n">
        <v>0</v>
      </c>
      <c r="O223" t="n">
        <v>0</v>
      </c>
      <c r="P223" t="n">
        <v>0</v>
      </c>
      <c r="Q223" t="n">
        <v>0</v>
      </c>
      <c r="R223" s="2" t="inlineStr"/>
    </row>
    <row r="224" ht="15" customHeight="1">
      <c r="A224" t="inlineStr">
        <is>
          <t>A 3403-2021</t>
        </is>
      </c>
      <c r="B224" s="1" t="n">
        <v>44218</v>
      </c>
      <c r="C224" s="1" t="n">
        <v>45588</v>
      </c>
      <c r="D224" t="inlineStr">
        <is>
          <t>DALARNAS LÄN</t>
        </is>
      </c>
      <c r="E224" t="inlineStr">
        <is>
          <t>LUDVIKA</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4569-2021</t>
        </is>
      </c>
      <c r="B225" s="1" t="n">
        <v>44224</v>
      </c>
      <c r="C225" s="1" t="n">
        <v>45588</v>
      </c>
      <c r="D225" t="inlineStr">
        <is>
          <t>DALARNAS LÄN</t>
        </is>
      </c>
      <c r="E225" t="inlineStr">
        <is>
          <t>LUDVIKA</t>
        </is>
      </c>
      <c r="F225" t="inlineStr">
        <is>
          <t>Kommuner</t>
        </is>
      </c>
      <c r="G225" t="n">
        <v>2.7</v>
      </c>
      <c r="H225" t="n">
        <v>0</v>
      </c>
      <c r="I225" t="n">
        <v>0</v>
      </c>
      <c r="J225" t="n">
        <v>0</v>
      </c>
      <c r="K225" t="n">
        <v>0</v>
      </c>
      <c r="L225" t="n">
        <v>0</v>
      </c>
      <c r="M225" t="n">
        <v>0</v>
      </c>
      <c r="N225" t="n">
        <v>0</v>
      </c>
      <c r="O225" t="n">
        <v>0</v>
      </c>
      <c r="P225" t="n">
        <v>0</v>
      </c>
      <c r="Q225" t="n">
        <v>0</v>
      </c>
      <c r="R225" s="2" t="inlineStr"/>
    </row>
    <row r="226" ht="15" customHeight="1">
      <c r="A226" t="inlineStr">
        <is>
          <t>A 7073-2021</t>
        </is>
      </c>
      <c r="B226" s="1" t="n">
        <v>44237</v>
      </c>
      <c r="C226" s="1" t="n">
        <v>45588</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8321-2021</t>
        </is>
      </c>
      <c r="B227" s="1" t="n">
        <v>44244</v>
      </c>
      <c r="C227" s="1" t="n">
        <v>45588</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8319-2021</t>
        </is>
      </c>
      <c r="B228" s="1" t="n">
        <v>44244</v>
      </c>
      <c r="C228" s="1" t="n">
        <v>45588</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9292-2021</t>
        </is>
      </c>
      <c r="B229" s="1" t="n">
        <v>44249</v>
      </c>
      <c r="C229" s="1" t="n">
        <v>45588</v>
      </c>
      <c r="D229" t="inlineStr">
        <is>
          <t>DALARNAS LÄN</t>
        </is>
      </c>
      <c r="E229" t="inlineStr">
        <is>
          <t>LUDVIKA</t>
        </is>
      </c>
      <c r="G229" t="n">
        <v>5.1</v>
      </c>
      <c r="H229" t="n">
        <v>0</v>
      </c>
      <c r="I229" t="n">
        <v>0</v>
      </c>
      <c r="J229" t="n">
        <v>0</v>
      </c>
      <c r="K229" t="n">
        <v>0</v>
      </c>
      <c r="L229" t="n">
        <v>0</v>
      </c>
      <c r="M229" t="n">
        <v>0</v>
      </c>
      <c r="N229" t="n">
        <v>0</v>
      </c>
      <c r="O229" t="n">
        <v>0</v>
      </c>
      <c r="P229" t="n">
        <v>0</v>
      </c>
      <c r="Q229" t="n">
        <v>0</v>
      </c>
      <c r="R229" s="2" t="inlineStr"/>
    </row>
    <row r="230" ht="15" customHeight="1">
      <c r="A230" t="inlineStr">
        <is>
          <t>A 11611-2021</t>
        </is>
      </c>
      <c r="B230" s="1" t="n">
        <v>44264</v>
      </c>
      <c r="C230" s="1" t="n">
        <v>45588</v>
      </c>
      <c r="D230" t="inlineStr">
        <is>
          <t>DALARNAS LÄN</t>
        </is>
      </c>
      <c r="E230" t="inlineStr">
        <is>
          <t>LUDVIKA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13778-2021</t>
        </is>
      </c>
      <c r="B231" s="1" t="n">
        <v>44274</v>
      </c>
      <c r="C231" s="1" t="n">
        <v>45588</v>
      </c>
      <c r="D231" t="inlineStr">
        <is>
          <t>DALARNAS LÄN</t>
        </is>
      </c>
      <c r="E231" t="inlineStr">
        <is>
          <t>LUDVIKA</t>
        </is>
      </c>
      <c r="G231" t="n">
        <v>5.8</v>
      </c>
      <c r="H231" t="n">
        <v>0</v>
      </c>
      <c r="I231" t="n">
        <v>0</v>
      </c>
      <c r="J231" t="n">
        <v>0</v>
      </c>
      <c r="K231" t="n">
        <v>0</v>
      </c>
      <c r="L231" t="n">
        <v>0</v>
      </c>
      <c r="M231" t="n">
        <v>0</v>
      </c>
      <c r="N231" t="n">
        <v>0</v>
      </c>
      <c r="O231" t="n">
        <v>0</v>
      </c>
      <c r="P231" t="n">
        <v>0</v>
      </c>
      <c r="Q231" t="n">
        <v>0</v>
      </c>
      <c r="R231" s="2" t="inlineStr"/>
    </row>
    <row r="232" ht="15" customHeight="1">
      <c r="A232" t="inlineStr">
        <is>
          <t>A 15020-2021</t>
        </is>
      </c>
      <c r="B232" s="1" t="n">
        <v>44281</v>
      </c>
      <c r="C232" s="1" t="n">
        <v>45588</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15700-2021</t>
        </is>
      </c>
      <c r="B233" s="1" t="n">
        <v>44286</v>
      </c>
      <c r="C233" s="1" t="n">
        <v>45588</v>
      </c>
      <c r="D233" t="inlineStr">
        <is>
          <t>DALARNAS LÄN</t>
        </is>
      </c>
      <c r="E233" t="inlineStr">
        <is>
          <t>LUDVIKA</t>
        </is>
      </c>
      <c r="G233" t="n">
        <v>2.2</v>
      </c>
      <c r="H233" t="n">
        <v>0</v>
      </c>
      <c r="I233" t="n">
        <v>0</v>
      </c>
      <c r="J233" t="n">
        <v>0</v>
      </c>
      <c r="K233" t="n">
        <v>0</v>
      </c>
      <c r="L233" t="n">
        <v>0</v>
      </c>
      <c r="M233" t="n">
        <v>0</v>
      </c>
      <c r="N233" t="n">
        <v>0</v>
      </c>
      <c r="O233" t="n">
        <v>0</v>
      </c>
      <c r="P233" t="n">
        <v>0</v>
      </c>
      <c r="Q233" t="n">
        <v>0</v>
      </c>
      <c r="R233" s="2" t="inlineStr"/>
    </row>
    <row r="234" ht="15" customHeight="1">
      <c r="A234" t="inlineStr">
        <is>
          <t>A 16108-2021</t>
        </is>
      </c>
      <c r="B234" s="1" t="n">
        <v>44291</v>
      </c>
      <c r="C234" s="1" t="n">
        <v>45588</v>
      </c>
      <c r="D234" t="inlineStr">
        <is>
          <t>DALARNAS LÄN</t>
        </is>
      </c>
      <c r="E234" t="inlineStr">
        <is>
          <t>LUDVIKA</t>
        </is>
      </c>
      <c r="G234" t="n">
        <v>2.9</v>
      </c>
      <c r="H234" t="n">
        <v>0</v>
      </c>
      <c r="I234" t="n">
        <v>0</v>
      </c>
      <c r="J234" t="n">
        <v>0</v>
      </c>
      <c r="K234" t="n">
        <v>0</v>
      </c>
      <c r="L234" t="n">
        <v>0</v>
      </c>
      <c r="M234" t="n">
        <v>0</v>
      </c>
      <c r="N234" t="n">
        <v>0</v>
      </c>
      <c r="O234" t="n">
        <v>0</v>
      </c>
      <c r="P234" t="n">
        <v>0</v>
      </c>
      <c r="Q234" t="n">
        <v>0</v>
      </c>
      <c r="R234" s="2" t="inlineStr"/>
    </row>
    <row r="235" ht="15" customHeight="1">
      <c r="A235" t="inlineStr">
        <is>
          <t>A 16187-2021</t>
        </is>
      </c>
      <c r="B235" s="1" t="n">
        <v>44292</v>
      </c>
      <c r="C235" s="1" t="n">
        <v>45588</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16203-2021</t>
        </is>
      </c>
      <c r="B236" s="1" t="n">
        <v>44292</v>
      </c>
      <c r="C236" s="1" t="n">
        <v>45588</v>
      </c>
      <c r="D236" t="inlineStr">
        <is>
          <t>DALARNAS LÄN</t>
        </is>
      </c>
      <c r="E236" t="inlineStr">
        <is>
          <t>LUDVIKA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17420-2021</t>
        </is>
      </c>
      <c r="B237" s="1" t="n">
        <v>44299</v>
      </c>
      <c r="C237" s="1" t="n">
        <v>45588</v>
      </c>
      <c r="D237" t="inlineStr">
        <is>
          <t>DALARNAS LÄN</t>
        </is>
      </c>
      <c r="E237" t="inlineStr">
        <is>
          <t>LUDVIKA</t>
        </is>
      </c>
      <c r="G237" t="n">
        <v>5.8</v>
      </c>
      <c r="H237" t="n">
        <v>0</v>
      </c>
      <c r="I237" t="n">
        <v>0</v>
      </c>
      <c r="J237" t="n">
        <v>0</v>
      </c>
      <c r="K237" t="n">
        <v>0</v>
      </c>
      <c r="L237" t="n">
        <v>0</v>
      </c>
      <c r="M237" t="n">
        <v>0</v>
      </c>
      <c r="N237" t="n">
        <v>0</v>
      </c>
      <c r="O237" t="n">
        <v>0</v>
      </c>
      <c r="P237" t="n">
        <v>0</v>
      </c>
      <c r="Q237" t="n">
        <v>0</v>
      </c>
      <c r="R237" s="2" t="inlineStr"/>
    </row>
    <row r="238" ht="15" customHeight="1">
      <c r="A238" t="inlineStr">
        <is>
          <t>A 18025-2021</t>
        </is>
      </c>
      <c r="B238" s="1" t="n">
        <v>44302</v>
      </c>
      <c r="C238" s="1" t="n">
        <v>45588</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20598-2021</t>
        </is>
      </c>
      <c r="B239" s="1" t="n">
        <v>44316</v>
      </c>
      <c r="C239" s="1" t="n">
        <v>45588</v>
      </c>
      <c r="D239" t="inlineStr">
        <is>
          <t>DALARNAS LÄN</t>
        </is>
      </c>
      <c r="E239" t="inlineStr">
        <is>
          <t>LUDVIKA</t>
        </is>
      </c>
      <c r="F239" t="inlineStr">
        <is>
          <t>Naturvårdsverket</t>
        </is>
      </c>
      <c r="G239" t="n">
        <v>2.4</v>
      </c>
      <c r="H239" t="n">
        <v>0</v>
      </c>
      <c r="I239" t="n">
        <v>0</v>
      </c>
      <c r="J239" t="n">
        <v>0</v>
      </c>
      <c r="K239" t="n">
        <v>0</v>
      </c>
      <c r="L239" t="n">
        <v>0</v>
      </c>
      <c r="M239" t="n">
        <v>0</v>
      </c>
      <c r="N239" t="n">
        <v>0</v>
      </c>
      <c r="O239" t="n">
        <v>0</v>
      </c>
      <c r="P239" t="n">
        <v>0</v>
      </c>
      <c r="Q239" t="n">
        <v>0</v>
      </c>
      <c r="R239" s="2" t="inlineStr"/>
    </row>
    <row r="240" ht="15" customHeight="1">
      <c r="A240" t="inlineStr">
        <is>
          <t>A 20599-2021</t>
        </is>
      </c>
      <c r="B240" s="1" t="n">
        <v>44316</v>
      </c>
      <c r="C240" s="1" t="n">
        <v>45588</v>
      </c>
      <c r="D240" t="inlineStr">
        <is>
          <t>DALARNAS LÄN</t>
        </is>
      </c>
      <c r="E240" t="inlineStr">
        <is>
          <t>LUDVIKA</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20690-2021</t>
        </is>
      </c>
      <c r="B241" s="1" t="n">
        <v>44316</v>
      </c>
      <c r="C241" s="1" t="n">
        <v>45588</v>
      </c>
      <c r="D241" t="inlineStr">
        <is>
          <t>DALARNAS LÄN</t>
        </is>
      </c>
      <c r="E241" t="inlineStr">
        <is>
          <t>LUDVIKA</t>
        </is>
      </c>
      <c r="F241" t="inlineStr">
        <is>
          <t>Naturvårdsverket</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20700-2021</t>
        </is>
      </c>
      <c r="B242" s="1" t="n">
        <v>44316</v>
      </c>
      <c r="C242" s="1" t="n">
        <v>45588</v>
      </c>
      <c r="D242" t="inlineStr">
        <is>
          <t>DALARNAS LÄN</t>
        </is>
      </c>
      <c r="E242" t="inlineStr">
        <is>
          <t>LUDVIKA</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20596-2021</t>
        </is>
      </c>
      <c r="B243" s="1" t="n">
        <v>44316</v>
      </c>
      <c r="C243" s="1" t="n">
        <v>45588</v>
      </c>
      <c r="D243" t="inlineStr">
        <is>
          <t>DALARNAS LÄN</t>
        </is>
      </c>
      <c r="E243" t="inlineStr">
        <is>
          <t>LUDVIKA</t>
        </is>
      </c>
      <c r="F243" t="inlineStr">
        <is>
          <t>Naturvårdsverket</t>
        </is>
      </c>
      <c r="G243" t="n">
        <v>2.3</v>
      </c>
      <c r="H243" t="n">
        <v>0</v>
      </c>
      <c r="I243" t="n">
        <v>0</v>
      </c>
      <c r="J243" t="n">
        <v>0</v>
      </c>
      <c r="K243" t="n">
        <v>0</v>
      </c>
      <c r="L243" t="n">
        <v>0</v>
      </c>
      <c r="M243" t="n">
        <v>0</v>
      </c>
      <c r="N243" t="n">
        <v>0</v>
      </c>
      <c r="O243" t="n">
        <v>0</v>
      </c>
      <c r="P243" t="n">
        <v>0</v>
      </c>
      <c r="Q243" t="n">
        <v>0</v>
      </c>
      <c r="R243" s="2" t="inlineStr"/>
    </row>
    <row r="244" ht="15" customHeight="1">
      <c r="A244" t="inlineStr">
        <is>
          <t>A 21712-2021</t>
        </is>
      </c>
      <c r="B244" s="1" t="n">
        <v>44322</v>
      </c>
      <c r="C244" s="1" t="n">
        <v>45588</v>
      </c>
      <c r="D244" t="inlineStr">
        <is>
          <t>DALARNAS LÄN</t>
        </is>
      </c>
      <c r="E244" t="inlineStr">
        <is>
          <t>LUDVIKA</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21716-2021</t>
        </is>
      </c>
      <c r="B245" s="1" t="n">
        <v>44322</v>
      </c>
      <c r="C245" s="1" t="n">
        <v>45588</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21887-2021</t>
        </is>
      </c>
      <c r="B246" s="1" t="n">
        <v>44322</v>
      </c>
      <c r="C246" s="1" t="n">
        <v>45588</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23101-2021</t>
        </is>
      </c>
      <c r="B247" s="1" t="n">
        <v>44330</v>
      </c>
      <c r="C247" s="1" t="n">
        <v>45588</v>
      </c>
      <c r="D247" t="inlineStr">
        <is>
          <t>DALARNAS LÄN</t>
        </is>
      </c>
      <c r="E247" t="inlineStr">
        <is>
          <t>LUDVIKA</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23245-2021</t>
        </is>
      </c>
      <c r="B248" s="1" t="n">
        <v>44333</v>
      </c>
      <c r="C248" s="1" t="n">
        <v>45588</v>
      </c>
      <c r="D248" t="inlineStr">
        <is>
          <t>DALARNAS LÄN</t>
        </is>
      </c>
      <c r="E248" t="inlineStr">
        <is>
          <t>LUDVIKA</t>
        </is>
      </c>
      <c r="F248" t="inlineStr">
        <is>
          <t>Kyrkan</t>
        </is>
      </c>
      <c r="G248" t="n">
        <v>3.2</v>
      </c>
      <c r="H248" t="n">
        <v>0</v>
      </c>
      <c r="I248" t="n">
        <v>0</v>
      </c>
      <c r="J248" t="n">
        <v>0</v>
      </c>
      <c r="K248" t="n">
        <v>0</v>
      </c>
      <c r="L248" t="n">
        <v>0</v>
      </c>
      <c r="M248" t="n">
        <v>0</v>
      </c>
      <c r="N248" t="n">
        <v>0</v>
      </c>
      <c r="O248" t="n">
        <v>0</v>
      </c>
      <c r="P248" t="n">
        <v>0</v>
      </c>
      <c r="Q248" t="n">
        <v>0</v>
      </c>
      <c r="R248" s="2" t="inlineStr"/>
    </row>
    <row r="249" ht="15" customHeight="1">
      <c r="A249" t="inlineStr">
        <is>
          <t>A 23271-2021</t>
        </is>
      </c>
      <c r="B249" s="1" t="n">
        <v>44333</v>
      </c>
      <c r="C249" s="1" t="n">
        <v>45588</v>
      </c>
      <c r="D249" t="inlineStr">
        <is>
          <t>DALARNAS LÄN</t>
        </is>
      </c>
      <c r="E249" t="inlineStr">
        <is>
          <t>LUDVIKA</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24033-2021</t>
        </is>
      </c>
      <c r="B250" s="1" t="n">
        <v>44336</v>
      </c>
      <c r="C250" s="1" t="n">
        <v>45588</v>
      </c>
      <c r="D250" t="inlineStr">
        <is>
          <t>DALARNAS LÄN</t>
        </is>
      </c>
      <c r="E250" t="inlineStr">
        <is>
          <t>LUDVIKA</t>
        </is>
      </c>
      <c r="F250" t="inlineStr">
        <is>
          <t>Allmännings- och besparingsskogar</t>
        </is>
      </c>
      <c r="G250" t="n">
        <v>0.9</v>
      </c>
      <c r="H250" t="n">
        <v>0</v>
      </c>
      <c r="I250" t="n">
        <v>0</v>
      </c>
      <c r="J250" t="n">
        <v>0</v>
      </c>
      <c r="K250" t="n">
        <v>0</v>
      </c>
      <c r="L250" t="n">
        <v>0</v>
      </c>
      <c r="M250" t="n">
        <v>0</v>
      </c>
      <c r="N250" t="n">
        <v>0</v>
      </c>
      <c r="O250" t="n">
        <v>0</v>
      </c>
      <c r="P250" t="n">
        <v>0</v>
      </c>
      <c r="Q250" t="n">
        <v>0</v>
      </c>
      <c r="R250" s="2" t="inlineStr"/>
    </row>
    <row r="251" ht="15" customHeight="1">
      <c r="A251" t="inlineStr">
        <is>
          <t>A 24080-2021</t>
        </is>
      </c>
      <c r="B251" s="1" t="n">
        <v>44336</v>
      </c>
      <c r="C251" s="1" t="n">
        <v>45588</v>
      </c>
      <c r="D251" t="inlineStr">
        <is>
          <t>DALARNAS LÄN</t>
        </is>
      </c>
      <c r="E251" t="inlineStr">
        <is>
          <t>LUDVIKA</t>
        </is>
      </c>
      <c r="G251" t="n">
        <v>0.7</v>
      </c>
      <c r="H251" t="n">
        <v>0</v>
      </c>
      <c r="I251" t="n">
        <v>0</v>
      </c>
      <c r="J251" t="n">
        <v>0</v>
      </c>
      <c r="K251" t="n">
        <v>0</v>
      </c>
      <c r="L251" t="n">
        <v>0</v>
      </c>
      <c r="M251" t="n">
        <v>0</v>
      </c>
      <c r="N251" t="n">
        <v>0</v>
      </c>
      <c r="O251" t="n">
        <v>0</v>
      </c>
      <c r="P251" t="n">
        <v>0</v>
      </c>
      <c r="Q251" t="n">
        <v>0</v>
      </c>
      <c r="R251" s="2" t="inlineStr"/>
    </row>
    <row r="252" ht="15" customHeight="1">
      <c r="A252" t="inlineStr">
        <is>
          <t>A 24469-2021</t>
        </is>
      </c>
      <c r="B252" s="1" t="n">
        <v>44337</v>
      </c>
      <c r="C252" s="1" t="n">
        <v>45588</v>
      </c>
      <c r="D252" t="inlineStr">
        <is>
          <t>DALARNAS LÄN</t>
        </is>
      </c>
      <c r="E252" t="inlineStr">
        <is>
          <t>LUDVIKA</t>
        </is>
      </c>
      <c r="F252" t="inlineStr">
        <is>
          <t>Bergvik skog väst AB</t>
        </is>
      </c>
      <c r="G252" t="n">
        <v>6.9</v>
      </c>
      <c r="H252" t="n">
        <v>0</v>
      </c>
      <c r="I252" t="n">
        <v>0</v>
      </c>
      <c r="J252" t="n">
        <v>0</v>
      </c>
      <c r="K252" t="n">
        <v>0</v>
      </c>
      <c r="L252" t="n">
        <v>0</v>
      </c>
      <c r="M252" t="n">
        <v>0</v>
      </c>
      <c r="N252" t="n">
        <v>0</v>
      </c>
      <c r="O252" t="n">
        <v>0</v>
      </c>
      <c r="P252" t="n">
        <v>0</v>
      </c>
      <c r="Q252" t="n">
        <v>0</v>
      </c>
      <c r="R252" s="2" t="inlineStr"/>
    </row>
    <row r="253" ht="15" customHeight="1">
      <c r="A253" t="inlineStr">
        <is>
          <t>A 24906-2021</t>
        </is>
      </c>
      <c r="B253" s="1" t="n">
        <v>44341</v>
      </c>
      <c r="C253" s="1" t="n">
        <v>45588</v>
      </c>
      <c r="D253" t="inlineStr">
        <is>
          <t>DALARNAS LÄN</t>
        </is>
      </c>
      <c r="E253" t="inlineStr">
        <is>
          <t>LUDVIKA</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26066-2021</t>
        </is>
      </c>
      <c r="B254" s="1" t="n">
        <v>44344</v>
      </c>
      <c r="C254" s="1" t="n">
        <v>45588</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26054-2021</t>
        </is>
      </c>
      <c r="B255" s="1" t="n">
        <v>44344</v>
      </c>
      <c r="C255" s="1" t="n">
        <v>45588</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29000-2021</t>
        </is>
      </c>
      <c r="B256" s="1" t="n">
        <v>44358</v>
      </c>
      <c r="C256" s="1" t="n">
        <v>45588</v>
      </c>
      <c r="D256" t="inlineStr">
        <is>
          <t>DALARNAS LÄN</t>
        </is>
      </c>
      <c r="E256" t="inlineStr">
        <is>
          <t>LUDVIKA</t>
        </is>
      </c>
      <c r="F256" t="inlineStr">
        <is>
          <t>Bergvik skog väst AB</t>
        </is>
      </c>
      <c r="G256" t="n">
        <v>0.5</v>
      </c>
      <c r="H256" t="n">
        <v>0</v>
      </c>
      <c r="I256" t="n">
        <v>0</v>
      </c>
      <c r="J256" t="n">
        <v>0</v>
      </c>
      <c r="K256" t="n">
        <v>0</v>
      </c>
      <c r="L256" t="n">
        <v>0</v>
      </c>
      <c r="M256" t="n">
        <v>0</v>
      </c>
      <c r="N256" t="n">
        <v>0</v>
      </c>
      <c r="O256" t="n">
        <v>0</v>
      </c>
      <c r="P256" t="n">
        <v>0</v>
      </c>
      <c r="Q256" t="n">
        <v>0</v>
      </c>
      <c r="R256" s="2" t="inlineStr"/>
    </row>
    <row r="257" ht="15" customHeight="1">
      <c r="A257" t="inlineStr">
        <is>
          <t>A 29789-2021</t>
        </is>
      </c>
      <c r="B257" s="1" t="n">
        <v>44362</v>
      </c>
      <c r="C257" s="1" t="n">
        <v>45588</v>
      </c>
      <c r="D257" t="inlineStr">
        <is>
          <t>DALARNAS LÄN</t>
        </is>
      </c>
      <c r="E257" t="inlineStr">
        <is>
          <t>LUDVIKA</t>
        </is>
      </c>
      <c r="F257" t="inlineStr">
        <is>
          <t>Övriga Aktiebolag</t>
        </is>
      </c>
      <c r="G257" t="n">
        <v>0.9</v>
      </c>
      <c r="H257" t="n">
        <v>0</v>
      </c>
      <c r="I257" t="n">
        <v>0</v>
      </c>
      <c r="J257" t="n">
        <v>0</v>
      </c>
      <c r="K257" t="n">
        <v>0</v>
      </c>
      <c r="L257" t="n">
        <v>0</v>
      </c>
      <c r="M257" t="n">
        <v>0</v>
      </c>
      <c r="N257" t="n">
        <v>0</v>
      </c>
      <c r="O257" t="n">
        <v>0</v>
      </c>
      <c r="P257" t="n">
        <v>0</v>
      </c>
      <c r="Q257" t="n">
        <v>0</v>
      </c>
      <c r="R257" s="2" t="inlineStr"/>
    </row>
    <row r="258" ht="15" customHeight="1">
      <c r="A258" t="inlineStr">
        <is>
          <t>A 30502-2021</t>
        </is>
      </c>
      <c r="B258" s="1" t="n">
        <v>44364</v>
      </c>
      <c r="C258" s="1" t="n">
        <v>45588</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31086-2021</t>
        </is>
      </c>
      <c r="B259" s="1" t="n">
        <v>44368</v>
      </c>
      <c r="C259" s="1" t="n">
        <v>45588</v>
      </c>
      <c r="D259" t="inlineStr">
        <is>
          <t>DALARNAS LÄN</t>
        </is>
      </c>
      <c r="E259" t="inlineStr">
        <is>
          <t>LUDVIKA</t>
        </is>
      </c>
      <c r="G259" t="n">
        <v>0.8</v>
      </c>
      <c r="H259" t="n">
        <v>0</v>
      </c>
      <c r="I259" t="n">
        <v>0</v>
      </c>
      <c r="J259" t="n">
        <v>0</v>
      </c>
      <c r="K259" t="n">
        <v>0</v>
      </c>
      <c r="L259" t="n">
        <v>0</v>
      </c>
      <c r="M259" t="n">
        <v>0</v>
      </c>
      <c r="N259" t="n">
        <v>0</v>
      </c>
      <c r="O259" t="n">
        <v>0</v>
      </c>
      <c r="P259" t="n">
        <v>0</v>
      </c>
      <c r="Q259" t="n">
        <v>0</v>
      </c>
      <c r="R259" s="2" t="inlineStr"/>
    </row>
    <row r="260" ht="15" customHeight="1">
      <c r="A260" t="inlineStr">
        <is>
          <t>A 31465-2021</t>
        </is>
      </c>
      <c r="B260" s="1" t="n">
        <v>44369</v>
      </c>
      <c r="C260" s="1" t="n">
        <v>45588</v>
      </c>
      <c r="D260" t="inlineStr">
        <is>
          <t>DALARNAS LÄN</t>
        </is>
      </c>
      <c r="E260" t="inlineStr">
        <is>
          <t>LUDVIKA</t>
        </is>
      </c>
      <c r="F260" t="inlineStr">
        <is>
          <t>Naturvårdsverket</t>
        </is>
      </c>
      <c r="G260" t="n">
        <v>2.4</v>
      </c>
      <c r="H260" t="n">
        <v>0</v>
      </c>
      <c r="I260" t="n">
        <v>0</v>
      </c>
      <c r="J260" t="n">
        <v>0</v>
      </c>
      <c r="K260" t="n">
        <v>0</v>
      </c>
      <c r="L260" t="n">
        <v>0</v>
      </c>
      <c r="M260" t="n">
        <v>0</v>
      </c>
      <c r="N260" t="n">
        <v>0</v>
      </c>
      <c r="O260" t="n">
        <v>0</v>
      </c>
      <c r="P260" t="n">
        <v>0</v>
      </c>
      <c r="Q260" t="n">
        <v>0</v>
      </c>
      <c r="R260" s="2" t="inlineStr"/>
    </row>
    <row r="261" ht="15" customHeight="1">
      <c r="A261" t="inlineStr">
        <is>
          <t>A 31550-2021</t>
        </is>
      </c>
      <c r="B261" s="1" t="n">
        <v>44369</v>
      </c>
      <c r="C261" s="1" t="n">
        <v>45588</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31921-2021</t>
        </is>
      </c>
      <c r="B262" s="1" t="n">
        <v>44370</v>
      </c>
      <c r="C262" s="1" t="n">
        <v>45588</v>
      </c>
      <c r="D262" t="inlineStr">
        <is>
          <t>DALARNAS LÄN</t>
        </is>
      </c>
      <c r="E262" t="inlineStr">
        <is>
          <t>LUDVIKA</t>
        </is>
      </c>
      <c r="F262" t="inlineStr">
        <is>
          <t>Övriga Aktiebolag</t>
        </is>
      </c>
      <c r="G262" t="n">
        <v>0.5</v>
      </c>
      <c r="H262" t="n">
        <v>0</v>
      </c>
      <c r="I262" t="n">
        <v>0</v>
      </c>
      <c r="J262" t="n">
        <v>0</v>
      </c>
      <c r="K262" t="n">
        <v>0</v>
      </c>
      <c r="L262" t="n">
        <v>0</v>
      </c>
      <c r="M262" t="n">
        <v>0</v>
      </c>
      <c r="N262" t="n">
        <v>0</v>
      </c>
      <c r="O262" t="n">
        <v>0</v>
      </c>
      <c r="P262" t="n">
        <v>0</v>
      </c>
      <c r="Q262" t="n">
        <v>0</v>
      </c>
      <c r="R262" s="2" t="inlineStr"/>
    </row>
    <row r="263" ht="15" customHeight="1">
      <c r="A263" t="inlineStr">
        <is>
          <t>A 31925-2021</t>
        </is>
      </c>
      <c r="B263" s="1" t="n">
        <v>44370</v>
      </c>
      <c r="C263" s="1" t="n">
        <v>45588</v>
      </c>
      <c r="D263" t="inlineStr">
        <is>
          <t>DALARNAS LÄN</t>
        </is>
      </c>
      <c r="E263" t="inlineStr">
        <is>
          <t>LUDVIKA</t>
        </is>
      </c>
      <c r="F263" t="inlineStr">
        <is>
          <t>Övriga Aktiebolag</t>
        </is>
      </c>
      <c r="G263" t="n">
        <v>3.2</v>
      </c>
      <c r="H263" t="n">
        <v>0</v>
      </c>
      <c r="I263" t="n">
        <v>0</v>
      </c>
      <c r="J263" t="n">
        <v>0</v>
      </c>
      <c r="K263" t="n">
        <v>0</v>
      </c>
      <c r="L263" t="n">
        <v>0</v>
      </c>
      <c r="M263" t="n">
        <v>0</v>
      </c>
      <c r="N263" t="n">
        <v>0</v>
      </c>
      <c r="O263" t="n">
        <v>0</v>
      </c>
      <c r="P263" t="n">
        <v>0</v>
      </c>
      <c r="Q263" t="n">
        <v>0</v>
      </c>
      <c r="R263" s="2" t="inlineStr"/>
    </row>
    <row r="264" ht="15" customHeight="1">
      <c r="A264" t="inlineStr">
        <is>
          <t>A 32015-2021</t>
        </is>
      </c>
      <c r="B264" s="1" t="n">
        <v>44370</v>
      </c>
      <c r="C264" s="1" t="n">
        <v>45588</v>
      </c>
      <c r="D264" t="inlineStr">
        <is>
          <t>DALARNAS LÄN</t>
        </is>
      </c>
      <c r="E264" t="inlineStr">
        <is>
          <t>LUDVIKA</t>
        </is>
      </c>
      <c r="G264" t="n">
        <v>1.6</v>
      </c>
      <c r="H264" t="n">
        <v>0</v>
      </c>
      <c r="I264" t="n">
        <v>0</v>
      </c>
      <c r="J264" t="n">
        <v>0</v>
      </c>
      <c r="K264" t="n">
        <v>0</v>
      </c>
      <c r="L264" t="n">
        <v>0</v>
      </c>
      <c r="M264" t="n">
        <v>0</v>
      </c>
      <c r="N264" t="n">
        <v>0</v>
      </c>
      <c r="O264" t="n">
        <v>0</v>
      </c>
      <c r="P264" t="n">
        <v>0</v>
      </c>
      <c r="Q264" t="n">
        <v>0</v>
      </c>
      <c r="R264" s="2" t="inlineStr"/>
    </row>
    <row r="265" ht="15" customHeight="1">
      <c r="A265" t="inlineStr">
        <is>
          <t>A 32054-2021</t>
        </is>
      </c>
      <c r="B265" s="1" t="n">
        <v>44370</v>
      </c>
      <c r="C265" s="1" t="n">
        <v>45588</v>
      </c>
      <c r="D265" t="inlineStr">
        <is>
          <t>DALARNAS LÄN</t>
        </is>
      </c>
      <c r="E265" t="inlineStr">
        <is>
          <t>LUDVIKA</t>
        </is>
      </c>
      <c r="G265" t="n">
        <v>28.7</v>
      </c>
      <c r="H265" t="n">
        <v>0</v>
      </c>
      <c r="I265" t="n">
        <v>0</v>
      </c>
      <c r="J265" t="n">
        <v>0</v>
      </c>
      <c r="K265" t="n">
        <v>0</v>
      </c>
      <c r="L265" t="n">
        <v>0</v>
      </c>
      <c r="M265" t="n">
        <v>0</v>
      </c>
      <c r="N265" t="n">
        <v>0</v>
      </c>
      <c r="O265" t="n">
        <v>0</v>
      </c>
      <c r="P265" t="n">
        <v>0</v>
      </c>
      <c r="Q265" t="n">
        <v>0</v>
      </c>
      <c r="R265" s="2" t="inlineStr"/>
    </row>
    <row r="266" ht="15" customHeight="1">
      <c r="A266" t="inlineStr">
        <is>
          <t>A 33032-2021</t>
        </is>
      </c>
      <c r="B266" s="1" t="n">
        <v>44376</v>
      </c>
      <c r="C266" s="1" t="n">
        <v>45588</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33416-2021</t>
        </is>
      </c>
      <c r="B267" s="1" t="n">
        <v>44377</v>
      </c>
      <c r="C267" s="1" t="n">
        <v>45588</v>
      </c>
      <c r="D267" t="inlineStr">
        <is>
          <t>DALARNAS LÄN</t>
        </is>
      </c>
      <c r="E267" t="inlineStr">
        <is>
          <t>LUDVIKA</t>
        </is>
      </c>
      <c r="F267" t="inlineStr">
        <is>
          <t>Bergvik skog väst AB</t>
        </is>
      </c>
      <c r="G267" t="n">
        <v>8</v>
      </c>
      <c r="H267" t="n">
        <v>0</v>
      </c>
      <c r="I267" t="n">
        <v>0</v>
      </c>
      <c r="J267" t="n">
        <v>0</v>
      </c>
      <c r="K267" t="n">
        <v>0</v>
      </c>
      <c r="L267" t="n">
        <v>0</v>
      </c>
      <c r="M267" t="n">
        <v>0</v>
      </c>
      <c r="N267" t="n">
        <v>0</v>
      </c>
      <c r="O267" t="n">
        <v>0</v>
      </c>
      <c r="P267" t="n">
        <v>0</v>
      </c>
      <c r="Q267" t="n">
        <v>0</v>
      </c>
      <c r="R267" s="2" t="inlineStr"/>
    </row>
    <row r="268" ht="15" customHeight="1">
      <c r="A268" t="inlineStr">
        <is>
          <t>A 33505-2021</t>
        </is>
      </c>
      <c r="B268" s="1" t="n">
        <v>44377</v>
      </c>
      <c r="C268" s="1" t="n">
        <v>45588</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35731-2021</t>
        </is>
      </c>
      <c r="B269" s="1" t="n">
        <v>44386</v>
      </c>
      <c r="C269" s="1" t="n">
        <v>45588</v>
      </c>
      <c r="D269" t="inlineStr">
        <is>
          <t>DALARNAS LÄN</t>
        </is>
      </c>
      <c r="E269" t="inlineStr">
        <is>
          <t>LUDVIKA</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35720-2021</t>
        </is>
      </c>
      <c r="B270" s="1" t="n">
        <v>44386</v>
      </c>
      <c r="C270" s="1" t="n">
        <v>45588</v>
      </c>
      <c r="D270" t="inlineStr">
        <is>
          <t>DALARNAS LÄN</t>
        </is>
      </c>
      <c r="E270" t="inlineStr">
        <is>
          <t>LUDVIKA</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35892-2021</t>
        </is>
      </c>
      <c r="B271" s="1" t="n">
        <v>44387</v>
      </c>
      <c r="C271" s="1" t="n">
        <v>45588</v>
      </c>
      <c r="D271" t="inlineStr">
        <is>
          <t>DALARNAS LÄN</t>
        </is>
      </c>
      <c r="E271" t="inlineStr">
        <is>
          <t>LUDVIKA</t>
        </is>
      </c>
      <c r="F271" t="inlineStr">
        <is>
          <t>Kyrkan</t>
        </is>
      </c>
      <c r="G271" t="n">
        <v>1</v>
      </c>
      <c r="H271" t="n">
        <v>0</v>
      </c>
      <c r="I271" t="n">
        <v>0</v>
      </c>
      <c r="J271" t="n">
        <v>0</v>
      </c>
      <c r="K271" t="n">
        <v>0</v>
      </c>
      <c r="L271" t="n">
        <v>0</v>
      </c>
      <c r="M271" t="n">
        <v>0</v>
      </c>
      <c r="N271" t="n">
        <v>0</v>
      </c>
      <c r="O271" t="n">
        <v>0</v>
      </c>
      <c r="P271" t="n">
        <v>0</v>
      </c>
      <c r="Q271" t="n">
        <v>0</v>
      </c>
      <c r="R271" s="2" t="inlineStr"/>
    </row>
    <row r="272" ht="15" customHeight="1">
      <c r="A272" t="inlineStr">
        <is>
          <t>A 36862-2021</t>
        </is>
      </c>
      <c r="B272" s="1" t="n">
        <v>44393</v>
      </c>
      <c r="C272" s="1" t="n">
        <v>45588</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37384-2021</t>
        </is>
      </c>
      <c r="B273" s="1" t="n">
        <v>44397</v>
      </c>
      <c r="C273" s="1" t="n">
        <v>45588</v>
      </c>
      <c r="D273" t="inlineStr">
        <is>
          <t>DALARNAS LÄN</t>
        </is>
      </c>
      <c r="E273" t="inlineStr">
        <is>
          <t>LUDVIKA</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38084-2021</t>
        </is>
      </c>
      <c r="B274" s="1" t="n">
        <v>44404</v>
      </c>
      <c r="C274" s="1" t="n">
        <v>45588</v>
      </c>
      <c r="D274" t="inlineStr">
        <is>
          <t>DALARNAS LÄN</t>
        </is>
      </c>
      <c r="E274" t="inlineStr">
        <is>
          <t>LUDVIKA</t>
        </is>
      </c>
      <c r="G274" t="n">
        <v>0.3</v>
      </c>
      <c r="H274" t="n">
        <v>0</v>
      </c>
      <c r="I274" t="n">
        <v>0</v>
      </c>
      <c r="J274" t="n">
        <v>0</v>
      </c>
      <c r="K274" t="n">
        <v>0</v>
      </c>
      <c r="L274" t="n">
        <v>0</v>
      </c>
      <c r="M274" t="n">
        <v>0</v>
      </c>
      <c r="N274" t="n">
        <v>0</v>
      </c>
      <c r="O274" t="n">
        <v>0</v>
      </c>
      <c r="P274" t="n">
        <v>0</v>
      </c>
      <c r="Q274" t="n">
        <v>0</v>
      </c>
      <c r="R274" s="2" t="inlineStr"/>
    </row>
    <row r="275" ht="15" customHeight="1">
      <c r="A275" t="inlineStr">
        <is>
          <t>A 38223-2021</t>
        </is>
      </c>
      <c r="B275" s="1" t="n">
        <v>44405</v>
      </c>
      <c r="C275" s="1" t="n">
        <v>45588</v>
      </c>
      <c r="D275" t="inlineStr">
        <is>
          <t>DALARNAS LÄN</t>
        </is>
      </c>
      <c r="E275" t="inlineStr">
        <is>
          <t>LUDVIKA</t>
        </is>
      </c>
      <c r="G275" t="n">
        <v>2.3</v>
      </c>
      <c r="H275" t="n">
        <v>0</v>
      </c>
      <c r="I275" t="n">
        <v>0</v>
      </c>
      <c r="J275" t="n">
        <v>0</v>
      </c>
      <c r="K275" t="n">
        <v>0</v>
      </c>
      <c r="L275" t="n">
        <v>0</v>
      </c>
      <c r="M275" t="n">
        <v>0</v>
      </c>
      <c r="N275" t="n">
        <v>0</v>
      </c>
      <c r="O275" t="n">
        <v>0</v>
      </c>
      <c r="P275" t="n">
        <v>0</v>
      </c>
      <c r="Q275" t="n">
        <v>0</v>
      </c>
      <c r="R275" s="2" t="inlineStr"/>
    </row>
    <row r="276" ht="15" customHeight="1">
      <c r="A276" t="inlineStr">
        <is>
          <t>A 38371-2021</t>
        </is>
      </c>
      <c r="B276" s="1" t="n">
        <v>44406</v>
      </c>
      <c r="C276" s="1" t="n">
        <v>45588</v>
      </c>
      <c r="D276" t="inlineStr">
        <is>
          <t>DALARNAS LÄN</t>
        </is>
      </c>
      <c r="E276" t="inlineStr">
        <is>
          <t>LUDVIKA</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39247-2021</t>
        </is>
      </c>
      <c r="B277" s="1" t="n">
        <v>44413</v>
      </c>
      <c r="C277" s="1" t="n">
        <v>45588</v>
      </c>
      <c r="D277" t="inlineStr">
        <is>
          <t>DALARNAS LÄN</t>
        </is>
      </c>
      <c r="E277" t="inlineStr">
        <is>
          <t>LUDVIKA</t>
        </is>
      </c>
      <c r="G277" t="n">
        <v>6</v>
      </c>
      <c r="H277" t="n">
        <v>0</v>
      </c>
      <c r="I277" t="n">
        <v>0</v>
      </c>
      <c r="J277" t="n">
        <v>0</v>
      </c>
      <c r="K277" t="n">
        <v>0</v>
      </c>
      <c r="L277" t="n">
        <v>0</v>
      </c>
      <c r="M277" t="n">
        <v>0</v>
      </c>
      <c r="N277" t="n">
        <v>0</v>
      </c>
      <c r="O277" t="n">
        <v>0</v>
      </c>
      <c r="P277" t="n">
        <v>0</v>
      </c>
      <c r="Q277" t="n">
        <v>0</v>
      </c>
      <c r="R277" s="2" t="inlineStr"/>
    </row>
    <row r="278" ht="15" customHeight="1">
      <c r="A278" t="inlineStr">
        <is>
          <t>A 40582-2021</t>
        </is>
      </c>
      <c r="B278" s="1" t="n">
        <v>44420</v>
      </c>
      <c r="C278" s="1" t="n">
        <v>45588</v>
      </c>
      <c r="D278" t="inlineStr">
        <is>
          <t>DALARNAS LÄN</t>
        </is>
      </c>
      <c r="E278" t="inlineStr">
        <is>
          <t>LUDVIKA</t>
        </is>
      </c>
      <c r="G278" t="n">
        <v>2.2</v>
      </c>
      <c r="H278" t="n">
        <v>0</v>
      </c>
      <c r="I278" t="n">
        <v>0</v>
      </c>
      <c r="J278" t="n">
        <v>0</v>
      </c>
      <c r="K278" t="n">
        <v>0</v>
      </c>
      <c r="L278" t="n">
        <v>0</v>
      </c>
      <c r="M278" t="n">
        <v>0</v>
      </c>
      <c r="N278" t="n">
        <v>0</v>
      </c>
      <c r="O278" t="n">
        <v>0</v>
      </c>
      <c r="P278" t="n">
        <v>0</v>
      </c>
      <c r="Q278" t="n">
        <v>0</v>
      </c>
      <c r="R278" s="2" t="inlineStr"/>
    </row>
    <row r="279" ht="15" customHeight="1">
      <c r="A279" t="inlineStr">
        <is>
          <t>A 43115-2021</t>
        </is>
      </c>
      <c r="B279" s="1" t="n">
        <v>44431</v>
      </c>
      <c r="C279" s="1" t="n">
        <v>45588</v>
      </c>
      <c r="D279" t="inlineStr">
        <is>
          <t>DALARNAS LÄN</t>
        </is>
      </c>
      <c r="E279" t="inlineStr">
        <is>
          <t>LUDVIKA</t>
        </is>
      </c>
      <c r="G279" t="n">
        <v>3.5</v>
      </c>
      <c r="H279" t="n">
        <v>0</v>
      </c>
      <c r="I279" t="n">
        <v>0</v>
      </c>
      <c r="J279" t="n">
        <v>0</v>
      </c>
      <c r="K279" t="n">
        <v>0</v>
      </c>
      <c r="L279" t="n">
        <v>0</v>
      </c>
      <c r="M279" t="n">
        <v>0</v>
      </c>
      <c r="N279" t="n">
        <v>0</v>
      </c>
      <c r="O279" t="n">
        <v>0</v>
      </c>
      <c r="P279" t="n">
        <v>0</v>
      </c>
      <c r="Q279" t="n">
        <v>0</v>
      </c>
      <c r="R279" s="2" t="inlineStr"/>
    </row>
    <row r="280" ht="15" customHeight="1">
      <c r="A280" t="inlineStr">
        <is>
          <t>A 43907-2021</t>
        </is>
      </c>
      <c r="B280" s="1" t="n">
        <v>44434</v>
      </c>
      <c r="C280" s="1" t="n">
        <v>45588</v>
      </c>
      <c r="D280" t="inlineStr">
        <is>
          <t>DALARNAS LÄN</t>
        </is>
      </c>
      <c r="E280" t="inlineStr">
        <is>
          <t>LUDVIKA</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44270-2021</t>
        </is>
      </c>
      <c r="B281" s="1" t="n">
        <v>44435</v>
      </c>
      <c r="C281" s="1" t="n">
        <v>45588</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44264-2021</t>
        </is>
      </c>
      <c r="B282" s="1" t="n">
        <v>44435</v>
      </c>
      <c r="C282" s="1" t="n">
        <v>45588</v>
      </c>
      <c r="D282" t="inlineStr">
        <is>
          <t>DALARNAS LÄN</t>
        </is>
      </c>
      <c r="E282" t="inlineStr">
        <is>
          <t>LUDVIKA</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45313-2021</t>
        </is>
      </c>
      <c r="B283" s="1" t="n">
        <v>44439</v>
      </c>
      <c r="C283" s="1" t="n">
        <v>45588</v>
      </c>
      <c r="D283" t="inlineStr">
        <is>
          <t>DALARNAS LÄN</t>
        </is>
      </c>
      <c r="E283" t="inlineStr">
        <is>
          <t>LUDVIKA</t>
        </is>
      </c>
      <c r="G283" t="n">
        <v>2.6</v>
      </c>
      <c r="H283" t="n">
        <v>0</v>
      </c>
      <c r="I283" t="n">
        <v>0</v>
      </c>
      <c r="J283" t="n">
        <v>0</v>
      </c>
      <c r="K283" t="n">
        <v>0</v>
      </c>
      <c r="L283" t="n">
        <v>0</v>
      </c>
      <c r="M283" t="n">
        <v>0</v>
      </c>
      <c r="N283" t="n">
        <v>0</v>
      </c>
      <c r="O283" t="n">
        <v>0</v>
      </c>
      <c r="P283" t="n">
        <v>0</v>
      </c>
      <c r="Q283" t="n">
        <v>0</v>
      </c>
      <c r="R283" s="2" t="inlineStr"/>
    </row>
    <row r="284" ht="15" customHeight="1">
      <c r="A284" t="inlineStr">
        <is>
          <t>A 45309-2021</t>
        </is>
      </c>
      <c r="B284" s="1" t="n">
        <v>44439</v>
      </c>
      <c r="C284" s="1" t="n">
        <v>45588</v>
      </c>
      <c r="D284" t="inlineStr">
        <is>
          <t>DALARNAS LÄN</t>
        </is>
      </c>
      <c r="E284" t="inlineStr">
        <is>
          <t>LUDVIKA</t>
        </is>
      </c>
      <c r="G284" t="n">
        <v>1.9</v>
      </c>
      <c r="H284" t="n">
        <v>0</v>
      </c>
      <c r="I284" t="n">
        <v>0</v>
      </c>
      <c r="J284" t="n">
        <v>0</v>
      </c>
      <c r="K284" t="n">
        <v>0</v>
      </c>
      <c r="L284" t="n">
        <v>0</v>
      </c>
      <c r="M284" t="n">
        <v>0</v>
      </c>
      <c r="N284" t="n">
        <v>0</v>
      </c>
      <c r="O284" t="n">
        <v>0</v>
      </c>
      <c r="P284" t="n">
        <v>0</v>
      </c>
      <c r="Q284" t="n">
        <v>0</v>
      </c>
      <c r="R284" s="2" t="inlineStr"/>
    </row>
    <row r="285" ht="15" customHeight="1">
      <c r="A285" t="inlineStr">
        <is>
          <t>A 45995-2021</t>
        </is>
      </c>
      <c r="B285" s="1" t="n">
        <v>44441</v>
      </c>
      <c r="C285" s="1" t="n">
        <v>45588</v>
      </c>
      <c r="D285" t="inlineStr">
        <is>
          <t>DALARNAS LÄN</t>
        </is>
      </c>
      <c r="E285" t="inlineStr">
        <is>
          <t>LUDVIKA</t>
        </is>
      </c>
      <c r="G285" t="n">
        <v>1.2</v>
      </c>
      <c r="H285" t="n">
        <v>0</v>
      </c>
      <c r="I285" t="n">
        <v>0</v>
      </c>
      <c r="J285" t="n">
        <v>0</v>
      </c>
      <c r="K285" t="n">
        <v>0</v>
      </c>
      <c r="L285" t="n">
        <v>0</v>
      </c>
      <c r="M285" t="n">
        <v>0</v>
      </c>
      <c r="N285" t="n">
        <v>0</v>
      </c>
      <c r="O285" t="n">
        <v>0</v>
      </c>
      <c r="P285" t="n">
        <v>0</v>
      </c>
      <c r="Q285" t="n">
        <v>0</v>
      </c>
      <c r="R285" s="2" t="inlineStr"/>
    </row>
    <row r="286" ht="15" customHeight="1">
      <c r="A286" t="inlineStr">
        <is>
          <t>A 47216-2021</t>
        </is>
      </c>
      <c r="B286" s="1" t="n">
        <v>44447</v>
      </c>
      <c r="C286" s="1" t="n">
        <v>45588</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48003-2021</t>
        </is>
      </c>
      <c r="B287" s="1" t="n">
        <v>44449</v>
      </c>
      <c r="C287" s="1" t="n">
        <v>45588</v>
      </c>
      <c r="D287" t="inlineStr">
        <is>
          <t>DALARNAS LÄN</t>
        </is>
      </c>
      <c r="E287" t="inlineStr">
        <is>
          <t>LUDVIKA</t>
        </is>
      </c>
      <c r="F287" t="inlineStr">
        <is>
          <t>Naturvårdsverket</t>
        </is>
      </c>
      <c r="G287" t="n">
        <v>0.8</v>
      </c>
      <c r="H287" t="n">
        <v>0</v>
      </c>
      <c r="I287" t="n">
        <v>0</v>
      </c>
      <c r="J287" t="n">
        <v>0</v>
      </c>
      <c r="K287" t="n">
        <v>0</v>
      </c>
      <c r="L287" t="n">
        <v>0</v>
      </c>
      <c r="M287" t="n">
        <v>0</v>
      </c>
      <c r="N287" t="n">
        <v>0</v>
      </c>
      <c r="O287" t="n">
        <v>0</v>
      </c>
      <c r="P287" t="n">
        <v>0</v>
      </c>
      <c r="Q287" t="n">
        <v>0</v>
      </c>
      <c r="R287" s="2" t="inlineStr"/>
    </row>
    <row r="288" ht="15" customHeight="1">
      <c r="A288" t="inlineStr">
        <is>
          <t>A 48580-2021</t>
        </is>
      </c>
      <c r="B288" s="1" t="n">
        <v>44452</v>
      </c>
      <c r="C288" s="1" t="n">
        <v>45588</v>
      </c>
      <c r="D288" t="inlineStr">
        <is>
          <t>DALARNAS LÄN</t>
        </is>
      </c>
      <c r="E288" t="inlineStr">
        <is>
          <t>LUDVIKA</t>
        </is>
      </c>
      <c r="G288" t="n">
        <v>1.3</v>
      </c>
      <c r="H288" t="n">
        <v>0</v>
      </c>
      <c r="I288" t="n">
        <v>0</v>
      </c>
      <c r="J288" t="n">
        <v>0</v>
      </c>
      <c r="K288" t="n">
        <v>0</v>
      </c>
      <c r="L288" t="n">
        <v>0</v>
      </c>
      <c r="M288" t="n">
        <v>0</v>
      </c>
      <c r="N288" t="n">
        <v>0</v>
      </c>
      <c r="O288" t="n">
        <v>0</v>
      </c>
      <c r="P288" t="n">
        <v>0</v>
      </c>
      <c r="Q288" t="n">
        <v>0</v>
      </c>
      <c r="R288" s="2" t="inlineStr"/>
    </row>
    <row r="289" ht="15" customHeight="1">
      <c r="A289" t="inlineStr">
        <is>
          <t>A 48942-2021</t>
        </is>
      </c>
      <c r="B289" s="1" t="n">
        <v>44453</v>
      </c>
      <c r="C289" s="1" t="n">
        <v>45588</v>
      </c>
      <c r="D289" t="inlineStr">
        <is>
          <t>DALARNAS LÄN</t>
        </is>
      </c>
      <c r="E289" t="inlineStr">
        <is>
          <t>LUDVIKA</t>
        </is>
      </c>
      <c r="F289" t="inlineStr">
        <is>
          <t>Naturvårdsverket</t>
        </is>
      </c>
      <c r="G289" t="n">
        <v>1.4</v>
      </c>
      <c r="H289" t="n">
        <v>0</v>
      </c>
      <c r="I289" t="n">
        <v>0</v>
      </c>
      <c r="J289" t="n">
        <v>0</v>
      </c>
      <c r="K289" t="n">
        <v>0</v>
      </c>
      <c r="L289" t="n">
        <v>0</v>
      </c>
      <c r="M289" t="n">
        <v>0</v>
      </c>
      <c r="N289" t="n">
        <v>0</v>
      </c>
      <c r="O289" t="n">
        <v>0</v>
      </c>
      <c r="P289" t="n">
        <v>0</v>
      </c>
      <c r="Q289" t="n">
        <v>0</v>
      </c>
      <c r="R289" s="2" t="inlineStr"/>
    </row>
    <row r="290" ht="15" customHeight="1">
      <c r="A290" t="inlineStr">
        <is>
          <t>A 50004-2021</t>
        </is>
      </c>
      <c r="B290" s="1" t="n">
        <v>44456</v>
      </c>
      <c r="C290" s="1" t="n">
        <v>45588</v>
      </c>
      <c r="D290" t="inlineStr">
        <is>
          <t>DALARNAS LÄN</t>
        </is>
      </c>
      <c r="E290" t="inlineStr">
        <is>
          <t>LUDVIKA</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49977-2021</t>
        </is>
      </c>
      <c r="B291" s="1" t="n">
        <v>44456</v>
      </c>
      <c r="C291" s="1" t="n">
        <v>45588</v>
      </c>
      <c r="D291" t="inlineStr">
        <is>
          <t>DALARNAS LÄN</t>
        </is>
      </c>
      <c r="E291" t="inlineStr">
        <is>
          <t>LUDVIKA</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50273-2021</t>
        </is>
      </c>
      <c r="B292" s="1" t="n">
        <v>44459</v>
      </c>
      <c r="C292" s="1" t="n">
        <v>45588</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50347-2021</t>
        </is>
      </c>
      <c r="B293" s="1" t="n">
        <v>44459</v>
      </c>
      <c r="C293" s="1" t="n">
        <v>45588</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50995-2021</t>
        </is>
      </c>
      <c r="B294" s="1" t="n">
        <v>44460</v>
      </c>
      <c r="C294" s="1" t="n">
        <v>45588</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51485-2021</t>
        </is>
      </c>
      <c r="B295" s="1" t="n">
        <v>44462</v>
      </c>
      <c r="C295" s="1" t="n">
        <v>45588</v>
      </c>
      <c r="D295" t="inlineStr">
        <is>
          <t>DALARNAS LÄN</t>
        </is>
      </c>
      <c r="E295" t="inlineStr">
        <is>
          <t>LUDVIKA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54279-2021</t>
        </is>
      </c>
      <c r="B296" s="1" t="n">
        <v>44470</v>
      </c>
      <c r="C296" s="1" t="n">
        <v>45588</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55633-2021</t>
        </is>
      </c>
      <c r="B297" s="1" t="n">
        <v>44476</v>
      </c>
      <c r="C297" s="1" t="n">
        <v>45588</v>
      </c>
      <c r="D297" t="inlineStr">
        <is>
          <t>DALARNAS LÄN</t>
        </is>
      </c>
      <c r="E297" t="inlineStr">
        <is>
          <t>LUDVIKA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56113-2021</t>
        </is>
      </c>
      <c r="B298" s="1" t="n">
        <v>44477</v>
      </c>
      <c r="C298" s="1" t="n">
        <v>45588</v>
      </c>
      <c r="D298" t="inlineStr">
        <is>
          <t>DALARNAS LÄN</t>
        </is>
      </c>
      <c r="E298" t="inlineStr">
        <is>
          <t>LUDVIKA</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56119-2021</t>
        </is>
      </c>
      <c r="B299" s="1" t="n">
        <v>44477</v>
      </c>
      <c r="C299" s="1" t="n">
        <v>45588</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56996-2021</t>
        </is>
      </c>
      <c r="B300" s="1" t="n">
        <v>44482</v>
      </c>
      <c r="C300" s="1" t="n">
        <v>45588</v>
      </c>
      <c r="D300" t="inlineStr">
        <is>
          <t>DALARNAS LÄN</t>
        </is>
      </c>
      <c r="E300" t="inlineStr">
        <is>
          <t>LUDVIKA</t>
        </is>
      </c>
      <c r="G300" t="n">
        <v>0.9</v>
      </c>
      <c r="H300" t="n">
        <v>0</v>
      </c>
      <c r="I300" t="n">
        <v>0</v>
      </c>
      <c r="J300" t="n">
        <v>0</v>
      </c>
      <c r="K300" t="n">
        <v>0</v>
      </c>
      <c r="L300" t="n">
        <v>0</v>
      </c>
      <c r="M300" t="n">
        <v>0</v>
      </c>
      <c r="N300" t="n">
        <v>0</v>
      </c>
      <c r="O300" t="n">
        <v>0</v>
      </c>
      <c r="P300" t="n">
        <v>0</v>
      </c>
      <c r="Q300" t="n">
        <v>0</v>
      </c>
      <c r="R300" s="2" t="inlineStr"/>
    </row>
    <row r="301" ht="15" customHeight="1">
      <c r="A301" t="inlineStr">
        <is>
          <t>A 57076-2021</t>
        </is>
      </c>
      <c r="B301" s="1" t="n">
        <v>44482</v>
      </c>
      <c r="C301" s="1" t="n">
        <v>45588</v>
      </c>
      <c r="D301" t="inlineStr">
        <is>
          <t>DALARNAS LÄN</t>
        </is>
      </c>
      <c r="E301" t="inlineStr">
        <is>
          <t>LUDVIKA</t>
        </is>
      </c>
      <c r="G301" t="n">
        <v>4.7</v>
      </c>
      <c r="H301" t="n">
        <v>0</v>
      </c>
      <c r="I301" t="n">
        <v>0</v>
      </c>
      <c r="J301" t="n">
        <v>0</v>
      </c>
      <c r="K301" t="n">
        <v>0</v>
      </c>
      <c r="L301" t="n">
        <v>0</v>
      </c>
      <c r="M301" t="n">
        <v>0</v>
      </c>
      <c r="N301" t="n">
        <v>0</v>
      </c>
      <c r="O301" t="n">
        <v>0</v>
      </c>
      <c r="P301" t="n">
        <v>0</v>
      </c>
      <c r="Q301" t="n">
        <v>0</v>
      </c>
      <c r="R301" s="2" t="inlineStr"/>
    </row>
    <row r="302" ht="15" customHeight="1">
      <c r="A302" t="inlineStr">
        <is>
          <t>A 57002-2021</t>
        </is>
      </c>
      <c r="B302" s="1" t="n">
        <v>44482</v>
      </c>
      <c r="C302" s="1" t="n">
        <v>45588</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62152-2021</t>
        </is>
      </c>
      <c r="B303" s="1" t="n">
        <v>44502</v>
      </c>
      <c r="C303" s="1" t="n">
        <v>45588</v>
      </c>
      <c r="D303" t="inlineStr">
        <is>
          <t>DALARNAS LÄN</t>
        </is>
      </c>
      <c r="E303" t="inlineStr">
        <is>
          <t>LUDVIKA</t>
        </is>
      </c>
      <c r="G303" t="n">
        <v>6.1</v>
      </c>
      <c r="H303" t="n">
        <v>0</v>
      </c>
      <c r="I303" t="n">
        <v>0</v>
      </c>
      <c r="J303" t="n">
        <v>0</v>
      </c>
      <c r="K303" t="n">
        <v>0</v>
      </c>
      <c r="L303" t="n">
        <v>0</v>
      </c>
      <c r="M303" t="n">
        <v>0</v>
      </c>
      <c r="N303" t="n">
        <v>0</v>
      </c>
      <c r="O303" t="n">
        <v>0</v>
      </c>
      <c r="P303" t="n">
        <v>0</v>
      </c>
      <c r="Q303" t="n">
        <v>0</v>
      </c>
      <c r="R303" s="2" t="inlineStr"/>
    </row>
    <row r="304" ht="15" customHeight="1">
      <c r="A304" t="inlineStr">
        <is>
          <t>A 62467-2021</t>
        </is>
      </c>
      <c r="B304" s="1" t="n">
        <v>44503</v>
      </c>
      <c r="C304" s="1" t="n">
        <v>45588</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63267-2021</t>
        </is>
      </c>
      <c r="B305" s="1" t="n">
        <v>44508</v>
      </c>
      <c r="C305" s="1" t="n">
        <v>45588</v>
      </c>
      <c r="D305" t="inlineStr">
        <is>
          <t>DALARNAS LÄN</t>
        </is>
      </c>
      <c r="E305" t="inlineStr">
        <is>
          <t>LUDVIKA</t>
        </is>
      </c>
      <c r="F305" t="inlineStr">
        <is>
          <t>Bergvik skog väst AB</t>
        </is>
      </c>
      <c r="G305" t="n">
        <v>0.2</v>
      </c>
      <c r="H305" t="n">
        <v>0</v>
      </c>
      <c r="I305" t="n">
        <v>0</v>
      </c>
      <c r="J305" t="n">
        <v>0</v>
      </c>
      <c r="K305" t="n">
        <v>0</v>
      </c>
      <c r="L305" t="n">
        <v>0</v>
      </c>
      <c r="M305" t="n">
        <v>0</v>
      </c>
      <c r="N305" t="n">
        <v>0</v>
      </c>
      <c r="O305" t="n">
        <v>0</v>
      </c>
      <c r="P305" t="n">
        <v>0</v>
      </c>
      <c r="Q305" t="n">
        <v>0</v>
      </c>
      <c r="R305" s="2" t="inlineStr"/>
    </row>
    <row r="306" ht="15" customHeight="1">
      <c r="A306" t="inlineStr">
        <is>
          <t>A 65195-2021</t>
        </is>
      </c>
      <c r="B306" s="1" t="n">
        <v>44515</v>
      </c>
      <c r="C306" s="1" t="n">
        <v>45588</v>
      </c>
      <c r="D306" t="inlineStr">
        <is>
          <t>DALARNAS LÄN</t>
        </is>
      </c>
      <c r="E306" t="inlineStr">
        <is>
          <t>LUDVIKA</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65699-2021</t>
        </is>
      </c>
      <c r="B307" s="1" t="n">
        <v>44516</v>
      </c>
      <c r="C307" s="1" t="n">
        <v>45588</v>
      </c>
      <c r="D307" t="inlineStr">
        <is>
          <t>DALARNAS LÄN</t>
        </is>
      </c>
      <c r="E307" t="inlineStr">
        <is>
          <t>LUDVIKA</t>
        </is>
      </c>
      <c r="G307" t="n">
        <v>1.4</v>
      </c>
      <c r="H307" t="n">
        <v>0</v>
      </c>
      <c r="I307" t="n">
        <v>0</v>
      </c>
      <c r="J307" t="n">
        <v>0</v>
      </c>
      <c r="K307" t="n">
        <v>0</v>
      </c>
      <c r="L307" t="n">
        <v>0</v>
      </c>
      <c r="M307" t="n">
        <v>0</v>
      </c>
      <c r="N307" t="n">
        <v>0</v>
      </c>
      <c r="O307" t="n">
        <v>0</v>
      </c>
      <c r="P307" t="n">
        <v>0</v>
      </c>
      <c r="Q307" t="n">
        <v>0</v>
      </c>
      <c r="R307" s="2" t="inlineStr"/>
    </row>
    <row r="308" ht="15" customHeight="1">
      <c r="A308" t="inlineStr">
        <is>
          <t>A 65667-2021</t>
        </is>
      </c>
      <c r="B308" s="1" t="n">
        <v>44516</v>
      </c>
      <c r="C308" s="1" t="n">
        <v>45588</v>
      </c>
      <c r="D308" t="inlineStr">
        <is>
          <t>DALARNAS LÄN</t>
        </is>
      </c>
      <c r="E308" t="inlineStr">
        <is>
          <t>LUDVIKA</t>
        </is>
      </c>
      <c r="G308" t="n">
        <v>1.5</v>
      </c>
      <c r="H308" t="n">
        <v>0</v>
      </c>
      <c r="I308" t="n">
        <v>0</v>
      </c>
      <c r="J308" t="n">
        <v>0</v>
      </c>
      <c r="K308" t="n">
        <v>0</v>
      </c>
      <c r="L308" t="n">
        <v>0</v>
      </c>
      <c r="M308" t="n">
        <v>0</v>
      </c>
      <c r="N308" t="n">
        <v>0</v>
      </c>
      <c r="O308" t="n">
        <v>0</v>
      </c>
      <c r="P308" t="n">
        <v>0</v>
      </c>
      <c r="Q308" t="n">
        <v>0</v>
      </c>
      <c r="R308" s="2" t="inlineStr"/>
    </row>
    <row r="309" ht="15" customHeight="1">
      <c r="A309" t="inlineStr">
        <is>
          <t>A 65685-2021</t>
        </is>
      </c>
      <c r="B309" s="1" t="n">
        <v>44516</v>
      </c>
      <c r="C309" s="1" t="n">
        <v>45588</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70046-2021</t>
        </is>
      </c>
      <c r="B310" s="1" t="n">
        <v>44533</v>
      </c>
      <c r="C310" s="1" t="n">
        <v>45588</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70291-2021</t>
        </is>
      </c>
      <c r="B311" s="1" t="n">
        <v>44536</v>
      </c>
      <c r="C311" s="1" t="n">
        <v>45588</v>
      </c>
      <c r="D311" t="inlineStr">
        <is>
          <t>DALARNAS LÄN</t>
        </is>
      </c>
      <c r="E311" t="inlineStr">
        <is>
          <t>LUDVIKA</t>
        </is>
      </c>
      <c r="G311" t="n">
        <v>1</v>
      </c>
      <c r="H311" t="n">
        <v>0</v>
      </c>
      <c r="I311" t="n">
        <v>0</v>
      </c>
      <c r="J311" t="n">
        <v>0</v>
      </c>
      <c r="K311" t="n">
        <v>0</v>
      </c>
      <c r="L311" t="n">
        <v>0</v>
      </c>
      <c r="M311" t="n">
        <v>0</v>
      </c>
      <c r="N311" t="n">
        <v>0</v>
      </c>
      <c r="O311" t="n">
        <v>0</v>
      </c>
      <c r="P311" t="n">
        <v>0</v>
      </c>
      <c r="Q311" t="n">
        <v>0</v>
      </c>
      <c r="R311" s="2" t="inlineStr"/>
    </row>
    <row r="312" ht="15" customHeight="1">
      <c r="A312" t="inlineStr">
        <is>
          <t>A 71639-2021</t>
        </is>
      </c>
      <c r="B312" s="1" t="n">
        <v>44543</v>
      </c>
      <c r="C312" s="1" t="n">
        <v>45588</v>
      </c>
      <c r="D312" t="inlineStr">
        <is>
          <t>DALARNAS LÄN</t>
        </is>
      </c>
      <c r="E312" t="inlineStr">
        <is>
          <t>LUDVIKA</t>
        </is>
      </c>
      <c r="F312" t="inlineStr">
        <is>
          <t>Naturvårdsverket</t>
        </is>
      </c>
      <c r="G312" t="n">
        <v>2.2</v>
      </c>
      <c r="H312" t="n">
        <v>0</v>
      </c>
      <c r="I312" t="n">
        <v>0</v>
      </c>
      <c r="J312" t="n">
        <v>0</v>
      </c>
      <c r="K312" t="n">
        <v>0</v>
      </c>
      <c r="L312" t="n">
        <v>0</v>
      </c>
      <c r="M312" t="n">
        <v>0</v>
      </c>
      <c r="N312" t="n">
        <v>0</v>
      </c>
      <c r="O312" t="n">
        <v>0</v>
      </c>
      <c r="P312" t="n">
        <v>0</v>
      </c>
      <c r="Q312" t="n">
        <v>0</v>
      </c>
      <c r="R312" s="2" t="inlineStr"/>
    </row>
    <row r="313" ht="15" customHeight="1">
      <c r="A313" t="inlineStr">
        <is>
          <t>A 73167-2021</t>
        </is>
      </c>
      <c r="B313" s="1" t="n">
        <v>44550</v>
      </c>
      <c r="C313" s="1" t="n">
        <v>45588</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73703-2021</t>
        </is>
      </c>
      <c r="B314" s="1" t="n">
        <v>44552</v>
      </c>
      <c r="C314" s="1" t="n">
        <v>45588</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74427-2021</t>
        </is>
      </c>
      <c r="B315" s="1" t="n">
        <v>44560</v>
      </c>
      <c r="C315" s="1" t="n">
        <v>45588</v>
      </c>
      <c r="D315" t="inlineStr">
        <is>
          <t>DALARNAS LÄN</t>
        </is>
      </c>
      <c r="E315" t="inlineStr">
        <is>
          <t>LUDVIKA</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74432-2021</t>
        </is>
      </c>
      <c r="B316" s="1" t="n">
        <v>44560</v>
      </c>
      <c r="C316" s="1" t="n">
        <v>45588</v>
      </c>
      <c r="D316" t="inlineStr">
        <is>
          <t>DALARNAS LÄN</t>
        </is>
      </c>
      <c r="E316" t="inlineStr">
        <is>
          <t>LUDVIKA</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1299-2022</t>
        </is>
      </c>
      <c r="B317" s="1" t="n">
        <v>44572</v>
      </c>
      <c r="C317" s="1" t="n">
        <v>45588</v>
      </c>
      <c r="D317" t="inlineStr">
        <is>
          <t>DALARNAS LÄN</t>
        </is>
      </c>
      <c r="E317" t="inlineStr">
        <is>
          <t>LUDVIKA</t>
        </is>
      </c>
      <c r="G317" t="n">
        <v>0.8</v>
      </c>
      <c r="H317" t="n">
        <v>0</v>
      </c>
      <c r="I317" t="n">
        <v>0</v>
      </c>
      <c r="J317" t="n">
        <v>0</v>
      </c>
      <c r="K317" t="n">
        <v>0</v>
      </c>
      <c r="L317" t="n">
        <v>0</v>
      </c>
      <c r="M317" t="n">
        <v>0</v>
      </c>
      <c r="N317" t="n">
        <v>0</v>
      </c>
      <c r="O317" t="n">
        <v>0</v>
      </c>
      <c r="P317" t="n">
        <v>0</v>
      </c>
      <c r="Q317" t="n">
        <v>0</v>
      </c>
      <c r="R317" s="2" t="inlineStr"/>
    </row>
    <row r="318" ht="15" customHeight="1">
      <c r="A318" t="inlineStr">
        <is>
          <t>A 2422-2022</t>
        </is>
      </c>
      <c r="B318" s="1" t="n">
        <v>44579</v>
      </c>
      <c r="C318" s="1" t="n">
        <v>45588</v>
      </c>
      <c r="D318" t="inlineStr">
        <is>
          <t>DALARNAS LÄN</t>
        </is>
      </c>
      <c r="E318" t="inlineStr">
        <is>
          <t>LUDVIKA</t>
        </is>
      </c>
      <c r="G318" t="n">
        <v>2.3</v>
      </c>
      <c r="H318" t="n">
        <v>0</v>
      </c>
      <c r="I318" t="n">
        <v>0</v>
      </c>
      <c r="J318" t="n">
        <v>0</v>
      </c>
      <c r="K318" t="n">
        <v>0</v>
      </c>
      <c r="L318" t="n">
        <v>0</v>
      </c>
      <c r="M318" t="n">
        <v>0</v>
      </c>
      <c r="N318" t="n">
        <v>0</v>
      </c>
      <c r="O318" t="n">
        <v>0</v>
      </c>
      <c r="P318" t="n">
        <v>0</v>
      </c>
      <c r="Q318" t="n">
        <v>0</v>
      </c>
      <c r="R318" s="2" t="inlineStr"/>
    </row>
    <row r="319" ht="15" customHeight="1">
      <c r="A319" t="inlineStr">
        <is>
          <t>A 2491-2022</t>
        </is>
      </c>
      <c r="B319" s="1" t="n">
        <v>44579</v>
      </c>
      <c r="C319" s="1" t="n">
        <v>45588</v>
      </c>
      <c r="D319" t="inlineStr">
        <is>
          <t>DALARNAS LÄN</t>
        </is>
      </c>
      <c r="E319" t="inlineStr">
        <is>
          <t>LUDVIKA</t>
        </is>
      </c>
      <c r="G319" t="n">
        <v>2.8</v>
      </c>
      <c r="H319" t="n">
        <v>0</v>
      </c>
      <c r="I319" t="n">
        <v>0</v>
      </c>
      <c r="J319" t="n">
        <v>0</v>
      </c>
      <c r="K319" t="n">
        <v>0</v>
      </c>
      <c r="L319" t="n">
        <v>0</v>
      </c>
      <c r="M319" t="n">
        <v>0</v>
      </c>
      <c r="N319" t="n">
        <v>0</v>
      </c>
      <c r="O319" t="n">
        <v>0</v>
      </c>
      <c r="P319" t="n">
        <v>0</v>
      </c>
      <c r="Q319" t="n">
        <v>0</v>
      </c>
      <c r="R319" s="2" t="inlineStr"/>
    </row>
    <row r="320" ht="15" customHeight="1">
      <c r="A320" t="inlineStr">
        <is>
          <t>A 2838-2022</t>
        </is>
      </c>
      <c r="B320" s="1" t="n">
        <v>44581</v>
      </c>
      <c r="C320" s="1" t="n">
        <v>45588</v>
      </c>
      <c r="D320" t="inlineStr">
        <is>
          <t>DALARNAS LÄN</t>
        </is>
      </c>
      <c r="E320" t="inlineStr">
        <is>
          <t>LUDVIKA</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4551-2022</t>
        </is>
      </c>
      <c r="B321" s="1" t="n">
        <v>44590</v>
      </c>
      <c r="C321" s="1" t="n">
        <v>45588</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5970-2022</t>
        </is>
      </c>
      <c r="B322" s="1" t="n">
        <v>44599</v>
      </c>
      <c r="C322" s="1" t="n">
        <v>45588</v>
      </c>
      <c r="D322" t="inlineStr">
        <is>
          <t>DALARNAS LÄN</t>
        </is>
      </c>
      <c r="E322" t="inlineStr">
        <is>
          <t>LUDVIKA</t>
        </is>
      </c>
      <c r="G322" t="n">
        <v>8.4</v>
      </c>
      <c r="H322" t="n">
        <v>0</v>
      </c>
      <c r="I322" t="n">
        <v>0</v>
      </c>
      <c r="J322" t="n">
        <v>0</v>
      </c>
      <c r="K322" t="n">
        <v>0</v>
      </c>
      <c r="L322" t="n">
        <v>0</v>
      </c>
      <c r="M322" t="n">
        <v>0</v>
      </c>
      <c r="N322" t="n">
        <v>0</v>
      </c>
      <c r="O322" t="n">
        <v>0</v>
      </c>
      <c r="P322" t="n">
        <v>0</v>
      </c>
      <c r="Q322" t="n">
        <v>0</v>
      </c>
      <c r="R322" s="2" t="inlineStr"/>
    </row>
    <row r="323" ht="15" customHeight="1">
      <c r="A323" t="inlineStr">
        <is>
          <t>A 6364-2022</t>
        </is>
      </c>
      <c r="B323" s="1" t="n">
        <v>44600</v>
      </c>
      <c r="C323" s="1" t="n">
        <v>45588</v>
      </c>
      <c r="D323" t="inlineStr">
        <is>
          <t>DALARNAS LÄN</t>
        </is>
      </c>
      <c r="E323" t="inlineStr">
        <is>
          <t>LUDVIKA</t>
        </is>
      </c>
      <c r="F323" t="inlineStr">
        <is>
          <t>Övriga Aktiebolag</t>
        </is>
      </c>
      <c r="G323" t="n">
        <v>52.3</v>
      </c>
      <c r="H323" t="n">
        <v>0</v>
      </c>
      <c r="I323" t="n">
        <v>0</v>
      </c>
      <c r="J323" t="n">
        <v>0</v>
      </c>
      <c r="K323" t="n">
        <v>0</v>
      </c>
      <c r="L323" t="n">
        <v>0</v>
      </c>
      <c r="M323" t="n">
        <v>0</v>
      </c>
      <c r="N323" t="n">
        <v>0</v>
      </c>
      <c r="O323" t="n">
        <v>0</v>
      </c>
      <c r="P323" t="n">
        <v>0</v>
      </c>
      <c r="Q323" t="n">
        <v>0</v>
      </c>
      <c r="R323" s="2" t="inlineStr"/>
    </row>
    <row r="324" ht="15" customHeight="1">
      <c r="A324" t="inlineStr">
        <is>
          <t>A 6836-2022</t>
        </is>
      </c>
      <c r="B324" s="1" t="n">
        <v>44602</v>
      </c>
      <c r="C324" s="1" t="n">
        <v>45588</v>
      </c>
      <c r="D324" t="inlineStr">
        <is>
          <t>DALARNAS LÄN</t>
        </is>
      </c>
      <c r="E324" t="inlineStr">
        <is>
          <t>LUDVIKA</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7011-2022</t>
        </is>
      </c>
      <c r="B325" s="1" t="n">
        <v>44603</v>
      </c>
      <c r="C325" s="1" t="n">
        <v>45588</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9464-2022</t>
        </is>
      </c>
      <c r="B326" s="1" t="n">
        <v>44616</v>
      </c>
      <c r="C326" s="1" t="n">
        <v>45588</v>
      </c>
      <c r="D326" t="inlineStr">
        <is>
          <t>DALARNAS LÄN</t>
        </is>
      </c>
      <c r="E326" t="inlineStr">
        <is>
          <t>LUDVIKA</t>
        </is>
      </c>
      <c r="G326" t="n">
        <v>4.1</v>
      </c>
      <c r="H326" t="n">
        <v>0</v>
      </c>
      <c r="I326" t="n">
        <v>0</v>
      </c>
      <c r="J326" t="n">
        <v>0</v>
      </c>
      <c r="K326" t="n">
        <v>0</v>
      </c>
      <c r="L326" t="n">
        <v>0</v>
      </c>
      <c r="M326" t="n">
        <v>0</v>
      </c>
      <c r="N326" t="n">
        <v>0</v>
      </c>
      <c r="O326" t="n">
        <v>0</v>
      </c>
      <c r="P326" t="n">
        <v>0</v>
      </c>
      <c r="Q326" t="n">
        <v>0</v>
      </c>
      <c r="R326" s="2" t="inlineStr"/>
    </row>
    <row r="327" ht="15" customHeight="1">
      <c r="A327" t="inlineStr">
        <is>
          <t>A 13051-2022</t>
        </is>
      </c>
      <c r="B327" s="1" t="n">
        <v>44643</v>
      </c>
      <c r="C327" s="1" t="n">
        <v>45588</v>
      </c>
      <c r="D327" t="inlineStr">
        <is>
          <t>DALARNAS LÄN</t>
        </is>
      </c>
      <c r="E327" t="inlineStr">
        <is>
          <t>LUDVIKA</t>
        </is>
      </c>
      <c r="G327" t="n">
        <v>1.4</v>
      </c>
      <c r="H327" t="n">
        <v>0</v>
      </c>
      <c r="I327" t="n">
        <v>0</v>
      </c>
      <c r="J327" t="n">
        <v>0</v>
      </c>
      <c r="K327" t="n">
        <v>0</v>
      </c>
      <c r="L327" t="n">
        <v>0</v>
      </c>
      <c r="M327" t="n">
        <v>0</v>
      </c>
      <c r="N327" t="n">
        <v>0</v>
      </c>
      <c r="O327" t="n">
        <v>0</v>
      </c>
      <c r="P327" t="n">
        <v>0</v>
      </c>
      <c r="Q327" t="n">
        <v>0</v>
      </c>
      <c r="R327" s="2" t="inlineStr"/>
    </row>
    <row r="328" ht="15" customHeight="1">
      <c r="A328" t="inlineStr">
        <is>
          <t>A 14387-2022</t>
        </is>
      </c>
      <c r="B328" s="1" t="n">
        <v>44652</v>
      </c>
      <c r="C328" s="1" t="n">
        <v>45588</v>
      </c>
      <c r="D328" t="inlineStr">
        <is>
          <t>DALARNAS LÄN</t>
        </is>
      </c>
      <c r="E328" t="inlineStr">
        <is>
          <t>LUDVIKA</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14872-2022</t>
        </is>
      </c>
      <c r="B329" s="1" t="n">
        <v>44656</v>
      </c>
      <c r="C329" s="1" t="n">
        <v>45588</v>
      </c>
      <c r="D329" t="inlineStr">
        <is>
          <t>DALARNAS LÄN</t>
        </is>
      </c>
      <c r="E329" t="inlineStr">
        <is>
          <t>LUDVIKA</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15145-2022</t>
        </is>
      </c>
      <c r="B330" s="1" t="n">
        <v>44658</v>
      </c>
      <c r="C330" s="1" t="n">
        <v>45588</v>
      </c>
      <c r="D330" t="inlineStr">
        <is>
          <t>DALARNAS LÄN</t>
        </is>
      </c>
      <c r="E330" t="inlineStr">
        <is>
          <t>LUDVIKA</t>
        </is>
      </c>
      <c r="G330" t="n">
        <v>3.7</v>
      </c>
      <c r="H330" t="n">
        <v>0</v>
      </c>
      <c r="I330" t="n">
        <v>0</v>
      </c>
      <c r="J330" t="n">
        <v>0</v>
      </c>
      <c r="K330" t="n">
        <v>0</v>
      </c>
      <c r="L330" t="n">
        <v>0</v>
      </c>
      <c r="M330" t="n">
        <v>0</v>
      </c>
      <c r="N330" t="n">
        <v>0</v>
      </c>
      <c r="O330" t="n">
        <v>0</v>
      </c>
      <c r="P330" t="n">
        <v>0</v>
      </c>
      <c r="Q330" t="n">
        <v>0</v>
      </c>
      <c r="R330" s="2" t="inlineStr"/>
    </row>
    <row r="331" ht="15" customHeight="1">
      <c r="A331" t="inlineStr">
        <is>
          <t>A 15617-2022</t>
        </is>
      </c>
      <c r="B331" s="1" t="n">
        <v>44662</v>
      </c>
      <c r="C331" s="1" t="n">
        <v>45588</v>
      </c>
      <c r="D331" t="inlineStr">
        <is>
          <t>DALARNAS LÄN</t>
        </is>
      </c>
      <c r="E331" t="inlineStr">
        <is>
          <t>LUDVIKA</t>
        </is>
      </c>
      <c r="F331" t="inlineStr">
        <is>
          <t>Bergvik skog väst AB</t>
        </is>
      </c>
      <c r="G331" t="n">
        <v>7.8</v>
      </c>
      <c r="H331" t="n">
        <v>0</v>
      </c>
      <c r="I331" t="n">
        <v>0</v>
      </c>
      <c r="J331" t="n">
        <v>0</v>
      </c>
      <c r="K331" t="n">
        <v>0</v>
      </c>
      <c r="L331" t="n">
        <v>0</v>
      </c>
      <c r="M331" t="n">
        <v>0</v>
      </c>
      <c r="N331" t="n">
        <v>0</v>
      </c>
      <c r="O331" t="n">
        <v>0</v>
      </c>
      <c r="P331" t="n">
        <v>0</v>
      </c>
      <c r="Q331" t="n">
        <v>0</v>
      </c>
      <c r="R331" s="2" t="inlineStr"/>
    </row>
    <row r="332" ht="15" customHeight="1">
      <c r="A332" t="inlineStr">
        <is>
          <t>A 17677-2022</t>
        </is>
      </c>
      <c r="B332" s="1" t="n">
        <v>44680</v>
      </c>
      <c r="C332" s="1" t="n">
        <v>45588</v>
      </c>
      <c r="D332" t="inlineStr">
        <is>
          <t>DALARNAS LÄN</t>
        </is>
      </c>
      <c r="E332" t="inlineStr">
        <is>
          <t>LUDVIKA</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18289-2022</t>
        </is>
      </c>
      <c r="B333" s="1" t="n">
        <v>44685</v>
      </c>
      <c r="C333" s="1" t="n">
        <v>45588</v>
      </c>
      <c r="D333" t="inlineStr">
        <is>
          <t>DALARNAS LÄN</t>
        </is>
      </c>
      <c r="E333" t="inlineStr">
        <is>
          <t>LUDVIKA</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18703-2022</t>
        </is>
      </c>
      <c r="B334" s="1" t="n">
        <v>44687</v>
      </c>
      <c r="C334" s="1" t="n">
        <v>45588</v>
      </c>
      <c r="D334" t="inlineStr">
        <is>
          <t>DALARNAS LÄN</t>
        </is>
      </c>
      <c r="E334" t="inlineStr">
        <is>
          <t>LUDVIKA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18724-2022</t>
        </is>
      </c>
      <c r="B335" s="1" t="n">
        <v>44687</v>
      </c>
      <c r="C335" s="1" t="n">
        <v>45588</v>
      </c>
      <c r="D335" t="inlineStr">
        <is>
          <t>DALARNAS LÄN</t>
        </is>
      </c>
      <c r="E335" t="inlineStr">
        <is>
          <t>LUDVIKA</t>
        </is>
      </c>
      <c r="G335" t="n">
        <v>4.3</v>
      </c>
      <c r="H335" t="n">
        <v>0</v>
      </c>
      <c r="I335" t="n">
        <v>0</v>
      </c>
      <c r="J335" t="n">
        <v>0</v>
      </c>
      <c r="K335" t="n">
        <v>0</v>
      </c>
      <c r="L335" t="n">
        <v>0</v>
      </c>
      <c r="M335" t="n">
        <v>0</v>
      </c>
      <c r="N335" t="n">
        <v>0</v>
      </c>
      <c r="O335" t="n">
        <v>0</v>
      </c>
      <c r="P335" t="n">
        <v>0</v>
      </c>
      <c r="Q335" t="n">
        <v>0</v>
      </c>
      <c r="R335" s="2" t="inlineStr"/>
    </row>
    <row r="336" ht="15" customHeight="1">
      <c r="A336" t="inlineStr">
        <is>
          <t>A 20656-2022</t>
        </is>
      </c>
      <c r="B336" s="1" t="n">
        <v>44700</v>
      </c>
      <c r="C336" s="1" t="n">
        <v>45588</v>
      </c>
      <c r="D336" t="inlineStr">
        <is>
          <t>DALARNAS LÄN</t>
        </is>
      </c>
      <c r="E336" t="inlineStr">
        <is>
          <t>LUDVIKA</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20852-2022</t>
        </is>
      </c>
      <c r="B337" s="1" t="n">
        <v>44701</v>
      </c>
      <c r="C337" s="1" t="n">
        <v>45588</v>
      </c>
      <c r="D337" t="inlineStr">
        <is>
          <t>DALARNAS LÄN</t>
        </is>
      </c>
      <c r="E337" t="inlineStr">
        <is>
          <t>LUDVIKA</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21466-2022</t>
        </is>
      </c>
      <c r="B338" s="1" t="n">
        <v>44706</v>
      </c>
      <c r="C338" s="1" t="n">
        <v>45588</v>
      </c>
      <c r="D338" t="inlineStr">
        <is>
          <t>DALARNAS LÄN</t>
        </is>
      </c>
      <c r="E338" t="inlineStr">
        <is>
          <t>LUDVIKA</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21502-2022</t>
        </is>
      </c>
      <c r="B339" s="1" t="n">
        <v>44706</v>
      </c>
      <c r="C339" s="1" t="n">
        <v>45588</v>
      </c>
      <c r="D339" t="inlineStr">
        <is>
          <t>DALARNAS LÄN</t>
        </is>
      </c>
      <c r="E339" t="inlineStr">
        <is>
          <t>LUDVIKA</t>
        </is>
      </c>
      <c r="F339" t="inlineStr">
        <is>
          <t>Bergvik skog väst AB</t>
        </is>
      </c>
      <c r="G339" t="n">
        <v>5.5</v>
      </c>
      <c r="H339" t="n">
        <v>0</v>
      </c>
      <c r="I339" t="n">
        <v>0</v>
      </c>
      <c r="J339" t="n">
        <v>0</v>
      </c>
      <c r="K339" t="n">
        <v>0</v>
      </c>
      <c r="L339" t="n">
        <v>0</v>
      </c>
      <c r="M339" t="n">
        <v>0</v>
      </c>
      <c r="N339" t="n">
        <v>0</v>
      </c>
      <c r="O339" t="n">
        <v>0</v>
      </c>
      <c r="P339" t="n">
        <v>0</v>
      </c>
      <c r="Q339" t="n">
        <v>0</v>
      </c>
      <c r="R339" s="2" t="inlineStr"/>
    </row>
    <row r="340" ht="15" customHeight="1">
      <c r="A340" t="inlineStr">
        <is>
          <t>A 21741-2022</t>
        </is>
      </c>
      <c r="B340" s="1" t="n">
        <v>44708</v>
      </c>
      <c r="C340" s="1" t="n">
        <v>45588</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22000-2022</t>
        </is>
      </c>
      <c r="B341" s="1" t="n">
        <v>44711</v>
      </c>
      <c r="C341" s="1" t="n">
        <v>45588</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22920-2022</t>
        </is>
      </c>
      <c r="B342" s="1" t="n">
        <v>44715</v>
      </c>
      <c r="C342" s="1" t="n">
        <v>45588</v>
      </c>
      <c r="D342" t="inlineStr">
        <is>
          <t>DALARNAS LÄN</t>
        </is>
      </c>
      <c r="E342" t="inlineStr">
        <is>
          <t>LUDVIKA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23258-2022</t>
        </is>
      </c>
      <c r="B343" s="1" t="n">
        <v>44720</v>
      </c>
      <c r="C343" s="1" t="n">
        <v>45588</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23345-2022</t>
        </is>
      </c>
      <c r="B344" s="1" t="n">
        <v>44720</v>
      </c>
      <c r="C344" s="1" t="n">
        <v>45588</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24160-2022</t>
        </is>
      </c>
      <c r="B345" s="1" t="n">
        <v>44725</v>
      </c>
      <c r="C345" s="1" t="n">
        <v>45588</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25095-2022</t>
        </is>
      </c>
      <c r="B346" s="1" t="n">
        <v>44729</v>
      </c>
      <c r="C346" s="1" t="n">
        <v>45588</v>
      </c>
      <c r="D346" t="inlineStr">
        <is>
          <t>DALARNAS LÄN</t>
        </is>
      </c>
      <c r="E346" t="inlineStr">
        <is>
          <t>LUDVIKA</t>
        </is>
      </c>
      <c r="F346" t="inlineStr">
        <is>
          <t>Bergvik skog väst AB</t>
        </is>
      </c>
      <c r="G346" t="n">
        <v>3.9</v>
      </c>
      <c r="H346" t="n">
        <v>0</v>
      </c>
      <c r="I346" t="n">
        <v>0</v>
      </c>
      <c r="J346" t="n">
        <v>0</v>
      </c>
      <c r="K346" t="n">
        <v>0</v>
      </c>
      <c r="L346" t="n">
        <v>0</v>
      </c>
      <c r="M346" t="n">
        <v>0</v>
      </c>
      <c r="N346" t="n">
        <v>0</v>
      </c>
      <c r="O346" t="n">
        <v>0</v>
      </c>
      <c r="P346" t="n">
        <v>0</v>
      </c>
      <c r="Q346" t="n">
        <v>0</v>
      </c>
      <c r="R346" s="2" t="inlineStr"/>
    </row>
    <row r="347" ht="15" customHeight="1">
      <c r="A347" t="inlineStr">
        <is>
          <t>A 25243-2022</t>
        </is>
      </c>
      <c r="B347" s="1" t="n">
        <v>44730</v>
      </c>
      <c r="C347" s="1" t="n">
        <v>45588</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25272-2022</t>
        </is>
      </c>
      <c r="B348" s="1" t="n">
        <v>44730</v>
      </c>
      <c r="C348" s="1" t="n">
        <v>45588</v>
      </c>
      <c r="D348" t="inlineStr">
        <is>
          <t>DALARNAS LÄN</t>
        </is>
      </c>
      <c r="E348" t="inlineStr">
        <is>
          <t>LUDVIKA</t>
        </is>
      </c>
      <c r="F348" t="inlineStr">
        <is>
          <t>Bergvik skog väst AB</t>
        </is>
      </c>
      <c r="G348" t="n">
        <v>9.6</v>
      </c>
      <c r="H348" t="n">
        <v>0</v>
      </c>
      <c r="I348" t="n">
        <v>0</v>
      </c>
      <c r="J348" t="n">
        <v>0</v>
      </c>
      <c r="K348" t="n">
        <v>0</v>
      </c>
      <c r="L348" t="n">
        <v>0</v>
      </c>
      <c r="M348" t="n">
        <v>0</v>
      </c>
      <c r="N348" t="n">
        <v>0</v>
      </c>
      <c r="O348" t="n">
        <v>0</v>
      </c>
      <c r="P348" t="n">
        <v>0</v>
      </c>
      <c r="Q348" t="n">
        <v>0</v>
      </c>
      <c r="R348" s="2" t="inlineStr"/>
    </row>
    <row r="349" ht="15" customHeight="1">
      <c r="A349" t="inlineStr">
        <is>
          <t>A 25274-2022</t>
        </is>
      </c>
      <c r="B349" s="1" t="n">
        <v>44730</v>
      </c>
      <c r="C349" s="1" t="n">
        <v>45588</v>
      </c>
      <c r="D349" t="inlineStr">
        <is>
          <t>DALARNAS LÄN</t>
        </is>
      </c>
      <c r="E349" t="inlineStr">
        <is>
          <t>LUDVIKA</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25273-2022</t>
        </is>
      </c>
      <c r="B350" s="1" t="n">
        <v>44730</v>
      </c>
      <c r="C350" s="1" t="n">
        <v>45588</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25292-2022</t>
        </is>
      </c>
      <c r="B351" s="1" t="n">
        <v>44731</v>
      </c>
      <c r="C351" s="1" t="n">
        <v>45588</v>
      </c>
      <c r="D351" t="inlineStr">
        <is>
          <t>DALARNAS LÄN</t>
        </is>
      </c>
      <c r="E351" t="inlineStr">
        <is>
          <t>LUDVIKA</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25296-2022</t>
        </is>
      </c>
      <c r="B352" s="1" t="n">
        <v>44731</v>
      </c>
      <c r="C352" s="1" t="n">
        <v>45588</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25300-2022</t>
        </is>
      </c>
      <c r="B353" s="1" t="n">
        <v>44731</v>
      </c>
      <c r="C353" s="1" t="n">
        <v>45588</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25289-2022</t>
        </is>
      </c>
      <c r="B354" s="1" t="n">
        <v>44731</v>
      </c>
      <c r="C354" s="1" t="n">
        <v>45588</v>
      </c>
      <c r="D354" t="inlineStr">
        <is>
          <t>DALARNAS LÄN</t>
        </is>
      </c>
      <c r="E354" t="inlineStr">
        <is>
          <t>LUDVIKA</t>
        </is>
      </c>
      <c r="F354" t="inlineStr">
        <is>
          <t>Bergvik skog väst AB</t>
        </is>
      </c>
      <c r="G354" t="n">
        <v>10.1</v>
      </c>
      <c r="H354" t="n">
        <v>0</v>
      </c>
      <c r="I354" t="n">
        <v>0</v>
      </c>
      <c r="J354" t="n">
        <v>0</v>
      </c>
      <c r="K354" t="n">
        <v>0</v>
      </c>
      <c r="L354" t="n">
        <v>0</v>
      </c>
      <c r="M354" t="n">
        <v>0</v>
      </c>
      <c r="N354" t="n">
        <v>0</v>
      </c>
      <c r="O354" t="n">
        <v>0</v>
      </c>
      <c r="P354" t="n">
        <v>0</v>
      </c>
      <c r="Q354" t="n">
        <v>0</v>
      </c>
      <c r="R354" s="2" t="inlineStr"/>
    </row>
    <row r="355" ht="15" customHeight="1">
      <c r="A355" t="inlineStr">
        <is>
          <t>A 25293-2022</t>
        </is>
      </c>
      <c r="B355" s="1" t="n">
        <v>44731</v>
      </c>
      <c r="C355" s="1" t="n">
        <v>45588</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25297-2022</t>
        </is>
      </c>
      <c r="B356" s="1" t="n">
        <v>44731</v>
      </c>
      <c r="C356" s="1" t="n">
        <v>45588</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25301-2022</t>
        </is>
      </c>
      <c r="B357" s="1" t="n">
        <v>44731</v>
      </c>
      <c r="C357" s="1" t="n">
        <v>45588</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25290-2022</t>
        </is>
      </c>
      <c r="B358" s="1" t="n">
        <v>44731</v>
      </c>
      <c r="C358" s="1" t="n">
        <v>45588</v>
      </c>
      <c r="D358" t="inlineStr">
        <is>
          <t>DALARNAS LÄN</t>
        </is>
      </c>
      <c r="E358" t="inlineStr">
        <is>
          <t>LUDVIKA</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25294-2022</t>
        </is>
      </c>
      <c r="B359" s="1" t="n">
        <v>44730</v>
      </c>
      <c r="C359" s="1" t="n">
        <v>45588</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25298-2022</t>
        </is>
      </c>
      <c r="B360" s="1" t="n">
        <v>44731</v>
      </c>
      <c r="C360" s="1" t="n">
        <v>45588</v>
      </c>
      <c r="D360" t="inlineStr">
        <is>
          <t>DALARNAS LÄN</t>
        </is>
      </c>
      <c r="E360" t="inlineStr">
        <is>
          <t>LUDVIKA</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25291-2022</t>
        </is>
      </c>
      <c r="B361" s="1" t="n">
        <v>44731</v>
      </c>
      <c r="C361" s="1" t="n">
        <v>45588</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25299-2022</t>
        </is>
      </c>
      <c r="B362" s="1" t="n">
        <v>44731</v>
      </c>
      <c r="C362" s="1" t="n">
        <v>45588</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25328-2022</t>
        </is>
      </c>
      <c r="B363" s="1" t="n">
        <v>44731</v>
      </c>
      <c r="C363" s="1" t="n">
        <v>45588</v>
      </c>
      <c r="D363" t="inlineStr">
        <is>
          <t>DALARNAS LÄN</t>
        </is>
      </c>
      <c r="E363" t="inlineStr">
        <is>
          <t>LUDVIKA</t>
        </is>
      </c>
      <c r="F363" t="inlineStr">
        <is>
          <t>Bergvik skog väst AB</t>
        </is>
      </c>
      <c r="G363" t="n">
        <v>17.2</v>
      </c>
      <c r="H363" t="n">
        <v>0</v>
      </c>
      <c r="I363" t="n">
        <v>0</v>
      </c>
      <c r="J363" t="n">
        <v>0</v>
      </c>
      <c r="K363" t="n">
        <v>0</v>
      </c>
      <c r="L363" t="n">
        <v>0</v>
      </c>
      <c r="M363" t="n">
        <v>0</v>
      </c>
      <c r="N363" t="n">
        <v>0</v>
      </c>
      <c r="O363" t="n">
        <v>0</v>
      </c>
      <c r="P363" t="n">
        <v>0</v>
      </c>
      <c r="Q363" t="n">
        <v>0</v>
      </c>
      <c r="R363" s="2" t="inlineStr"/>
    </row>
    <row r="364" ht="15" customHeight="1">
      <c r="A364" t="inlineStr">
        <is>
          <t>A 25454-2022</t>
        </is>
      </c>
      <c r="B364" s="1" t="n">
        <v>44732</v>
      </c>
      <c r="C364" s="1" t="n">
        <v>45588</v>
      </c>
      <c r="D364" t="inlineStr">
        <is>
          <t>DALARNAS LÄN</t>
        </is>
      </c>
      <c r="E364" t="inlineStr">
        <is>
          <t>LUDVIKA</t>
        </is>
      </c>
      <c r="G364" t="n">
        <v>1.8</v>
      </c>
      <c r="H364" t="n">
        <v>0</v>
      </c>
      <c r="I364" t="n">
        <v>0</v>
      </c>
      <c r="J364" t="n">
        <v>0</v>
      </c>
      <c r="K364" t="n">
        <v>0</v>
      </c>
      <c r="L364" t="n">
        <v>0</v>
      </c>
      <c r="M364" t="n">
        <v>0</v>
      </c>
      <c r="N364" t="n">
        <v>0</v>
      </c>
      <c r="O364" t="n">
        <v>0</v>
      </c>
      <c r="P364" t="n">
        <v>0</v>
      </c>
      <c r="Q364" t="n">
        <v>0</v>
      </c>
      <c r="R364" s="2" t="inlineStr"/>
    </row>
    <row r="365" ht="15" customHeight="1">
      <c r="A365" t="inlineStr">
        <is>
          <t>A 25755-2022</t>
        </is>
      </c>
      <c r="B365" s="1" t="n">
        <v>44733</v>
      </c>
      <c r="C365" s="1" t="n">
        <v>45588</v>
      </c>
      <c r="D365" t="inlineStr">
        <is>
          <t>DALARNAS LÄN</t>
        </is>
      </c>
      <c r="E365" t="inlineStr">
        <is>
          <t>LUDVIKA</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27226-2022</t>
        </is>
      </c>
      <c r="B366" s="1" t="n">
        <v>44741</v>
      </c>
      <c r="C366" s="1" t="n">
        <v>45588</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27738-2022</t>
        </is>
      </c>
      <c r="B367" s="1" t="n">
        <v>44743</v>
      </c>
      <c r="C367" s="1" t="n">
        <v>45588</v>
      </c>
      <c r="D367" t="inlineStr">
        <is>
          <t>DALARNAS LÄN</t>
        </is>
      </c>
      <c r="E367" t="inlineStr">
        <is>
          <t>LUDVIKA</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31273-2022</t>
        </is>
      </c>
      <c r="B368" s="1" t="n">
        <v>44771</v>
      </c>
      <c r="C368" s="1" t="n">
        <v>45588</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31270-2022</t>
        </is>
      </c>
      <c r="B369" s="1" t="n">
        <v>44771</v>
      </c>
      <c r="C369" s="1" t="n">
        <v>45588</v>
      </c>
      <c r="D369" t="inlineStr">
        <is>
          <t>DALARNAS LÄN</t>
        </is>
      </c>
      <c r="E369" t="inlineStr">
        <is>
          <t>LUDVIKA</t>
        </is>
      </c>
      <c r="G369" t="n">
        <v>1.2</v>
      </c>
      <c r="H369" t="n">
        <v>0</v>
      </c>
      <c r="I369" t="n">
        <v>0</v>
      </c>
      <c r="J369" t="n">
        <v>0</v>
      </c>
      <c r="K369" t="n">
        <v>0</v>
      </c>
      <c r="L369" t="n">
        <v>0</v>
      </c>
      <c r="M369" t="n">
        <v>0</v>
      </c>
      <c r="N369" t="n">
        <v>0</v>
      </c>
      <c r="O369" t="n">
        <v>0</v>
      </c>
      <c r="P369" t="n">
        <v>0</v>
      </c>
      <c r="Q369" t="n">
        <v>0</v>
      </c>
      <c r="R369" s="2" t="inlineStr"/>
    </row>
    <row r="370" ht="15" customHeight="1">
      <c r="A370" t="inlineStr">
        <is>
          <t>A 31272-2022</t>
        </is>
      </c>
      <c r="B370" s="1" t="n">
        <v>44771</v>
      </c>
      <c r="C370" s="1" t="n">
        <v>45588</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33108-2022</t>
        </is>
      </c>
      <c r="B371" s="1" t="n">
        <v>44785</v>
      </c>
      <c r="C371" s="1" t="n">
        <v>45588</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33673-2022</t>
        </is>
      </c>
      <c r="B372" s="1" t="n">
        <v>44789</v>
      </c>
      <c r="C372" s="1" t="n">
        <v>45588</v>
      </c>
      <c r="D372" t="inlineStr">
        <is>
          <t>DALARNAS LÄN</t>
        </is>
      </c>
      <c r="E372" t="inlineStr">
        <is>
          <t>LUDVIKA</t>
        </is>
      </c>
      <c r="G372" t="n">
        <v>1.5</v>
      </c>
      <c r="H372" t="n">
        <v>0</v>
      </c>
      <c r="I372" t="n">
        <v>0</v>
      </c>
      <c r="J372" t="n">
        <v>0</v>
      </c>
      <c r="K372" t="n">
        <v>0</v>
      </c>
      <c r="L372" t="n">
        <v>0</v>
      </c>
      <c r="M372" t="n">
        <v>0</v>
      </c>
      <c r="N372" t="n">
        <v>0</v>
      </c>
      <c r="O372" t="n">
        <v>0</v>
      </c>
      <c r="P372" t="n">
        <v>0</v>
      </c>
      <c r="Q372" t="n">
        <v>0</v>
      </c>
      <c r="R372" s="2" t="inlineStr"/>
    </row>
    <row r="373" ht="15" customHeight="1">
      <c r="A373" t="inlineStr">
        <is>
          <t>A 36770-2022</t>
        </is>
      </c>
      <c r="B373" s="1" t="n">
        <v>44805</v>
      </c>
      <c r="C373" s="1" t="n">
        <v>45588</v>
      </c>
      <c r="D373" t="inlineStr">
        <is>
          <t>DALARNAS LÄN</t>
        </is>
      </c>
      <c r="E373" t="inlineStr">
        <is>
          <t>LUDVIKA</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36852-2022</t>
        </is>
      </c>
      <c r="B374" s="1" t="n">
        <v>44805</v>
      </c>
      <c r="C374" s="1" t="n">
        <v>45588</v>
      </c>
      <c r="D374" t="inlineStr">
        <is>
          <t>DALARNAS LÄN</t>
        </is>
      </c>
      <c r="E374" t="inlineStr">
        <is>
          <t>LUDVIKA</t>
        </is>
      </c>
      <c r="F374" t="inlineStr">
        <is>
          <t>Bergvik skog väst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37495-2022</t>
        </is>
      </c>
      <c r="B375" s="1" t="n">
        <v>44809</v>
      </c>
      <c r="C375" s="1" t="n">
        <v>45588</v>
      </c>
      <c r="D375" t="inlineStr">
        <is>
          <t>DALARNAS LÄN</t>
        </is>
      </c>
      <c r="E375" t="inlineStr">
        <is>
          <t>LUDVIKA</t>
        </is>
      </c>
      <c r="F375" t="inlineStr">
        <is>
          <t>Naturvårdsverket</t>
        </is>
      </c>
      <c r="G375" t="n">
        <v>3.2</v>
      </c>
      <c r="H375" t="n">
        <v>0</v>
      </c>
      <c r="I375" t="n">
        <v>0</v>
      </c>
      <c r="J375" t="n">
        <v>0</v>
      </c>
      <c r="K375" t="n">
        <v>0</v>
      </c>
      <c r="L375" t="n">
        <v>0</v>
      </c>
      <c r="M375" t="n">
        <v>0</v>
      </c>
      <c r="N375" t="n">
        <v>0</v>
      </c>
      <c r="O375" t="n">
        <v>0</v>
      </c>
      <c r="P375" t="n">
        <v>0</v>
      </c>
      <c r="Q375" t="n">
        <v>0</v>
      </c>
      <c r="R375" s="2" t="inlineStr"/>
    </row>
    <row r="376" ht="15" customHeight="1">
      <c r="A376" t="inlineStr">
        <is>
          <t>A 37479-2022</t>
        </is>
      </c>
      <c r="B376" s="1" t="n">
        <v>44809</v>
      </c>
      <c r="C376" s="1" t="n">
        <v>45588</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38014-2022</t>
        </is>
      </c>
      <c r="B377" s="1" t="n">
        <v>44811</v>
      </c>
      <c r="C377" s="1" t="n">
        <v>45588</v>
      </c>
      <c r="D377" t="inlineStr">
        <is>
          <t>DALARNAS LÄN</t>
        </is>
      </c>
      <c r="E377" t="inlineStr">
        <is>
          <t>LUDVIKA</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38565-2022</t>
        </is>
      </c>
      <c r="B378" s="1" t="n">
        <v>44813</v>
      </c>
      <c r="C378" s="1" t="n">
        <v>45588</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39090-2022</t>
        </is>
      </c>
      <c r="B379" s="1" t="n">
        <v>44817</v>
      </c>
      <c r="C379" s="1" t="n">
        <v>45588</v>
      </c>
      <c r="D379" t="inlineStr">
        <is>
          <t>DALARNAS LÄN</t>
        </is>
      </c>
      <c r="E379" t="inlineStr">
        <is>
          <t>LUDVIKA</t>
        </is>
      </c>
      <c r="F379" t="inlineStr">
        <is>
          <t>Naturvårdsverket</t>
        </is>
      </c>
      <c r="G379" t="n">
        <v>2.4</v>
      </c>
      <c r="H379" t="n">
        <v>0</v>
      </c>
      <c r="I379" t="n">
        <v>0</v>
      </c>
      <c r="J379" t="n">
        <v>0</v>
      </c>
      <c r="K379" t="n">
        <v>0</v>
      </c>
      <c r="L379" t="n">
        <v>0</v>
      </c>
      <c r="M379" t="n">
        <v>0</v>
      </c>
      <c r="N379" t="n">
        <v>0</v>
      </c>
      <c r="O379" t="n">
        <v>0</v>
      </c>
      <c r="P379" t="n">
        <v>0</v>
      </c>
      <c r="Q379" t="n">
        <v>0</v>
      </c>
      <c r="R379" s="2" t="inlineStr"/>
    </row>
    <row r="380" ht="15" customHeight="1">
      <c r="A380" t="inlineStr">
        <is>
          <t>A 39257-2022</t>
        </is>
      </c>
      <c r="B380" s="1" t="n">
        <v>44817</v>
      </c>
      <c r="C380" s="1" t="n">
        <v>45588</v>
      </c>
      <c r="D380" t="inlineStr">
        <is>
          <t>DALARNAS LÄN</t>
        </is>
      </c>
      <c r="E380" t="inlineStr">
        <is>
          <t>LUDVIKA</t>
        </is>
      </c>
      <c r="F380" t="inlineStr">
        <is>
          <t>Bergvik skog väst AB</t>
        </is>
      </c>
      <c r="G380" t="n">
        <v>10</v>
      </c>
      <c r="H380" t="n">
        <v>0</v>
      </c>
      <c r="I380" t="n">
        <v>0</v>
      </c>
      <c r="J380" t="n">
        <v>0</v>
      </c>
      <c r="K380" t="n">
        <v>0</v>
      </c>
      <c r="L380" t="n">
        <v>0</v>
      </c>
      <c r="M380" t="n">
        <v>0</v>
      </c>
      <c r="N380" t="n">
        <v>0</v>
      </c>
      <c r="O380" t="n">
        <v>0</v>
      </c>
      <c r="P380" t="n">
        <v>0</v>
      </c>
      <c r="Q380" t="n">
        <v>0</v>
      </c>
      <c r="R380" s="2" t="inlineStr"/>
    </row>
    <row r="381" ht="15" customHeight="1">
      <c r="A381" t="inlineStr">
        <is>
          <t>A 39761-2022</t>
        </is>
      </c>
      <c r="B381" s="1" t="n">
        <v>44819</v>
      </c>
      <c r="C381" s="1" t="n">
        <v>45588</v>
      </c>
      <c r="D381" t="inlineStr">
        <is>
          <t>DALARNAS LÄN</t>
        </is>
      </c>
      <c r="E381" t="inlineStr">
        <is>
          <t>LUDVIKA</t>
        </is>
      </c>
      <c r="F381" t="inlineStr">
        <is>
          <t>Naturvårdsverket</t>
        </is>
      </c>
      <c r="G381" t="n">
        <v>1</v>
      </c>
      <c r="H381" t="n">
        <v>0</v>
      </c>
      <c r="I381" t="n">
        <v>0</v>
      </c>
      <c r="J381" t="n">
        <v>0</v>
      </c>
      <c r="K381" t="n">
        <v>0</v>
      </c>
      <c r="L381" t="n">
        <v>0</v>
      </c>
      <c r="M381" t="n">
        <v>0</v>
      </c>
      <c r="N381" t="n">
        <v>0</v>
      </c>
      <c r="O381" t="n">
        <v>0</v>
      </c>
      <c r="P381" t="n">
        <v>0</v>
      </c>
      <c r="Q381" t="n">
        <v>0</v>
      </c>
      <c r="R381" s="2" t="inlineStr"/>
    </row>
    <row r="382" ht="15" customHeight="1">
      <c r="A382" t="inlineStr">
        <is>
          <t>A 40151-2022</t>
        </is>
      </c>
      <c r="B382" s="1" t="n">
        <v>44820</v>
      </c>
      <c r="C382" s="1" t="n">
        <v>45588</v>
      </c>
      <c r="D382" t="inlineStr">
        <is>
          <t>DALARNAS LÄN</t>
        </is>
      </c>
      <c r="E382" t="inlineStr">
        <is>
          <t>LUDVIKA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40137-2022</t>
        </is>
      </c>
      <c r="B383" s="1" t="n">
        <v>44820</v>
      </c>
      <c r="C383" s="1" t="n">
        <v>45588</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40142-2022</t>
        </is>
      </c>
      <c r="B384" s="1" t="n">
        <v>44820</v>
      </c>
      <c r="C384" s="1" t="n">
        <v>45588</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41090-2022</t>
        </is>
      </c>
      <c r="B385" s="1" t="n">
        <v>44825</v>
      </c>
      <c r="C385" s="1" t="n">
        <v>45588</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41158-2022</t>
        </is>
      </c>
      <c r="B386" s="1" t="n">
        <v>44825</v>
      </c>
      <c r="C386" s="1" t="n">
        <v>45588</v>
      </c>
      <c r="D386" t="inlineStr">
        <is>
          <t>DALARNAS LÄN</t>
        </is>
      </c>
      <c r="E386" t="inlineStr">
        <is>
          <t>LUDVIKA</t>
        </is>
      </c>
      <c r="G386" t="n">
        <v>2.1</v>
      </c>
      <c r="H386" t="n">
        <v>0</v>
      </c>
      <c r="I386" t="n">
        <v>0</v>
      </c>
      <c r="J386" t="n">
        <v>0</v>
      </c>
      <c r="K386" t="n">
        <v>0</v>
      </c>
      <c r="L386" t="n">
        <v>0</v>
      </c>
      <c r="M386" t="n">
        <v>0</v>
      </c>
      <c r="N386" t="n">
        <v>0</v>
      </c>
      <c r="O386" t="n">
        <v>0</v>
      </c>
      <c r="P386" t="n">
        <v>0</v>
      </c>
      <c r="Q386" t="n">
        <v>0</v>
      </c>
      <c r="R386" s="2" t="inlineStr"/>
    </row>
    <row r="387" ht="15" customHeight="1">
      <c r="A387" t="inlineStr">
        <is>
          <t>A 41123-2022</t>
        </is>
      </c>
      <c r="B387" s="1" t="n">
        <v>44825</v>
      </c>
      <c r="C387" s="1" t="n">
        <v>45588</v>
      </c>
      <c r="D387" t="inlineStr">
        <is>
          <t>DALARNAS LÄN</t>
        </is>
      </c>
      <c r="E387" t="inlineStr">
        <is>
          <t>LUDVIKA</t>
        </is>
      </c>
      <c r="F387" t="inlineStr">
        <is>
          <t>Naturvårdsverket</t>
        </is>
      </c>
      <c r="G387" t="n">
        <v>1</v>
      </c>
      <c r="H387" t="n">
        <v>0</v>
      </c>
      <c r="I387" t="n">
        <v>0</v>
      </c>
      <c r="J387" t="n">
        <v>0</v>
      </c>
      <c r="K387" t="n">
        <v>0</v>
      </c>
      <c r="L387" t="n">
        <v>0</v>
      </c>
      <c r="M387" t="n">
        <v>0</v>
      </c>
      <c r="N387" t="n">
        <v>0</v>
      </c>
      <c r="O387" t="n">
        <v>0</v>
      </c>
      <c r="P387" t="n">
        <v>0</v>
      </c>
      <c r="Q387" t="n">
        <v>0</v>
      </c>
      <c r="R387" s="2" t="inlineStr"/>
    </row>
    <row r="388" ht="15" customHeight="1">
      <c r="A388" t="inlineStr">
        <is>
          <t>A 41400-2022</t>
        </is>
      </c>
      <c r="B388" s="1" t="n">
        <v>44826</v>
      </c>
      <c r="C388" s="1" t="n">
        <v>45588</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41328-2022</t>
        </is>
      </c>
      <c r="B389" s="1" t="n">
        <v>44826</v>
      </c>
      <c r="C389" s="1" t="n">
        <v>45588</v>
      </c>
      <c r="D389" t="inlineStr">
        <is>
          <t>DALARNAS LÄN</t>
        </is>
      </c>
      <c r="E389" t="inlineStr">
        <is>
          <t>LUDVIKA</t>
        </is>
      </c>
      <c r="F389" t="inlineStr">
        <is>
          <t>Bergvik skog väst AB</t>
        </is>
      </c>
      <c r="G389" t="n">
        <v>6.1</v>
      </c>
      <c r="H389" t="n">
        <v>0</v>
      </c>
      <c r="I389" t="n">
        <v>0</v>
      </c>
      <c r="J389" t="n">
        <v>0</v>
      </c>
      <c r="K389" t="n">
        <v>0</v>
      </c>
      <c r="L389" t="n">
        <v>0</v>
      </c>
      <c r="M389" t="n">
        <v>0</v>
      </c>
      <c r="N389" t="n">
        <v>0</v>
      </c>
      <c r="O389" t="n">
        <v>0</v>
      </c>
      <c r="P389" t="n">
        <v>0</v>
      </c>
      <c r="Q389" t="n">
        <v>0</v>
      </c>
      <c r="R389" s="2" t="inlineStr"/>
    </row>
    <row r="390" ht="15" customHeight="1">
      <c r="A390" t="inlineStr">
        <is>
          <t>A 41712-2022</t>
        </is>
      </c>
      <c r="B390" s="1" t="n">
        <v>44827</v>
      </c>
      <c r="C390" s="1" t="n">
        <v>45588</v>
      </c>
      <c r="D390" t="inlineStr">
        <is>
          <t>DALARNAS LÄN</t>
        </is>
      </c>
      <c r="E390" t="inlineStr">
        <is>
          <t>LUDVIKA</t>
        </is>
      </c>
      <c r="G390" t="n">
        <v>1.5</v>
      </c>
      <c r="H390" t="n">
        <v>0</v>
      </c>
      <c r="I390" t="n">
        <v>0</v>
      </c>
      <c r="J390" t="n">
        <v>0</v>
      </c>
      <c r="K390" t="n">
        <v>0</v>
      </c>
      <c r="L390" t="n">
        <v>0</v>
      </c>
      <c r="M390" t="n">
        <v>0</v>
      </c>
      <c r="N390" t="n">
        <v>0</v>
      </c>
      <c r="O390" t="n">
        <v>0</v>
      </c>
      <c r="P390" t="n">
        <v>0</v>
      </c>
      <c r="Q390" t="n">
        <v>0</v>
      </c>
      <c r="R390" s="2" t="inlineStr"/>
    </row>
    <row r="391" ht="15" customHeight="1">
      <c r="A391" t="inlineStr">
        <is>
          <t>A 41594-2022</t>
        </is>
      </c>
      <c r="B391" s="1" t="n">
        <v>44827</v>
      </c>
      <c r="C391" s="1" t="n">
        <v>45588</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41796-2022</t>
        </is>
      </c>
      <c r="B392" s="1" t="n">
        <v>44827</v>
      </c>
      <c r="C392" s="1" t="n">
        <v>45588</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41797-2022</t>
        </is>
      </c>
      <c r="B393" s="1" t="n">
        <v>44827</v>
      </c>
      <c r="C393" s="1" t="n">
        <v>45588</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42140-2022</t>
        </is>
      </c>
      <c r="B394" s="1" t="n">
        <v>44830</v>
      </c>
      <c r="C394" s="1" t="n">
        <v>45588</v>
      </c>
      <c r="D394" t="inlineStr">
        <is>
          <t>DALARNAS LÄN</t>
        </is>
      </c>
      <c r="E394" t="inlineStr">
        <is>
          <t>LUDVIKA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42329-2022</t>
        </is>
      </c>
      <c r="B395" s="1" t="n">
        <v>44831</v>
      </c>
      <c r="C395" s="1" t="n">
        <v>45588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42440-2022</t>
        </is>
      </c>
      <c r="B396" s="1" t="n">
        <v>44831</v>
      </c>
      <c r="C396" s="1" t="n">
        <v>45588</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42572-2022</t>
        </is>
      </c>
      <c r="B397" s="1" t="n">
        <v>44831</v>
      </c>
      <c r="C397" s="1" t="n">
        <v>45588</v>
      </c>
      <c r="D397" t="inlineStr">
        <is>
          <t>DALARNAS LÄN</t>
        </is>
      </c>
      <c r="E397" t="inlineStr">
        <is>
          <t>LUDVIKA</t>
        </is>
      </c>
      <c r="F397" t="inlineStr">
        <is>
          <t>Bergvik skog väst AB</t>
        </is>
      </c>
      <c r="G397" t="n">
        <v>9.1</v>
      </c>
      <c r="H397" t="n">
        <v>0</v>
      </c>
      <c r="I397" t="n">
        <v>0</v>
      </c>
      <c r="J397" t="n">
        <v>0</v>
      </c>
      <c r="K397" t="n">
        <v>0</v>
      </c>
      <c r="L397" t="n">
        <v>0</v>
      </c>
      <c r="M397" t="n">
        <v>0</v>
      </c>
      <c r="N397" t="n">
        <v>0</v>
      </c>
      <c r="O397" t="n">
        <v>0</v>
      </c>
      <c r="P397" t="n">
        <v>0</v>
      </c>
      <c r="Q397" t="n">
        <v>0</v>
      </c>
      <c r="R397" s="2" t="inlineStr"/>
    </row>
    <row r="398" ht="15" customHeight="1">
      <c r="A398" t="inlineStr">
        <is>
          <t>A 42709-2022</t>
        </is>
      </c>
      <c r="B398" s="1" t="n">
        <v>44832</v>
      </c>
      <c r="C398" s="1" t="n">
        <v>45588</v>
      </c>
      <c r="D398" t="inlineStr">
        <is>
          <t>DALARNAS LÄN</t>
        </is>
      </c>
      <c r="E398" t="inlineStr">
        <is>
          <t>LUDVIKA</t>
        </is>
      </c>
      <c r="F398" t="inlineStr">
        <is>
          <t>Naturvårdsverket</t>
        </is>
      </c>
      <c r="G398" t="n">
        <v>4.5</v>
      </c>
      <c r="H398" t="n">
        <v>0</v>
      </c>
      <c r="I398" t="n">
        <v>0</v>
      </c>
      <c r="J398" t="n">
        <v>0</v>
      </c>
      <c r="K398" t="n">
        <v>0</v>
      </c>
      <c r="L398" t="n">
        <v>0</v>
      </c>
      <c r="M398" t="n">
        <v>0</v>
      </c>
      <c r="N398" t="n">
        <v>0</v>
      </c>
      <c r="O398" t="n">
        <v>0</v>
      </c>
      <c r="P398" t="n">
        <v>0</v>
      </c>
      <c r="Q398" t="n">
        <v>0</v>
      </c>
      <c r="R398" s="2" t="inlineStr"/>
    </row>
    <row r="399" ht="15" customHeight="1">
      <c r="A399" t="inlineStr">
        <is>
          <t>A 43008-2022</t>
        </is>
      </c>
      <c r="B399" s="1" t="n">
        <v>44833</v>
      </c>
      <c r="C399" s="1" t="n">
        <v>45588</v>
      </c>
      <c r="D399" t="inlineStr">
        <is>
          <t>DALARNAS LÄN</t>
        </is>
      </c>
      <c r="E399" t="inlineStr">
        <is>
          <t>LUDVIKA</t>
        </is>
      </c>
      <c r="G399" t="n">
        <v>0.8</v>
      </c>
      <c r="H399" t="n">
        <v>0</v>
      </c>
      <c r="I399" t="n">
        <v>0</v>
      </c>
      <c r="J399" t="n">
        <v>0</v>
      </c>
      <c r="K399" t="n">
        <v>0</v>
      </c>
      <c r="L399" t="n">
        <v>0</v>
      </c>
      <c r="M399" t="n">
        <v>0</v>
      </c>
      <c r="N399" t="n">
        <v>0</v>
      </c>
      <c r="O399" t="n">
        <v>0</v>
      </c>
      <c r="P399" t="n">
        <v>0</v>
      </c>
      <c r="Q399" t="n">
        <v>0</v>
      </c>
      <c r="R399" s="2" t="inlineStr"/>
    </row>
    <row r="400" ht="15" customHeight="1">
      <c r="A400" t="inlineStr">
        <is>
          <t>A 43047-2022</t>
        </is>
      </c>
      <c r="B400" s="1" t="n">
        <v>44833</v>
      </c>
      <c r="C400" s="1" t="n">
        <v>45588</v>
      </c>
      <c r="D400" t="inlineStr">
        <is>
          <t>DALARNAS LÄN</t>
        </is>
      </c>
      <c r="E400" t="inlineStr">
        <is>
          <t>LUDVIKA</t>
        </is>
      </c>
      <c r="F400" t="inlineStr">
        <is>
          <t>Bergvik skog väst AB</t>
        </is>
      </c>
      <c r="G400" t="n">
        <v>9.5</v>
      </c>
      <c r="H400" t="n">
        <v>0</v>
      </c>
      <c r="I400" t="n">
        <v>0</v>
      </c>
      <c r="J400" t="n">
        <v>0</v>
      </c>
      <c r="K400" t="n">
        <v>0</v>
      </c>
      <c r="L400" t="n">
        <v>0</v>
      </c>
      <c r="M400" t="n">
        <v>0</v>
      </c>
      <c r="N400" t="n">
        <v>0</v>
      </c>
      <c r="O400" t="n">
        <v>0</v>
      </c>
      <c r="P400" t="n">
        <v>0</v>
      </c>
      <c r="Q400" t="n">
        <v>0</v>
      </c>
      <c r="R400" s="2" t="inlineStr"/>
    </row>
    <row r="401" ht="15" customHeight="1">
      <c r="A401" t="inlineStr">
        <is>
          <t>A 45060-2022</t>
        </is>
      </c>
      <c r="B401" s="1" t="n">
        <v>44841</v>
      </c>
      <c r="C401" s="1" t="n">
        <v>45588</v>
      </c>
      <c r="D401" t="inlineStr">
        <is>
          <t>DALARNAS LÄN</t>
        </is>
      </c>
      <c r="E401" t="inlineStr">
        <is>
          <t>LUDVIKA</t>
        </is>
      </c>
      <c r="G401" t="n">
        <v>1.1</v>
      </c>
      <c r="H401" t="n">
        <v>0</v>
      </c>
      <c r="I401" t="n">
        <v>0</v>
      </c>
      <c r="J401" t="n">
        <v>0</v>
      </c>
      <c r="K401" t="n">
        <v>0</v>
      </c>
      <c r="L401" t="n">
        <v>0</v>
      </c>
      <c r="M401" t="n">
        <v>0</v>
      </c>
      <c r="N401" t="n">
        <v>0</v>
      </c>
      <c r="O401" t="n">
        <v>0</v>
      </c>
      <c r="P401" t="n">
        <v>0</v>
      </c>
      <c r="Q401" t="n">
        <v>0</v>
      </c>
      <c r="R401" s="2" t="inlineStr"/>
    </row>
    <row r="402" ht="15" customHeight="1">
      <c r="A402" t="inlineStr">
        <is>
          <t>A 45235-2022</t>
        </is>
      </c>
      <c r="B402" s="1" t="n">
        <v>44844</v>
      </c>
      <c r="C402" s="1" t="n">
        <v>45588</v>
      </c>
      <c r="D402" t="inlineStr">
        <is>
          <t>DALARNAS LÄN</t>
        </is>
      </c>
      <c r="E402" t="inlineStr">
        <is>
          <t>LUDVIKA</t>
        </is>
      </c>
      <c r="F402" t="inlineStr">
        <is>
          <t>Naturvårdsverket</t>
        </is>
      </c>
      <c r="G402" t="n">
        <v>4.1</v>
      </c>
      <c r="H402" t="n">
        <v>0</v>
      </c>
      <c r="I402" t="n">
        <v>0</v>
      </c>
      <c r="J402" t="n">
        <v>0</v>
      </c>
      <c r="K402" t="n">
        <v>0</v>
      </c>
      <c r="L402" t="n">
        <v>0</v>
      </c>
      <c r="M402" t="n">
        <v>0</v>
      </c>
      <c r="N402" t="n">
        <v>0</v>
      </c>
      <c r="O402" t="n">
        <v>0</v>
      </c>
      <c r="P402" t="n">
        <v>0</v>
      </c>
      <c r="Q402" t="n">
        <v>0</v>
      </c>
      <c r="R402" s="2" t="inlineStr"/>
    </row>
    <row r="403" ht="15" customHeight="1">
      <c r="A403" t="inlineStr">
        <is>
          <t>A 45179-2022</t>
        </is>
      </c>
      <c r="B403" s="1" t="n">
        <v>44844</v>
      </c>
      <c r="C403" s="1" t="n">
        <v>45588</v>
      </c>
      <c r="D403" t="inlineStr">
        <is>
          <t>DALARNAS LÄN</t>
        </is>
      </c>
      <c r="E403" t="inlineStr">
        <is>
          <t>LUDVIKA</t>
        </is>
      </c>
      <c r="F403" t="inlineStr">
        <is>
          <t>Naturvårdsverket</t>
        </is>
      </c>
      <c r="G403" t="n">
        <v>4.3</v>
      </c>
      <c r="H403" t="n">
        <v>0</v>
      </c>
      <c r="I403" t="n">
        <v>0</v>
      </c>
      <c r="J403" t="n">
        <v>0</v>
      </c>
      <c r="K403" t="n">
        <v>0</v>
      </c>
      <c r="L403" t="n">
        <v>0</v>
      </c>
      <c r="M403" t="n">
        <v>0</v>
      </c>
      <c r="N403" t="n">
        <v>0</v>
      </c>
      <c r="O403" t="n">
        <v>0</v>
      </c>
      <c r="P403" t="n">
        <v>0</v>
      </c>
      <c r="Q403" t="n">
        <v>0</v>
      </c>
      <c r="R403" s="2" t="inlineStr"/>
    </row>
    <row r="404" ht="15" customHeight="1">
      <c r="A404" t="inlineStr">
        <is>
          <t>A 45230-2022</t>
        </is>
      </c>
      <c r="B404" s="1" t="n">
        <v>44844</v>
      </c>
      <c r="C404" s="1" t="n">
        <v>45588</v>
      </c>
      <c r="D404" t="inlineStr">
        <is>
          <t>DALARNAS LÄN</t>
        </is>
      </c>
      <c r="E404" t="inlineStr">
        <is>
          <t>LUDVIKA</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45268-2022</t>
        </is>
      </c>
      <c r="B405" s="1" t="n">
        <v>44844</v>
      </c>
      <c r="C405" s="1" t="n">
        <v>45588</v>
      </c>
      <c r="D405" t="inlineStr">
        <is>
          <t>DALARNAS LÄN</t>
        </is>
      </c>
      <c r="E405" t="inlineStr">
        <is>
          <t>LUDVIKA</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45361-2022</t>
        </is>
      </c>
      <c r="B406" s="1" t="n">
        <v>44844</v>
      </c>
      <c r="C406" s="1" t="n">
        <v>45588</v>
      </c>
      <c r="D406" t="inlineStr">
        <is>
          <t>DALARNAS LÄN</t>
        </is>
      </c>
      <c r="E406" t="inlineStr">
        <is>
          <t>LUDVIKA</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45458-2022</t>
        </is>
      </c>
      <c r="B407" s="1" t="n">
        <v>44845</v>
      </c>
      <c r="C407" s="1" t="n">
        <v>45588</v>
      </c>
      <c r="D407" t="inlineStr">
        <is>
          <t>DALARNAS LÄN</t>
        </is>
      </c>
      <c r="E407" t="inlineStr">
        <is>
          <t>LUDVIKA</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46878-2022</t>
        </is>
      </c>
      <c r="B408" s="1" t="n">
        <v>44848</v>
      </c>
      <c r="C408" s="1" t="n">
        <v>45588</v>
      </c>
      <c r="D408" t="inlineStr">
        <is>
          <t>DALARNAS LÄN</t>
        </is>
      </c>
      <c r="E408" t="inlineStr">
        <is>
          <t>LUDVIKA</t>
        </is>
      </c>
      <c r="G408" t="n">
        <v>4</v>
      </c>
      <c r="H408" t="n">
        <v>0</v>
      </c>
      <c r="I408" t="n">
        <v>0</v>
      </c>
      <c r="J408" t="n">
        <v>0</v>
      </c>
      <c r="K408" t="n">
        <v>0</v>
      </c>
      <c r="L408" t="n">
        <v>0</v>
      </c>
      <c r="M408" t="n">
        <v>0</v>
      </c>
      <c r="N408" t="n">
        <v>0</v>
      </c>
      <c r="O408" t="n">
        <v>0</v>
      </c>
      <c r="P408" t="n">
        <v>0</v>
      </c>
      <c r="Q408" t="n">
        <v>0</v>
      </c>
      <c r="R408" s="2" t="inlineStr"/>
    </row>
    <row r="409" ht="15" customHeight="1">
      <c r="A409" t="inlineStr">
        <is>
          <t>A 46680-2022</t>
        </is>
      </c>
      <c r="B409" s="1" t="n">
        <v>44851</v>
      </c>
      <c r="C409" s="1" t="n">
        <v>45588</v>
      </c>
      <c r="D409" t="inlineStr">
        <is>
          <t>DALARNAS LÄN</t>
        </is>
      </c>
      <c r="E409" t="inlineStr">
        <is>
          <t>LUDVIKA</t>
        </is>
      </c>
      <c r="G409" t="n">
        <v>2.6</v>
      </c>
      <c r="H409" t="n">
        <v>0</v>
      </c>
      <c r="I409" t="n">
        <v>0</v>
      </c>
      <c r="J409" t="n">
        <v>0</v>
      </c>
      <c r="K409" t="n">
        <v>0</v>
      </c>
      <c r="L409" t="n">
        <v>0</v>
      </c>
      <c r="M409" t="n">
        <v>0</v>
      </c>
      <c r="N409" t="n">
        <v>0</v>
      </c>
      <c r="O409" t="n">
        <v>0</v>
      </c>
      <c r="P409" t="n">
        <v>0</v>
      </c>
      <c r="Q409" t="n">
        <v>0</v>
      </c>
      <c r="R409" s="2" t="inlineStr"/>
    </row>
    <row r="410" ht="15" customHeight="1">
      <c r="A410" t="inlineStr">
        <is>
          <t>A 46905-2022</t>
        </is>
      </c>
      <c r="B410" s="1" t="n">
        <v>44851</v>
      </c>
      <c r="C410" s="1" t="n">
        <v>45588</v>
      </c>
      <c r="D410" t="inlineStr">
        <is>
          <t>DALARNAS LÄN</t>
        </is>
      </c>
      <c r="E410" t="inlineStr">
        <is>
          <t>LUDVIKA</t>
        </is>
      </c>
      <c r="F410" t="inlineStr">
        <is>
          <t>Naturvårdsverket</t>
        </is>
      </c>
      <c r="G410" t="n">
        <v>0.6</v>
      </c>
      <c r="H410" t="n">
        <v>0</v>
      </c>
      <c r="I410" t="n">
        <v>0</v>
      </c>
      <c r="J410" t="n">
        <v>0</v>
      </c>
      <c r="K410" t="n">
        <v>0</v>
      </c>
      <c r="L410" t="n">
        <v>0</v>
      </c>
      <c r="M410" t="n">
        <v>0</v>
      </c>
      <c r="N410" t="n">
        <v>0</v>
      </c>
      <c r="O410" t="n">
        <v>0</v>
      </c>
      <c r="P410" t="n">
        <v>0</v>
      </c>
      <c r="Q410" t="n">
        <v>0</v>
      </c>
      <c r="R410" s="2" t="inlineStr"/>
    </row>
    <row r="411" ht="15" customHeight="1">
      <c r="A411" t="inlineStr">
        <is>
          <t>A 47071-2022</t>
        </is>
      </c>
      <c r="B411" s="1" t="n">
        <v>44852</v>
      </c>
      <c r="C411" s="1" t="n">
        <v>45588</v>
      </c>
      <c r="D411" t="inlineStr">
        <is>
          <t>DALARNAS LÄN</t>
        </is>
      </c>
      <c r="E411" t="inlineStr">
        <is>
          <t>LUDVIKA</t>
        </is>
      </c>
      <c r="G411" t="n">
        <v>1.2</v>
      </c>
      <c r="H411" t="n">
        <v>0</v>
      </c>
      <c r="I411" t="n">
        <v>0</v>
      </c>
      <c r="J411" t="n">
        <v>0</v>
      </c>
      <c r="K411" t="n">
        <v>0</v>
      </c>
      <c r="L411" t="n">
        <v>0</v>
      </c>
      <c r="M411" t="n">
        <v>0</v>
      </c>
      <c r="N411" t="n">
        <v>0</v>
      </c>
      <c r="O411" t="n">
        <v>0</v>
      </c>
      <c r="P411" t="n">
        <v>0</v>
      </c>
      <c r="Q411" t="n">
        <v>0</v>
      </c>
      <c r="R411" s="2" t="inlineStr"/>
    </row>
    <row r="412" ht="15" customHeight="1">
      <c r="A412" t="inlineStr">
        <is>
          <t>A 47496-2022</t>
        </is>
      </c>
      <c r="B412" s="1" t="n">
        <v>44853</v>
      </c>
      <c r="C412" s="1" t="n">
        <v>45588</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47731-2022</t>
        </is>
      </c>
      <c r="B413" s="1" t="n">
        <v>44854</v>
      </c>
      <c r="C413" s="1" t="n">
        <v>45588</v>
      </c>
      <c r="D413" t="inlineStr">
        <is>
          <t>DALARNAS LÄN</t>
        </is>
      </c>
      <c r="E413" t="inlineStr">
        <is>
          <t>LUDVIKA</t>
        </is>
      </c>
      <c r="F413" t="inlineStr">
        <is>
          <t>Naturvårdsverket</t>
        </is>
      </c>
      <c r="G413" t="n">
        <v>2.1</v>
      </c>
      <c r="H413" t="n">
        <v>0</v>
      </c>
      <c r="I413" t="n">
        <v>0</v>
      </c>
      <c r="J413" t="n">
        <v>0</v>
      </c>
      <c r="K413" t="n">
        <v>0</v>
      </c>
      <c r="L413" t="n">
        <v>0</v>
      </c>
      <c r="M413" t="n">
        <v>0</v>
      </c>
      <c r="N413" t="n">
        <v>0</v>
      </c>
      <c r="O413" t="n">
        <v>0</v>
      </c>
      <c r="P413" t="n">
        <v>0</v>
      </c>
      <c r="Q413" t="n">
        <v>0</v>
      </c>
      <c r="R413" s="2" t="inlineStr"/>
    </row>
    <row r="414" ht="15" customHeight="1">
      <c r="A414" t="inlineStr">
        <is>
          <t>A 48740-2022</t>
        </is>
      </c>
      <c r="B414" s="1" t="n">
        <v>44859</v>
      </c>
      <c r="C414" s="1" t="n">
        <v>45588</v>
      </c>
      <c r="D414" t="inlineStr">
        <is>
          <t>DALARNAS LÄN</t>
        </is>
      </c>
      <c r="E414" t="inlineStr">
        <is>
          <t>LUDVIKA</t>
        </is>
      </c>
      <c r="F414" t="inlineStr">
        <is>
          <t>Bergvik skog väst AB</t>
        </is>
      </c>
      <c r="G414" t="n">
        <v>0.3</v>
      </c>
      <c r="H414" t="n">
        <v>0</v>
      </c>
      <c r="I414" t="n">
        <v>0</v>
      </c>
      <c r="J414" t="n">
        <v>0</v>
      </c>
      <c r="K414" t="n">
        <v>0</v>
      </c>
      <c r="L414" t="n">
        <v>0</v>
      </c>
      <c r="M414" t="n">
        <v>0</v>
      </c>
      <c r="N414" t="n">
        <v>0</v>
      </c>
      <c r="O414" t="n">
        <v>0</v>
      </c>
      <c r="P414" t="n">
        <v>0</v>
      </c>
      <c r="Q414" t="n">
        <v>0</v>
      </c>
      <c r="R414" s="2" t="inlineStr"/>
    </row>
    <row r="415" ht="15" customHeight="1">
      <c r="A415" t="inlineStr">
        <is>
          <t>A 48804-2022</t>
        </is>
      </c>
      <c r="B415" s="1" t="n">
        <v>44859</v>
      </c>
      <c r="C415" s="1" t="n">
        <v>45588</v>
      </c>
      <c r="D415" t="inlineStr">
        <is>
          <t>DALARNAS LÄN</t>
        </is>
      </c>
      <c r="E415" t="inlineStr">
        <is>
          <t>LUDVIKA</t>
        </is>
      </c>
      <c r="F415" t="inlineStr">
        <is>
          <t>Naturvårdsverket</t>
        </is>
      </c>
      <c r="G415" t="n">
        <v>5.1</v>
      </c>
      <c r="H415" t="n">
        <v>0</v>
      </c>
      <c r="I415" t="n">
        <v>0</v>
      </c>
      <c r="J415" t="n">
        <v>0</v>
      </c>
      <c r="K415" t="n">
        <v>0</v>
      </c>
      <c r="L415" t="n">
        <v>0</v>
      </c>
      <c r="M415" t="n">
        <v>0</v>
      </c>
      <c r="N415" t="n">
        <v>0</v>
      </c>
      <c r="O415" t="n">
        <v>0</v>
      </c>
      <c r="P415" t="n">
        <v>0</v>
      </c>
      <c r="Q415" t="n">
        <v>0</v>
      </c>
      <c r="R415" s="2" t="inlineStr"/>
    </row>
    <row r="416" ht="15" customHeight="1">
      <c r="A416" t="inlineStr">
        <is>
          <t>A 48642-2022</t>
        </is>
      </c>
      <c r="B416" s="1" t="n">
        <v>44859</v>
      </c>
      <c r="C416" s="1" t="n">
        <v>45588</v>
      </c>
      <c r="D416" t="inlineStr">
        <is>
          <t>DALARNAS LÄN</t>
        </is>
      </c>
      <c r="E416" t="inlineStr">
        <is>
          <t>LUDVIKA</t>
        </is>
      </c>
      <c r="F416" t="inlineStr">
        <is>
          <t>Naturvårdsverket</t>
        </is>
      </c>
      <c r="G416" t="n">
        <v>1.5</v>
      </c>
      <c r="H416" t="n">
        <v>0</v>
      </c>
      <c r="I416" t="n">
        <v>0</v>
      </c>
      <c r="J416" t="n">
        <v>0</v>
      </c>
      <c r="K416" t="n">
        <v>0</v>
      </c>
      <c r="L416" t="n">
        <v>0</v>
      </c>
      <c r="M416" t="n">
        <v>0</v>
      </c>
      <c r="N416" t="n">
        <v>0</v>
      </c>
      <c r="O416" t="n">
        <v>0</v>
      </c>
      <c r="P416" t="n">
        <v>0</v>
      </c>
      <c r="Q416" t="n">
        <v>0</v>
      </c>
      <c r="R416" s="2" t="inlineStr"/>
    </row>
    <row r="417" ht="15" customHeight="1">
      <c r="A417" t="inlineStr">
        <is>
          <t>A 48715-2022</t>
        </is>
      </c>
      <c r="B417" s="1" t="n">
        <v>44859</v>
      </c>
      <c r="C417" s="1" t="n">
        <v>45588</v>
      </c>
      <c r="D417" t="inlineStr">
        <is>
          <t>DALARNAS LÄN</t>
        </is>
      </c>
      <c r="E417" t="inlineStr">
        <is>
          <t>LUDVIKA</t>
        </is>
      </c>
      <c r="F417" t="inlineStr">
        <is>
          <t>Naturvårdsverket</t>
        </is>
      </c>
      <c r="G417" t="n">
        <v>1.2</v>
      </c>
      <c r="H417" t="n">
        <v>0</v>
      </c>
      <c r="I417" t="n">
        <v>0</v>
      </c>
      <c r="J417" t="n">
        <v>0</v>
      </c>
      <c r="K417" t="n">
        <v>0</v>
      </c>
      <c r="L417" t="n">
        <v>0</v>
      </c>
      <c r="M417" t="n">
        <v>0</v>
      </c>
      <c r="N417" t="n">
        <v>0</v>
      </c>
      <c r="O417" t="n">
        <v>0</v>
      </c>
      <c r="P417" t="n">
        <v>0</v>
      </c>
      <c r="Q417" t="n">
        <v>0</v>
      </c>
      <c r="R417" s="2" t="inlineStr"/>
    </row>
    <row r="418" ht="15" customHeight="1">
      <c r="A418" t="inlineStr">
        <is>
          <t>A 48748-2022</t>
        </is>
      </c>
      <c r="B418" s="1" t="n">
        <v>44859</v>
      </c>
      <c r="C418" s="1" t="n">
        <v>45588</v>
      </c>
      <c r="D418" t="inlineStr">
        <is>
          <t>DALARNAS LÄN</t>
        </is>
      </c>
      <c r="E418" t="inlineStr">
        <is>
          <t>LUDVIKA</t>
        </is>
      </c>
      <c r="F418" t="inlineStr">
        <is>
          <t>Naturvårdsverket</t>
        </is>
      </c>
      <c r="G418" t="n">
        <v>1.2</v>
      </c>
      <c r="H418" t="n">
        <v>0</v>
      </c>
      <c r="I418" t="n">
        <v>0</v>
      </c>
      <c r="J418" t="n">
        <v>0</v>
      </c>
      <c r="K418" t="n">
        <v>0</v>
      </c>
      <c r="L418" t="n">
        <v>0</v>
      </c>
      <c r="M418" t="n">
        <v>0</v>
      </c>
      <c r="N418" t="n">
        <v>0</v>
      </c>
      <c r="O418" t="n">
        <v>0</v>
      </c>
      <c r="P418" t="n">
        <v>0</v>
      </c>
      <c r="Q418" t="n">
        <v>0</v>
      </c>
      <c r="R418" s="2" t="inlineStr"/>
    </row>
    <row r="419" ht="15" customHeight="1">
      <c r="A419" t="inlineStr">
        <is>
          <t>A 48857-2022</t>
        </is>
      </c>
      <c r="B419" s="1" t="n">
        <v>44859</v>
      </c>
      <c r="C419" s="1" t="n">
        <v>45588</v>
      </c>
      <c r="D419" t="inlineStr">
        <is>
          <t>DALARNAS LÄN</t>
        </is>
      </c>
      <c r="E419" t="inlineStr">
        <is>
          <t>LUDVIKA</t>
        </is>
      </c>
      <c r="G419" t="n">
        <v>1.8</v>
      </c>
      <c r="H419" t="n">
        <v>0</v>
      </c>
      <c r="I419" t="n">
        <v>0</v>
      </c>
      <c r="J419" t="n">
        <v>0</v>
      </c>
      <c r="K419" t="n">
        <v>0</v>
      </c>
      <c r="L419" t="n">
        <v>0</v>
      </c>
      <c r="M419" t="n">
        <v>0</v>
      </c>
      <c r="N419" t="n">
        <v>0</v>
      </c>
      <c r="O419" t="n">
        <v>0</v>
      </c>
      <c r="P419" t="n">
        <v>0</v>
      </c>
      <c r="Q419" t="n">
        <v>0</v>
      </c>
      <c r="R419" s="2" t="inlineStr"/>
    </row>
    <row r="420" ht="15" customHeight="1">
      <c r="A420" t="inlineStr">
        <is>
          <t>A 48673-2022</t>
        </is>
      </c>
      <c r="B420" s="1" t="n">
        <v>44859</v>
      </c>
      <c r="C420" s="1" t="n">
        <v>45588</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48759-2022</t>
        </is>
      </c>
      <c r="B421" s="1" t="n">
        <v>44859</v>
      </c>
      <c r="C421" s="1" t="n">
        <v>45588</v>
      </c>
      <c r="D421" t="inlineStr">
        <is>
          <t>DALARNAS LÄN</t>
        </is>
      </c>
      <c r="E421" t="inlineStr">
        <is>
          <t>LUDVIKA</t>
        </is>
      </c>
      <c r="F421" t="inlineStr">
        <is>
          <t>Naturvårdsverket</t>
        </is>
      </c>
      <c r="G421" t="n">
        <v>4.2</v>
      </c>
      <c r="H421" t="n">
        <v>0</v>
      </c>
      <c r="I421" t="n">
        <v>0</v>
      </c>
      <c r="J421" t="n">
        <v>0</v>
      </c>
      <c r="K421" t="n">
        <v>0</v>
      </c>
      <c r="L421" t="n">
        <v>0</v>
      </c>
      <c r="M421" t="n">
        <v>0</v>
      </c>
      <c r="N421" t="n">
        <v>0</v>
      </c>
      <c r="O421" t="n">
        <v>0</v>
      </c>
      <c r="P421" t="n">
        <v>0</v>
      </c>
      <c r="Q421" t="n">
        <v>0</v>
      </c>
      <c r="R421" s="2" t="inlineStr"/>
    </row>
    <row r="422" ht="15" customHeight="1">
      <c r="A422" t="inlineStr">
        <is>
          <t>A 49371-2022</t>
        </is>
      </c>
      <c r="B422" s="1" t="n">
        <v>44861</v>
      </c>
      <c r="C422" s="1" t="n">
        <v>45588</v>
      </c>
      <c r="D422" t="inlineStr">
        <is>
          <t>DALARNAS LÄN</t>
        </is>
      </c>
      <c r="E422" t="inlineStr">
        <is>
          <t>LUDVIKA</t>
        </is>
      </c>
      <c r="F422" t="inlineStr">
        <is>
          <t>Bergvik skog väst AB</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49564-2022</t>
        </is>
      </c>
      <c r="B423" s="1" t="n">
        <v>44862</v>
      </c>
      <c r="C423" s="1" t="n">
        <v>45588</v>
      </c>
      <c r="D423" t="inlineStr">
        <is>
          <t>DALARNAS LÄN</t>
        </is>
      </c>
      <c r="E423" t="inlineStr">
        <is>
          <t>LUDVIKA</t>
        </is>
      </c>
      <c r="F423" t="inlineStr">
        <is>
          <t>Bergvik skog väst AB</t>
        </is>
      </c>
      <c r="G423" t="n">
        <v>5.1</v>
      </c>
      <c r="H423" t="n">
        <v>0</v>
      </c>
      <c r="I423" t="n">
        <v>0</v>
      </c>
      <c r="J423" t="n">
        <v>0</v>
      </c>
      <c r="K423" t="n">
        <v>0</v>
      </c>
      <c r="L423" t="n">
        <v>0</v>
      </c>
      <c r="M423" t="n">
        <v>0</v>
      </c>
      <c r="N423" t="n">
        <v>0</v>
      </c>
      <c r="O423" t="n">
        <v>0</v>
      </c>
      <c r="P423" t="n">
        <v>0</v>
      </c>
      <c r="Q423" t="n">
        <v>0</v>
      </c>
      <c r="R423" s="2" t="inlineStr"/>
    </row>
    <row r="424" ht="15" customHeight="1">
      <c r="A424" t="inlineStr">
        <is>
          <t>A 50078-2022</t>
        </is>
      </c>
      <c r="B424" s="1" t="n">
        <v>44865</v>
      </c>
      <c r="C424" s="1" t="n">
        <v>45588</v>
      </c>
      <c r="D424" t="inlineStr">
        <is>
          <t>DALARNAS LÄN</t>
        </is>
      </c>
      <c r="E424" t="inlineStr">
        <is>
          <t>LUDVIKA</t>
        </is>
      </c>
      <c r="F424" t="inlineStr">
        <is>
          <t>Naturvårdsverket</t>
        </is>
      </c>
      <c r="G424" t="n">
        <v>0.7</v>
      </c>
      <c r="H424" t="n">
        <v>0</v>
      </c>
      <c r="I424" t="n">
        <v>0</v>
      </c>
      <c r="J424" t="n">
        <v>0</v>
      </c>
      <c r="K424" t="n">
        <v>0</v>
      </c>
      <c r="L424" t="n">
        <v>0</v>
      </c>
      <c r="M424" t="n">
        <v>0</v>
      </c>
      <c r="N424" t="n">
        <v>0</v>
      </c>
      <c r="O424" t="n">
        <v>0</v>
      </c>
      <c r="P424" t="n">
        <v>0</v>
      </c>
      <c r="Q424" t="n">
        <v>0</v>
      </c>
      <c r="R424" s="2" t="inlineStr"/>
    </row>
    <row r="425" ht="15" customHeight="1">
      <c r="A425" t="inlineStr">
        <is>
          <t>A 49951-2022</t>
        </is>
      </c>
      <c r="B425" s="1" t="n">
        <v>44865</v>
      </c>
      <c r="C425" s="1" t="n">
        <v>45588</v>
      </c>
      <c r="D425" t="inlineStr">
        <is>
          <t>DALARNAS LÄN</t>
        </is>
      </c>
      <c r="E425" t="inlineStr">
        <is>
          <t>LUDVIKA</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50057-2022</t>
        </is>
      </c>
      <c r="B426" s="1" t="n">
        <v>44865</v>
      </c>
      <c r="C426" s="1" t="n">
        <v>45588</v>
      </c>
      <c r="D426" t="inlineStr">
        <is>
          <t>DALARNAS LÄN</t>
        </is>
      </c>
      <c r="E426" t="inlineStr">
        <is>
          <t>LUDVIKA</t>
        </is>
      </c>
      <c r="F426" t="inlineStr">
        <is>
          <t>Naturvårdsverket</t>
        </is>
      </c>
      <c r="G426" t="n">
        <v>2.3</v>
      </c>
      <c r="H426" t="n">
        <v>0</v>
      </c>
      <c r="I426" t="n">
        <v>0</v>
      </c>
      <c r="J426" t="n">
        <v>0</v>
      </c>
      <c r="K426" t="n">
        <v>0</v>
      </c>
      <c r="L426" t="n">
        <v>0</v>
      </c>
      <c r="M426" t="n">
        <v>0</v>
      </c>
      <c r="N426" t="n">
        <v>0</v>
      </c>
      <c r="O426" t="n">
        <v>0</v>
      </c>
      <c r="P426" t="n">
        <v>0</v>
      </c>
      <c r="Q426" t="n">
        <v>0</v>
      </c>
      <c r="R426" s="2" t="inlineStr"/>
    </row>
    <row r="427" ht="15" customHeight="1">
      <c r="A427" t="inlineStr">
        <is>
          <t>A 50814-2022</t>
        </is>
      </c>
      <c r="B427" s="1" t="n">
        <v>44867</v>
      </c>
      <c r="C427" s="1" t="n">
        <v>45588</v>
      </c>
      <c r="D427" t="inlineStr">
        <is>
          <t>DALARNAS LÄN</t>
        </is>
      </c>
      <c r="E427" t="inlineStr">
        <is>
          <t>LUDVIKA</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50862-2022</t>
        </is>
      </c>
      <c r="B428" s="1" t="n">
        <v>44867</v>
      </c>
      <c r="C428" s="1" t="n">
        <v>45588</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51386-2022</t>
        </is>
      </c>
      <c r="B429" s="1" t="n">
        <v>44869</v>
      </c>
      <c r="C429" s="1" t="n">
        <v>45588</v>
      </c>
      <c r="D429" t="inlineStr">
        <is>
          <t>DALARNAS LÄN</t>
        </is>
      </c>
      <c r="E429" t="inlineStr">
        <is>
          <t>LUDVIKA</t>
        </is>
      </c>
      <c r="F429" t="inlineStr">
        <is>
          <t>Bergvik skog väst AB</t>
        </is>
      </c>
      <c r="G429" t="n">
        <v>5.2</v>
      </c>
      <c r="H429" t="n">
        <v>0</v>
      </c>
      <c r="I429" t="n">
        <v>0</v>
      </c>
      <c r="J429" t="n">
        <v>0</v>
      </c>
      <c r="K429" t="n">
        <v>0</v>
      </c>
      <c r="L429" t="n">
        <v>0</v>
      </c>
      <c r="M429" t="n">
        <v>0</v>
      </c>
      <c r="N429" t="n">
        <v>0</v>
      </c>
      <c r="O429" t="n">
        <v>0</v>
      </c>
      <c r="P429" t="n">
        <v>0</v>
      </c>
      <c r="Q429" t="n">
        <v>0</v>
      </c>
      <c r="R429" s="2" t="inlineStr"/>
    </row>
    <row r="430" ht="15" customHeight="1">
      <c r="A430" t="inlineStr">
        <is>
          <t>A 51453-2022</t>
        </is>
      </c>
      <c r="B430" s="1" t="n">
        <v>44869</v>
      </c>
      <c r="C430" s="1" t="n">
        <v>45588</v>
      </c>
      <c r="D430" t="inlineStr">
        <is>
          <t>DALARNAS LÄN</t>
        </is>
      </c>
      <c r="E430" t="inlineStr">
        <is>
          <t>LUDVIKA</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52303-2022</t>
        </is>
      </c>
      <c r="B431" s="1" t="n">
        <v>44869</v>
      </c>
      <c r="C431" s="1" t="n">
        <v>45588</v>
      </c>
      <c r="D431" t="inlineStr">
        <is>
          <t>DALARNAS LÄN</t>
        </is>
      </c>
      <c r="E431" t="inlineStr">
        <is>
          <t>LUDVIKA</t>
        </is>
      </c>
      <c r="G431" t="n">
        <v>1</v>
      </c>
      <c r="H431" t="n">
        <v>0</v>
      </c>
      <c r="I431" t="n">
        <v>0</v>
      </c>
      <c r="J431" t="n">
        <v>0</v>
      </c>
      <c r="K431" t="n">
        <v>0</v>
      </c>
      <c r="L431" t="n">
        <v>0</v>
      </c>
      <c r="M431" t="n">
        <v>0</v>
      </c>
      <c r="N431" t="n">
        <v>0</v>
      </c>
      <c r="O431" t="n">
        <v>0</v>
      </c>
      <c r="P431" t="n">
        <v>0</v>
      </c>
      <c r="Q431" t="n">
        <v>0</v>
      </c>
      <c r="R431" s="2" t="inlineStr"/>
    </row>
    <row r="432" ht="15" customHeight="1">
      <c r="A432" t="inlineStr">
        <is>
          <t>A 51713-2022</t>
        </is>
      </c>
      <c r="B432" s="1" t="n">
        <v>44872</v>
      </c>
      <c r="C432" s="1" t="n">
        <v>45588</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51659-2022</t>
        </is>
      </c>
      <c r="B433" s="1" t="n">
        <v>44872</v>
      </c>
      <c r="C433" s="1" t="n">
        <v>45588</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51709-2022</t>
        </is>
      </c>
      <c r="B434" s="1" t="n">
        <v>44872</v>
      </c>
      <c r="C434" s="1" t="n">
        <v>45588</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51886-2022</t>
        </is>
      </c>
      <c r="B435" s="1" t="n">
        <v>44872</v>
      </c>
      <c r="C435" s="1" t="n">
        <v>45588</v>
      </c>
      <c r="D435" t="inlineStr">
        <is>
          <t>DALARNAS LÄN</t>
        </is>
      </c>
      <c r="E435" t="inlineStr">
        <is>
          <t>LUDVIKA</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52432-2022</t>
        </is>
      </c>
      <c r="B436" s="1" t="n">
        <v>44874</v>
      </c>
      <c r="C436" s="1" t="n">
        <v>45588</v>
      </c>
      <c r="D436" t="inlineStr">
        <is>
          <t>DALARNAS LÄN</t>
        </is>
      </c>
      <c r="E436" t="inlineStr">
        <is>
          <t>LUDVIKA</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53509-2022</t>
        </is>
      </c>
      <c r="B437" s="1" t="n">
        <v>44879</v>
      </c>
      <c r="C437" s="1" t="n">
        <v>45588</v>
      </c>
      <c r="D437" t="inlineStr">
        <is>
          <t>DALARNAS LÄN</t>
        </is>
      </c>
      <c r="E437" t="inlineStr">
        <is>
          <t>LUDVIKA</t>
        </is>
      </c>
      <c r="F437" t="inlineStr">
        <is>
          <t>Naturvårdsverket</t>
        </is>
      </c>
      <c r="G437" t="n">
        <v>4.9</v>
      </c>
      <c r="H437" t="n">
        <v>0</v>
      </c>
      <c r="I437" t="n">
        <v>0</v>
      </c>
      <c r="J437" t="n">
        <v>0</v>
      </c>
      <c r="K437" t="n">
        <v>0</v>
      </c>
      <c r="L437" t="n">
        <v>0</v>
      </c>
      <c r="M437" t="n">
        <v>0</v>
      </c>
      <c r="N437" t="n">
        <v>0</v>
      </c>
      <c r="O437" t="n">
        <v>0</v>
      </c>
      <c r="P437" t="n">
        <v>0</v>
      </c>
      <c r="Q437" t="n">
        <v>0</v>
      </c>
      <c r="R437" s="2" t="inlineStr"/>
    </row>
    <row r="438" ht="15" customHeight="1">
      <c r="A438" t="inlineStr">
        <is>
          <t>A 53619-2022</t>
        </is>
      </c>
      <c r="B438" s="1" t="n">
        <v>44879</v>
      </c>
      <c r="C438" s="1" t="n">
        <v>45588</v>
      </c>
      <c r="D438" t="inlineStr">
        <is>
          <t>DALARNAS LÄN</t>
        </is>
      </c>
      <c r="E438" t="inlineStr">
        <is>
          <t>LUDVIKA</t>
        </is>
      </c>
      <c r="G438" t="n">
        <v>1</v>
      </c>
      <c r="H438" t="n">
        <v>0</v>
      </c>
      <c r="I438" t="n">
        <v>0</v>
      </c>
      <c r="J438" t="n">
        <v>0</v>
      </c>
      <c r="K438" t="n">
        <v>0</v>
      </c>
      <c r="L438" t="n">
        <v>0</v>
      </c>
      <c r="M438" t="n">
        <v>0</v>
      </c>
      <c r="N438" t="n">
        <v>0</v>
      </c>
      <c r="O438" t="n">
        <v>0</v>
      </c>
      <c r="P438" t="n">
        <v>0</v>
      </c>
      <c r="Q438" t="n">
        <v>0</v>
      </c>
      <c r="R438" s="2" t="inlineStr"/>
    </row>
    <row r="439" ht="15" customHeight="1">
      <c r="A439" t="inlineStr">
        <is>
          <t>A 53620-2022</t>
        </is>
      </c>
      <c r="B439" s="1" t="n">
        <v>44879</v>
      </c>
      <c r="C439" s="1" t="n">
        <v>45588</v>
      </c>
      <c r="D439" t="inlineStr">
        <is>
          <t>DALARNAS LÄN</t>
        </is>
      </c>
      <c r="E439" t="inlineStr">
        <is>
          <t>LUDVIKA</t>
        </is>
      </c>
      <c r="G439" t="n">
        <v>3.7</v>
      </c>
      <c r="H439" t="n">
        <v>0</v>
      </c>
      <c r="I439" t="n">
        <v>0</v>
      </c>
      <c r="J439" t="n">
        <v>0</v>
      </c>
      <c r="K439" t="n">
        <v>0</v>
      </c>
      <c r="L439" t="n">
        <v>0</v>
      </c>
      <c r="M439" t="n">
        <v>0</v>
      </c>
      <c r="N439" t="n">
        <v>0</v>
      </c>
      <c r="O439" t="n">
        <v>0</v>
      </c>
      <c r="P439" t="n">
        <v>0</v>
      </c>
      <c r="Q439" t="n">
        <v>0</v>
      </c>
      <c r="R439" s="2" t="inlineStr"/>
    </row>
    <row r="440" ht="15" customHeight="1">
      <c r="A440" t="inlineStr">
        <is>
          <t>A 53705-2022</t>
        </is>
      </c>
      <c r="B440" s="1" t="n">
        <v>44880</v>
      </c>
      <c r="C440" s="1" t="n">
        <v>45588</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54730-2022</t>
        </is>
      </c>
      <c r="B441" s="1" t="n">
        <v>44883</v>
      </c>
      <c r="C441" s="1" t="n">
        <v>45588</v>
      </c>
      <c r="D441" t="inlineStr">
        <is>
          <t>DALARNAS LÄN</t>
        </is>
      </c>
      <c r="E441" t="inlineStr">
        <is>
          <t>LUDVIKA</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54767-2022</t>
        </is>
      </c>
      <c r="B442" s="1" t="n">
        <v>44883</v>
      </c>
      <c r="C442" s="1" t="n">
        <v>45588</v>
      </c>
      <c r="D442" t="inlineStr">
        <is>
          <t>DALARNAS LÄN</t>
        </is>
      </c>
      <c r="E442" t="inlineStr">
        <is>
          <t>LUDVIKA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54914-2022</t>
        </is>
      </c>
      <c r="B443" s="1" t="n">
        <v>44886</v>
      </c>
      <c r="C443" s="1" t="n">
        <v>45588</v>
      </c>
      <c r="D443" t="inlineStr">
        <is>
          <t>DALARNAS LÄN</t>
        </is>
      </c>
      <c r="E443" t="inlineStr">
        <is>
          <t>LUDVIKA</t>
        </is>
      </c>
      <c r="F443" t="inlineStr">
        <is>
          <t>Naturvårdsverket</t>
        </is>
      </c>
      <c r="G443" t="n">
        <v>0.6</v>
      </c>
      <c r="H443" t="n">
        <v>0</v>
      </c>
      <c r="I443" t="n">
        <v>0</v>
      </c>
      <c r="J443" t="n">
        <v>0</v>
      </c>
      <c r="K443" t="n">
        <v>0</v>
      </c>
      <c r="L443" t="n">
        <v>0</v>
      </c>
      <c r="M443" t="n">
        <v>0</v>
      </c>
      <c r="N443" t="n">
        <v>0</v>
      </c>
      <c r="O443" t="n">
        <v>0</v>
      </c>
      <c r="P443" t="n">
        <v>0</v>
      </c>
      <c r="Q443" t="n">
        <v>0</v>
      </c>
      <c r="R443" s="2" t="inlineStr"/>
    </row>
    <row r="444" ht="15" customHeight="1">
      <c r="A444" t="inlineStr">
        <is>
          <t>A 55262-2022</t>
        </is>
      </c>
      <c r="B444" s="1" t="n">
        <v>44887</v>
      </c>
      <c r="C444" s="1" t="n">
        <v>45588</v>
      </c>
      <c r="D444" t="inlineStr">
        <is>
          <t>DALARNAS LÄN</t>
        </is>
      </c>
      <c r="E444" t="inlineStr">
        <is>
          <t>LUDVIKA</t>
        </is>
      </c>
      <c r="F444" t="inlineStr">
        <is>
          <t>Bergvik skog väst AB</t>
        </is>
      </c>
      <c r="G444" t="n">
        <v>4.4</v>
      </c>
      <c r="H444" t="n">
        <v>0</v>
      </c>
      <c r="I444" t="n">
        <v>0</v>
      </c>
      <c r="J444" t="n">
        <v>0</v>
      </c>
      <c r="K444" t="n">
        <v>0</v>
      </c>
      <c r="L444" t="n">
        <v>0</v>
      </c>
      <c r="M444" t="n">
        <v>0</v>
      </c>
      <c r="N444" t="n">
        <v>0</v>
      </c>
      <c r="O444" t="n">
        <v>0</v>
      </c>
      <c r="P444" t="n">
        <v>0</v>
      </c>
      <c r="Q444" t="n">
        <v>0</v>
      </c>
      <c r="R444" s="2" t="inlineStr"/>
    </row>
    <row r="445" ht="15" customHeight="1">
      <c r="A445" t="inlineStr">
        <is>
          <t>A 56346-2022</t>
        </is>
      </c>
      <c r="B445" s="1" t="n">
        <v>44890</v>
      </c>
      <c r="C445" s="1" t="n">
        <v>45588</v>
      </c>
      <c r="D445" t="inlineStr">
        <is>
          <t>DALARNAS LÄN</t>
        </is>
      </c>
      <c r="E445" t="inlineStr">
        <is>
          <t>LUDVIKA</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56347-2022</t>
        </is>
      </c>
      <c r="B446" s="1" t="n">
        <v>44890</v>
      </c>
      <c r="C446" s="1" t="n">
        <v>45588</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56680-2022</t>
        </is>
      </c>
      <c r="B447" s="1" t="n">
        <v>44893</v>
      </c>
      <c r="C447" s="1" t="n">
        <v>45588</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56686-2022</t>
        </is>
      </c>
      <c r="B448" s="1" t="n">
        <v>44893</v>
      </c>
      <c r="C448" s="1" t="n">
        <v>45588</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56685-2022</t>
        </is>
      </c>
      <c r="B449" s="1" t="n">
        <v>44893</v>
      </c>
      <c r="C449" s="1" t="n">
        <v>45588</v>
      </c>
      <c r="D449" t="inlineStr">
        <is>
          <t>DALARNAS LÄN</t>
        </is>
      </c>
      <c r="E449" t="inlineStr">
        <is>
          <t>LUDVIKA</t>
        </is>
      </c>
      <c r="G449" t="n">
        <v>0.6</v>
      </c>
      <c r="H449" t="n">
        <v>0</v>
      </c>
      <c r="I449" t="n">
        <v>0</v>
      </c>
      <c r="J449" t="n">
        <v>0</v>
      </c>
      <c r="K449" t="n">
        <v>0</v>
      </c>
      <c r="L449" t="n">
        <v>0</v>
      </c>
      <c r="M449" t="n">
        <v>0</v>
      </c>
      <c r="N449" t="n">
        <v>0</v>
      </c>
      <c r="O449" t="n">
        <v>0</v>
      </c>
      <c r="P449" t="n">
        <v>0</v>
      </c>
      <c r="Q449" t="n">
        <v>0</v>
      </c>
      <c r="R449" s="2" t="inlineStr"/>
    </row>
    <row r="450" ht="15" customHeight="1">
      <c r="A450" t="inlineStr">
        <is>
          <t>A 57193-2022</t>
        </is>
      </c>
      <c r="B450" s="1" t="n">
        <v>44895</v>
      </c>
      <c r="C450" s="1" t="n">
        <v>45588</v>
      </c>
      <c r="D450" t="inlineStr">
        <is>
          <t>DALARNAS LÄN</t>
        </is>
      </c>
      <c r="E450" t="inlineStr">
        <is>
          <t>LUDVIKA</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58021-2022</t>
        </is>
      </c>
      <c r="B451" s="1" t="n">
        <v>44900</v>
      </c>
      <c r="C451" s="1" t="n">
        <v>45588</v>
      </c>
      <c r="D451" t="inlineStr">
        <is>
          <t>DALARNAS LÄN</t>
        </is>
      </c>
      <c r="E451" t="inlineStr">
        <is>
          <t>LUDVIKA</t>
        </is>
      </c>
      <c r="F451" t="inlineStr">
        <is>
          <t>Bergvik skog väst AB</t>
        </is>
      </c>
      <c r="G451" t="n">
        <v>22.3</v>
      </c>
      <c r="H451" t="n">
        <v>0</v>
      </c>
      <c r="I451" t="n">
        <v>0</v>
      </c>
      <c r="J451" t="n">
        <v>0</v>
      </c>
      <c r="K451" t="n">
        <v>0</v>
      </c>
      <c r="L451" t="n">
        <v>0</v>
      </c>
      <c r="M451" t="n">
        <v>0</v>
      </c>
      <c r="N451" t="n">
        <v>0</v>
      </c>
      <c r="O451" t="n">
        <v>0</v>
      </c>
      <c r="P451" t="n">
        <v>0</v>
      </c>
      <c r="Q451" t="n">
        <v>0</v>
      </c>
      <c r="R451" s="2" t="inlineStr"/>
    </row>
    <row r="452" ht="15" customHeight="1">
      <c r="A452" t="inlineStr">
        <is>
          <t>A 59050-2022</t>
        </is>
      </c>
      <c r="B452" s="1" t="n">
        <v>44903</v>
      </c>
      <c r="C452" s="1" t="n">
        <v>45588</v>
      </c>
      <c r="D452" t="inlineStr">
        <is>
          <t>DALARNAS LÄN</t>
        </is>
      </c>
      <c r="E452" t="inlineStr">
        <is>
          <t>LUDVIKA</t>
        </is>
      </c>
      <c r="G452" t="n">
        <v>2.8</v>
      </c>
      <c r="H452" t="n">
        <v>0</v>
      </c>
      <c r="I452" t="n">
        <v>0</v>
      </c>
      <c r="J452" t="n">
        <v>0</v>
      </c>
      <c r="K452" t="n">
        <v>0</v>
      </c>
      <c r="L452" t="n">
        <v>0</v>
      </c>
      <c r="M452" t="n">
        <v>0</v>
      </c>
      <c r="N452" t="n">
        <v>0</v>
      </c>
      <c r="O452" t="n">
        <v>0</v>
      </c>
      <c r="P452" t="n">
        <v>0</v>
      </c>
      <c r="Q452" t="n">
        <v>0</v>
      </c>
      <c r="R452" s="2" t="inlineStr"/>
    </row>
    <row r="453" ht="15" customHeight="1">
      <c r="A453" t="inlineStr">
        <is>
          <t>A 59415-2022</t>
        </is>
      </c>
      <c r="B453" s="1" t="n">
        <v>44907</v>
      </c>
      <c r="C453" s="1" t="n">
        <v>45588</v>
      </c>
      <c r="D453" t="inlineStr">
        <is>
          <t>DALARNAS LÄN</t>
        </is>
      </c>
      <c r="E453" t="inlineStr">
        <is>
          <t>LUDVIKA</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59413-2022</t>
        </is>
      </c>
      <c r="B454" s="1" t="n">
        <v>44907</v>
      </c>
      <c r="C454" s="1" t="n">
        <v>45588</v>
      </c>
      <c r="D454" t="inlineStr">
        <is>
          <t>DALARNAS LÄN</t>
        </is>
      </c>
      <c r="E454" t="inlineStr">
        <is>
          <t>LUDVIKA</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61050-2022</t>
        </is>
      </c>
      <c r="B455" s="1" t="n">
        <v>44915</v>
      </c>
      <c r="C455" s="1" t="n">
        <v>45588</v>
      </c>
      <c r="D455" t="inlineStr">
        <is>
          <t>DALARNAS LÄN</t>
        </is>
      </c>
      <c r="E455" t="inlineStr">
        <is>
          <t>LUDVIKA</t>
        </is>
      </c>
      <c r="G455" t="n">
        <v>2.4</v>
      </c>
      <c r="H455" t="n">
        <v>0</v>
      </c>
      <c r="I455" t="n">
        <v>0</v>
      </c>
      <c r="J455" t="n">
        <v>0</v>
      </c>
      <c r="K455" t="n">
        <v>0</v>
      </c>
      <c r="L455" t="n">
        <v>0</v>
      </c>
      <c r="M455" t="n">
        <v>0</v>
      </c>
      <c r="N455" t="n">
        <v>0</v>
      </c>
      <c r="O455" t="n">
        <v>0</v>
      </c>
      <c r="P455" t="n">
        <v>0</v>
      </c>
      <c r="Q455" t="n">
        <v>0</v>
      </c>
      <c r="R455" s="2" t="inlineStr"/>
    </row>
    <row r="456" ht="15" customHeight="1">
      <c r="A456" t="inlineStr">
        <is>
          <t>A 61309-2022</t>
        </is>
      </c>
      <c r="B456" s="1" t="n">
        <v>44915</v>
      </c>
      <c r="C456" s="1" t="n">
        <v>45588</v>
      </c>
      <c r="D456" t="inlineStr">
        <is>
          <t>DALARNAS LÄN</t>
        </is>
      </c>
      <c r="E456" t="inlineStr">
        <is>
          <t>LUDVIKA</t>
        </is>
      </c>
      <c r="F456" t="inlineStr">
        <is>
          <t>Bergvik skog väst AB</t>
        </is>
      </c>
      <c r="G456" t="n">
        <v>2.3</v>
      </c>
      <c r="H456" t="n">
        <v>0</v>
      </c>
      <c r="I456" t="n">
        <v>0</v>
      </c>
      <c r="J456" t="n">
        <v>0</v>
      </c>
      <c r="K456" t="n">
        <v>0</v>
      </c>
      <c r="L456" t="n">
        <v>0</v>
      </c>
      <c r="M456" t="n">
        <v>0</v>
      </c>
      <c r="N456" t="n">
        <v>0</v>
      </c>
      <c r="O456" t="n">
        <v>0</v>
      </c>
      <c r="P456" t="n">
        <v>0</v>
      </c>
      <c r="Q456" t="n">
        <v>0</v>
      </c>
      <c r="R456" s="2" t="inlineStr"/>
    </row>
    <row r="457" ht="15" customHeight="1">
      <c r="A457" t="inlineStr">
        <is>
          <t>A 61278-2022</t>
        </is>
      </c>
      <c r="B457" s="1" t="n">
        <v>44915</v>
      </c>
      <c r="C457" s="1" t="n">
        <v>45588</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61621-2022</t>
        </is>
      </c>
      <c r="B458" s="1" t="n">
        <v>44916</v>
      </c>
      <c r="C458" s="1" t="n">
        <v>45588</v>
      </c>
      <c r="D458" t="inlineStr">
        <is>
          <t>DALARNAS LÄN</t>
        </is>
      </c>
      <c r="E458" t="inlineStr">
        <is>
          <t>LUDVIKA</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62275-2022</t>
        </is>
      </c>
      <c r="B459" s="1" t="n">
        <v>44923</v>
      </c>
      <c r="C459" s="1" t="n">
        <v>45588</v>
      </c>
      <c r="D459" t="inlineStr">
        <is>
          <t>DALARNAS LÄN</t>
        </is>
      </c>
      <c r="E459" t="inlineStr">
        <is>
          <t>LUDVIKA</t>
        </is>
      </c>
      <c r="G459" t="n">
        <v>4.6</v>
      </c>
      <c r="H459" t="n">
        <v>0</v>
      </c>
      <c r="I459" t="n">
        <v>0</v>
      </c>
      <c r="J459" t="n">
        <v>0</v>
      </c>
      <c r="K459" t="n">
        <v>0</v>
      </c>
      <c r="L459" t="n">
        <v>0</v>
      </c>
      <c r="M459" t="n">
        <v>0</v>
      </c>
      <c r="N459" t="n">
        <v>0</v>
      </c>
      <c r="O459" t="n">
        <v>0</v>
      </c>
      <c r="P459" t="n">
        <v>0</v>
      </c>
      <c r="Q459" t="n">
        <v>0</v>
      </c>
      <c r="R459" s="2" t="inlineStr"/>
    </row>
    <row r="460" ht="15" customHeight="1">
      <c r="A460" t="inlineStr">
        <is>
          <t>A 400-2023</t>
        </is>
      </c>
      <c r="B460" s="1" t="n">
        <v>44929</v>
      </c>
      <c r="C460" s="1" t="n">
        <v>45588</v>
      </c>
      <c r="D460" t="inlineStr">
        <is>
          <t>DALARNAS LÄN</t>
        </is>
      </c>
      <c r="E460" t="inlineStr">
        <is>
          <t>LUDVIKA</t>
        </is>
      </c>
      <c r="G460" t="n">
        <v>3.6</v>
      </c>
      <c r="H460" t="n">
        <v>0</v>
      </c>
      <c r="I460" t="n">
        <v>0</v>
      </c>
      <c r="J460" t="n">
        <v>0</v>
      </c>
      <c r="K460" t="n">
        <v>0</v>
      </c>
      <c r="L460" t="n">
        <v>0</v>
      </c>
      <c r="M460" t="n">
        <v>0</v>
      </c>
      <c r="N460" t="n">
        <v>0</v>
      </c>
      <c r="O460" t="n">
        <v>0</v>
      </c>
      <c r="P460" t="n">
        <v>0</v>
      </c>
      <c r="Q460" t="n">
        <v>0</v>
      </c>
      <c r="R460" s="2" t="inlineStr"/>
    </row>
    <row r="461" ht="15" customHeight="1">
      <c r="A461" t="inlineStr">
        <is>
          <t>A 1047-2023</t>
        </is>
      </c>
      <c r="B461" s="1" t="n">
        <v>44929</v>
      </c>
      <c r="C461" s="1" t="n">
        <v>45588</v>
      </c>
      <c r="D461" t="inlineStr">
        <is>
          <t>DALARNAS LÄN</t>
        </is>
      </c>
      <c r="E461" t="inlineStr">
        <is>
          <t>LUDVIKA</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1647-2023</t>
        </is>
      </c>
      <c r="B462" s="1" t="n">
        <v>44937</v>
      </c>
      <c r="C462" s="1" t="n">
        <v>45588</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1852-2023</t>
        </is>
      </c>
      <c r="B463" s="1" t="n">
        <v>44938</v>
      </c>
      <c r="C463" s="1" t="n">
        <v>45588</v>
      </c>
      <c r="D463" t="inlineStr">
        <is>
          <t>DALARNAS LÄN</t>
        </is>
      </c>
      <c r="E463" t="inlineStr">
        <is>
          <t>LUDVIKA</t>
        </is>
      </c>
      <c r="G463" t="n">
        <v>4</v>
      </c>
      <c r="H463" t="n">
        <v>0</v>
      </c>
      <c r="I463" t="n">
        <v>0</v>
      </c>
      <c r="J463" t="n">
        <v>0</v>
      </c>
      <c r="K463" t="n">
        <v>0</v>
      </c>
      <c r="L463" t="n">
        <v>0</v>
      </c>
      <c r="M463" t="n">
        <v>0</v>
      </c>
      <c r="N463" t="n">
        <v>0</v>
      </c>
      <c r="O463" t="n">
        <v>0</v>
      </c>
      <c r="P463" t="n">
        <v>0</v>
      </c>
      <c r="Q463" t="n">
        <v>0</v>
      </c>
      <c r="R463" s="2" t="inlineStr"/>
    </row>
    <row r="464" ht="15" customHeight="1">
      <c r="A464" t="inlineStr">
        <is>
          <t>A 1878-2023</t>
        </is>
      </c>
      <c r="B464" s="1" t="n">
        <v>44939</v>
      </c>
      <c r="C464" s="1" t="n">
        <v>45588</v>
      </c>
      <c r="D464" t="inlineStr">
        <is>
          <t>DALARNAS LÄN</t>
        </is>
      </c>
      <c r="E464" t="inlineStr">
        <is>
          <t>LUDVIKA</t>
        </is>
      </c>
      <c r="G464" t="n">
        <v>1.5</v>
      </c>
      <c r="H464" t="n">
        <v>0</v>
      </c>
      <c r="I464" t="n">
        <v>0</v>
      </c>
      <c r="J464" t="n">
        <v>0</v>
      </c>
      <c r="K464" t="n">
        <v>0</v>
      </c>
      <c r="L464" t="n">
        <v>0</v>
      </c>
      <c r="M464" t="n">
        <v>0</v>
      </c>
      <c r="N464" t="n">
        <v>0</v>
      </c>
      <c r="O464" t="n">
        <v>0</v>
      </c>
      <c r="P464" t="n">
        <v>0</v>
      </c>
      <c r="Q464" t="n">
        <v>0</v>
      </c>
      <c r="R464" s="2" t="inlineStr"/>
    </row>
    <row r="465" ht="15" customHeight="1">
      <c r="A465" t="inlineStr">
        <is>
          <t>A 2614-2023</t>
        </is>
      </c>
      <c r="B465" s="1" t="n">
        <v>44942</v>
      </c>
      <c r="C465" s="1" t="n">
        <v>45588</v>
      </c>
      <c r="D465" t="inlineStr">
        <is>
          <t>DALARNAS LÄN</t>
        </is>
      </c>
      <c r="E465" t="inlineStr">
        <is>
          <t>LUDVIKA</t>
        </is>
      </c>
      <c r="G465" t="n">
        <v>13.1</v>
      </c>
      <c r="H465" t="n">
        <v>0</v>
      </c>
      <c r="I465" t="n">
        <v>0</v>
      </c>
      <c r="J465" t="n">
        <v>0</v>
      </c>
      <c r="K465" t="n">
        <v>0</v>
      </c>
      <c r="L465" t="n">
        <v>0</v>
      </c>
      <c r="M465" t="n">
        <v>0</v>
      </c>
      <c r="N465" t="n">
        <v>0</v>
      </c>
      <c r="O465" t="n">
        <v>0</v>
      </c>
      <c r="P465" t="n">
        <v>0</v>
      </c>
      <c r="Q465" t="n">
        <v>0</v>
      </c>
      <c r="R465" s="2" t="inlineStr"/>
    </row>
    <row r="466" ht="15" customHeight="1">
      <c r="A466" t="inlineStr">
        <is>
          <t>A 3509-2023</t>
        </is>
      </c>
      <c r="B466" s="1" t="n">
        <v>44950</v>
      </c>
      <c r="C466" s="1" t="n">
        <v>45588</v>
      </c>
      <c r="D466" t="inlineStr">
        <is>
          <t>DALARNAS LÄN</t>
        </is>
      </c>
      <c r="E466" t="inlineStr">
        <is>
          <t>LUDVIKA</t>
        </is>
      </c>
      <c r="F466" t="inlineStr">
        <is>
          <t>Naturvårdsverket</t>
        </is>
      </c>
      <c r="G466" t="n">
        <v>5.1</v>
      </c>
      <c r="H466" t="n">
        <v>0</v>
      </c>
      <c r="I466" t="n">
        <v>0</v>
      </c>
      <c r="J466" t="n">
        <v>0</v>
      </c>
      <c r="K466" t="n">
        <v>0</v>
      </c>
      <c r="L466" t="n">
        <v>0</v>
      </c>
      <c r="M466" t="n">
        <v>0</v>
      </c>
      <c r="N466" t="n">
        <v>0</v>
      </c>
      <c r="O466" t="n">
        <v>0</v>
      </c>
      <c r="P466" t="n">
        <v>0</v>
      </c>
      <c r="Q466" t="n">
        <v>0</v>
      </c>
      <c r="R466" s="2" t="inlineStr"/>
    </row>
    <row r="467" ht="15" customHeight="1">
      <c r="A467" t="inlineStr">
        <is>
          <t>A 4705-2023</t>
        </is>
      </c>
      <c r="B467" s="1" t="n">
        <v>44957</v>
      </c>
      <c r="C467" s="1" t="n">
        <v>45588</v>
      </c>
      <c r="D467" t="inlineStr">
        <is>
          <t>DALARNAS LÄN</t>
        </is>
      </c>
      <c r="E467" t="inlineStr">
        <is>
          <t>LUDVIKA</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4703-2023</t>
        </is>
      </c>
      <c r="B468" s="1" t="n">
        <v>44957</v>
      </c>
      <c r="C468" s="1" t="n">
        <v>45588</v>
      </c>
      <c r="D468" t="inlineStr">
        <is>
          <t>DALARNAS LÄN</t>
        </is>
      </c>
      <c r="E468" t="inlineStr">
        <is>
          <t>LUDVIKA</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4903-2023</t>
        </is>
      </c>
      <c r="B469" s="1" t="n">
        <v>44958</v>
      </c>
      <c r="C469" s="1" t="n">
        <v>45588</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4890-2023</t>
        </is>
      </c>
      <c r="B470" s="1" t="n">
        <v>44958</v>
      </c>
      <c r="C470" s="1" t="n">
        <v>45588</v>
      </c>
      <c r="D470" t="inlineStr">
        <is>
          <t>DALARNAS LÄN</t>
        </is>
      </c>
      <c r="E470" t="inlineStr">
        <is>
          <t>LUDVIKA</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5672-2023</t>
        </is>
      </c>
      <c r="B471" s="1" t="n">
        <v>44960</v>
      </c>
      <c r="C471" s="1" t="n">
        <v>45588</v>
      </c>
      <c r="D471" t="inlineStr">
        <is>
          <t>DALARNAS LÄN</t>
        </is>
      </c>
      <c r="E471" t="inlineStr">
        <is>
          <t>LUDVIKA</t>
        </is>
      </c>
      <c r="F471" t="inlineStr">
        <is>
          <t>Naturvårdsverket</t>
        </is>
      </c>
      <c r="G471" t="n">
        <v>2.7</v>
      </c>
      <c r="H471" t="n">
        <v>0</v>
      </c>
      <c r="I471" t="n">
        <v>0</v>
      </c>
      <c r="J471" t="n">
        <v>0</v>
      </c>
      <c r="K471" t="n">
        <v>0</v>
      </c>
      <c r="L471" t="n">
        <v>0</v>
      </c>
      <c r="M471" t="n">
        <v>0</v>
      </c>
      <c r="N471" t="n">
        <v>0</v>
      </c>
      <c r="O471" t="n">
        <v>0</v>
      </c>
      <c r="P471" t="n">
        <v>0</v>
      </c>
      <c r="Q471" t="n">
        <v>0</v>
      </c>
      <c r="R471" s="2" t="inlineStr"/>
    </row>
    <row r="472" ht="15" customHeight="1">
      <c r="A472" t="inlineStr">
        <is>
          <t>A 5673-2023</t>
        </is>
      </c>
      <c r="B472" s="1" t="n">
        <v>44960</v>
      </c>
      <c r="C472" s="1" t="n">
        <v>45588</v>
      </c>
      <c r="D472" t="inlineStr">
        <is>
          <t>DALARNAS LÄN</t>
        </is>
      </c>
      <c r="E472" t="inlineStr">
        <is>
          <t>LUDVIKA</t>
        </is>
      </c>
      <c r="F472" t="inlineStr">
        <is>
          <t>Naturvårdsverket</t>
        </is>
      </c>
      <c r="G472" t="n">
        <v>0.7</v>
      </c>
      <c r="H472" t="n">
        <v>0</v>
      </c>
      <c r="I472" t="n">
        <v>0</v>
      </c>
      <c r="J472" t="n">
        <v>0</v>
      </c>
      <c r="K472" t="n">
        <v>0</v>
      </c>
      <c r="L472" t="n">
        <v>0</v>
      </c>
      <c r="M472" t="n">
        <v>0</v>
      </c>
      <c r="N472" t="n">
        <v>0</v>
      </c>
      <c r="O472" t="n">
        <v>0</v>
      </c>
      <c r="P472" t="n">
        <v>0</v>
      </c>
      <c r="Q472" t="n">
        <v>0</v>
      </c>
      <c r="R472" s="2" t="inlineStr"/>
    </row>
    <row r="473" ht="15" customHeight="1">
      <c r="A473" t="inlineStr">
        <is>
          <t>A 6579-2023</t>
        </is>
      </c>
      <c r="B473" s="1" t="n">
        <v>44960</v>
      </c>
      <c r="C473" s="1" t="n">
        <v>45588</v>
      </c>
      <c r="D473" t="inlineStr">
        <is>
          <t>DALARNAS LÄN</t>
        </is>
      </c>
      <c r="E473" t="inlineStr">
        <is>
          <t>LUDVIKA</t>
        </is>
      </c>
      <c r="G473" t="n">
        <v>3.4</v>
      </c>
      <c r="H473" t="n">
        <v>0</v>
      </c>
      <c r="I473" t="n">
        <v>0</v>
      </c>
      <c r="J473" t="n">
        <v>0</v>
      </c>
      <c r="K473" t="n">
        <v>0</v>
      </c>
      <c r="L473" t="n">
        <v>0</v>
      </c>
      <c r="M473" t="n">
        <v>0</v>
      </c>
      <c r="N473" t="n">
        <v>0</v>
      </c>
      <c r="O473" t="n">
        <v>0</v>
      </c>
      <c r="P473" t="n">
        <v>0</v>
      </c>
      <c r="Q473" t="n">
        <v>0</v>
      </c>
      <c r="R473" s="2" t="inlineStr"/>
    </row>
    <row r="474" ht="15" customHeight="1">
      <c r="A474" t="inlineStr">
        <is>
          <t>A 6593-2023</t>
        </is>
      </c>
      <c r="B474" s="1" t="n">
        <v>44960</v>
      </c>
      <c r="C474" s="1" t="n">
        <v>45588</v>
      </c>
      <c r="D474" t="inlineStr">
        <is>
          <t>DALARNAS LÄN</t>
        </is>
      </c>
      <c r="E474" t="inlineStr">
        <is>
          <t>LUDVIKA</t>
        </is>
      </c>
      <c r="G474" t="n">
        <v>3.8</v>
      </c>
      <c r="H474" t="n">
        <v>0</v>
      </c>
      <c r="I474" t="n">
        <v>0</v>
      </c>
      <c r="J474" t="n">
        <v>0</v>
      </c>
      <c r="K474" t="n">
        <v>0</v>
      </c>
      <c r="L474" t="n">
        <v>0</v>
      </c>
      <c r="M474" t="n">
        <v>0</v>
      </c>
      <c r="N474" t="n">
        <v>0</v>
      </c>
      <c r="O474" t="n">
        <v>0</v>
      </c>
      <c r="P474" t="n">
        <v>0</v>
      </c>
      <c r="Q474" t="n">
        <v>0</v>
      </c>
      <c r="R474" s="2" t="inlineStr"/>
    </row>
    <row r="475" ht="15" customHeight="1">
      <c r="A475" t="inlineStr">
        <is>
          <t>A 5599-2023</t>
        </is>
      </c>
      <c r="B475" s="1" t="n">
        <v>44960</v>
      </c>
      <c r="C475" s="1" t="n">
        <v>45588</v>
      </c>
      <c r="D475" t="inlineStr">
        <is>
          <t>DALARNAS LÄN</t>
        </is>
      </c>
      <c r="E475" t="inlineStr">
        <is>
          <t>LUDVIKA</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5752-2023</t>
        </is>
      </c>
      <c r="B476" s="1" t="n">
        <v>44963</v>
      </c>
      <c r="C476" s="1" t="n">
        <v>45588</v>
      </c>
      <c r="D476" t="inlineStr">
        <is>
          <t>DALARNAS LÄN</t>
        </is>
      </c>
      <c r="E476" t="inlineStr">
        <is>
          <t>LUDVIKA</t>
        </is>
      </c>
      <c r="F476" t="inlineStr">
        <is>
          <t>Bergvik skog väst AB</t>
        </is>
      </c>
      <c r="G476" t="n">
        <v>7.7</v>
      </c>
      <c r="H476" t="n">
        <v>0</v>
      </c>
      <c r="I476" t="n">
        <v>0</v>
      </c>
      <c r="J476" t="n">
        <v>0</v>
      </c>
      <c r="K476" t="n">
        <v>0</v>
      </c>
      <c r="L476" t="n">
        <v>0</v>
      </c>
      <c r="M476" t="n">
        <v>0</v>
      </c>
      <c r="N476" t="n">
        <v>0</v>
      </c>
      <c r="O476" t="n">
        <v>0</v>
      </c>
      <c r="P476" t="n">
        <v>0</v>
      </c>
      <c r="Q476" t="n">
        <v>0</v>
      </c>
      <c r="R476" s="2" t="inlineStr"/>
    </row>
    <row r="477" ht="15" customHeight="1">
      <c r="A477" t="inlineStr">
        <is>
          <t>A 6010-2023</t>
        </is>
      </c>
      <c r="B477" s="1" t="n">
        <v>44964</v>
      </c>
      <c r="C477" s="1" t="n">
        <v>45588</v>
      </c>
      <c r="D477" t="inlineStr">
        <is>
          <t>DALARNAS LÄN</t>
        </is>
      </c>
      <c r="E477" t="inlineStr">
        <is>
          <t>LUDVIKA</t>
        </is>
      </c>
      <c r="G477" t="n">
        <v>0.5</v>
      </c>
      <c r="H477" t="n">
        <v>0</v>
      </c>
      <c r="I477" t="n">
        <v>0</v>
      </c>
      <c r="J477" t="n">
        <v>0</v>
      </c>
      <c r="K477" t="n">
        <v>0</v>
      </c>
      <c r="L477" t="n">
        <v>0</v>
      </c>
      <c r="M477" t="n">
        <v>0</v>
      </c>
      <c r="N477" t="n">
        <v>0</v>
      </c>
      <c r="O477" t="n">
        <v>0</v>
      </c>
      <c r="P477" t="n">
        <v>0</v>
      </c>
      <c r="Q477" t="n">
        <v>0</v>
      </c>
      <c r="R477" s="2" t="inlineStr"/>
    </row>
    <row r="478" ht="15" customHeight="1">
      <c r="A478" t="inlineStr">
        <is>
          <t>A 6281-2023</t>
        </is>
      </c>
      <c r="B478" s="1" t="n">
        <v>44965</v>
      </c>
      <c r="C478" s="1" t="n">
        <v>45588</v>
      </c>
      <c r="D478" t="inlineStr">
        <is>
          <t>DALARNAS LÄN</t>
        </is>
      </c>
      <c r="E478" t="inlineStr">
        <is>
          <t>LUDVIKA</t>
        </is>
      </c>
      <c r="G478" t="n">
        <v>7.7</v>
      </c>
      <c r="H478" t="n">
        <v>0</v>
      </c>
      <c r="I478" t="n">
        <v>0</v>
      </c>
      <c r="J478" t="n">
        <v>0</v>
      </c>
      <c r="K478" t="n">
        <v>0</v>
      </c>
      <c r="L478" t="n">
        <v>0</v>
      </c>
      <c r="M478" t="n">
        <v>0</v>
      </c>
      <c r="N478" t="n">
        <v>0</v>
      </c>
      <c r="O478" t="n">
        <v>0</v>
      </c>
      <c r="P478" t="n">
        <v>0</v>
      </c>
      <c r="Q478" t="n">
        <v>0</v>
      </c>
      <c r="R478" s="2" t="inlineStr"/>
    </row>
    <row r="479" ht="15" customHeight="1">
      <c r="A479" t="inlineStr">
        <is>
          <t>A 6564-2023</t>
        </is>
      </c>
      <c r="B479" s="1" t="n">
        <v>44966</v>
      </c>
      <c r="C479" s="1" t="n">
        <v>45588</v>
      </c>
      <c r="D479" t="inlineStr">
        <is>
          <t>DALARNAS LÄN</t>
        </is>
      </c>
      <c r="E479" t="inlineStr">
        <is>
          <t>LUDVIKA</t>
        </is>
      </c>
      <c r="F479" t="inlineStr">
        <is>
          <t>Naturvårdsverket</t>
        </is>
      </c>
      <c r="G479" t="n">
        <v>2.3</v>
      </c>
      <c r="H479" t="n">
        <v>0</v>
      </c>
      <c r="I479" t="n">
        <v>0</v>
      </c>
      <c r="J479" t="n">
        <v>0</v>
      </c>
      <c r="K479" t="n">
        <v>0</v>
      </c>
      <c r="L479" t="n">
        <v>0</v>
      </c>
      <c r="M479" t="n">
        <v>0</v>
      </c>
      <c r="N479" t="n">
        <v>0</v>
      </c>
      <c r="O479" t="n">
        <v>0</v>
      </c>
      <c r="P479" t="n">
        <v>0</v>
      </c>
      <c r="Q479" t="n">
        <v>0</v>
      </c>
      <c r="R479" s="2" t="inlineStr"/>
    </row>
    <row r="480" ht="15" customHeight="1">
      <c r="A480" t="inlineStr">
        <is>
          <t>A 6975-2023</t>
        </is>
      </c>
      <c r="B480" s="1" t="n">
        <v>44967</v>
      </c>
      <c r="C480" s="1" t="n">
        <v>45588</v>
      </c>
      <c r="D480" t="inlineStr">
        <is>
          <t>DALARNAS LÄN</t>
        </is>
      </c>
      <c r="E480" t="inlineStr">
        <is>
          <t>LUDVIKA</t>
        </is>
      </c>
      <c r="G480" t="n">
        <v>2.1</v>
      </c>
      <c r="H480" t="n">
        <v>0</v>
      </c>
      <c r="I480" t="n">
        <v>0</v>
      </c>
      <c r="J480" t="n">
        <v>0</v>
      </c>
      <c r="K480" t="n">
        <v>0</v>
      </c>
      <c r="L480" t="n">
        <v>0</v>
      </c>
      <c r="M480" t="n">
        <v>0</v>
      </c>
      <c r="N480" t="n">
        <v>0</v>
      </c>
      <c r="O480" t="n">
        <v>0</v>
      </c>
      <c r="P480" t="n">
        <v>0</v>
      </c>
      <c r="Q480" t="n">
        <v>0</v>
      </c>
      <c r="R480" s="2" t="inlineStr"/>
    </row>
    <row r="481" ht="15" customHeight="1">
      <c r="A481" t="inlineStr">
        <is>
          <t>A 7243-2023</t>
        </is>
      </c>
      <c r="B481" s="1" t="n">
        <v>44970</v>
      </c>
      <c r="C481" s="1" t="n">
        <v>45588</v>
      </c>
      <c r="D481" t="inlineStr">
        <is>
          <t>DALARNAS LÄN</t>
        </is>
      </c>
      <c r="E481" t="inlineStr">
        <is>
          <t>LUDVIKA</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7238-2023</t>
        </is>
      </c>
      <c r="B482" s="1" t="n">
        <v>44970</v>
      </c>
      <c r="C482" s="1" t="n">
        <v>45588</v>
      </c>
      <c r="D482" t="inlineStr">
        <is>
          <t>DALARNAS LÄN</t>
        </is>
      </c>
      <c r="E482" t="inlineStr">
        <is>
          <t>LUDVIKA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v>
      </c>
      <c r="C483" s="1" t="n">
        <v>45588</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7435-2023</t>
        </is>
      </c>
      <c r="B484" s="1" t="n">
        <v>44971</v>
      </c>
      <c r="C484" s="1" t="n">
        <v>45588</v>
      </c>
      <c r="D484" t="inlineStr">
        <is>
          <t>DALARNAS LÄN</t>
        </is>
      </c>
      <c r="E484" t="inlineStr">
        <is>
          <t>LUDVIKA</t>
        </is>
      </c>
      <c r="F484" t="inlineStr">
        <is>
          <t>Naturvårdsverket</t>
        </is>
      </c>
      <c r="G484" t="n">
        <v>0.8</v>
      </c>
      <c r="H484" t="n">
        <v>0</v>
      </c>
      <c r="I484" t="n">
        <v>0</v>
      </c>
      <c r="J484" t="n">
        <v>0</v>
      </c>
      <c r="K484" t="n">
        <v>0</v>
      </c>
      <c r="L484" t="n">
        <v>0</v>
      </c>
      <c r="M484" t="n">
        <v>0</v>
      </c>
      <c r="N484" t="n">
        <v>0</v>
      </c>
      <c r="O484" t="n">
        <v>0</v>
      </c>
      <c r="P484" t="n">
        <v>0</v>
      </c>
      <c r="Q484" t="n">
        <v>0</v>
      </c>
      <c r="R484" s="2" t="inlineStr"/>
    </row>
    <row r="485" ht="15" customHeight="1">
      <c r="A485" t="inlineStr">
        <is>
          <t>A 7539-2023</t>
        </is>
      </c>
      <c r="B485" s="1" t="n">
        <v>44972</v>
      </c>
      <c r="C485" s="1" t="n">
        <v>45588</v>
      </c>
      <c r="D485" t="inlineStr">
        <is>
          <t>DALARNAS LÄN</t>
        </is>
      </c>
      <c r="E485" t="inlineStr">
        <is>
          <t>LUDVIKA</t>
        </is>
      </c>
      <c r="G485" t="n">
        <v>0.6</v>
      </c>
      <c r="H485" t="n">
        <v>0</v>
      </c>
      <c r="I485" t="n">
        <v>0</v>
      </c>
      <c r="J485" t="n">
        <v>0</v>
      </c>
      <c r="K485" t="n">
        <v>0</v>
      </c>
      <c r="L485" t="n">
        <v>0</v>
      </c>
      <c r="M485" t="n">
        <v>0</v>
      </c>
      <c r="N485" t="n">
        <v>0</v>
      </c>
      <c r="O485" t="n">
        <v>0</v>
      </c>
      <c r="P485" t="n">
        <v>0</v>
      </c>
      <c r="Q485" t="n">
        <v>0</v>
      </c>
      <c r="R485" s="2" t="inlineStr"/>
    </row>
    <row r="486" ht="15" customHeight="1">
      <c r="A486" t="inlineStr">
        <is>
          <t>A 8076-2023</t>
        </is>
      </c>
      <c r="B486" s="1" t="n">
        <v>44974</v>
      </c>
      <c r="C486" s="1" t="n">
        <v>45588</v>
      </c>
      <c r="D486" t="inlineStr">
        <is>
          <t>DALARNAS LÄN</t>
        </is>
      </c>
      <c r="E486" t="inlineStr">
        <is>
          <t>LUDVIKA</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8703-2023</t>
        </is>
      </c>
      <c r="B487" s="1" t="n">
        <v>44978</v>
      </c>
      <c r="C487" s="1" t="n">
        <v>45588</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9386-2023</t>
        </is>
      </c>
      <c r="B488" s="1" t="n">
        <v>44981</v>
      </c>
      <c r="C488" s="1" t="n">
        <v>45588</v>
      </c>
      <c r="D488" t="inlineStr">
        <is>
          <t>DALARNAS LÄN</t>
        </is>
      </c>
      <c r="E488" t="inlineStr">
        <is>
          <t>LUDVIKA</t>
        </is>
      </c>
      <c r="G488" t="n">
        <v>6.2</v>
      </c>
      <c r="H488" t="n">
        <v>0</v>
      </c>
      <c r="I488" t="n">
        <v>0</v>
      </c>
      <c r="J488" t="n">
        <v>0</v>
      </c>
      <c r="K488" t="n">
        <v>0</v>
      </c>
      <c r="L488" t="n">
        <v>0</v>
      </c>
      <c r="M488" t="n">
        <v>0</v>
      </c>
      <c r="N488" t="n">
        <v>0</v>
      </c>
      <c r="O488" t="n">
        <v>0</v>
      </c>
      <c r="P488" t="n">
        <v>0</v>
      </c>
      <c r="Q488" t="n">
        <v>0</v>
      </c>
      <c r="R488" s="2" t="inlineStr"/>
    </row>
    <row r="489" ht="15" customHeight="1">
      <c r="A489" t="inlineStr">
        <is>
          <t>A 11797-2023</t>
        </is>
      </c>
      <c r="B489" s="1" t="n">
        <v>44994</v>
      </c>
      <c r="C489" s="1" t="n">
        <v>45588</v>
      </c>
      <c r="D489" t="inlineStr">
        <is>
          <t>DALARNAS LÄN</t>
        </is>
      </c>
      <c r="E489" t="inlineStr">
        <is>
          <t>LUDVIKA</t>
        </is>
      </c>
      <c r="G489" t="n">
        <v>0.7</v>
      </c>
      <c r="H489" t="n">
        <v>0</v>
      </c>
      <c r="I489" t="n">
        <v>0</v>
      </c>
      <c r="J489" t="n">
        <v>0</v>
      </c>
      <c r="K489" t="n">
        <v>0</v>
      </c>
      <c r="L489" t="n">
        <v>0</v>
      </c>
      <c r="M489" t="n">
        <v>0</v>
      </c>
      <c r="N489" t="n">
        <v>0</v>
      </c>
      <c r="O489" t="n">
        <v>0</v>
      </c>
      <c r="P489" t="n">
        <v>0</v>
      </c>
      <c r="Q489" t="n">
        <v>0</v>
      </c>
      <c r="R489" s="2" t="inlineStr"/>
    </row>
    <row r="490" ht="15" customHeight="1">
      <c r="A490" t="inlineStr">
        <is>
          <t>A 11755-2023</t>
        </is>
      </c>
      <c r="B490" s="1" t="n">
        <v>44994</v>
      </c>
      <c r="C490" s="1" t="n">
        <v>45588</v>
      </c>
      <c r="D490" t="inlineStr">
        <is>
          <t>DALARNAS LÄN</t>
        </is>
      </c>
      <c r="E490" t="inlineStr">
        <is>
          <t>LUDVIKA</t>
        </is>
      </c>
      <c r="F490" t="inlineStr">
        <is>
          <t>Övriga Aktiebolag</t>
        </is>
      </c>
      <c r="G490" t="n">
        <v>7</v>
      </c>
      <c r="H490" t="n">
        <v>0</v>
      </c>
      <c r="I490" t="n">
        <v>0</v>
      </c>
      <c r="J490" t="n">
        <v>0</v>
      </c>
      <c r="K490" t="n">
        <v>0</v>
      </c>
      <c r="L490" t="n">
        <v>0</v>
      </c>
      <c r="M490" t="n">
        <v>0</v>
      </c>
      <c r="N490" t="n">
        <v>0</v>
      </c>
      <c r="O490" t="n">
        <v>0</v>
      </c>
      <c r="P490" t="n">
        <v>0</v>
      </c>
      <c r="Q490" t="n">
        <v>0</v>
      </c>
      <c r="R490" s="2" t="inlineStr"/>
    </row>
    <row r="491" ht="15" customHeight="1">
      <c r="A491" t="inlineStr">
        <is>
          <t>A 12096-2023</t>
        </is>
      </c>
      <c r="B491" s="1" t="n">
        <v>44998</v>
      </c>
      <c r="C491" s="1" t="n">
        <v>45588</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13180-2023</t>
        </is>
      </c>
      <c r="B492" s="1" t="n">
        <v>45002</v>
      </c>
      <c r="C492" s="1" t="n">
        <v>45588</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13215-2023</t>
        </is>
      </c>
      <c r="B493" s="1" t="n">
        <v>45002</v>
      </c>
      <c r="C493" s="1" t="n">
        <v>45588</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13217-2023</t>
        </is>
      </c>
      <c r="B494" s="1" t="n">
        <v>45002</v>
      </c>
      <c r="C494" s="1" t="n">
        <v>45588</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14632-2023</t>
        </is>
      </c>
      <c r="B495" s="1" t="n">
        <v>45013</v>
      </c>
      <c r="C495" s="1" t="n">
        <v>45588</v>
      </c>
      <c r="D495" t="inlineStr">
        <is>
          <t>DALARNAS LÄN</t>
        </is>
      </c>
      <c r="E495" t="inlineStr">
        <is>
          <t>LUDVIKA</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15754-2023</t>
        </is>
      </c>
      <c r="B496" s="1" t="n">
        <v>45021</v>
      </c>
      <c r="C496" s="1" t="n">
        <v>45588</v>
      </c>
      <c r="D496" t="inlineStr">
        <is>
          <t>DALARNAS LÄN</t>
        </is>
      </c>
      <c r="E496" t="inlineStr">
        <is>
          <t>LUDVIKA</t>
        </is>
      </c>
      <c r="F496" t="inlineStr">
        <is>
          <t>Naturvårdsverket</t>
        </is>
      </c>
      <c r="G496" t="n">
        <v>1.2</v>
      </c>
      <c r="H496" t="n">
        <v>0</v>
      </c>
      <c r="I496" t="n">
        <v>0</v>
      </c>
      <c r="J496" t="n">
        <v>0</v>
      </c>
      <c r="K496" t="n">
        <v>0</v>
      </c>
      <c r="L496" t="n">
        <v>0</v>
      </c>
      <c r="M496" t="n">
        <v>0</v>
      </c>
      <c r="N496" t="n">
        <v>0</v>
      </c>
      <c r="O496" t="n">
        <v>0</v>
      </c>
      <c r="P496" t="n">
        <v>0</v>
      </c>
      <c r="Q496" t="n">
        <v>0</v>
      </c>
      <c r="R496" s="2" t="inlineStr"/>
    </row>
    <row r="497" ht="15" customHeight="1">
      <c r="A497" t="inlineStr">
        <is>
          <t>A 16630-2023</t>
        </is>
      </c>
      <c r="B497" s="1" t="n">
        <v>45030</v>
      </c>
      <c r="C497" s="1" t="n">
        <v>45588</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17032-2023</t>
        </is>
      </c>
      <c r="B498" s="1" t="n">
        <v>45034</v>
      </c>
      <c r="C498" s="1" t="n">
        <v>45588</v>
      </c>
      <c r="D498" t="inlineStr">
        <is>
          <t>DALARNAS LÄN</t>
        </is>
      </c>
      <c r="E498" t="inlineStr">
        <is>
          <t>LUDVIKA</t>
        </is>
      </c>
      <c r="F498" t="inlineStr">
        <is>
          <t>Naturvårdsverket</t>
        </is>
      </c>
      <c r="G498" t="n">
        <v>1</v>
      </c>
      <c r="H498" t="n">
        <v>0</v>
      </c>
      <c r="I498" t="n">
        <v>0</v>
      </c>
      <c r="J498" t="n">
        <v>0</v>
      </c>
      <c r="K498" t="n">
        <v>0</v>
      </c>
      <c r="L498" t="n">
        <v>0</v>
      </c>
      <c r="M498" t="n">
        <v>0</v>
      </c>
      <c r="N498" t="n">
        <v>0</v>
      </c>
      <c r="O498" t="n">
        <v>0</v>
      </c>
      <c r="P498" t="n">
        <v>0</v>
      </c>
      <c r="Q498" t="n">
        <v>0</v>
      </c>
      <c r="R498" s="2" t="inlineStr"/>
    </row>
    <row r="499" ht="15" customHeight="1">
      <c r="A499" t="inlineStr">
        <is>
          <t>A 17037-2023</t>
        </is>
      </c>
      <c r="B499" s="1" t="n">
        <v>45034</v>
      </c>
      <c r="C499" s="1" t="n">
        <v>45588</v>
      </c>
      <c r="D499" t="inlineStr">
        <is>
          <t>DALARNAS LÄN</t>
        </is>
      </c>
      <c r="E499" t="inlineStr">
        <is>
          <t>LUDVIKA</t>
        </is>
      </c>
      <c r="F499" t="inlineStr">
        <is>
          <t>Naturvårdsverket</t>
        </is>
      </c>
      <c r="G499" t="n">
        <v>1.4</v>
      </c>
      <c r="H499" t="n">
        <v>0</v>
      </c>
      <c r="I499" t="n">
        <v>0</v>
      </c>
      <c r="J499" t="n">
        <v>0</v>
      </c>
      <c r="K499" t="n">
        <v>0</v>
      </c>
      <c r="L499" t="n">
        <v>0</v>
      </c>
      <c r="M499" t="n">
        <v>0</v>
      </c>
      <c r="N499" t="n">
        <v>0</v>
      </c>
      <c r="O499" t="n">
        <v>0</v>
      </c>
      <c r="P499" t="n">
        <v>0</v>
      </c>
      <c r="Q499" t="n">
        <v>0</v>
      </c>
      <c r="R499" s="2" t="inlineStr"/>
    </row>
    <row r="500" ht="15" customHeight="1">
      <c r="A500" t="inlineStr">
        <is>
          <t>A 17035-2023</t>
        </is>
      </c>
      <c r="B500" s="1" t="n">
        <v>45034</v>
      </c>
      <c r="C500" s="1" t="n">
        <v>45588</v>
      </c>
      <c r="D500" t="inlineStr">
        <is>
          <t>DALARNAS LÄN</t>
        </is>
      </c>
      <c r="E500" t="inlineStr">
        <is>
          <t>LUDVIKA</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17138-2023</t>
        </is>
      </c>
      <c r="B501" s="1" t="n">
        <v>45034</v>
      </c>
      <c r="C501" s="1" t="n">
        <v>45588</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18585-2023</t>
        </is>
      </c>
      <c r="B502" s="1" t="n">
        <v>45043</v>
      </c>
      <c r="C502" s="1" t="n">
        <v>45588</v>
      </c>
      <c r="D502" t="inlineStr">
        <is>
          <t>DALARNAS LÄN</t>
        </is>
      </c>
      <c r="E502" t="inlineStr">
        <is>
          <t>LUDVIKA</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18708-2023</t>
        </is>
      </c>
      <c r="B503" s="1" t="n">
        <v>45043</v>
      </c>
      <c r="C503" s="1" t="n">
        <v>45588</v>
      </c>
      <c r="D503" t="inlineStr">
        <is>
          <t>DALARNAS LÄN</t>
        </is>
      </c>
      <c r="E503" t="inlineStr">
        <is>
          <t>LUDVIKA</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18660-2023</t>
        </is>
      </c>
      <c r="B504" s="1" t="n">
        <v>45043</v>
      </c>
      <c r="C504" s="1" t="n">
        <v>45588</v>
      </c>
      <c r="D504" t="inlineStr">
        <is>
          <t>DALARNAS LÄN</t>
        </is>
      </c>
      <c r="E504" t="inlineStr">
        <is>
          <t>LUDVIKA</t>
        </is>
      </c>
      <c r="F504" t="inlineStr">
        <is>
          <t>Bergvik skog väst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18936-2023</t>
        </is>
      </c>
      <c r="B505" s="1" t="n">
        <v>45044</v>
      </c>
      <c r="C505" s="1" t="n">
        <v>45588</v>
      </c>
      <c r="D505" t="inlineStr">
        <is>
          <t>DALARNAS LÄN</t>
        </is>
      </c>
      <c r="E505" t="inlineStr">
        <is>
          <t>LUDVIKA</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18850-2023</t>
        </is>
      </c>
      <c r="B506" s="1" t="n">
        <v>45044</v>
      </c>
      <c r="C506" s="1" t="n">
        <v>45588</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18864-2023</t>
        </is>
      </c>
      <c r="B507" s="1" t="n">
        <v>45044</v>
      </c>
      <c r="C507" s="1" t="n">
        <v>45588</v>
      </c>
      <c r="D507" t="inlineStr">
        <is>
          <t>DALARNAS LÄN</t>
        </is>
      </c>
      <c r="E507" t="inlineStr">
        <is>
          <t>LUDVIKA</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19449-2023</t>
        </is>
      </c>
      <c r="B508" s="1" t="n">
        <v>45050</v>
      </c>
      <c r="C508" s="1" t="n">
        <v>45588</v>
      </c>
      <c r="D508" t="inlineStr">
        <is>
          <t>DALARNAS LÄN</t>
        </is>
      </c>
      <c r="E508" t="inlineStr">
        <is>
          <t>LUDVIKA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19643-2023</t>
        </is>
      </c>
      <c r="B509" s="1" t="n">
        <v>45051</v>
      </c>
      <c r="C509" s="1" t="n">
        <v>45588</v>
      </c>
      <c r="D509" t="inlineStr">
        <is>
          <t>DALARNAS LÄN</t>
        </is>
      </c>
      <c r="E509" t="inlineStr">
        <is>
          <t>LUDVIKA</t>
        </is>
      </c>
      <c r="F509" t="inlineStr">
        <is>
          <t>Naturvårdsverket</t>
        </is>
      </c>
      <c r="G509" t="n">
        <v>25</v>
      </c>
      <c r="H509" t="n">
        <v>0</v>
      </c>
      <c r="I509" t="n">
        <v>0</v>
      </c>
      <c r="J509" t="n">
        <v>0</v>
      </c>
      <c r="K509" t="n">
        <v>0</v>
      </c>
      <c r="L509" t="n">
        <v>0</v>
      </c>
      <c r="M509" t="n">
        <v>0</v>
      </c>
      <c r="N509" t="n">
        <v>0</v>
      </c>
      <c r="O509" t="n">
        <v>0</v>
      </c>
      <c r="P509" t="n">
        <v>0</v>
      </c>
      <c r="Q509" t="n">
        <v>0</v>
      </c>
      <c r="R509" s="2" t="inlineStr"/>
    </row>
    <row r="510" ht="15" customHeight="1">
      <c r="A510" t="inlineStr">
        <is>
          <t>A 19651-2023</t>
        </is>
      </c>
      <c r="B510" s="1" t="n">
        <v>45051</v>
      </c>
      <c r="C510" s="1" t="n">
        <v>45588</v>
      </c>
      <c r="D510" t="inlineStr">
        <is>
          <t>DALARNAS LÄN</t>
        </is>
      </c>
      <c r="E510" t="inlineStr">
        <is>
          <t>LUDVIKA</t>
        </is>
      </c>
      <c r="F510" t="inlineStr">
        <is>
          <t>Bergvik skog väst AB</t>
        </is>
      </c>
      <c r="G510" t="n">
        <v>7.4</v>
      </c>
      <c r="H510" t="n">
        <v>0</v>
      </c>
      <c r="I510" t="n">
        <v>0</v>
      </c>
      <c r="J510" t="n">
        <v>0</v>
      </c>
      <c r="K510" t="n">
        <v>0</v>
      </c>
      <c r="L510" t="n">
        <v>0</v>
      </c>
      <c r="M510" t="n">
        <v>0</v>
      </c>
      <c r="N510" t="n">
        <v>0</v>
      </c>
      <c r="O510" t="n">
        <v>0</v>
      </c>
      <c r="P510" t="n">
        <v>0</v>
      </c>
      <c r="Q510" t="n">
        <v>0</v>
      </c>
      <c r="R510" s="2" t="inlineStr"/>
    </row>
    <row r="511" ht="15" customHeight="1">
      <c r="A511" t="inlineStr">
        <is>
          <t>A 20225-2023</t>
        </is>
      </c>
      <c r="B511" s="1" t="n">
        <v>45054</v>
      </c>
      <c r="C511" s="1" t="n">
        <v>45588</v>
      </c>
      <c r="D511" t="inlineStr">
        <is>
          <t>DALARNAS LÄN</t>
        </is>
      </c>
      <c r="E511" t="inlineStr">
        <is>
          <t>LUDVIKA</t>
        </is>
      </c>
      <c r="G511" t="n">
        <v>4.7</v>
      </c>
      <c r="H511" t="n">
        <v>0</v>
      </c>
      <c r="I511" t="n">
        <v>0</v>
      </c>
      <c r="J511" t="n">
        <v>0</v>
      </c>
      <c r="K511" t="n">
        <v>0</v>
      </c>
      <c r="L511" t="n">
        <v>0</v>
      </c>
      <c r="M511" t="n">
        <v>0</v>
      </c>
      <c r="N511" t="n">
        <v>0</v>
      </c>
      <c r="O511" t="n">
        <v>0</v>
      </c>
      <c r="P511" t="n">
        <v>0</v>
      </c>
      <c r="Q511" t="n">
        <v>0</v>
      </c>
      <c r="R511" s="2" t="inlineStr"/>
    </row>
    <row r="512" ht="15" customHeight="1">
      <c r="A512" t="inlineStr">
        <is>
          <t>A 20202-2023</t>
        </is>
      </c>
      <c r="B512" s="1" t="n">
        <v>45055</v>
      </c>
      <c r="C512" s="1" t="n">
        <v>45588</v>
      </c>
      <c r="D512" t="inlineStr">
        <is>
          <t>DALARNAS LÄN</t>
        </is>
      </c>
      <c r="E512" t="inlineStr">
        <is>
          <t>LUDVIKA</t>
        </is>
      </c>
      <c r="G512" t="n">
        <v>2.2</v>
      </c>
      <c r="H512" t="n">
        <v>0</v>
      </c>
      <c r="I512" t="n">
        <v>0</v>
      </c>
      <c r="J512" t="n">
        <v>0</v>
      </c>
      <c r="K512" t="n">
        <v>0</v>
      </c>
      <c r="L512" t="n">
        <v>0</v>
      </c>
      <c r="M512" t="n">
        <v>0</v>
      </c>
      <c r="N512" t="n">
        <v>0</v>
      </c>
      <c r="O512" t="n">
        <v>0</v>
      </c>
      <c r="P512" t="n">
        <v>0</v>
      </c>
      <c r="Q512" t="n">
        <v>0</v>
      </c>
      <c r="R512" s="2" t="inlineStr"/>
    </row>
    <row r="513" ht="15" customHeight="1">
      <c r="A513" t="inlineStr">
        <is>
          <t>A 20559-2023</t>
        </is>
      </c>
      <c r="B513" s="1" t="n">
        <v>45055</v>
      </c>
      <c r="C513" s="1" t="n">
        <v>45588</v>
      </c>
      <c r="D513" t="inlineStr">
        <is>
          <t>DALARNAS LÄN</t>
        </is>
      </c>
      <c r="E513" t="inlineStr">
        <is>
          <t>LUDVIKA</t>
        </is>
      </c>
      <c r="G513" t="n">
        <v>3.8</v>
      </c>
      <c r="H513" t="n">
        <v>0</v>
      </c>
      <c r="I513" t="n">
        <v>0</v>
      </c>
      <c r="J513" t="n">
        <v>0</v>
      </c>
      <c r="K513" t="n">
        <v>0</v>
      </c>
      <c r="L513" t="n">
        <v>0</v>
      </c>
      <c r="M513" t="n">
        <v>0</v>
      </c>
      <c r="N513" t="n">
        <v>0</v>
      </c>
      <c r="O513" t="n">
        <v>0</v>
      </c>
      <c r="P513" t="n">
        <v>0</v>
      </c>
      <c r="Q513" t="n">
        <v>0</v>
      </c>
      <c r="R513" s="2" t="inlineStr"/>
    </row>
    <row r="514" ht="15" customHeight="1">
      <c r="A514" t="inlineStr">
        <is>
          <t>A 20411-2023</t>
        </is>
      </c>
      <c r="B514" s="1" t="n">
        <v>45056</v>
      </c>
      <c r="C514" s="1" t="n">
        <v>45588</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20688-2023</t>
        </is>
      </c>
      <c r="B515" s="1" t="n">
        <v>45058</v>
      </c>
      <c r="C515" s="1" t="n">
        <v>45588</v>
      </c>
      <c r="D515" t="inlineStr">
        <is>
          <t>DALARNAS LÄN</t>
        </is>
      </c>
      <c r="E515" t="inlineStr">
        <is>
          <t>LUDVIKA</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20826-2023</t>
        </is>
      </c>
      <c r="B516" s="1" t="n">
        <v>45058</v>
      </c>
      <c r="C516" s="1" t="n">
        <v>45588</v>
      </c>
      <c r="D516" t="inlineStr">
        <is>
          <t>DALARNAS LÄN</t>
        </is>
      </c>
      <c r="E516" t="inlineStr">
        <is>
          <t>LUDVIKA</t>
        </is>
      </c>
      <c r="F516" t="inlineStr">
        <is>
          <t>Bergvik skog väst AB</t>
        </is>
      </c>
      <c r="G516" t="n">
        <v>10</v>
      </c>
      <c r="H516" t="n">
        <v>0</v>
      </c>
      <c r="I516" t="n">
        <v>0</v>
      </c>
      <c r="J516" t="n">
        <v>0</v>
      </c>
      <c r="K516" t="n">
        <v>0</v>
      </c>
      <c r="L516" t="n">
        <v>0</v>
      </c>
      <c r="M516" t="n">
        <v>0</v>
      </c>
      <c r="N516" t="n">
        <v>0</v>
      </c>
      <c r="O516" t="n">
        <v>0</v>
      </c>
      <c r="P516" t="n">
        <v>0</v>
      </c>
      <c r="Q516" t="n">
        <v>0</v>
      </c>
      <c r="R516" s="2" t="inlineStr"/>
    </row>
    <row r="517" ht="15" customHeight="1">
      <c r="A517" t="inlineStr">
        <is>
          <t>A 20764-2023</t>
        </is>
      </c>
      <c r="B517" s="1" t="n">
        <v>45058</v>
      </c>
      <c r="C517" s="1" t="n">
        <v>45588</v>
      </c>
      <c r="D517" t="inlineStr">
        <is>
          <t>DALARNAS LÄN</t>
        </is>
      </c>
      <c r="E517" t="inlineStr">
        <is>
          <t>LUDVIKA</t>
        </is>
      </c>
      <c r="F517" t="inlineStr">
        <is>
          <t>Bergvik skog väst AB</t>
        </is>
      </c>
      <c r="G517" t="n">
        <v>3.3</v>
      </c>
      <c r="H517" t="n">
        <v>0</v>
      </c>
      <c r="I517" t="n">
        <v>0</v>
      </c>
      <c r="J517" t="n">
        <v>0</v>
      </c>
      <c r="K517" t="n">
        <v>0</v>
      </c>
      <c r="L517" t="n">
        <v>0</v>
      </c>
      <c r="M517" t="n">
        <v>0</v>
      </c>
      <c r="N517" t="n">
        <v>0</v>
      </c>
      <c r="O517" t="n">
        <v>0</v>
      </c>
      <c r="P517" t="n">
        <v>0</v>
      </c>
      <c r="Q517" t="n">
        <v>0</v>
      </c>
      <c r="R517" s="2" t="inlineStr"/>
    </row>
    <row r="518" ht="15" customHeight="1">
      <c r="A518" t="inlineStr">
        <is>
          <t>A 21145-2023</t>
        </is>
      </c>
      <c r="B518" s="1" t="n">
        <v>45062</v>
      </c>
      <c r="C518" s="1" t="n">
        <v>45588</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21152-2023</t>
        </is>
      </c>
      <c r="B519" s="1" t="n">
        <v>45062</v>
      </c>
      <c r="C519" s="1" t="n">
        <v>45588</v>
      </c>
      <c r="D519" t="inlineStr">
        <is>
          <t>DALARNAS LÄN</t>
        </is>
      </c>
      <c r="E519" t="inlineStr">
        <is>
          <t>LUDVIKA</t>
        </is>
      </c>
      <c r="F519" t="inlineStr">
        <is>
          <t>Bergvik skog väst AB</t>
        </is>
      </c>
      <c r="G519" t="n">
        <v>13.6</v>
      </c>
      <c r="H519" t="n">
        <v>0</v>
      </c>
      <c r="I519" t="n">
        <v>0</v>
      </c>
      <c r="J519" t="n">
        <v>0</v>
      </c>
      <c r="K519" t="n">
        <v>0</v>
      </c>
      <c r="L519" t="n">
        <v>0</v>
      </c>
      <c r="M519" t="n">
        <v>0</v>
      </c>
      <c r="N519" t="n">
        <v>0</v>
      </c>
      <c r="O519" t="n">
        <v>0</v>
      </c>
      <c r="P519" t="n">
        <v>0</v>
      </c>
      <c r="Q519" t="n">
        <v>0</v>
      </c>
      <c r="R519" s="2" t="inlineStr"/>
    </row>
    <row r="520" ht="15" customHeight="1">
      <c r="A520" t="inlineStr">
        <is>
          <t>A 21297-2023</t>
        </is>
      </c>
      <c r="B520" s="1" t="n">
        <v>45062</v>
      </c>
      <c r="C520" s="1" t="n">
        <v>45588</v>
      </c>
      <c r="D520" t="inlineStr">
        <is>
          <t>DALARNAS LÄN</t>
        </is>
      </c>
      <c r="E520" t="inlineStr">
        <is>
          <t>LUDVIKA</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21247-2023</t>
        </is>
      </c>
      <c r="B521" s="1" t="n">
        <v>45062</v>
      </c>
      <c r="C521" s="1" t="n">
        <v>45588</v>
      </c>
      <c r="D521" t="inlineStr">
        <is>
          <t>DALARNAS LÄN</t>
        </is>
      </c>
      <c r="E521" t="inlineStr">
        <is>
          <t>LUDVIKA</t>
        </is>
      </c>
      <c r="F521" t="inlineStr">
        <is>
          <t>Bergvik skog väst AB</t>
        </is>
      </c>
      <c r="G521" t="n">
        <v>2.4</v>
      </c>
      <c r="H521" t="n">
        <v>0</v>
      </c>
      <c r="I521" t="n">
        <v>0</v>
      </c>
      <c r="J521" t="n">
        <v>0</v>
      </c>
      <c r="K521" t="n">
        <v>0</v>
      </c>
      <c r="L521" t="n">
        <v>0</v>
      </c>
      <c r="M521" t="n">
        <v>0</v>
      </c>
      <c r="N521" t="n">
        <v>0</v>
      </c>
      <c r="O521" t="n">
        <v>0</v>
      </c>
      <c r="P521" t="n">
        <v>0</v>
      </c>
      <c r="Q521" t="n">
        <v>0</v>
      </c>
      <c r="R521" s="2" t="inlineStr"/>
    </row>
    <row r="522" ht="15" customHeight="1">
      <c r="A522" t="inlineStr">
        <is>
          <t>A 21539-2023</t>
        </is>
      </c>
      <c r="B522" s="1" t="n">
        <v>45063</v>
      </c>
      <c r="C522" s="1" t="n">
        <v>45588</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21370-2023</t>
        </is>
      </c>
      <c r="B523" s="1" t="n">
        <v>45063</v>
      </c>
      <c r="C523" s="1" t="n">
        <v>45588</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21369-2023</t>
        </is>
      </c>
      <c r="B524" s="1" t="n">
        <v>45063</v>
      </c>
      <c r="C524" s="1" t="n">
        <v>45588</v>
      </c>
      <c r="D524" t="inlineStr">
        <is>
          <t>DALARNAS LÄN</t>
        </is>
      </c>
      <c r="E524" t="inlineStr">
        <is>
          <t>LUDVIKA</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21554-2023</t>
        </is>
      </c>
      <c r="B525" s="1" t="n">
        <v>45063</v>
      </c>
      <c r="C525" s="1" t="n">
        <v>45588</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21548-2023</t>
        </is>
      </c>
      <c r="B526" s="1" t="n">
        <v>45063</v>
      </c>
      <c r="C526" s="1" t="n">
        <v>45588</v>
      </c>
      <c r="D526" t="inlineStr">
        <is>
          <t>DALARNAS LÄN</t>
        </is>
      </c>
      <c r="E526" t="inlineStr">
        <is>
          <t>LUDVIKA</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21551-2023</t>
        </is>
      </c>
      <c r="B527" s="1" t="n">
        <v>45063</v>
      </c>
      <c r="C527" s="1" t="n">
        <v>45588</v>
      </c>
      <c r="D527" t="inlineStr">
        <is>
          <t>DALARNAS LÄN</t>
        </is>
      </c>
      <c r="E527" t="inlineStr">
        <is>
          <t>LUDVIKA</t>
        </is>
      </c>
      <c r="G527" t="n">
        <v>8.4</v>
      </c>
      <c r="H527" t="n">
        <v>0</v>
      </c>
      <c r="I527" t="n">
        <v>0</v>
      </c>
      <c r="J527" t="n">
        <v>0</v>
      </c>
      <c r="K527" t="n">
        <v>0</v>
      </c>
      <c r="L527" t="n">
        <v>0</v>
      </c>
      <c r="M527" t="n">
        <v>0</v>
      </c>
      <c r="N527" t="n">
        <v>0</v>
      </c>
      <c r="O527" t="n">
        <v>0</v>
      </c>
      <c r="P527" t="n">
        <v>0</v>
      </c>
      <c r="Q527" t="n">
        <v>0</v>
      </c>
      <c r="R527" s="2" t="inlineStr"/>
    </row>
    <row r="528" ht="15" customHeight="1">
      <c r="A528" t="inlineStr">
        <is>
          <t>A 21598-2023</t>
        </is>
      </c>
      <c r="B528" s="1" t="n">
        <v>45063</v>
      </c>
      <c r="C528" s="1" t="n">
        <v>45588</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21649-2023</t>
        </is>
      </c>
      <c r="B529" s="1" t="n">
        <v>45063</v>
      </c>
      <c r="C529" s="1" t="n">
        <v>45588</v>
      </c>
      <c r="D529" t="inlineStr">
        <is>
          <t>DALARNAS LÄN</t>
        </is>
      </c>
      <c r="E529" t="inlineStr">
        <is>
          <t>LUDVIKA</t>
        </is>
      </c>
      <c r="F529" t="inlineStr">
        <is>
          <t>Bergvik skog väst AB</t>
        </is>
      </c>
      <c r="G529" t="n">
        <v>10.3</v>
      </c>
      <c r="H529" t="n">
        <v>0</v>
      </c>
      <c r="I529" t="n">
        <v>0</v>
      </c>
      <c r="J529" t="n">
        <v>0</v>
      </c>
      <c r="K529" t="n">
        <v>0</v>
      </c>
      <c r="L529" t="n">
        <v>0</v>
      </c>
      <c r="M529" t="n">
        <v>0</v>
      </c>
      <c r="N529" t="n">
        <v>0</v>
      </c>
      <c r="O529" t="n">
        <v>0</v>
      </c>
      <c r="P529" t="n">
        <v>0</v>
      </c>
      <c r="Q529" t="n">
        <v>0</v>
      </c>
      <c r="R529" s="2" t="inlineStr"/>
    </row>
    <row r="530" ht="15" customHeight="1">
      <c r="A530" t="inlineStr">
        <is>
          <t>A 21843-2023</t>
        </is>
      </c>
      <c r="B530" s="1" t="n">
        <v>45068</v>
      </c>
      <c r="C530" s="1" t="n">
        <v>45588</v>
      </c>
      <c r="D530" t="inlineStr">
        <is>
          <t>DALARNAS LÄN</t>
        </is>
      </c>
      <c r="E530" t="inlineStr">
        <is>
          <t>LUDVIKA</t>
        </is>
      </c>
      <c r="G530" t="n">
        <v>4.3</v>
      </c>
      <c r="H530" t="n">
        <v>0</v>
      </c>
      <c r="I530" t="n">
        <v>0</v>
      </c>
      <c r="J530" t="n">
        <v>0</v>
      </c>
      <c r="K530" t="n">
        <v>0</v>
      </c>
      <c r="L530" t="n">
        <v>0</v>
      </c>
      <c r="M530" t="n">
        <v>0</v>
      </c>
      <c r="N530" t="n">
        <v>0</v>
      </c>
      <c r="O530" t="n">
        <v>0</v>
      </c>
      <c r="P530" t="n">
        <v>0</v>
      </c>
      <c r="Q530" t="n">
        <v>0</v>
      </c>
      <c r="R530" s="2" t="inlineStr"/>
    </row>
    <row r="531" ht="15" customHeight="1">
      <c r="A531" t="inlineStr">
        <is>
          <t>A 21842-2023</t>
        </is>
      </c>
      <c r="B531" s="1" t="n">
        <v>45068</v>
      </c>
      <c r="C531" s="1" t="n">
        <v>45588</v>
      </c>
      <c r="D531" t="inlineStr">
        <is>
          <t>DALARNAS LÄN</t>
        </is>
      </c>
      <c r="E531" t="inlineStr">
        <is>
          <t>LUDVIKA</t>
        </is>
      </c>
      <c r="G531" t="n">
        <v>3.5</v>
      </c>
      <c r="H531" t="n">
        <v>0</v>
      </c>
      <c r="I531" t="n">
        <v>0</v>
      </c>
      <c r="J531" t="n">
        <v>0</v>
      </c>
      <c r="K531" t="n">
        <v>0</v>
      </c>
      <c r="L531" t="n">
        <v>0</v>
      </c>
      <c r="M531" t="n">
        <v>0</v>
      </c>
      <c r="N531" t="n">
        <v>0</v>
      </c>
      <c r="O531" t="n">
        <v>0</v>
      </c>
      <c r="P531" t="n">
        <v>0</v>
      </c>
      <c r="Q531" t="n">
        <v>0</v>
      </c>
      <c r="R531" s="2" t="inlineStr"/>
    </row>
    <row r="532" ht="15" customHeight="1">
      <c r="A532" t="inlineStr">
        <is>
          <t>A 21870-2023</t>
        </is>
      </c>
      <c r="B532" s="1" t="n">
        <v>45068</v>
      </c>
      <c r="C532" s="1" t="n">
        <v>45588</v>
      </c>
      <c r="D532" t="inlineStr">
        <is>
          <t>DALARNAS LÄN</t>
        </is>
      </c>
      <c r="E532" t="inlineStr">
        <is>
          <t>LUDVIKA</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21841-2023</t>
        </is>
      </c>
      <c r="B533" s="1" t="n">
        <v>45068</v>
      </c>
      <c r="C533" s="1" t="n">
        <v>45588</v>
      </c>
      <c r="D533" t="inlineStr">
        <is>
          <t>DALARNAS LÄN</t>
        </is>
      </c>
      <c r="E533" t="inlineStr">
        <is>
          <t>LUDVIKA</t>
        </is>
      </c>
      <c r="G533" t="n">
        <v>4.5</v>
      </c>
      <c r="H533" t="n">
        <v>0</v>
      </c>
      <c r="I533" t="n">
        <v>0</v>
      </c>
      <c r="J533" t="n">
        <v>0</v>
      </c>
      <c r="K533" t="n">
        <v>0</v>
      </c>
      <c r="L533" t="n">
        <v>0</v>
      </c>
      <c r="M533" t="n">
        <v>0</v>
      </c>
      <c r="N533" t="n">
        <v>0</v>
      </c>
      <c r="O533" t="n">
        <v>0</v>
      </c>
      <c r="P533" t="n">
        <v>0</v>
      </c>
      <c r="Q533" t="n">
        <v>0</v>
      </c>
      <c r="R533" s="2" t="inlineStr"/>
    </row>
    <row r="534" ht="15" customHeight="1">
      <c r="A534" t="inlineStr">
        <is>
          <t>A 21933-2023</t>
        </is>
      </c>
      <c r="B534" s="1" t="n">
        <v>45068</v>
      </c>
      <c r="C534" s="1" t="n">
        <v>45588</v>
      </c>
      <c r="D534" t="inlineStr">
        <is>
          <t>DALARNAS LÄN</t>
        </is>
      </c>
      <c r="E534" t="inlineStr">
        <is>
          <t>LUDVIKA</t>
        </is>
      </c>
      <c r="F534" t="inlineStr">
        <is>
          <t>Bergvik skog väst AB</t>
        </is>
      </c>
      <c r="G534" t="n">
        <v>12.5</v>
      </c>
      <c r="H534" t="n">
        <v>0</v>
      </c>
      <c r="I534" t="n">
        <v>0</v>
      </c>
      <c r="J534" t="n">
        <v>0</v>
      </c>
      <c r="K534" t="n">
        <v>0</v>
      </c>
      <c r="L534" t="n">
        <v>0</v>
      </c>
      <c r="M534" t="n">
        <v>0</v>
      </c>
      <c r="N534" t="n">
        <v>0</v>
      </c>
      <c r="O534" t="n">
        <v>0</v>
      </c>
      <c r="P534" t="n">
        <v>0</v>
      </c>
      <c r="Q534" t="n">
        <v>0</v>
      </c>
      <c r="R534" s="2" t="inlineStr"/>
    </row>
    <row r="535" ht="15" customHeight="1">
      <c r="A535" t="inlineStr">
        <is>
          <t>A 22149-2023</t>
        </is>
      </c>
      <c r="B535" s="1" t="n">
        <v>45069</v>
      </c>
      <c r="C535" s="1" t="n">
        <v>45588</v>
      </c>
      <c r="D535" t="inlineStr">
        <is>
          <t>DALARNAS LÄN</t>
        </is>
      </c>
      <c r="E535" t="inlineStr">
        <is>
          <t>LUDVIKA</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22151-2023</t>
        </is>
      </c>
      <c r="B536" s="1" t="n">
        <v>45069</v>
      </c>
      <c r="C536" s="1" t="n">
        <v>45588</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22286-2023</t>
        </is>
      </c>
      <c r="B537" s="1" t="n">
        <v>45070</v>
      </c>
      <c r="C537" s="1" t="n">
        <v>45588</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22306-2023</t>
        </is>
      </c>
      <c r="B538" s="1" t="n">
        <v>45070</v>
      </c>
      <c r="C538" s="1" t="n">
        <v>45588</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22375-2023</t>
        </is>
      </c>
      <c r="B539" s="1" t="n">
        <v>45070</v>
      </c>
      <c r="C539" s="1" t="n">
        <v>45588</v>
      </c>
      <c r="D539" t="inlineStr">
        <is>
          <t>DALARNAS LÄN</t>
        </is>
      </c>
      <c r="E539" t="inlineStr">
        <is>
          <t>LUDVIKA</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22420-2023</t>
        </is>
      </c>
      <c r="B540" s="1" t="n">
        <v>45070</v>
      </c>
      <c r="C540" s="1" t="n">
        <v>45588</v>
      </c>
      <c r="D540" t="inlineStr">
        <is>
          <t>DALARNAS LÄN</t>
        </is>
      </c>
      <c r="E540" t="inlineStr">
        <is>
          <t>LUDVIKA</t>
        </is>
      </c>
      <c r="F540" t="inlineStr">
        <is>
          <t>Bergvik skog väst AB</t>
        </is>
      </c>
      <c r="G540" t="n">
        <v>6.5</v>
      </c>
      <c r="H540" t="n">
        <v>0</v>
      </c>
      <c r="I540" t="n">
        <v>0</v>
      </c>
      <c r="J540" t="n">
        <v>0</v>
      </c>
      <c r="K540" t="n">
        <v>0</v>
      </c>
      <c r="L540" t="n">
        <v>0</v>
      </c>
      <c r="M540" t="n">
        <v>0</v>
      </c>
      <c r="N540" t="n">
        <v>0</v>
      </c>
      <c r="O540" t="n">
        <v>0</v>
      </c>
      <c r="P540" t="n">
        <v>0</v>
      </c>
      <c r="Q540" t="n">
        <v>0</v>
      </c>
      <c r="R540" s="2" t="inlineStr"/>
    </row>
    <row r="541" ht="15" customHeight="1">
      <c r="A541" t="inlineStr">
        <is>
          <t>A 22555-2023</t>
        </is>
      </c>
      <c r="B541" s="1" t="n">
        <v>45071</v>
      </c>
      <c r="C541" s="1" t="n">
        <v>45588</v>
      </c>
      <c r="D541" t="inlineStr">
        <is>
          <t>DALARNAS LÄN</t>
        </is>
      </c>
      <c r="E541" t="inlineStr">
        <is>
          <t>LUDVIKA</t>
        </is>
      </c>
      <c r="F541" t="inlineStr">
        <is>
          <t>Bergvik skog väst AB</t>
        </is>
      </c>
      <c r="G541" t="n">
        <v>6</v>
      </c>
      <c r="H541" t="n">
        <v>0</v>
      </c>
      <c r="I541" t="n">
        <v>0</v>
      </c>
      <c r="J541" t="n">
        <v>0</v>
      </c>
      <c r="K541" t="n">
        <v>0</v>
      </c>
      <c r="L541" t="n">
        <v>0</v>
      </c>
      <c r="M541" t="n">
        <v>0</v>
      </c>
      <c r="N541" t="n">
        <v>0</v>
      </c>
      <c r="O541" t="n">
        <v>0</v>
      </c>
      <c r="P541" t="n">
        <v>0</v>
      </c>
      <c r="Q541" t="n">
        <v>0</v>
      </c>
      <c r="R541" s="2" t="inlineStr"/>
    </row>
    <row r="542" ht="15" customHeight="1">
      <c r="A542" t="inlineStr">
        <is>
          <t>A 23999-2023</t>
        </is>
      </c>
      <c r="B542" s="1" t="n">
        <v>45078</v>
      </c>
      <c r="C542" s="1" t="n">
        <v>45588</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24224-2023</t>
        </is>
      </c>
      <c r="B543" s="1" t="n">
        <v>45079</v>
      </c>
      <c r="C543" s="1" t="n">
        <v>45588</v>
      </c>
      <c r="D543" t="inlineStr">
        <is>
          <t>DALARNAS LÄN</t>
        </is>
      </c>
      <c r="E543" t="inlineStr">
        <is>
          <t>LUDVIKA</t>
        </is>
      </c>
      <c r="F543" t="inlineStr">
        <is>
          <t>Bergvik skog väst AB</t>
        </is>
      </c>
      <c r="G543" t="n">
        <v>12.1</v>
      </c>
      <c r="H543" t="n">
        <v>0</v>
      </c>
      <c r="I543" t="n">
        <v>0</v>
      </c>
      <c r="J543" t="n">
        <v>0</v>
      </c>
      <c r="K543" t="n">
        <v>0</v>
      </c>
      <c r="L543" t="n">
        <v>0</v>
      </c>
      <c r="M543" t="n">
        <v>0</v>
      </c>
      <c r="N543" t="n">
        <v>0</v>
      </c>
      <c r="O543" t="n">
        <v>0</v>
      </c>
      <c r="P543" t="n">
        <v>0</v>
      </c>
      <c r="Q543" t="n">
        <v>0</v>
      </c>
      <c r="R543" s="2" t="inlineStr"/>
    </row>
    <row r="544" ht="15" customHeight="1">
      <c r="A544" t="inlineStr">
        <is>
          <t>A 24256-2023</t>
        </is>
      </c>
      <c r="B544" s="1" t="n">
        <v>45079</v>
      </c>
      <c r="C544" s="1" t="n">
        <v>45588</v>
      </c>
      <c r="D544" t="inlineStr">
        <is>
          <t>DALARNAS LÄN</t>
        </is>
      </c>
      <c r="E544" t="inlineStr">
        <is>
          <t>LUDVIKA</t>
        </is>
      </c>
      <c r="F544" t="inlineStr">
        <is>
          <t>Bergvik skog väst AB</t>
        </is>
      </c>
      <c r="G544" t="n">
        <v>10.9</v>
      </c>
      <c r="H544" t="n">
        <v>0</v>
      </c>
      <c r="I544" t="n">
        <v>0</v>
      </c>
      <c r="J544" t="n">
        <v>0</v>
      </c>
      <c r="K544" t="n">
        <v>0</v>
      </c>
      <c r="L544" t="n">
        <v>0</v>
      </c>
      <c r="M544" t="n">
        <v>0</v>
      </c>
      <c r="N544" t="n">
        <v>0</v>
      </c>
      <c r="O544" t="n">
        <v>0</v>
      </c>
      <c r="P544" t="n">
        <v>0</v>
      </c>
      <c r="Q544" t="n">
        <v>0</v>
      </c>
      <c r="R544" s="2" t="inlineStr"/>
    </row>
    <row r="545" ht="15" customHeight="1">
      <c r="A545" t="inlineStr">
        <is>
          <t>A 24379-2023</t>
        </is>
      </c>
      <c r="B545" s="1" t="n">
        <v>45082</v>
      </c>
      <c r="C545" s="1" t="n">
        <v>45588</v>
      </c>
      <c r="D545" t="inlineStr">
        <is>
          <t>DALARNAS LÄN</t>
        </is>
      </c>
      <c r="E545" t="inlineStr">
        <is>
          <t>LUDVIKA</t>
        </is>
      </c>
      <c r="F545" t="inlineStr">
        <is>
          <t>Naturvårdsverket</t>
        </is>
      </c>
      <c r="G545" t="n">
        <v>2.1</v>
      </c>
      <c r="H545" t="n">
        <v>0</v>
      </c>
      <c r="I545" t="n">
        <v>0</v>
      </c>
      <c r="J545" t="n">
        <v>0</v>
      </c>
      <c r="K545" t="n">
        <v>0</v>
      </c>
      <c r="L545" t="n">
        <v>0</v>
      </c>
      <c r="M545" t="n">
        <v>0</v>
      </c>
      <c r="N545" t="n">
        <v>0</v>
      </c>
      <c r="O545" t="n">
        <v>0</v>
      </c>
      <c r="P545" t="n">
        <v>0</v>
      </c>
      <c r="Q545" t="n">
        <v>0</v>
      </c>
      <c r="R545" s="2" t="inlineStr"/>
    </row>
    <row r="546" ht="15" customHeight="1">
      <c r="A546" t="inlineStr">
        <is>
          <t>A 24469-2023</t>
        </is>
      </c>
      <c r="B546" s="1" t="n">
        <v>45082</v>
      </c>
      <c r="C546" s="1" t="n">
        <v>45588</v>
      </c>
      <c r="D546" t="inlineStr">
        <is>
          <t>DALARNAS LÄN</t>
        </is>
      </c>
      <c r="E546" t="inlineStr">
        <is>
          <t>LUDVIKA</t>
        </is>
      </c>
      <c r="F546" t="inlineStr">
        <is>
          <t>Naturvårdsverket</t>
        </is>
      </c>
      <c r="G546" t="n">
        <v>4</v>
      </c>
      <c r="H546" t="n">
        <v>0</v>
      </c>
      <c r="I546" t="n">
        <v>0</v>
      </c>
      <c r="J546" t="n">
        <v>0</v>
      </c>
      <c r="K546" t="n">
        <v>0</v>
      </c>
      <c r="L546" t="n">
        <v>0</v>
      </c>
      <c r="M546" t="n">
        <v>0</v>
      </c>
      <c r="N546" t="n">
        <v>0</v>
      </c>
      <c r="O546" t="n">
        <v>0</v>
      </c>
      <c r="P546" t="n">
        <v>0</v>
      </c>
      <c r="Q546" t="n">
        <v>0</v>
      </c>
      <c r="R546" s="2" t="inlineStr"/>
    </row>
    <row r="547" ht="15" customHeight="1">
      <c r="A547" t="inlineStr">
        <is>
          <t>A 24612-2023</t>
        </is>
      </c>
      <c r="B547" s="1" t="n">
        <v>45084</v>
      </c>
      <c r="C547" s="1" t="n">
        <v>45588</v>
      </c>
      <c r="D547" t="inlineStr">
        <is>
          <t>DALARNAS LÄN</t>
        </is>
      </c>
      <c r="E547" t="inlineStr">
        <is>
          <t>LUDVIKA</t>
        </is>
      </c>
      <c r="F547" t="inlineStr">
        <is>
          <t>Bergvik skog väst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25077-2023</t>
        </is>
      </c>
      <c r="B548" s="1" t="n">
        <v>45086</v>
      </c>
      <c r="C548" s="1" t="n">
        <v>45588</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25099-2023</t>
        </is>
      </c>
      <c r="B549" s="1" t="n">
        <v>45086</v>
      </c>
      <c r="C549" s="1" t="n">
        <v>45588</v>
      </c>
      <c r="D549" t="inlineStr">
        <is>
          <t>DALARNAS LÄN</t>
        </is>
      </c>
      <c r="E549" t="inlineStr">
        <is>
          <t>LUDVIKA</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25624-2023</t>
        </is>
      </c>
      <c r="B550" s="1" t="n">
        <v>45089</v>
      </c>
      <c r="C550" s="1" t="n">
        <v>45588</v>
      </c>
      <c r="D550" t="inlineStr">
        <is>
          <t>DALARNAS LÄN</t>
        </is>
      </c>
      <c r="E550" t="inlineStr">
        <is>
          <t>LUDVIKA</t>
        </is>
      </c>
      <c r="F550" t="inlineStr">
        <is>
          <t>Bergvik skog väst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26147-2023</t>
        </is>
      </c>
      <c r="B551" s="1" t="n">
        <v>45091</v>
      </c>
      <c r="C551" s="1" t="n">
        <v>45588</v>
      </c>
      <c r="D551" t="inlineStr">
        <is>
          <t>DALARNAS LÄN</t>
        </is>
      </c>
      <c r="E551" t="inlineStr">
        <is>
          <t>LUDVIKA</t>
        </is>
      </c>
      <c r="F551" t="inlineStr">
        <is>
          <t>Naturvårdsverket</t>
        </is>
      </c>
      <c r="G551" t="n">
        <v>4.1</v>
      </c>
      <c r="H551" t="n">
        <v>0</v>
      </c>
      <c r="I551" t="n">
        <v>0</v>
      </c>
      <c r="J551" t="n">
        <v>0</v>
      </c>
      <c r="K551" t="n">
        <v>0</v>
      </c>
      <c r="L551" t="n">
        <v>0</v>
      </c>
      <c r="M551" t="n">
        <v>0</v>
      </c>
      <c r="N551" t="n">
        <v>0</v>
      </c>
      <c r="O551" t="n">
        <v>0</v>
      </c>
      <c r="P551" t="n">
        <v>0</v>
      </c>
      <c r="Q551" t="n">
        <v>0</v>
      </c>
      <c r="R551" s="2" t="inlineStr"/>
    </row>
    <row r="552" ht="15" customHeight="1">
      <c r="A552" t="inlineStr">
        <is>
          <t>A 26766-2023</t>
        </is>
      </c>
      <c r="B552" s="1" t="n">
        <v>45093</v>
      </c>
      <c r="C552" s="1" t="n">
        <v>45588</v>
      </c>
      <c r="D552" t="inlineStr">
        <is>
          <t>DALARNAS LÄN</t>
        </is>
      </c>
      <c r="E552" t="inlineStr">
        <is>
          <t>LUDVIKA</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26884-2023</t>
        </is>
      </c>
      <c r="B553" s="1" t="n">
        <v>45093</v>
      </c>
      <c r="C553" s="1" t="n">
        <v>45588</v>
      </c>
      <c r="D553" t="inlineStr">
        <is>
          <t>DALARNAS LÄN</t>
        </is>
      </c>
      <c r="E553" t="inlineStr">
        <is>
          <t>LUDVIKA</t>
        </is>
      </c>
      <c r="F553" t="inlineStr">
        <is>
          <t>Naturvårdsverket</t>
        </is>
      </c>
      <c r="G553" t="n">
        <v>3.5</v>
      </c>
      <c r="H553" t="n">
        <v>0</v>
      </c>
      <c r="I553" t="n">
        <v>0</v>
      </c>
      <c r="J553" t="n">
        <v>0</v>
      </c>
      <c r="K553" t="n">
        <v>0</v>
      </c>
      <c r="L553" t="n">
        <v>0</v>
      </c>
      <c r="M553" t="n">
        <v>0</v>
      </c>
      <c r="N553" t="n">
        <v>0</v>
      </c>
      <c r="O553" t="n">
        <v>0</v>
      </c>
      <c r="P553" t="n">
        <v>0</v>
      </c>
      <c r="Q553" t="n">
        <v>0</v>
      </c>
      <c r="R553" s="2" t="inlineStr"/>
    </row>
    <row r="554" ht="15" customHeight="1">
      <c r="A554" t="inlineStr">
        <is>
          <t>A 26789-2023</t>
        </is>
      </c>
      <c r="B554" s="1" t="n">
        <v>45093</v>
      </c>
      <c r="C554" s="1" t="n">
        <v>45588</v>
      </c>
      <c r="D554" t="inlineStr">
        <is>
          <t>DALARNAS LÄN</t>
        </is>
      </c>
      <c r="E554" t="inlineStr">
        <is>
          <t>LUDVIKA</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27870-2023</t>
        </is>
      </c>
      <c r="B555" s="1" t="n">
        <v>45098</v>
      </c>
      <c r="C555" s="1" t="n">
        <v>45588</v>
      </c>
      <c r="D555" t="inlineStr">
        <is>
          <t>DALARNAS LÄN</t>
        </is>
      </c>
      <c r="E555" t="inlineStr">
        <is>
          <t>LUDVIKA</t>
        </is>
      </c>
      <c r="F555" t="inlineStr">
        <is>
          <t>Bergvik skog väst AB</t>
        </is>
      </c>
      <c r="G555" t="n">
        <v>24.7</v>
      </c>
      <c r="H555" t="n">
        <v>0</v>
      </c>
      <c r="I555" t="n">
        <v>0</v>
      </c>
      <c r="J555" t="n">
        <v>0</v>
      </c>
      <c r="K555" t="n">
        <v>0</v>
      </c>
      <c r="L555" t="n">
        <v>0</v>
      </c>
      <c r="M555" t="n">
        <v>0</v>
      </c>
      <c r="N555" t="n">
        <v>0</v>
      </c>
      <c r="O555" t="n">
        <v>0</v>
      </c>
      <c r="P555" t="n">
        <v>0</v>
      </c>
      <c r="Q555" t="n">
        <v>0</v>
      </c>
      <c r="R555" s="2" t="inlineStr"/>
    </row>
    <row r="556" ht="15" customHeight="1">
      <c r="A556" t="inlineStr">
        <is>
          <t>A 27917-2023</t>
        </is>
      </c>
      <c r="B556" s="1" t="n">
        <v>45098</v>
      </c>
      <c r="C556" s="1" t="n">
        <v>45588</v>
      </c>
      <c r="D556" t="inlineStr">
        <is>
          <t>DALARNAS LÄN</t>
        </is>
      </c>
      <c r="E556" t="inlineStr">
        <is>
          <t>LUDVIKA</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27954-2023</t>
        </is>
      </c>
      <c r="B557" s="1" t="n">
        <v>45098</v>
      </c>
      <c r="C557" s="1" t="n">
        <v>45588</v>
      </c>
      <c r="D557" t="inlineStr">
        <is>
          <t>DALARNAS LÄN</t>
        </is>
      </c>
      <c r="E557" t="inlineStr">
        <is>
          <t>LUDVIKA</t>
        </is>
      </c>
      <c r="F557" t="inlineStr">
        <is>
          <t>Bergvik skog väst AB</t>
        </is>
      </c>
      <c r="G557" t="n">
        <v>6.2</v>
      </c>
      <c r="H557" t="n">
        <v>0</v>
      </c>
      <c r="I557" t="n">
        <v>0</v>
      </c>
      <c r="J557" t="n">
        <v>0</v>
      </c>
      <c r="K557" t="n">
        <v>0</v>
      </c>
      <c r="L557" t="n">
        <v>0</v>
      </c>
      <c r="M557" t="n">
        <v>0</v>
      </c>
      <c r="N557" t="n">
        <v>0</v>
      </c>
      <c r="O557" t="n">
        <v>0</v>
      </c>
      <c r="P557" t="n">
        <v>0</v>
      </c>
      <c r="Q557" t="n">
        <v>0</v>
      </c>
      <c r="R557" s="2" t="inlineStr"/>
    </row>
    <row r="558" ht="15" customHeight="1">
      <c r="A558" t="inlineStr">
        <is>
          <t>A 27929-2023</t>
        </is>
      </c>
      <c r="B558" s="1" t="n">
        <v>45098</v>
      </c>
      <c r="C558" s="1" t="n">
        <v>45588</v>
      </c>
      <c r="D558" t="inlineStr">
        <is>
          <t>DALARNAS LÄN</t>
        </is>
      </c>
      <c r="E558" t="inlineStr">
        <is>
          <t>LUDVIKA</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28144-2023</t>
        </is>
      </c>
      <c r="B559" s="1" t="n">
        <v>45099</v>
      </c>
      <c r="C559" s="1" t="n">
        <v>45588</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28134-2023</t>
        </is>
      </c>
      <c r="B560" s="1" t="n">
        <v>45099</v>
      </c>
      <c r="C560" s="1" t="n">
        <v>45588</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28125-2023</t>
        </is>
      </c>
      <c r="B561" s="1" t="n">
        <v>45099</v>
      </c>
      <c r="C561" s="1" t="n">
        <v>45588</v>
      </c>
      <c r="D561" t="inlineStr">
        <is>
          <t>DALARNAS LÄN</t>
        </is>
      </c>
      <c r="E561" t="inlineStr">
        <is>
          <t>LUDVIKA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28138-2023</t>
        </is>
      </c>
      <c r="B562" s="1" t="n">
        <v>45099</v>
      </c>
      <c r="C562" s="1" t="n">
        <v>45588</v>
      </c>
      <c r="D562" t="inlineStr">
        <is>
          <t>DALARNAS LÄN</t>
        </is>
      </c>
      <c r="E562" t="inlineStr">
        <is>
          <t>LUDVIKA</t>
        </is>
      </c>
      <c r="F562" t="inlineStr">
        <is>
          <t>Bergvik skog väst AB</t>
        </is>
      </c>
      <c r="G562" t="n">
        <v>2</v>
      </c>
      <c r="H562" t="n">
        <v>0</v>
      </c>
      <c r="I562" t="n">
        <v>0</v>
      </c>
      <c r="J562" t="n">
        <v>0</v>
      </c>
      <c r="K562" t="n">
        <v>0</v>
      </c>
      <c r="L562" t="n">
        <v>0</v>
      </c>
      <c r="M562" t="n">
        <v>0</v>
      </c>
      <c r="N562" t="n">
        <v>0</v>
      </c>
      <c r="O562" t="n">
        <v>0</v>
      </c>
      <c r="P562" t="n">
        <v>0</v>
      </c>
      <c r="Q562" t="n">
        <v>0</v>
      </c>
      <c r="R562" s="2" t="inlineStr"/>
    </row>
    <row r="563" ht="15" customHeight="1">
      <c r="A563" t="inlineStr">
        <is>
          <t>A 28157-2023</t>
        </is>
      </c>
      <c r="B563" s="1" t="n">
        <v>45099</v>
      </c>
      <c r="C563" s="1" t="n">
        <v>45588</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28141-2023</t>
        </is>
      </c>
      <c r="B564" s="1" t="n">
        <v>45099</v>
      </c>
      <c r="C564" s="1" t="n">
        <v>45588</v>
      </c>
      <c r="D564" t="inlineStr">
        <is>
          <t>DALARNAS LÄN</t>
        </is>
      </c>
      <c r="E564" t="inlineStr">
        <is>
          <t>LUDVIKA</t>
        </is>
      </c>
      <c r="F564" t="inlineStr">
        <is>
          <t>Bergvik skog väst AB</t>
        </is>
      </c>
      <c r="G564" t="n">
        <v>2.3</v>
      </c>
      <c r="H564" t="n">
        <v>0</v>
      </c>
      <c r="I564" t="n">
        <v>0</v>
      </c>
      <c r="J564" t="n">
        <v>0</v>
      </c>
      <c r="K564" t="n">
        <v>0</v>
      </c>
      <c r="L564" t="n">
        <v>0</v>
      </c>
      <c r="M564" t="n">
        <v>0</v>
      </c>
      <c r="N564" t="n">
        <v>0</v>
      </c>
      <c r="O564" t="n">
        <v>0</v>
      </c>
      <c r="P564" t="n">
        <v>0</v>
      </c>
      <c r="Q564" t="n">
        <v>0</v>
      </c>
      <c r="R564" s="2" t="inlineStr"/>
    </row>
    <row r="565" ht="15" customHeight="1">
      <c r="A565" t="inlineStr">
        <is>
          <t>A 28150-2023</t>
        </is>
      </c>
      <c r="B565" s="1" t="n">
        <v>45099</v>
      </c>
      <c r="C565" s="1" t="n">
        <v>45588</v>
      </c>
      <c r="D565" t="inlineStr">
        <is>
          <t>DALARNAS LÄN</t>
        </is>
      </c>
      <c r="E565" t="inlineStr">
        <is>
          <t>LUDVIKA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28507-2023</t>
        </is>
      </c>
      <c r="B566" s="1" t="n">
        <v>45103</v>
      </c>
      <c r="C566" s="1" t="n">
        <v>45588</v>
      </c>
      <c r="D566" t="inlineStr">
        <is>
          <t>DALARNAS LÄN</t>
        </is>
      </c>
      <c r="E566" t="inlineStr">
        <is>
          <t>LUDVIKA</t>
        </is>
      </c>
      <c r="G566" t="n">
        <v>2.4</v>
      </c>
      <c r="H566" t="n">
        <v>0</v>
      </c>
      <c r="I566" t="n">
        <v>0</v>
      </c>
      <c r="J566" t="n">
        <v>0</v>
      </c>
      <c r="K566" t="n">
        <v>0</v>
      </c>
      <c r="L566" t="n">
        <v>0</v>
      </c>
      <c r="M566" t="n">
        <v>0</v>
      </c>
      <c r="N566" t="n">
        <v>0</v>
      </c>
      <c r="O566" t="n">
        <v>0</v>
      </c>
      <c r="P566" t="n">
        <v>0</v>
      </c>
      <c r="Q566" t="n">
        <v>0</v>
      </c>
      <c r="R566" s="2" t="inlineStr"/>
    </row>
    <row r="567" ht="15" customHeight="1">
      <c r="A567" t="inlineStr">
        <is>
          <t>A 29242-2023</t>
        </is>
      </c>
      <c r="B567" s="1" t="n">
        <v>45105</v>
      </c>
      <c r="C567" s="1" t="n">
        <v>45588</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31702-2023</t>
        </is>
      </c>
      <c r="B568" s="1" t="n">
        <v>45105</v>
      </c>
      <c r="C568" s="1" t="n">
        <v>45588</v>
      </c>
      <c r="D568" t="inlineStr">
        <is>
          <t>DALARNAS LÄN</t>
        </is>
      </c>
      <c r="E568" t="inlineStr">
        <is>
          <t>LUDVIKA</t>
        </is>
      </c>
      <c r="G568" t="n">
        <v>2.3</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45588</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29666-2023</t>
        </is>
      </c>
      <c r="B570" s="1" t="n">
        <v>45107</v>
      </c>
      <c r="C570" s="1" t="n">
        <v>45588</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29698-2023</t>
        </is>
      </c>
      <c r="B571" s="1" t="n">
        <v>45107</v>
      </c>
      <c r="C571" s="1" t="n">
        <v>45588</v>
      </c>
      <c r="D571" t="inlineStr">
        <is>
          <t>DALARNAS LÄN</t>
        </is>
      </c>
      <c r="E571" t="inlineStr">
        <is>
          <t>LUDVIKA</t>
        </is>
      </c>
      <c r="G571" t="n">
        <v>2.7</v>
      </c>
      <c r="H571" t="n">
        <v>0</v>
      </c>
      <c r="I571" t="n">
        <v>0</v>
      </c>
      <c r="J571" t="n">
        <v>0</v>
      </c>
      <c r="K571" t="n">
        <v>0</v>
      </c>
      <c r="L571" t="n">
        <v>0</v>
      </c>
      <c r="M571" t="n">
        <v>0</v>
      </c>
      <c r="N571" t="n">
        <v>0</v>
      </c>
      <c r="O571" t="n">
        <v>0</v>
      </c>
      <c r="P571" t="n">
        <v>0</v>
      </c>
      <c r="Q571" t="n">
        <v>0</v>
      </c>
      <c r="R571" s="2" t="inlineStr"/>
    </row>
    <row r="572" ht="15" customHeight="1">
      <c r="A572" t="inlineStr">
        <is>
          <t>A 30113-2023</t>
        </is>
      </c>
      <c r="B572" s="1" t="n">
        <v>45110</v>
      </c>
      <c r="C572" s="1" t="n">
        <v>45588</v>
      </c>
      <c r="D572" t="inlineStr">
        <is>
          <t>DALARNAS LÄN</t>
        </is>
      </c>
      <c r="E572" t="inlineStr">
        <is>
          <t>LUDVIKA</t>
        </is>
      </c>
      <c r="G572" t="n">
        <v>3.3</v>
      </c>
      <c r="H572" t="n">
        <v>0</v>
      </c>
      <c r="I572" t="n">
        <v>0</v>
      </c>
      <c r="J572" t="n">
        <v>0</v>
      </c>
      <c r="K572" t="n">
        <v>0</v>
      </c>
      <c r="L572" t="n">
        <v>0</v>
      </c>
      <c r="M572" t="n">
        <v>0</v>
      </c>
      <c r="N572" t="n">
        <v>0</v>
      </c>
      <c r="O572" t="n">
        <v>0</v>
      </c>
      <c r="P572" t="n">
        <v>0</v>
      </c>
      <c r="Q572" t="n">
        <v>0</v>
      </c>
      <c r="R572" s="2" t="inlineStr"/>
    </row>
    <row r="573" ht="15" customHeight="1">
      <c r="A573" t="inlineStr">
        <is>
          <t>A 30123-2023</t>
        </is>
      </c>
      <c r="B573" s="1" t="n">
        <v>45110</v>
      </c>
      <c r="C573" s="1" t="n">
        <v>45588</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30127-2023</t>
        </is>
      </c>
      <c r="B574" s="1" t="n">
        <v>45110</v>
      </c>
      <c r="C574" s="1" t="n">
        <v>45588</v>
      </c>
      <c r="D574" t="inlineStr">
        <is>
          <t>DALARNAS LÄN</t>
        </is>
      </c>
      <c r="E574" t="inlineStr">
        <is>
          <t>LUDVIKA</t>
        </is>
      </c>
      <c r="G574" t="n">
        <v>1.1</v>
      </c>
      <c r="H574" t="n">
        <v>0</v>
      </c>
      <c r="I574" t="n">
        <v>0</v>
      </c>
      <c r="J574" t="n">
        <v>0</v>
      </c>
      <c r="K574" t="n">
        <v>0</v>
      </c>
      <c r="L574" t="n">
        <v>0</v>
      </c>
      <c r="M574" t="n">
        <v>0</v>
      </c>
      <c r="N574" t="n">
        <v>0</v>
      </c>
      <c r="O574" t="n">
        <v>0</v>
      </c>
      <c r="P574" t="n">
        <v>0</v>
      </c>
      <c r="Q574" t="n">
        <v>0</v>
      </c>
      <c r="R574" s="2" t="inlineStr"/>
    </row>
    <row r="575" ht="15" customHeight="1">
      <c r="A575" t="inlineStr">
        <is>
          <t>A 30581-2023</t>
        </is>
      </c>
      <c r="B575" s="1" t="n">
        <v>45112</v>
      </c>
      <c r="C575" s="1" t="n">
        <v>45588</v>
      </c>
      <c r="D575" t="inlineStr">
        <is>
          <t>DALARNAS LÄN</t>
        </is>
      </c>
      <c r="E575" t="inlineStr">
        <is>
          <t>LUDVIKA</t>
        </is>
      </c>
      <c r="F575" t="inlineStr">
        <is>
          <t>Bergvik skog väst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32852-2023</t>
        </is>
      </c>
      <c r="B576" s="1" t="n">
        <v>45112</v>
      </c>
      <c r="C576" s="1" t="n">
        <v>45588</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32854-2023</t>
        </is>
      </c>
      <c r="B577" s="1" t="n">
        <v>45112</v>
      </c>
      <c r="C577" s="1" t="n">
        <v>45588</v>
      </c>
      <c r="D577" t="inlineStr">
        <is>
          <t>DALARNAS LÄN</t>
        </is>
      </c>
      <c r="E577" t="inlineStr">
        <is>
          <t>LUDVIKA</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30892-2023</t>
        </is>
      </c>
      <c r="B578" s="1" t="n">
        <v>45113</v>
      </c>
      <c r="C578" s="1" t="n">
        <v>45588</v>
      </c>
      <c r="D578" t="inlineStr">
        <is>
          <t>DALARNAS LÄN</t>
        </is>
      </c>
      <c r="E578" t="inlineStr">
        <is>
          <t>LUDVIKA</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32995-2023</t>
        </is>
      </c>
      <c r="B579" s="1" t="n">
        <v>45113</v>
      </c>
      <c r="C579" s="1" t="n">
        <v>45588</v>
      </c>
      <c r="D579" t="inlineStr">
        <is>
          <t>DALARNAS LÄN</t>
        </is>
      </c>
      <c r="E579" t="inlineStr">
        <is>
          <t>LUDVIKA</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31353-2023</t>
        </is>
      </c>
      <c r="B580" s="1" t="n">
        <v>45114</v>
      </c>
      <c r="C580" s="1" t="n">
        <v>45588</v>
      </c>
      <c r="D580" t="inlineStr">
        <is>
          <t>DALARNAS LÄN</t>
        </is>
      </c>
      <c r="E580" t="inlineStr">
        <is>
          <t>LUDVIKA</t>
        </is>
      </c>
      <c r="F580" t="inlineStr">
        <is>
          <t>Naturvårdsverket</t>
        </is>
      </c>
      <c r="G580" t="n">
        <v>2.5</v>
      </c>
      <c r="H580" t="n">
        <v>0</v>
      </c>
      <c r="I580" t="n">
        <v>0</v>
      </c>
      <c r="J580" t="n">
        <v>0</v>
      </c>
      <c r="K580" t="n">
        <v>0</v>
      </c>
      <c r="L580" t="n">
        <v>0</v>
      </c>
      <c r="M580" t="n">
        <v>0</v>
      </c>
      <c r="N580" t="n">
        <v>0</v>
      </c>
      <c r="O580" t="n">
        <v>0</v>
      </c>
      <c r="P580" t="n">
        <v>0</v>
      </c>
      <c r="Q580" t="n">
        <v>0</v>
      </c>
      <c r="R580" s="2" t="inlineStr"/>
    </row>
    <row r="581" ht="15" customHeight="1">
      <c r="A581" t="inlineStr">
        <is>
          <t>A 31478-2023</t>
        </is>
      </c>
      <c r="B581" s="1" t="n">
        <v>45114</v>
      </c>
      <c r="C581" s="1" t="n">
        <v>45588</v>
      </c>
      <c r="D581" t="inlineStr">
        <is>
          <t>DALARNAS LÄN</t>
        </is>
      </c>
      <c r="E581" t="inlineStr">
        <is>
          <t>LUDVIKA</t>
        </is>
      </c>
      <c r="G581" t="n">
        <v>6.2</v>
      </c>
      <c r="H581" t="n">
        <v>0</v>
      </c>
      <c r="I581" t="n">
        <v>0</v>
      </c>
      <c r="J581" t="n">
        <v>0</v>
      </c>
      <c r="K581" t="n">
        <v>0</v>
      </c>
      <c r="L581" t="n">
        <v>0</v>
      </c>
      <c r="M581" t="n">
        <v>0</v>
      </c>
      <c r="N581" t="n">
        <v>0</v>
      </c>
      <c r="O581" t="n">
        <v>0</v>
      </c>
      <c r="P581" t="n">
        <v>0</v>
      </c>
      <c r="Q581" t="n">
        <v>0</v>
      </c>
      <c r="R581" s="2" t="inlineStr"/>
    </row>
    <row r="582" ht="15" customHeight="1">
      <c r="A582" t="inlineStr">
        <is>
          <t>A 31341-2023</t>
        </is>
      </c>
      <c r="B582" s="1" t="n">
        <v>45114</v>
      </c>
      <c r="C582" s="1" t="n">
        <v>45588</v>
      </c>
      <c r="D582" t="inlineStr">
        <is>
          <t>DALARNAS LÄN</t>
        </is>
      </c>
      <c r="E582" t="inlineStr">
        <is>
          <t>LUDVIKA</t>
        </is>
      </c>
      <c r="F582" t="inlineStr">
        <is>
          <t>Naturvårdsverket</t>
        </is>
      </c>
      <c r="G582" t="n">
        <v>2.4</v>
      </c>
      <c r="H582" t="n">
        <v>0</v>
      </c>
      <c r="I582" t="n">
        <v>0</v>
      </c>
      <c r="J582" t="n">
        <v>0</v>
      </c>
      <c r="K582" t="n">
        <v>0</v>
      </c>
      <c r="L582" t="n">
        <v>0</v>
      </c>
      <c r="M582" t="n">
        <v>0</v>
      </c>
      <c r="N582" t="n">
        <v>0</v>
      </c>
      <c r="O582" t="n">
        <v>0</v>
      </c>
      <c r="P582" t="n">
        <v>0</v>
      </c>
      <c r="Q582" t="n">
        <v>0</v>
      </c>
      <c r="R582" s="2" t="inlineStr"/>
    </row>
    <row r="583" ht="15" customHeight="1">
      <c r="A583" t="inlineStr">
        <is>
          <t>A 31477-2023</t>
        </is>
      </c>
      <c r="B583" s="1" t="n">
        <v>45114</v>
      </c>
      <c r="C583" s="1" t="n">
        <v>45588</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31625-2023</t>
        </is>
      </c>
      <c r="B584" s="1" t="n">
        <v>45117</v>
      </c>
      <c r="C584" s="1" t="n">
        <v>45588</v>
      </c>
      <c r="D584" t="inlineStr">
        <is>
          <t>DALARNAS LÄN</t>
        </is>
      </c>
      <c r="E584" t="inlineStr">
        <is>
          <t>LUDVIKA</t>
        </is>
      </c>
      <c r="G584" t="n">
        <v>4.1</v>
      </c>
      <c r="H584" t="n">
        <v>0</v>
      </c>
      <c r="I584" t="n">
        <v>0</v>
      </c>
      <c r="J584" t="n">
        <v>0</v>
      </c>
      <c r="K584" t="n">
        <v>0</v>
      </c>
      <c r="L584" t="n">
        <v>0</v>
      </c>
      <c r="M584" t="n">
        <v>0</v>
      </c>
      <c r="N584" t="n">
        <v>0</v>
      </c>
      <c r="O584" t="n">
        <v>0</v>
      </c>
      <c r="P584" t="n">
        <v>0</v>
      </c>
      <c r="Q584" t="n">
        <v>0</v>
      </c>
      <c r="R584" s="2" t="inlineStr"/>
    </row>
    <row r="585" ht="15" customHeight="1">
      <c r="A585" t="inlineStr">
        <is>
          <t>A 33535-2023</t>
        </is>
      </c>
      <c r="B585" s="1" t="n">
        <v>45118</v>
      </c>
      <c r="C585" s="1" t="n">
        <v>45588</v>
      </c>
      <c r="D585" t="inlineStr">
        <is>
          <t>DALARNAS LÄN</t>
        </is>
      </c>
      <c r="E585" t="inlineStr">
        <is>
          <t>LUDVIKA</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32119-2023</t>
        </is>
      </c>
      <c r="B586" s="1" t="n">
        <v>45119</v>
      </c>
      <c r="C586" s="1" t="n">
        <v>45588</v>
      </c>
      <c r="D586" t="inlineStr">
        <is>
          <t>DALARNAS LÄN</t>
        </is>
      </c>
      <c r="E586" t="inlineStr">
        <is>
          <t>LUDVIKA</t>
        </is>
      </c>
      <c r="F586" t="inlineStr">
        <is>
          <t>Naturvårdsverket</t>
        </is>
      </c>
      <c r="G586" t="n">
        <v>1</v>
      </c>
      <c r="H586" t="n">
        <v>0</v>
      </c>
      <c r="I586" t="n">
        <v>0</v>
      </c>
      <c r="J586" t="n">
        <v>0</v>
      </c>
      <c r="K586" t="n">
        <v>0</v>
      </c>
      <c r="L586" t="n">
        <v>0</v>
      </c>
      <c r="M586" t="n">
        <v>0</v>
      </c>
      <c r="N586" t="n">
        <v>0</v>
      </c>
      <c r="O586" t="n">
        <v>0</v>
      </c>
      <c r="P586" t="n">
        <v>0</v>
      </c>
      <c r="Q586" t="n">
        <v>0</v>
      </c>
      <c r="R586" s="2" t="inlineStr"/>
    </row>
    <row r="587" ht="15" customHeight="1">
      <c r="A587" t="inlineStr">
        <is>
          <t>A 32091-2023</t>
        </is>
      </c>
      <c r="B587" s="1" t="n">
        <v>45119</v>
      </c>
      <c r="C587" s="1" t="n">
        <v>45588</v>
      </c>
      <c r="D587" t="inlineStr">
        <is>
          <t>DALARNAS LÄN</t>
        </is>
      </c>
      <c r="E587" t="inlineStr">
        <is>
          <t>LUDVIKA</t>
        </is>
      </c>
      <c r="F587" t="inlineStr">
        <is>
          <t>Bergvik skog väst AB</t>
        </is>
      </c>
      <c r="G587" t="n">
        <v>7.3</v>
      </c>
      <c r="H587" t="n">
        <v>0</v>
      </c>
      <c r="I587" t="n">
        <v>0</v>
      </c>
      <c r="J587" t="n">
        <v>0</v>
      </c>
      <c r="K587" t="n">
        <v>0</v>
      </c>
      <c r="L587" t="n">
        <v>0</v>
      </c>
      <c r="M587" t="n">
        <v>0</v>
      </c>
      <c r="N587" t="n">
        <v>0</v>
      </c>
      <c r="O587" t="n">
        <v>0</v>
      </c>
      <c r="P587" t="n">
        <v>0</v>
      </c>
      <c r="Q587" t="n">
        <v>0</v>
      </c>
      <c r="R587" s="2" t="inlineStr"/>
    </row>
    <row r="588" ht="15" customHeight="1">
      <c r="A588" t="inlineStr">
        <is>
          <t>A 32124-2023</t>
        </is>
      </c>
      <c r="B588" s="1" t="n">
        <v>45119</v>
      </c>
      <c r="C588" s="1" t="n">
        <v>45588</v>
      </c>
      <c r="D588" t="inlineStr">
        <is>
          <t>DALARNAS LÄN</t>
        </is>
      </c>
      <c r="E588" t="inlineStr">
        <is>
          <t>LUDVIKA</t>
        </is>
      </c>
      <c r="F588" t="inlineStr">
        <is>
          <t>Naturvårdsverket</t>
        </is>
      </c>
      <c r="G588" t="n">
        <v>1.5</v>
      </c>
      <c r="H588" t="n">
        <v>0</v>
      </c>
      <c r="I588" t="n">
        <v>0</v>
      </c>
      <c r="J588" t="n">
        <v>0</v>
      </c>
      <c r="K588" t="n">
        <v>0</v>
      </c>
      <c r="L588" t="n">
        <v>0</v>
      </c>
      <c r="M588" t="n">
        <v>0</v>
      </c>
      <c r="N588" t="n">
        <v>0</v>
      </c>
      <c r="O588" t="n">
        <v>0</v>
      </c>
      <c r="P588" t="n">
        <v>0</v>
      </c>
      <c r="Q588" t="n">
        <v>0</v>
      </c>
      <c r="R588" s="2" t="inlineStr"/>
    </row>
    <row r="589" ht="15" customHeight="1">
      <c r="A589" t="inlineStr">
        <is>
          <t>A 32526-2023</t>
        </is>
      </c>
      <c r="B589" s="1" t="n">
        <v>45121</v>
      </c>
      <c r="C589" s="1" t="n">
        <v>45588</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32527-2023</t>
        </is>
      </c>
      <c r="B590" s="1" t="n">
        <v>45121</v>
      </c>
      <c r="C590" s="1" t="n">
        <v>45588</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32927-2023</t>
        </is>
      </c>
      <c r="B591" s="1" t="n">
        <v>45125</v>
      </c>
      <c r="C591" s="1" t="n">
        <v>45588</v>
      </c>
      <c r="D591" t="inlineStr">
        <is>
          <t>DALARNAS LÄN</t>
        </is>
      </c>
      <c r="E591" t="inlineStr">
        <is>
          <t>LUDVIKA</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32930-2023</t>
        </is>
      </c>
      <c r="B592" s="1" t="n">
        <v>45125</v>
      </c>
      <c r="C592" s="1" t="n">
        <v>45588</v>
      </c>
      <c r="D592" t="inlineStr">
        <is>
          <t>DALARNAS LÄN</t>
        </is>
      </c>
      <c r="E592" t="inlineStr">
        <is>
          <t>LUDVIKA</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34041-2023</t>
        </is>
      </c>
      <c r="B593" s="1" t="n">
        <v>45125</v>
      </c>
      <c r="C593" s="1" t="n">
        <v>45588</v>
      </c>
      <c r="D593" t="inlineStr">
        <is>
          <t>DALARNAS LÄN</t>
        </is>
      </c>
      <c r="E593" t="inlineStr">
        <is>
          <t>LUDVIKA</t>
        </is>
      </c>
      <c r="G593" t="n">
        <v>4.2</v>
      </c>
      <c r="H593" t="n">
        <v>0</v>
      </c>
      <c r="I593" t="n">
        <v>0</v>
      </c>
      <c r="J593" t="n">
        <v>0</v>
      </c>
      <c r="K593" t="n">
        <v>0</v>
      </c>
      <c r="L593" t="n">
        <v>0</v>
      </c>
      <c r="M593" t="n">
        <v>0</v>
      </c>
      <c r="N593" t="n">
        <v>0</v>
      </c>
      <c r="O593" t="n">
        <v>0</v>
      </c>
      <c r="P593" t="n">
        <v>0</v>
      </c>
      <c r="Q593" t="n">
        <v>0</v>
      </c>
      <c r="R593" s="2" t="inlineStr"/>
    </row>
    <row r="594" ht="15" customHeight="1">
      <c r="A594" t="inlineStr">
        <is>
          <t>A 33063-2023</t>
        </is>
      </c>
      <c r="B594" s="1" t="n">
        <v>45126</v>
      </c>
      <c r="C594" s="1" t="n">
        <v>45588</v>
      </c>
      <c r="D594" t="inlineStr">
        <is>
          <t>DALARNAS LÄN</t>
        </is>
      </c>
      <c r="E594" t="inlineStr">
        <is>
          <t>LUDVIKA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33275-2023</t>
        </is>
      </c>
      <c r="B595" s="1" t="n">
        <v>45127</v>
      </c>
      <c r="C595" s="1" t="n">
        <v>45588</v>
      </c>
      <c r="D595" t="inlineStr">
        <is>
          <t>DALARNAS LÄN</t>
        </is>
      </c>
      <c r="E595" t="inlineStr">
        <is>
          <t>LUDVIKA</t>
        </is>
      </c>
      <c r="F595" t="inlineStr">
        <is>
          <t>Naturvårdsverket</t>
        </is>
      </c>
      <c r="G595" t="n">
        <v>3.2</v>
      </c>
      <c r="H595" t="n">
        <v>0</v>
      </c>
      <c r="I595" t="n">
        <v>0</v>
      </c>
      <c r="J595" t="n">
        <v>0</v>
      </c>
      <c r="K595" t="n">
        <v>0</v>
      </c>
      <c r="L595" t="n">
        <v>0</v>
      </c>
      <c r="M595" t="n">
        <v>0</v>
      </c>
      <c r="N595" t="n">
        <v>0</v>
      </c>
      <c r="O595" t="n">
        <v>0</v>
      </c>
      <c r="P595" t="n">
        <v>0</v>
      </c>
      <c r="Q595" t="n">
        <v>0</v>
      </c>
      <c r="R595" s="2" t="inlineStr"/>
    </row>
    <row r="596" ht="15" customHeight="1">
      <c r="A596" t="inlineStr">
        <is>
          <t>A 33347-2023</t>
        </is>
      </c>
      <c r="B596" s="1" t="n">
        <v>45128</v>
      </c>
      <c r="C596" s="1" t="n">
        <v>45588</v>
      </c>
      <c r="D596" t="inlineStr">
        <is>
          <t>DALARNAS LÄN</t>
        </is>
      </c>
      <c r="E596" t="inlineStr">
        <is>
          <t>LUDVIKA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33344-2023</t>
        </is>
      </c>
      <c r="B597" s="1" t="n">
        <v>45128</v>
      </c>
      <c r="C597" s="1" t="n">
        <v>45588</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33361-2023</t>
        </is>
      </c>
      <c r="B598" s="1" t="n">
        <v>45128</v>
      </c>
      <c r="C598" s="1" t="n">
        <v>45588</v>
      </c>
      <c r="D598" t="inlineStr">
        <is>
          <t>DALARNAS LÄN</t>
        </is>
      </c>
      <c r="E598" t="inlineStr">
        <is>
          <t>LUDVIKA</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33560-2023</t>
        </is>
      </c>
      <c r="B599" s="1" t="n">
        <v>45131</v>
      </c>
      <c r="C599" s="1" t="n">
        <v>45588</v>
      </c>
      <c r="D599" t="inlineStr">
        <is>
          <t>DALARNAS LÄN</t>
        </is>
      </c>
      <c r="E599" t="inlineStr">
        <is>
          <t>LUDVIKA</t>
        </is>
      </c>
      <c r="G599" t="n">
        <v>7</v>
      </c>
      <c r="H599" t="n">
        <v>0</v>
      </c>
      <c r="I599" t="n">
        <v>0</v>
      </c>
      <c r="J599" t="n">
        <v>0</v>
      </c>
      <c r="K599" t="n">
        <v>0</v>
      </c>
      <c r="L599" t="n">
        <v>0</v>
      </c>
      <c r="M599" t="n">
        <v>0</v>
      </c>
      <c r="N599" t="n">
        <v>0</v>
      </c>
      <c r="O599" t="n">
        <v>0</v>
      </c>
      <c r="P599" t="n">
        <v>0</v>
      </c>
      <c r="Q599" t="n">
        <v>0</v>
      </c>
      <c r="R599" s="2" t="inlineStr"/>
    </row>
    <row r="600" ht="15" customHeight="1">
      <c r="A600" t="inlineStr">
        <is>
          <t>A 34341-2023</t>
        </is>
      </c>
      <c r="B600" s="1" t="n">
        <v>45131</v>
      </c>
      <c r="C600" s="1" t="n">
        <v>45588</v>
      </c>
      <c r="D600" t="inlineStr">
        <is>
          <t>DALARNAS LÄN</t>
        </is>
      </c>
      <c r="E600" t="inlineStr">
        <is>
          <t>LUDVIKA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33620-2023</t>
        </is>
      </c>
      <c r="B601" s="1" t="n">
        <v>45132</v>
      </c>
      <c r="C601" s="1" t="n">
        <v>45588</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33914-2023</t>
        </is>
      </c>
      <c r="B602" s="1" t="n">
        <v>45134</v>
      </c>
      <c r="C602" s="1" t="n">
        <v>45588</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33933-2023</t>
        </is>
      </c>
      <c r="B603" s="1" t="n">
        <v>45134</v>
      </c>
      <c r="C603" s="1" t="n">
        <v>45588</v>
      </c>
      <c r="D603" t="inlineStr">
        <is>
          <t>DALARNAS LÄN</t>
        </is>
      </c>
      <c r="E603" t="inlineStr">
        <is>
          <t>LUDVIKA</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33916-2023</t>
        </is>
      </c>
      <c r="B604" s="1" t="n">
        <v>45134</v>
      </c>
      <c r="C604" s="1" t="n">
        <v>45588</v>
      </c>
      <c r="D604" t="inlineStr">
        <is>
          <t>DALARNAS LÄN</t>
        </is>
      </c>
      <c r="E604" t="inlineStr">
        <is>
          <t>LUDVIKA</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33917-2023</t>
        </is>
      </c>
      <c r="B605" s="1" t="n">
        <v>45134</v>
      </c>
      <c r="C605" s="1" t="n">
        <v>45588</v>
      </c>
      <c r="D605" t="inlineStr">
        <is>
          <t>DALARNAS LÄN</t>
        </is>
      </c>
      <c r="E605" t="inlineStr">
        <is>
          <t>LUDVIKA</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33947-2023</t>
        </is>
      </c>
      <c r="B606" s="1" t="n">
        <v>45134</v>
      </c>
      <c r="C606" s="1" t="n">
        <v>45588</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34024-2023</t>
        </is>
      </c>
      <c r="B607" s="1" t="n">
        <v>45135</v>
      </c>
      <c r="C607" s="1" t="n">
        <v>45588</v>
      </c>
      <c r="D607" t="inlineStr">
        <is>
          <t>DALARNAS LÄN</t>
        </is>
      </c>
      <c r="E607" t="inlineStr">
        <is>
          <t>LUDVIKA</t>
        </is>
      </c>
      <c r="F607" t="inlineStr">
        <is>
          <t>Bergvik skog väst AB</t>
        </is>
      </c>
      <c r="G607" t="n">
        <v>18.3</v>
      </c>
      <c r="H607" t="n">
        <v>0</v>
      </c>
      <c r="I607" t="n">
        <v>0</v>
      </c>
      <c r="J607" t="n">
        <v>0</v>
      </c>
      <c r="K607" t="n">
        <v>0</v>
      </c>
      <c r="L607" t="n">
        <v>0</v>
      </c>
      <c r="M607" t="n">
        <v>0</v>
      </c>
      <c r="N607" t="n">
        <v>0</v>
      </c>
      <c r="O607" t="n">
        <v>0</v>
      </c>
      <c r="P607" t="n">
        <v>0</v>
      </c>
      <c r="Q607" t="n">
        <v>0</v>
      </c>
      <c r="R607" s="2" t="inlineStr"/>
    </row>
    <row r="608" ht="15" customHeight="1">
      <c r="A608" t="inlineStr">
        <is>
          <t>A 34503-2023</t>
        </is>
      </c>
      <c r="B608" s="1" t="n">
        <v>45140</v>
      </c>
      <c r="C608" s="1" t="n">
        <v>45588</v>
      </c>
      <c r="D608" t="inlineStr">
        <is>
          <t>DALARNAS LÄN</t>
        </is>
      </c>
      <c r="E608" t="inlineStr">
        <is>
          <t>LUDVIKA</t>
        </is>
      </c>
      <c r="F608" t="inlineStr">
        <is>
          <t>Bergvik skog väst AB</t>
        </is>
      </c>
      <c r="G608" t="n">
        <v>7.4</v>
      </c>
      <c r="H608" t="n">
        <v>0</v>
      </c>
      <c r="I608" t="n">
        <v>0</v>
      </c>
      <c r="J608" t="n">
        <v>0</v>
      </c>
      <c r="K608" t="n">
        <v>0</v>
      </c>
      <c r="L608" t="n">
        <v>0</v>
      </c>
      <c r="M608" t="n">
        <v>0</v>
      </c>
      <c r="N608" t="n">
        <v>0</v>
      </c>
      <c r="O608" t="n">
        <v>0</v>
      </c>
      <c r="P608" t="n">
        <v>0</v>
      </c>
      <c r="Q608" t="n">
        <v>0</v>
      </c>
      <c r="R608" s="2" t="inlineStr"/>
    </row>
    <row r="609" ht="15" customHeight="1">
      <c r="A609" t="inlineStr">
        <is>
          <t>A 34555-2023</t>
        </is>
      </c>
      <c r="B609" s="1" t="n">
        <v>45140</v>
      </c>
      <c r="C609" s="1" t="n">
        <v>45588</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34895-2023</t>
        </is>
      </c>
      <c r="B610" s="1" t="n">
        <v>45142</v>
      </c>
      <c r="C610" s="1" t="n">
        <v>45588</v>
      </c>
      <c r="D610" t="inlineStr">
        <is>
          <t>DALARNAS LÄN</t>
        </is>
      </c>
      <c r="E610" t="inlineStr">
        <is>
          <t>LUDVIKA</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35791-2023</t>
        </is>
      </c>
      <c r="B611" s="1" t="n">
        <v>45148</v>
      </c>
      <c r="C611" s="1" t="n">
        <v>45588</v>
      </c>
      <c r="D611" t="inlineStr">
        <is>
          <t>DALARNAS LÄN</t>
        </is>
      </c>
      <c r="E611" t="inlineStr">
        <is>
          <t>LUDVIKA</t>
        </is>
      </c>
      <c r="F611" t="inlineStr">
        <is>
          <t>Bergvik skog väst AB</t>
        </is>
      </c>
      <c r="G611" t="n">
        <v>9.4</v>
      </c>
      <c r="H611" t="n">
        <v>0</v>
      </c>
      <c r="I611" t="n">
        <v>0</v>
      </c>
      <c r="J611" t="n">
        <v>0</v>
      </c>
      <c r="K611" t="n">
        <v>0</v>
      </c>
      <c r="L611" t="n">
        <v>0</v>
      </c>
      <c r="M611" t="n">
        <v>0</v>
      </c>
      <c r="N611" t="n">
        <v>0</v>
      </c>
      <c r="O611" t="n">
        <v>0</v>
      </c>
      <c r="P611" t="n">
        <v>0</v>
      </c>
      <c r="Q611" t="n">
        <v>0</v>
      </c>
      <c r="R611" s="2" t="inlineStr"/>
    </row>
    <row r="612" ht="15" customHeight="1">
      <c r="A612" t="inlineStr">
        <is>
          <t>A 35789-2023</t>
        </is>
      </c>
      <c r="B612" s="1" t="n">
        <v>45148</v>
      </c>
      <c r="C612" s="1" t="n">
        <v>45588</v>
      </c>
      <c r="D612" t="inlineStr">
        <is>
          <t>DALARNAS LÄN</t>
        </is>
      </c>
      <c r="E612" t="inlineStr">
        <is>
          <t>LUDVIKA</t>
        </is>
      </c>
      <c r="G612" t="n">
        <v>2.1</v>
      </c>
      <c r="H612" t="n">
        <v>0</v>
      </c>
      <c r="I612" t="n">
        <v>0</v>
      </c>
      <c r="J612" t="n">
        <v>0</v>
      </c>
      <c r="K612" t="n">
        <v>0</v>
      </c>
      <c r="L612" t="n">
        <v>0</v>
      </c>
      <c r="M612" t="n">
        <v>0</v>
      </c>
      <c r="N612" t="n">
        <v>0</v>
      </c>
      <c r="O612" t="n">
        <v>0</v>
      </c>
      <c r="P612" t="n">
        <v>0</v>
      </c>
      <c r="Q612" t="n">
        <v>0</v>
      </c>
      <c r="R612" s="2" t="inlineStr"/>
    </row>
    <row r="613" ht="15" customHeight="1">
      <c r="A613" t="inlineStr">
        <is>
          <t>A 36079-2023</t>
        </is>
      </c>
      <c r="B613" s="1" t="n">
        <v>45149</v>
      </c>
      <c r="C613" s="1" t="n">
        <v>45588</v>
      </c>
      <c r="D613" t="inlineStr">
        <is>
          <t>DALARNAS LÄN</t>
        </is>
      </c>
      <c r="E613" t="inlineStr">
        <is>
          <t>LUDVIKA</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36083-2023</t>
        </is>
      </c>
      <c r="B614" s="1" t="n">
        <v>45149</v>
      </c>
      <c r="C614" s="1" t="n">
        <v>45588</v>
      </c>
      <c r="D614" t="inlineStr">
        <is>
          <t>DALARNAS LÄN</t>
        </is>
      </c>
      <c r="E614" t="inlineStr">
        <is>
          <t>LUDVIKA</t>
        </is>
      </c>
      <c r="F614" t="inlineStr">
        <is>
          <t>Bergvik skog väst AB</t>
        </is>
      </c>
      <c r="G614" t="n">
        <v>12.1</v>
      </c>
      <c r="H614" t="n">
        <v>0</v>
      </c>
      <c r="I614" t="n">
        <v>0</v>
      </c>
      <c r="J614" t="n">
        <v>0</v>
      </c>
      <c r="K614" t="n">
        <v>0</v>
      </c>
      <c r="L614" t="n">
        <v>0</v>
      </c>
      <c r="M614" t="n">
        <v>0</v>
      </c>
      <c r="N614" t="n">
        <v>0</v>
      </c>
      <c r="O614" t="n">
        <v>0</v>
      </c>
      <c r="P614" t="n">
        <v>0</v>
      </c>
      <c r="Q614" t="n">
        <v>0</v>
      </c>
      <c r="R614" s="2" t="inlineStr"/>
    </row>
    <row r="615" ht="15" customHeight="1">
      <c r="A615" t="inlineStr">
        <is>
          <t>A 36073-2023</t>
        </is>
      </c>
      <c r="B615" s="1" t="n">
        <v>45149</v>
      </c>
      <c r="C615" s="1" t="n">
        <v>45588</v>
      </c>
      <c r="D615" t="inlineStr">
        <is>
          <t>DALARNAS LÄN</t>
        </is>
      </c>
      <c r="E615" t="inlineStr">
        <is>
          <t>LUDVIKA</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36296-2023</t>
        </is>
      </c>
      <c r="B616" s="1" t="n">
        <v>45152</v>
      </c>
      <c r="C616" s="1" t="n">
        <v>45588</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v>
      </c>
      <c r="C617" s="1" t="n">
        <v>45588</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36297-2023</t>
        </is>
      </c>
      <c r="B618" s="1" t="n">
        <v>45152</v>
      </c>
      <c r="C618" s="1" t="n">
        <v>45588</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37008-2023</t>
        </is>
      </c>
      <c r="B619" s="1" t="n">
        <v>45155</v>
      </c>
      <c r="C619" s="1" t="n">
        <v>45588</v>
      </c>
      <c r="D619" t="inlineStr">
        <is>
          <t>DALARNAS LÄN</t>
        </is>
      </c>
      <c r="E619" t="inlineStr">
        <is>
          <t>LUDVIKA</t>
        </is>
      </c>
      <c r="G619" t="n">
        <v>3</v>
      </c>
      <c r="H619" t="n">
        <v>0</v>
      </c>
      <c r="I619" t="n">
        <v>0</v>
      </c>
      <c r="J619" t="n">
        <v>0</v>
      </c>
      <c r="K619" t="n">
        <v>0</v>
      </c>
      <c r="L619" t="n">
        <v>0</v>
      </c>
      <c r="M619" t="n">
        <v>0</v>
      </c>
      <c r="N619" t="n">
        <v>0</v>
      </c>
      <c r="O619" t="n">
        <v>0</v>
      </c>
      <c r="P619" t="n">
        <v>0</v>
      </c>
      <c r="Q619" t="n">
        <v>0</v>
      </c>
      <c r="R619" s="2" t="inlineStr"/>
    </row>
    <row r="620" ht="15" customHeight="1">
      <c r="A620" t="inlineStr">
        <is>
          <t>A 37273-2023</t>
        </is>
      </c>
      <c r="B620" s="1" t="n">
        <v>45156</v>
      </c>
      <c r="C620" s="1" t="n">
        <v>45588</v>
      </c>
      <c r="D620" t="inlineStr">
        <is>
          <t>DALARNAS LÄN</t>
        </is>
      </c>
      <c r="E620" t="inlineStr">
        <is>
          <t>LUDVIKA</t>
        </is>
      </c>
      <c r="G620" t="n">
        <v>4</v>
      </c>
      <c r="H620" t="n">
        <v>0</v>
      </c>
      <c r="I620" t="n">
        <v>0</v>
      </c>
      <c r="J620" t="n">
        <v>0</v>
      </c>
      <c r="K620" t="n">
        <v>0</v>
      </c>
      <c r="L620" t="n">
        <v>0</v>
      </c>
      <c r="M620" t="n">
        <v>0</v>
      </c>
      <c r="N620" t="n">
        <v>0</v>
      </c>
      <c r="O620" t="n">
        <v>0</v>
      </c>
      <c r="P620" t="n">
        <v>0</v>
      </c>
      <c r="Q620" t="n">
        <v>0</v>
      </c>
      <c r="R620" s="2" t="inlineStr"/>
    </row>
    <row r="621" ht="15" customHeight="1">
      <c r="A621" t="inlineStr">
        <is>
          <t>A 37272-2023</t>
        </is>
      </c>
      <c r="B621" s="1" t="n">
        <v>45156</v>
      </c>
      <c r="C621" s="1" t="n">
        <v>45588</v>
      </c>
      <c r="D621" t="inlineStr">
        <is>
          <t>DALARNAS LÄN</t>
        </is>
      </c>
      <c r="E621" t="inlineStr">
        <is>
          <t>LUDVIKA</t>
        </is>
      </c>
      <c r="G621" t="n">
        <v>6</v>
      </c>
      <c r="H621" t="n">
        <v>0</v>
      </c>
      <c r="I621" t="n">
        <v>0</v>
      </c>
      <c r="J621" t="n">
        <v>0</v>
      </c>
      <c r="K621" t="n">
        <v>0</v>
      </c>
      <c r="L621" t="n">
        <v>0</v>
      </c>
      <c r="M621" t="n">
        <v>0</v>
      </c>
      <c r="N621" t="n">
        <v>0</v>
      </c>
      <c r="O621" t="n">
        <v>0</v>
      </c>
      <c r="P621" t="n">
        <v>0</v>
      </c>
      <c r="Q621" t="n">
        <v>0</v>
      </c>
      <c r="R621" s="2" t="inlineStr"/>
    </row>
    <row r="622" ht="15" customHeight="1">
      <c r="A622" t="inlineStr">
        <is>
          <t>A 37333-2023</t>
        </is>
      </c>
      <c r="B622" s="1" t="n">
        <v>45156</v>
      </c>
      <c r="C622" s="1" t="n">
        <v>45588</v>
      </c>
      <c r="D622" t="inlineStr">
        <is>
          <t>DALARNAS LÄN</t>
        </is>
      </c>
      <c r="E622" t="inlineStr">
        <is>
          <t>LUDVIKA</t>
        </is>
      </c>
      <c r="F622" t="inlineStr">
        <is>
          <t>Bergvik skog väst AB</t>
        </is>
      </c>
      <c r="G622" t="n">
        <v>5</v>
      </c>
      <c r="H622" t="n">
        <v>0</v>
      </c>
      <c r="I622" t="n">
        <v>0</v>
      </c>
      <c r="J622" t="n">
        <v>0</v>
      </c>
      <c r="K622" t="n">
        <v>0</v>
      </c>
      <c r="L622" t="n">
        <v>0</v>
      </c>
      <c r="M622" t="n">
        <v>0</v>
      </c>
      <c r="N622" t="n">
        <v>0</v>
      </c>
      <c r="O622" t="n">
        <v>0</v>
      </c>
      <c r="P622" t="n">
        <v>0</v>
      </c>
      <c r="Q622" t="n">
        <v>0</v>
      </c>
      <c r="R622" s="2" t="inlineStr"/>
    </row>
    <row r="623" ht="15" customHeight="1">
      <c r="A623" t="inlineStr">
        <is>
          <t>A 37366-2023</t>
        </is>
      </c>
      <c r="B623" s="1" t="n">
        <v>45156</v>
      </c>
      <c r="C623" s="1" t="n">
        <v>45588</v>
      </c>
      <c r="D623" t="inlineStr">
        <is>
          <t>DALARNAS LÄN</t>
        </is>
      </c>
      <c r="E623" t="inlineStr">
        <is>
          <t>LUDVIKA</t>
        </is>
      </c>
      <c r="F623" t="inlineStr">
        <is>
          <t>Bergvik skog väst AB</t>
        </is>
      </c>
      <c r="G623" t="n">
        <v>6.7</v>
      </c>
      <c r="H623" t="n">
        <v>0</v>
      </c>
      <c r="I623" t="n">
        <v>0</v>
      </c>
      <c r="J623" t="n">
        <v>0</v>
      </c>
      <c r="K623" t="n">
        <v>0</v>
      </c>
      <c r="L623" t="n">
        <v>0</v>
      </c>
      <c r="M623" t="n">
        <v>0</v>
      </c>
      <c r="N623" t="n">
        <v>0</v>
      </c>
      <c r="O623" t="n">
        <v>0</v>
      </c>
      <c r="P623" t="n">
        <v>0</v>
      </c>
      <c r="Q623" t="n">
        <v>0</v>
      </c>
      <c r="R623" s="2" t="inlineStr"/>
    </row>
    <row r="624" ht="15" customHeight="1">
      <c r="A624" t="inlineStr">
        <is>
          <t>A 37392-2023</t>
        </is>
      </c>
      <c r="B624" s="1" t="n">
        <v>45156</v>
      </c>
      <c r="C624" s="1" t="n">
        <v>45588</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v>
      </c>
      <c r="C625" s="1" t="n">
        <v>45588</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38138-2023</t>
        </is>
      </c>
      <c r="B626" s="1" t="n">
        <v>45161</v>
      </c>
      <c r="C626" s="1" t="n">
        <v>45588</v>
      </c>
      <c r="D626" t="inlineStr">
        <is>
          <t>DALARNAS LÄN</t>
        </is>
      </c>
      <c r="E626" t="inlineStr">
        <is>
          <t>LUDVIKA</t>
        </is>
      </c>
      <c r="G626" t="n">
        <v>2.5</v>
      </c>
      <c r="H626" t="n">
        <v>0</v>
      </c>
      <c r="I626" t="n">
        <v>0</v>
      </c>
      <c r="J626" t="n">
        <v>0</v>
      </c>
      <c r="K626" t="n">
        <v>0</v>
      </c>
      <c r="L626" t="n">
        <v>0</v>
      </c>
      <c r="M626" t="n">
        <v>0</v>
      </c>
      <c r="N626" t="n">
        <v>0</v>
      </c>
      <c r="O626" t="n">
        <v>0</v>
      </c>
      <c r="P626" t="n">
        <v>0</v>
      </c>
      <c r="Q626" t="n">
        <v>0</v>
      </c>
      <c r="R626" s="2" t="inlineStr"/>
    </row>
    <row r="627" ht="15" customHeight="1">
      <c r="A627" t="inlineStr">
        <is>
          <t>A 38279-2023</t>
        </is>
      </c>
      <c r="B627" s="1" t="n">
        <v>45161</v>
      </c>
      <c r="C627" s="1" t="n">
        <v>45588</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38168-2023</t>
        </is>
      </c>
      <c r="B628" s="1" t="n">
        <v>45161</v>
      </c>
      <c r="C628" s="1" t="n">
        <v>45588</v>
      </c>
      <c r="D628" t="inlineStr">
        <is>
          <t>DALARNAS LÄN</t>
        </is>
      </c>
      <c r="E628" t="inlineStr">
        <is>
          <t>LUDVIKA</t>
        </is>
      </c>
      <c r="F628" t="inlineStr">
        <is>
          <t>Bergvik skog väst AB</t>
        </is>
      </c>
      <c r="G628" t="n">
        <v>4.4</v>
      </c>
      <c r="H628" t="n">
        <v>0</v>
      </c>
      <c r="I628" t="n">
        <v>0</v>
      </c>
      <c r="J628" t="n">
        <v>0</v>
      </c>
      <c r="K628" t="n">
        <v>0</v>
      </c>
      <c r="L628" t="n">
        <v>0</v>
      </c>
      <c r="M628" t="n">
        <v>0</v>
      </c>
      <c r="N628" t="n">
        <v>0</v>
      </c>
      <c r="O628" t="n">
        <v>0</v>
      </c>
      <c r="P628" t="n">
        <v>0</v>
      </c>
      <c r="Q628" t="n">
        <v>0</v>
      </c>
      <c r="R628" s="2" t="inlineStr"/>
    </row>
    <row r="629" ht="15" customHeight="1">
      <c r="A629" t="inlineStr">
        <is>
          <t>A 38197-2023</t>
        </is>
      </c>
      <c r="B629" s="1" t="n">
        <v>45161</v>
      </c>
      <c r="C629" s="1" t="n">
        <v>45588</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38243-2023</t>
        </is>
      </c>
      <c r="B630" s="1" t="n">
        <v>45161</v>
      </c>
      <c r="C630" s="1" t="n">
        <v>45588</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38280-2023</t>
        </is>
      </c>
      <c r="B631" s="1" t="n">
        <v>45161</v>
      </c>
      <c r="C631" s="1" t="n">
        <v>45588</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38963-2023</t>
        </is>
      </c>
      <c r="B632" s="1" t="n">
        <v>45163</v>
      </c>
      <c r="C632" s="1" t="n">
        <v>45588</v>
      </c>
      <c r="D632" t="inlineStr">
        <is>
          <t>DALARNAS LÄN</t>
        </is>
      </c>
      <c r="E632" t="inlineStr">
        <is>
          <t>LUDVIKA</t>
        </is>
      </c>
      <c r="F632" t="inlineStr">
        <is>
          <t>Bergvik skog väst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38925-2023</t>
        </is>
      </c>
      <c r="B633" s="1" t="n">
        <v>45163</v>
      </c>
      <c r="C633" s="1" t="n">
        <v>45588</v>
      </c>
      <c r="D633" t="inlineStr">
        <is>
          <t>DALARNAS LÄN</t>
        </is>
      </c>
      <c r="E633" t="inlineStr">
        <is>
          <t>LUDVIKA</t>
        </is>
      </c>
      <c r="G633" t="n">
        <v>3</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v>
      </c>
      <c r="C634" s="1" t="n">
        <v>45588</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39437-2023</t>
        </is>
      </c>
      <c r="B635" s="1" t="n">
        <v>45166</v>
      </c>
      <c r="C635" s="1" t="n">
        <v>45588</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39405-2023</t>
        </is>
      </c>
      <c r="B636" s="1" t="n">
        <v>45166</v>
      </c>
      <c r="C636" s="1" t="n">
        <v>45588</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39417-2023</t>
        </is>
      </c>
      <c r="B637" s="1" t="n">
        <v>45166</v>
      </c>
      <c r="C637" s="1" t="n">
        <v>45588</v>
      </c>
      <c r="D637" t="inlineStr">
        <is>
          <t>DALARNAS LÄN</t>
        </is>
      </c>
      <c r="E637" t="inlineStr">
        <is>
          <t>LUDVIKA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39438-2023</t>
        </is>
      </c>
      <c r="B638" s="1" t="n">
        <v>45166</v>
      </c>
      <c r="C638" s="1" t="n">
        <v>45588</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39441-2023</t>
        </is>
      </c>
      <c r="B639" s="1" t="n">
        <v>45166</v>
      </c>
      <c r="C639" s="1" t="n">
        <v>45588</v>
      </c>
      <c r="D639" t="inlineStr">
        <is>
          <t>DALARNAS LÄN</t>
        </is>
      </c>
      <c r="E639" t="inlineStr">
        <is>
          <t>LUDVIKA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39447-2023</t>
        </is>
      </c>
      <c r="B640" s="1" t="n">
        <v>45166</v>
      </c>
      <c r="C640" s="1" t="n">
        <v>45588</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39675-2023</t>
        </is>
      </c>
      <c r="B641" s="1" t="n">
        <v>45167</v>
      </c>
      <c r="C641" s="1" t="n">
        <v>45588</v>
      </c>
      <c r="D641" t="inlineStr">
        <is>
          <t>DALARNAS LÄN</t>
        </is>
      </c>
      <c r="E641" t="inlineStr">
        <is>
          <t>LUDVIKA</t>
        </is>
      </c>
      <c r="F641" t="inlineStr">
        <is>
          <t>Naturvårdsverket</t>
        </is>
      </c>
      <c r="G641" t="n">
        <v>0.9</v>
      </c>
      <c r="H641" t="n">
        <v>0</v>
      </c>
      <c r="I641" t="n">
        <v>0</v>
      </c>
      <c r="J641" t="n">
        <v>0</v>
      </c>
      <c r="K641" t="n">
        <v>0</v>
      </c>
      <c r="L641" t="n">
        <v>0</v>
      </c>
      <c r="M641" t="n">
        <v>0</v>
      </c>
      <c r="N641" t="n">
        <v>0</v>
      </c>
      <c r="O641" t="n">
        <v>0</v>
      </c>
      <c r="P641" t="n">
        <v>0</v>
      </c>
      <c r="Q641" t="n">
        <v>0</v>
      </c>
      <c r="R641" s="2" t="inlineStr"/>
    </row>
    <row r="642" ht="15" customHeight="1">
      <c r="A642" t="inlineStr">
        <is>
          <t>A 39673-2023</t>
        </is>
      </c>
      <c r="B642" s="1" t="n">
        <v>45167</v>
      </c>
      <c r="C642" s="1" t="n">
        <v>45588</v>
      </c>
      <c r="D642" t="inlineStr">
        <is>
          <t>DALARNAS LÄN</t>
        </is>
      </c>
      <c r="E642" t="inlineStr">
        <is>
          <t>LUDVIKA</t>
        </is>
      </c>
      <c r="F642" t="inlineStr">
        <is>
          <t>Naturvårdsverket</t>
        </is>
      </c>
      <c r="G642" t="n">
        <v>1.1</v>
      </c>
      <c r="H642" t="n">
        <v>0</v>
      </c>
      <c r="I642" t="n">
        <v>0</v>
      </c>
      <c r="J642" t="n">
        <v>0</v>
      </c>
      <c r="K642" t="n">
        <v>0</v>
      </c>
      <c r="L642" t="n">
        <v>0</v>
      </c>
      <c r="M642" t="n">
        <v>0</v>
      </c>
      <c r="N642" t="n">
        <v>0</v>
      </c>
      <c r="O642" t="n">
        <v>0</v>
      </c>
      <c r="P642" t="n">
        <v>0</v>
      </c>
      <c r="Q642" t="n">
        <v>0</v>
      </c>
      <c r="R642" s="2" t="inlineStr"/>
    </row>
    <row r="643" ht="15" customHeight="1">
      <c r="A643" t="inlineStr">
        <is>
          <t>A 39678-2023</t>
        </is>
      </c>
      <c r="B643" s="1" t="n">
        <v>45167</v>
      </c>
      <c r="C643" s="1" t="n">
        <v>45588</v>
      </c>
      <c r="D643" t="inlineStr">
        <is>
          <t>DALARNAS LÄN</t>
        </is>
      </c>
      <c r="E643" t="inlineStr">
        <is>
          <t>LUDVIKA</t>
        </is>
      </c>
      <c r="F643" t="inlineStr">
        <is>
          <t>Naturvårdsverket</t>
        </is>
      </c>
      <c r="G643" t="n">
        <v>1</v>
      </c>
      <c r="H643" t="n">
        <v>0</v>
      </c>
      <c r="I643" t="n">
        <v>0</v>
      </c>
      <c r="J643" t="n">
        <v>0</v>
      </c>
      <c r="K643" t="n">
        <v>0</v>
      </c>
      <c r="L643" t="n">
        <v>0</v>
      </c>
      <c r="M643" t="n">
        <v>0</v>
      </c>
      <c r="N643" t="n">
        <v>0</v>
      </c>
      <c r="O643" t="n">
        <v>0</v>
      </c>
      <c r="P643" t="n">
        <v>0</v>
      </c>
      <c r="Q643" t="n">
        <v>0</v>
      </c>
      <c r="R643" s="2" t="inlineStr"/>
    </row>
    <row r="644" ht="15" customHeight="1">
      <c r="A644" t="inlineStr">
        <is>
          <t>A 39670-2023</t>
        </is>
      </c>
      <c r="B644" s="1" t="n">
        <v>45167</v>
      </c>
      <c r="C644" s="1" t="n">
        <v>45588</v>
      </c>
      <c r="D644" t="inlineStr">
        <is>
          <t>DALARNAS LÄN</t>
        </is>
      </c>
      <c r="E644" t="inlineStr">
        <is>
          <t>LUDVIKA</t>
        </is>
      </c>
      <c r="F644" t="inlineStr">
        <is>
          <t>Naturvårdsverket</t>
        </is>
      </c>
      <c r="G644" t="n">
        <v>3.9</v>
      </c>
      <c r="H644" t="n">
        <v>0</v>
      </c>
      <c r="I644" t="n">
        <v>0</v>
      </c>
      <c r="J644" t="n">
        <v>0</v>
      </c>
      <c r="K644" t="n">
        <v>0</v>
      </c>
      <c r="L644" t="n">
        <v>0</v>
      </c>
      <c r="M644" t="n">
        <v>0</v>
      </c>
      <c r="N644" t="n">
        <v>0</v>
      </c>
      <c r="O644" t="n">
        <v>0</v>
      </c>
      <c r="P644" t="n">
        <v>0</v>
      </c>
      <c r="Q644" t="n">
        <v>0</v>
      </c>
      <c r="R644" s="2" t="inlineStr"/>
    </row>
    <row r="645" ht="15" customHeight="1">
      <c r="A645" t="inlineStr">
        <is>
          <t>A 39849-2023</t>
        </is>
      </c>
      <c r="B645" s="1" t="n">
        <v>45168</v>
      </c>
      <c r="C645" s="1" t="n">
        <v>45588</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39878-2023</t>
        </is>
      </c>
      <c r="B646" s="1" t="n">
        <v>45168</v>
      </c>
      <c r="C646" s="1" t="n">
        <v>45588</v>
      </c>
      <c r="D646" t="inlineStr">
        <is>
          <t>DALARNAS LÄN</t>
        </is>
      </c>
      <c r="E646" t="inlineStr">
        <is>
          <t>LUDVIKA</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40016-2023</t>
        </is>
      </c>
      <c r="B647" s="1" t="n">
        <v>45168</v>
      </c>
      <c r="C647" s="1" t="n">
        <v>45588</v>
      </c>
      <c r="D647" t="inlineStr">
        <is>
          <t>DALARNAS LÄN</t>
        </is>
      </c>
      <c r="E647" t="inlineStr">
        <is>
          <t>LUDVIKA</t>
        </is>
      </c>
      <c r="F647" t="inlineStr">
        <is>
          <t>Bergvik skog väst AB</t>
        </is>
      </c>
      <c r="G647" t="n">
        <v>7.6</v>
      </c>
      <c r="H647" t="n">
        <v>0</v>
      </c>
      <c r="I647" t="n">
        <v>0</v>
      </c>
      <c r="J647" t="n">
        <v>0</v>
      </c>
      <c r="K647" t="n">
        <v>0</v>
      </c>
      <c r="L647" t="n">
        <v>0</v>
      </c>
      <c r="M647" t="n">
        <v>0</v>
      </c>
      <c r="N647" t="n">
        <v>0</v>
      </c>
      <c r="O647" t="n">
        <v>0</v>
      </c>
      <c r="P647" t="n">
        <v>0</v>
      </c>
      <c r="Q647" t="n">
        <v>0</v>
      </c>
      <c r="R647" s="2" t="inlineStr"/>
    </row>
    <row r="648" ht="15" customHeight="1">
      <c r="A648" t="inlineStr">
        <is>
          <t>A 39971-2023</t>
        </is>
      </c>
      <c r="B648" s="1" t="n">
        <v>45168</v>
      </c>
      <c r="C648" s="1" t="n">
        <v>45588</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39886-2023</t>
        </is>
      </c>
      <c r="B649" s="1" t="n">
        <v>45168</v>
      </c>
      <c r="C649" s="1" t="n">
        <v>45588</v>
      </c>
      <c r="D649" t="inlineStr">
        <is>
          <t>DALARNAS LÄN</t>
        </is>
      </c>
      <c r="E649" t="inlineStr">
        <is>
          <t>LUDVIKA</t>
        </is>
      </c>
      <c r="F649" t="inlineStr">
        <is>
          <t>Bergvik skog väst AB</t>
        </is>
      </c>
      <c r="G649" t="n">
        <v>28.4</v>
      </c>
      <c r="H649" t="n">
        <v>0</v>
      </c>
      <c r="I649" t="n">
        <v>0</v>
      </c>
      <c r="J649" t="n">
        <v>0</v>
      </c>
      <c r="K649" t="n">
        <v>0</v>
      </c>
      <c r="L649" t="n">
        <v>0</v>
      </c>
      <c r="M649" t="n">
        <v>0</v>
      </c>
      <c r="N649" t="n">
        <v>0</v>
      </c>
      <c r="O649" t="n">
        <v>0</v>
      </c>
      <c r="P649" t="n">
        <v>0</v>
      </c>
      <c r="Q649" t="n">
        <v>0</v>
      </c>
      <c r="R649" s="2" t="inlineStr"/>
    </row>
    <row r="650" ht="15" customHeight="1">
      <c r="A650" t="inlineStr">
        <is>
          <t>A 40020-2023</t>
        </is>
      </c>
      <c r="B650" s="1" t="n">
        <v>45168</v>
      </c>
      <c r="C650" s="1" t="n">
        <v>45588</v>
      </c>
      <c r="D650" t="inlineStr">
        <is>
          <t>DALARNAS LÄN</t>
        </is>
      </c>
      <c r="E650" t="inlineStr">
        <is>
          <t>LUDVIKA</t>
        </is>
      </c>
      <c r="F650" t="inlineStr">
        <is>
          <t>Bergvik skog väst AB</t>
        </is>
      </c>
      <c r="G650" t="n">
        <v>8.4</v>
      </c>
      <c r="H650" t="n">
        <v>0</v>
      </c>
      <c r="I650" t="n">
        <v>0</v>
      </c>
      <c r="J650" t="n">
        <v>0</v>
      </c>
      <c r="K650" t="n">
        <v>0</v>
      </c>
      <c r="L650" t="n">
        <v>0</v>
      </c>
      <c r="M650" t="n">
        <v>0</v>
      </c>
      <c r="N650" t="n">
        <v>0</v>
      </c>
      <c r="O650" t="n">
        <v>0</v>
      </c>
      <c r="P650" t="n">
        <v>0</v>
      </c>
      <c r="Q650" t="n">
        <v>0</v>
      </c>
      <c r="R650" s="2" t="inlineStr"/>
    </row>
    <row r="651" ht="15" customHeight="1">
      <c r="A651" t="inlineStr">
        <is>
          <t>A 40489-2023</t>
        </is>
      </c>
      <c r="B651" s="1" t="n">
        <v>45170</v>
      </c>
      <c r="C651" s="1" t="n">
        <v>45588</v>
      </c>
      <c r="D651" t="inlineStr">
        <is>
          <t>DALARNAS LÄN</t>
        </is>
      </c>
      <c r="E651" t="inlineStr">
        <is>
          <t>LUDVIKA</t>
        </is>
      </c>
      <c r="F651" t="inlineStr">
        <is>
          <t>Sveaskog</t>
        </is>
      </c>
      <c r="G651" t="n">
        <v>22.5</v>
      </c>
      <c r="H651" t="n">
        <v>0</v>
      </c>
      <c r="I651" t="n">
        <v>0</v>
      </c>
      <c r="J651" t="n">
        <v>0</v>
      </c>
      <c r="K651" t="n">
        <v>0</v>
      </c>
      <c r="L651" t="n">
        <v>0</v>
      </c>
      <c r="M651" t="n">
        <v>0</v>
      </c>
      <c r="N651" t="n">
        <v>0</v>
      </c>
      <c r="O651" t="n">
        <v>0</v>
      </c>
      <c r="P651" t="n">
        <v>0</v>
      </c>
      <c r="Q651" t="n">
        <v>0</v>
      </c>
      <c r="R651" s="2" t="inlineStr"/>
    </row>
    <row r="652" ht="15" customHeight="1">
      <c r="A652" t="inlineStr">
        <is>
          <t>A 40499-2023</t>
        </is>
      </c>
      <c r="B652" s="1" t="n">
        <v>45170</v>
      </c>
      <c r="C652" s="1" t="n">
        <v>45588</v>
      </c>
      <c r="D652" t="inlineStr">
        <is>
          <t>DALARNAS LÄN</t>
        </is>
      </c>
      <c r="E652" t="inlineStr">
        <is>
          <t>LUDVIKA</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40672-2023</t>
        </is>
      </c>
      <c r="B653" s="1" t="n">
        <v>45170</v>
      </c>
      <c r="C653" s="1" t="n">
        <v>45588</v>
      </c>
      <c r="D653" t="inlineStr">
        <is>
          <t>DALARNAS LÄN</t>
        </is>
      </c>
      <c r="E653" t="inlineStr">
        <is>
          <t>LUDVIKA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40646-2023</t>
        </is>
      </c>
      <c r="B654" s="1" t="n">
        <v>45170</v>
      </c>
      <c r="C654" s="1" t="n">
        <v>45588</v>
      </c>
      <c r="D654" t="inlineStr">
        <is>
          <t>DALARNAS LÄN</t>
        </is>
      </c>
      <c r="E654" t="inlineStr">
        <is>
          <t>LUDVIKA</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40473-2023</t>
        </is>
      </c>
      <c r="B655" s="1" t="n">
        <v>45170</v>
      </c>
      <c r="C655" s="1" t="n">
        <v>45588</v>
      </c>
      <c r="D655" t="inlineStr">
        <is>
          <t>DALARNAS LÄN</t>
        </is>
      </c>
      <c r="E655" t="inlineStr">
        <is>
          <t>LUDVIKA</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40687-2023</t>
        </is>
      </c>
      <c r="B656" s="1" t="n">
        <v>45170</v>
      </c>
      <c r="C656" s="1" t="n">
        <v>45588</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40869-2023</t>
        </is>
      </c>
      <c r="B657" s="1" t="n">
        <v>45173</v>
      </c>
      <c r="C657" s="1" t="n">
        <v>45588</v>
      </c>
      <c r="D657" t="inlineStr">
        <is>
          <t>DALARNAS LÄN</t>
        </is>
      </c>
      <c r="E657" t="inlineStr">
        <is>
          <t>LUDVIKA</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41177-2023</t>
        </is>
      </c>
      <c r="B658" s="1" t="n">
        <v>45174</v>
      </c>
      <c r="C658" s="1" t="n">
        <v>45588</v>
      </c>
      <c r="D658" t="inlineStr">
        <is>
          <t>DALARNAS LÄN</t>
        </is>
      </c>
      <c r="E658" t="inlineStr">
        <is>
          <t>LUDVIKA</t>
        </is>
      </c>
      <c r="F658" t="inlineStr">
        <is>
          <t>Övriga Aktiebolag</t>
        </is>
      </c>
      <c r="G658" t="n">
        <v>6.7</v>
      </c>
      <c r="H658" t="n">
        <v>0</v>
      </c>
      <c r="I658" t="n">
        <v>0</v>
      </c>
      <c r="J658" t="n">
        <v>0</v>
      </c>
      <c r="K658" t="n">
        <v>0</v>
      </c>
      <c r="L658" t="n">
        <v>0</v>
      </c>
      <c r="M658" t="n">
        <v>0</v>
      </c>
      <c r="N658" t="n">
        <v>0</v>
      </c>
      <c r="O658" t="n">
        <v>0</v>
      </c>
      <c r="P658" t="n">
        <v>0</v>
      </c>
      <c r="Q658" t="n">
        <v>0</v>
      </c>
      <c r="R658" s="2" t="inlineStr"/>
    </row>
    <row r="659" ht="15" customHeight="1">
      <c r="A659" t="inlineStr">
        <is>
          <t>A 41628-2023</t>
        </is>
      </c>
      <c r="B659" s="1" t="n">
        <v>45175</v>
      </c>
      <c r="C659" s="1" t="n">
        <v>45588</v>
      </c>
      <c r="D659" t="inlineStr">
        <is>
          <t>DALARNAS LÄN</t>
        </is>
      </c>
      <c r="E659" t="inlineStr">
        <is>
          <t>LUDVIKA</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41627-2023</t>
        </is>
      </c>
      <c r="B660" s="1" t="n">
        <v>45175</v>
      </c>
      <c r="C660" s="1" t="n">
        <v>45588</v>
      </c>
      <c r="D660" t="inlineStr">
        <is>
          <t>DALARNAS LÄN</t>
        </is>
      </c>
      <c r="E660" t="inlineStr">
        <is>
          <t>LUDVIKA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41631-2023</t>
        </is>
      </c>
      <c r="B661" s="1" t="n">
        <v>45175</v>
      </c>
      <c r="C661" s="1" t="n">
        <v>45588</v>
      </c>
      <c r="D661" t="inlineStr">
        <is>
          <t>DALARNAS LÄN</t>
        </is>
      </c>
      <c r="E661" t="inlineStr">
        <is>
          <t>LUDVIKA</t>
        </is>
      </c>
      <c r="F661" t="inlineStr">
        <is>
          <t>Bergvik skog väst AB</t>
        </is>
      </c>
      <c r="G661" t="n">
        <v>3.8</v>
      </c>
      <c r="H661" t="n">
        <v>0</v>
      </c>
      <c r="I661" t="n">
        <v>0</v>
      </c>
      <c r="J661" t="n">
        <v>0</v>
      </c>
      <c r="K661" t="n">
        <v>0</v>
      </c>
      <c r="L661" t="n">
        <v>0</v>
      </c>
      <c r="M661" t="n">
        <v>0</v>
      </c>
      <c r="N661" t="n">
        <v>0</v>
      </c>
      <c r="O661" t="n">
        <v>0</v>
      </c>
      <c r="P661" t="n">
        <v>0</v>
      </c>
      <c r="Q661" t="n">
        <v>0</v>
      </c>
      <c r="R661" s="2" t="inlineStr"/>
    </row>
    <row r="662" ht="15" customHeight="1">
      <c r="A662" t="inlineStr">
        <is>
          <t>A 41668-2023</t>
        </is>
      </c>
      <c r="B662" s="1" t="n">
        <v>45176</v>
      </c>
      <c r="C662" s="1" t="n">
        <v>45588</v>
      </c>
      <c r="D662" t="inlineStr">
        <is>
          <t>DALARNAS LÄN</t>
        </is>
      </c>
      <c r="E662" t="inlineStr">
        <is>
          <t>LUDVIKA</t>
        </is>
      </c>
      <c r="G662" t="n">
        <v>1.4</v>
      </c>
      <c r="H662" t="n">
        <v>0</v>
      </c>
      <c r="I662" t="n">
        <v>0</v>
      </c>
      <c r="J662" t="n">
        <v>0</v>
      </c>
      <c r="K662" t="n">
        <v>0</v>
      </c>
      <c r="L662" t="n">
        <v>0</v>
      </c>
      <c r="M662" t="n">
        <v>0</v>
      </c>
      <c r="N662" t="n">
        <v>0</v>
      </c>
      <c r="O662" t="n">
        <v>0</v>
      </c>
      <c r="P662" t="n">
        <v>0</v>
      </c>
      <c r="Q662" t="n">
        <v>0</v>
      </c>
      <c r="R662" s="2" t="inlineStr"/>
    </row>
    <row r="663" ht="15" customHeight="1">
      <c r="A663" t="inlineStr">
        <is>
          <t>A 41993-2023</t>
        </is>
      </c>
      <c r="B663" s="1" t="n">
        <v>45177</v>
      </c>
      <c r="C663" s="1" t="n">
        <v>45588</v>
      </c>
      <c r="D663" t="inlineStr">
        <is>
          <t>DALARNAS LÄN</t>
        </is>
      </c>
      <c r="E663" t="inlineStr">
        <is>
          <t>LUDVIKA</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41988-2023</t>
        </is>
      </c>
      <c r="B664" s="1" t="n">
        <v>45177</v>
      </c>
      <c r="C664" s="1" t="n">
        <v>45588</v>
      </c>
      <c r="D664" t="inlineStr">
        <is>
          <t>DALARNAS LÄN</t>
        </is>
      </c>
      <c r="E664" t="inlineStr">
        <is>
          <t>LUDVIKA</t>
        </is>
      </c>
      <c r="F664" t="inlineStr">
        <is>
          <t>Sveaskog</t>
        </is>
      </c>
      <c r="G664" t="n">
        <v>22.2</v>
      </c>
      <c r="H664" t="n">
        <v>0</v>
      </c>
      <c r="I664" t="n">
        <v>0</v>
      </c>
      <c r="J664" t="n">
        <v>0</v>
      </c>
      <c r="K664" t="n">
        <v>0</v>
      </c>
      <c r="L664" t="n">
        <v>0</v>
      </c>
      <c r="M664" t="n">
        <v>0</v>
      </c>
      <c r="N664" t="n">
        <v>0</v>
      </c>
      <c r="O664" t="n">
        <v>0</v>
      </c>
      <c r="P664" t="n">
        <v>0</v>
      </c>
      <c r="Q664" t="n">
        <v>0</v>
      </c>
      <c r="R664" s="2" t="inlineStr"/>
    </row>
    <row r="665" ht="15" customHeight="1">
      <c r="A665" t="inlineStr">
        <is>
          <t>A 42022-2023</t>
        </is>
      </c>
      <c r="B665" s="1" t="n">
        <v>45177</v>
      </c>
      <c r="C665" s="1" t="n">
        <v>45588</v>
      </c>
      <c r="D665" t="inlineStr">
        <is>
          <t>DALARNAS LÄN</t>
        </is>
      </c>
      <c r="E665" t="inlineStr">
        <is>
          <t>LUDVIKA</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41991-2023</t>
        </is>
      </c>
      <c r="B666" s="1" t="n">
        <v>45177</v>
      </c>
      <c r="C666" s="1" t="n">
        <v>45588</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42268-2023</t>
        </is>
      </c>
      <c r="B667" s="1" t="n">
        <v>45180</v>
      </c>
      <c r="C667" s="1" t="n">
        <v>45588</v>
      </c>
      <c r="D667" t="inlineStr">
        <is>
          <t>DALARNAS LÄN</t>
        </is>
      </c>
      <c r="E667" t="inlineStr">
        <is>
          <t>LUDVIKA</t>
        </is>
      </c>
      <c r="F667" t="inlineStr">
        <is>
          <t>Bergvik skog väst AB</t>
        </is>
      </c>
      <c r="G667" t="n">
        <v>10.6</v>
      </c>
      <c r="H667" t="n">
        <v>0</v>
      </c>
      <c r="I667" t="n">
        <v>0</v>
      </c>
      <c r="J667" t="n">
        <v>0</v>
      </c>
      <c r="K667" t="n">
        <v>0</v>
      </c>
      <c r="L667" t="n">
        <v>0</v>
      </c>
      <c r="M667" t="n">
        <v>0</v>
      </c>
      <c r="N667" t="n">
        <v>0</v>
      </c>
      <c r="O667" t="n">
        <v>0</v>
      </c>
      <c r="P667" t="n">
        <v>0</v>
      </c>
      <c r="Q667" t="n">
        <v>0</v>
      </c>
      <c r="R667" s="2" t="inlineStr"/>
    </row>
    <row r="668" ht="15" customHeight="1">
      <c r="A668" t="inlineStr">
        <is>
          <t>A 42367-2023</t>
        </is>
      </c>
      <c r="B668" s="1" t="n">
        <v>45180</v>
      </c>
      <c r="C668" s="1" t="n">
        <v>45588</v>
      </c>
      <c r="D668" t="inlineStr">
        <is>
          <t>DALARNAS LÄN</t>
        </is>
      </c>
      <c r="E668" t="inlineStr">
        <is>
          <t>LUDVIKA</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42860-2023</t>
        </is>
      </c>
      <c r="B669" s="1" t="n">
        <v>45182</v>
      </c>
      <c r="C669" s="1" t="n">
        <v>45588</v>
      </c>
      <c r="D669" t="inlineStr">
        <is>
          <t>DALARNAS LÄN</t>
        </is>
      </c>
      <c r="E669" t="inlineStr">
        <is>
          <t>LUDVIKA</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42843-2023</t>
        </is>
      </c>
      <c r="B670" s="1" t="n">
        <v>45182</v>
      </c>
      <c r="C670" s="1" t="n">
        <v>45588</v>
      </c>
      <c r="D670" t="inlineStr">
        <is>
          <t>DALARNAS LÄN</t>
        </is>
      </c>
      <c r="E670" t="inlineStr">
        <is>
          <t>LUDVIKA</t>
        </is>
      </c>
      <c r="F670" t="inlineStr">
        <is>
          <t>Bergvik skog väst AB</t>
        </is>
      </c>
      <c r="G670" t="n">
        <v>15.6</v>
      </c>
      <c r="H670" t="n">
        <v>0</v>
      </c>
      <c r="I670" t="n">
        <v>0</v>
      </c>
      <c r="J670" t="n">
        <v>0</v>
      </c>
      <c r="K670" t="n">
        <v>0</v>
      </c>
      <c r="L670" t="n">
        <v>0</v>
      </c>
      <c r="M670" t="n">
        <v>0</v>
      </c>
      <c r="N670" t="n">
        <v>0</v>
      </c>
      <c r="O670" t="n">
        <v>0</v>
      </c>
      <c r="P670" t="n">
        <v>0</v>
      </c>
      <c r="Q670" t="n">
        <v>0</v>
      </c>
      <c r="R670" s="2" t="inlineStr"/>
    </row>
    <row r="671" ht="15" customHeight="1">
      <c r="A671" t="inlineStr">
        <is>
          <t>A 42857-2023</t>
        </is>
      </c>
      <c r="B671" s="1" t="n">
        <v>45182</v>
      </c>
      <c r="C671" s="1" t="n">
        <v>45588</v>
      </c>
      <c r="D671" t="inlineStr">
        <is>
          <t>DALARNAS LÄN</t>
        </is>
      </c>
      <c r="E671" t="inlineStr">
        <is>
          <t>LUDVIKA</t>
        </is>
      </c>
      <c r="F671" t="inlineStr">
        <is>
          <t>Bergvik skog väst AB</t>
        </is>
      </c>
      <c r="G671" t="n">
        <v>6.7</v>
      </c>
      <c r="H671" t="n">
        <v>0</v>
      </c>
      <c r="I671" t="n">
        <v>0</v>
      </c>
      <c r="J671" t="n">
        <v>0</v>
      </c>
      <c r="K671" t="n">
        <v>0</v>
      </c>
      <c r="L671" t="n">
        <v>0</v>
      </c>
      <c r="M671" t="n">
        <v>0</v>
      </c>
      <c r="N671" t="n">
        <v>0</v>
      </c>
      <c r="O671" t="n">
        <v>0</v>
      </c>
      <c r="P671" t="n">
        <v>0</v>
      </c>
      <c r="Q671" t="n">
        <v>0</v>
      </c>
      <c r="R671" s="2" t="inlineStr"/>
    </row>
    <row r="672" ht="15" customHeight="1">
      <c r="A672" t="inlineStr">
        <is>
          <t>A 43214-2023</t>
        </is>
      </c>
      <c r="B672" s="1" t="n">
        <v>45183</v>
      </c>
      <c r="C672" s="1" t="n">
        <v>45588</v>
      </c>
      <c r="D672" t="inlineStr">
        <is>
          <t>DALARNAS LÄN</t>
        </is>
      </c>
      <c r="E672" t="inlineStr">
        <is>
          <t>LUDVIKA</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43470-2023</t>
        </is>
      </c>
      <c r="B673" s="1" t="n">
        <v>45184</v>
      </c>
      <c r="C673" s="1" t="n">
        <v>45588</v>
      </c>
      <c r="D673" t="inlineStr">
        <is>
          <t>DALARNAS LÄN</t>
        </is>
      </c>
      <c r="E673" t="inlineStr">
        <is>
          <t>LUDVIKA</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43586-2023</t>
        </is>
      </c>
      <c r="B674" s="1" t="n">
        <v>45184</v>
      </c>
      <c r="C674" s="1" t="n">
        <v>45588</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43589-2023</t>
        </is>
      </c>
      <c r="B675" s="1" t="n">
        <v>45184</v>
      </c>
      <c r="C675" s="1" t="n">
        <v>45588</v>
      </c>
      <c r="D675" t="inlineStr">
        <is>
          <t>DALARNAS LÄN</t>
        </is>
      </c>
      <c r="E675" t="inlineStr">
        <is>
          <t>LUDVIKA</t>
        </is>
      </c>
      <c r="F675" t="inlineStr">
        <is>
          <t>Bergvik skog väst AB</t>
        </is>
      </c>
      <c r="G675" t="n">
        <v>3.5</v>
      </c>
      <c r="H675" t="n">
        <v>0</v>
      </c>
      <c r="I675" t="n">
        <v>0</v>
      </c>
      <c r="J675" t="n">
        <v>0</v>
      </c>
      <c r="K675" t="n">
        <v>0</v>
      </c>
      <c r="L675" t="n">
        <v>0</v>
      </c>
      <c r="M675" t="n">
        <v>0</v>
      </c>
      <c r="N675" t="n">
        <v>0</v>
      </c>
      <c r="O675" t="n">
        <v>0</v>
      </c>
      <c r="P675" t="n">
        <v>0</v>
      </c>
      <c r="Q675" t="n">
        <v>0</v>
      </c>
      <c r="R675" s="2" t="inlineStr"/>
    </row>
    <row r="676" ht="15" customHeight="1">
      <c r="A676" t="inlineStr">
        <is>
          <t>A 43681-2023</t>
        </is>
      </c>
      <c r="B676" s="1" t="n">
        <v>45187</v>
      </c>
      <c r="C676" s="1" t="n">
        <v>45588</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43679-2023</t>
        </is>
      </c>
      <c r="B677" s="1" t="n">
        <v>45187</v>
      </c>
      <c r="C677" s="1" t="n">
        <v>45588</v>
      </c>
      <c r="D677" t="inlineStr">
        <is>
          <t>DALARNAS LÄN</t>
        </is>
      </c>
      <c r="E677" t="inlineStr">
        <is>
          <t>LUDVIKA</t>
        </is>
      </c>
      <c r="F677" t="inlineStr">
        <is>
          <t>Bergvik skog väst AB</t>
        </is>
      </c>
      <c r="G677" t="n">
        <v>5.2</v>
      </c>
      <c r="H677" t="n">
        <v>0</v>
      </c>
      <c r="I677" t="n">
        <v>0</v>
      </c>
      <c r="J677" t="n">
        <v>0</v>
      </c>
      <c r="K677" t="n">
        <v>0</v>
      </c>
      <c r="L677" t="n">
        <v>0</v>
      </c>
      <c r="M677" t="n">
        <v>0</v>
      </c>
      <c r="N677" t="n">
        <v>0</v>
      </c>
      <c r="O677" t="n">
        <v>0</v>
      </c>
      <c r="P677" t="n">
        <v>0</v>
      </c>
      <c r="Q677" t="n">
        <v>0</v>
      </c>
      <c r="R677" s="2" t="inlineStr"/>
    </row>
    <row r="678" ht="15" customHeight="1">
      <c r="A678" t="inlineStr">
        <is>
          <t>A 43674-2023</t>
        </is>
      </c>
      <c r="B678" s="1" t="n">
        <v>45187</v>
      </c>
      <c r="C678" s="1" t="n">
        <v>45588</v>
      </c>
      <c r="D678" t="inlineStr">
        <is>
          <t>DALARNAS LÄN</t>
        </is>
      </c>
      <c r="E678" t="inlineStr">
        <is>
          <t>LUDVIKA</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43797-2023</t>
        </is>
      </c>
      <c r="B679" s="1" t="n">
        <v>45187</v>
      </c>
      <c r="C679" s="1" t="n">
        <v>45588</v>
      </c>
      <c r="D679" t="inlineStr">
        <is>
          <t>DALARNAS LÄN</t>
        </is>
      </c>
      <c r="E679" t="inlineStr">
        <is>
          <t>LUDVIKA</t>
        </is>
      </c>
      <c r="F679" t="inlineStr">
        <is>
          <t>Bergvik skog väst AB</t>
        </is>
      </c>
      <c r="G679" t="n">
        <v>5.7</v>
      </c>
      <c r="H679" t="n">
        <v>0</v>
      </c>
      <c r="I679" t="n">
        <v>0</v>
      </c>
      <c r="J679" t="n">
        <v>0</v>
      </c>
      <c r="K679" t="n">
        <v>0</v>
      </c>
      <c r="L679" t="n">
        <v>0</v>
      </c>
      <c r="M679" t="n">
        <v>0</v>
      </c>
      <c r="N679" t="n">
        <v>0</v>
      </c>
      <c r="O679" t="n">
        <v>0</v>
      </c>
      <c r="P679" t="n">
        <v>0</v>
      </c>
      <c r="Q679" t="n">
        <v>0</v>
      </c>
      <c r="R679" s="2" t="inlineStr"/>
    </row>
    <row r="680" ht="15" customHeight="1">
      <c r="A680" t="inlineStr">
        <is>
          <t>A 43839-2023</t>
        </is>
      </c>
      <c r="B680" s="1" t="n">
        <v>45187</v>
      </c>
      <c r="C680" s="1" t="n">
        <v>45588</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43867-2023</t>
        </is>
      </c>
      <c r="B681" s="1" t="n">
        <v>45187</v>
      </c>
      <c r="C681" s="1" t="n">
        <v>45588</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44088-2023</t>
        </is>
      </c>
      <c r="B682" s="1" t="n">
        <v>45188</v>
      </c>
      <c r="C682" s="1" t="n">
        <v>45588</v>
      </c>
      <c r="D682" t="inlineStr">
        <is>
          <t>DALARNAS LÄN</t>
        </is>
      </c>
      <c r="E682" t="inlineStr">
        <is>
          <t>LUDVIKA</t>
        </is>
      </c>
      <c r="F682" t="inlineStr">
        <is>
          <t>Bergvik skog väst AB</t>
        </is>
      </c>
      <c r="G682" t="n">
        <v>3.9</v>
      </c>
      <c r="H682" t="n">
        <v>0</v>
      </c>
      <c r="I682" t="n">
        <v>0</v>
      </c>
      <c r="J682" t="n">
        <v>0</v>
      </c>
      <c r="K682" t="n">
        <v>0</v>
      </c>
      <c r="L682" t="n">
        <v>0</v>
      </c>
      <c r="M682" t="n">
        <v>0</v>
      </c>
      <c r="N682" t="n">
        <v>0</v>
      </c>
      <c r="O682" t="n">
        <v>0</v>
      </c>
      <c r="P682" t="n">
        <v>0</v>
      </c>
      <c r="Q682" t="n">
        <v>0</v>
      </c>
      <c r="R682" s="2" t="inlineStr"/>
    </row>
    <row r="683" ht="15" customHeight="1">
      <c r="A683" t="inlineStr">
        <is>
          <t>A 44099-2023</t>
        </is>
      </c>
      <c r="B683" s="1" t="n">
        <v>45188</v>
      </c>
      <c r="C683" s="1" t="n">
        <v>45588</v>
      </c>
      <c r="D683" t="inlineStr">
        <is>
          <t>DALARNAS LÄN</t>
        </is>
      </c>
      <c r="E683" t="inlineStr">
        <is>
          <t>LUDVIKA</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44103-2023</t>
        </is>
      </c>
      <c r="B684" s="1" t="n">
        <v>45188</v>
      </c>
      <c r="C684" s="1" t="n">
        <v>45588</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44312-2023</t>
        </is>
      </c>
      <c r="B685" s="1" t="n">
        <v>45188</v>
      </c>
      <c r="C685" s="1" t="n">
        <v>45588</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44093-2023</t>
        </is>
      </c>
      <c r="B686" s="1" t="n">
        <v>45188</v>
      </c>
      <c r="C686" s="1" t="n">
        <v>45588</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44110-2023</t>
        </is>
      </c>
      <c r="B687" s="1" t="n">
        <v>45188</v>
      </c>
      <c r="C687" s="1" t="n">
        <v>45588</v>
      </c>
      <c r="D687" t="inlineStr">
        <is>
          <t>DALARNAS LÄN</t>
        </is>
      </c>
      <c r="E687" t="inlineStr">
        <is>
          <t>LUDVIKA</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44520-2023</t>
        </is>
      </c>
      <c r="B688" s="1" t="n">
        <v>45189</v>
      </c>
      <c r="C688" s="1" t="n">
        <v>45588</v>
      </c>
      <c r="D688" t="inlineStr">
        <is>
          <t>DALARNAS LÄN</t>
        </is>
      </c>
      <c r="E688" t="inlineStr">
        <is>
          <t>LUDVIKA</t>
        </is>
      </c>
      <c r="G688" t="n">
        <v>0.7</v>
      </c>
      <c r="H688" t="n">
        <v>0</v>
      </c>
      <c r="I688" t="n">
        <v>0</v>
      </c>
      <c r="J688" t="n">
        <v>0</v>
      </c>
      <c r="K688" t="n">
        <v>0</v>
      </c>
      <c r="L688" t="n">
        <v>0</v>
      </c>
      <c r="M688" t="n">
        <v>0</v>
      </c>
      <c r="N688" t="n">
        <v>0</v>
      </c>
      <c r="O688" t="n">
        <v>0</v>
      </c>
      <c r="P688" t="n">
        <v>0</v>
      </c>
      <c r="Q688" t="n">
        <v>0</v>
      </c>
      <c r="R688" s="2" t="inlineStr"/>
    </row>
    <row r="689" ht="15" customHeight="1">
      <c r="A689" t="inlineStr">
        <is>
          <t>A 45094-2023</t>
        </is>
      </c>
      <c r="B689" s="1" t="n">
        <v>45191</v>
      </c>
      <c r="C689" s="1" t="n">
        <v>45588</v>
      </c>
      <c r="D689" t="inlineStr">
        <is>
          <t>DALARNAS LÄN</t>
        </is>
      </c>
      <c r="E689" t="inlineStr">
        <is>
          <t>LUDVIKA</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45045-2023</t>
        </is>
      </c>
      <c r="B690" s="1" t="n">
        <v>45191</v>
      </c>
      <c r="C690" s="1" t="n">
        <v>45588</v>
      </c>
      <c r="D690" t="inlineStr">
        <is>
          <t>DALARNAS LÄN</t>
        </is>
      </c>
      <c r="E690" t="inlineStr">
        <is>
          <t>LUDVIKA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45046-2023</t>
        </is>
      </c>
      <c r="B691" s="1" t="n">
        <v>45191</v>
      </c>
      <c r="C691" s="1" t="n">
        <v>45588</v>
      </c>
      <c r="D691" t="inlineStr">
        <is>
          <t>DALARNAS LÄN</t>
        </is>
      </c>
      <c r="E691" t="inlineStr">
        <is>
          <t>LUDVIKA</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45083-2023</t>
        </is>
      </c>
      <c r="B692" s="1" t="n">
        <v>45191</v>
      </c>
      <c r="C692" s="1" t="n">
        <v>45588</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45128-2023</t>
        </is>
      </c>
      <c r="B693" s="1" t="n">
        <v>45191</v>
      </c>
      <c r="C693" s="1" t="n">
        <v>45588</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45140-2023</t>
        </is>
      </c>
      <c r="B694" s="1" t="n">
        <v>45191</v>
      </c>
      <c r="C694" s="1" t="n">
        <v>45588</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45127-2023</t>
        </is>
      </c>
      <c r="B695" s="1" t="n">
        <v>45191</v>
      </c>
      <c r="C695" s="1" t="n">
        <v>45588</v>
      </c>
      <c r="D695" t="inlineStr">
        <is>
          <t>DALARNAS LÄN</t>
        </is>
      </c>
      <c r="E695" t="inlineStr">
        <is>
          <t>LUDVIKA</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45124-2023</t>
        </is>
      </c>
      <c r="B696" s="1" t="n">
        <v>45191</v>
      </c>
      <c r="C696" s="1" t="n">
        <v>45588</v>
      </c>
      <c r="D696" t="inlineStr">
        <is>
          <t>DALARNAS LÄN</t>
        </is>
      </c>
      <c r="E696" t="inlineStr">
        <is>
          <t>LUDVIKA</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45541-2023</t>
        </is>
      </c>
      <c r="B697" s="1" t="n">
        <v>45194</v>
      </c>
      <c r="C697" s="1" t="n">
        <v>45588</v>
      </c>
      <c r="D697" t="inlineStr">
        <is>
          <t>DALARNAS LÄN</t>
        </is>
      </c>
      <c r="E697" t="inlineStr">
        <is>
          <t>LUDVIKA</t>
        </is>
      </c>
      <c r="G697" t="n">
        <v>2.8</v>
      </c>
      <c r="H697" t="n">
        <v>0</v>
      </c>
      <c r="I697" t="n">
        <v>0</v>
      </c>
      <c r="J697" t="n">
        <v>0</v>
      </c>
      <c r="K697" t="n">
        <v>0</v>
      </c>
      <c r="L697" t="n">
        <v>0</v>
      </c>
      <c r="M697" t="n">
        <v>0</v>
      </c>
      <c r="N697" t="n">
        <v>0</v>
      </c>
      <c r="O697" t="n">
        <v>0</v>
      </c>
      <c r="P697" t="n">
        <v>0</v>
      </c>
      <c r="Q697" t="n">
        <v>0</v>
      </c>
      <c r="R697" s="2" t="inlineStr"/>
    </row>
    <row r="698" ht="15" customHeight="1">
      <c r="A698" t="inlineStr">
        <is>
          <t>A 45853-2023</t>
        </is>
      </c>
      <c r="B698" s="1" t="n">
        <v>45195</v>
      </c>
      <c r="C698" s="1" t="n">
        <v>45588</v>
      </c>
      <c r="D698" t="inlineStr">
        <is>
          <t>DALARNAS LÄN</t>
        </is>
      </c>
      <c r="E698" t="inlineStr">
        <is>
          <t>LUDVIKA</t>
        </is>
      </c>
      <c r="G698" t="n">
        <v>3.8</v>
      </c>
      <c r="H698" t="n">
        <v>0</v>
      </c>
      <c r="I698" t="n">
        <v>0</v>
      </c>
      <c r="J698" t="n">
        <v>0</v>
      </c>
      <c r="K698" t="n">
        <v>0</v>
      </c>
      <c r="L698" t="n">
        <v>0</v>
      </c>
      <c r="M698" t="n">
        <v>0</v>
      </c>
      <c r="N698" t="n">
        <v>0</v>
      </c>
      <c r="O698" t="n">
        <v>0</v>
      </c>
      <c r="P698" t="n">
        <v>0</v>
      </c>
      <c r="Q698" t="n">
        <v>0</v>
      </c>
      <c r="R698" s="2" t="inlineStr"/>
    </row>
    <row r="699" ht="15" customHeight="1">
      <c r="A699" t="inlineStr">
        <is>
          <t>A 46074-2023</t>
        </is>
      </c>
      <c r="B699" s="1" t="n">
        <v>45196</v>
      </c>
      <c r="C699" s="1" t="n">
        <v>45588</v>
      </c>
      <c r="D699" t="inlineStr">
        <is>
          <t>DALARNAS LÄN</t>
        </is>
      </c>
      <c r="E699" t="inlineStr">
        <is>
          <t>LUDVIKA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46140-2023</t>
        </is>
      </c>
      <c r="B700" s="1" t="n">
        <v>45196</v>
      </c>
      <c r="C700" s="1" t="n">
        <v>45588</v>
      </c>
      <c r="D700" t="inlineStr">
        <is>
          <t>DALARNAS LÄN</t>
        </is>
      </c>
      <c r="E700" t="inlineStr">
        <is>
          <t>LUDVIKA</t>
        </is>
      </c>
      <c r="F700" t="inlineStr">
        <is>
          <t>Bergvik skog väst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46571-2023</t>
        </is>
      </c>
      <c r="B701" s="1" t="n">
        <v>45198</v>
      </c>
      <c r="C701" s="1" t="n">
        <v>45588</v>
      </c>
      <c r="D701" t="inlineStr">
        <is>
          <t>DALARNAS LÄN</t>
        </is>
      </c>
      <c r="E701" t="inlineStr">
        <is>
          <t>LUDVIKA</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46570-2023</t>
        </is>
      </c>
      <c r="B702" s="1" t="n">
        <v>45198</v>
      </c>
      <c r="C702" s="1" t="n">
        <v>45588</v>
      </c>
      <c r="D702" t="inlineStr">
        <is>
          <t>DALARNAS LÄN</t>
        </is>
      </c>
      <c r="E702" t="inlineStr">
        <is>
          <t>LUDVIKA</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46622-2023</t>
        </is>
      </c>
      <c r="B703" s="1" t="n">
        <v>45198</v>
      </c>
      <c r="C703" s="1" t="n">
        <v>45588</v>
      </c>
      <c r="D703" t="inlineStr">
        <is>
          <t>DALARNAS LÄN</t>
        </is>
      </c>
      <c r="E703" t="inlineStr">
        <is>
          <t>LUDVIKA</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46654-2023</t>
        </is>
      </c>
      <c r="B704" s="1" t="n">
        <v>45198</v>
      </c>
      <c r="C704" s="1" t="n">
        <v>45588</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46647-2023</t>
        </is>
      </c>
      <c r="B705" s="1" t="n">
        <v>45198</v>
      </c>
      <c r="C705" s="1" t="n">
        <v>45588</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46656-2023</t>
        </is>
      </c>
      <c r="B706" s="1" t="n">
        <v>45198</v>
      </c>
      <c r="C706" s="1" t="n">
        <v>45588</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46660-2023</t>
        </is>
      </c>
      <c r="B707" s="1" t="n">
        <v>45198</v>
      </c>
      <c r="C707" s="1" t="n">
        <v>45588</v>
      </c>
      <c r="D707" t="inlineStr">
        <is>
          <t>DALARNAS LÄN</t>
        </is>
      </c>
      <c r="E707" t="inlineStr">
        <is>
          <t>LUDVIKA</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46620-2023</t>
        </is>
      </c>
      <c r="B708" s="1" t="n">
        <v>45198</v>
      </c>
      <c r="C708" s="1" t="n">
        <v>45588</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46657-2023</t>
        </is>
      </c>
      <c r="B709" s="1" t="n">
        <v>45198</v>
      </c>
      <c r="C709" s="1" t="n">
        <v>45588</v>
      </c>
      <c r="D709" t="inlineStr">
        <is>
          <t>DALARNAS LÄN</t>
        </is>
      </c>
      <c r="E709" t="inlineStr">
        <is>
          <t>LUDVIKA</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47269-2023</t>
        </is>
      </c>
      <c r="B710" s="1" t="n">
        <v>45202</v>
      </c>
      <c r="C710" s="1" t="n">
        <v>45588</v>
      </c>
      <c r="D710" t="inlineStr">
        <is>
          <t>DALARNAS LÄN</t>
        </is>
      </c>
      <c r="E710" t="inlineStr">
        <is>
          <t>LUDVIKA</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47349-2023</t>
        </is>
      </c>
      <c r="B711" s="1" t="n">
        <v>45202</v>
      </c>
      <c r="C711" s="1" t="n">
        <v>45588</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47281-2023</t>
        </is>
      </c>
      <c r="B712" s="1" t="n">
        <v>45202</v>
      </c>
      <c r="C712" s="1" t="n">
        <v>45588</v>
      </c>
      <c r="D712" t="inlineStr">
        <is>
          <t>DALARNAS LÄN</t>
        </is>
      </c>
      <c r="E712" t="inlineStr">
        <is>
          <t>LUDVIKA</t>
        </is>
      </c>
      <c r="G712" t="n">
        <v>2.6</v>
      </c>
      <c r="H712" t="n">
        <v>0</v>
      </c>
      <c r="I712" t="n">
        <v>0</v>
      </c>
      <c r="J712" t="n">
        <v>0</v>
      </c>
      <c r="K712" t="n">
        <v>0</v>
      </c>
      <c r="L712" t="n">
        <v>0</v>
      </c>
      <c r="M712" t="n">
        <v>0</v>
      </c>
      <c r="N712" t="n">
        <v>0</v>
      </c>
      <c r="O712" t="n">
        <v>0</v>
      </c>
      <c r="P712" t="n">
        <v>0</v>
      </c>
      <c r="Q712" t="n">
        <v>0</v>
      </c>
      <c r="R712" s="2" t="inlineStr"/>
    </row>
    <row r="713" ht="15" customHeight="1">
      <c r="A713" t="inlineStr">
        <is>
          <t>A 47366-2023</t>
        </is>
      </c>
      <c r="B713" s="1" t="n">
        <v>45202</v>
      </c>
      <c r="C713" s="1" t="n">
        <v>45588</v>
      </c>
      <c r="D713" t="inlineStr">
        <is>
          <t>DALARNAS LÄN</t>
        </is>
      </c>
      <c r="E713" t="inlineStr">
        <is>
          <t>LUDVIKA</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47429-2023</t>
        </is>
      </c>
      <c r="B714" s="1" t="n">
        <v>45202</v>
      </c>
      <c r="C714" s="1" t="n">
        <v>45588</v>
      </c>
      <c r="D714" t="inlineStr">
        <is>
          <t>DALARNAS LÄN</t>
        </is>
      </c>
      <c r="E714" t="inlineStr">
        <is>
          <t>LUDVIKA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47940-2023</t>
        </is>
      </c>
      <c r="B715" s="1" t="n">
        <v>45204</v>
      </c>
      <c r="C715" s="1" t="n">
        <v>45588</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48003-2023</t>
        </is>
      </c>
      <c r="B716" s="1" t="n">
        <v>45204</v>
      </c>
      <c r="C716" s="1" t="n">
        <v>45588</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48212-2023</t>
        </is>
      </c>
      <c r="B717" s="1" t="n">
        <v>45205</v>
      </c>
      <c r="C717" s="1" t="n">
        <v>45588</v>
      </c>
      <c r="D717" t="inlineStr">
        <is>
          <t>DALARNAS LÄN</t>
        </is>
      </c>
      <c r="E717" t="inlineStr">
        <is>
          <t>LUDVIKA</t>
        </is>
      </c>
      <c r="F717" t="inlineStr">
        <is>
          <t>Bergvik skog väst AB</t>
        </is>
      </c>
      <c r="G717" t="n">
        <v>6.5</v>
      </c>
      <c r="H717" t="n">
        <v>0</v>
      </c>
      <c r="I717" t="n">
        <v>0</v>
      </c>
      <c r="J717" t="n">
        <v>0</v>
      </c>
      <c r="K717" t="n">
        <v>0</v>
      </c>
      <c r="L717" t="n">
        <v>0</v>
      </c>
      <c r="M717" t="n">
        <v>0</v>
      </c>
      <c r="N717" t="n">
        <v>0</v>
      </c>
      <c r="O717" t="n">
        <v>0</v>
      </c>
      <c r="P717" t="n">
        <v>0</v>
      </c>
      <c r="Q717" t="n">
        <v>0</v>
      </c>
      <c r="R717" s="2" t="inlineStr"/>
    </row>
    <row r="718" ht="15" customHeight="1">
      <c r="A718" t="inlineStr">
        <is>
          <t>A 48288-2023</t>
        </is>
      </c>
      <c r="B718" s="1" t="n">
        <v>45205</v>
      </c>
      <c r="C718" s="1" t="n">
        <v>45588</v>
      </c>
      <c r="D718" t="inlineStr">
        <is>
          <t>DALARNAS LÄN</t>
        </is>
      </c>
      <c r="E718" t="inlineStr">
        <is>
          <t>LUDVIKA</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48352-2023</t>
        </is>
      </c>
      <c r="B719" s="1" t="n">
        <v>45205</v>
      </c>
      <c r="C719" s="1" t="n">
        <v>45588</v>
      </c>
      <c r="D719" t="inlineStr">
        <is>
          <t>DALARNAS LÄN</t>
        </is>
      </c>
      <c r="E719" t="inlineStr">
        <is>
          <t>LUDVIKA</t>
        </is>
      </c>
      <c r="F719" t="inlineStr">
        <is>
          <t>Bergvik skog väst AB</t>
        </is>
      </c>
      <c r="G719" t="n">
        <v>12.8</v>
      </c>
      <c r="H719" t="n">
        <v>0</v>
      </c>
      <c r="I719" t="n">
        <v>0</v>
      </c>
      <c r="J719" t="n">
        <v>0</v>
      </c>
      <c r="K719" t="n">
        <v>0</v>
      </c>
      <c r="L719" t="n">
        <v>0</v>
      </c>
      <c r="M719" t="n">
        <v>0</v>
      </c>
      <c r="N719" t="n">
        <v>0</v>
      </c>
      <c r="O719" t="n">
        <v>0</v>
      </c>
      <c r="P719" t="n">
        <v>0</v>
      </c>
      <c r="Q719" t="n">
        <v>0</v>
      </c>
      <c r="R719" s="2" t="inlineStr"/>
    </row>
    <row r="720" ht="15" customHeight="1">
      <c r="A720" t="inlineStr">
        <is>
          <t>A 48331-2023</t>
        </is>
      </c>
      <c r="B720" s="1" t="n">
        <v>45205</v>
      </c>
      <c r="C720" s="1" t="n">
        <v>45588</v>
      </c>
      <c r="D720" t="inlineStr">
        <is>
          <t>DALARNAS LÄN</t>
        </is>
      </c>
      <c r="E720" t="inlineStr">
        <is>
          <t>LUDVIKA</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48559-2023</t>
        </is>
      </c>
      <c r="B721" s="1" t="n">
        <v>45208</v>
      </c>
      <c r="C721" s="1" t="n">
        <v>45588</v>
      </c>
      <c r="D721" t="inlineStr">
        <is>
          <t>DALARNAS LÄN</t>
        </is>
      </c>
      <c r="E721" t="inlineStr">
        <is>
          <t>LUDVIKA</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48589-2023</t>
        </is>
      </c>
      <c r="B722" s="1" t="n">
        <v>45208</v>
      </c>
      <c r="C722" s="1" t="n">
        <v>45588</v>
      </c>
      <c r="D722" t="inlineStr">
        <is>
          <t>DALARNAS LÄN</t>
        </is>
      </c>
      <c r="E722" t="inlineStr">
        <is>
          <t>LUDVIKA</t>
        </is>
      </c>
      <c r="F722" t="inlineStr">
        <is>
          <t>Naturvårdsverket</t>
        </is>
      </c>
      <c r="G722" t="n">
        <v>0.7</v>
      </c>
      <c r="H722" t="n">
        <v>0</v>
      </c>
      <c r="I722" t="n">
        <v>0</v>
      </c>
      <c r="J722" t="n">
        <v>0</v>
      </c>
      <c r="K722" t="n">
        <v>0</v>
      </c>
      <c r="L722" t="n">
        <v>0</v>
      </c>
      <c r="M722" t="n">
        <v>0</v>
      </c>
      <c r="N722" t="n">
        <v>0</v>
      </c>
      <c r="O722" t="n">
        <v>0</v>
      </c>
      <c r="P722" t="n">
        <v>0</v>
      </c>
      <c r="Q722" t="n">
        <v>0</v>
      </c>
      <c r="R722" s="2" t="inlineStr"/>
    </row>
    <row r="723" ht="15" customHeight="1">
      <c r="A723" t="inlineStr">
        <is>
          <t>A 48522-2023</t>
        </is>
      </c>
      <c r="B723" s="1" t="n">
        <v>45208</v>
      </c>
      <c r="C723" s="1" t="n">
        <v>45588</v>
      </c>
      <c r="D723" t="inlineStr">
        <is>
          <t>DALARNAS LÄN</t>
        </is>
      </c>
      <c r="E723" t="inlineStr">
        <is>
          <t>LUDVIKA</t>
        </is>
      </c>
      <c r="F723" t="inlineStr">
        <is>
          <t>Bergvik skog väst AB</t>
        </is>
      </c>
      <c r="G723" t="n">
        <v>1.7</v>
      </c>
      <c r="H723" t="n">
        <v>0</v>
      </c>
      <c r="I723" t="n">
        <v>0</v>
      </c>
      <c r="J723" t="n">
        <v>0</v>
      </c>
      <c r="K723" t="n">
        <v>0</v>
      </c>
      <c r="L723" t="n">
        <v>0</v>
      </c>
      <c r="M723" t="n">
        <v>0</v>
      </c>
      <c r="N723" t="n">
        <v>0</v>
      </c>
      <c r="O723" t="n">
        <v>0</v>
      </c>
      <c r="P723" t="n">
        <v>0</v>
      </c>
      <c r="Q723" t="n">
        <v>0</v>
      </c>
      <c r="R723" s="2" t="inlineStr"/>
    </row>
    <row r="724" ht="15" customHeight="1">
      <c r="A724" t="inlineStr">
        <is>
          <t>A 48615-2023</t>
        </is>
      </c>
      <c r="B724" s="1" t="n">
        <v>45208</v>
      </c>
      <c r="C724" s="1" t="n">
        <v>45588</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48683-2023</t>
        </is>
      </c>
      <c r="B725" s="1" t="n">
        <v>45208</v>
      </c>
      <c r="C725" s="1" t="n">
        <v>45588</v>
      </c>
      <c r="D725" t="inlineStr">
        <is>
          <t>DALARNAS LÄN</t>
        </is>
      </c>
      <c r="E725" t="inlineStr">
        <is>
          <t>LUDVIKA</t>
        </is>
      </c>
      <c r="G725" t="n">
        <v>1.3</v>
      </c>
      <c r="H725" t="n">
        <v>0</v>
      </c>
      <c r="I725" t="n">
        <v>0</v>
      </c>
      <c r="J725" t="n">
        <v>0</v>
      </c>
      <c r="K725" t="n">
        <v>0</v>
      </c>
      <c r="L725" t="n">
        <v>0</v>
      </c>
      <c r="M725" t="n">
        <v>0</v>
      </c>
      <c r="N725" t="n">
        <v>0</v>
      </c>
      <c r="O725" t="n">
        <v>0</v>
      </c>
      <c r="P725" t="n">
        <v>0</v>
      </c>
      <c r="Q725" t="n">
        <v>0</v>
      </c>
      <c r="R725" s="2" t="inlineStr"/>
    </row>
    <row r="726" ht="15" customHeight="1">
      <c r="A726" t="inlineStr">
        <is>
          <t>A 49060-2023</t>
        </is>
      </c>
      <c r="B726" s="1" t="n">
        <v>45210</v>
      </c>
      <c r="C726" s="1" t="n">
        <v>45588</v>
      </c>
      <c r="D726" t="inlineStr">
        <is>
          <t>DALARNAS LÄN</t>
        </is>
      </c>
      <c r="E726" t="inlineStr">
        <is>
          <t>LUDVIKA</t>
        </is>
      </c>
      <c r="F726" t="inlineStr">
        <is>
          <t>Naturvårdsverket</t>
        </is>
      </c>
      <c r="G726" t="n">
        <v>0.8</v>
      </c>
      <c r="H726" t="n">
        <v>0</v>
      </c>
      <c r="I726" t="n">
        <v>0</v>
      </c>
      <c r="J726" t="n">
        <v>0</v>
      </c>
      <c r="K726" t="n">
        <v>0</v>
      </c>
      <c r="L726" t="n">
        <v>0</v>
      </c>
      <c r="M726" t="n">
        <v>0</v>
      </c>
      <c r="N726" t="n">
        <v>0</v>
      </c>
      <c r="O726" t="n">
        <v>0</v>
      </c>
      <c r="P726" t="n">
        <v>0</v>
      </c>
      <c r="Q726" t="n">
        <v>0</v>
      </c>
      <c r="R726" s="2" t="inlineStr"/>
    </row>
    <row r="727" ht="15" customHeight="1">
      <c r="A727" t="inlineStr">
        <is>
          <t>A 49114-2023</t>
        </is>
      </c>
      <c r="B727" s="1" t="n">
        <v>45210</v>
      </c>
      <c r="C727" s="1" t="n">
        <v>45588</v>
      </c>
      <c r="D727" t="inlineStr">
        <is>
          <t>DALARNAS LÄN</t>
        </is>
      </c>
      <c r="E727" t="inlineStr">
        <is>
          <t>LUDVIKA</t>
        </is>
      </c>
      <c r="F727" t="inlineStr">
        <is>
          <t>Naturvårdsverket</t>
        </is>
      </c>
      <c r="G727" t="n">
        <v>4</v>
      </c>
      <c r="H727" t="n">
        <v>0</v>
      </c>
      <c r="I727" t="n">
        <v>0</v>
      </c>
      <c r="J727" t="n">
        <v>0</v>
      </c>
      <c r="K727" t="n">
        <v>0</v>
      </c>
      <c r="L727" t="n">
        <v>0</v>
      </c>
      <c r="M727" t="n">
        <v>0</v>
      </c>
      <c r="N727" t="n">
        <v>0</v>
      </c>
      <c r="O727" t="n">
        <v>0</v>
      </c>
      <c r="P727" t="n">
        <v>0</v>
      </c>
      <c r="Q727" t="n">
        <v>0</v>
      </c>
      <c r="R727" s="2" t="inlineStr"/>
    </row>
    <row r="728" ht="15" customHeight="1">
      <c r="A728" t="inlineStr">
        <is>
          <t>A 49714-2023</t>
        </is>
      </c>
      <c r="B728" s="1" t="n">
        <v>45212</v>
      </c>
      <c r="C728" s="1" t="n">
        <v>45588</v>
      </c>
      <c r="D728" t="inlineStr">
        <is>
          <t>DALARNAS LÄN</t>
        </is>
      </c>
      <c r="E728" t="inlineStr">
        <is>
          <t>LUDVIKA</t>
        </is>
      </c>
      <c r="F728" t="inlineStr">
        <is>
          <t>Bergvik skog väst AB</t>
        </is>
      </c>
      <c r="G728" t="n">
        <v>5.7</v>
      </c>
      <c r="H728" t="n">
        <v>0</v>
      </c>
      <c r="I728" t="n">
        <v>0</v>
      </c>
      <c r="J728" t="n">
        <v>0</v>
      </c>
      <c r="K728" t="n">
        <v>0</v>
      </c>
      <c r="L728" t="n">
        <v>0</v>
      </c>
      <c r="M728" t="n">
        <v>0</v>
      </c>
      <c r="N728" t="n">
        <v>0</v>
      </c>
      <c r="O728" t="n">
        <v>0</v>
      </c>
      <c r="P728" t="n">
        <v>0</v>
      </c>
      <c r="Q728" t="n">
        <v>0</v>
      </c>
      <c r="R728" s="2" t="inlineStr"/>
    </row>
    <row r="729" ht="15" customHeight="1">
      <c r="A729" t="inlineStr">
        <is>
          <t>A 49798-2023</t>
        </is>
      </c>
      <c r="B729" s="1" t="n">
        <v>45212</v>
      </c>
      <c r="C729" s="1" t="n">
        <v>45588</v>
      </c>
      <c r="D729" t="inlineStr">
        <is>
          <t>DALARNAS LÄN</t>
        </is>
      </c>
      <c r="E729" t="inlineStr">
        <is>
          <t>LUDVIKA</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49805-2023</t>
        </is>
      </c>
      <c r="B730" s="1" t="n">
        <v>45212</v>
      </c>
      <c r="C730" s="1" t="n">
        <v>45588</v>
      </c>
      <c r="D730" t="inlineStr">
        <is>
          <t>DALARNAS LÄN</t>
        </is>
      </c>
      <c r="E730" t="inlineStr">
        <is>
          <t>LUDVIKA</t>
        </is>
      </c>
      <c r="G730" t="n">
        <v>1.9</v>
      </c>
      <c r="H730" t="n">
        <v>0</v>
      </c>
      <c r="I730" t="n">
        <v>0</v>
      </c>
      <c r="J730" t="n">
        <v>0</v>
      </c>
      <c r="K730" t="n">
        <v>0</v>
      </c>
      <c r="L730" t="n">
        <v>0</v>
      </c>
      <c r="M730" t="n">
        <v>0</v>
      </c>
      <c r="N730" t="n">
        <v>0</v>
      </c>
      <c r="O730" t="n">
        <v>0</v>
      </c>
      <c r="P730" t="n">
        <v>0</v>
      </c>
      <c r="Q730" t="n">
        <v>0</v>
      </c>
      <c r="R730" s="2" t="inlineStr"/>
    </row>
    <row r="731" ht="15" customHeight="1">
      <c r="A731" t="inlineStr">
        <is>
          <t>A 50132-2023</t>
        </is>
      </c>
      <c r="B731" s="1" t="n">
        <v>45215</v>
      </c>
      <c r="C731" s="1" t="n">
        <v>45588</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50054-2023</t>
        </is>
      </c>
      <c r="B732" s="1" t="n">
        <v>45215</v>
      </c>
      <c r="C732" s="1" t="n">
        <v>45588</v>
      </c>
      <c r="D732" t="inlineStr">
        <is>
          <t>DALARNAS LÄN</t>
        </is>
      </c>
      <c r="E732" t="inlineStr">
        <is>
          <t>LUDVIKA</t>
        </is>
      </c>
      <c r="F732" t="inlineStr">
        <is>
          <t>Bergvik skog väst AB</t>
        </is>
      </c>
      <c r="G732" t="n">
        <v>11.4</v>
      </c>
      <c r="H732" t="n">
        <v>0</v>
      </c>
      <c r="I732" t="n">
        <v>0</v>
      </c>
      <c r="J732" t="n">
        <v>0</v>
      </c>
      <c r="K732" t="n">
        <v>0</v>
      </c>
      <c r="L732" t="n">
        <v>0</v>
      </c>
      <c r="M732" t="n">
        <v>0</v>
      </c>
      <c r="N732" t="n">
        <v>0</v>
      </c>
      <c r="O732" t="n">
        <v>0</v>
      </c>
      <c r="P732" t="n">
        <v>0</v>
      </c>
      <c r="Q732" t="n">
        <v>0</v>
      </c>
      <c r="R732" s="2" t="inlineStr"/>
    </row>
    <row r="733" ht="15" customHeight="1">
      <c r="A733" t="inlineStr">
        <is>
          <t>A 50310-2023</t>
        </is>
      </c>
      <c r="B733" s="1" t="n">
        <v>45216</v>
      </c>
      <c r="C733" s="1" t="n">
        <v>45588</v>
      </c>
      <c r="D733" t="inlineStr">
        <is>
          <t>DALARNAS LÄN</t>
        </is>
      </c>
      <c r="E733" t="inlineStr">
        <is>
          <t>LUDVIKA</t>
        </is>
      </c>
      <c r="G733" t="n">
        <v>2</v>
      </c>
      <c r="H733" t="n">
        <v>0</v>
      </c>
      <c r="I733" t="n">
        <v>0</v>
      </c>
      <c r="J733" t="n">
        <v>0</v>
      </c>
      <c r="K733" t="n">
        <v>0</v>
      </c>
      <c r="L733" t="n">
        <v>0</v>
      </c>
      <c r="M733" t="n">
        <v>0</v>
      </c>
      <c r="N733" t="n">
        <v>0</v>
      </c>
      <c r="O733" t="n">
        <v>0</v>
      </c>
      <c r="P733" t="n">
        <v>0</v>
      </c>
      <c r="Q733" t="n">
        <v>0</v>
      </c>
      <c r="R733" s="2" t="inlineStr"/>
    </row>
    <row r="734" ht="15" customHeight="1">
      <c r="A734" t="inlineStr">
        <is>
          <t>A 50594-2023</t>
        </is>
      </c>
      <c r="B734" s="1" t="n">
        <v>45217</v>
      </c>
      <c r="C734" s="1" t="n">
        <v>45588</v>
      </c>
      <c r="D734" t="inlineStr">
        <is>
          <t>DALARNAS LÄN</t>
        </is>
      </c>
      <c r="E734" t="inlineStr">
        <is>
          <t>LUDVIKA</t>
        </is>
      </c>
      <c r="F734" t="inlineStr">
        <is>
          <t>Bergvik skog väst AB</t>
        </is>
      </c>
      <c r="G734" t="n">
        <v>10.3</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v>
      </c>
      <c r="C735" s="1" t="n">
        <v>45588</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51208-2023</t>
        </is>
      </c>
      <c r="B736" s="1" t="n">
        <v>45219</v>
      </c>
      <c r="C736" s="1" t="n">
        <v>45588</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51181-2023</t>
        </is>
      </c>
      <c r="B737" s="1" t="n">
        <v>45219</v>
      </c>
      <c r="C737" s="1" t="n">
        <v>45588</v>
      </c>
      <c r="D737" t="inlineStr">
        <is>
          <t>DALARNAS LÄN</t>
        </is>
      </c>
      <c r="E737" t="inlineStr">
        <is>
          <t>LUDVIKA</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51160-2023</t>
        </is>
      </c>
      <c r="B738" s="1" t="n">
        <v>45219</v>
      </c>
      <c r="C738" s="1" t="n">
        <v>45588</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51200-2023</t>
        </is>
      </c>
      <c r="B739" s="1" t="n">
        <v>45219</v>
      </c>
      <c r="C739" s="1" t="n">
        <v>45588</v>
      </c>
      <c r="D739" t="inlineStr">
        <is>
          <t>DALARNAS LÄN</t>
        </is>
      </c>
      <c r="E739" t="inlineStr">
        <is>
          <t>LUDVIKA</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52038-2023</t>
        </is>
      </c>
      <c r="B740" s="1" t="n">
        <v>45223</v>
      </c>
      <c r="C740" s="1" t="n">
        <v>45588</v>
      </c>
      <c r="D740" t="inlineStr">
        <is>
          <t>DALARNAS LÄN</t>
        </is>
      </c>
      <c r="E740" t="inlineStr">
        <is>
          <t>LUDVIKA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52230-2023</t>
        </is>
      </c>
      <c r="B741" s="1" t="n">
        <v>45224</v>
      </c>
      <c r="C741" s="1" t="n">
        <v>45588</v>
      </c>
      <c r="D741" t="inlineStr">
        <is>
          <t>DALARNAS LÄN</t>
        </is>
      </c>
      <c r="E741" t="inlineStr">
        <is>
          <t>LUDVIKA</t>
        </is>
      </c>
      <c r="G741" t="n">
        <v>3.5</v>
      </c>
      <c r="H741" t="n">
        <v>0</v>
      </c>
      <c r="I741" t="n">
        <v>0</v>
      </c>
      <c r="J741" t="n">
        <v>0</v>
      </c>
      <c r="K741" t="n">
        <v>0</v>
      </c>
      <c r="L741" t="n">
        <v>0</v>
      </c>
      <c r="M741" t="n">
        <v>0</v>
      </c>
      <c r="N741" t="n">
        <v>0</v>
      </c>
      <c r="O741" t="n">
        <v>0</v>
      </c>
      <c r="P741" t="n">
        <v>0</v>
      </c>
      <c r="Q741" t="n">
        <v>0</v>
      </c>
      <c r="R741" s="2" t="inlineStr"/>
    </row>
    <row r="742" ht="15" customHeight="1">
      <c r="A742" t="inlineStr">
        <is>
          <t>A 52440-2023</t>
        </is>
      </c>
      <c r="B742" s="1" t="n">
        <v>45225</v>
      </c>
      <c r="C742" s="1" t="n">
        <v>45588</v>
      </c>
      <c r="D742" t="inlineStr">
        <is>
          <t>DALARNAS LÄN</t>
        </is>
      </c>
      <c r="E742" t="inlineStr">
        <is>
          <t>LUDVIKA</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52466-2023</t>
        </is>
      </c>
      <c r="B743" s="1" t="n">
        <v>45225</v>
      </c>
      <c r="C743" s="1" t="n">
        <v>45588</v>
      </c>
      <c r="D743" t="inlineStr">
        <is>
          <t>DALARNAS LÄN</t>
        </is>
      </c>
      <c r="E743" t="inlineStr">
        <is>
          <t>LUDVIKA</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52461-2023</t>
        </is>
      </c>
      <c r="B744" s="1" t="n">
        <v>45225</v>
      </c>
      <c r="C744" s="1" t="n">
        <v>45588</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52720-2023</t>
        </is>
      </c>
      <c r="B745" s="1" t="n">
        <v>45225</v>
      </c>
      <c r="C745" s="1" t="n">
        <v>45588</v>
      </c>
      <c r="D745" t="inlineStr">
        <is>
          <t>DALARNAS LÄN</t>
        </is>
      </c>
      <c r="E745" t="inlineStr">
        <is>
          <t>LUDVIKA</t>
        </is>
      </c>
      <c r="G745" t="n">
        <v>6.2</v>
      </c>
      <c r="H745" t="n">
        <v>0</v>
      </c>
      <c r="I745" t="n">
        <v>0</v>
      </c>
      <c r="J745" t="n">
        <v>0</v>
      </c>
      <c r="K745" t="n">
        <v>0</v>
      </c>
      <c r="L745" t="n">
        <v>0</v>
      </c>
      <c r="M745" t="n">
        <v>0</v>
      </c>
      <c r="N745" t="n">
        <v>0</v>
      </c>
      <c r="O745" t="n">
        <v>0</v>
      </c>
      <c r="P745" t="n">
        <v>0</v>
      </c>
      <c r="Q745" t="n">
        <v>0</v>
      </c>
      <c r="R745" s="2" t="inlineStr"/>
    </row>
    <row r="746" ht="15" customHeight="1">
      <c r="A746" t="inlineStr">
        <is>
          <t>A 52868-2023</t>
        </is>
      </c>
      <c r="B746" s="1" t="n">
        <v>45226</v>
      </c>
      <c r="C746" s="1" t="n">
        <v>45588</v>
      </c>
      <c r="D746" t="inlineStr">
        <is>
          <t>DALARNAS LÄN</t>
        </is>
      </c>
      <c r="E746" t="inlineStr">
        <is>
          <t>LUDVIKA</t>
        </is>
      </c>
      <c r="F746" t="inlineStr">
        <is>
          <t>Bergvik skog väst AB</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52894-2023</t>
        </is>
      </c>
      <c r="B747" s="1" t="n">
        <v>45226</v>
      </c>
      <c r="C747" s="1" t="n">
        <v>45588</v>
      </c>
      <c r="D747" t="inlineStr">
        <is>
          <t>DALARNAS LÄN</t>
        </is>
      </c>
      <c r="E747" t="inlineStr">
        <is>
          <t>LUDVIKA</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52932-2023</t>
        </is>
      </c>
      <c r="B748" s="1" t="n">
        <v>45226</v>
      </c>
      <c r="C748" s="1" t="n">
        <v>45588</v>
      </c>
      <c r="D748" t="inlineStr">
        <is>
          <t>DALARNAS LÄN</t>
        </is>
      </c>
      <c r="E748" t="inlineStr">
        <is>
          <t>LUDVIKA</t>
        </is>
      </c>
      <c r="F748" t="inlineStr">
        <is>
          <t>Bergvik skog väst AB</t>
        </is>
      </c>
      <c r="G748" t="n">
        <v>4.5</v>
      </c>
      <c r="H748" t="n">
        <v>0</v>
      </c>
      <c r="I748" t="n">
        <v>0</v>
      </c>
      <c r="J748" t="n">
        <v>0</v>
      </c>
      <c r="K748" t="n">
        <v>0</v>
      </c>
      <c r="L748" t="n">
        <v>0</v>
      </c>
      <c r="M748" t="n">
        <v>0</v>
      </c>
      <c r="N748" t="n">
        <v>0</v>
      </c>
      <c r="O748" t="n">
        <v>0</v>
      </c>
      <c r="P748" t="n">
        <v>0</v>
      </c>
      <c r="Q748" t="n">
        <v>0</v>
      </c>
      <c r="R748" s="2" t="inlineStr"/>
    </row>
    <row r="749" ht="15" customHeight="1">
      <c r="A749" t="inlineStr">
        <is>
          <t>A 53632-2023</t>
        </is>
      </c>
      <c r="B749" s="1" t="n">
        <v>45230</v>
      </c>
      <c r="C749" s="1" t="n">
        <v>45588</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53622-2023</t>
        </is>
      </c>
      <c r="B750" s="1" t="n">
        <v>45230</v>
      </c>
      <c r="C750" s="1" t="n">
        <v>45588</v>
      </c>
      <c r="D750" t="inlineStr">
        <is>
          <t>DALARNAS LÄN</t>
        </is>
      </c>
      <c r="E750" t="inlineStr">
        <is>
          <t>LUDVIKA</t>
        </is>
      </c>
      <c r="G750" t="n">
        <v>2.3</v>
      </c>
      <c r="H750" t="n">
        <v>0</v>
      </c>
      <c r="I750" t="n">
        <v>0</v>
      </c>
      <c r="J750" t="n">
        <v>0</v>
      </c>
      <c r="K750" t="n">
        <v>0</v>
      </c>
      <c r="L750" t="n">
        <v>0</v>
      </c>
      <c r="M750" t="n">
        <v>0</v>
      </c>
      <c r="N750" t="n">
        <v>0</v>
      </c>
      <c r="O750" t="n">
        <v>0</v>
      </c>
      <c r="P750" t="n">
        <v>0</v>
      </c>
      <c r="Q750" t="n">
        <v>0</v>
      </c>
      <c r="R750" s="2" t="inlineStr"/>
    </row>
    <row r="751" ht="15" customHeight="1">
      <c r="A751" t="inlineStr">
        <is>
          <t>A 53602-2023</t>
        </is>
      </c>
      <c r="B751" s="1" t="n">
        <v>45230</v>
      </c>
      <c r="C751" s="1" t="n">
        <v>45588</v>
      </c>
      <c r="D751" t="inlineStr">
        <is>
          <t>DALARNAS LÄN</t>
        </is>
      </c>
      <c r="E751" t="inlineStr">
        <is>
          <t>LUDVIKA</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53633-2023</t>
        </is>
      </c>
      <c r="B752" s="1" t="n">
        <v>45230</v>
      </c>
      <c r="C752" s="1" t="n">
        <v>45588</v>
      </c>
      <c r="D752" t="inlineStr">
        <is>
          <t>DALARNAS LÄN</t>
        </is>
      </c>
      <c r="E752" t="inlineStr">
        <is>
          <t>LUDVIKA</t>
        </is>
      </c>
      <c r="F752" t="inlineStr">
        <is>
          <t>Bergvik skog väst AB</t>
        </is>
      </c>
      <c r="G752" t="n">
        <v>3.2</v>
      </c>
      <c r="H752" t="n">
        <v>0</v>
      </c>
      <c r="I752" t="n">
        <v>0</v>
      </c>
      <c r="J752" t="n">
        <v>0</v>
      </c>
      <c r="K752" t="n">
        <v>0</v>
      </c>
      <c r="L752" t="n">
        <v>0</v>
      </c>
      <c r="M752" t="n">
        <v>0</v>
      </c>
      <c r="N752" t="n">
        <v>0</v>
      </c>
      <c r="O752" t="n">
        <v>0</v>
      </c>
      <c r="P752" t="n">
        <v>0</v>
      </c>
      <c r="Q752" t="n">
        <v>0</v>
      </c>
      <c r="R752" s="2" t="inlineStr"/>
    </row>
    <row r="753" ht="15" customHeight="1">
      <c r="A753" t="inlineStr">
        <is>
          <t>A 53570-2023</t>
        </is>
      </c>
      <c r="B753" s="1" t="n">
        <v>45230</v>
      </c>
      <c r="C753" s="1" t="n">
        <v>45588</v>
      </c>
      <c r="D753" t="inlineStr">
        <is>
          <t>DALARNAS LÄN</t>
        </is>
      </c>
      <c r="E753" t="inlineStr">
        <is>
          <t>LUDVIKA</t>
        </is>
      </c>
      <c r="F753" t="inlineStr">
        <is>
          <t>Bergvik skog väst AB</t>
        </is>
      </c>
      <c r="G753" t="n">
        <v>1.9</v>
      </c>
      <c r="H753" t="n">
        <v>0</v>
      </c>
      <c r="I753" t="n">
        <v>0</v>
      </c>
      <c r="J753" t="n">
        <v>0</v>
      </c>
      <c r="K753" t="n">
        <v>0</v>
      </c>
      <c r="L753" t="n">
        <v>0</v>
      </c>
      <c r="M753" t="n">
        <v>0</v>
      </c>
      <c r="N753" t="n">
        <v>0</v>
      </c>
      <c r="O753" t="n">
        <v>0</v>
      </c>
      <c r="P753" t="n">
        <v>0</v>
      </c>
      <c r="Q753" t="n">
        <v>0</v>
      </c>
      <c r="R753" s="2" t="inlineStr"/>
    </row>
    <row r="754" ht="15" customHeight="1">
      <c r="A754" t="inlineStr">
        <is>
          <t>A 54744-2023</t>
        </is>
      </c>
      <c r="B754" s="1" t="n">
        <v>45236</v>
      </c>
      <c r="C754" s="1" t="n">
        <v>45588</v>
      </c>
      <c r="D754" t="inlineStr">
        <is>
          <t>DALARNAS LÄN</t>
        </is>
      </c>
      <c r="E754" t="inlineStr">
        <is>
          <t>LUDVIKA</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54886-2023</t>
        </is>
      </c>
      <c r="B755" s="1" t="n">
        <v>45236</v>
      </c>
      <c r="C755" s="1" t="n">
        <v>45588</v>
      </c>
      <c r="D755" t="inlineStr">
        <is>
          <t>DALARNAS LÄN</t>
        </is>
      </c>
      <c r="E755" t="inlineStr">
        <is>
          <t>LUDVIKA</t>
        </is>
      </c>
      <c r="F755" t="inlineStr">
        <is>
          <t>Bergvik skog väst AB</t>
        </is>
      </c>
      <c r="G755" t="n">
        <v>4.6</v>
      </c>
      <c r="H755" t="n">
        <v>0</v>
      </c>
      <c r="I755" t="n">
        <v>0</v>
      </c>
      <c r="J755" t="n">
        <v>0</v>
      </c>
      <c r="K755" t="n">
        <v>0</v>
      </c>
      <c r="L755" t="n">
        <v>0</v>
      </c>
      <c r="M755" t="n">
        <v>0</v>
      </c>
      <c r="N755" t="n">
        <v>0</v>
      </c>
      <c r="O755" t="n">
        <v>0</v>
      </c>
      <c r="P755" t="n">
        <v>0</v>
      </c>
      <c r="Q755" t="n">
        <v>0</v>
      </c>
      <c r="R755" s="2" t="inlineStr"/>
    </row>
    <row r="756" ht="15" customHeight="1">
      <c r="A756" t="inlineStr">
        <is>
          <t>A 55213-2023</t>
        </is>
      </c>
      <c r="B756" s="1" t="n">
        <v>45237</v>
      </c>
      <c r="C756" s="1" t="n">
        <v>45588</v>
      </c>
      <c r="D756" t="inlineStr">
        <is>
          <t>DALARNAS LÄN</t>
        </is>
      </c>
      <c r="E756" t="inlineStr">
        <is>
          <t>LUDVIKA</t>
        </is>
      </c>
      <c r="G756" t="n">
        <v>5.1</v>
      </c>
      <c r="H756" t="n">
        <v>0</v>
      </c>
      <c r="I756" t="n">
        <v>0</v>
      </c>
      <c r="J756" t="n">
        <v>0</v>
      </c>
      <c r="K756" t="n">
        <v>0</v>
      </c>
      <c r="L756" t="n">
        <v>0</v>
      </c>
      <c r="M756" t="n">
        <v>0</v>
      </c>
      <c r="N756" t="n">
        <v>0</v>
      </c>
      <c r="O756" t="n">
        <v>0</v>
      </c>
      <c r="P756" t="n">
        <v>0</v>
      </c>
      <c r="Q756" t="n">
        <v>0</v>
      </c>
      <c r="R756" s="2" t="inlineStr"/>
    </row>
    <row r="757" ht="15" customHeight="1">
      <c r="A757" t="inlineStr">
        <is>
          <t>A 55760-2023</t>
        </is>
      </c>
      <c r="B757" s="1" t="n">
        <v>45239</v>
      </c>
      <c r="C757" s="1" t="n">
        <v>45588</v>
      </c>
      <c r="D757" t="inlineStr">
        <is>
          <t>DALARNAS LÄN</t>
        </is>
      </c>
      <c r="E757" t="inlineStr">
        <is>
          <t>LUDVIKA</t>
        </is>
      </c>
      <c r="F757" t="inlineStr">
        <is>
          <t>Bergvik skog väst AB</t>
        </is>
      </c>
      <c r="G757" t="n">
        <v>9.1</v>
      </c>
      <c r="H757" t="n">
        <v>0</v>
      </c>
      <c r="I757" t="n">
        <v>0</v>
      </c>
      <c r="J757" t="n">
        <v>0</v>
      </c>
      <c r="K757" t="n">
        <v>0</v>
      </c>
      <c r="L757" t="n">
        <v>0</v>
      </c>
      <c r="M757" t="n">
        <v>0</v>
      </c>
      <c r="N757" t="n">
        <v>0</v>
      </c>
      <c r="O757" t="n">
        <v>0</v>
      </c>
      <c r="P757" t="n">
        <v>0</v>
      </c>
      <c r="Q757" t="n">
        <v>0</v>
      </c>
      <c r="R757" s="2" t="inlineStr"/>
    </row>
    <row r="758" ht="15" customHeight="1">
      <c r="A758" t="inlineStr">
        <is>
          <t>A 56604-2023</t>
        </is>
      </c>
      <c r="B758" s="1" t="n">
        <v>45243</v>
      </c>
      <c r="C758" s="1" t="n">
        <v>45588</v>
      </c>
      <c r="D758" t="inlineStr">
        <is>
          <t>DALARNAS LÄN</t>
        </is>
      </c>
      <c r="E758" t="inlineStr">
        <is>
          <t>LUDVIKA</t>
        </is>
      </c>
      <c r="G758" t="n">
        <v>2.5</v>
      </c>
      <c r="H758" t="n">
        <v>0</v>
      </c>
      <c r="I758" t="n">
        <v>0</v>
      </c>
      <c r="J758" t="n">
        <v>0</v>
      </c>
      <c r="K758" t="n">
        <v>0</v>
      </c>
      <c r="L758" t="n">
        <v>0</v>
      </c>
      <c r="M758" t="n">
        <v>0</v>
      </c>
      <c r="N758" t="n">
        <v>0</v>
      </c>
      <c r="O758" t="n">
        <v>0</v>
      </c>
      <c r="P758" t="n">
        <v>0</v>
      </c>
      <c r="Q758" t="n">
        <v>0</v>
      </c>
      <c r="R758" s="2" t="inlineStr"/>
    </row>
    <row r="759" ht="15" customHeight="1">
      <c r="A759" t="inlineStr">
        <is>
          <t>A 56672-2023</t>
        </is>
      </c>
      <c r="B759" s="1" t="n">
        <v>45243</v>
      </c>
      <c r="C759" s="1" t="n">
        <v>45588</v>
      </c>
      <c r="D759" t="inlineStr">
        <is>
          <t>DALARNAS LÄN</t>
        </is>
      </c>
      <c r="E759" t="inlineStr">
        <is>
          <t>LUDVIKA</t>
        </is>
      </c>
      <c r="G759" t="n">
        <v>2.9</v>
      </c>
      <c r="H759" t="n">
        <v>0</v>
      </c>
      <c r="I759" t="n">
        <v>0</v>
      </c>
      <c r="J759" t="n">
        <v>0</v>
      </c>
      <c r="K759" t="n">
        <v>0</v>
      </c>
      <c r="L759" t="n">
        <v>0</v>
      </c>
      <c r="M759" t="n">
        <v>0</v>
      </c>
      <c r="N759" t="n">
        <v>0</v>
      </c>
      <c r="O759" t="n">
        <v>0</v>
      </c>
      <c r="P759" t="n">
        <v>0</v>
      </c>
      <c r="Q759" t="n">
        <v>0</v>
      </c>
      <c r="R759" s="2" t="inlineStr"/>
    </row>
    <row r="760" ht="15" customHeight="1">
      <c r="A760" t="inlineStr">
        <is>
          <t>A 56621-2023</t>
        </is>
      </c>
      <c r="B760" s="1" t="n">
        <v>45243</v>
      </c>
      <c r="C760" s="1" t="n">
        <v>45588</v>
      </c>
      <c r="D760" t="inlineStr">
        <is>
          <t>DALARNAS LÄN</t>
        </is>
      </c>
      <c r="E760" t="inlineStr">
        <is>
          <t>LUDVIKA</t>
        </is>
      </c>
      <c r="G760" t="n">
        <v>0.5</v>
      </c>
      <c r="H760" t="n">
        <v>0</v>
      </c>
      <c r="I760" t="n">
        <v>0</v>
      </c>
      <c r="J760" t="n">
        <v>0</v>
      </c>
      <c r="K760" t="n">
        <v>0</v>
      </c>
      <c r="L760" t="n">
        <v>0</v>
      </c>
      <c r="M760" t="n">
        <v>0</v>
      </c>
      <c r="N760" t="n">
        <v>0</v>
      </c>
      <c r="O760" t="n">
        <v>0</v>
      </c>
      <c r="P760" t="n">
        <v>0</v>
      </c>
      <c r="Q760" t="n">
        <v>0</v>
      </c>
      <c r="R760" s="2" t="inlineStr"/>
    </row>
    <row r="761" ht="15" customHeight="1">
      <c r="A761" t="inlineStr">
        <is>
          <t>A 56818-2023</t>
        </is>
      </c>
      <c r="B761" s="1" t="n">
        <v>45244</v>
      </c>
      <c r="C761" s="1" t="n">
        <v>45588</v>
      </c>
      <c r="D761" t="inlineStr">
        <is>
          <t>DALARNAS LÄN</t>
        </is>
      </c>
      <c r="E761" t="inlineStr">
        <is>
          <t>LUDVIKA</t>
        </is>
      </c>
      <c r="G761" t="n">
        <v>1.4</v>
      </c>
      <c r="H761" t="n">
        <v>0</v>
      </c>
      <c r="I761" t="n">
        <v>0</v>
      </c>
      <c r="J761" t="n">
        <v>0</v>
      </c>
      <c r="K761" t="n">
        <v>0</v>
      </c>
      <c r="L761" t="n">
        <v>0</v>
      </c>
      <c r="M761" t="n">
        <v>0</v>
      </c>
      <c r="N761" t="n">
        <v>0</v>
      </c>
      <c r="O761" t="n">
        <v>0</v>
      </c>
      <c r="P761" t="n">
        <v>0</v>
      </c>
      <c r="Q761" t="n">
        <v>0</v>
      </c>
      <c r="R761" s="2" t="inlineStr"/>
    </row>
    <row r="762" ht="15" customHeight="1">
      <c r="A762" t="inlineStr">
        <is>
          <t>A 57557-2023</t>
        </is>
      </c>
      <c r="B762" s="1" t="n">
        <v>45246</v>
      </c>
      <c r="C762" s="1" t="n">
        <v>45588</v>
      </c>
      <c r="D762" t="inlineStr">
        <is>
          <t>DALARNAS LÄN</t>
        </is>
      </c>
      <c r="E762" t="inlineStr">
        <is>
          <t>LUDVIKA</t>
        </is>
      </c>
      <c r="G762" t="n">
        <v>12.7</v>
      </c>
      <c r="H762" t="n">
        <v>0</v>
      </c>
      <c r="I762" t="n">
        <v>0</v>
      </c>
      <c r="J762" t="n">
        <v>0</v>
      </c>
      <c r="K762" t="n">
        <v>0</v>
      </c>
      <c r="L762" t="n">
        <v>0</v>
      </c>
      <c r="M762" t="n">
        <v>0</v>
      </c>
      <c r="N762" t="n">
        <v>0</v>
      </c>
      <c r="O762" t="n">
        <v>0</v>
      </c>
      <c r="P762" t="n">
        <v>0</v>
      </c>
      <c r="Q762" t="n">
        <v>0</v>
      </c>
      <c r="R762" s="2" t="inlineStr"/>
    </row>
    <row r="763" ht="15" customHeight="1">
      <c r="A763" t="inlineStr">
        <is>
          <t>A 57424-2023</t>
        </is>
      </c>
      <c r="B763" s="1" t="n">
        <v>45246</v>
      </c>
      <c r="C763" s="1" t="n">
        <v>45588</v>
      </c>
      <c r="D763" t="inlineStr">
        <is>
          <t>DALARNAS LÄN</t>
        </is>
      </c>
      <c r="E763" t="inlineStr">
        <is>
          <t>LUDVIKA</t>
        </is>
      </c>
      <c r="G763" t="n">
        <v>4.5</v>
      </c>
      <c r="H763" t="n">
        <v>0</v>
      </c>
      <c r="I763" t="n">
        <v>0</v>
      </c>
      <c r="J763" t="n">
        <v>0</v>
      </c>
      <c r="K763" t="n">
        <v>0</v>
      </c>
      <c r="L763" t="n">
        <v>0</v>
      </c>
      <c r="M763" t="n">
        <v>0</v>
      </c>
      <c r="N763" t="n">
        <v>0</v>
      </c>
      <c r="O763" t="n">
        <v>0</v>
      </c>
      <c r="P763" t="n">
        <v>0</v>
      </c>
      <c r="Q763" t="n">
        <v>0</v>
      </c>
      <c r="R763" s="2" t="inlineStr"/>
    </row>
    <row r="764" ht="15" customHeight="1">
      <c r="A764" t="inlineStr">
        <is>
          <t>A 57803-2023</t>
        </is>
      </c>
      <c r="B764" s="1" t="n">
        <v>45246</v>
      </c>
      <c r="C764" s="1" t="n">
        <v>45588</v>
      </c>
      <c r="D764" t="inlineStr">
        <is>
          <t>DALARNAS LÄN</t>
        </is>
      </c>
      <c r="E764" t="inlineStr">
        <is>
          <t>LUDVIKA</t>
        </is>
      </c>
      <c r="G764" t="n">
        <v>3.3</v>
      </c>
      <c r="H764" t="n">
        <v>0</v>
      </c>
      <c r="I764" t="n">
        <v>0</v>
      </c>
      <c r="J764" t="n">
        <v>0</v>
      </c>
      <c r="K764" t="n">
        <v>0</v>
      </c>
      <c r="L764" t="n">
        <v>0</v>
      </c>
      <c r="M764" t="n">
        <v>0</v>
      </c>
      <c r="N764" t="n">
        <v>0</v>
      </c>
      <c r="O764" t="n">
        <v>0</v>
      </c>
      <c r="P764" t="n">
        <v>0</v>
      </c>
      <c r="Q764" t="n">
        <v>0</v>
      </c>
      <c r="R764" s="2" t="inlineStr"/>
    </row>
    <row r="765" ht="15" customHeight="1">
      <c r="A765" t="inlineStr">
        <is>
          <t>A 57858-2023</t>
        </is>
      </c>
      <c r="B765" s="1" t="n">
        <v>45247</v>
      </c>
      <c r="C765" s="1" t="n">
        <v>45588</v>
      </c>
      <c r="D765" t="inlineStr">
        <is>
          <t>DALARNAS LÄN</t>
        </is>
      </c>
      <c r="E765" t="inlineStr">
        <is>
          <t>LUDVIKA</t>
        </is>
      </c>
      <c r="F765" t="inlineStr">
        <is>
          <t>Bergvik skog väst AB</t>
        </is>
      </c>
      <c r="G765" t="n">
        <v>14.2</v>
      </c>
      <c r="H765" t="n">
        <v>0</v>
      </c>
      <c r="I765" t="n">
        <v>0</v>
      </c>
      <c r="J765" t="n">
        <v>0</v>
      </c>
      <c r="K765" t="n">
        <v>0</v>
      </c>
      <c r="L765" t="n">
        <v>0</v>
      </c>
      <c r="M765" t="n">
        <v>0</v>
      </c>
      <c r="N765" t="n">
        <v>0</v>
      </c>
      <c r="O765" t="n">
        <v>0</v>
      </c>
      <c r="P765" t="n">
        <v>0</v>
      </c>
      <c r="Q765" t="n">
        <v>0</v>
      </c>
      <c r="R765" s="2" t="inlineStr"/>
    </row>
    <row r="766" ht="15" customHeight="1">
      <c r="A766" t="inlineStr">
        <is>
          <t>A 57922-2023</t>
        </is>
      </c>
      <c r="B766" s="1" t="n">
        <v>45247</v>
      </c>
      <c r="C766" s="1" t="n">
        <v>45588</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57982-2023</t>
        </is>
      </c>
      <c r="B767" s="1" t="n">
        <v>45247</v>
      </c>
      <c r="C767" s="1" t="n">
        <v>45588</v>
      </c>
      <c r="D767" t="inlineStr">
        <is>
          <t>DALARNAS LÄN</t>
        </is>
      </c>
      <c r="E767" t="inlineStr">
        <is>
          <t>LUDVIKA</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58112-2023</t>
        </is>
      </c>
      <c r="B768" s="1" t="n">
        <v>45249</v>
      </c>
      <c r="C768" s="1" t="n">
        <v>45588</v>
      </c>
      <c r="D768" t="inlineStr">
        <is>
          <t>DALARNAS LÄN</t>
        </is>
      </c>
      <c r="E768" t="inlineStr">
        <is>
          <t>LUDVIKA</t>
        </is>
      </c>
      <c r="G768" t="n">
        <v>4.7</v>
      </c>
      <c r="H768" t="n">
        <v>0</v>
      </c>
      <c r="I768" t="n">
        <v>0</v>
      </c>
      <c r="J768" t="n">
        <v>0</v>
      </c>
      <c r="K768" t="n">
        <v>0</v>
      </c>
      <c r="L768" t="n">
        <v>0</v>
      </c>
      <c r="M768" t="n">
        <v>0</v>
      </c>
      <c r="N768" t="n">
        <v>0</v>
      </c>
      <c r="O768" t="n">
        <v>0</v>
      </c>
      <c r="P768" t="n">
        <v>0</v>
      </c>
      <c r="Q768" t="n">
        <v>0</v>
      </c>
      <c r="R768" s="2" t="inlineStr"/>
    </row>
    <row r="769" ht="15" customHeight="1">
      <c r="A769" t="inlineStr">
        <is>
          <t>A 59201-2023</t>
        </is>
      </c>
      <c r="B769" s="1" t="n">
        <v>45253</v>
      </c>
      <c r="C769" s="1" t="n">
        <v>45588</v>
      </c>
      <c r="D769" t="inlineStr">
        <is>
          <t>DALARNAS LÄN</t>
        </is>
      </c>
      <c r="E769" t="inlineStr">
        <is>
          <t>LUDVIKA</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59206-2023</t>
        </is>
      </c>
      <c r="B770" s="1" t="n">
        <v>45253</v>
      </c>
      <c r="C770" s="1" t="n">
        <v>45588</v>
      </c>
      <c r="D770" t="inlineStr">
        <is>
          <t>DALARNAS LÄN</t>
        </is>
      </c>
      <c r="E770" t="inlineStr">
        <is>
          <t>LUDVIKA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59219-2023</t>
        </is>
      </c>
      <c r="B771" s="1" t="n">
        <v>45253</v>
      </c>
      <c r="C771" s="1" t="n">
        <v>45588</v>
      </c>
      <c r="D771" t="inlineStr">
        <is>
          <t>DALARNAS LÄN</t>
        </is>
      </c>
      <c r="E771" t="inlineStr">
        <is>
          <t>LUDVIKA</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59285-2023</t>
        </is>
      </c>
      <c r="B772" s="1" t="n">
        <v>45253</v>
      </c>
      <c r="C772" s="1" t="n">
        <v>45588</v>
      </c>
      <c r="D772" t="inlineStr">
        <is>
          <t>DALARNAS LÄN</t>
        </is>
      </c>
      <c r="E772" t="inlineStr">
        <is>
          <t>LUDVIKA</t>
        </is>
      </c>
      <c r="F772" t="inlineStr">
        <is>
          <t>Bergvik skog väst AB</t>
        </is>
      </c>
      <c r="G772" t="n">
        <v>2.8</v>
      </c>
      <c r="H772" t="n">
        <v>0</v>
      </c>
      <c r="I772" t="n">
        <v>0</v>
      </c>
      <c r="J772" t="n">
        <v>0</v>
      </c>
      <c r="K772" t="n">
        <v>0</v>
      </c>
      <c r="L772" t="n">
        <v>0</v>
      </c>
      <c r="M772" t="n">
        <v>0</v>
      </c>
      <c r="N772" t="n">
        <v>0</v>
      </c>
      <c r="O772" t="n">
        <v>0</v>
      </c>
      <c r="P772" t="n">
        <v>0</v>
      </c>
      <c r="Q772" t="n">
        <v>0</v>
      </c>
      <c r="R772" s="2" t="inlineStr"/>
    </row>
    <row r="773" ht="15" customHeight="1">
      <c r="A773" t="inlineStr">
        <is>
          <t>A 59351-2023</t>
        </is>
      </c>
      <c r="B773" s="1" t="n">
        <v>45253</v>
      </c>
      <c r="C773" s="1" t="n">
        <v>45588</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59437-2023</t>
        </is>
      </c>
      <c r="B774" s="1" t="n">
        <v>45254</v>
      </c>
      <c r="C774" s="1" t="n">
        <v>45588</v>
      </c>
      <c r="D774" t="inlineStr">
        <is>
          <t>DALARNAS LÄN</t>
        </is>
      </c>
      <c r="E774" t="inlineStr">
        <is>
          <t>LUDVIKA</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59646-2023</t>
        </is>
      </c>
      <c r="B775" s="1" t="n">
        <v>45254</v>
      </c>
      <c r="C775" s="1" t="n">
        <v>45588</v>
      </c>
      <c r="D775" t="inlineStr">
        <is>
          <t>DALARNAS LÄN</t>
        </is>
      </c>
      <c r="E775" t="inlineStr">
        <is>
          <t>LUDVIKA</t>
        </is>
      </c>
      <c r="G775" t="n">
        <v>7.6</v>
      </c>
      <c r="H775" t="n">
        <v>0</v>
      </c>
      <c r="I775" t="n">
        <v>0</v>
      </c>
      <c r="J775" t="n">
        <v>0</v>
      </c>
      <c r="K775" t="n">
        <v>0</v>
      </c>
      <c r="L775" t="n">
        <v>0</v>
      </c>
      <c r="M775" t="n">
        <v>0</v>
      </c>
      <c r="N775" t="n">
        <v>0</v>
      </c>
      <c r="O775" t="n">
        <v>0</v>
      </c>
      <c r="P775" t="n">
        <v>0</v>
      </c>
      <c r="Q775" t="n">
        <v>0</v>
      </c>
      <c r="R775" s="2" t="inlineStr"/>
    </row>
    <row r="776" ht="15" customHeight="1">
      <c r="A776" t="inlineStr">
        <is>
          <t>A 60180-2023</t>
        </is>
      </c>
      <c r="B776" s="1" t="n">
        <v>45257</v>
      </c>
      <c r="C776" s="1" t="n">
        <v>45588</v>
      </c>
      <c r="D776" t="inlineStr">
        <is>
          <t>DALARNAS LÄN</t>
        </is>
      </c>
      <c r="E776" t="inlineStr">
        <is>
          <t>LUDVIKA</t>
        </is>
      </c>
      <c r="G776" t="n">
        <v>2.4</v>
      </c>
      <c r="H776" t="n">
        <v>0</v>
      </c>
      <c r="I776" t="n">
        <v>0</v>
      </c>
      <c r="J776" t="n">
        <v>0</v>
      </c>
      <c r="K776" t="n">
        <v>0</v>
      </c>
      <c r="L776" t="n">
        <v>0</v>
      </c>
      <c r="M776" t="n">
        <v>0</v>
      </c>
      <c r="N776" t="n">
        <v>0</v>
      </c>
      <c r="O776" t="n">
        <v>0</v>
      </c>
      <c r="P776" t="n">
        <v>0</v>
      </c>
      <c r="Q776" t="n">
        <v>0</v>
      </c>
      <c r="R776" s="2" t="inlineStr"/>
    </row>
    <row r="777" ht="15" customHeight="1">
      <c r="A777" t="inlineStr">
        <is>
          <t>A 60183-2023</t>
        </is>
      </c>
      <c r="B777" s="1" t="n">
        <v>45257</v>
      </c>
      <c r="C777" s="1" t="n">
        <v>45588</v>
      </c>
      <c r="D777" t="inlineStr">
        <is>
          <t>DALARNAS LÄN</t>
        </is>
      </c>
      <c r="E777" t="inlineStr">
        <is>
          <t>LUDVIKA</t>
        </is>
      </c>
      <c r="G777" t="n">
        <v>3.9</v>
      </c>
      <c r="H777" t="n">
        <v>0</v>
      </c>
      <c r="I777" t="n">
        <v>0</v>
      </c>
      <c r="J777" t="n">
        <v>0</v>
      </c>
      <c r="K777" t="n">
        <v>0</v>
      </c>
      <c r="L777" t="n">
        <v>0</v>
      </c>
      <c r="M777" t="n">
        <v>0</v>
      </c>
      <c r="N777" t="n">
        <v>0</v>
      </c>
      <c r="O777" t="n">
        <v>0</v>
      </c>
      <c r="P777" t="n">
        <v>0</v>
      </c>
      <c r="Q777" t="n">
        <v>0</v>
      </c>
      <c r="R777" s="2" t="inlineStr"/>
    </row>
    <row r="778" ht="15" customHeight="1">
      <c r="A778" t="inlineStr">
        <is>
          <t>A 59918-2023</t>
        </is>
      </c>
      <c r="B778" s="1" t="n">
        <v>45257</v>
      </c>
      <c r="C778" s="1" t="n">
        <v>45588</v>
      </c>
      <c r="D778" t="inlineStr">
        <is>
          <t>DALARNAS LÄN</t>
        </is>
      </c>
      <c r="E778" t="inlineStr">
        <is>
          <t>LUDVIKA</t>
        </is>
      </c>
      <c r="F778" t="inlineStr">
        <is>
          <t>Bergvik skog väst AB</t>
        </is>
      </c>
      <c r="G778" t="n">
        <v>5.9</v>
      </c>
      <c r="H778" t="n">
        <v>0</v>
      </c>
      <c r="I778" t="n">
        <v>0</v>
      </c>
      <c r="J778" t="n">
        <v>0</v>
      </c>
      <c r="K778" t="n">
        <v>0</v>
      </c>
      <c r="L778" t="n">
        <v>0</v>
      </c>
      <c r="M778" t="n">
        <v>0</v>
      </c>
      <c r="N778" t="n">
        <v>0</v>
      </c>
      <c r="O778" t="n">
        <v>0</v>
      </c>
      <c r="P778" t="n">
        <v>0</v>
      </c>
      <c r="Q778" t="n">
        <v>0</v>
      </c>
      <c r="R778" s="2" t="inlineStr"/>
    </row>
    <row r="779" ht="15" customHeight="1">
      <c r="A779" t="inlineStr">
        <is>
          <t>A 60138-2023</t>
        </is>
      </c>
      <c r="B779" s="1" t="n">
        <v>45258</v>
      </c>
      <c r="C779" s="1" t="n">
        <v>45588</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60636-2023</t>
        </is>
      </c>
      <c r="B780" s="1" t="n">
        <v>45260</v>
      </c>
      <c r="C780" s="1" t="n">
        <v>45588</v>
      </c>
      <c r="D780" t="inlineStr">
        <is>
          <t>DALARNAS LÄN</t>
        </is>
      </c>
      <c r="E780" t="inlineStr">
        <is>
          <t>LUDVIKA</t>
        </is>
      </c>
      <c r="G780" t="n">
        <v>0.8</v>
      </c>
      <c r="H780" t="n">
        <v>0</v>
      </c>
      <c r="I780" t="n">
        <v>0</v>
      </c>
      <c r="J780" t="n">
        <v>0</v>
      </c>
      <c r="K780" t="n">
        <v>0</v>
      </c>
      <c r="L780" t="n">
        <v>0</v>
      </c>
      <c r="M780" t="n">
        <v>0</v>
      </c>
      <c r="N780" t="n">
        <v>0</v>
      </c>
      <c r="O780" t="n">
        <v>0</v>
      </c>
      <c r="P780" t="n">
        <v>0</v>
      </c>
      <c r="Q780" t="n">
        <v>0</v>
      </c>
      <c r="R780" s="2" t="inlineStr"/>
    </row>
    <row r="781" ht="15" customHeight="1">
      <c r="A781" t="inlineStr">
        <is>
          <t>A 61507-2023</t>
        </is>
      </c>
      <c r="B781" s="1" t="n">
        <v>45265</v>
      </c>
      <c r="C781" s="1" t="n">
        <v>45588</v>
      </c>
      <c r="D781" t="inlineStr">
        <is>
          <t>DALARNAS LÄN</t>
        </is>
      </c>
      <c r="E781" t="inlineStr">
        <is>
          <t>LUDVIKA</t>
        </is>
      </c>
      <c r="G781" t="n">
        <v>3</v>
      </c>
      <c r="H781" t="n">
        <v>0</v>
      </c>
      <c r="I781" t="n">
        <v>0</v>
      </c>
      <c r="J781" t="n">
        <v>0</v>
      </c>
      <c r="K781" t="n">
        <v>0</v>
      </c>
      <c r="L781" t="n">
        <v>0</v>
      </c>
      <c r="M781" t="n">
        <v>0</v>
      </c>
      <c r="N781" t="n">
        <v>0</v>
      </c>
      <c r="O781" t="n">
        <v>0</v>
      </c>
      <c r="P781" t="n">
        <v>0</v>
      </c>
      <c r="Q781" t="n">
        <v>0</v>
      </c>
      <c r="R781" s="2" t="inlineStr"/>
    </row>
    <row r="782" ht="15" customHeight="1">
      <c r="A782" t="inlineStr">
        <is>
          <t>A 63131-2023</t>
        </is>
      </c>
      <c r="B782" s="1" t="n">
        <v>45273</v>
      </c>
      <c r="C782" s="1" t="n">
        <v>45588</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64171-2023</t>
        </is>
      </c>
      <c r="B783" s="1" t="n">
        <v>45279</v>
      </c>
      <c r="C783" s="1" t="n">
        <v>45588</v>
      </c>
      <c r="D783" t="inlineStr">
        <is>
          <t>DALARNAS LÄN</t>
        </is>
      </c>
      <c r="E783" t="inlineStr">
        <is>
          <t>LUDVIKA</t>
        </is>
      </c>
      <c r="G783" t="n">
        <v>8.6</v>
      </c>
      <c r="H783" t="n">
        <v>0</v>
      </c>
      <c r="I783" t="n">
        <v>0</v>
      </c>
      <c r="J783" t="n">
        <v>0</v>
      </c>
      <c r="K783" t="n">
        <v>0</v>
      </c>
      <c r="L783" t="n">
        <v>0</v>
      </c>
      <c r="M783" t="n">
        <v>0</v>
      </c>
      <c r="N783" t="n">
        <v>0</v>
      </c>
      <c r="O783" t="n">
        <v>0</v>
      </c>
      <c r="P783" t="n">
        <v>0</v>
      </c>
      <c r="Q783" t="n">
        <v>0</v>
      </c>
      <c r="R783" s="2" t="inlineStr"/>
    </row>
    <row r="784" ht="15" customHeight="1">
      <c r="A784" t="inlineStr">
        <is>
          <t>A 64450-2023</t>
        </is>
      </c>
      <c r="B784" s="1" t="n">
        <v>45280</v>
      </c>
      <c r="C784" s="1" t="n">
        <v>45588</v>
      </c>
      <c r="D784" t="inlineStr">
        <is>
          <t>DALARNAS LÄN</t>
        </is>
      </c>
      <c r="E784" t="inlineStr">
        <is>
          <t>LUDVIKA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64447-2023</t>
        </is>
      </c>
      <c r="B785" s="1" t="n">
        <v>45280</v>
      </c>
      <c r="C785" s="1" t="n">
        <v>45588</v>
      </c>
      <c r="D785" t="inlineStr">
        <is>
          <t>DALARNAS LÄN</t>
        </is>
      </c>
      <c r="E785" t="inlineStr">
        <is>
          <t>LUDVIKA</t>
        </is>
      </c>
      <c r="G785" t="n">
        <v>2</v>
      </c>
      <c r="H785" t="n">
        <v>0</v>
      </c>
      <c r="I785" t="n">
        <v>0</v>
      </c>
      <c r="J785" t="n">
        <v>0</v>
      </c>
      <c r="K785" t="n">
        <v>0</v>
      </c>
      <c r="L785" t="n">
        <v>0</v>
      </c>
      <c r="M785" t="n">
        <v>0</v>
      </c>
      <c r="N785" t="n">
        <v>0</v>
      </c>
      <c r="O785" t="n">
        <v>0</v>
      </c>
      <c r="P785" t="n">
        <v>0</v>
      </c>
      <c r="Q785" t="n">
        <v>0</v>
      </c>
      <c r="R785" s="2" t="inlineStr"/>
    </row>
    <row r="786" ht="15" customHeight="1">
      <c r="A786" t="inlineStr">
        <is>
          <t>A 64449-2023</t>
        </is>
      </c>
      <c r="B786" s="1" t="n">
        <v>45280</v>
      </c>
      <c r="C786" s="1" t="n">
        <v>45588</v>
      </c>
      <c r="D786" t="inlineStr">
        <is>
          <t>DALARNAS LÄN</t>
        </is>
      </c>
      <c r="E786" t="inlineStr">
        <is>
          <t>LUDVIKA</t>
        </is>
      </c>
      <c r="G786" t="n">
        <v>10.2</v>
      </c>
      <c r="H786" t="n">
        <v>0</v>
      </c>
      <c r="I786" t="n">
        <v>0</v>
      </c>
      <c r="J786" t="n">
        <v>0</v>
      </c>
      <c r="K786" t="n">
        <v>0</v>
      </c>
      <c r="L786" t="n">
        <v>0</v>
      </c>
      <c r="M786" t="n">
        <v>0</v>
      </c>
      <c r="N786" t="n">
        <v>0</v>
      </c>
      <c r="O786" t="n">
        <v>0</v>
      </c>
      <c r="P786" t="n">
        <v>0</v>
      </c>
      <c r="Q786" t="n">
        <v>0</v>
      </c>
      <c r="R786" s="2" t="inlineStr"/>
    </row>
    <row r="787" ht="15" customHeight="1">
      <c r="A787" t="inlineStr">
        <is>
          <t>A 65104-2023</t>
        </is>
      </c>
      <c r="B787" s="1" t="n">
        <v>45288</v>
      </c>
      <c r="C787" s="1" t="n">
        <v>45588</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451-2024</t>
        </is>
      </c>
      <c r="B788" s="1" t="n">
        <v>45296</v>
      </c>
      <c r="C788" s="1" t="n">
        <v>45588</v>
      </c>
      <c r="D788" t="inlineStr">
        <is>
          <t>DALARNAS LÄN</t>
        </is>
      </c>
      <c r="E788" t="inlineStr">
        <is>
          <t>LUDVIKA</t>
        </is>
      </c>
      <c r="F788" t="inlineStr">
        <is>
          <t>Bergvik skog väst AB</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478-2024</t>
        </is>
      </c>
      <c r="B789" s="1" t="n">
        <v>45297</v>
      </c>
      <c r="C789" s="1" t="n">
        <v>45588</v>
      </c>
      <c r="D789" t="inlineStr">
        <is>
          <t>DALARNAS LÄN</t>
        </is>
      </c>
      <c r="E789" t="inlineStr">
        <is>
          <t>LUDVIKA</t>
        </is>
      </c>
      <c r="G789" t="n">
        <v>3.2</v>
      </c>
      <c r="H789" t="n">
        <v>0</v>
      </c>
      <c r="I789" t="n">
        <v>0</v>
      </c>
      <c r="J789" t="n">
        <v>0</v>
      </c>
      <c r="K789" t="n">
        <v>0</v>
      </c>
      <c r="L789" t="n">
        <v>0</v>
      </c>
      <c r="M789" t="n">
        <v>0</v>
      </c>
      <c r="N789" t="n">
        <v>0</v>
      </c>
      <c r="O789" t="n">
        <v>0</v>
      </c>
      <c r="P789" t="n">
        <v>0</v>
      </c>
      <c r="Q789" t="n">
        <v>0</v>
      </c>
      <c r="R789" s="2" t="inlineStr"/>
    </row>
    <row r="790" ht="15" customHeight="1">
      <c r="A790" t="inlineStr">
        <is>
          <t>A 923-2024</t>
        </is>
      </c>
      <c r="B790" s="1" t="n">
        <v>45301</v>
      </c>
      <c r="C790" s="1" t="n">
        <v>45588</v>
      </c>
      <c r="D790" t="inlineStr">
        <is>
          <t>DALARNAS LÄN</t>
        </is>
      </c>
      <c r="E790" t="inlineStr">
        <is>
          <t>LUDVIKA</t>
        </is>
      </c>
      <c r="G790" t="n">
        <v>0.3</v>
      </c>
      <c r="H790" t="n">
        <v>0</v>
      </c>
      <c r="I790" t="n">
        <v>0</v>
      </c>
      <c r="J790" t="n">
        <v>0</v>
      </c>
      <c r="K790" t="n">
        <v>0</v>
      </c>
      <c r="L790" t="n">
        <v>0</v>
      </c>
      <c r="M790" t="n">
        <v>0</v>
      </c>
      <c r="N790" t="n">
        <v>0</v>
      </c>
      <c r="O790" t="n">
        <v>0</v>
      </c>
      <c r="P790" t="n">
        <v>0</v>
      </c>
      <c r="Q790" t="n">
        <v>0</v>
      </c>
      <c r="R790" s="2" t="inlineStr"/>
    </row>
    <row r="791" ht="15" customHeight="1">
      <c r="A791" t="inlineStr">
        <is>
          <t>A 918-2024</t>
        </is>
      </c>
      <c r="B791" s="1" t="n">
        <v>45301</v>
      </c>
      <c r="C791" s="1" t="n">
        <v>45588</v>
      </c>
      <c r="D791" t="inlineStr">
        <is>
          <t>DALARNAS LÄN</t>
        </is>
      </c>
      <c r="E791" t="inlineStr">
        <is>
          <t>LUDVIKA</t>
        </is>
      </c>
      <c r="G791" t="n">
        <v>6</v>
      </c>
      <c r="H791" t="n">
        <v>0</v>
      </c>
      <c r="I791" t="n">
        <v>0</v>
      </c>
      <c r="J791" t="n">
        <v>0</v>
      </c>
      <c r="K791" t="n">
        <v>0</v>
      </c>
      <c r="L791" t="n">
        <v>0</v>
      </c>
      <c r="M791" t="n">
        <v>0</v>
      </c>
      <c r="N791" t="n">
        <v>0</v>
      </c>
      <c r="O791" t="n">
        <v>0</v>
      </c>
      <c r="P791" t="n">
        <v>0</v>
      </c>
      <c r="Q791" t="n">
        <v>0</v>
      </c>
      <c r="R791" s="2" t="inlineStr"/>
    </row>
    <row r="792" ht="15" customHeight="1">
      <c r="A792" t="inlineStr">
        <is>
          <t>A 1133-2024</t>
        </is>
      </c>
      <c r="B792" s="1" t="n">
        <v>45302</v>
      </c>
      <c r="C792" s="1" t="n">
        <v>45588</v>
      </c>
      <c r="D792" t="inlineStr">
        <is>
          <t>DALARNAS LÄN</t>
        </is>
      </c>
      <c r="E792" t="inlineStr">
        <is>
          <t>LUDVIKA</t>
        </is>
      </c>
      <c r="G792" t="n">
        <v>2.6</v>
      </c>
      <c r="H792" t="n">
        <v>0</v>
      </c>
      <c r="I792" t="n">
        <v>0</v>
      </c>
      <c r="J792" t="n">
        <v>0</v>
      </c>
      <c r="K792" t="n">
        <v>0</v>
      </c>
      <c r="L792" t="n">
        <v>0</v>
      </c>
      <c r="M792" t="n">
        <v>0</v>
      </c>
      <c r="N792" t="n">
        <v>0</v>
      </c>
      <c r="O792" t="n">
        <v>0</v>
      </c>
      <c r="P792" t="n">
        <v>0</v>
      </c>
      <c r="Q792" t="n">
        <v>0</v>
      </c>
      <c r="R792" s="2" t="inlineStr"/>
    </row>
    <row r="793" ht="15" customHeight="1">
      <c r="A793" t="inlineStr">
        <is>
          <t>A 1444-2024</t>
        </is>
      </c>
      <c r="B793" s="1" t="n">
        <v>45303</v>
      </c>
      <c r="C793" s="1" t="n">
        <v>45588</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1761-2024</t>
        </is>
      </c>
      <c r="B794" s="1" t="n">
        <v>45307</v>
      </c>
      <c r="C794" s="1" t="n">
        <v>45588</v>
      </c>
      <c r="D794" t="inlineStr">
        <is>
          <t>DALARNAS LÄN</t>
        </is>
      </c>
      <c r="E794" t="inlineStr">
        <is>
          <t>LUDVIKA</t>
        </is>
      </c>
      <c r="F794" t="inlineStr">
        <is>
          <t>Naturvårdsverket</t>
        </is>
      </c>
      <c r="G794" t="n">
        <v>1.5</v>
      </c>
      <c r="H794" t="n">
        <v>0</v>
      </c>
      <c r="I794" t="n">
        <v>0</v>
      </c>
      <c r="J794" t="n">
        <v>0</v>
      </c>
      <c r="K794" t="n">
        <v>0</v>
      </c>
      <c r="L794" t="n">
        <v>0</v>
      </c>
      <c r="M794" t="n">
        <v>0</v>
      </c>
      <c r="N794" t="n">
        <v>0</v>
      </c>
      <c r="O794" t="n">
        <v>0</v>
      </c>
      <c r="P794" t="n">
        <v>0</v>
      </c>
      <c r="Q794" t="n">
        <v>0</v>
      </c>
      <c r="R794" s="2" t="inlineStr"/>
    </row>
    <row r="795" ht="15" customHeight="1">
      <c r="A795" t="inlineStr">
        <is>
          <t>A 1988-2024</t>
        </is>
      </c>
      <c r="B795" s="1" t="n">
        <v>45308</v>
      </c>
      <c r="C795" s="1" t="n">
        <v>45588</v>
      </c>
      <c r="D795" t="inlineStr">
        <is>
          <t>DALARNAS LÄN</t>
        </is>
      </c>
      <c r="E795" t="inlineStr">
        <is>
          <t>LUDVIKA</t>
        </is>
      </c>
      <c r="G795" t="n">
        <v>4.2</v>
      </c>
      <c r="H795" t="n">
        <v>0</v>
      </c>
      <c r="I795" t="n">
        <v>0</v>
      </c>
      <c r="J795" t="n">
        <v>0</v>
      </c>
      <c r="K795" t="n">
        <v>0</v>
      </c>
      <c r="L795" t="n">
        <v>0</v>
      </c>
      <c r="M795" t="n">
        <v>0</v>
      </c>
      <c r="N795" t="n">
        <v>0</v>
      </c>
      <c r="O795" t="n">
        <v>0</v>
      </c>
      <c r="P795" t="n">
        <v>0</v>
      </c>
      <c r="Q795" t="n">
        <v>0</v>
      </c>
      <c r="R795" s="2" t="inlineStr"/>
    </row>
    <row r="796" ht="15" customHeight="1">
      <c r="A796" t="inlineStr">
        <is>
          <t>A 2481-2024</t>
        </is>
      </c>
      <c r="B796" s="1" t="n">
        <v>45313</v>
      </c>
      <c r="C796" s="1" t="n">
        <v>45588</v>
      </c>
      <c r="D796" t="inlineStr">
        <is>
          <t>DALARNAS LÄN</t>
        </is>
      </c>
      <c r="E796" t="inlineStr">
        <is>
          <t>LUDVIKA</t>
        </is>
      </c>
      <c r="G796" t="n">
        <v>4.8</v>
      </c>
      <c r="H796" t="n">
        <v>0</v>
      </c>
      <c r="I796" t="n">
        <v>0</v>
      </c>
      <c r="J796" t="n">
        <v>0</v>
      </c>
      <c r="K796" t="n">
        <v>0</v>
      </c>
      <c r="L796" t="n">
        <v>0</v>
      </c>
      <c r="M796" t="n">
        <v>0</v>
      </c>
      <c r="N796" t="n">
        <v>0</v>
      </c>
      <c r="O796" t="n">
        <v>0</v>
      </c>
      <c r="P796" t="n">
        <v>0</v>
      </c>
      <c r="Q796" t="n">
        <v>0</v>
      </c>
      <c r="R796" s="2" t="inlineStr"/>
      <c r="U796">
        <f>HYPERLINK("https://klasma.github.io/Logging_2085/knärot/A 2481-2024 karta knärot.png", "A 2481-2024")</f>
        <v/>
      </c>
      <c r="V796">
        <f>HYPERLINK("https://klasma.github.io/Logging_2085/klagomål/A 2481-2024 FSC-klagomål.docx", "A 2481-2024")</f>
        <v/>
      </c>
      <c r="W796">
        <f>HYPERLINK("https://klasma.github.io/Logging_2085/klagomålsmail/A 2481-2024 FSC-klagomål mail.docx", "A 2481-2024")</f>
        <v/>
      </c>
      <c r="X796">
        <f>HYPERLINK("https://klasma.github.io/Logging_2085/tillsyn/A 2481-2024 tillsynsbegäran.docx", "A 2481-2024")</f>
        <v/>
      </c>
      <c r="Y796">
        <f>HYPERLINK("https://klasma.github.io/Logging_2085/tillsynsmail/A 2481-2024 tillsynsbegäran mail.docx", "A 2481-2024")</f>
        <v/>
      </c>
    </row>
    <row r="797" ht="15" customHeight="1">
      <c r="A797" t="inlineStr">
        <is>
          <t>A 2485-2024</t>
        </is>
      </c>
      <c r="B797" s="1" t="n">
        <v>45313</v>
      </c>
      <c r="C797" s="1" t="n">
        <v>45588</v>
      </c>
      <c r="D797" t="inlineStr">
        <is>
          <t>DALARNAS LÄN</t>
        </is>
      </c>
      <c r="E797" t="inlineStr">
        <is>
          <t>LUDVIKA</t>
        </is>
      </c>
      <c r="G797" t="n">
        <v>2</v>
      </c>
      <c r="H797" t="n">
        <v>0</v>
      </c>
      <c r="I797" t="n">
        <v>0</v>
      </c>
      <c r="J797" t="n">
        <v>0</v>
      </c>
      <c r="K797" t="n">
        <v>0</v>
      </c>
      <c r="L797" t="n">
        <v>0</v>
      </c>
      <c r="M797" t="n">
        <v>0</v>
      </c>
      <c r="N797" t="n">
        <v>0</v>
      </c>
      <c r="O797" t="n">
        <v>0</v>
      </c>
      <c r="P797" t="n">
        <v>0</v>
      </c>
      <c r="Q797" t="n">
        <v>0</v>
      </c>
      <c r="R797" s="2" t="inlineStr"/>
    </row>
    <row r="798" ht="15" customHeight="1">
      <c r="A798" t="inlineStr">
        <is>
          <t>A 2484-2024</t>
        </is>
      </c>
      <c r="B798" s="1" t="n">
        <v>45313</v>
      </c>
      <c r="C798" s="1" t="n">
        <v>45588</v>
      </c>
      <c r="D798" t="inlineStr">
        <is>
          <t>DALARNAS LÄN</t>
        </is>
      </c>
      <c r="E798" t="inlineStr">
        <is>
          <t>LUDVIKA</t>
        </is>
      </c>
      <c r="G798" t="n">
        <v>1</v>
      </c>
      <c r="H798" t="n">
        <v>0</v>
      </c>
      <c r="I798" t="n">
        <v>0</v>
      </c>
      <c r="J798" t="n">
        <v>0</v>
      </c>
      <c r="K798" t="n">
        <v>0</v>
      </c>
      <c r="L798" t="n">
        <v>0</v>
      </c>
      <c r="M798" t="n">
        <v>0</v>
      </c>
      <c r="N798" t="n">
        <v>0</v>
      </c>
      <c r="O798" t="n">
        <v>0</v>
      </c>
      <c r="P798" t="n">
        <v>0</v>
      </c>
      <c r="Q798" t="n">
        <v>0</v>
      </c>
      <c r="R798" s="2" t="inlineStr"/>
    </row>
    <row r="799" ht="15" customHeight="1">
      <c r="A799" t="inlineStr">
        <is>
          <t>A 2603-2024</t>
        </is>
      </c>
      <c r="B799" s="1" t="n">
        <v>45313</v>
      </c>
      <c r="C799" s="1" t="n">
        <v>45588</v>
      </c>
      <c r="D799" t="inlineStr">
        <is>
          <t>DALARNAS LÄN</t>
        </is>
      </c>
      <c r="E799" t="inlineStr">
        <is>
          <t>LUDVIKA</t>
        </is>
      </c>
      <c r="G799" t="n">
        <v>0.8</v>
      </c>
      <c r="H799" t="n">
        <v>0</v>
      </c>
      <c r="I799" t="n">
        <v>0</v>
      </c>
      <c r="J799" t="n">
        <v>0</v>
      </c>
      <c r="K799" t="n">
        <v>0</v>
      </c>
      <c r="L799" t="n">
        <v>0</v>
      </c>
      <c r="M799" t="n">
        <v>0</v>
      </c>
      <c r="N799" t="n">
        <v>0</v>
      </c>
      <c r="O799" t="n">
        <v>0</v>
      </c>
      <c r="P799" t="n">
        <v>0</v>
      </c>
      <c r="Q799" t="n">
        <v>0</v>
      </c>
      <c r="R799" s="2" t="inlineStr"/>
    </row>
    <row r="800" ht="15" customHeight="1">
      <c r="A800" t="inlineStr">
        <is>
          <t>A 3277-2024</t>
        </is>
      </c>
      <c r="B800" s="1" t="n">
        <v>45317</v>
      </c>
      <c r="C800" s="1" t="n">
        <v>45588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3280-2024</t>
        </is>
      </c>
      <c r="B801" s="1" t="n">
        <v>45317</v>
      </c>
      <c r="C801" s="1" t="n">
        <v>45588</v>
      </c>
      <c r="D801" t="inlineStr">
        <is>
          <t>DALARNAS LÄN</t>
        </is>
      </c>
      <c r="E801" t="inlineStr">
        <is>
          <t>LUDVIKA</t>
        </is>
      </c>
      <c r="G801" t="n">
        <v>0.4</v>
      </c>
      <c r="H801" t="n">
        <v>0</v>
      </c>
      <c r="I801" t="n">
        <v>0</v>
      </c>
      <c r="J801" t="n">
        <v>0</v>
      </c>
      <c r="K801" t="n">
        <v>0</v>
      </c>
      <c r="L801" t="n">
        <v>0</v>
      </c>
      <c r="M801" t="n">
        <v>0</v>
      </c>
      <c r="N801" t="n">
        <v>0</v>
      </c>
      <c r="O801" t="n">
        <v>0</v>
      </c>
      <c r="P801" t="n">
        <v>0</v>
      </c>
      <c r="Q801" t="n">
        <v>0</v>
      </c>
      <c r="R801" s="2" t="inlineStr"/>
    </row>
    <row r="802" ht="15" customHeight="1">
      <c r="A802" t="inlineStr">
        <is>
          <t>A 3349-2024</t>
        </is>
      </c>
      <c r="B802" s="1" t="n">
        <v>45317</v>
      </c>
      <c r="C802" s="1" t="n">
        <v>45588</v>
      </c>
      <c r="D802" t="inlineStr">
        <is>
          <t>DALARNAS LÄN</t>
        </is>
      </c>
      <c r="E802" t="inlineStr">
        <is>
          <t>LUDVIKA</t>
        </is>
      </c>
      <c r="G802" t="n">
        <v>3.8</v>
      </c>
      <c r="H802" t="n">
        <v>0</v>
      </c>
      <c r="I802" t="n">
        <v>0</v>
      </c>
      <c r="J802" t="n">
        <v>0</v>
      </c>
      <c r="K802" t="n">
        <v>0</v>
      </c>
      <c r="L802" t="n">
        <v>0</v>
      </c>
      <c r="M802" t="n">
        <v>0</v>
      </c>
      <c r="N802" t="n">
        <v>0</v>
      </c>
      <c r="O802" t="n">
        <v>0</v>
      </c>
      <c r="P802" t="n">
        <v>0</v>
      </c>
      <c r="Q802" t="n">
        <v>0</v>
      </c>
      <c r="R802" s="2" t="inlineStr"/>
    </row>
    <row r="803" ht="15" customHeight="1">
      <c r="A803" t="inlineStr">
        <is>
          <t>A 3687-2024</t>
        </is>
      </c>
      <c r="B803" s="1" t="n">
        <v>45321</v>
      </c>
      <c r="C803" s="1" t="n">
        <v>45588</v>
      </c>
      <c r="D803" t="inlineStr">
        <is>
          <t>DALARNAS LÄN</t>
        </is>
      </c>
      <c r="E803" t="inlineStr">
        <is>
          <t>LUDVIKA</t>
        </is>
      </c>
      <c r="G803" t="n">
        <v>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45588</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45588</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45588</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45588</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45588</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45588</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45588</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45588</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45588</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45588</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45588</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45588</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45588</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45588</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45588</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45588</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45588</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45588</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45588</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45588</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45588</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45588</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45588</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45588</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45588</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45588</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45588</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45588</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45588</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45588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45588</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45588</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45588</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45588</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45588</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45588</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45588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45588</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45588</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45588</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45588</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45588</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45588</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45588</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45588</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45588</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45588</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45588</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45588</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45588</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45588</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45588</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45588</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45588</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45588</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45588</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45588</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45588</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45588</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45588</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45588</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45588</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45588</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45588</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45588</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45588</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45588</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45588</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45588</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45588</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45588</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45588</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45588</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45588</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45588</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45588</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45588</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45588</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45588</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45588</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45588</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45588</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45588</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45588</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45588</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45588</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45588</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45588</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45588</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45588</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45588</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45588</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45588</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45588</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45588</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45588</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45588</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45588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45588</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45588</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45588</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45588</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45588</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45588</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45588</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45588</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45588</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45588</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45588</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45588</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45588</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45588</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45588</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45588</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45588</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45588</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45588</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45588</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45588</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45588</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45588</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45588</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45588</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45588</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45588</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45588</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45588</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45588</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45588</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45588</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45588</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45588</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45588</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45588</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45588</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45588</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45588</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45588</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45588</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45588</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45588</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45588</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45588</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45588</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45588</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45588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45588</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45588</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45588</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45588</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45588</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45588</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45588</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41426-2024</t>
        </is>
      </c>
      <c r="B957" s="1" t="n">
        <v>45560</v>
      </c>
      <c r="C957" s="1" t="n">
        <v>45588</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41459-2024</t>
        </is>
      </c>
      <c r="B958" s="1" t="n">
        <v>45560</v>
      </c>
      <c r="C958" s="1" t="n">
        <v>45588</v>
      </c>
      <c r="D958" t="inlineStr">
        <is>
          <t>DALARNAS LÄN</t>
        </is>
      </c>
      <c r="E958" t="inlineStr">
        <is>
          <t>LUDVIKA</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41495-2024</t>
        </is>
      </c>
      <c r="B959" s="1" t="n">
        <v>45560</v>
      </c>
      <c r="C959" s="1" t="n">
        <v>45588</v>
      </c>
      <c r="D959" t="inlineStr">
        <is>
          <t>DALARNAS LÄN</t>
        </is>
      </c>
      <c r="E959" t="inlineStr">
        <is>
          <t>LUDVIKA</t>
        </is>
      </c>
      <c r="F959" t="inlineStr">
        <is>
          <t>Bergvik skog väst AB</t>
        </is>
      </c>
      <c r="G959" t="n">
        <v>5.8</v>
      </c>
      <c r="H959" t="n">
        <v>0</v>
      </c>
      <c r="I959" t="n">
        <v>0</v>
      </c>
      <c r="J959" t="n">
        <v>0</v>
      </c>
      <c r="K959" t="n">
        <v>0</v>
      </c>
      <c r="L959" t="n">
        <v>0</v>
      </c>
      <c r="M959" t="n">
        <v>0</v>
      </c>
      <c r="N959" t="n">
        <v>0</v>
      </c>
      <c r="O959" t="n">
        <v>0</v>
      </c>
      <c r="P959" t="n">
        <v>0</v>
      </c>
      <c r="Q959" t="n">
        <v>0</v>
      </c>
      <c r="R959" s="2" t="inlineStr"/>
    </row>
    <row r="960" ht="15" customHeight="1">
      <c r="A960" t="inlineStr">
        <is>
          <t>A 41616-2024</t>
        </is>
      </c>
      <c r="B960" s="1" t="n">
        <v>45560</v>
      </c>
      <c r="C960" s="1" t="n">
        <v>45588</v>
      </c>
      <c r="D960" t="inlineStr">
        <is>
          <t>DALARNAS LÄN</t>
        </is>
      </c>
      <c r="E960" t="inlineStr">
        <is>
          <t>LUDVIKA</t>
        </is>
      </c>
      <c r="F960" t="inlineStr">
        <is>
          <t>Bergvik skog väst AB</t>
        </is>
      </c>
      <c r="G960" t="n">
        <v>4.4</v>
      </c>
      <c r="H960" t="n">
        <v>0</v>
      </c>
      <c r="I960" t="n">
        <v>0</v>
      </c>
      <c r="J960" t="n">
        <v>0</v>
      </c>
      <c r="K960" t="n">
        <v>0</v>
      </c>
      <c r="L960" t="n">
        <v>0</v>
      </c>
      <c r="M960" t="n">
        <v>0</v>
      </c>
      <c r="N960" t="n">
        <v>0</v>
      </c>
      <c r="O960" t="n">
        <v>0</v>
      </c>
      <c r="P960" t="n">
        <v>0</v>
      </c>
      <c r="Q960" t="n">
        <v>0</v>
      </c>
      <c r="R960" s="2" t="inlineStr"/>
    </row>
    <row r="961" ht="15" customHeight="1">
      <c r="A961" t="inlineStr">
        <is>
          <t>A 41473-2024</t>
        </is>
      </c>
      <c r="B961" s="1" t="n">
        <v>45560</v>
      </c>
      <c r="C961" s="1" t="n">
        <v>45588</v>
      </c>
      <c r="D961" t="inlineStr">
        <is>
          <t>DALARNAS LÄN</t>
        </is>
      </c>
      <c r="E961" t="inlineStr">
        <is>
          <t>LUDVIKA</t>
        </is>
      </c>
      <c r="F961" t="inlineStr">
        <is>
          <t>Bergvik skog väst AB</t>
        </is>
      </c>
      <c r="G961" t="n">
        <v>1</v>
      </c>
      <c r="H961" t="n">
        <v>0</v>
      </c>
      <c r="I961" t="n">
        <v>0</v>
      </c>
      <c r="J961" t="n">
        <v>0</v>
      </c>
      <c r="K961" t="n">
        <v>0</v>
      </c>
      <c r="L961" t="n">
        <v>0</v>
      </c>
      <c r="M961" t="n">
        <v>0</v>
      </c>
      <c r="N961" t="n">
        <v>0</v>
      </c>
      <c r="O961" t="n">
        <v>0</v>
      </c>
      <c r="P961" t="n">
        <v>0</v>
      </c>
      <c r="Q961" t="n">
        <v>0</v>
      </c>
      <c r="R961" s="2" t="inlineStr"/>
    </row>
    <row r="962" ht="15" customHeight="1">
      <c r="A962" t="inlineStr">
        <is>
          <t>A 41509-2024</t>
        </is>
      </c>
      <c r="B962" s="1" t="n">
        <v>45560</v>
      </c>
      <c r="C962" s="1" t="n">
        <v>45588</v>
      </c>
      <c r="D962" t="inlineStr">
        <is>
          <t>DALARNAS LÄN</t>
        </is>
      </c>
      <c r="E962" t="inlineStr">
        <is>
          <t>LUDVIKA</t>
        </is>
      </c>
      <c r="F962" t="inlineStr">
        <is>
          <t>Bergvik skog väst AB</t>
        </is>
      </c>
      <c r="G962" t="n">
        <v>6</v>
      </c>
      <c r="H962" t="n">
        <v>0</v>
      </c>
      <c r="I962" t="n">
        <v>0</v>
      </c>
      <c r="J962" t="n">
        <v>0</v>
      </c>
      <c r="K962" t="n">
        <v>0</v>
      </c>
      <c r="L962" t="n">
        <v>0</v>
      </c>
      <c r="M962" t="n">
        <v>0</v>
      </c>
      <c r="N962" t="n">
        <v>0</v>
      </c>
      <c r="O962" t="n">
        <v>0</v>
      </c>
      <c r="P962" t="n">
        <v>0</v>
      </c>
      <c r="Q962" t="n">
        <v>0</v>
      </c>
      <c r="R962" s="2" t="inlineStr"/>
    </row>
    <row r="963" ht="15" customHeight="1">
      <c r="A963" t="inlineStr">
        <is>
          <t>A 41449-2024</t>
        </is>
      </c>
      <c r="B963" s="1" t="n">
        <v>45560</v>
      </c>
      <c r="C963" s="1" t="n">
        <v>45588</v>
      </c>
      <c r="D963" t="inlineStr">
        <is>
          <t>DALARNAS LÄN</t>
        </is>
      </c>
      <c r="E963" t="inlineStr">
        <is>
          <t>LUDVIKA</t>
        </is>
      </c>
      <c r="F963" t="inlineStr">
        <is>
          <t>Bergvik skog väst AB</t>
        </is>
      </c>
      <c r="G963" t="n">
        <v>2.9</v>
      </c>
      <c r="H963" t="n">
        <v>0</v>
      </c>
      <c r="I963" t="n">
        <v>0</v>
      </c>
      <c r="J963" t="n">
        <v>0</v>
      </c>
      <c r="K963" t="n">
        <v>0</v>
      </c>
      <c r="L963" t="n">
        <v>0</v>
      </c>
      <c r="M963" t="n">
        <v>0</v>
      </c>
      <c r="N963" t="n">
        <v>0</v>
      </c>
      <c r="O963" t="n">
        <v>0</v>
      </c>
      <c r="P963" t="n">
        <v>0</v>
      </c>
      <c r="Q963" t="n">
        <v>0</v>
      </c>
      <c r="R963" s="2" t="inlineStr"/>
    </row>
    <row r="964" ht="15" customHeight="1">
      <c r="A964" t="inlineStr">
        <is>
          <t>A 41539-2024</t>
        </is>
      </c>
      <c r="B964" s="1" t="n">
        <v>45560</v>
      </c>
      <c r="C964" s="1" t="n">
        <v>45588</v>
      </c>
      <c r="D964" t="inlineStr">
        <is>
          <t>DALARNAS LÄN</t>
        </is>
      </c>
      <c r="E964" t="inlineStr">
        <is>
          <t>LUDVIKA</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45588</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42106-2024</t>
        </is>
      </c>
      <c r="B966" s="1" t="n">
        <v>45562</v>
      </c>
      <c r="C966" s="1" t="n">
        <v>45588</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42215-2024</t>
        </is>
      </c>
      <c r="B967" s="1" t="n">
        <v>45562</v>
      </c>
      <c r="C967" s="1" t="n">
        <v>45588</v>
      </c>
      <c r="D967" t="inlineStr">
        <is>
          <t>DALARNAS LÄN</t>
        </is>
      </c>
      <c r="E967" t="inlineStr">
        <is>
          <t>LUDVIKA</t>
        </is>
      </c>
      <c r="F967" t="inlineStr">
        <is>
          <t>Bergvik skog väst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42341-2024</t>
        </is>
      </c>
      <c r="B968" s="1" t="n">
        <v>45562</v>
      </c>
      <c r="C968" s="1" t="n">
        <v>45588</v>
      </c>
      <c r="D968" t="inlineStr">
        <is>
          <t>DALARNAS LÄN</t>
        </is>
      </c>
      <c r="E968" t="inlineStr">
        <is>
          <t>LUDVIKA</t>
        </is>
      </c>
      <c r="G968" t="n">
        <v>5.3</v>
      </c>
      <c r="H968" t="n">
        <v>0</v>
      </c>
      <c r="I968" t="n">
        <v>0</v>
      </c>
      <c r="J968" t="n">
        <v>0</v>
      </c>
      <c r="K968" t="n">
        <v>0</v>
      </c>
      <c r="L968" t="n">
        <v>0</v>
      </c>
      <c r="M968" t="n">
        <v>0</v>
      </c>
      <c r="N968" t="n">
        <v>0</v>
      </c>
      <c r="O968" t="n">
        <v>0</v>
      </c>
      <c r="P968" t="n">
        <v>0</v>
      </c>
      <c r="Q968" t="n">
        <v>0</v>
      </c>
      <c r="R968" s="2" t="inlineStr"/>
    </row>
    <row r="969" ht="15" customHeight="1">
      <c r="A969" t="inlineStr">
        <is>
          <t>A 42108-2024</t>
        </is>
      </c>
      <c r="B969" s="1" t="n">
        <v>45562</v>
      </c>
      <c r="C969" s="1" t="n">
        <v>45588</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42128-2024</t>
        </is>
      </c>
      <c r="B970" s="1" t="n">
        <v>45562</v>
      </c>
      <c r="C970" s="1" t="n">
        <v>45588</v>
      </c>
      <c r="D970" t="inlineStr">
        <is>
          <t>DALARNAS LÄN</t>
        </is>
      </c>
      <c r="E970" t="inlineStr">
        <is>
          <t>LUDVIKA</t>
        </is>
      </c>
      <c r="G970" t="n">
        <v>3.1</v>
      </c>
      <c r="H970" t="n">
        <v>0</v>
      </c>
      <c r="I970" t="n">
        <v>0</v>
      </c>
      <c r="J970" t="n">
        <v>0</v>
      </c>
      <c r="K970" t="n">
        <v>0</v>
      </c>
      <c r="L970" t="n">
        <v>0</v>
      </c>
      <c r="M970" t="n">
        <v>0</v>
      </c>
      <c r="N970" t="n">
        <v>0</v>
      </c>
      <c r="O970" t="n">
        <v>0</v>
      </c>
      <c r="P970" t="n">
        <v>0</v>
      </c>
      <c r="Q970" t="n">
        <v>0</v>
      </c>
      <c r="R970" s="2" t="inlineStr"/>
    </row>
    <row r="971" ht="15" customHeight="1">
      <c r="A971" t="inlineStr">
        <is>
          <t>A 42213-2024</t>
        </is>
      </c>
      <c r="B971" s="1" t="n">
        <v>45562</v>
      </c>
      <c r="C971" s="1" t="n">
        <v>45588</v>
      </c>
      <c r="D971" t="inlineStr">
        <is>
          <t>DALARNAS LÄN</t>
        </is>
      </c>
      <c r="E971" t="inlineStr">
        <is>
          <t>LUDVIKA</t>
        </is>
      </c>
      <c r="F971" t="inlineStr">
        <is>
          <t>Bergvik skog väst AB</t>
        </is>
      </c>
      <c r="G971" t="n">
        <v>3.6</v>
      </c>
      <c r="H971" t="n">
        <v>0</v>
      </c>
      <c r="I971" t="n">
        <v>0</v>
      </c>
      <c r="J971" t="n">
        <v>0</v>
      </c>
      <c r="K971" t="n">
        <v>0</v>
      </c>
      <c r="L971" t="n">
        <v>0</v>
      </c>
      <c r="M971" t="n">
        <v>0</v>
      </c>
      <c r="N971" t="n">
        <v>0</v>
      </c>
      <c r="O971" t="n">
        <v>0</v>
      </c>
      <c r="P971" t="n">
        <v>0</v>
      </c>
      <c r="Q971" t="n">
        <v>0</v>
      </c>
      <c r="R971" s="2" t="inlineStr"/>
    </row>
    <row r="972" ht="15" customHeight="1">
      <c r="A972" t="inlineStr">
        <is>
          <t>A 42254-2024</t>
        </is>
      </c>
      <c r="B972" s="1" t="n">
        <v>45562</v>
      </c>
      <c r="C972" s="1" t="n">
        <v>45588</v>
      </c>
      <c r="D972" t="inlineStr">
        <is>
          <t>DALARNAS LÄN</t>
        </is>
      </c>
      <c r="E972" t="inlineStr">
        <is>
          <t>LUDVIKA</t>
        </is>
      </c>
      <c r="F972" t="inlineStr">
        <is>
          <t>Bergvik skog väst AB</t>
        </is>
      </c>
      <c r="G972" t="n">
        <v>0.8</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45588</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42829-2024</t>
        </is>
      </c>
      <c r="B974" s="1" t="n">
        <v>45566</v>
      </c>
      <c r="C974" s="1" t="n">
        <v>45588</v>
      </c>
      <c r="D974" t="inlineStr">
        <is>
          <t>DALARNAS LÄN</t>
        </is>
      </c>
      <c r="E974" t="inlineStr">
        <is>
          <t>LUDVIKA</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42827-2024</t>
        </is>
      </c>
      <c r="B975" s="1" t="n">
        <v>45566</v>
      </c>
      <c r="C975" s="1" t="n">
        <v>45588</v>
      </c>
      <c r="D975" t="inlineStr">
        <is>
          <t>DALARNAS LÄN</t>
        </is>
      </c>
      <c r="E975" t="inlineStr">
        <is>
          <t>LUDVIKA</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43033-2024</t>
        </is>
      </c>
      <c r="B976" s="1" t="n">
        <v>45567</v>
      </c>
      <c r="C976" s="1" t="n">
        <v>45588</v>
      </c>
      <c r="D976" t="inlineStr">
        <is>
          <t>DALARNAS LÄN</t>
        </is>
      </c>
      <c r="E976" t="inlineStr">
        <is>
          <t>LUDVIKA</t>
        </is>
      </c>
      <c r="G976" t="n">
        <v>1</v>
      </c>
      <c r="H976" t="n">
        <v>0</v>
      </c>
      <c r="I976" t="n">
        <v>0</v>
      </c>
      <c r="J976" t="n">
        <v>0</v>
      </c>
      <c r="K976" t="n">
        <v>0</v>
      </c>
      <c r="L976" t="n">
        <v>0</v>
      </c>
      <c r="M976" t="n">
        <v>0</v>
      </c>
      <c r="N976" t="n">
        <v>0</v>
      </c>
      <c r="O976" t="n">
        <v>0</v>
      </c>
      <c r="P976" t="n">
        <v>0</v>
      </c>
      <c r="Q976" t="n">
        <v>0</v>
      </c>
      <c r="R976" s="2" t="inlineStr"/>
    </row>
    <row r="977" ht="15" customHeight="1">
      <c r="A977" t="inlineStr">
        <is>
          <t>A 43057-2024</t>
        </is>
      </c>
      <c r="B977" s="1" t="n">
        <v>45567</v>
      </c>
      <c r="C977" s="1" t="n">
        <v>45588</v>
      </c>
      <c r="D977" t="inlineStr">
        <is>
          <t>DALARNAS LÄN</t>
        </is>
      </c>
      <c r="E977" t="inlineStr">
        <is>
          <t>LUDVIKA</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43015-2024</t>
        </is>
      </c>
      <c r="B978" s="1" t="n">
        <v>45567</v>
      </c>
      <c r="C978" s="1" t="n">
        <v>45588</v>
      </c>
      <c r="D978" t="inlineStr">
        <is>
          <t>DALARNAS LÄN</t>
        </is>
      </c>
      <c r="E978" t="inlineStr">
        <is>
          <t>LUDVIKA</t>
        </is>
      </c>
      <c r="G978" t="n">
        <v>3.7</v>
      </c>
      <c r="H978" t="n">
        <v>0</v>
      </c>
      <c r="I978" t="n">
        <v>0</v>
      </c>
      <c r="J978" t="n">
        <v>0</v>
      </c>
      <c r="K978" t="n">
        <v>0</v>
      </c>
      <c r="L978" t="n">
        <v>0</v>
      </c>
      <c r="M978" t="n">
        <v>0</v>
      </c>
      <c r="N978" t="n">
        <v>0</v>
      </c>
      <c r="O978" t="n">
        <v>0</v>
      </c>
      <c r="P978" t="n">
        <v>0</v>
      </c>
      <c r="Q978" t="n">
        <v>0</v>
      </c>
      <c r="R978" s="2" t="inlineStr"/>
    </row>
    <row r="979" ht="15" customHeight="1">
      <c r="A979" t="inlineStr">
        <is>
          <t>A 43055-2024</t>
        </is>
      </c>
      <c r="B979" s="1" t="n">
        <v>45567</v>
      </c>
      <c r="C979" s="1" t="n">
        <v>45588</v>
      </c>
      <c r="D979" t="inlineStr">
        <is>
          <t>DALARNAS LÄN</t>
        </is>
      </c>
      <c r="E979" t="inlineStr">
        <is>
          <t>LUDVIKA</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43116-2024</t>
        </is>
      </c>
      <c r="B980" s="1" t="n">
        <v>45567</v>
      </c>
      <c r="C980" s="1" t="n">
        <v>45588</v>
      </c>
      <c r="D980" t="inlineStr">
        <is>
          <t>DALARNAS LÄN</t>
        </is>
      </c>
      <c r="E980" t="inlineStr">
        <is>
          <t>LUDVIKA</t>
        </is>
      </c>
      <c r="F980" t="inlineStr">
        <is>
          <t>Bergvik skog väst AB</t>
        </is>
      </c>
      <c r="G980" t="n">
        <v>4.3</v>
      </c>
      <c r="H980" t="n">
        <v>0</v>
      </c>
      <c r="I980" t="n">
        <v>0</v>
      </c>
      <c r="J980" t="n">
        <v>0</v>
      </c>
      <c r="K980" t="n">
        <v>0</v>
      </c>
      <c r="L980" t="n">
        <v>0</v>
      </c>
      <c r="M980" t="n">
        <v>0</v>
      </c>
      <c r="N980" t="n">
        <v>0</v>
      </c>
      <c r="O980" t="n">
        <v>0</v>
      </c>
      <c r="P980" t="n">
        <v>0</v>
      </c>
      <c r="Q980" t="n">
        <v>0</v>
      </c>
      <c r="R980" s="2" t="inlineStr"/>
    </row>
    <row r="981" ht="15" customHeight="1">
      <c r="A981" t="inlineStr">
        <is>
          <t>A 43111-2024</t>
        </is>
      </c>
      <c r="B981" s="1" t="n">
        <v>45567</v>
      </c>
      <c r="C981" s="1" t="n">
        <v>45588</v>
      </c>
      <c r="D981" t="inlineStr">
        <is>
          <t>DALARNAS LÄN</t>
        </is>
      </c>
      <c r="E981" t="inlineStr">
        <is>
          <t>LUDVIKA</t>
        </is>
      </c>
      <c r="F981" t="inlineStr">
        <is>
          <t>Bergvik skog väst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45588</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45588</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45588</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45588</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45588</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45588</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45588</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45588</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44217-2024</t>
        </is>
      </c>
      <c r="B990" s="1" t="n">
        <v>45573</v>
      </c>
      <c r="C990" s="1" t="n">
        <v>45588</v>
      </c>
      <c r="D990" t="inlineStr">
        <is>
          <t>DALARNAS LÄN</t>
        </is>
      </c>
      <c r="E990" t="inlineStr">
        <is>
          <t>LUDVIKA</t>
        </is>
      </c>
      <c r="G990" t="n">
        <v>1.8</v>
      </c>
      <c r="H990" t="n">
        <v>0</v>
      </c>
      <c r="I990" t="n">
        <v>0</v>
      </c>
      <c r="J990" t="n">
        <v>0</v>
      </c>
      <c r="K990" t="n">
        <v>0</v>
      </c>
      <c r="L990" t="n">
        <v>0</v>
      </c>
      <c r="M990" t="n">
        <v>0</v>
      </c>
      <c r="N990" t="n">
        <v>0</v>
      </c>
      <c r="O990" t="n">
        <v>0</v>
      </c>
      <c r="P990" t="n">
        <v>0</v>
      </c>
      <c r="Q990" t="n">
        <v>0</v>
      </c>
      <c r="R990" s="2" t="inlineStr"/>
    </row>
    <row r="991" ht="15" customHeight="1">
      <c r="A991" t="inlineStr">
        <is>
          <t>A 44248-2024</t>
        </is>
      </c>
      <c r="B991" s="1" t="n">
        <v>45573</v>
      </c>
      <c r="C991" s="1" t="n">
        <v>45588</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44537-2024</t>
        </is>
      </c>
      <c r="B992" s="1" t="n">
        <v>45574</v>
      </c>
      <c r="C992" s="1" t="n">
        <v>45588</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44534-2024</t>
        </is>
      </c>
      <c r="B993" s="1" t="n">
        <v>45574</v>
      </c>
      <c r="C993" s="1" t="n">
        <v>45588</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45588</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45588</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44885-2024</t>
        </is>
      </c>
      <c r="B996" s="1" t="n">
        <v>45575</v>
      </c>
      <c r="C996" s="1" t="n">
        <v>45588</v>
      </c>
      <c r="D996" t="inlineStr">
        <is>
          <t>DALARNAS LÄN</t>
        </is>
      </c>
      <c r="E996" t="inlineStr">
        <is>
          <t>LUDVIKA</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44880-2024</t>
        </is>
      </c>
      <c r="B997" s="1" t="n">
        <v>45575</v>
      </c>
      <c r="C997" s="1" t="n">
        <v>45588</v>
      </c>
      <c r="D997" t="inlineStr">
        <is>
          <t>DALARNAS LÄN</t>
        </is>
      </c>
      <c r="E997" t="inlineStr">
        <is>
          <t>LUDVIKA</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45184-2024</t>
        </is>
      </c>
      <c r="B998" s="1" t="n">
        <v>45575</v>
      </c>
      <c r="C998" s="1" t="n">
        <v>45588</v>
      </c>
      <c r="D998" t="inlineStr">
        <is>
          <t>DALARNAS LÄN</t>
        </is>
      </c>
      <c r="E998" t="inlineStr">
        <is>
          <t>LUDVIKA</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ht="15" customHeight="1">
      <c r="A999" t="inlineStr">
        <is>
          <t>A 45188-2024</t>
        </is>
      </c>
      <c r="B999" s="1" t="n">
        <v>45575</v>
      </c>
      <c r="C999" s="1" t="n">
        <v>45588</v>
      </c>
      <c r="D999" t="inlineStr">
        <is>
          <t>DALARNAS LÄN</t>
        </is>
      </c>
      <c r="E999" t="inlineStr">
        <is>
          <t>LUDVIKA</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45402-2024</t>
        </is>
      </c>
      <c r="B1000" s="1" t="n">
        <v>45576</v>
      </c>
      <c r="C1000" s="1" t="n">
        <v>45588</v>
      </c>
      <c r="D1000" t="inlineStr">
        <is>
          <t>DALARNAS LÄN</t>
        </is>
      </c>
      <c r="E1000" t="inlineStr">
        <is>
          <t>LUDVIKA</t>
        </is>
      </c>
      <c r="F1000" t="inlineStr">
        <is>
          <t>Bergvik skog väst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45443-2024</t>
        </is>
      </c>
      <c r="B1001" s="1" t="n">
        <v>45576</v>
      </c>
      <c r="C1001" s="1" t="n">
        <v>45588</v>
      </c>
      <c r="D1001" t="inlineStr">
        <is>
          <t>DALARNAS LÄN</t>
        </is>
      </c>
      <c r="E1001" t="inlineStr">
        <is>
          <t>LUDVIKA</t>
        </is>
      </c>
      <c r="F1001" t="inlineStr">
        <is>
          <t>Bergvik skog väst AB</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45400-2024</t>
        </is>
      </c>
      <c r="B1002" s="1" t="n">
        <v>45576</v>
      </c>
      <c r="C1002" s="1" t="n">
        <v>45588</v>
      </c>
      <c r="D1002" t="inlineStr">
        <is>
          <t>DALARNAS LÄN</t>
        </is>
      </c>
      <c r="E1002" t="inlineStr">
        <is>
          <t>LUDVIKA</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45445-2024</t>
        </is>
      </c>
      <c r="B1003" s="1" t="n">
        <v>45576</v>
      </c>
      <c r="C1003" s="1" t="n">
        <v>45588</v>
      </c>
      <c r="D1003" t="inlineStr">
        <is>
          <t>DALARNAS LÄN</t>
        </is>
      </c>
      <c r="E1003" t="inlineStr">
        <is>
          <t>LUDVIKA</t>
        </is>
      </c>
      <c r="F1003" t="inlineStr">
        <is>
          <t>Bergvik skog väst AB</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45405-2024</t>
        </is>
      </c>
      <c r="B1004" s="1" t="n">
        <v>45576</v>
      </c>
      <c r="C1004" s="1" t="n">
        <v>45588</v>
      </c>
      <c r="D1004" t="inlineStr">
        <is>
          <t>DALARNAS LÄN</t>
        </is>
      </c>
      <c r="E1004" t="inlineStr">
        <is>
          <t>LUDVIKA</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45543-2024</t>
        </is>
      </c>
      <c r="B1005" s="1" t="n">
        <v>45579</v>
      </c>
      <c r="C1005" s="1" t="n">
        <v>45588</v>
      </c>
      <c r="D1005" t="inlineStr">
        <is>
          <t>DALARNAS LÄN</t>
        </is>
      </c>
      <c r="E1005" t="inlineStr">
        <is>
          <t>LUDVIKA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45547-2024</t>
        </is>
      </c>
      <c r="B1006" s="1" t="n">
        <v>45579</v>
      </c>
      <c r="C1006" s="1" t="n">
        <v>45588</v>
      </c>
      <c r="D1006" t="inlineStr">
        <is>
          <t>DALARNAS LÄN</t>
        </is>
      </c>
      <c r="E1006" t="inlineStr">
        <is>
          <t>LUDVIKA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45544-2024</t>
        </is>
      </c>
      <c r="B1007" s="1" t="n">
        <v>45579</v>
      </c>
      <c r="C1007" s="1" t="n">
        <v>45588</v>
      </c>
      <c r="D1007" t="inlineStr">
        <is>
          <t>DALARNAS LÄN</t>
        </is>
      </c>
      <c r="E1007" t="inlineStr">
        <is>
          <t>LUDVIKA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45559-2024</t>
        </is>
      </c>
      <c r="B1008" s="1" t="n">
        <v>45579</v>
      </c>
      <c r="C1008" s="1" t="n">
        <v>45588</v>
      </c>
      <c r="D1008" t="inlineStr">
        <is>
          <t>DALARNAS LÄN</t>
        </is>
      </c>
      <c r="E1008" t="inlineStr">
        <is>
          <t>LUDVIKA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46093-2024</t>
        </is>
      </c>
      <c r="B1009" s="1" t="n">
        <v>45581</v>
      </c>
      <c r="C1009" s="1" t="n">
        <v>45588</v>
      </c>
      <c r="D1009" t="inlineStr">
        <is>
          <t>DALARNAS LÄN</t>
        </is>
      </c>
      <c r="E1009" t="inlineStr">
        <is>
          <t>LUDVIKA</t>
        </is>
      </c>
      <c r="F1009" t="inlineStr">
        <is>
          <t>Bergvik skog väst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46097-2024</t>
        </is>
      </c>
      <c r="B1010" s="1" t="n">
        <v>45581</v>
      </c>
      <c r="C1010" s="1" t="n">
        <v>45588</v>
      </c>
      <c r="D1010" t="inlineStr">
        <is>
          <t>DALARNAS LÄN</t>
        </is>
      </c>
      <c r="E1010" t="inlineStr">
        <is>
          <t>LUDVIKA</t>
        </is>
      </c>
      <c r="F1010" t="inlineStr">
        <is>
          <t>Bergvik skog väst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46102-2024</t>
        </is>
      </c>
      <c r="B1011" s="1" t="n">
        <v>45581</v>
      </c>
      <c r="C1011" s="1" t="n">
        <v>45588</v>
      </c>
      <c r="D1011" t="inlineStr">
        <is>
          <t>DALARNAS LÄN</t>
        </is>
      </c>
      <c r="E1011" t="inlineStr">
        <is>
          <t>LUDVIKA</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46092-2024</t>
        </is>
      </c>
      <c r="B1012" s="1" t="n">
        <v>45581</v>
      </c>
      <c r="C1012" s="1" t="n">
        <v>45588</v>
      </c>
      <c r="D1012" t="inlineStr">
        <is>
          <t>DALARNAS LÄN</t>
        </is>
      </c>
      <c r="E1012" t="inlineStr">
        <is>
          <t>LUDVIKA</t>
        </is>
      </c>
      <c r="F1012" t="inlineStr">
        <is>
          <t>Bergvik skog väst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46185-2024</t>
        </is>
      </c>
      <c r="B1013" s="1" t="n">
        <v>45581</v>
      </c>
      <c r="C1013" s="1" t="n">
        <v>45588</v>
      </c>
      <c r="D1013" t="inlineStr">
        <is>
          <t>DALARNAS LÄN</t>
        </is>
      </c>
      <c r="E1013" t="inlineStr">
        <is>
          <t>LUDVIKA</t>
        </is>
      </c>
      <c r="F1013" t="inlineStr">
        <is>
          <t>Bergvik skog väst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46095-2024</t>
        </is>
      </c>
      <c r="B1014" s="1" t="n">
        <v>45581</v>
      </c>
      <c r="C1014" s="1" t="n">
        <v>45588</v>
      </c>
      <c r="D1014" t="inlineStr">
        <is>
          <t>DALARNAS LÄN</t>
        </is>
      </c>
      <c r="E1014" t="inlineStr">
        <is>
          <t>LUDVIKA</t>
        </is>
      </c>
      <c r="F1014" t="inlineStr">
        <is>
          <t>Bergvik skog väst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46107-2024</t>
        </is>
      </c>
      <c r="B1015" s="1" t="n">
        <v>45581</v>
      </c>
      <c r="C1015" s="1" t="n">
        <v>45588</v>
      </c>
      <c r="D1015" t="inlineStr">
        <is>
          <t>DALARNAS LÄN</t>
        </is>
      </c>
      <c r="E1015" t="inlineStr">
        <is>
          <t>LUDVIKA</t>
        </is>
      </c>
      <c r="F1015" t="inlineStr">
        <is>
          <t>Bergvik skog väst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46183-2024</t>
        </is>
      </c>
      <c r="B1016" s="1" t="n">
        <v>45581</v>
      </c>
      <c r="C1016" s="1" t="n">
        <v>45588</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46358-2024</t>
        </is>
      </c>
      <c r="B1017" s="1" t="n">
        <v>45582</v>
      </c>
      <c r="C1017" s="1" t="n">
        <v>45588</v>
      </c>
      <c r="D1017" t="inlineStr">
        <is>
          <t>DALARNAS LÄN</t>
        </is>
      </c>
      <c r="E1017" t="inlineStr">
        <is>
          <t>LUDVIKA</t>
        </is>
      </c>
      <c r="F1017" t="inlineStr">
        <is>
          <t>Övriga Aktiebolag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46351-2024</t>
        </is>
      </c>
      <c r="B1018" s="1" t="n">
        <v>45582</v>
      </c>
      <c r="C1018" s="1" t="n">
        <v>45588</v>
      </c>
      <c r="D1018" t="inlineStr">
        <is>
          <t>DALARNAS LÄN</t>
        </is>
      </c>
      <c r="E1018" t="inlineStr">
        <is>
          <t>LUDVIKA</t>
        </is>
      </c>
      <c r="F1018" t="inlineStr">
        <is>
          <t>Övriga Aktiebolag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47229-2024</t>
        </is>
      </c>
      <c r="B1019" s="1" t="n">
        <v>45586</v>
      </c>
      <c r="C1019" s="1" t="n">
        <v>45588</v>
      </c>
      <c r="D1019" t="inlineStr">
        <is>
          <t>DALARNAS LÄN</t>
        </is>
      </c>
      <c r="E1019" t="inlineStr">
        <is>
          <t>LUDVIKA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47233-2024</t>
        </is>
      </c>
      <c r="B1020" s="1" t="n">
        <v>45586</v>
      </c>
      <c r="C1020" s="1" t="n">
        <v>45588</v>
      </c>
      <c r="D1020" t="inlineStr">
        <is>
          <t>DALARNAS LÄN</t>
        </is>
      </c>
      <c r="E1020" t="inlineStr">
        <is>
          <t>LUDVIKA</t>
        </is>
      </c>
      <c r="G1020" t="n">
        <v>9.5</v>
      </c>
      <c r="H1020" t="n">
        <v>0</v>
      </c>
      <c r="I1020" t="n">
        <v>0</v>
      </c>
      <c r="J1020" t="n">
        <v>0</v>
      </c>
      <c r="K1020" t="n">
        <v>0</v>
      </c>
      <c r="L1020" t="n">
        <v>0</v>
      </c>
      <c r="M1020" t="n">
        <v>0</v>
      </c>
      <c r="N1020" t="n">
        <v>0</v>
      </c>
      <c r="O1020" t="n">
        <v>0</v>
      </c>
      <c r="P1020" t="n">
        <v>0</v>
      </c>
      <c r="Q1020" t="n">
        <v>0</v>
      </c>
      <c r="R1020" s="2" t="inlineStr"/>
    </row>
    <row r="1021">
      <c r="A1021" t="inlineStr">
        <is>
          <t>A 47239-2024</t>
        </is>
      </c>
      <c r="B1021" s="1" t="n">
        <v>45586</v>
      </c>
      <c r="C1021" s="1" t="n">
        <v>45588</v>
      </c>
      <c r="D1021" t="inlineStr">
        <is>
          <t>DALARNAS LÄN</t>
        </is>
      </c>
      <c r="E1021" t="inlineStr">
        <is>
          <t>LUDVIKA</t>
        </is>
      </c>
      <c r="G1021" t="n">
        <v>2.1</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2024-10-23T13:12:33Z</dcterms:created>
  <dcterms:modified xmlns:dcterms="http://purl.org/dc/terms/" xmlns:xsi="http://www.w3.org/2001/XMLSchema-instance" xsi:type="dcterms:W3CDTF">2024-10-23T13:12:34Z</dcterms:modified>
</cp:coreProperties>
</file>
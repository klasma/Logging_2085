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45804</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45804</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45804</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45804</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45804</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45804</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45804</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45804</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45804</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45804</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45804</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45804</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45804</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45804</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45804</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45804</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45804</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45804</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45804</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45804</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45804</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45804</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45804</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45804</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45804</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45804</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45804</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45804</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45804</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45804</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45804</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45804</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45804</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45804</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45804</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45804</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45804</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45804</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45804</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45804</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45804</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45804</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45804</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45804</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45804</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45804</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45804</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45804</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45804</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45804</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45804</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45804</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45804</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45804</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45804</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45804</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45804</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45804</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45804</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45804</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45804</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45804</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45804</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45804</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45804</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45804</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45804</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45804</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45804</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45804</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45804</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45804</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23102-2025</t>
        </is>
      </c>
      <c r="B96" s="1" t="n">
        <v>45791</v>
      </c>
      <c r="C96" s="1" t="n">
        <v>45804</v>
      </c>
      <c r="D96" t="inlineStr">
        <is>
          <t>DALARNAS LÄN</t>
        </is>
      </c>
      <c r="E96" t="inlineStr">
        <is>
          <t>LUDVIKA</t>
        </is>
      </c>
      <c r="F96" t="inlineStr">
        <is>
          <t>Bergvik skog väst AB</t>
        </is>
      </c>
      <c r="G96" t="n">
        <v>0.8</v>
      </c>
      <c r="H96" t="n">
        <v>1</v>
      </c>
      <c r="I96" t="n">
        <v>0</v>
      </c>
      <c r="J96" t="n">
        <v>0</v>
      </c>
      <c r="K96" t="n">
        <v>0</v>
      </c>
      <c r="L96" t="n">
        <v>0</v>
      </c>
      <c r="M96" t="n">
        <v>0</v>
      </c>
      <c r="N96" t="n">
        <v>0</v>
      </c>
      <c r="O96" t="n">
        <v>0</v>
      </c>
      <c r="P96" t="n">
        <v>0</v>
      </c>
      <c r="Q96" t="n">
        <v>1</v>
      </c>
      <c r="R96" s="2" t="inlineStr">
        <is>
          <t>Vanlig groda</t>
        </is>
      </c>
      <c r="S96">
        <f>HYPERLINK("https://klasma.github.io/Logging_202085/artfynd/A 23102-2025 artfynd.xlsx", "A 23102-2025")</f>
        <v/>
      </c>
      <c r="T96">
        <f>HYPERLINK("https://klasma.github.io/Logging_202085/kartor/A 23102-2025 karta.png", "A 23102-2025")</f>
        <v/>
      </c>
      <c r="V96">
        <f>HYPERLINK("https://klasma.github.io/Logging_202085/klagomål/A 23102-2025 FSC-klagomål.docx", "A 23102-2025")</f>
        <v/>
      </c>
      <c r="W96">
        <f>HYPERLINK("https://klasma.github.io/Logging_202085/klagomålsmail/A 23102-2025 FSC-klagomål mail.docx", "A 23102-2025")</f>
        <v/>
      </c>
      <c r="X96">
        <f>HYPERLINK("https://klasma.github.io/Logging_202085/tillsyn/A 23102-2025 tillsynsbegäran.docx", "A 23102-2025")</f>
        <v/>
      </c>
      <c r="Y96">
        <f>HYPERLINK("https://klasma.github.io/Logging_202085/tillsynsmail/A 23102-2025 tillsynsbegäran mail.docx", "A 23102-2025")</f>
        <v/>
      </c>
    </row>
    <row r="97" ht="15" customHeight="1">
      <c r="A97" t="inlineStr">
        <is>
          <t>A 23085-2025</t>
        </is>
      </c>
      <c r="B97" s="1" t="n">
        <v>45791</v>
      </c>
      <c r="C97" s="1" t="n">
        <v>45804</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23107-2025</t>
        </is>
      </c>
      <c r="B98" s="1" t="n">
        <v>45791</v>
      </c>
      <c r="C98" s="1" t="n">
        <v>45804</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45804</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45804</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45804</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45804</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45804</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45804</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45804</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45804</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45804</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45804</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45804</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45804</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45804</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45804</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45804</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45804</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45804</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45804</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45804</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45804</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45804</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45804</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45804</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45804</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45804</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45804</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45804</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45804</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45804</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45804</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45804</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45804</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45804</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45804</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45804</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45804</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45804</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45804</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45804</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45804</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45804</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45804</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45804</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45804</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45804</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45804</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45804</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45804</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45804</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45804</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45804</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45804</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45804</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45804</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45804</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45804</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45804</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45804</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45804</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45804</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45804</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45804</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45804</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45804</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45804</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45804</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45804</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45804</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45804</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45804</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45804</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45804</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45804</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45804</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45804</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45804</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45804</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45804</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45804</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45804</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45804</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45804</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45804</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45804</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45804</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45804</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45804</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45804</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45804</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45804</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45804</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45804</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45804</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45804</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45804</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45804</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45804</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45804</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45804</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45804</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45804</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45804</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45804</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45804</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45804</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45804</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45804</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45804</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45804</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45804</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45804</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45804</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45804</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45804</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45804</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45804</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45804</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45804</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45804</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45804</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45804</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45804</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45804</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45804</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45804</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45804</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45804</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45804</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45804</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45804</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45804</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45804</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45804</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45804</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45804</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45804</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45804</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45804</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45804</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45804</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45804</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45804</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45804</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45804</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45804</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45804</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45804</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45804</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45804</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45804</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45804</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45804</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45804</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45804</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45804</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45804</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45804</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45804</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45804</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45804</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45804</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45804</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45804</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45804</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45804</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45804</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45804</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45804</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45804</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45804</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45804</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45804</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45804</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45804</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45804</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45804</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45804</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45804</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45804</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45804</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45804</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45804</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45804</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45804</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45804</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45804</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45804</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45804</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45804</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45804</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45804</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45804</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45804</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45804</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45804</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45804</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45804</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45804</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45804</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45804</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45804</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45804</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45804</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45804</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45804</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45804</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45804</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45804</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45804</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45804</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45804</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45804</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45804</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45804</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45804</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45804</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45804</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45804</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45804</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45804</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45804</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45804</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45804</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45804</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45804</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45804</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45804</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45804</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45804</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45804</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45804</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45804</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45804</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45804</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45804</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45804</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45804</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45804</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45804</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45804</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45804</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45804</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45804</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45804</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45804</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45804</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45804</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45804</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45804</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45804</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45804</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45804</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45804</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45804</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45804</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45804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45804</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45804</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45804</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45804</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45804</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45804</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45804</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45804</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45804</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45804</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45804</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45804</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45804</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45804</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45804</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45804</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45804</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45804</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45804</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45804</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45804</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45804</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45804</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45804</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45804</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45804</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45804</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45804</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45804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45804</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45804</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45804</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45804</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45804</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45804</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45804</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45804</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45804</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45804</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45804</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45804</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45804</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45804</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45804</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45804</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45804</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45804</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45804</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45804</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45804</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45804</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45804</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45804</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45804</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45804</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45804</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45804</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45804</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45804</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45804</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45804</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45804</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45804</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45804</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45804</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45804</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45804</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45804</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45804</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45804</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45804</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45804</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45804</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45804</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45804</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45804</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45804</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45804</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45804</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45804</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45804</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45804</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45804</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45804</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45804</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45804</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45804</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45804</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45804</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45804</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45804</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45804</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45804</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45804</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45804</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45804</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45804</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45804</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45804</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45804</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45804</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45804</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45804</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45804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45804</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45804</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45804</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45804</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45804</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45804</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45804</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45804</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45804</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45804</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45804</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45804</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45804</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45804</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45804</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45804</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45804</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45804</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45804</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45804</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45804</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45804</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45804</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45804</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45804</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45804</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45804</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45804</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45804</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45804</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45804</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45804</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45804</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45804</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45804</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45804</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45804</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45804</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45804</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45804</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45804</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45804</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45804</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45804</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45804</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45804</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45804</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45804</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45804</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45804</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45804</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45804</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45804</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45804</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45804</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45804</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45804</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45804</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45804</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45804</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45804</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45804</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45804</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45804</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45804</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45804</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45804</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45804</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45804</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45804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45804</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45804</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45804</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45804</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45804</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45804</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45804</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45804</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45804</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45804</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45804</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45804</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45804</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45804</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45804</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45804</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45804</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45804</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45804</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45804</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45804</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45804</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45804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45804</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45804</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45804</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45804</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45804</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45804</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45804</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45804</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45804</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45804</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45804</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45804</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45804</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45804</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45804</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45804</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45804</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45804</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45804</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45804</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45804</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45804</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45804</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45804</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45804</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45804</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45804</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45804</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45804</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45804</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45804</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45804</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45804</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45804</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45804</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45804</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45804</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45804</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45804</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45804</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45804</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45804</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45804</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45804</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45804</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45804</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45804</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45804</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45804</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45804</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45804</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45804</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45804</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45804</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45804</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45804</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45804</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45804</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45804</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45804</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45804</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45804</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45804</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45804</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45804</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45804</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45804</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45804</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45804</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45804</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45804</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45804</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45804</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45804</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45804</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45804</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45804</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45804</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45804</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45804</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45804</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45804</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45804</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45804</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45804</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45804</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45804</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45804</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45804</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45804</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45804</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45804</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45804</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45804</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45804</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45804</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45804</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45804</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45804</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45804</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45804</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45804</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45804</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45804</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45804</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45804</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45804</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45804</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45804</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45804</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45804</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45804</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45804</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45804</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45804</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45804</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45804</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45804</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45804</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45804</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45804</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45804</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45804</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45804</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45804</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45804</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45804</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45804</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45804</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45804</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45804</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45804</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45804</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45804</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45804</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45804</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45804</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45804</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45804</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45804</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45804</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45804</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45804</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45804</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45804</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45804</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45804</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45804</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45804</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45804</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45804</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45804</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45804</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45804</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45804</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45804</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45804</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45804</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45804</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45804</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45804</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45804</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45804</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45804</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45804</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45804</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45804</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45804</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45804</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45804</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45804</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45804</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45804</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45804</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45804</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45804</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45804</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45804</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45804</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45804</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45804</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45804</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45804</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45804</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45804</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45804</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45804</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45804</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45804</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45804</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45804</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45804</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45804</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45804</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45804</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45804</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45804</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45804</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45804</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45804</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45804</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45804</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45804</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45804</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45804</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45804</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45804</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45804</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45804</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45804</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45804</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45804</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45804</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45804</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45804</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45804</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45804</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45804</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45804</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45804</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45804</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45804</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45804</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45804</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45804</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45804</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45804</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45804</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45804</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45804</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45804</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45804</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45804</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45804</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45804</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45804</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45804</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45804</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45804</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45804</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45804</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45804</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45804</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45804</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45804</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45804</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45804</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45804</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45804</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45804</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45804</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45804</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45804</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45804</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45804</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45804</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45804</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45804</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45804</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45804</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45804</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45804</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45804</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45804</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45804</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45804</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45804</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45804</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45804</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45804</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45804</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45804</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45804</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45804</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45804</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45804</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45804</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45804</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45804</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45804</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45804</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45804</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45804</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45804</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45804</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45804</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45804</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45804</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45804</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45804</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45804</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45804</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45804</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45804</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45804</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45804</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45804</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45804</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45804</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45804</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45804</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45804</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45804</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45804</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45804</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45804</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45804</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45804</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45804</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45804</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45804</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45804</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45804</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45804</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45804</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45804</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45804</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45804</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45804</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45804</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45804</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45804</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45804</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45804</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45804</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45804</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45804</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45804</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45804</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45804</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45804</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45804</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45804</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45804</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45804</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45804</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45804</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45804</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45804</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45804</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45804</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45804</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45804</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45804</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45804</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45804</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45804</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45804</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45804</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45804</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45804</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45804</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45804</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45804</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45804</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45804</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45804</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45804</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45804</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45804</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45804</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45804</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45804</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45804</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45804</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45804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45804</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45804</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45804</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45804</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45804</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45804</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45804</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45804</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45804</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45804</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45804</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45804</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45804</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45804</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45804</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45804</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45804</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45804</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45804</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45804</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45804</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45804</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45804</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45804</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45804</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45804</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45804</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45804</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45804</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45804</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45804</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45804</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45804</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45804</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45804</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45804</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45804</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45804</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45804</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45804</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45804</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45804</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45804</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45804</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45804</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45804</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45804</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45804</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45804</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45804</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45804</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45804</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45804</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45804</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45804</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45804</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45804</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45804</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45804</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45804</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45804</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45804</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45804</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45804</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45804</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45804</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45804</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45804</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45804</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45804</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45804</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45804</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45804</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45804</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45804</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45804</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45804</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45804</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45804</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45804</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45804</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45804</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45804</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45804</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45804</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45804</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45804</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45804</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45804</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45804</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45804</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45804</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45804</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45804</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45804</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45804</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45804</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45804</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45804</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45804</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45804</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45804</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45804</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45804</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45804</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45804</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45804</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45804</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45804</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45804</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45804</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45804</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45804</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45804</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45804</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45804</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45804</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45804</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45804</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45804</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45804</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45804</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45804</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45804</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45804</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45804</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45804</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45804</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45804</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45804</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45804</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45804</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45804</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45804</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45804</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45804</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45804</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45804</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45804</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45804</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45804</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45804</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45804</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45804</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45804</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45804</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45804</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45804</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45804</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45804</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45804</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45804</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45804</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45804</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45804</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45804</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45804</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45804</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45804</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45804</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45804</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45804</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45804</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45804</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45804</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45804</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45804</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45804</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45804</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45804</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45804</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45804</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45804</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45804</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45804</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45804</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45804</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45804</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45804</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45804</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45804</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45804</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45804</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45804</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45804</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45804</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45804</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45804</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45804</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45804</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45804</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45804</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45804</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45804</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45804</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45804</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45804</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45804</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45804</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45804</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45804</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45804</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45804</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45804</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45804</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45804</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45804</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45804</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45804</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45804</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45804</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45804</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45804</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45804</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45804</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45804</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45804</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45804</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45804</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45804</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45804</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45804</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45804</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45804</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45804</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45804</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45804</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45804</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45804</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45804</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45804</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45804</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45804</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45804</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45804</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45804</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45804</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45804</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45804</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45804</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45804</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45804</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45804</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45804</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45804</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45804</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45804</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45804</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45804</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45804</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45804</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45804</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45804</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45804</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45804</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45804</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45804</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45804</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45804</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45804</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45804</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45804</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45804</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45804</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45804</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45804</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45804</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45804</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45804</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45804</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45804</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45804</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45804</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45804</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45804</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45804</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45804</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45804</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45804</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45804</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45804</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45804</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45804</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45804</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45804</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45804</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45804</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45804</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45804</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45804</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21021-2025</t>
        </is>
      </c>
      <c r="B1208" s="1" t="n">
        <v>45777</v>
      </c>
      <c r="C1208" s="1" t="n">
        <v>45804</v>
      </c>
      <c r="D1208" t="inlineStr">
        <is>
          <t>DALARNAS LÄN</t>
        </is>
      </c>
      <c r="E1208" t="inlineStr">
        <is>
          <t>LUDVIKA</t>
        </is>
      </c>
      <c r="F1208" t="inlineStr">
        <is>
          <t>Bergvik skog väst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45804</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45804</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45804</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45804</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45804</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22324-2025</t>
        </is>
      </c>
      <c r="B1214" s="1" t="n">
        <v>45786</v>
      </c>
      <c r="C1214" s="1" t="n">
        <v>45804</v>
      </c>
      <c r="D1214" t="inlineStr">
        <is>
          <t>DALARNAS LÄN</t>
        </is>
      </c>
      <c r="E1214" t="inlineStr">
        <is>
          <t>LUDVIKA</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45804</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45804</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45804</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22606-2025</t>
        </is>
      </c>
      <c r="B1218" s="1" t="n">
        <v>45789</v>
      </c>
      <c r="C1218" s="1" t="n">
        <v>45804</v>
      </c>
      <c r="D1218" t="inlineStr">
        <is>
          <t>DALARNAS LÄN</t>
        </is>
      </c>
      <c r="E1218" t="inlineStr">
        <is>
          <t>LUDVIKA</t>
        </is>
      </c>
      <c r="F1218" t="inlineStr">
        <is>
          <t>Bergvik skog väst AB</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45804</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22594-2025</t>
        </is>
      </c>
      <c r="B1220" s="1" t="n">
        <v>45789</v>
      </c>
      <c r="C1220" s="1" t="n">
        <v>45804</v>
      </c>
      <c r="D1220" t="inlineStr">
        <is>
          <t>DALARNAS LÄN</t>
        </is>
      </c>
      <c r="E1220" t="inlineStr">
        <is>
          <t>LUDVIKA</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45804</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45804</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22807-2025</t>
        </is>
      </c>
      <c r="B1223" s="1" t="n">
        <v>45789</v>
      </c>
      <c r="C1223" s="1" t="n">
        <v>45804</v>
      </c>
      <c r="D1223" t="inlineStr">
        <is>
          <t>DALARNAS LÄN</t>
        </is>
      </c>
      <c r="E1223" t="inlineStr">
        <is>
          <t>LUDVIKA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45804</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23082-2025</t>
        </is>
      </c>
      <c r="B1225" s="1" t="n">
        <v>45791</v>
      </c>
      <c r="C1225" s="1" t="n">
        <v>45804</v>
      </c>
      <c r="D1225" t="inlineStr">
        <is>
          <t>DALARNAS LÄN</t>
        </is>
      </c>
      <c r="E1225" t="inlineStr">
        <is>
          <t>LUDVIKA</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23087-2025</t>
        </is>
      </c>
      <c r="B1226" s="1" t="n">
        <v>45791</v>
      </c>
      <c r="C1226" s="1" t="n">
        <v>45804</v>
      </c>
      <c r="D1226" t="inlineStr">
        <is>
          <t>DALARNAS LÄN</t>
        </is>
      </c>
      <c r="E1226" t="inlineStr">
        <is>
          <t>LUDVIKA</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23097-2025</t>
        </is>
      </c>
      <c r="B1227" s="1" t="n">
        <v>45791</v>
      </c>
      <c r="C1227" s="1" t="n">
        <v>45804</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45804</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23139-2025</t>
        </is>
      </c>
      <c r="B1229" s="1" t="n">
        <v>45791</v>
      </c>
      <c r="C1229" s="1" t="n">
        <v>45804</v>
      </c>
      <c r="D1229" t="inlineStr">
        <is>
          <t>DALARNAS LÄN</t>
        </is>
      </c>
      <c r="E1229" t="inlineStr">
        <is>
          <t>LUDVIKA</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23111-2025</t>
        </is>
      </c>
      <c r="B1230" s="1" t="n">
        <v>45791</v>
      </c>
      <c r="C1230" s="1" t="n">
        <v>45804</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23117-2025</t>
        </is>
      </c>
      <c r="B1231" s="1" t="n">
        <v>45791</v>
      </c>
      <c r="C1231" s="1" t="n">
        <v>45804</v>
      </c>
      <c r="D1231" t="inlineStr">
        <is>
          <t>DALARNAS LÄN</t>
        </is>
      </c>
      <c r="E1231" t="inlineStr">
        <is>
          <t>LUDVIKA</t>
        </is>
      </c>
      <c r="F1231" t="inlineStr">
        <is>
          <t>Bergvik skog väst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23137-2025</t>
        </is>
      </c>
      <c r="B1232" s="1" t="n">
        <v>45791</v>
      </c>
      <c r="C1232" s="1" t="n">
        <v>45804</v>
      </c>
      <c r="D1232" t="inlineStr">
        <is>
          <t>DALARNAS LÄN</t>
        </is>
      </c>
      <c r="E1232" t="inlineStr">
        <is>
          <t>LUDVIKA</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23086-2025</t>
        </is>
      </c>
      <c r="B1233" s="1" t="n">
        <v>45791</v>
      </c>
      <c r="C1233" s="1" t="n">
        <v>45804</v>
      </c>
      <c r="D1233" t="inlineStr">
        <is>
          <t>DALARNAS LÄN</t>
        </is>
      </c>
      <c r="E1233" t="inlineStr">
        <is>
          <t>LUDVIKA</t>
        </is>
      </c>
      <c r="F1233" t="inlineStr">
        <is>
          <t>Bergvik skog väst AB</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45804</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23103-2025</t>
        </is>
      </c>
      <c r="B1235" s="1" t="n">
        <v>45791</v>
      </c>
      <c r="C1235" s="1" t="n">
        <v>45804</v>
      </c>
      <c r="D1235" t="inlineStr">
        <is>
          <t>DALARNAS LÄN</t>
        </is>
      </c>
      <c r="E1235" t="inlineStr">
        <is>
          <t>LUDVIKA</t>
        </is>
      </c>
      <c r="F1235" t="inlineStr">
        <is>
          <t>Bergvik skog väst AB</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45804</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45804</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45804</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45804</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45804</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45804</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24893-2025</t>
        </is>
      </c>
      <c r="B1242" s="1" t="n">
        <v>45799</v>
      </c>
      <c r="C1242" s="1" t="n">
        <v>45804</v>
      </c>
      <c r="D1242" t="inlineStr">
        <is>
          <t>DALARNAS LÄN</t>
        </is>
      </c>
      <c r="E1242" t="inlineStr">
        <is>
          <t>LUDVIKA</t>
        </is>
      </c>
      <c r="F1242" t="inlineStr">
        <is>
          <t>Bergvik skog väst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24974-2025</t>
        </is>
      </c>
      <c r="B1243" s="1" t="n">
        <v>45799</v>
      </c>
      <c r="C1243" s="1" t="n">
        <v>45804</v>
      </c>
      <c r="D1243" t="inlineStr">
        <is>
          <t>DALARNAS LÄN</t>
        </is>
      </c>
      <c r="E1243" t="inlineStr">
        <is>
          <t>LUDVIKA</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24928-2025</t>
        </is>
      </c>
      <c r="B1244" s="1" t="n">
        <v>45799</v>
      </c>
      <c r="C1244" s="1" t="n">
        <v>45804</v>
      </c>
      <c r="D1244" t="inlineStr">
        <is>
          <t>DALARNAS LÄN</t>
        </is>
      </c>
      <c r="E1244" t="inlineStr">
        <is>
          <t>LUDVIKA</t>
        </is>
      </c>
      <c r="F1244" t="inlineStr">
        <is>
          <t>Bergvik skog väst AB</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24939-2025</t>
        </is>
      </c>
      <c r="B1245" s="1" t="n">
        <v>45799</v>
      </c>
      <c r="C1245" s="1" t="n">
        <v>45804</v>
      </c>
      <c r="D1245" t="inlineStr">
        <is>
          <t>DALARNAS LÄN</t>
        </is>
      </c>
      <c r="E1245" t="inlineStr">
        <is>
          <t>LUDVIKA</t>
        </is>
      </c>
      <c r="F1245" t="inlineStr">
        <is>
          <t>Bergvik skog väst AB</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24875-2025</t>
        </is>
      </c>
      <c r="B1246" s="1" t="n">
        <v>45799</v>
      </c>
      <c r="C1246" s="1" t="n">
        <v>45804</v>
      </c>
      <c r="D1246" t="inlineStr">
        <is>
          <t>DALARNAS LÄN</t>
        </is>
      </c>
      <c r="E1246" t="inlineStr">
        <is>
          <t>LUDVIKA</t>
        </is>
      </c>
      <c r="F1246" t="inlineStr">
        <is>
          <t>Bergvik skog väst AB</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24783-2025</t>
        </is>
      </c>
      <c r="B1247" s="1" t="n">
        <v>45799</v>
      </c>
      <c r="C1247" s="1" t="n">
        <v>45804</v>
      </c>
      <c r="D1247" t="inlineStr">
        <is>
          <t>DALARNAS LÄN</t>
        </is>
      </c>
      <c r="E1247" t="inlineStr">
        <is>
          <t>LUDVIKA</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45804</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24848-2025</t>
        </is>
      </c>
      <c r="B1249" s="1" t="n">
        <v>45799</v>
      </c>
      <c r="C1249" s="1" t="n">
        <v>45804</v>
      </c>
      <c r="D1249" t="inlineStr">
        <is>
          <t>DALARNAS LÄN</t>
        </is>
      </c>
      <c r="E1249" t="inlineStr">
        <is>
          <t>LUDVIKA</t>
        </is>
      </c>
      <c r="F1249" t="inlineStr">
        <is>
          <t>Bergvik skog väst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25004-2025</t>
        </is>
      </c>
      <c r="B1250" s="1" t="n">
        <v>45799</v>
      </c>
      <c r="C1250" s="1" t="n">
        <v>45804</v>
      </c>
      <c r="D1250" t="inlineStr">
        <is>
          <t>DALARNAS LÄN</t>
        </is>
      </c>
      <c r="E1250" t="inlineStr">
        <is>
          <t>LUDVIKA</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45804</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24814-2025</t>
        </is>
      </c>
      <c r="B1252" s="1" t="n">
        <v>45799</v>
      </c>
      <c r="C1252" s="1" t="n">
        <v>45804</v>
      </c>
      <c r="D1252" t="inlineStr">
        <is>
          <t>DALARNAS LÄN</t>
        </is>
      </c>
      <c r="E1252" t="inlineStr">
        <is>
          <t>LUDVIKA</t>
        </is>
      </c>
      <c r="F1252" t="inlineStr">
        <is>
          <t>Bergvik skog väst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45804</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45804</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45804</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25140-2025</t>
        </is>
      </c>
      <c r="B1256" s="1" t="n">
        <v>45800</v>
      </c>
      <c r="C1256" s="1" t="n">
        <v>45804</v>
      </c>
      <c r="D1256" t="inlineStr">
        <is>
          <t>DALARNAS LÄN</t>
        </is>
      </c>
      <c r="E1256" t="inlineStr">
        <is>
          <t>LUDVIKA</t>
        </is>
      </c>
      <c r="F1256" t="inlineStr">
        <is>
          <t>Bergvik skog väst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45804</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45804</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c r="A1259" t="inlineStr">
        <is>
          <t>A 25157-2025</t>
        </is>
      </c>
      <c r="B1259" s="1" t="n">
        <v>45800</v>
      </c>
      <c r="C1259" s="1" t="n">
        <v>45804</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2025-05-27T17:56:08Z</dcterms:created>
  <dcterms:modified xmlns:dcterms="http://purl.org/dc/terms/" xmlns:xsi="http://www.w3.org/2001/XMLSchema-instance" xsi:type="dcterms:W3CDTF">2025-05-27T17:56:09Z</dcterms:modified>
</cp:coreProperties>
</file>
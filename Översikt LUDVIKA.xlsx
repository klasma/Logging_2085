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46268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46268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46268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46268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46268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46268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46268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46268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46268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46268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46268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46268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46268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46268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46268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46268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46268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46268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46268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46268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46268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46268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46268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46268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46268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46268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46268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46268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46268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46268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46268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46268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46268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46268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46268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46268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46268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46268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46268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46268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46268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46268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46268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46268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46268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46268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46268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46268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46268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46268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Brunpudrad nållav
Tretåig hackspett</t>
        </is>
      </c>
      <c r="W65">
        <f>HYPERLINK("https://klasma.github.io/Logging_2085/artfynd/A 33155-2024 artfynd.xlsx", "A 33155-2024")</f>
        <v/>
      </c>
      <c r="X65">
        <f>HYPERLINK("https://klasma.github.io/Logging_2085/kartor/A 33155-2024 karta.png", "A 33155-2024")</f>
        <v/>
      </c>
      <c r="Y65">
        <f>HYPERLINK("https://klasma.github.io/Logging_2085/kartor_geotiff/A 33155-2024 georefererad karta.tif", "A 33155-2024")</f>
        <v/>
      </c>
      <c r="AA65">
        <f>HYPERLINK("https://klasma.github.io/Logging_2085/klagomål/A 33155-2024 FSC-klagomål.docx", "A 33155-2024")</f>
        <v/>
      </c>
      <c r="AB65">
        <f>HYPERLINK("https://klasma.github.io/Logging_2085/klagomålsmail/A 33155-2024 FSC-klagomål mail.docx", "A 33155-2024")</f>
        <v/>
      </c>
      <c r="AC65">
        <f>HYPERLINK("https://klasma.github.io/Logging_2085/tillsyn/A 33155-2024 tillsynsbegäran.docx", "A 33155-2024")</f>
        <v/>
      </c>
      <c r="AD65">
        <f>HYPERLINK("https://klasma.github.io/Logging_2085/tillsynsmail/A 33155-2024 tillsynsbegäran mail.docx", "A 33155-2024")</f>
        <v/>
      </c>
      <c r="AE65">
        <f>HYPERLINK("https://klasma.github.io/Logging_2085/fåglar/A 33155-2024 prioriterade fågelarter.docx", "A 33155-2024")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46268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46268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Skogsalm
Tibast</t>
        </is>
      </c>
      <c r="W67">
        <f>HYPERLINK("https://klasma.github.io/Logging_2085/artfynd/A 21369-2023 artfynd.xlsx", "A 21369-2023")</f>
        <v/>
      </c>
      <c r="X67">
        <f>HYPERLINK("https://klasma.github.io/Logging_2085/kartor/A 21369-2023 karta.png", "A 21369-2023")</f>
        <v/>
      </c>
      <c r="Y67">
        <f>HYPERLINK("https://klasma.github.io/Logging_2085/kartor_geotiff/A 21369-2023 georefererad karta.tif", "A 21369-2023")</f>
        <v/>
      </c>
      <c r="AA67">
        <f>HYPERLINK("https://klasma.github.io/Logging_2085/klagomål/A 21369-2023 FSC-klagomål.docx", "A 21369-2023")</f>
        <v/>
      </c>
      <c r="AB67">
        <f>HYPERLINK("https://klasma.github.io/Logging_2085/klagomålsmail/A 21369-2023 FSC-klagomål mail.docx", "A 21369-2023")</f>
        <v/>
      </c>
      <c r="AC67">
        <f>HYPERLINK("https://klasma.github.io/Logging_2085/tillsyn/A 21369-2023 tillsynsbegäran.docx", "A 21369-2023")</f>
        <v/>
      </c>
      <c r="AD67">
        <f>HYPERLINK("https://klasma.github.io/Logging_2085/tillsynsmail/A 21369-2023 tillsynsbegäran mail.docx", "A 21369-2023")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46268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46268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46268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Gultoppig fingersvamp
Kortskaftad ärgspik</t>
        </is>
      </c>
      <c r="W70">
        <f>HYPERLINK("https://klasma.github.io/Logging_2085/artfynd/A 56179-2025 artfynd.xlsx", "A 56179-2025")</f>
        <v/>
      </c>
      <c r="X70">
        <f>HYPERLINK("https://klasma.github.io/Logging_2085/kartor/A 56179-2025 karta.png", "A 56179-2025")</f>
        <v/>
      </c>
      <c r="Y70">
        <f>HYPERLINK("https://klasma.github.io/Logging_2085/kartor_geotiff/A 56179-2025 georefererad karta.tif", "A 56179-2025")</f>
        <v/>
      </c>
      <c r="Z70">
        <f>HYPERLINK("https://klasma.github.io/Logging_2085/knärot/A 56179-2025 karta knärot.png", "A 56179-2025")</f>
        <v/>
      </c>
      <c r="AA70">
        <f>HYPERLINK("https://klasma.github.io/Logging_2085/klagomål/A 56179-2025 FSC-klagomål.docx", "A 56179-2025")</f>
        <v/>
      </c>
      <c r="AB70">
        <f>HYPERLINK("https://klasma.github.io/Logging_2085/klagomålsmail/A 56179-2025 FSC-klagomål mail.docx", "A 56179-2025")</f>
        <v/>
      </c>
      <c r="AC70">
        <f>HYPERLINK("https://klasma.github.io/Logging_2085/tillsyn/A 56179-2025 tillsynsbegäran.docx", "A 56179-2025")</f>
        <v/>
      </c>
      <c r="AD70">
        <f>HYPERLINK("https://klasma.github.io/Logging_2085/tillsynsmail/A 56179-2025 tillsynsbegäran mail.docx", "A 56179-2025")</f>
        <v/>
      </c>
    </row>
    <row r="71" ht="15" customHeight="1">
      <c r="A71" t="inlineStr">
        <is>
          <t>A 45225-2024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45575</v>
      </c>
      <c r="E71" s="1" t="n">
        <v>46268</v>
      </c>
      <c r="F71" t="inlineStr">
        <is>
          <t>DALARNAS LÄN</t>
        </is>
      </c>
      <c r="G71" t="inlineStr">
        <is>
          <t>LUDVIKA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Kungsfågel
Ärtsångare</t>
        </is>
      </c>
      <c r="W71">
        <f>HYPERLINK("https://klasma.github.io/Logging_2085/artfynd/A 45225-2024 artfynd.xlsx", "A 45225-2024")</f>
        <v/>
      </c>
      <c r="X71">
        <f>HYPERLINK("https://klasma.github.io/Logging_2085/kartor/A 45225-2024 karta.png", "A 45225-2024")</f>
        <v/>
      </c>
      <c r="Y71">
        <f>HYPERLINK("https://klasma.github.io/Logging_2085/kartor_geotiff/A 45225-2024 georefererad karta.tif", "A 45225-2024")</f>
        <v/>
      </c>
      <c r="AA71">
        <f>HYPERLINK("https://klasma.github.io/Logging_2085/klagomål/A 45225-2024 FSC-klagomål.docx", "A 45225-2024")</f>
        <v/>
      </c>
      <c r="AB71">
        <f>HYPERLINK("https://klasma.github.io/Logging_2085/klagomålsmail/A 45225-2024 FSC-klagomål mail.docx", "A 45225-2024")</f>
        <v/>
      </c>
      <c r="AC71">
        <f>HYPERLINK("https://klasma.github.io/Logging_2085/tillsyn/A 45225-2024 tillsynsbegäran.docx", "A 45225-2024")</f>
        <v/>
      </c>
      <c r="AD71">
        <f>HYPERLINK("https://klasma.github.io/Logging_2085/tillsynsmail/A 45225-2024 tillsynsbegäran mail.docx", "A 45225-2024")</f>
        <v/>
      </c>
    </row>
    <row r="72" ht="15" customHeight="1">
      <c r="A72" t="inlineStr">
        <is>
          <t>A 56879-2025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46268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3</v>
      </c>
      <c r="V72" s="2" t="inlineStr">
        <is>
          <t>Garnlav
Tjäder</t>
        </is>
      </c>
      <c r="W72">
        <f>HYPERLINK("https://klasma.github.io/Logging_2085/artfynd/A 56879-2025 artfynd.xlsx", "A 56879-2025")</f>
        <v/>
      </c>
      <c r="X72">
        <f>HYPERLINK("https://klasma.github.io/Logging_2085/kartor/A 56879-2025 karta.png", "A 56879-2025")</f>
        <v/>
      </c>
      <c r="Y72">
        <f>HYPERLINK("https://klasma.github.io/Logging_2085/kartor_geotiff/A 56879-2025 georefererad karta.tif", "A 56879-2025")</f>
        <v/>
      </c>
      <c r="AA72">
        <f>HYPERLINK("https://klasma.github.io/Logging_2085/klagomål/A 56879-2025 FSC-klagomål.docx", "A 56879-2025")</f>
        <v/>
      </c>
      <c r="AB72">
        <f>HYPERLINK("https://klasma.github.io/Logging_2085/klagomålsmail/A 56879-2025 FSC-klagomål mail.docx", "A 56879-2025")</f>
        <v/>
      </c>
      <c r="AC72">
        <f>HYPERLINK("https://klasma.github.io/Logging_2085/tillsyn/A 56879-2025 tillsynsbegäran.docx", "A 56879-2025")</f>
        <v/>
      </c>
      <c r="AD72">
        <f>HYPERLINK("https://klasma.github.io/Logging_2085/tillsynsmail/A 56879-2025 tillsynsbegäran mail.docx", "A 56879-2025")</f>
        <v/>
      </c>
      <c r="AE72">
        <f>HYPERLINK("https://klasma.github.io/Logging_2085/fåglar/A 56879-2025 prioriterade fågelarter.docx", "A 56879-2025")</f>
        <v/>
      </c>
    </row>
    <row r="73" ht="15" customHeight="1">
      <c r="A73" t="inlineStr">
        <is>
          <t>A 11755-2023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46268</v>
      </c>
      <c r="F73" t="inlineStr">
        <is>
          <t>DALARNAS LÄN</t>
        </is>
      </c>
      <c r="G73" t="inlineStr">
        <is>
          <t>LUDVIKA</t>
        </is>
      </c>
      <c r="H73" t="inlineStr">
        <is>
          <t>Övriga Aktiebolag</t>
        </is>
      </c>
      <c r="I73" t="n">
        <v>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Spillkråka</t>
        </is>
      </c>
      <c r="W73">
        <f>HYPERLINK("https://klasma.github.io/Logging_2085/artfynd/A 11755-2023 artfynd.xlsx", "A 11755-2023")</f>
        <v/>
      </c>
      <c r="X73">
        <f>HYPERLINK("https://klasma.github.io/Logging_2085/kartor/A 11755-2023 karta.png", "A 11755-2023")</f>
        <v/>
      </c>
      <c r="Y73">
        <f>HYPERLINK("https://klasma.github.io/Logging_2085/kartor_geotiff/A 11755-2023 georefererad karta.tif", "A 11755-2023")</f>
        <v/>
      </c>
      <c r="AA73">
        <f>HYPERLINK("https://klasma.github.io/Logging_2085/klagomål/A 11755-2023 FSC-klagomål.docx", "A 11755-2023")</f>
        <v/>
      </c>
      <c r="AB73">
        <f>HYPERLINK("https://klasma.github.io/Logging_2085/klagomålsmail/A 11755-2023 FSC-klagomål mail.docx", "A 11755-2023")</f>
        <v/>
      </c>
      <c r="AC73">
        <f>HYPERLINK("https://klasma.github.io/Logging_2085/tillsyn/A 11755-2023 tillsynsbegäran.docx", "A 11755-2023")</f>
        <v/>
      </c>
      <c r="AD73">
        <f>HYPERLINK("https://klasma.github.io/Logging_2085/tillsynsmail/A 11755-2023 tillsynsbegäran mail.docx", "A 11755-2023")</f>
        <v/>
      </c>
      <c r="AE73">
        <f>HYPERLINK("https://klasma.github.io/Logging_2085/fåglar/A 11755-2023 prioriterade fågelarter.docx", "A 11755-2023")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46268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46268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46268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46268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46268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46268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46268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46268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49763-2025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46268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6.9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2</v>
      </c>
      <c r="V82" s="2" t="inlineStr">
        <is>
          <t>Dvärgbägarlav
Vedticka</t>
        </is>
      </c>
      <c r="W82">
        <f>HYPERLINK("https://klasma.github.io/Logging_2085/artfynd/A 49763-2025 artfynd.xlsx", "A 49763-2025")</f>
        <v/>
      </c>
      <c r="X82">
        <f>HYPERLINK("https://klasma.github.io/Logging_2085/kartor/A 49763-2025 karta.png", "A 49763-2025")</f>
        <v/>
      </c>
      <c r="Y82">
        <f>HYPERLINK("https://klasma.github.io/Logging_2085/kartor_geotiff/A 49763-2025 georefererad karta.tif", "A 49763-2025")</f>
        <v/>
      </c>
      <c r="AA82">
        <f>HYPERLINK("https://klasma.github.io/Logging_2085/klagomål/A 49763-2025 FSC-klagomål.docx", "A 49763-2025")</f>
        <v/>
      </c>
      <c r="AB82">
        <f>HYPERLINK("https://klasma.github.io/Logging_2085/klagomålsmail/A 49763-2025 FSC-klagomål mail.docx", "A 49763-2025")</f>
        <v/>
      </c>
      <c r="AC82">
        <f>HYPERLINK("https://klasma.github.io/Logging_2085/tillsyn/A 49763-2025 tillsynsbegäran.docx", "A 49763-2025")</f>
        <v/>
      </c>
      <c r="AD82">
        <f>HYPERLINK("https://klasma.github.io/Logging_2085/tillsynsmail/A 49763-2025 tillsynsbegäran mail.docx", "A 49763-2025")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46268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46268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46268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46268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46268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46268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46268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46268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46268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46268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46268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Brun gräsfjäril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46268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46268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46268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6579-2023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44960</v>
      </c>
      <c r="E97" s="1" t="n">
        <v>46268</v>
      </c>
      <c r="F97" t="inlineStr">
        <is>
          <t>DALARNAS LÄN</t>
        </is>
      </c>
      <c r="G97" t="inlineStr">
        <is>
          <t>LUDVIKA</t>
        </is>
      </c>
      <c r="I97" t="n">
        <v>3.4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HYPERLINK("https://klasma.github.io/Logging_2085/artfynd/A 6579-2023 artfynd.xlsx", "A 6579-2023")</f>
        <v/>
      </c>
      <c r="X97">
        <f>HYPERLINK("https://klasma.github.io/Logging_2085/kartor/A 6579-2023 karta.png", "A 6579-2023")</f>
        <v/>
      </c>
      <c r="Y97">
        <f>HYPERLINK("https://klasma.github.io/Logging_2085/kartor_geotiff/A 6579-2023 georefererad karta.tif", "A 6579-2023")</f>
        <v/>
      </c>
      <c r="AA97">
        <f>HYPERLINK("https://klasma.github.io/Logging_2085/klagomål/A 6579-2023 FSC-klagomål.docx", "A 6579-2023")</f>
        <v/>
      </c>
      <c r="AB97">
        <f>HYPERLINK("https://klasma.github.io/Logging_2085/klagomålsmail/A 6579-2023 FSC-klagomål mail.docx", "A 6579-2023")</f>
        <v/>
      </c>
      <c r="AC97">
        <f>HYPERLINK("https://klasma.github.io/Logging_2085/tillsyn/A 6579-2023 tillsynsbegäran.docx", "A 6579-2023")</f>
        <v/>
      </c>
      <c r="AD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46268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1237-2026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46268</v>
      </c>
      <c r="F99" t="inlineStr">
        <is>
          <t>DALARNAS LÄN</t>
        </is>
      </c>
      <c r="G99" t="inlineStr">
        <is>
          <t>LUDVIKA</t>
        </is>
      </c>
      <c r="I99" t="n">
        <v>5.9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Fläcknycklar</t>
        </is>
      </c>
      <c r="W99">
        <f>HYPERLINK("https://klasma.github.io/Logging_2085/artfynd/A 1237-2026 artfynd.xlsx", "A 1237-2026")</f>
        <v/>
      </c>
      <c r="X99">
        <f>HYPERLINK("https://klasma.github.io/Logging_2085/kartor/A 1237-2026 karta.png", "A 1237-2026")</f>
        <v/>
      </c>
      <c r="Y99">
        <f>HYPERLINK("https://klasma.github.io/Logging_2085/kartor_geotiff/A 1237-2026 georefererad karta.tif", "A 1237-2026")</f>
        <v/>
      </c>
      <c r="AA99">
        <f>HYPERLINK("https://klasma.github.io/Logging_2085/klagomål/A 1237-2026 FSC-klagomål.docx", "A 1237-2026")</f>
        <v/>
      </c>
      <c r="AB99">
        <f>HYPERLINK("https://klasma.github.io/Logging_2085/klagomålsmail/A 1237-2026 FSC-klagomål mail.docx", "A 1237-2026")</f>
        <v/>
      </c>
      <c r="AC99">
        <f>HYPERLINK("https://klasma.github.io/Logging_2085/tillsyn/A 1237-2026 tillsynsbegäran.docx", "A 1237-2026")</f>
        <v/>
      </c>
      <c r="AD99">
        <f>HYPERLINK("https://klasma.github.io/Logging_2085/tillsynsmail/A 1237-2026 tillsynsbegäran mail.docx", "A 1237-2026")</f>
        <v/>
      </c>
    </row>
    <row r="100" ht="15" customHeight="1">
      <c r="A100" t="inlineStr">
        <is>
          <t>A 1047-2023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46268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HYPERLINK("https://klasma.github.io/Logging_2085/artfynd/A 1047-2023 artfynd.xlsx", "A 1047-2023")</f>
        <v/>
      </c>
      <c r="X100">
        <f>HYPERLINK("https://klasma.github.io/Logging_2085/kartor/A 1047-2023 karta.png", "A 1047-2023")</f>
        <v/>
      </c>
      <c r="Y100">
        <f>HYPERLINK("https://klasma.github.io/Logging_2085/kartor_geotiff/A 1047-2023 georefererad karta.tif", "A 1047-2023")</f>
        <v/>
      </c>
      <c r="AA100">
        <f>HYPERLINK("https://klasma.github.io/Logging_2085/klagomål/A 1047-2023 FSC-klagomål.docx", "A 1047-2023")</f>
        <v/>
      </c>
      <c r="AB100">
        <f>HYPERLINK("https://klasma.github.io/Logging_2085/klagomålsmail/A 1047-2023 FSC-klagomål mail.docx", "A 1047-2023")</f>
        <v/>
      </c>
      <c r="AC100">
        <f>HYPERLINK("https://klasma.github.io/Logging_2085/tillsyn/A 1047-2023 tillsynsbegäran.docx", "A 1047-2023")</f>
        <v/>
      </c>
      <c r="AD100">
        <f>HYPERLINK("https://klasma.github.io/Logging_2085/tillsynsmail/A 1047-2023 tillsynsbegäran mail.docx", "A 1047-2023")</f>
        <v/>
      </c>
    </row>
    <row r="101" ht="15" customHeight="1">
      <c r="A101" t="inlineStr">
        <is>
          <t>A 59947-2025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46268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0.5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Tjäder</t>
        </is>
      </c>
      <c r="W101">
        <f>HYPERLINK("https://klasma.github.io/Logging_2085/artfynd/A 59947-2025 artfynd.xlsx", "A 59947-2025")</f>
        <v/>
      </c>
      <c r="X101">
        <f>HYPERLINK("https://klasma.github.io/Logging_2085/kartor/A 59947-2025 karta.png", "A 59947-2025")</f>
        <v/>
      </c>
      <c r="Y101">
        <f>HYPERLINK("https://klasma.github.io/Logging_2085/kartor_geotiff/A 59947-2025 georefererad karta.tif", "A 59947-2025")</f>
        <v/>
      </c>
      <c r="AA101">
        <f>HYPERLINK("https://klasma.github.io/Logging_2085/klagomål/A 59947-2025 FSC-klagomål.docx", "A 59947-2025")</f>
        <v/>
      </c>
      <c r="AB101">
        <f>HYPERLINK("https://klasma.github.io/Logging_2085/klagomålsmail/A 59947-2025 FSC-klagomål mail.docx", "A 59947-2025")</f>
        <v/>
      </c>
      <c r="AC101">
        <f>HYPERLINK("https://klasma.github.io/Logging_2085/tillsyn/A 59947-2025 tillsynsbegäran.docx", "A 59947-2025")</f>
        <v/>
      </c>
      <c r="AD101">
        <f>HYPERLINK("https://klasma.github.io/Logging_2085/tillsynsmail/A 59947-2025 tillsynsbegäran mail.docx", "A 59947-2025")</f>
        <v/>
      </c>
      <c r="AE101">
        <f>HYPERLINK("https://klasma.github.io/Logging_2085/fåglar/A 59947-2025 prioriterade fågelarter.docx", "A 59947-2025")</f>
        <v/>
      </c>
    </row>
    <row r="102" ht="15" customHeight="1">
      <c r="A102" t="inlineStr">
        <is>
          <t>A 29733-2025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46268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10.4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HYPERLINK("https://klasma.github.io/Logging_2085/artfynd/A 29733-2025 artfynd.xlsx", "A 29733-2025")</f>
        <v/>
      </c>
      <c r="X102">
        <f>HYPERLINK("https://klasma.github.io/Logging_2085/kartor/A 29733-2025 karta.png", "A 29733-2025")</f>
        <v/>
      </c>
      <c r="Y102">
        <f>HYPERLINK("https://klasma.github.io/Logging_2085/kartor_geotiff/A 29733-2025 georefererad karta.tif", "A 29733-2025")</f>
        <v/>
      </c>
      <c r="AA102">
        <f>HYPERLINK("https://klasma.github.io/Logging_2085/klagomål/A 29733-2025 FSC-klagomål.docx", "A 29733-2025")</f>
        <v/>
      </c>
      <c r="AB102">
        <f>HYPERLINK("https://klasma.github.io/Logging_2085/klagomålsmail/A 29733-2025 FSC-klagomål mail.docx", "A 29733-2025")</f>
        <v/>
      </c>
      <c r="AC102">
        <f>HYPERLINK("https://klasma.github.io/Logging_2085/tillsyn/A 29733-2025 tillsynsbegäran.docx", "A 29733-2025")</f>
        <v/>
      </c>
      <c r="AD102">
        <f>HYPERLINK("https://klasma.github.io/Logging_2085/tillsynsmail/A 29733-2025 tillsynsbegäran mail.docx", "A 29733-2025")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46268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46268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Granbarkgnagare</t>
        </is>
      </c>
      <c r="W104">
        <f>HYPERLINK("https://klasma.github.io/Logging_2085/artfynd/A 45858-2025 artfynd.xlsx", "A 45858-2025")</f>
        <v/>
      </c>
      <c r="X104">
        <f>HYPERLINK("https://klasma.github.io/Logging_2085/kartor/A 45858-2025 karta.png", "A 45858-2025")</f>
        <v/>
      </c>
      <c r="Y104">
        <f>HYPERLINK("https://klasma.github.io/Logging_2085/kartor_geotiff/A 45858-2025 georefererad karta.tif", "A 45858-2025")</f>
        <v/>
      </c>
      <c r="AA104">
        <f>HYPERLINK("https://klasma.github.io/Logging_2085/klagomål/A 45858-2025 FSC-klagomål.docx", "A 45858-2025")</f>
        <v/>
      </c>
      <c r="AB104">
        <f>HYPERLINK("https://klasma.github.io/Logging_2085/klagomålsmail/A 45858-2025 FSC-klagomål mail.docx", "A 45858-2025")</f>
        <v/>
      </c>
      <c r="AC104">
        <f>HYPERLINK("https://klasma.github.io/Logging_2085/tillsyn/A 45858-2025 tillsynsbegäran.docx", "A 45858-2025")</f>
        <v/>
      </c>
      <c r="AD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3687-2024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46268</v>
      </c>
      <c r="F105" t="inlineStr">
        <is>
          <t>DALARNAS LÄN</t>
        </is>
      </c>
      <c r="G105" t="inlineStr">
        <is>
          <t>LUDVIKA</t>
        </is>
      </c>
      <c r="I105" t="n">
        <v>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Nordfladdermus</t>
        </is>
      </c>
      <c r="W105">
        <f>HYPERLINK("https://klasma.github.io/Logging_2085/artfynd/A 3687-2024 artfynd.xlsx", "A 3687-2024")</f>
        <v/>
      </c>
      <c r="X105">
        <f>HYPERLINK("https://klasma.github.io/Logging_2085/kartor/A 3687-2024 karta.png", "A 3687-2024")</f>
        <v/>
      </c>
      <c r="Y105">
        <f>HYPERLINK("https://klasma.github.io/Logging_2085/kartor_geotiff/A 3687-2024 georefererad karta.tif", "A 3687-2024")</f>
        <v/>
      </c>
      <c r="AA105">
        <f>HYPERLINK("https://klasma.github.io/Logging_2085/klagomål/A 3687-2024 FSC-klagomål.docx", "A 3687-2024")</f>
        <v/>
      </c>
      <c r="AB105">
        <f>HYPERLINK("https://klasma.github.io/Logging_2085/klagomålsmail/A 3687-2024 FSC-klagomål mail.docx", "A 3687-2024")</f>
        <v/>
      </c>
      <c r="AC105">
        <f>HYPERLINK("https://klasma.github.io/Logging_2085/tillsyn/A 3687-2024 tillsynsbegäran.docx", "A 3687-2024")</f>
        <v/>
      </c>
      <c r="AD105">
        <f>HYPERLINK("https://klasma.github.io/Logging_2085/tillsynsmail/A 3687-2024 tillsynsbegäran mail.docx", "A 3687-2024")</f>
        <v/>
      </c>
    </row>
    <row r="106" ht="15" customHeight="1">
      <c r="A106" t="inlineStr">
        <is>
          <t>A 33560-2023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45131</v>
      </c>
      <c r="E106" s="1" t="n">
        <v>46268</v>
      </c>
      <c r="F106" t="inlineStr">
        <is>
          <t>DALARNAS LÄN</t>
        </is>
      </c>
      <c r="G106" t="inlineStr">
        <is>
          <t>LUDVIKA</t>
        </is>
      </c>
      <c r="I106" t="n">
        <v>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vattensalamander</t>
        </is>
      </c>
      <c r="W106">
        <f>HYPERLINK("https://klasma.github.io/Logging_2085/artfynd/A 33560-2023 artfynd.xlsx", "A 33560-2023")</f>
        <v/>
      </c>
      <c r="X106">
        <f>HYPERLINK("https://klasma.github.io/Logging_2085/kartor/A 33560-2023 karta.png", "A 33560-2023")</f>
        <v/>
      </c>
      <c r="Y106">
        <f>HYPERLINK("https://klasma.github.io/Logging_2085/kartor_geotiff/A 33560-2023 georefererad karta.tif", "A 33560-2023")</f>
        <v/>
      </c>
      <c r="AA106">
        <f>HYPERLINK("https://klasma.github.io/Logging_2085/klagomål/A 33560-2023 FSC-klagomål.docx", "A 33560-2023")</f>
        <v/>
      </c>
      <c r="AB106">
        <f>HYPERLINK("https://klasma.github.io/Logging_2085/klagomålsmail/A 33560-2023 FSC-klagomål mail.docx", "A 33560-2023")</f>
        <v/>
      </c>
      <c r="AC106">
        <f>HYPERLINK("https://klasma.github.io/Logging_2085/tillsyn/A 33560-2023 tillsynsbegäran.docx", "A 33560-2023")</f>
        <v/>
      </c>
      <c r="AD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74401-2021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46268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0.6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Gullgröppa</t>
        </is>
      </c>
      <c r="W107">
        <f>HYPERLINK("https://klasma.github.io/Logging_2085/artfynd/A 74401-2021 artfynd.xlsx", "A 74401-2021")</f>
        <v/>
      </c>
      <c r="X107">
        <f>HYPERLINK("https://klasma.github.io/Logging_2085/kartor/A 74401-2021 karta.png", "A 74401-2021")</f>
        <v/>
      </c>
      <c r="Y107">
        <f>HYPERLINK("https://klasma.github.io/Logging_2085/kartor_geotiff/A 74401-2021 georefererad karta.tif", "A 74401-2021")</f>
        <v/>
      </c>
      <c r="AA107">
        <f>HYPERLINK("https://klasma.github.io/Logging_2085/klagomål/A 74401-2021 FSC-klagomål.docx", "A 74401-2021")</f>
        <v/>
      </c>
      <c r="AB107">
        <f>HYPERLINK("https://klasma.github.io/Logging_2085/klagomålsmail/A 74401-2021 FSC-klagomål mail.docx", "A 74401-2021")</f>
        <v/>
      </c>
      <c r="AC107">
        <f>HYPERLINK("https://klasma.github.io/Logging_2085/tillsyn/A 74401-2021 tillsynsbegäran.docx", "A 74401-2021")</f>
        <v/>
      </c>
      <c r="AD107">
        <f>HYPERLINK("https://klasma.github.io/Logging_2085/tillsynsmail/A 74401-2021 tillsynsbegäran mail.docx", "A 74401-2021")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46268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46268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46268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HYPERLINK("https://klasma.github.io/Logging_2085/artfynd/A 62275-2022 artfynd.xlsx", "A 62275-2022")</f>
        <v/>
      </c>
      <c r="X110">
        <f>HYPERLINK("https://klasma.github.io/Logging_2085/kartor/A 62275-2022 karta.png", "A 62275-2022")</f>
        <v/>
      </c>
      <c r="Y110">
        <f>HYPERLINK("https://klasma.github.io/Logging_2085/kartor_geotiff/A 62275-2022 georefererad karta.tif", "A 62275-2022")</f>
        <v/>
      </c>
      <c r="Z110">
        <f>HYPERLINK("https://klasma.github.io/Logging_2085/knärot/A 62275-2022 karta knärot.png", "A 62275-2022")</f>
        <v/>
      </c>
      <c r="AA110">
        <f>HYPERLINK("https://klasma.github.io/Logging_2085/klagomål/A 62275-2022 FSC-klagomål.docx", "A 62275-2022")</f>
        <v/>
      </c>
      <c r="AB110">
        <f>HYPERLINK("https://klasma.github.io/Logging_2085/klagomålsmail/A 62275-2022 FSC-klagomål mail.docx", "A 62275-2022")</f>
        <v/>
      </c>
      <c r="AC110">
        <f>HYPERLINK("https://klasma.github.io/Logging_2085/tillsyn/A 62275-2022 tillsynsbegäran.docx", "A 62275-2022")</f>
        <v/>
      </c>
      <c r="AD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25588-2023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46268</v>
      </c>
      <c r="F111" t="inlineStr">
        <is>
          <t>DALARNAS LÄN</t>
        </is>
      </c>
      <c r="G111" t="inlineStr">
        <is>
          <t>LUDVIKA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HYPERLINK("https://klasma.github.io/Logging_2085/artfynd/A 25588-2023 artfynd.xlsx", "A 25588-2023")</f>
        <v/>
      </c>
      <c r="X111">
        <f>HYPERLINK("https://klasma.github.io/Logging_2085/kartor/A 25588-2023 karta.png", "A 25588-2023")</f>
        <v/>
      </c>
      <c r="Y111">
        <f>HYPERLINK("https://klasma.github.io/Logging_2085/kartor_geotiff/A 25588-2023 georefererad karta.tif", "A 25588-2023")</f>
        <v/>
      </c>
      <c r="AA111">
        <f>HYPERLINK("https://klasma.github.io/Logging_2085/klagomål/A 25588-2023 FSC-klagomål.docx", "A 25588-2023")</f>
        <v/>
      </c>
      <c r="AB111">
        <f>HYPERLINK("https://klasma.github.io/Logging_2085/klagomålsmail/A 25588-2023 FSC-klagomål mail.docx", "A 25588-2023")</f>
        <v/>
      </c>
      <c r="AC111">
        <f>HYPERLINK("https://klasma.github.io/Logging_2085/tillsyn/A 25588-2023 tillsynsbegäran.docx", "A 25588-2023")</f>
        <v/>
      </c>
      <c r="AD111">
        <f>HYPERLINK("https://klasma.github.io/Logging_2085/tillsynsmail/A 25588-2023 tillsynsbegäran mail.docx", "A 25588-2023")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46268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46268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17987-2025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46268</v>
      </c>
      <c r="F114" t="inlineStr">
        <is>
          <t>DALARNAS LÄN</t>
        </is>
      </c>
      <c r="G114" t="inlineStr">
        <is>
          <t>LUDVIKA</t>
        </is>
      </c>
      <c r="I114" t="n">
        <v>0.5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HYPERLINK("https://klasma.github.io/Logging_2085/artfynd/A 17987-2025 artfynd.xlsx", "A 17987-2025")</f>
        <v/>
      </c>
      <c r="X114">
        <f>HYPERLINK("https://klasma.github.io/Logging_2085/kartor/A 17987-2025 karta.png", "A 17987-2025")</f>
        <v/>
      </c>
      <c r="Y114">
        <f>HYPERLINK("https://klasma.github.io/Logging_2085/kartor_geotiff/A 17987-2025 georefererad karta.tif", "A 17987-2025")</f>
        <v/>
      </c>
      <c r="AA114">
        <f>HYPERLINK("https://klasma.github.io/Logging_2085/klagomål/A 17987-2025 FSC-klagomål.docx", "A 17987-2025")</f>
        <v/>
      </c>
      <c r="AB114">
        <f>HYPERLINK("https://klasma.github.io/Logging_2085/klagomålsmail/A 17987-2025 FSC-klagomål mail.docx", "A 17987-2025")</f>
        <v/>
      </c>
      <c r="AC114">
        <f>HYPERLINK("https://klasma.github.io/Logging_2085/tillsyn/A 17987-2025 tillsynsbegäran.docx", "A 17987-2025")</f>
        <v/>
      </c>
      <c r="AD114">
        <f>HYPERLINK("https://klasma.github.io/Logging_2085/tillsynsmail/A 17987-2025 tillsynsbegäran mail.docx", "A 17987-2025")</f>
        <v/>
      </c>
      <c r="AE114">
        <f>HYPERLINK("https://klasma.github.io/Logging_2085/fåglar/A 17987-2025 prioriterade fågelarter.docx", "A 17987-2025")</f>
        <v/>
      </c>
    </row>
    <row r="115" ht="15" customHeight="1">
      <c r="A115" t="inlineStr">
        <is>
          <t>A 21499-2022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46268</v>
      </c>
      <c r="F115" t="inlineStr">
        <is>
          <t>DALARNAS LÄN</t>
        </is>
      </c>
      <c r="G115" t="inlineStr">
        <is>
          <t>LUDVIKA</t>
        </is>
      </c>
      <c r="I115" t="n">
        <v>4.3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Strimspindling</t>
        </is>
      </c>
      <c r="W115">
        <f>HYPERLINK("https://klasma.github.io/Logging_2085/artfynd/A 21499-2022 artfynd.xlsx", "A 21499-2022")</f>
        <v/>
      </c>
      <c r="X115">
        <f>HYPERLINK("https://klasma.github.io/Logging_2085/kartor/A 21499-2022 karta.png", "A 21499-2022")</f>
        <v/>
      </c>
      <c r="Y115">
        <f>HYPERLINK("https://klasma.github.io/Logging_2085/kartor_geotiff/A 21499-2022 georefererad karta.tif", "A 21499-2022")</f>
        <v/>
      </c>
      <c r="AA115">
        <f>HYPERLINK("https://klasma.github.io/Logging_2085/klagomål/A 21499-2022 FSC-klagomål.docx", "A 21499-2022")</f>
        <v/>
      </c>
      <c r="AB115">
        <f>HYPERLINK("https://klasma.github.io/Logging_2085/klagomålsmail/A 21499-2022 FSC-klagomål mail.docx", "A 21499-2022")</f>
        <v/>
      </c>
      <c r="AC115">
        <f>HYPERLINK("https://klasma.github.io/Logging_2085/tillsyn/A 21499-2022 tillsynsbegäran.docx", "A 21499-2022")</f>
        <v/>
      </c>
      <c r="AD115">
        <f>HYPERLINK("https://klasma.github.io/Logging_2085/tillsynsmail/A 21499-2022 tillsynsbegäran mail.docx", "A 21499-2022")</f>
        <v/>
      </c>
    </row>
    <row r="116" ht="15" customHeight="1">
      <c r="A116" t="inlineStr">
        <is>
          <t>A 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46268</v>
      </c>
      <c r="F116" t="inlineStr">
        <is>
          <t>DALARNAS LÄN</t>
        </is>
      </c>
      <c r="G116" t="inlineStr">
        <is>
          <t>LUDVIKA</t>
        </is>
      </c>
      <c r="I116" t="n">
        <v>3.6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400-2023 artfynd.xlsx", "A 400-2023")</f>
        <v/>
      </c>
      <c r="X116">
        <f>HYPERLINK("https://klasma.github.io/Logging_2085/kartor/A 400-2023 karta.png", "A 400-2023")</f>
        <v/>
      </c>
      <c r="Y116">
        <f>HYPERLINK("https://klasma.github.io/Logging_2085/kartor_geotiff/A 400-2023 georefererad karta.tif", "A 400-2023")</f>
        <v/>
      </c>
      <c r="AA116">
        <f>HYPERLINK("https://klasma.github.io/Logging_2085/klagomål/A 400-2023 FSC-klagomål.docx", "A 400-2023")</f>
        <v/>
      </c>
      <c r="AB116">
        <f>HYPERLINK("https://klasma.github.io/Logging_2085/klagomålsmail/A 400-2023 FSC-klagomål mail.docx", "A 400-2023")</f>
        <v/>
      </c>
      <c r="AC116">
        <f>HYPERLINK("https://klasma.github.io/Logging_2085/tillsyn/A 400-2023 tillsynsbegäran.docx", "A 400-2023")</f>
        <v/>
      </c>
      <c r="AD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46268</v>
      </c>
      <c r="F117" t="inlineStr">
        <is>
          <t>DALARNAS LÄN</t>
        </is>
      </c>
      <c r="G117" t="inlineStr">
        <is>
          <t>LUDVIKA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31478-2023 artfynd.xlsx", "A 31478-2023")</f>
        <v/>
      </c>
      <c r="X117">
        <f>HYPERLINK("https://klasma.github.io/Logging_2085/kartor/A 31478-2023 karta.png", "A 31478-2023")</f>
        <v/>
      </c>
      <c r="Y117">
        <f>HYPERLINK("https://klasma.github.io/Logging_2085/kartor_geotiff/A 31478-2023 georefererad karta.tif", "A 31478-2023")</f>
        <v/>
      </c>
      <c r="AA117">
        <f>HYPERLINK("https://klasma.github.io/Logging_2085/klagomål/A 31478-2023 FSC-klagomål.docx", "A 31478-2023")</f>
        <v/>
      </c>
      <c r="AB117">
        <f>HYPERLINK("https://klasma.github.io/Logging_2085/klagomålsmail/A 31478-2023 FSC-klagomål mail.docx", "A 31478-2023")</f>
        <v/>
      </c>
      <c r="AC117">
        <f>HYPERLINK("https://klasma.github.io/Logging_2085/tillsyn/A 31478-2023 tillsynsbegäran.docx", "A 31478-2023")</f>
        <v/>
      </c>
      <c r="AD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21880-2026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46268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21880-2026 artfynd.xlsx", "A 21880-2026")</f>
        <v/>
      </c>
      <c r="X118">
        <f>HYPERLINK("https://klasma.github.io/Logging_2085/kartor/A 21880-2026 karta.png", "A 21880-2026")</f>
        <v/>
      </c>
      <c r="Y118">
        <f>HYPERLINK("https://klasma.github.io/Logging_2085/kartor_geotiff/A 21880-2026 georefererad karta.tif", "A 21880-2026")</f>
        <v/>
      </c>
      <c r="AA118">
        <f>HYPERLINK("https://klasma.github.io/Logging_2085/klagomål/A 21880-2026 FSC-klagomål.docx", "A 21880-2026")</f>
        <v/>
      </c>
      <c r="AB118">
        <f>HYPERLINK("https://klasma.github.io/Logging_2085/klagomålsmail/A 21880-2026 FSC-klagomål mail.docx", "A 21880-2026")</f>
        <v/>
      </c>
      <c r="AC118">
        <f>HYPERLINK("https://klasma.github.io/Logging_2085/tillsyn/A 21880-2026 tillsynsbegäran.docx", "A 21880-2026")</f>
        <v/>
      </c>
      <c r="AD118">
        <f>HYPERLINK("https://klasma.github.io/Logging_2085/tillsynsmail/A 21880-2026 tillsynsbegäran mail.docx", "A 21880-2026")</f>
        <v/>
      </c>
      <c r="AE118">
        <f>HYPERLINK("https://klasma.github.io/Logging_2085/fåglar/A 21880-2026 prioriterade fågelarter.docx", "A 21880-2026")</f>
        <v/>
      </c>
    </row>
    <row r="119" ht="15" customHeight="1">
      <c r="A119" t="inlineStr">
        <is>
          <t>A 25448-2024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45463</v>
      </c>
      <c r="E119" s="1" t="n">
        <v>46268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24.7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Blåsippa</t>
        </is>
      </c>
      <c r="W119">
        <f>HYPERLINK("https://klasma.github.io/Logging_2085/artfynd/A 25448-2024 artfynd.xlsx", "A 25448-2024")</f>
        <v/>
      </c>
      <c r="X119">
        <f>HYPERLINK("https://klasma.github.io/Logging_2085/kartor/A 25448-2024 karta.png", "A 25448-2024")</f>
        <v/>
      </c>
      <c r="Y119">
        <f>HYPERLINK("https://klasma.github.io/Logging_2085/kartor_geotiff/A 25448-2024 georefererad karta.tif", "A 25448-2024")</f>
        <v/>
      </c>
      <c r="AA119">
        <f>HYPERLINK("https://klasma.github.io/Logging_2085/klagomål/A 25448-2024 FSC-klagomål.docx", "A 25448-2024")</f>
        <v/>
      </c>
      <c r="AB119">
        <f>HYPERLINK("https://klasma.github.io/Logging_2085/klagomålsmail/A 25448-2024 FSC-klagomål mail.docx", "A 25448-2024")</f>
        <v/>
      </c>
      <c r="AC119">
        <f>HYPERLINK("https://klasma.github.io/Logging_2085/tillsyn/A 25448-2024 tillsynsbegäran.docx", "A 25448-2024")</f>
        <v/>
      </c>
      <c r="AD119">
        <f>HYPERLINK("https://klasma.github.io/Logging_2085/tillsynsmail/A 25448-2024 tillsynsbegäran mail.docx", "A 25448-2024")</f>
        <v/>
      </c>
    </row>
    <row r="120" ht="15" customHeight="1">
      <c r="A120" t="inlineStr">
        <is>
          <t>A 23720-2026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46163</v>
      </c>
      <c r="E120" s="1" t="n">
        <v>46268</v>
      </c>
      <c r="F120" t="inlineStr">
        <is>
          <t>DALARNAS LÄN</t>
        </is>
      </c>
      <c r="G120" t="inlineStr">
        <is>
          <t>LUDVIKA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Tretåig hackspett</t>
        </is>
      </c>
      <c r="W120">
        <f>HYPERLINK("https://klasma.github.io/Logging_2085/artfynd/A 23720-2026 artfynd.xlsx", "A 23720-2026")</f>
        <v/>
      </c>
      <c r="X120">
        <f>HYPERLINK("https://klasma.github.io/Logging_2085/kartor/A 23720-2026 karta.png", "A 23720-2026")</f>
        <v/>
      </c>
      <c r="Y120">
        <f>HYPERLINK("https://klasma.github.io/Logging_2085/kartor_geotiff/A 23720-2026 georefererad karta.tif", "A 23720-2026")</f>
        <v/>
      </c>
      <c r="AA120">
        <f>HYPERLINK("https://klasma.github.io/Logging_2085/klagomål/A 23720-2026 FSC-klagomål.docx", "A 23720-2026")</f>
        <v/>
      </c>
      <c r="AB120">
        <f>HYPERLINK("https://klasma.github.io/Logging_2085/klagomålsmail/A 23720-2026 FSC-klagomål mail.docx", "A 23720-2026")</f>
        <v/>
      </c>
      <c r="AC120">
        <f>HYPERLINK("https://klasma.github.io/Logging_2085/tillsyn/A 23720-2026 tillsynsbegäran.docx", "A 23720-2026")</f>
        <v/>
      </c>
      <c r="AD120">
        <f>HYPERLINK("https://klasma.github.io/Logging_2085/tillsynsmail/A 23720-2026 tillsynsbegäran mail.docx", "A 23720-2026")</f>
        <v/>
      </c>
      <c r="AE120">
        <f>HYPERLINK("https://klasma.github.io/Logging_2085/fåglar/A 23720-2026 prioriterade fågelarter.docx", "A 23720-2026")</f>
        <v/>
      </c>
    </row>
    <row r="121" ht="15" customHeight="1">
      <c r="A121" t="inlineStr">
        <is>
          <t>A 23778-2026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46164</v>
      </c>
      <c r="E121" s="1" t="n">
        <v>46268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23778-2026 artfynd.xlsx", "A 23778-2026")</f>
        <v/>
      </c>
      <c r="X121">
        <f>HYPERLINK("https://klasma.github.io/Logging_2085/kartor/A 23778-2026 karta.png", "A 23778-2026")</f>
        <v/>
      </c>
      <c r="Y121">
        <f>HYPERLINK("https://klasma.github.io/Logging_2085/kartor_geotiff/A 23778-2026 georefererad karta.tif", "A 23778-2026")</f>
        <v/>
      </c>
      <c r="AA121">
        <f>HYPERLINK("https://klasma.github.io/Logging_2085/klagomål/A 23778-2026 FSC-klagomål.docx", "A 23778-2026")</f>
        <v/>
      </c>
      <c r="AB121">
        <f>HYPERLINK("https://klasma.github.io/Logging_2085/klagomålsmail/A 23778-2026 FSC-klagomål mail.docx", "A 23778-2026")</f>
        <v/>
      </c>
      <c r="AC121">
        <f>HYPERLINK("https://klasma.github.io/Logging_2085/tillsyn/A 23778-2026 tillsynsbegäran.docx", "A 23778-2026")</f>
        <v/>
      </c>
      <c r="AD121">
        <f>HYPERLINK("https://klasma.github.io/Logging_2085/tillsynsmail/A 23778-2026 tillsynsbegäran mail.docx", "A 23778-2026")</f>
        <v/>
      </c>
      <c r="AE121">
        <f>HYPERLINK("https://klasma.github.io/Logging_2085/fåglar/A 23778-2026 prioriterade fågelarter.docx", "A 23778-2026")</f>
        <v/>
      </c>
    </row>
    <row r="122" ht="15" customHeight="1">
      <c r="A122" t="inlineStr">
        <is>
          <t>A 63005-2025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46268</v>
      </c>
      <c r="F122" t="inlineStr">
        <is>
          <t>DALARNAS LÄN</t>
        </is>
      </c>
      <c r="G122" t="inlineStr">
        <is>
          <t>LUDVIKA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63005-2025 artfynd.xlsx", "A 63005-2025")</f>
        <v/>
      </c>
      <c r="X122">
        <f>HYPERLINK("https://klasma.github.io/Logging_2085/kartor/A 63005-2025 karta.png", "A 63005-2025")</f>
        <v/>
      </c>
      <c r="Y122">
        <f>HYPERLINK("https://klasma.github.io/Logging_2085/kartor_geotiff/A 63005-2025 georefererad karta.tif", "A 63005-2025")</f>
        <v/>
      </c>
      <c r="AA122">
        <f>HYPERLINK("https://klasma.github.io/Logging_2085/klagomål/A 63005-2025 FSC-klagomål.docx", "A 63005-2025")</f>
        <v/>
      </c>
      <c r="AB122">
        <f>HYPERLINK("https://klasma.github.io/Logging_2085/klagomålsmail/A 63005-2025 FSC-klagomål mail.docx", "A 63005-2025")</f>
        <v/>
      </c>
      <c r="AC122">
        <f>HYPERLINK("https://klasma.github.io/Logging_2085/tillsyn/A 63005-2025 tillsynsbegäran.docx", "A 63005-2025")</f>
        <v/>
      </c>
      <c r="AD122">
        <f>HYPERLINK("https://klasma.github.io/Logging_2085/tillsynsmail/A 63005-2025 tillsynsbegäran mail.docx", "A 63005-2025")</f>
        <v/>
      </c>
      <c r="AE122">
        <f>HYPERLINK("https://klasma.github.io/Logging_2085/fåglar/A 63005-2025 prioriterade fågelarter.docx", "A 63005-2025")</f>
        <v/>
      </c>
    </row>
    <row r="123" ht="15" customHeight="1">
      <c r="A123" t="inlineStr">
        <is>
          <t>A 25159-2026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46175</v>
      </c>
      <c r="E123" s="1" t="n">
        <v>46268</v>
      </c>
      <c r="F123" t="inlineStr">
        <is>
          <t>DALARNAS LÄN</t>
        </is>
      </c>
      <c r="G123" t="inlineStr">
        <is>
          <t>LUDVIKA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Tibast</t>
        </is>
      </c>
      <c r="W123">
        <f>HYPERLINK("https://klasma.github.io/Logging_2085/artfynd/A 25159-2026 artfynd.xlsx", "A 25159-2026")</f>
        <v/>
      </c>
      <c r="X123">
        <f>HYPERLINK("https://klasma.github.io/Logging_2085/kartor/A 25159-2026 karta.png", "A 25159-2026")</f>
        <v/>
      </c>
      <c r="Y123">
        <f>HYPERLINK("https://klasma.github.io/Logging_2085/kartor_geotiff/A 25159-2026 georefererad karta.tif", "A 25159-2026")</f>
        <v/>
      </c>
      <c r="AA123">
        <f>HYPERLINK("https://klasma.github.io/Logging_2085/klagomål/A 25159-2026 FSC-klagomål.docx", "A 25159-2026")</f>
        <v/>
      </c>
      <c r="AB123">
        <f>HYPERLINK("https://klasma.github.io/Logging_2085/klagomålsmail/A 25159-2026 FSC-klagomål mail.docx", "A 25159-2026")</f>
        <v/>
      </c>
      <c r="AC123">
        <f>HYPERLINK("https://klasma.github.io/Logging_2085/tillsyn/A 25159-2026 tillsynsbegäran.docx", "A 25159-2026")</f>
        <v/>
      </c>
      <c r="AD123">
        <f>HYPERLINK("https://klasma.github.io/Logging_2085/tillsynsmail/A 25159-2026 tillsynsbegäran mail.docx", "A 25159-2026")</f>
        <v/>
      </c>
    </row>
    <row r="124" ht="15" customHeight="1">
      <c r="A124" t="inlineStr">
        <is>
          <t>A 12093-2023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46268</v>
      </c>
      <c r="F124" t="inlineStr">
        <is>
          <t>DALARNAS LÄN</t>
        </is>
      </c>
      <c r="G124" t="inlineStr">
        <is>
          <t>LUDVIKA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Bitter taggsvamp</t>
        </is>
      </c>
      <c r="W124">
        <f>HYPERLINK("https://klasma.github.io/Logging_2085/artfynd/A 12093-2023 artfynd.xlsx", "A 12093-2023")</f>
        <v/>
      </c>
      <c r="X124">
        <f>HYPERLINK("https://klasma.github.io/Logging_2085/kartor/A 12093-2023 karta.png", "A 12093-2023")</f>
        <v/>
      </c>
      <c r="Y124">
        <f>HYPERLINK("https://klasma.github.io/Logging_2085/kartor_geotiff/A 12093-2023 georefererad karta.tif", "A 12093-2023")</f>
        <v/>
      </c>
      <c r="AA124">
        <f>HYPERLINK("https://klasma.github.io/Logging_2085/klagomål/A 12093-2023 FSC-klagomål.docx", "A 12093-2023")</f>
        <v/>
      </c>
      <c r="AB124">
        <f>HYPERLINK("https://klasma.github.io/Logging_2085/klagomålsmail/A 12093-2023 FSC-klagomål mail.docx", "A 12093-2023")</f>
        <v/>
      </c>
      <c r="AC124">
        <f>HYPERLINK("https://klasma.github.io/Logging_2085/tillsyn/A 12093-2023 tillsynsbegäran.docx", "A 12093-2023")</f>
        <v/>
      </c>
      <c r="AD124">
        <f>HYPERLINK("https://klasma.github.io/Logging_2085/tillsynsmail/A 12093-2023 tillsynsbegäran mail.docx", "A 12093-2023")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46268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46268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46268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46268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31352-2026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46219</v>
      </c>
      <c r="E129" s="1" t="n">
        <v>46268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1.2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Tvåblad</t>
        </is>
      </c>
      <c r="W129">
        <f>HYPERLINK("https://klasma.github.io/Logging_2085/artfynd/A 31352-2026 artfynd.xlsx", "A 31352-2026")</f>
        <v/>
      </c>
      <c r="X129">
        <f>HYPERLINK("https://klasma.github.io/Logging_2085/kartor/A 31352-2026 karta.png", "A 31352-2026")</f>
        <v/>
      </c>
      <c r="Y129">
        <f>HYPERLINK("https://klasma.github.io/Logging_2085/kartor_geotiff/A 31352-2026 georefererad karta.tif", "A 31352-2026")</f>
        <v/>
      </c>
      <c r="AA129">
        <f>HYPERLINK("https://klasma.github.io/Logging_2085/klagomål/A 31352-2026 FSC-klagomål.docx", "A 31352-2026")</f>
        <v/>
      </c>
      <c r="AB129">
        <f>HYPERLINK("https://klasma.github.io/Logging_2085/klagomålsmail/A 31352-2026 FSC-klagomål mail.docx", "A 31352-2026")</f>
        <v/>
      </c>
      <c r="AC129">
        <f>HYPERLINK("https://klasma.github.io/Logging_2085/tillsyn/A 31352-2026 tillsynsbegäran.docx", "A 31352-2026")</f>
        <v/>
      </c>
      <c r="AD129">
        <f>HYPERLINK("https://klasma.github.io/Logging_2085/tillsynsmail/A 31352-2026 tillsynsbegäran mail.docx", "A 31352-2026")</f>
        <v/>
      </c>
    </row>
    <row r="130" ht="15" customHeight="1">
      <c r="A130" t="inlineStr">
        <is>
          <t>A 29882-2024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45486</v>
      </c>
      <c r="E130" s="1" t="n">
        <v>46268</v>
      </c>
      <c r="F130" t="inlineStr">
        <is>
          <t>DALARNAS LÄN</t>
        </is>
      </c>
      <c r="G130" t="inlineStr">
        <is>
          <t>LUDVIKA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29882-2024 artfynd.xlsx", "A 29882-2024")</f>
        <v/>
      </c>
      <c r="X130">
        <f>HYPERLINK("https://klasma.github.io/Logging_2085/kartor/A 29882-2024 karta.png", "A 29882-2024")</f>
        <v/>
      </c>
      <c r="Y130">
        <f>HYPERLINK("https://klasma.github.io/Logging_2085/kartor_geotiff/A 29882-2024 georefererad karta.tif", "A 29882-2024")</f>
        <v/>
      </c>
      <c r="AA130">
        <f>HYPERLINK("https://klasma.github.io/Logging_2085/klagomål/A 29882-2024 FSC-klagomål.docx", "A 29882-2024")</f>
        <v/>
      </c>
      <c r="AB130">
        <f>HYPERLINK("https://klasma.github.io/Logging_2085/klagomålsmail/A 29882-2024 FSC-klagomål mail.docx", "A 29882-2024")</f>
        <v/>
      </c>
      <c r="AC130">
        <f>HYPERLINK("https://klasma.github.io/Logging_2085/tillsyn/A 29882-2024 tillsynsbegäran.docx", "A 29882-2024")</f>
        <v/>
      </c>
      <c r="AD130">
        <f>HYPERLINK("https://klasma.github.io/Logging_2085/tillsynsmail/A 29882-2024 tillsynsbegäran mail.docx", "A 29882-2024")</f>
        <v/>
      </c>
      <c r="AE130">
        <f>HYPERLINK("https://klasma.github.io/Logging_2085/fåglar/A 29882-2024 prioriterade fågelarter.docx", "A 29882-2024")</f>
        <v/>
      </c>
    </row>
    <row r="131" ht="15" customHeight="1">
      <c r="A131" t="inlineStr">
        <is>
          <t>A 23102-2025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46268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Vanlig groda</t>
        </is>
      </c>
      <c r="W131">
        <f>HYPERLINK("https://klasma.github.io/Logging_2085/artfynd/A 23102-2025 artfynd.xlsx", "A 23102-2025")</f>
        <v/>
      </c>
      <c r="X131">
        <f>HYPERLINK("https://klasma.github.io/Logging_2085/kartor/A 23102-2025 karta.png", "A 23102-2025")</f>
        <v/>
      </c>
      <c r="Y131">
        <f>HYPERLINK("https://klasma.github.io/Logging_2085/kartor_geotiff/A 23102-2025 georefererad karta.tif", "A 23102-2025")</f>
        <v/>
      </c>
      <c r="AA131">
        <f>HYPERLINK("https://klasma.github.io/Logging_2085/klagomål/A 23102-2025 FSC-klagomål.docx", "A 23102-2025")</f>
        <v/>
      </c>
      <c r="AB131">
        <f>HYPERLINK("https://klasma.github.io/Logging_2085/klagomålsmail/A 23102-2025 FSC-klagomål mail.docx", "A 23102-2025")</f>
        <v/>
      </c>
      <c r="AC131">
        <f>HYPERLINK("https://klasma.github.io/Logging_2085/tillsyn/A 23102-2025 tillsynsbegäran.docx", "A 23102-2025")</f>
        <v/>
      </c>
      <c r="AD131">
        <f>HYPERLINK("https://klasma.github.io/Logging_2085/tillsynsmail/A 23102-2025 tillsynsbegäran mail.docx", "A 23102-2025")</f>
        <v/>
      </c>
    </row>
    <row r="132" ht="15" customHeight="1">
      <c r="A132" t="inlineStr">
        <is>
          <t>S 6285-2021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44447</v>
      </c>
      <c r="E132" s="1" t="n">
        <v>46268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28.7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HYPERLINK("https://klasma.github.io/Logging_2085/artfynd/S 6285-2021 artfynd.xlsx", "S 6285-2021")</f>
        <v/>
      </c>
      <c r="X132">
        <f>HYPERLINK("https://klasma.github.io/Logging_2085/kartor/S 6285-2021 karta.png", "S 6285-2021")</f>
        <v/>
      </c>
      <c r="Y132">
        <f>HYPERLINK("https://klasma.github.io/Logging_2085/kartor_geotiff/S 6285-2021 georefererad karta.tif", "S 6285-2021")</f>
        <v/>
      </c>
      <c r="AA132">
        <f>HYPERLINK("https://klasma.github.io/Logging_2085/klagomål/S 6285-2021 FSC-klagomål.docx", "S 6285-2021")</f>
        <v/>
      </c>
      <c r="AB132">
        <f>HYPERLINK("https://klasma.github.io/Logging_2085/klagomålsmail/S 6285-2021 FSC-klagomål mail.docx", "S 6285-2021")</f>
        <v/>
      </c>
      <c r="AC132">
        <f>HYPERLINK("https://klasma.github.io/Logging_2085/tillsyn/S 6285-2021 tillsynsbegäran.docx", "S 6285-2021")</f>
        <v/>
      </c>
      <c r="AD132">
        <f>HYPERLINK("https://klasma.github.io/Logging_2085/tillsynsmail/S 6285-2021 tillsynsbegäran mail.docx", "S 6285-2021")</f>
        <v/>
      </c>
    </row>
    <row r="133" ht="15" customHeight="1">
      <c r="A133" t="inlineStr">
        <is>
          <t>A 47216-2021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44447</v>
      </c>
      <c r="E133" s="1" t="n">
        <v>46268</v>
      </c>
      <c r="F133" t="inlineStr">
        <is>
          <t>DALARNAS LÄN</t>
        </is>
      </c>
      <c r="G133" t="inlineStr">
        <is>
          <t>LUDVIKA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46268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46268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46268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46268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46268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46268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46268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46268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46268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46268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46268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46268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46268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46268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46268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46268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46268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46268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46268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46268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46268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46268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46268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46268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46268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46268</v>
      </c>
      <c r="F159" t="inlineStr">
        <is>
          <t>DALARNAS LÄN</t>
        </is>
      </c>
      <c r="G159" t="inlineStr">
        <is>
          <t>LUDVIKA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44841</v>
      </c>
      <c r="E160" s="1" t="n">
        <v>46268</v>
      </c>
      <c r="F160" t="inlineStr">
        <is>
          <t>DALARNAS LÄN</t>
        </is>
      </c>
      <c r="G160" t="inlineStr">
        <is>
          <t>LUDVIKA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46268</v>
      </c>
      <c r="F161" t="inlineStr">
        <is>
          <t>DALARNAS LÄN</t>
        </is>
      </c>
      <c r="G161" t="inlineStr">
        <is>
          <t>LUDVIKA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46268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46268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46268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46268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45317</v>
      </c>
      <c r="E166" s="1" t="n">
        <v>46268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46268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46268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46268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46268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46268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46268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46268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44844</v>
      </c>
      <c r="E174" s="1" t="n">
        <v>46268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46268</v>
      </c>
      <c r="F175" t="inlineStr">
        <is>
          <t>DALARNAS LÄN</t>
        </is>
      </c>
      <c r="G175" t="inlineStr">
        <is>
          <t>LUDVIKA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44960</v>
      </c>
      <c r="E176" s="1" t="n">
        <v>46268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45519</v>
      </c>
      <c r="E177" s="1" t="n">
        <v>46268</v>
      </c>
      <c r="F177" t="inlineStr">
        <is>
          <t>DALARNAS LÄN</t>
        </is>
      </c>
      <c r="G177" t="inlineStr">
        <is>
          <t>LUDVIKA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44730</v>
      </c>
      <c r="E178" s="1" t="n">
        <v>46268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46268</v>
      </c>
      <c r="F179" t="inlineStr">
        <is>
          <t>DALARNAS LÄN</t>
        </is>
      </c>
      <c r="G179" t="inlineStr">
        <is>
          <t>LUDVIKA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31702-2023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45105</v>
      </c>
      <c r="E180" s="1" t="n">
        <v>46268</v>
      </c>
      <c r="F180" t="inlineStr">
        <is>
          <t>DALARNAS LÄN</t>
        </is>
      </c>
      <c r="G180" t="inlineStr">
        <is>
          <t>LUDVIKA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48740-2022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44859</v>
      </c>
      <c r="E181" s="1" t="n">
        <v>46268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46268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46268</v>
      </c>
      <c r="F183" t="inlineStr">
        <is>
          <t>DALARNAS LÄN</t>
        </is>
      </c>
      <c r="G183" t="inlineStr">
        <is>
          <t>LUDVIKA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45371</v>
      </c>
      <c r="E184" s="1" t="n">
        <v>46268</v>
      </c>
      <c r="F184" t="inlineStr">
        <is>
          <t>DALARNAS LÄN</t>
        </is>
      </c>
      <c r="G184" t="inlineStr">
        <is>
          <t>LUDVIKA</t>
        </is>
      </c>
      <c r="I184" t="n">
        <v>20.8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46268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45754</v>
      </c>
      <c r="E186" s="1" t="n">
        <v>46268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45161</v>
      </c>
      <c r="E187" s="1" t="n">
        <v>46268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46268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46268</v>
      </c>
      <c r="F189" t="inlineStr">
        <is>
          <t>DALARNAS LÄN</t>
        </is>
      </c>
      <c r="G189" t="inlineStr">
        <is>
          <t>LUDVIKA</t>
        </is>
      </c>
      <c r="H189" t="inlineStr">
        <is>
          <t>Övriga Aktiebolag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46268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46268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25235-2025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45800</v>
      </c>
      <c r="E192" s="1" t="n">
        <v>46268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45799</v>
      </c>
      <c r="E193" s="1" t="n">
        <v>46268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46268</v>
      </c>
      <c r="F194" t="inlineStr">
        <is>
          <t>DALARNAS LÄN</t>
        </is>
      </c>
      <c r="G194" t="inlineStr">
        <is>
          <t>LUDVIKA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46268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46268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26698-2025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45810</v>
      </c>
      <c r="E197" s="1" t="n">
        <v>46268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26794-2025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45810</v>
      </c>
      <c r="E198" s="1" t="n">
        <v>46268</v>
      </c>
      <c r="F198" t="inlineStr">
        <is>
          <t>DALARNAS LÄN</t>
        </is>
      </c>
      <c r="G198" t="inlineStr">
        <is>
          <t>LUDVIKA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26628-2025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45810</v>
      </c>
      <c r="E199" s="1" t="n">
        <v>46268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46268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46268</v>
      </c>
      <c r="F201" t="inlineStr">
        <is>
          <t>DALARNAS LÄN</t>
        </is>
      </c>
      <c r="G201" t="inlineStr">
        <is>
          <t>LUDVIKA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45208</v>
      </c>
      <c r="E202" s="1" t="n">
        <v>46268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46268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46268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45208</v>
      </c>
      <c r="E205" s="1" t="n">
        <v>46268</v>
      </c>
      <c r="F205" t="inlineStr">
        <is>
          <t>DALARNAS LÄN</t>
        </is>
      </c>
      <c r="G205" t="inlineStr">
        <is>
          <t>LUDVIKA</t>
        </is>
      </c>
      <c r="H205" t="inlineStr">
        <is>
          <t>Naturvårdsverket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46268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46268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44859</v>
      </c>
      <c r="E208" s="1" t="n">
        <v>46268</v>
      </c>
      <c r="F208" t="inlineStr">
        <is>
          <t>DALARNAS LÄN</t>
        </is>
      </c>
      <c r="G208" t="inlineStr">
        <is>
          <t>LUDVIKA</t>
        </is>
      </c>
      <c r="H208" t="inlineStr">
        <is>
          <t>Naturvårdsverket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45579</v>
      </c>
      <c r="E209" s="1" t="n">
        <v>46268</v>
      </c>
      <c r="F209" t="inlineStr">
        <is>
          <t>DALARNAS LÄN</t>
        </is>
      </c>
      <c r="G209" t="inlineStr">
        <is>
          <t>LUDVIKA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46268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46268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46268</v>
      </c>
      <c r="F212" t="inlineStr">
        <is>
          <t>DALARNAS LÄN</t>
        </is>
      </c>
      <c r="G212" t="inlineStr">
        <is>
          <t>LUDVIKA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46268</v>
      </c>
      <c r="F213" t="inlineStr">
        <is>
          <t>DALARNAS LÄN</t>
        </is>
      </c>
      <c r="G213" t="inlineStr">
        <is>
          <t>LUDVIKA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46268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46268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46268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8703-2023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44978</v>
      </c>
      <c r="E217" s="1" t="n">
        <v>46268</v>
      </c>
      <c r="F217" t="inlineStr">
        <is>
          <t>DALARNAS LÄN</t>
        </is>
      </c>
      <c r="G217" t="inlineStr">
        <is>
          <t>LUDVIKA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46268</v>
      </c>
      <c r="F218" t="inlineStr">
        <is>
          <t>DALARNAS LÄN</t>
        </is>
      </c>
      <c r="G218" t="inlineStr">
        <is>
          <t>LUDVIKA</t>
        </is>
      </c>
      <c r="H218" t="inlineStr">
        <is>
          <t>Naturvårdsverket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46268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46268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46268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46268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46268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46268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46268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46268</v>
      </c>
      <c r="F226" t="inlineStr">
        <is>
          <t>DALARNAS LÄN</t>
        </is>
      </c>
      <c r="G226" t="inlineStr">
        <is>
          <t>LUDVIKA</t>
        </is>
      </c>
      <c r="H226" t="inlineStr">
        <is>
          <t>Sveaskog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46268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46268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46268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45835</v>
      </c>
      <c r="E230" s="1" t="n">
        <v>46268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36338-2025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45868</v>
      </c>
      <c r="E231" s="1" t="n">
        <v>46268</v>
      </c>
      <c r="F231" t="inlineStr">
        <is>
          <t>DALARNAS LÄN</t>
        </is>
      </c>
      <c r="G231" t="inlineStr">
        <is>
          <t>LUDVIKA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46268</v>
      </c>
      <c r="F232" t="inlineStr">
        <is>
          <t>DALARNAS LÄN</t>
        </is>
      </c>
      <c r="G232" t="inlineStr">
        <is>
          <t>LUDVIKA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46268</v>
      </c>
      <c r="F233" t="inlineStr">
        <is>
          <t>DALARNAS LÄN</t>
        </is>
      </c>
      <c r="G233" t="inlineStr">
        <is>
          <t>LUDVIKA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45623</v>
      </c>
      <c r="E234" s="1" t="n">
        <v>46268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46268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46268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46268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46268</v>
      </c>
      <c r="F238" t="inlineStr">
        <is>
          <t>DALARNAS LÄN</t>
        </is>
      </c>
      <c r="G238" t="inlineStr">
        <is>
          <t>LUDVIKA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34067-2025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45845</v>
      </c>
      <c r="E239" s="1" t="n">
        <v>46268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46268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46268</v>
      </c>
      <c r="F241" t="inlineStr">
        <is>
          <t>DALARNAS LÄN</t>
        </is>
      </c>
      <c r="G241" t="inlineStr">
        <is>
          <t>LUDVIKA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45502</v>
      </c>
      <c r="E242" s="1" t="n">
        <v>46268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46268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46268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45744</v>
      </c>
      <c r="E245" s="1" t="n">
        <v>46268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65195-2021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44515</v>
      </c>
      <c r="E246" s="1" t="n">
        <v>46268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46268</v>
      </c>
      <c r="F247" t="inlineStr">
        <is>
          <t>DALARNAS LÄN</t>
        </is>
      </c>
      <c r="G247" t="inlineStr">
        <is>
          <t>LUDVIKA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45849</v>
      </c>
      <c r="E248" s="1" t="n">
        <v>46268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46268</v>
      </c>
      <c r="F249" t="inlineStr">
        <is>
          <t>DALARNAS LÄN</t>
        </is>
      </c>
      <c r="G249" t="inlineStr">
        <is>
          <t>LUDVIKA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34455-2024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46268</v>
      </c>
      <c r="F250" t="inlineStr">
        <is>
          <t>DALARNAS LÄN</t>
        </is>
      </c>
      <c r="G250" t="inlineStr">
        <is>
          <t>LUDVIKA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46268</v>
      </c>
      <c r="F251" t="inlineStr">
        <is>
          <t>DALARNAS LÄN</t>
        </is>
      </c>
      <c r="G251" t="inlineStr">
        <is>
          <t>LUDVIKA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44994</v>
      </c>
      <c r="E252" s="1" t="n">
        <v>46268</v>
      </c>
      <c r="F252" t="inlineStr">
        <is>
          <t>DALARNAS LÄN</t>
        </is>
      </c>
      <c r="G252" t="inlineStr">
        <is>
          <t>LUDVIKA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46268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45825</v>
      </c>
      <c r="E254" s="1" t="n">
        <v>46268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46268</v>
      </c>
      <c r="F255" t="inlineStr">
        <is>
          <t>DALARNAS LÄN</t>
        </is>
      </c>
      <c r="G255" t="inlineStr">
        <is>
          <t>LUDVIKA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45912</v>
      </c>
      <c r="E256" s="1" t="n">
        <v>46268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46268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46268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46268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46268</v>
      </c>
      <c r="F260" t="inlineStr">
        <is>
          <t>DALARNAS LÄN</t>
        </is>
      </c>
      <c r="G260" t="inlineStr">
        <is>
          <t>LUDVIKA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46268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45832</v>
      </c>
      <c r="E262" s="1" t="n">
        <v>46268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46268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46268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46268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46268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45832</v>
      </c>
      <c r="E267" s="1" t="n">
        <v>46268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46268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46268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46268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46268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44680</v>
      </c>
      <c r="E272" s="1" t="n">
        <v>46268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46268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45869</v>
      </c>
      <c r="E274" s="1" t="n">
        <v>46268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45567</v>
      </c>
      <c r="E275" s="1" t="n">
        <v>46268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45208</v>
      </c>
      <c r="E276" s="1" t="n">
        <v>46268</v>
      </c>
      <c r="F276" t="inlineStr">
        <is>
          <t>DALARNAS LÄN</t>
        </is>
      </c>
      <c r="G276" t="inlineStr">
        <is>
          <t>LUDVIKA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45512</v>
      </c>
      <c r="E277" s="1" t="n">
        <v>46268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46268</v>
      </c>
      <c r="F278" t="inlineStr">
        <is>
          <t>DALARNAS LÄN</t>
        </is>
      </c>
      <c r="G278" t="inlineStr">
        <is>
          <t>LUDVIKA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45761</v>
      </c>
      <c r="E279" s="1" t="n">
        <v>46268</v>
      </c>
      <c r="F279" t="inlineStr">
        <is>
          <t>DALARNAS LÄN</t>
        </is>
      </c>
      <c r="G279" t="inlineStr">
        <is>
          <t>LUDVIKA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46268</v>
      </c>
      <c r="F280" t="inlineStr">
        <is>
          <t>DALARNAS LÄN</t>
        </is>
      </c>
      <c r="G280" t="inlineStr">
        <is>
          <t>LUDVIKA</t>
        </is>
      </c>
      <c r="I280" t="n">
        <v>12.7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45875</v>
      </c>
      <c r="E281" s="1" t="n">
        <v>46268</v>
      </c>
      <c r="F281" t="inlineStr">
        <is>
          <t>DALARNAS LÄN</t>
        </is>
      </c>
      <c r="G281" t="inlineStr">
        <is>
          <t>LUDVIKA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46268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42254-2024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46268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49035-2024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45594</v>
      </c>
      <c r="E284" s="1" t="n">
        <v>46268</v>
      </c>
      <c r="F284" t="inlineStr">
        <is>
          <t>DALARNAS LÄN</t>
        </is>
      </c>
      <c r="G284" t="inlineStr">
        <is>
          <t>LUDVIKA</t>
        </is>
      </c>
      <c r="H284" t="inlineStr">
        <is>
          <t>Naturvårdsverket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46268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46268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46268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61621-2022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44916</v>
      </c>
      <c r="E288" s="1" t="n">
        <v>46268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46268</v>
      </c>
      <c r="F289" t="inlineStr">
        <is>
          <t>DALARNAS LÄN</t>
        </is>
      </c>
      <c r="G289" t="inlineStr">
        <is>
          <t>LUDVIKA</t>
        </is>
      </c>
      <c r="H289" t="inlineStr">
        <is>
          <t>Naturvårdsverket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53979-2025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45961</v>
      </c>
      <c r="E290" s="1" t="n">
        <v>46268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50444-2025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45944</v>
      </c>
      <c r="E291" s="1" t="n">
        <v>46268</v>
      </c>
      <c r="F291" t="inlineStr">
        <is>
          <t>DALARNAS LÄN</t>
        </is>
      </c>
      <c r="G291" t="inlineStr">
        <is>
          <t>LUDVIKA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46268</v>
      </c>
      <c r="F292" t="inlineStr">
        <is>
          <t>DALARNAS LÄN</t>
        </is>
      </c>
      <c r="G292" t="inlineStr">
        <is>
          <t>LUDVIKA</t>
        </is>
      </c>
      <c r="H292" t="inlineStr">
        <is>
          <t>Naturvårdsverket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45202</v>
      </c>
      <c r="E293" s="1" t="n">
        <v>46268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46268</v>
      </c>
      <c r="F294" t="inlineStr">
        <is>
          <t>DALARNAS LÄN</t>
        </is>
      </c>
      <c r="G294" t="inlineStr">
        <is>
          <t>LUDVIKA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45644</v>
      </c>
      <c r="E295" s="1" t="n">
        <v>46268</v>
      </c>
      <c r="F295" t="inlineStr">
        <is>
          <t>DALARNAS LÄN</t>
        </is>
      </c>
      <c r="G295" t="inlineStr">
        <is>
          <t>LUDVIKA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46268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46268</v>
      </c>
      <c r="F297" t="inlineStr">
        <is>
          <t>DALARNAS LÄN</t>
        </is>
      </c>
      <c r="G297" t="inlineStr">
        <is>
          <t>LUDVIKA</t>
        </is>
      </c>
      <c r="H297" t="inlineStr">
        <is>
          <t>Övriga Aktiebolag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46268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46268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46268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46268</v>
      </c>
      <c r="F301" t="inlineStr">
        <is>
          <t>DALARNAS LÄN</t>
        </is>
      </c>
      <c r="G301" t="inlineStr">
        <is>
          <t>LUDVIKA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46268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46268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52556-2025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46268</v>
      </c>
      <c r="F304" t="inlineStr">
        <is>
          <t>DALARNAS LÄN</t>
        </is>
      </c>
      <c r="G304" t="inlineStr">
        <is>
          <t>LUDVIKA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52459-2025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46268</v>
      </c>
      <c r="F305" t="inlineStr">
        <is>
          <t>DALARNAS LÄN</t>
        </is>
      </c>
      <c r="G305" t="inlineStr">
        <is>
          <t>LUDVIKA</t>
        </is>
      </c>
      <c r="H305" t="inlineStr">
        <is>
          <t>Övriga Aktiebolag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46268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52427-2025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45954</v>
      </c>
      <c r="E307" s="1" t="n">
        <v>46268</v>
      </c>
      <c r="F307" t="inlineStr">
        <is>
          <t>DALARNAS LÄN</t>
        </is>
      </c>
      <c r="G307" t="inlineStr">
        <is>
          <t>LUDVIKA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46268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46268</v>
      </c>
      <c r="F309" t="inlineStr">
        <is>
          <t>DALARNAS LÄN</t>
        </is>
      </c>
      <c r="G309" t="inlineStr">
        <is>
          <t>LUDVIKA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48642-2022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44859</v>
      </c>
      <c r="E310" s="1" t="n">
        <v>46268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18724-2022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44687</v>
      </c>
      <c r="E311" s="1" t="n">
        <v>46268</v>
      </c>
      <c r="F311" t="inlineStr">
        <is>
          <t>DALARNAS LÄN</t>
        </is>
      </c>
      <c r="G311" t="inlineStr">
        <is>
          <t>LUDVIKA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56615-2025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45975</v>
      </c>
      <c r="E312" s="1" t="n">
        <v>46268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46029-2025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46268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45965</v>
      </c>
      <c r="E314" s="1" t="n">
        <v>46268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46268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46268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45963</v>
      </c>
      <c r="E317" s="1" t="n">
        <v>46268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45891</v>
      </c>
      <c r="E318" s="1" t="n">
        <v>46268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45224</v>
      </c>
      <c r="E319" s="1" t="n">
        <v>46268</v>
      </c>
      <c r="F319" t="inlineStr">
        <is>
          <t>DALARNAS LÄN</t>
        </is>
      </c>
      <c r="G319" t="inlineStr">
        <is>
          <t>LUDVIKA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46268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46268</v>
      </c>
      <c r="F321" t="inlineStr">
        <is>
          <t>DALARNAS LÄN</t>
        </is>
      </c>
      <c r="G321" t="inlineStr">
        <is>
          <t>LUDVIKA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46268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46268</v>
      </c>
      <c r="F323" t="inlineStr">
        <is>
          <t>DALARNAS LÄN</t>
        </is>
      </c>
      <c r="G323" t="inlineStr">
        <is>
          <t>LUDVIKA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46268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46268</v>
      </c>
      <c r="F325" t="inlineStr">
        <is>
          <t>DALARNAS LÄN</t>
        </is>
      </c>
      <c r="G325" t="inlineStr">
        <is>
          <t>LUDVIKA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46268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33673-2022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44789</v>
      </c>
      <c r="E327" s="1" t="n">
        <v>46268</v>
      </c>
      <c r="F327" t="inlineStr">
        <is>
          <t>DALARNAS LÄN</t>
        </is>
      </c>
      <c r="G327" t="inlineStr">
        <is>
          <t>LUDVIKA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46268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46268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44893</v>
      </c>
      <c r="E330" s="1" t="n">
        <v>46268</v>
      </c>
      <c r="F330" t="inlineStr">
        <is>
          <t>DALARNAS LÄN</t>
        </is>
      </c>
      <c r="G330" t="inlineStr">
        <is>
          <t>LUDVIKA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46268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73703-2021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46268</v>
      </c>
      <c r="F332" t="inlineStr">
        <is>
          <t>DALARNAS LÄN</t>
        </is>
      </c>
      <c r="G332" t="inlineStr">
        <is>
          <t>LUDVIKA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46268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56002-2025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46268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46268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56030-2025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46268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55646-2025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45972</v>
      </c>
      <c r="E337" s="1" t="n">
        <v>46268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27389-2024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45474</v>
      </c>
      <c r="E338" s="1" t="n">
        <v>46268</v>
      </c>
      <c r="F338" t="inlineStr">
        <is>
          <t>DALARNAS LÄN</t>
        </is>
      </c>
      <c r="G338" t="inlineStr">
        <is>
          <t>LUDVIKA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44520-2023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46268</v>
      </c>
      <c r="F339" t="inlineStr">
        <is>
          <t>DALARNAS LÄN</t>
        </is>
      </c>
      <c r="G339" t="inlineStr">
        <is>
          <t>LUDVIKA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56178-2025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46268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46268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46268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46268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46268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56155-2025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46268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46268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41090-2022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44825</v>
      </c>
      <c r="E347" s="1" t="n">
        <v>46268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46268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50347-2021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44459</v>
      </c>
      <c r="E349" s="1" t="n">
        <v>46268</v>
      </c>
      <c r="F349" t="inlineStr">
        <is>
          <t>DALARNAS LÄN</t>
        </is>
      </c>
      <c r="G349" t="inlineStr">
        <is>
          <t>LUDVIKA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45301</v>
      </c>
      <c r="E350" s="1" t="n">
        <v>46268</v>
      </c>
      <c r="F350" t="inlineStr">
        <is>
          <t>DALARNAS LÄN</t>
        </is>
      </c>
      <c r="G350" t="inlineStr">
        <is>
          <t>LUDVIKA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45301</v>
      </c>
      <c r="E351" s="1" t="n">
        <v>46268</v>
      </c>
      <c r="F351" t="inlineStr">
        <is>
          <t>DALARNAS LÄN</t>
        </is>
      </c>
      <c r="G351" t="inlineStr">
        <is>
          <t>LUDVIKA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45297</v>
      </c>
      <c r="E352" s="1" t="n">
        <v>46268</v>
      </c>
      <c r="F352" t="inlineStr">
        <is>
          <t>DALARNAS LÄN</t>
        </is>
      </c>
      <c r="G352" t="inlineStr">
        <is>
          <t>LUDVIKA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46268</v>
      </c>
      <c r="F353" t="inlineStr">
        <is>
          <t>DALARNAS LÄN</t>
        </is>
      </c>
      <c r="G353" t="inlineStr">
        <is>
          <t>LUDVIKA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46268</v>
      </c>
      <c r="F354" t="inlineStr">
        <is>
          <t>DALARNAS LÄN</t>
        </is>
      </c>
      <c r="G354" t="inlineStr">
        <is>
          <t>LUDVIKA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46268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46268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45929</v>
      </c>
      <c r="E357" s="1" t="n">
        <v>46268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46268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45891</v>
      </c>
      <c r="E359" s="1" t="n">
        <v>46268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46268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45335</v>
      </c>
      <c r="E361" s="1" t="n">
        <v>46268</v>
      </c>
      <c r="F361" t="inlineStr">
        <is>
          <t>DALARNAS LÄN</t>
        </is>
      </c>
      <c r="G361" t="inlineStr">
        <is>
          <t>LUDVIKA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46268</v>
      </c>
      <c r="F362" t="inlineStr">
        <is>
          <t>DALARNAS LÄN</t>
        </is>
      </c>
      <c r="G362" t="inlineStr">
        <is>
          <t>LUDVIKA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46268</v>
      </c>
      <c r="F363" t="inlineStr">
        <is>
          <t>DALARNAS LÄN</t>
        </is>
      </c>
      <c r="G363" t="inlineStr">
        <is>
          <t>LUDVIKA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46268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45639</v>
      </c>
      <c r="E365" s="1" t="n">
        <v>46268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45512</v>
      </c>
      <c r="E366" s="1" t="n">
        <v>46268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45196</v>
      </c>
      <c r="E367" s="1" t="n">
        <v>46268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46268</v>
      </c>
      <c r="F368" t="inlineStr">
        <is>
          <t>DALARNAS LÄN</t>
        </is>
      </c>
      <c r="G368" t="inlineStr">
        <is>
          <t>LUDVIKA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46268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60452-2025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46268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51208-2023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45219</v>
      </c>
      <c r="E371" s="1" t="n">
        <v>46268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61502-2025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46001</v>
      </c>
      <c r="E372" s="1" t="n">
        <v>46268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46268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12497-2024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45379</v>
      </c>
      <c r="E374" s="1" t="n">
        <v>46268</v>
      </c>
      <c r="F374" t="inlineStr">
        <is>
          <t>DALARNAS LÄN</t>
        </is>
      </c>
      <c r="G374" t="inlineStr">
        <is>
          <t>LUDVIKA</t>
        </is>
      </c>
      <c r="H374" t="inlineStr">
        <is>
          <t>Naturvårdsverket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62367-2025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46268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45099</v>
      </c>
      <c r="E376" s="1" t="n">
        <v>46268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46268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32995-2023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46268</v>
      </c>
      <c r="F378" t="inlineStr">
        <is>
          <t>DALARNAS LÄN</t>
        </is>
      </c>
      <c r="G378" t="inlineStr">
        <is>
          <t>LUDVIKA</t>
        </is>
      </c>
      <c r="H378" t="inlineStr">
        <is>
          <t>Kommuner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46268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62706-2025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46268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46268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62945-2025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46009</v>
      </c>
      <c r="E382" s="1" t="n">
        <v>46268</v>
      </c>
      <c r="F382" t="inlineStr">
        <is>
          <t>DALARNAS LÄN</t>
        </is>
      </c>
      <c r="G382" t="inlineStr">
        <is>
          <t>LUDVIKA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46268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46268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62838-2025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46268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62824-2025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46268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62842-2025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46008</v>
      </c>
      <c r="E387" s="1" t="n">
        <v>46268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62704-2025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46008</v>
      </c>
      <c r="E388" s="1" t="n">
        <v>46268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30039-2024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45488</v>
      </c>
      <c r="E389" s="1" t="n">
        <v>46268</v>
      </c>
      <c r="F389" t="inlineStr">
        <is>
          <t>DALARNAS LÄN</t>
        </is>
      </c>
      <c r="G389" t="inlineStr">
        <is>
          <t>LUDVIKA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46268</v>
      </c>
      <c r="F390" t="inlineStr">
        <is>
          <t>DALARNAS LÄN</t>
        </is>
      </c>
      <c r="G390" t="inlineStr">
        <is>
          <t>LUDVIKA</t>
        </is>
      </c>
      <c r="H390" t="inlineStr">
        <is>
          <t>Övriga Aktiebolag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46268</v>
      </c>
      <c r="F391" t="inlineStr">
        <is>
          <t>DALARNAS LÄN</t>
        </is>
      </c>
      <c r="G391" t="inlineStr">
        <is>
          <t>LUDVIKA</t>
        </is>
      </c>
      <c r="H391" t="inlineStr">
        <is>
          <t>Övriga Aktiebolag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46268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46268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45551</v>
      </c>
      <c r="E394" s="1" t="n">
        <v>46268</v>
      </c>
      <c r="F394" t="inlineStr">
        <is>
          <t>DALARNAS LÄN</t>
        </is>
      </c>
      <c r="G394" t="inlineStr">
        <is>
          <t>LUDVIKA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47496-2022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44853</v>
      </c>
      <c r="E395" s="1" t="n">
        <v>46268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64171-2023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46268</v>
      </c>
      <c r="F396" t="inlineStr">
        <is>
          <t>DALARNAS LÄN</t>
        </is>
      </c>
      <c r="G396" t="inlineStr">
        <is>
          <t>LUDVIKA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46268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43240-2024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46268</v>
      </c>
      <c r="F398" t="inlineStr">
        <is>
          <t>DALARNAS LÄN</t>
        </is>
      </c>
      <c r="G398" t="inlineStr">
        <is>
          <t>LUDVIKA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41158-2022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44825</v>
      </c>
      <c r="E399" s="1" t="n">
        <v>46268</v>
      </c>
      <c r="F399" t="inlineStr">
        <is>
          <t>DALARNAS LÄN</t>
        </is>
      </c>
      <c r="G399" t="inlineStr">
        <is>
          <t>LUDVIKA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17054-2026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46114</v>
      </c>
      <c r="E400" s="1" t="n">
        <v>46268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45043</v>
      </c>
      <c r="E401" s="1" t="n">
        <v>46268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46268</v>
      </c>
      <c r="F402" t="inlineStr">
        <is>
          <t>DALARNAS LÄN</t>
        </is>
      </c>
      <c r="G402" t="inlineStr">
        <is>
          <t>LUDVIKA</t>
        </is>
      </c>
      <c r="H402" t="inlineStr">
        <is>
          <t>Naturvårdsverket</t>
        </is>
      </c>
      <c r="I402" t="n">
        <v>19.8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46268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46268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45399</v>
      </c>
      <c r="E405" s="1" t="n">
        <v>46268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46268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46268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45644</v>
      </c>
      <c r="E408" s="1" t="n">
        <v>46268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46268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65104-2023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45288</v>
      </c>
      <c r="E410" s="1" t="n">
        <v>46268</v>
      </c>
      <c r="F410" t="inlineStr">
        <is>
          <t>DALARNAS LÄN</t>
        </is>
      </c>
      <c r="G410" t="inlineStr">
        <is>
          <t>LUDVIKA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46268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46268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46268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14881-2025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46268</v>
      </c>
      <c r="F414" t="inlineStr">
        <is>
          <t>DALARNAS LÄN</t>
        </is>
      </c>
      <c r="G414" t="inlineStr">
        <is>
          <t>LUDVIKA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59050-2022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44903</v>
      </c>
      <c r="E415" s="1" t="n">
        <v>46268</v>
      </c>
      <c r="F415" t="inlineStr">
        <is>
          <t>DALARNAS LÄN</t>
        </is>
      </c>
      <c r="G415" t="inlineStr">
        <is>
          <t>LUDVIKA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45544-2024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45579</v>
      </c>
      <c r="E416" s="1" t="n">
        <v>46268</v>
      </c>
      <c r="F416" t="inlineStr">
        <is>
          <t>DALARNAS LÄN</t>
        </is>
      </c>
      <c r="G416" t="inlineStr">
        <is>
          <t>LUDVIKA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45547-2024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46268</v>
      </c>
      <c r="F417" t="inlineStr">
        <is>
          <t>DALARNAS LÄN</t>
        </is>
      </c>
      <c r="G417" t="inlineStr">
        <is>
          <t>LUDVIKA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46268</v>
      </c>
      <c r="F418" t="inlineStr">
        <is>
          <t>DALARNAS LÄN</t>
        </is>
      </c>
      <c r="G418" t="inlineStr">
        <is>
          <t>LUDVIKA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46268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46268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50273-2021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44459</v>
      </c>
      <c r="E421" s="1" t="n">
        <v>46268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46268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46268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46268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45705</v>
      </c>
      <c r="E425" s="1" t="n">
        <v>46268</v>
      </c>
      <c r="F425" t="inlineStr">
        <is>
          <t>DALARNAS LÄN</t>
        </is>
      </c>
      <c r="G425" t="inlineStr">
        <is>
          <t>LUDVIKA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45112</v>
      </c>
      <c r="E426" s="1" t="n">
        <v>46268</v>
      </c>
      <c r="F426" t="inlineStr">
        <is>
          <t>DALARNAS LÄN</t>
        </is>
      </c>
      <c r="G426" t="inlineStr">
        <is>
          <t>LUDVIKA</t>
        </is>
      </c>
      <c r="H426" t="inlineStr">
        <is>
          <t>Kommuner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32224-2025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46268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46620-2023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45198</v>
      </c>
      <c r="E428" s="1" t="n">
        <v>46268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45265</v>
      </c>
      <c r="E429" s="1" t="n">
        <v>46268</v>
      </c>
      <c r="F429" t="inlineStr">
        <is>
          <t>DALARNAS LÄN</t>
        </is>
      </c>
      <c r="G429" t="inlineStr">
        <is>
          <t>LUDVIKA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46268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49951-2022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44865</v>
      </c>
      <c r="E431" s="1" t="n">
        <v>46268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55151-2025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45968</v>
      </c>
      <c r="E432" s="1" t="n">
        <v>46268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45531</v>
      </c>
      <c r="E433" s="1" t="n">
        <v>46268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34868-2025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45849</v>
      </c>
      <c r="E434" s="1" t="n">
        <v>46268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45954</v>
      </c>
      <c r="E435" s="1" t="n">
        <v>46268</v>
      </c>
      <c r="F435" t="inlineStr">
        <is>
          <t>DALARNAS LÄN</t>
        </is>
      </c>
      <c r="G435" t="inlineStr">
        <is>
          <t>LUDVIKA</t>
        </is>
      </c>
      <c r="I435" t="n">
        <v>9.800000000000001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29578-2025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45825</v>
      </c>
      <c r="E436" s="1" t="n">
        <v>46268</v>
      </c>
      <c r="F436" t="inlineStr">
        <is>
          <t>DALARNAS LÄN</t>
        </is>
      </c>
      <c r="G436" t="inlineStr">
        <is>
          <t>LUDVIKA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29114-2024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45481</v>
      </c>
      <c r="E437" s="1" t="n">
        <v>46268</v>
      </c>
      <c r="F437" t="inlineStr">
        <is>
          <t>DALARNAS LÄN</t>
        </is>
      </c>
      <c r="G437" t="inlineStr">
        <is>
          <t>LUDVIKA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16814-2024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45411</v>
      </c>
      <c r="E438" s="1" t="n">
        <v>46268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20106-2026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46136</v>
      </c>
      <c r="E439" s="1" t="n">
        <v>46268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31270-2022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44771</v>
      </c>
      <c r="E440" s="1" t="n">
        <v>46268</v>
      </c>
      <c r="F440" t="inlineStr">
        <is>
          <t>DALARNAS LÄN</t>
        </is>
      </c>
      <c r="G440" t="inlineStr">
        <is>
          <t>LUDVIKA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46268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45624</v>
      </c>
      <c r="E442" s="1" t="n">
        <v>46268</v>
      </c>
      <c r="F442" t="inlineStr">
        <is>
          <t>DALARNAS LÄN</t>
        </is>
      </c>
      <c r="G442" t="inlineStr">
        <is>
          <t>LUDVIKA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45902</v>
      </c>
      <c r="E443" s="1" t="n">
        <v>46268</v>
      </c>
      <c r="F443" t="inlineStr">
        <is>
          <t>DALARNAS LÄN</t>
        </is>
      </c>
      <c r="G443" t="inlineStr">
        <is>
          <t>LUDVIKA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28507-2023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45103</v>
      </c>
      <c r="E444" s="1" t="n">
        <v>46268</v>
      </c>
      <c r="F444" t="inlineStr">
        <is>
          <t>DALARNAS LÄN</t>
        </is>
      </c>
      <c r="G444" t="inlineStr">
        <is>
          <t>LUDVIKA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45775</v>
      </c>
      <c r="E445" s="1" t="n">
        <v>46268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39437-2023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45166</v>
      </c>
      <c r="E446" s="1" t="n">
        <v>46268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45860</v>
      </c>
      <c r="E447" s="1" t="n">
        <v>46268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45849</v>
      </c>
      <c r="E448" s="1" t="n">
        <v>46268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33839-2024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45520</v>
      </c>
      <c r="E449" s="1" t="n">
        <v>46268</v>
      </c>
      <c r="F449" t="inlineStr">
        <is>
          <t>DALARNAS LÄN</t>
        </is>
      </c>
      <c r="G449" t="inlineStr">
        <is>
          <t>LUDVIKA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55323-2025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46268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42106-2024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45562</v>
      </c>
      <c r="E451" s="1" t="n">
        <v>46268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44883</v>
      </c>
      <c r="E452" s="1" t="n">
        <v>46268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45588</v>
      </c>
      <c r="E453" s="1" t="n">
        <v>46268</v>
      </c>
      <c r="F453" t="inlineStr">
        <is>
          <t>DALARNAS LÄN</t>
        </is>
      </c>
      <c r="G453" t="inlineStr">
        <is>
          <t>LUDVIKA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34070-2025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45845</v>
      </c>
      <c r="E454" s="1" t="n">
        <v>46268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46268</v>
      </c>
      <c r="F455" t="inlineStr">
        <is>
          <t>DALARNAS LÄN</t>
        </is>
      </c>
      <c r="G455" t="inlineStr">
        <is>
          <t>LUDVIKA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52466-2023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45225</v>
      </c>
      <c r="E456" s="1" t="n">
        <v>46268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44537-2024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45574</v>
      </c>
      <c r="E457" s="1" t="n">
        <v>46268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46268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46268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45062</v>
      </c>
      <c r="E460" s="1" t="n">
        <v>46268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20666-2026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46268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46185-2024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45581</v>
      </c>
      <c r="E462" s="1" t="n">
        <v>46268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46268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39849-2023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46268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46268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46268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45765</v>
      </c>
      <c r="E467" s="1" t="n">
        <v>46268</v>
      </c>
      <c r="F467" t="inlineStr">
        <is>
          <t>DALARNAS LÄN</t>
        </is>
      </c>
      <c r="G467" t="inlineStr">
        <is>
          <t>LUDVIKA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45594</v>
      </c>
      <c r="E468" s="1" t="n">
        <v>46268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46268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46268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45740</v>
      </c>
      <c r="E471" s="1" t="n">
        <v>46268</v>
      </c>
      <c r="F471" t="inlineStr">
        <is>
          <t>DALARNAS LÄN</t>
        </is>
      </c>
      <c r="G471" t="inlineStr">
        <is>
          <t>LUDVIKA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21345-2026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46147</v>
      </c>
      <c r="E472" s="1" t="n">
        <v>46268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55633-2021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44476</v>
      </c>
      <c r="E473" s="1" t="n">
        <v>46268</v>
      </c>
      <c r="F473" t="inlineStr">
        <is>
          <t>DALARNAS LÄN</t>
        </is>
      </c>
      <c r="G473" t="inlineStr">
        <is>
          <t>LUDVIKA</t>
        </is>
      </c>
      <c r="H473" t="inlineStr">
        <is>
          <t>Övriga Aktiebolag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70046-2021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44533</v>
      </c>
      <c r="E474" s="1" t="n">
        <v>46268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21472-2026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46268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46268</v>
      </c>
      <c r="F476" t="inlineStr">
        <is>
          <t>DALARNAS LÄN</t>
        </is>
      </c>
      <c r="G476" t="inlineStr">
        <is>
          <t>LUDVIKA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46268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45569</v>
      </c>
      <c r="E478" s="1" t="n">
        <v>46268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21872-2026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46150</v>
      </c>
      <c r="E479" s="1" t="n">
        <v>46268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45761</v>
      </c>
      <c r="E480" s="1" t="n">
        <v>46268</v>
      </c>
      <c r="F480" t="inlineStr">
        <is>
          <t>DALARNAS LÄN</t>
        </is>
      </c>
      <c r="G480" t="inlineStr">
        <is>
          <t>LUDVIKA</t>
        </is>
      </c>
      <c r="H480" t="inlineStr">
        <is>
          <t>Naturvårdsverket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48003-2024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45589</v>
      </c>
      <c r="E481" s="1" t="n">
        <v>46268</v>
      </c>
      <c r="F481" t="inlineStr">
        <is>
          <t>DALARNAS LÄN</t>
        </is>
      </c>
      <c r="G481" t="inlineStr">
        <is>
          <t>LUDVIKA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46268</v>
      </c>
      <c r="F482" t="inlineStr">
        <is>
          <t>DALARNAS LÄN</t>
        </is>
      </c>
      <c r="G482" t="inlineStr">
        <is>
          <t>LUDVIKA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46268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46268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22558-2026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46155</v>
      </c>
      <c r="E485" s="1" t="n">
        <v>46268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46268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22580-2026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46268</v>
      </c>
      <c r="F487" t="inlineStr">
        <is>
          <t>DALARNAS LÄN</t>
        </is>
      </c>
      <c r="G487" t="inlineStr">
        <is>
          <t>LUDVIKA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39400-2023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46268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46268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9.800000000000001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46142</v>
      </c>
      <c r="E490" s="1" t="n">
        <v>46268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8.9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45679</v>
      </c>
      <c r="E491" s="1" t="n">
        <v>46268</v>
      </c>
      <c r="F491" t="inlineStr">
        <is>
          <t>DALARNAS LÄN</t>
        </is>
      </c>
      <c r="G491" t="inlineStr">
        <is>
          <t>LUDVIKA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16843-2026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46268</v>
      </c>
      <c r="F492" t="inlineStr">
        <is>
          <t>DALARNAS LÄN</t>
        </is>
      </c>
      <c r="G492" t="inlineStr">
        <is>
          <t>LUDVIKA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46268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32119-2023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46268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22830-2026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46268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46268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46268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34845-2024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45526</v>
      </c>
      <c r="E498" s="1" t="n">
        <v>46268</v>
      </c>
      <c r="F498" t="inlineStr">
        <is>
          <t>DALARNAS LÄN</t>
        </is>
      </c>
      <c r="G498" t="inlineStr">
        <is>
          <t>LUDVIKA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25299-2022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44730</v>
      </c>
      <c r="E499" s="1" t="n">
        <v>46268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45373</v>
      </c>
      <c r="E500" s="1" t="n">
        <v>46268</v>
      </c>
      <c r="F500" t="inlineStr">
        <is>
          <t>DALARNAS LÄN</t>
        </is>
      </c>
      <c r="G500" t="inlineStr">
        <is>
          <t>LUDVIKA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56672-2023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45243</v>
      </c>
      <c r="E501" s="1" t="n">
        <v>46268</v>
      </c>
      <c r="F501" t="inlineStr">
        <is>
          <t>DALARNAS LÄN</t>
        </is>
      </c>
      <c r="G501" t="inlineStr">
        <is>
          <t>LUDVIKA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32305-2024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45512</v>
      </c>
      <c r="E502" s="1" t="n">
        <v>46268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46268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45791</v>
      </c>
      <c r="E504" s="1" t="n">
        <v>46268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61309-2022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44915</v>
      </c>
      <c r="E505" s="1" t="n">
        <v>46268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45485</v>
      </c>
      <c r="E506" s="1" t="n">
        <v>46268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60788-2024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46268</v>
      </c>
      <c r="F507" t="inlineStr">
        <is>
          <t>DALARNAS LÄN</t>
        </is>
      </c>
      <c r="G507" t="inlineStr">
        <is>
          <t>LUDVIKA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51043-2024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45603</v>
      </c>
      <c r="E508" s="1" t="n">
        <v>46268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46268</v>
      </c>
      <c r="F509" t="inlineStr">
        <is>
          <t>DALARNAS LÄN</t>
        </is>
      </c>
      <c r="G509" t="inlineStr">
        <is>
          <t>LUDVIKA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45833</v>
      </c>
      <c r="E510" s="1" t="n">
        <v>46268</v>
      </c>
      <c r="F510" t="inlineStr">
        <is>
          <t>DALARNAS LÄN</t>
        </is>
      </c>
      <c r="G510" t="inlineStr">
        <is>
          <t>LUDVIKA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31818-2025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45834</v>
      </c>
      <c r="E511" s="1" t="n">
        <v>46268</v>
      </c>
      <c r="F511" t="inlineStr">
        <is>
          <t>DALARNAS LÄN</t>
        </is>
      </c>
      <c r="G511" t="inlineStr">
        <is>
          <t>LUDVIKA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45621</v>
      </c>
      <c r="E512" s="1" t="n">
        <v>46268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44942</v>
      </c>
      <c r="E513" s="1" t="n">
        <v>46268</v>
      </c>
      <c r="F513" t="inlineStr">
        <is>
          <t>DALARNAS LÄN</t>
        </is>
      </c>
      <c r="G513" t="inlineStr">
        <is>
          <t>LUDVIKA</t>
        </is>
      </c>
      <c r="I513" t="n">
        <v>13.1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46171</v>
      </c>
      <c r="E514" s="1" t="n">
        <v>46268</v>
      </c>
      <c r="F514" t="inlineStr">
        <is>
          <t>DALARNAS LÄN</t>
        </is>
      </c>
      <c r="G514" t="inlineStr">
        <is>
          <t>LUDVIKA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24768-2026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46171</v>
      </c>
      <c r="E515" s="1" t="n">
        <v>46268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46268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46268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23515-2026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46268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46268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46176</v>
      </c>
      <c r="E520" s="1" t="n">
        <v>46268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8.1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46268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46268</v>
      </c>
      <c r="F522" t="inlineStr">
        <is>
          <t>DALARNAS LÄN</t>
        </is>
      </c>
      <c r="G522" t="inlineStr">
        <is>
          <t>LUDVIKA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46171</v>
      </c>
      <c r="E523" s="1" t="n">
        <v>46268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46268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23917-2026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46167</v>
      </c>
      <c r="E525" s="1" t="n">
        <v>46268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20104-2026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46136</v>
      </c>
      <c r="E526" s="1" t="n">
        <v>46268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20969-2026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46142</v>
      </c>
      <c r="E527" s="1" t="n">
        <v>46268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16.9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49166-2025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46268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46268</v>
      </c>
      <c r="F529" t="inlineStr">
        <is>
          <t>DALARNAS LÄN</t>
        </is>
      </c>
      <c r="G529" t="inlineStr">
        <is>
          <t>LUDVIKA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45754</v>
      </c>
      <c r="E530" s="1" t="n">
        <v>46268</v>
      </c>
      <c r="F530" t="inlineStr">
        <is>
          <t>DALARNAS LÄN</t>
        </is>
      </c>
      <c r="G530" t="inlineStr">
        <is>
          <t>LUDVIKA</t>
        </is>
      </c>
      <c r="H530" t="inlineStr">
        <is>
          <t>Naturvårdsverket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44599</v>
      </c>
      <c r="E531" s="1" t="n">
        <v>46268</v>
      </c>
      <c r="F531" t="inlineStr">
        <is>
          <t>DALARNAS LÄN</t>
        </is>
      </c>
      <c r="G531" t="inlineStr">
        <is>
          <t>LUDVIKA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56818-2023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46268</v>
      </c>
      <c r="F532" t="inlineStr">
        <is>
          <t>DALARNAS LÄN</t>
        </is>
      </c>
      <c r="G532" t="inlineStr">
        <is>
          <t>LUDVIKA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46183</v>
      </c>
      <c r="E533" s="1" t="n">
        <v>46268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44970</v>
      </c>
      <c r="E534" s="1" t="n">
        <v>46268</v>
      </c>
      <c r="F534" t="inlineStr">
        <is>
          <t>DALARNAS LÄN</t>
        </is>
      </c>
      <c r="G534" t="inlineStr">
        <is>
          <t>LUDVIKA</t>
        </is>
      </c>
      <c r="H534" t="inlineStr">
        <is>
          <t>Övriga Aktiebolag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46656-2023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45198</v>
      </c>
      <c r="E535" s="1" t="n">
        <v>46268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46268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46268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46230</v>
      </c>
      <c r="E538" s="1" t="n">
        <v>46268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46268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53620-2022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44879</v>
      </c>
      <c r="E540" s="1" t="n">
        <v>46268</v>
      </c>
      <c r="F540" t="inlineStr">
        <is>
          <t>DALARNAS LÄN</t>
        </is>
      </c>
      <c r="G540" t="inlineStr">
        <is>
          <t>LUDVIKA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45596</v>
      </c>
      <c r="E541" s="1" t="n">
        <v>46268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46233</v>
      </c>
      <c r="E542" s="1" t="n">
        <v>46268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46183</v>
      </c>
      <c r="E543" s="1" t="n">
        <v>46268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45631</v>
      </c>
      <c r="E544" s="1" t="n">
        <v>46268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46191</v>
      </c>
      <c r="E545" s="1" t="n">
        <v>46268</v>
      </c>
      <c r="F545" t="inlineStr">
        <is>
          <t>DALARNAS LÄN</t>
        </is>
      </c>
      <c r="G545" t="inlineStr">
        <is>
          <t>LUDVIKA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46184</v>
      </c>
      <c r="E546" s="1" t="n">
        <v>46268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39761-2022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44819</v>
      </c>
      <c r="E547" s="1" t="n">
        <v>46268</v>
      </c>
      <c r="F547" t="inlineStr">
        <is>
          <t>DALARNAS LÄN</t>
        </is>
      </c>
      <c r="G547" t="inlineStr">
        <is>
          <t>LUDVIKA</t>
        </is>
      </c>
      <c r="H547" t="inlineStr">
        <is>
          <t>Naturvårdsverket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46268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46268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46268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21145-2023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45062</v>
      </c>
      <c r="E551" s="1" t="n">
        <v>46268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15851-2024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45404</v>
      </c>
      <c r="E552" s="1" t="n">
        <v>46268</v>
      </c>
      <c r="F552" t="inlineStr">
        <is>
          <t>DALARNAS LÄN</t>
        </is>
      </c>
      <c r="G552" t="inlineStr">
        <is>
          <t>LUDVIKA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41400-2022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44826</v>
      </c>
      <c r="E553" s="1" t="n">
        <v>46268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32752-2026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46241</v>
      </c>
      <c r="E554" s="1" t="n">
        <v>46268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32755-2026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46241</v>
      </c>
      <c r="E555" s="1" t="n">
        <v>46268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32757-2026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46241</v>
      </c>
      <c r="E556" s="1" t="n">
        <v>46268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46268</v>
      </c>
      <c r="F557" t="inlineStr">
        <is>
          <t>DALARNAS LÄN</t>
        </is>
      </c>
      <c r="G557" t="inlineStr">
        <is>
          <t>LUDVIKA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46268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46268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46268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22817-2026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46268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46241</v>
      </c>
      <c r="E562" s="1" t="n">
        <v>46268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46160</v>
      </c>
      <c r="E563" s="1" t="n">
        <v>46268</v>
      </c>
      <c r="F563" t="inlineStr">
        <is>
          <t>DALARNAS LÄN</t>
        </is>
      </c>
      <c r="G563" t="inlineStr">
        <is>
          <t>LUDVIKA</t>
        </is>
      </c>
      <c r="H563" t="inlineStr">
        <is>
          <t>Naturvårdsverket</t>
        </is>
      </c>
      <c r="I563" t="n">
        <v>9.9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32749-2026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46241</v>
      </c>
      <c r="E564" s="1" t="n">
        <v>46268</v>
      </c>
      <c r="F564" t="inlineStr">
        <is>
          <t>DALARNAS LÄN</t>
        </is>
      </c>
      <c r="G564" t="inlineStr">
        <is>
          <t>LUDVIKA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21034-2026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46268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48774-2024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45593</v>
      </c>
      <c r="E566" s="1" t="n">
        <v>46268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21032-2026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46268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37392-2023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45156</v>
      </c>
      <c r="E568" s="1" t="n">
        <v>46268</v>
      </c>
      <c r="F568" t="inlineStr">
        <is>
          <t>DALARNAS LÄN</t>
        </is>
      </c>
      <c r="G568" t="inlineStr">
        <is>
          <t>LUDVIKA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11436-2024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45372</v>
      </c>
      <c r="E569" s="1" t="n">
        <v>46268</v>
      </c>
      <c r="F569" t="inlineStr">
        <is>
          <t>DALARNAS LÄN</t>
        </is>
      </c>
      <c r="G569" t="inlineStr">
        <is>
          <t>LUDVIKA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40142-2022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44820</v>
      </c>
      <c r="E570" s="1" t="n">
        <v>46268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40151-2022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44820</v>
      </c>
      <c r="E571" s="1" t="n">
        <v>46268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21741-2022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44708</v>
      </c>
      <c r="E572" s="1" t="n">
        <v>46268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46268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24693-2026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46171</v>
      </c>
      <c r="E574" s="1" t="n">
        <v>46268</v>
      </c>
      <c r="F574" t="inlineStr">
        <is>
          <t>DALARNAS LÄN</t>
        </is>
      </c>
      <c r="G574" t="inlineStr">
        <is>
          <t>LUDVIKA</t>
        </is>
      </c>
      <c r="H574" t="inlineStr">
        <is>
          <t>Naturvårdsverket</t>
        </is>
      </c>
      <c r="I574" t="n">
        <v>10.4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46268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46268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51015-2023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45218</v>
      </c>
      <c r="E577" s="1" t="n">
        <v>46268</v>
      </c>
      <c r="F577" t="inlineStr">
        <is>
          <t>DALARNAS LÄN</t>
        </is>
      </c>
      <c r="G577" t="inlineStr">
        <is>
          <t>LUDVIKA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33397-2026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46247</v>
      </c>
      <c r="E578" s="1" t="n">
        <v>46268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46268</v>
      </c>
      <c r="F579" t="inlineStr">
        <is>
          <t>DALARNAS LÄN</t>
        </is>
      </c>
      <c r="G579" t="inlineStr">
        <is>
          <t>LUDVIKA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33689-2026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46248</v>
      </c>
      <c r="E580" s="1" t="n">
        <v>46268</v>
      </c>
      <c r="F580" t="inlineStr">
        <is>
          <t>DALARNAS LÄN</t>
        </is>
      </c>
      <c r="G580" t="inlineStr">
        <is>
          <t>LUDVIKA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29791-2026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46268</v>
      </c>
      <c r="F581" t="inlineStr">
        <is>
          <t>DALARNAS LÄN</t>
        </is>
      </c>
      <c r="G581" t="inlineStr">
        <is>
          <t>LUDVIKA</t>
        </is>
      </c>
      <c r="H581" t="inlineStr">
        <is>
          <t>Naturvårdsverket</t>
        </is>
      </c>
      <c r="I581" t="n">
        <v>8.300000000000001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46268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30106-2026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46268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27608-2026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46190</v>
      </c>
      <c r="E584" s="1" t="n">
        <v>46268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30210-2026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46268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45243</v>
      </c>
      <c r="E586" s="1" t="n">
        <v>46268</v>
      </c>
      <c r="F586" t="inlineStr">
        <is>
          <t>DALARNAS LÄN</t>
        </is>
      </c>
      <c r="G586" t="inlineStr">
        <is>
          <t>LUDVIKA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41616-2024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46268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45519</v>
      </c>
      <c r="E588" s="1" t="n">
        <v>46268</v>
      </c>
      <c r="F588" t="inlineStr">
        <is>
          <t>DALARNAS LÄN</t>
        </is>
      </c>
      <c r="G588" t="inlineStr">
        <is>
          <t>LUDVIKA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22555-2023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45071</v>
      </c>
      <c r="E589" s="1" t="n">
        <v>46268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46268</v>
      </c>
      <c r="F590" t="inlineStr">
        <is>
          <t>DALARNAS LÄN</t>
        </is>
      </c>
      <c r="G590" t="inlineStr">
        <is>
          <t>LUDVIKA</t>
        </is>
      </c>
      <c r="H590" t="inlineStr">
        <is>
          <t>Kommuner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3280-2024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45317</v>
      </c>
      <c r="E591" s="1" t="n">
        <v>46268</v>
      </c>
      <c r="F591" t="inlineStr">
        <is>
          <t>DALARNAS LÄN</t>
        </is>
      </c>
      <c r="G591" t="inlineStr">
        <is>
          <t>LUDVIKA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3470-2025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45680</v>
      </c>
      <c r="E592" s="1" t="n">
        <v>46268</v>
      </c>
      <c r="F592" t="inlineStr">
        <is>
          <t>DALARNAS LÄN</t>
        </is>
      </c>
      <c r="G592" t="inlineStr">
        <is>
          <t>LUDVIKA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28062-2026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46195</v>
      </c>
      <c r="E593" s="1" t="n">
        <v>46268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46268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46268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48288-2023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45205</v>
      </c>
      <c r="E596" s="1" t="n">
        <v>46268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2838-2022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44581</v>
      </c>
      <c r="E597" s="1" t="n">
        <v>46268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51029-2024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45603</v>
      </c>
      <c r="E598" s="1" t="n">
        <v>46268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34558-2026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46268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46255</v>
      </c>
      <c r="E600" s="1" t="n">
        <v>46268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40125-2024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45554</v>
      </c>
      <c r="E601" s="1" t="n">
        <v>46268</v>
      </c>
      <c r="F601" t="inlineStr">
        <is>
          <t>DALARNAS LÄN</t>
        </is>
      </c>
      <c r="G601" t="inlineStr">
        <is>
          <t>LUDVIKA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45253</v>
      </c>
      <c r="E602" s="1" t="n">
        <v>46268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46268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45187</v>
      </c>
      <c r="E604" s="1" t="n">
        <v>46268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45110</v>
      </c>
      <c r="E605" s="1" t="n">
        <v>46268</v>
      </c>
      <c r="F605" t="inlineStr">
        <is>
          <t>DALARNAS LÄN</t>
        </is>
      </c>
      <c r="G605" t="inlineStr">
        <is>
          <t>LUDVIKA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20973-2026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46142</v>
      </c>
      <c r="E606" s="1" t="n">
        <v>46268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34631-2026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46268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25273-2022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44729</v>
      </c>
      <c r="E608" s="1" t="n">
        <v>46268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46268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46268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44960</v>
      </c>
      <c r="E611" s="1" t="n">
        <v>46268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34632-2026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46255</v>
      </c>
      <c r="E612" s="1" t="n">
        <v>46268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22276-2026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46268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45685</v>
      </c>
      <c r="E614" s="1" t="n">
        <v>46268</v>
      </c>
      <c r="F614" t="inlineStr">
        <is>
          <t>DALARNAS LÄN</t>
        </is>
      </c>
      <c r="G614" t="inlineStr">
        <is>
          <t>LUDVIKA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6975-2023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44967</v>
      </c>
      <c r="E615" s="1" t="n">
        <v>46268</v>
      </c>
      <c r="F615" t="inlineStr">
        <is>
          <t>DALARNAS LÄN</t>
        </is>
      </c>
      <c r="G615" t="inlineStr">
        <is>
          <t>LUDVIKA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46258</v>
      </c>
      <c r="E616" s="1" t="n">
        <v>46268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46258</v>
      </c>
      <c r="E617" s="1" t="n">
        <v>46268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35103-2026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46268</v>
      </c>
      <c r="F618" t="inlineStr">
        <is>
          <t>DALARNAS LÄN</t>
        </is>
      </c>
      <c r="G618" t="inlineStr">
        <is>
          <t>LUDVIKA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46268</v>
      </c>
      <c r="F619" t="inlineStr">
        <is>
          <t>DALARNAS LÄN</t>
        </is>
      </c>
      <c r="G619" t="inlineStr">
        <is>
          <t>LUDVIKA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35099-2026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46268</v>
      </c>
      <c r="F620" t="inlineStr">
        <is>
          <t>DALARNAS LÄN</t>
        </is>
      </c>
      <c r="G620" t="inlineStr">
        <is>
          <t>LUDVIKA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35100-2026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46260</v>
      </c>
      <c r="E621" s="1" t="n">
        <v>46268</v>
      </c>
      <c r="F621" t="inlineStr">
        <is>
          <t>DALARNAS LÄN</t>
        </is>
      </c>
      <c r="G621" t="inlineStr">
        <is>
          <t>LUDVIKA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46268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28132-2026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46195</v>
      </c>
      <c r="E623" s="1" t="n">
        <v>46268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28162-2026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46268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28116-2026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46268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28158-2026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46268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46268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28045-2026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46268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46268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46268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46268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28792-2026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46268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46268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46218</v>
      </c>
      <c r="E634" s="1" t="n">
        <v>46268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31227-2026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46217</v>
      </c>
      <c r="E635" s="1" t="n">
        <v>46268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60138-2023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45258</v>
      </c>
      <c r="E636" s="1" t="n">
        <v>46268</v>
      </c>
      <c r="F636" t="inlineStr">
        <is>
          <t>DALARNAS LÄN</t>
        </is>
      </c>
      <c r="G636" t="inlineStr">
        <is>
          <t>LUDVIKA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46198</v>
      </c>
      <c r="E637" s="1" t="n">
        <v>46268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35179-2026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46260</v>
      </c>
      <c r="E638" s="1" t="n">
        <v>46268</v>
      </c>
      <c r="F638" t="inlineStr">
        <is>
          <t>DALARNAS LÄN</t>
        </is>
      </c>
      <c r="G638" t="inlineStr">
        <is>
          <t>LUDVIKA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46260</v>
      </c>
      <c r="E639" s="1" t="n">
        <v>46268</v>
      </c>
      <c r="F639" t="inlineStr">
        <is>
          <t>DALARNAS LÄN</t>
        </is>
      </c>
      <c r="G639" t="inlineStr">
        <is>
          <t>LUDVIKA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35105-2026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46268</v>
      </c>
      <c r="F640" t="inlineStr">
        <is>
          <t>DALARNAS LÄN</t>
        </is>
      </c>
      <c r="G640" t="inlineStr">
        <is>
          <t>LUDVIKA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46268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46230</v>
      </c>
      <c r="E642" s="1" t="n">
        <v>46268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35837-2026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46265</v>
      </c>
      <c r="E643" s="1" t="n">
        <v>46268</v>
      </c>
      <c r="F643" t="inlineStr">
        <is>
          <t>DALARNAS LÄN</t>
        </is>
      </c>
      <c r="G643" t="inlineStr">
        <is>
          <t>LUDVIKA</t>
        </is>
      </c>
      <c r="H643" t="inlineStr">
        <is>
          <t>Kyrkan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35490-2026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46262</v>
      </c>
      <c r="E644" s="1" t="n">
        <v>46268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19.9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46265</v>
      </c>
      <c r="E645" s="1" t="n">
        <v>46268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37586-2024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45541</v>
      </c>
      <c r="E646" s="1" t="n">
        <v>46268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55551-2024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45622</v>
      </c>
      <c r="E647" s="1" t="n">
        <v>46268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46265</v>
      </c>
      <c r="E648" s="1" t="n">
        <v>46268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31393-2026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46220</v>
      </c>
      <c r="E649" s="1" t="n">
        <v>46268</v>
      </c>
      <c r="F649" t="inlineStr">
        <is>
          <t>DALARNAS LÄN</t>
        </is>
      </c>
      <c r="G649" t="inlineStr">
        <is>
          <t>LUDVIKA</t>
        </is>
      </c>
      <c r="H649" t="inlineStr">
        <is>
          <t>Naturvårdsverket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30844-2024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45497</v>
      </c>
      <c r="E650" s="1" t="n">
        <v>46268</v>
      </c>
      <c r="F650" t="inlineStr">
        <is>
          <t>DALARNAS LÄN</t>
        </is>
      </c>
      <c r="G650" t="inlineStr">
        <is>
          <t>LUDVIKA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20411-2023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45056</v>
      </c>
      <c r="E651" s="1" t="n">
        <v>46268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59347-2024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45638</v>
      </c>
      <c r="E652" s="1" t="n">
        <v>46268</v>
      </c>
      <c r="F652" t="inlineStr">
        <is>
          <t>DALARNAS LÄN</t>
        </is>
      </c>
      <c r="G652" t="inlineStr">
        <is>
          <t>LUDVIKA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46225</v>
      </c>
      <c r="E653" s="1" t="n">
        <v>46268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50777-2024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45602</v>
      </c>
      <c r="E654" s="1" t="n">
        <v>46268</v>
      </c>
      <c r="F654" t="inlineStr">
        <is>
          <t>DALARNAS LÄN</t>
        </is>
      </c>
      <c r="G654" t="inlineStr">
        <is>
          <t>LUDVIKA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36065-2026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46267</v>
      </c>
      <c r="E655" s="1" t="n">
        <v>46268</v>
      </c>
      <c r="F655" t="inlineStr">
        <is>
          <t>DALARNAS LÄN</t>
        </is>
      </c>
      <c r="G655" t="inlineStr">
        <is>
          <t>LUDVIKA</t>
        </is>
      </c>
      <c r="I655" t="n">
        <v>8.5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41668-2023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46268</v>
      </c>
      <c r="F656" t="inlineStr">
        <is>
          <t>DALARNAS LÄN</t>
        </is>
      </c>
      <c r="G656" t="inlineStr">
        <is>
          <t>LUDVIKA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46267</v>
      </c>
      <c r="E657" s="1" t="n">
        <v>46268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55462-2024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45622</v>
      </c>
      <c r="E658" s="1" t="n">
        <v>46268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55474-2024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45622</v>
      </c>
      <c r="E659" s="1" t="n">
        <v>46268</v>
      </c>
      <c r="F659" t="inlineStr">
        <is>
          <t>DALARNAS LÄN</t>
        </is>
      </c>
      <c r="G659" t="inlineStr">
        <is>
          <t>LUDVIKA</t>
        </is>
      </c>
      <c r="H659" t="inlineStr">
        <is>
          <t>Naturvårdsverket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55510-2024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45622</v>
      </c>
      <c r="E660" s="1" t="n">
        <v>46268</v>
      </c>
      <c r="F660" t="inlineStr">
        <is>
          <t>DALARNAS LÄN</t>
        </is>
      </c>
      <c r="G660" t="inlineStr">
        <is>
          <t>LUDVIKA</t>
        </is>
      </c>
      <c r="H660" t="inlineStr">
        <is>
          <t>Naturvårdsverket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45687</v>
      </c>
      <c r="E661" s="1" t="n">
        <v>46268</v>
      </c>
      <c r="F661" t="inlineStr">
        <is>
          <t>DALARNAS LÄN</t>
        </is>
      </c>
      <c r="G661" t="inlineStr">
        <is>
          <t>LUDVIKA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18421-2025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45762</v>
      </c>
      <c r="E662" s="1" t="n">
        <v>46268</v>
      </c>
      <c r="F662" t="inlineStr">
        <is>
          <t>DALARNAS LÄN</t>
        </is>
      </c>
      <c r="G662" t="inlineStr">
        <is>
          <t>LUDVIKA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50714-2024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45602</v>
      </c>
      <c r="E663" s="1" t="n">
        <v>46268</v>
      </c>
      <c r="F663" t="inlineStr">
        <is>
          <t>DALARNAS LÄN</t>
        </is>
      </c>
      <c r="G663" t="inlineStr">
        <is>
          <t>LUDVIKA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38359-2024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45545</v>
      </c>
      <c r="E664" s="1" t="n">
        <v>46268</v>
      </c>
      <c r="F664" t="inlineStr">
        <is>
          <t>DALARNAS LÄN</t>
        </is>
      </c>
      <c r="G664" t="inlineStr">
        <is>
          <t>LUDVIKA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21893-2025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46268</v>
      </c>
      <c r="F665" t="inlineStr">
        <is>
          <t>DALARNAS LÄN</t>
        </is>
      </c>
      <c r="G665" t="inlineStr">
        <is>
          <t>LUDVIKA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42421-2024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45565</v>
      </c>
      <c r="E666" s="1" t="n">
        <v>46268</v>
      </c>
      <c r="F666" t="inlineStr">
        <is>
          <t>DALARNAS LÄN</t>
        </is>
      </c>
      <c r="G666" t="inlineStr">
        <is>
          <t>LUDVIKA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53602-2023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45230</v>
      </c>
      <c r="E667" s="1" t="n">
        <v>46268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52359-2024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45609</v>
      </c>
      <c r="E668" s="1" t="n">
        <v>46268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21891-2025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46268</v>
      </c>
      <c r="F669" t="inlineStr">
        <is>
          <t>DALARNAS LÄN</t>
        </is>
      </c>
      <c r="G669" t="inlineStr">
        <is>
          <t>LUDVIKA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33914-2023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45134</v>
      </c>
      <c r="E670" s="1" t="n">
        <v>46268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46095-2024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45581</v>
      </c>
      <c r="E671" s="1" t="n">
        <v>46268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41539-2024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45560</v>
      </c>
      <c r="E672" s="1" t="n">
        <v>46268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22594-2025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45789</v>
      </c>
      <c r="E673" s="1" t="n">
        <v>46268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22606-2025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45789</v>
      </c>
      <c r="E674" s="1" t="n">
        <v>46268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22610-2025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45789</v>
      </c>
      <c r="E675" s="1" t="n">
        <v>46268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46093-2024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45581</v>
      </c>
      <c r="E676" s="1" t="n">
        <v>46268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46107-2024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45581</v>
      </c>
      <c r="E677" s="1" t="n">
        <v>46268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50240-2024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45600</v>
      </c>
      <c r="E678" s="1" t="n">
        <v>46268</v>
      </c>
      <c r="F678" t="inlineStr">
        <is>
          <t>DALARNAS LÄN</t>
        </is>
      </c>
      <c r="G678" t="inlineStr">
        <is>
          <t>LUDVIKA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43702-2024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45569</v>
      </c>
      <c r="E679" s="1" t="n">
        <v>46268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24712-2024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45460</v>
      </c>
      <c r="E680" s="1" t="n">
        <v>46268</v>
      </c>
      <c r="F680" t="inlineStr">
        <is>
          <t>DALARNAS LÄN</t>
        </is>
      </c>
      <c r="G680" t="inlineStr">
        <is>
          <t>LUDVIKA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45789</v>
      </c>
      <c r="E681" s="1" t="n">
        <v>46268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23088-2025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45791</v>
      </c>
      <c r="E682" s="1" t="n">
        <v>46268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45791</v>
      </c>
      <c r="E683" s="1" t="n">
        <v>46268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34280-2024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45524</v>
      </c>
      <c r="E684" s="1" t="n">
        <v>46268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36066-2024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45533</v>
      </c>
      <c r="E685" s="1" t="n">
        <v>46268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47233-2024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45586</v>
      </c>
      <c r="E686" s="1" t="n">
        <v>46268</v>
      </c>
      <c r="F686" t="inlineStr">
        <is>
          <t>DALARNAS LÄN</t>
        </is>
      </c>
      <c r="G686" t="inlineStr">
        <is>
          <t>LUDVIKA</t>
        </is>
      </c>
      <c r="I686" t="n">
        <v>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22686-2025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45786</v>
      </c>
      <c r="E687" s="1" t="n">
        <v>46268</v>
      </c>
      <c r="F687" t="inlineStr">
        <is>
          <t>DALARNAS LÄN</t>
        </is>
      </c>
      <c r="G687" t="inlineStr">
        <is>
          <t>LUDVIKA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61278-2022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44915</v>
      </c>
      <c r="E688" s="1" t="n">
        <v>46268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19677-2025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45770</v>
      </c>
      <c r="E689" s="1" t="n">
        <v>46268</v>
      </c>
      <c r="F689" t="inlineStr">
        <is>
          <t>DALARNAS LÄN</t>
        </is>
      </c>
      <c r="G689" t="inlineStr">
        <is>
          <t>LUDVIKA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23137-2025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45791</v>
      </c>
      <c r="E690" s="1" t="n">
        <v>46268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23443-2024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45453</v>
      </c>
      <c r="E691" s="1" t="n">
        <v>46268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37549-2024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45541</v>
      </c>
      <c r="E692" s="1" t="n">
        <v>46268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20642-2025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45776</v>
      </c>
      <c r="E693" s="1" t="n">
        <v>46268</v>
      </c>
      <c r="F693" t="inlineStr">
        <is>
          <t>DALARNAS LÄN</t>
        </is>
      </c>
      <c r="G693" t="inlineStr">
        <is>
          <t>LUDVIKA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24027-2025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45796</v>
      </c>
      <c r="E694" s="1" t="n">
        <v>46268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23117-2025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45791</v>
      </c>
      <c r="E695" s="1" t="n">
        <v>46268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23139-2025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45791</v>
      </c>
      <c r="E696" s="1" t="n">
        <v>46268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30977-2024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45499</v>
      </c>
      <c r="E697" s="1" t="n">
        <v>46268</v>
      </c>
      <c r="F697" t="inlineStr">
        <is>
          <t>DALARNAS LÄN</t>
        </is>
      </c>
      <c r="G697" t="inlineStr">
        <is>
          <t>LUDVIKA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2837-2023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45167</v>
      </c>
      <c r="E698" s="1" t="n">
        <v>46268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1122-2023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45015</v>
      </c>
      <c r="E699" s="1" t="n">
        <v>46268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115.7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3660-2023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45216</v>
      </c>
      <c r="E700" s="1" t="n">
        <v>46268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1246-2024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45400</v>
      </c>
      <c r="E701" s="1" t="n">
        <v>46268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35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1096-2024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45391</v>
      </c>
      <c r="E702" s="1" t="n">
        <v>46268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26.7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4863-2022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44805</v>
      </c>
      <c r="E703" s="1" t="n">
        <v>46268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1113-2023</t>
        </is>
      </c>
      <c r="B704" t="inlineStr">
        <is>
          <t>samrådsanmälan</t>
        </is>
      </c>
      <c r="C704" t="inlineStr">
        <is>
          <t>Skogsgödsling</t>
        </is>
      </c>
      <c r="D704" s="1" t="n">
        <v>45015</v>
      </c>
      <c r="E704" s="1" t="n">
        <v>46268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37.9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>
      <c r="A705" t="inlineStr">
        <is>
          <t>S 1815-2026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46190</v>
      </c>
      <c r="E705" s="1" t="n">
        <v>46268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2026-09-03T02:08:14Z</dcterms:created>
  <dcterms:modified xmlns:dcterms="http://purl.org/dc/terms/" xmlns:xsi="http://www.w3.org/2001/XMLSchema-instance" xsi:type="dcterms:W3CDTF">2026-09-03T02:08:15Z</dcterms:modified>
</cp:coreProperties>
</file>
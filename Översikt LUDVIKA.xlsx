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45690</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45690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45690</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45690</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45690</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45690</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45690</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45690</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45690</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45690</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45690</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45690</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45690</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45690</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45690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45690</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45690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45690</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45690</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45690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45690</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45690</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45690</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45690</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45690</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45690</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45690</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45690</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45690</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45690</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45690</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12093-2023</t>
        </is>
      </c>
      <c r="B33" s="1" t="n">
        <v>44998</v>
      </c>
      <c r="C33" s="1" t="n">
        <v>45690</v>
      </c>
      <c r="D33" t="inlineStr">
        <is>
          <t>DALARNAS LÄN</t>
        </is>
      </c>
      <c r="E33" t="inlineStr">
        <is>
          <t>LUDVIKA</t>
        </is>
      </c>
      <c r="G33" t="n">
        <v>3.2</v>
      </c>
      <c r="H33" t="n">
        <v>0</v>
      </c>
      <c r="I33" t="n">
        <v>0</v>
      </c>
      <c r="J33" t="n">
        <v>1</v>
      </c>
      <c r="K33" t="n">
        <v>1</v>
      </c>
      <c r="L33" t="n">
        <v>0</v>
      </c>
      <c r="M33" t="n">
        <v>0</v>
      </c>
      <c r="N33" t="n">
        <v>0</v>
      </c>
      <c r="O33" t="n">
        <v>2</v>
      </c>
      <c r="P33" t="n">
        <v>1</v>
      </c>
      <c r="Q33" t="n">
        <v>2</v>
      </c>
      <c r="R33" s="2" t="inlineStr">
        <is>
          <t>Bitter taggsvamp
Solfjäderlav</t>
        </is>
      </c>
      <c r="S33">
        <f>HYPERLINK("https://klasma.github.io/Logging_2085/artfynd/A 12093-2023 artfynd.xlsx", "A 12093-2023")</f>
        <v/>
      </c>
      <c r="T33">
        <f>HYPERLINK("https://klasma.github.io/Logging_2085/kartor/A 12093-2023 karta.png", "A 12093-2023")</f>
        <v/>
      </c>
      <c r="V33">
        <f>HYPERLINK("https://klasma.github.io/Logging_2085/klagomål/A 12093-2023 FSC-klagomål.docx", "A 12093-2023")</f>
        <v/>
      </c>
      <c r="W33">
        <f>HYPERLINK("https://klasma.github.io/Logging_2085/klagomålsmail/A 12093-2023 FSC-klagomål mail.docx", "A 12093-2023")</f>
        <v/>
      </c>
      <c r="X33">
        <f>HYPERLINK("https://klasma.github.io/Logging_2085/tillsyn/A 12093-2023 tillsynsbegäran.docx", "A 12093-2023")</f>
        <v/>
      </c>
      <c r="Y33">
        <f>HYPERLINK("https://klasma.github.io/Logging_2085/tillsynsmail/A 12093-2023 tillsynsbegäran mail.docx", "A 12093-2023")</f>
        <v/>
      </c>
    </row>
    <row r="34" ht="15" customHeight="1">
      <c r="A34" t="inlineStr">
        <is>
          <t>A 19338-2023</t>
        </is>
      </c>
      <c r="B34" s="1" t="n">
        <v>45049</v>
      </c>
      <c r="C34" s="1" t="n">
        <v>45690</v>
      </c>
      <c r="D34" t="inlineStr">
        <is>
          <t>DALARNAS LÄN</t>
        </is>
      </c>
      <c r="E34" t="inlineStr">
        <is>
          <t>LUDVIKA</t>
        </is>
      </c>
      <c r="G34" t="n">
        <v>13.7</v>
      </c>
      <c r="H34" t="n">
        <v>0</v>
      </c>
      <c r="I34" t="n">
        <v>1</v>
      </c>
      <c r="J34" t="n">
        <v>1</v>
      </c>
      <c r="K34" t="n">
        <v>0</v>
      </c>
      <c r="L34" t="n">
        <v>0</v>
      </c>
      <c r="M34" t="n">
        <v>0</v>
      </c>
      <c r="N34" t="n">
        <v>0</v>
      </c>
      <c r="O34" t="n">
        <v>1</v>
      </c>
      <c r="P34" t="n">
        <v>0</v>
      </c>
      <c r="Q34" t="n">
        <v>2</v>
      </c>
      <c r="R34" s="2" t="inlineStr">
        <is>
          <t>Motaggsvamp
Dropptaggsvamp</t>
        </is>
      </c>
      <c r="S34">
        <f>HYPERLINK("https://klasma.github.io/Logging_2085/artfynd/A 19338-2023 artfynd.xlsx", "A 19338-2023")</f>
        <v/>
      </c>
      <c r="T34">
        <f>HYPERLINK("https://klasma.github.io/Logging_2085/kartor/A 19338-2023 karta.png", "A 19338-2023")</f>
        <v/>
      </c>
      <c r="V34">
        <f>HYPERLINK("https://klasma.github.io/Logging_2085/klagomål/A 19338-2023 FSC-klagomål.docx", "A 19338-2023")</f>
        <v/>
      </c>
      <c r="W34">
        <f>HYPERLINK("https://klasma.github.io/Logging_2085/klagomålsmail/A 19338-2023 FSC-klagomål mail.docx", "A 19338-2023")</f>
        <v/>
      </c>
      <c r="X34">
        <f>HYPERLINK("https://klasma.github.io/Logging_2085/tillsyn/A 19338-2023 tillsynsbegäran.docx", "A 19338-2023")</f>
        <v/>
      </c>
      <c r="Y34">
        <f>HYPERLINK("https://klasma.github.io/Logging_2085/tillsynsmail/A 19338-2023 tillsynsbegäran mail.docx", "A 19338-2023")</f>
        <v/>
      </c>
    </row>
    <row r="35" ht="15" customHeight="1">
      <c r="A35" t="inlineStr">
        <is>
          <t>A 21074-2023</t>
        </is>
      </c>
      <c r="B35" s="1" t="n">
        <v>45061</v>
      </c>
      <c r="C35" s="1" t="n">
        <v>45690</v>
      </c>
      <c r="D35" t="inlineStr">
        <is>
          <t>DALARNAS LÄN</t>
        </is>
      </c>
      <c r="E35" t="inlineStr">
        <is>
          <t>LUDVIKA</t>
        </is>
      </c>
      <c r="F35" t="inlineStr">
        <is>
          <t>Bergvik skog väst AB</t>
        </is>
      </c>
      <c r="G35" t="n">
        <v>12</v>
      </c>
      <c r="H35" t="n">
        <v>0</v>
      </c>
      <c r="I35" t="n">
        <v>2</v>
      </c>
      <c r="J35" t="n">
        <v>0</v>
      </c>
      <c r="K35" t="n">
        <v>0</v>
      </c>
      <c r="L35" t="n">
        <v>0</v>
      </c>
      <c r="M35" t="n">
        <v>0</v>
      </c>
      <c r="N35" t="n">
        <v>0</v>
      </c>
      <c r="O35" t="n">
        <v>0</v>
      </c>
      <c r="P35" t="n">
        <v>0</v>
      </c>
      <c r="Q35" t="n">
        <v>2</v>
      </c>
      <c r="R35" s="2" t="inlineStr">
        <is>
          <t>Bårdlav
Korallblylav</t>
        </is>
      </c>
      <c r="S35">
        <f>HYPERLINK("https://klasma.github.io/Logging_2085/artfynd/A 21074-2023 artfynd.xlsx", "A 21074-2023")</f>
        <v/>
      </c>
      <c r="T35">
        <f>HYPERLINK("https://klasma.github.io/Logging_2085/kartor/A 21074-2023 karta.png", "A 21074-2023")</f>
        <v/>
      </c>
      <c r="V35">
        <f>HYPERLINK("https://klasma.github.io/Logging_2085/klagomål/A 21074-2023 FSC-klagomål.docx", "A 21074-2023")</f>
        <v/>
      </c>
      <c r="W35">
        <f>HYPERLINK("https://klasma.github.io/Logging_2085/klagomålsmail/A 21074-2023 FSC-klagomål mail.docx", "A 21074-2023")</f>
        <v/>
      </c>
      <c r="X35">
        <f>HYPERLINK("https://klasma.github.io/Logging_2085/tillsyn/A 21074-2023 tillsynsbegäran.docx", "A 21074-2023")</f>
        <v/>
      </c>
      <c r="Y35">
        <f>HYPERLINK("https://klasma.github.io/Logging_2085/tillsynsmail/A 21074-2023 tillsynsbegäran mail.docx", "A 21074-2023")</f>
        <v/>
      </c>
    </row>
    <row r="36" ht="15" customHeight="1">
      <c r="A36" t="inlineStr">
        <is>
          <t>A 49390-2023</t>
        </is>
      </c>
      <c r="B36" s="1" t="n">
        <v>45211</v>
      </c>
      <c r="C36" s="1" t="n">
        <v>45690</v>
      </c>
      <c r="D36" t="inlineStr">
        <is>
          <t>DALARNAS LÄN</t>
        </is>
      </c>
      <c r="E36" t="inlineStr">
        <is>
          <t>LUDVIKA</t>
        </is>
      </c>
      <c r="F36" t="inlineStr">
        <is>
          <t>Bergvik skog väst AB</t>
        </is>
      </c>
      <c r="G36" t="n">
        <v>12.7</v>
      </c>
      <c r="H36" t="n">
        <v>0</v>
      </c>
      <c r="I36" t="n">
        <v>2</v>
      </c>
      <c r="J36" t="n">
        <v>0</v>
      </c>
      <c r="K36" t="n">
        <v>0</v>
      </c>
      <c r="L36" t="n">
        <v>0</v>
      </c>
      <c r="M36" t="n">
        <v>0</v>
      </c>
      <c r="N36" t="n">
        <v>0</v>
      </c>
      <c r="O36" t="n">
        <v>0</v>
      </c>
      <c r="P36" t="n">
        <v>0</v>
      </c>
      <c r="Q36" t="n">
        <v>2</v>
      </c>
      <c r="R36" s="2" t="inlineStr">
        <is>
          <t>Sotriska
Svart trolldruva</t>
        </is>
      </c>
      <c r="S36">
        <f>HYPERLINK("https://klasma.github.io/Logging_2085/artfynd/A 49390-2023 artfynd.xlsx", "A 49390-2023")</f>
        <v/>
      </c>
      <c r="T36">
        <f>HYPERLINK("https://klasma.github.io/Logging_2085/kartor/A 49390-2023 karta.png", "A 49390-2023")</f>
        <v/>
      </c>
      <c r="V36">
        <f>HYPERLINK("https://klasma.github.io/Logging_2085/klagomål/A 49390-2023 FSC-klagomål.docx", "A 49390-2023")</f>
        <v/>
      </c>
      <c r="W36">
        <f>HYPERLINK("https://klasma.github.io/Logging_2085/klagomålsmail/A 49390-2023 FSC-klagomål mail.docx", "A 49390-2023")</f>
        <v/>
      </c>
      <c r="X36">
        <f>HYPERLINK("https://klasma.github.io/Logging_2085/tillsyn/A 49390-2023 tillsynsbegäran.docx", "A 49390-2023")</f>
        <v/>
      </c>
      <c r="Y36">
        <f>HYPERLINK("https://klasma.github.io/Logging_2085/tillsynsmail/A 49390-2023 tillsynsbegäran mail.docx", "A 49390-2023")</f>
        <v/>
      </c>
    </row>
    <row r="37" ht="15" customHeight="1">
      <c r="A37" t="inlineStr">
        <is>
          <t>A 25448-2024</t>
        </is>
      </c>
      <c r="B37" s="1" t="n">
        <v>45463</v>
      </c>
      <c r="C37" s="1" t="n">
        <v>45690</v>
      </c>
      <c r="D37" t="inlineStr">
        <is>
          <t>DALARNAS LÄN</t>
        </is>
      </c>
      <c r="E37" t="inlineStr">
        <is>
          <t>LUDVIKA</t>
        </is>
      </c>
      <c r="F37" t="inlineStr">
        <is>
          <t>Bergvik skog väst AB</t>
        </is>
      </c>
      <c r="G37" t="n">
        <v>24.7</v>
      </c>
      <c r="H37" t="n">
        <v>2</v>
      </c>
      <c r="I37" t="n">
        <v>0</v>
      </c>
      <c r="J37" t="n">
        <v>1</v>
      </c>
      <c r="K37" t="n">
        <v>0</v>
      </c>
      <c r="L37" t="n">
        <v>0</v>
      </c>
      <c r="M37" t="n">
        <v>0</v>
      </c>
      <c r="N37" t="n">
        <v>0</v>
      </c>
      <c r="O37" t="n">
        <v>1</v>
      </c>
      <c r="P37" t="n">
        <v>0</v>
      </c>
      <c r="Q37" t="n">
        <v>2</v>
      </c>
      <c r="R37" s="2" t="inlineStr">
        <is>
          <t>Spillkråka
Blåsippa</t>
        </is>
      </c>
      <c r="S37">
        <f>HYPERLINK("https://klasma.github.io/Logging_2085/artfynd/A 25448-2024 artfynd.xlsx", "A 25448-2024")</f>
        <v/>
      </c>
      <c r="T37">
        <f>HYPERLINK("https://klasma.github.io/Logging_2085/kartor/A 25448-2024 karta.png", "A 25448-2024")</f>
        <v/>
      </c>
      <c r="V37">
        <f>HYPERLINK("https://klasma.github.io/Logging_2085/klagomål/A 25448-2024 FSC-klagomål.docx", "A 25448-2024")</f>
        <v/>
      </c>
      <c r="W37">
        <f>HYPERLINK("https://klasma.github.io/Logging_2085/klagomålsmail/A 25448-2024 FSC-klagomål mail.docx", "A 25448-2024")</f>
        <v/>
      </c>
      <c r="X37">
        <f>HYPERLINK("https://klasma.github.io/Logging_2085/tillsyn/A 25448-2024 tillsynsbegäran.docx", "A 25448-2024")</f>
        <v/>
      </c>
      <c r="Y37">
        <f>HYPERLINK("https://klasma.github.io/Logging_2085/tillsynsmail/A 25448-2024 tillsynsbegäran mail.docx", "A 25448-2024")</f>
        <v/>
      </c>
      <c r="Z37">
        <f>HYPERLINK("https://klasma.github.io/Logging_2085/fåglar/A 25448-2024 prioriterade fågelarter.docx", "A 25448-2024")</f>
        <v/>
      </c>
    </row>
    <row r="38" ht="15" customHeight="1">
      <c r="A38" t="inlineStr">
        <is>
          <t>A 29758-2024</t>
        </is>
      </c>
      <c r="B38" s="1" t="n">
        <v>45485</v>
      </c>
      <c r="C38" s="1" t="n">
        <v>45690</v>
      </c>
      <c r="D38" t="inlineStr">
        <is>
          <t>DALARNAS LÄN</t>
        </is>
      </c>
      <c r="E38" t="inlineStr">
        <is>
          <t>LUDVIKA</t>
        </is>
      </c>
      <c r="F38" t="inlineStr">
        <is>
          <t>Övriga Aktiebolag</t>
        </is>
      </c>
      <c r="G38" t="n">
        <v>8.699999999999999</v>
      </c>
      <c r="H38" t="n">
        <v>1</v>
      </c>
      <c r="I38" t="n">
        <v>1</v>
      </c>
      <c r="J38" t="n">
        <v>0</v>
      </c>
      <c r="K38" t="n">
        <v>1</v>
      </c>
      <c r="L38" t="n">
        <v>0</v>
      </c>
      <c r="M38" t="n">
        <v>0</v>
      </c>
      <c r="N38" t="n">
        <v>0</v>
      </c>
      <c r="O38" t="n">
        <v>1</v>
      </c>
      <c r="P38" t="n">
        <v>1</v>
      </c>
      <c r="Q38" t="n">
        <v>2</v>
      </c>
      <c r="R38" s="2" t="inlineStr">
        <is>
          <t>Knärot
Dropptaggsvamp</t>
        </is>
      </c>
      <c r="S38">
        <f>HYPERLINK("https://klasma.github.io/Logging_2085/artfynd/A 29758-2024 artfynd.xlsx", "A 29758-2024")</f>
        <v/>
      </c>
      <c r="T38">
        <f>HYPERLINK("https://klasma.github.io/Logging_2085/kartor/A 29758-2024 karta.png", "A 29758-2024")</f>
        <v/>
      </c>
      <c r="U38">
        <f>HYPERLINK("https://klasma.github.io/Logging_2085/knärot/A 29758-2024 karta knärot.png", "A 29758-2024")</f>
        <v/>
      </c>
      <c r="V38">
        <f>HYPERLINK("https://klasma.github.io/Logging_2085/klagomål/A 29758-2024 FSC-klagomål.docx", "A 29758-2024")</f>
        <v/>
      </c>
      <c r="W38">
        <f>HYPERLINK("https://klasma.github.io/Logging_2085/klagomålsmail/A 29758-2024 FSC-klagomål mail.docx", "A 29758-2024")</f>
        <v/>
      </c>
      <c r="X38">
        <f>HYPERLINK("https://klasma.github.io/Logging_2085/tillsyn/A 29758-2024 tillsynsbegäran.docx", "A 29758-2024")</f>
        <v/>
      </c>
      <c r="Y38">
        <f>HYPERLINK("https://klasma.github.io/Logging_2085/tillsynsmail/A 29758-2024 tillsynsbegäran mail.docx", "A 29758-2024")</f>
        <v/>
      </c>
    </row>
    <row r="39" ht="15" customHeight="1">
      <c r="A39" t="inlineStr">
        <is>
          <t>A 21672-2019</t>
        </is>
      </c>
      <c r="B39" s="1" t="n">
        <v>43581</v>
      </c>
      <c r="C39" s="1" t="n">
        <v>45690</v>
      </c>
      <c r="D39" t="inlineStr">
        <is>
          <t>DALARNAS LÄN</t>
        </is>
      </c>
      <c r="E39" t="inlineStr">
        <is>
          <t>LUDVIKA</t>
        </is>
      </c>
      <c r="G39" t="n">
        <v>6.3</v>
      </c>
      <c r="H39" t="n">
        <v>1</v>
      </c>
      <c r="I39" t="n">
        <v>0</v>
      </c>
      <c r="J39" t="n">
        <v>0</v>
      </c>
      <c r="K39" t="n">
        <v>0</v>
      </c>
      <c r="L39" t="n">
        <v>1</v>
      </c>
      <c r="M39" t="n">
        <v>0</v>
      </c>
      <c r="N39" t="n">
        <v>0</v>
      </c>
      <c r="O39" t="n">
        <v>1</v>
      </c>
      <c r="P39" t="n">
        <v>1</v>
      </c>
      <c r="Q39" t="n">
        <v>1</v>
      </c>
      <c r="R39" s="2" t="inlineStr">
        <is>
          <t>Mosippa</t>
        </is>
      </c>
      <c r="S39">
        <f>HYPERLINK("https://klasma.github.io/Logging_2085/artfynd/A 21672-2019 artfynd.xlsx", "A 21672-2019")</f>
        <v/>
      </c>
      <c r="T39">
        <f>HYPERLINK("https://klasma.github.io/Logging_2085/kartor/A 21672-2019 karta.png", "A 21672-2019")</f>
        <v/>
      </c>
      <c r="V39">
        <f>HYPERLINK("https://klasma.github.io/Logging_2085/klagomål/A 21672-2019 FSC-klagomål.docx", "A 21672-2019")</f>
        <v/>
      </c>
      <c r="W39">
        <f>HYPERLINK("https://klasma.github.io/Logging_2085/klagomålsmail/A 21672-2019 FSC-klagomål mail.docx", "A 21672-2019")</f>
        <v/>
      </c>
      <c r="X39">
        <f>HYPERLINK("https://klasma.github.io/Logging_2085/tillsyn/A 21672-2019 tillsynsbegäran.docx", "A 21672-2019")</f>
        <v/>
      </c>
      <c r="Y39">
        <f>HYPERLINK("https://klasma.github.io/Logging_2085/tillsynsmail/A 21672-2019 tillsynsbegäran mail.docx", "A 21672-2019")</f>
        <v/>
      </c>
    </row>
    <row r="40" ht="15" customHeight="1">
      <c r="A40" t="inlineStr">
        <is>
          <t>A 27562-2020</t>
        </is>
      </c>
      <c r="B40" s="1" t="n">
        <v>43993</v>
      </c>
      <c r="C40" s="1" t="n">
        <v>45690</v>
      </c>
      <c r="D40" t="inlineStr">
        <is>
          <t>DALARNAS LÄN</t>
        </is>
      </c>
      <c r="E40" t="inlineStr">
        <is>
          <t>LUDVIKA</t>
        </is>
      </c>
      <c r="F40" t="inlineStr">
        <is>
          <t>Bergvik skog väst AB</t>
        </is>
      </c>
      <c r="G40" t="n">
        <v>2</v>
      </c>
      <c r="H40" t="n">
        <v>0</v>
      </c>
      <c r="I40" t="n">
        <v>1</v>
      </c>
      <c r="J40" t="n">
        <v>0</v>
      </c>
      <c r="K40" t="n">
        <v>0</v>
      </c>
      <c r="L40" t="n">
        <v>0</v>
      </c>
      <c r="M40" t="n">
        <v>0</v>
      </c>
      <c r="N40" t="n">
        <v>0</v>
      </c>
      <c r="O40" t="n">
        <v>0</v>
      </c>
      <c r="P40" t="n">
        <v>0</v>
      </c>
      <c r="Q40" t="n">
        <v>1</v>
      </c>
      <c r="R40" s="2" t="inlineStr">
        <is>
          <t>Skinnlav</t>
        </is>
      </c>
      <c r="S40">
        <f>HYPERLINK("https://klasma.github.io/Logging_2085/artfynd/A 27562-2020 artfynd.xlsx", "A 27562-2020")</f>
        <v/>
      </c>
      <c r="T40">
        <f>HYPERLINK("https://klasma.github.io/Logging_2085/kartor/A 27562-2020 karta.png", "A 27562-2020")</f>
        <v/>
      </c>
      <c r="V40">
        <f>HYPERLINK("https://klasma.github.io/Logging_2085/klagomål/A 27562-2020 FSC-klagomål.docx", "A 27562-2020")</f>
        <v/>
      </c>
      <c r="W40">
        <f>HYPERLINK("https://klasma.github.io/Logging_2085/klagomålsmail/A 27562-2020 FSC-klagomål mail.docx", "A 27562-2020")</f>
        <v/>
      </c>
      <c r="X40">
        <f>HYPERLINK("https://klasma.github.io/Logging_2085/tillsyn/A 27562-2020 tillsynsbegäran.docx", "A 27562-2020")</f>
        <v/>
      </c>
      <c r="Y40">
        <f>HYPERLINK("https://klasma.github.io/Logging_2085/tillsynsmail/A 27562-2020 tillsynsbegäran mail.docx", "A 27562-2020")</f>
        <v/>
      </c>
    </row>
    <row r="41" ht="15" customHeight="1">
      <c r="A41" t="inlineStr">
        <is>
          <t>A 54641-2020</t>
        </is>
      </c>
      <c r="B41" s="1" t="n">
        <v>44127</v>
      </c>
      <c r="C41" s="1" t="n">
        <v>45690</v>
      </c>
      <c r="D41" t="inlineStr">
        <is>
          <t>DALARNAS LÄN</t>
        </is>
      </c>
      <c r="E41" t="inlineStr">
        <is>
          <t>LUDVIKA</t>
        </is>
      </c>
      <c r="F41" t="inlineStr">
        <is>
          <t>Övriga Aktiebolag</t>
        </is>
      </c>
      <c r="G41" t="n">
        <v>38.7</v>
      </c>
      <c r="H41" t="n">
        <v>0</v>
      </c>
      <c r="I41" t="n">
        <v>1</v>
      </c>
      <c r="J41" t="n">
        <v>0</v>
      </c>
      <c r="K41" t="n">
        <v>0</v>
      </c>
      <c r="L41" t="n">
        <v>0</v>
      </c>
      <c r="M41" t="n">
        <v>0</v>
      </c>
      <c r="N41" t="n">
        <v>0</v>
      </c>
      <c r="O41" t="n">
        <v>0</v>
      </c>
      <c r="P41" t="n">
        <v>0</v>
      </c>
      <c r="Q41" t="n">
        <v>1</v>
      </c>
      <c r="R41" s="2" t="inlineStr">
        <is>
          <t>Bronshjon</t>
        </is>
      </c>
      <c r="S41">
        <f>HYPERLINK("https://klasma.github.io/Logging_2085/artfynd/A 54641-2020 artfynd.xlsx", "A 54641-2020")</f>
        <v/>
      </c>
      <c r="T41">
        <f>HYPERLINK("https://klasma.github.io/Logging_2085/kartor/A 54641-2020 karta.png", "A 54641-2020")</f>
        <v/>
      </c>
      <c r="V41">
        <f>HYPERLINK("https://klasma.github.io/Logging_2085/klagomål/A 54641-2020 FSC-klagomål.docx", "A 54641-2020")</f>
        <v/>
      </c>
      <c r="W41">
        <f>HYPERLINK("https://klasma.github.io/Logging_2085/klagomålsmail/A 54641-2020 FSC-klagomål mail.docx", "A 54641-2020")</f>
        <v/>
      </c>
      <c r="X41">
        <f>HYPERLINK("https://klasma.github.io/Logging_2085/tillsyn/A 54641-2020 tillsynsbegäran.docx", "A 54641-2020")</f>
        <v/>
      </c>
      <c r="Y41">
        <f>HYPERLINK("https://klasma.github.io/Logging_2085/tillsynsmail/A 54641-2020 tillsynsbegäran mail.docx", "A 54641-2020")</f>
        <v/>
      </c>
    </row>
    <row r="42" ht="15" customHeight="1">
      <c r="A42" t="inlineStr">
        <is>
          <t>A 64068-2020</t>
        </is>
      </c>
      <c r="B42" s="1" t="n">
        <v>44167</v>
      </c>
      <c r="C42" s="1" t="n">
        <v>45690</v>
      </c>
      <c r="D42" t="inlineStr">
        <is>
          <t>DALARNAS LÄN</t>
        </is>
      </c>
      <c r="E42" t="inlineStr">
        <is>
          <t>LUDVIKA</t>
        </is>
      </c>
      <c r="F42" t="inlineStr">
        <is>
          <t>Kommuner</t>
        </is>
      </c>
      <c r="G42" t="n">
        <v>4.5</v>
      </c>
      <c r="H42" t="n">
        <v>0</v>
      </c>
      <c r="I42" t="n">
        <v>0</v>
      </c>
      <c r="J42" t="n">
        <v>1</v>
      </c>
      <c r="K42" t="n">
        <v>0</v>
      </c>
      <c r="L42" t="n">
        <v>0</v>
      </c>
      <c r="M42" t="n">
        <v>0</v>
      </c>
      <c r="N42" t="n">
        <v>0</v>
      </c>
      <c r="O42" t="n">
        <v>1</v>
      </c>
      <c r="P42" t="n">
        <v>0</v>
      </c>
      <c r="Q42" t="n">
        <v>1</v>
      </c>
      <c r="R42" s="2" t="inlineStr">
        <is>
          <t>Garnlav</t>
        </is>
      </c>
      <c r="S42">
        <f>HYPERLINK("https://klasma.github.io/Logging_2085/artfynd/A 64068-2020 artfynd.xlsx", "A 64068-2020")</f>
        <v/>
      </c>
      <c r="T42">
        <f>HYPERLINK("https://klasma.github.io/Logging_2085/kartor/A 64068-2020 karta.png", "A 64068-2020")</f>
        <v/>
      </c>
      <c r="U42">
        <f>HYPERLINK("https://klasma.github.io/Logging_2085/knärot/A 64068-2020 karta knärot.png", "A 64068-2020")</f>
        <v/>
      </c>
      <c r="V42">
        <f>HYPERLINK("https://klasma.github.io/Logging_2085/klagomål/A 64068-2020 FSC-klagomål.docx", "A 64068-2020")</f>
        <v/>
      </c>
      <c r="W42">
        <f>HYPERLINK("https://klasma.github.io/Logging_2085/klagomålsmail/A 64068-2020 FSC-klagomål mail.docx", "A 64068-2020")</f>
        <v/>
      </c>
      <c r="X42">
        <f>HYPERLINK("https://klasma.github.io/Logging_2085/tillsyn/A 64068-2020 tillsynsbegäran.docx", "A 64068-2020")</f>
        <v/>
      </c>
      <c r="Y42">
        <f>HYPERLINK("https://klasma.github.io/Logging_2085/tillsynsmail/A 64068-2020 tillsynsbegäran mail.docx", "A 64068-2020")</f>
        <v/>
      </c>
    </row>
    <row r="43" ht="15" customHeight="1">
      <c r="A43" t="inlineStr">
        <is>
          <t>A 69166-2020</t>
        </is>
      </c>
      <c r="B43" s="1" t="n">
        <v>44188</v>
      </c>
      <c r="C43" s="1" t="n">
        <v>45690</v>
      </c>
      <c r="D43" t="inlineStr">
        <is>
          <t>DALARNAS LÄN</t>
        </is>
      </c>
      <c r="E43" t="inlineStr">
        <is>
          <t>LUDVIKA</t>
        </is>
      </c>
      <c r="F43" t="inlineStr">
        <is>
          <t>Kommuner</t>
        </is>
      </c>
      <c r="G43" t="n">
        <v>4.9</v>
      </c>
      <c r="H43" t="n">
        <v>1</v>
      </c>
      <c r="I43" t="n">
        <v>0</v>
      </c>
      <c r="J43" t="n">
        <v>0</v>
      </c>
      <c r="K43" t="n">
        <v>0</v>
      </c>
      <c r="L43" t="n">
        <v>0</v>
      </c>
      <c r="M43" t="n">
        <v>0</v>
      </c>
      <c r="N43" t="n">
        <v>0</v>
      </c>
      <c r="O43" t="n">
        <v>0</v>
      </c>
      <c r="P43" t="n">
        <v>0</v>
      </c>
      <c r="Q43" t="n">
        <v>1</v>
      </c>
      <c r="R43" s="2" t="inlineStr">
        <is>
          <t>Fläcknycklar</t>
        </is>
      </c>
      <c r="S43">
        <f>HYPERLINK("https://klasma.github.io/Logging_2085/artfynd/A 69166-2020 artfynd.xlsx", "A 69166-2020")</f>
        <v/>
      </c>
      <c r="T43">
        <f>HYPERLINK("https://klasma.github.io/Logging_2085/kartor/A 69166-2020 karta.png", "A 69166-2020")</f>
        <v/>
      </c>
      <c r="V43">
        <f>HYPERLINK("https://klasma.github.io/Logging_2085/klagomål/A 69166-2020 FSC-klagomål.docx", "A 69166-2020")</f>
        <v/>
      </c>
      <c r="W43">
        <f>HYPERLINK("https://klasma.github.io/Logging_2085/klagomålsmail/A 69166-2020 FSC-klagomål mail.docx", "A 69166-2020")</f>
        <v/>
      </c>
      <c r="X43">
        <f>HYPERLINK("https://klasma.github.io/Logging_2085/tillsyn/A 69166-2020 tillsynsbegäran.docx", "A 69166-2020")</f>
        <v/>
      </c>
      <c r="Y43">
        <f>HYPERLINK("https://klasma.github.io/Logging_2085/tillsynsmail/A 69166-2020 tillsynsbegäran mail.docx", "A 69166-2020")</f>
        <v/>
      </c>
    </row>
    <row r="44" ht="15" customHeight="1">
      <c r="A44" t="inlineStr">
        <is>
          <t>A 38674-2021</t>
        </is>
      </c>
      <c r="B44" s="1" t="n">
        <v>44410</v>
      </c>
      <c r="C44" s="1" t="n">
        <v>45690</v>
      </c>
      <c r="D44" t="inlineStr">
        <is>
          <t>DALARNAS LÄN</t>
        </is>
      </c>
      <c r="E44" t="inlineStr">
        <is>
          <t>LUDVIKA</t>
        </is>
      </c>
      <c r="G44" t="n">
        <v>6.3</v>
      </c>
      <c r="H44" t="n">
        <v>0</v>
      </c>
      <c r="I44" t="n">
        <v>0</v>
      </c>
      <c r="J44" t="n">
        <v>1</v>
      </c>
      <c r="K44" t="n">
        <v>0</v>
      </c>
      <c r="L44" t="n">
        <v>0</v>
      </c>
      <c r="M44" t="n">
        <v>0</v>
      </c>
      <c r="N44" t="n">
        <v>0</v>
      </c>
      <c r="O44" t="n">
        <v>1</v>
      </c>
      <c r="P44" t="n">
        <v>0</v>
      </c>
      <c r="Q44" t="n">
        <v>1</v>
      </c>
      <c r="R44" s="2" t="inlineStr">
        <is>
          <t>Dvärgbägarlav</t>
        </is>
      </c>
      <c r="S44">
        <f>HYPERLINK("https://klasma.github.io/Logging_2085/artfynd/A 38674-2021 artfynd.xlsx", "A 38674-2021")</f>
        <v/>
      </c>
      <c r="T44">
        <f>HYPERLINK("https://klasma.github.io/Logging_2085/kartor/A 38674-2021 karta.png", "A 38674-2021")</f>
        <v/>
      </c>
      <c r="V44">
        <f>HYPERLINK("https://klasma.github.io/Logging_2085/klagomål/A 38674-2021 FSC-klagomål.docx", "A 38674-2021")</f>
        <v/>
      </c>
      <c r="W44">
        <f>HYPERLINK("https://klasma.github.io/Logging_2085/klagomålsmail/A 38674-2021 FSC-klagomål mail.docx", "A 38674-2021")</f>
        <v/>
      </c>
      <c r="X44">
        <f>HYPERLINK("https://klasma.github.io/Logging_2085/tillsyn/A 38674-2021 tillsynsbegäran.docx", "A 38674-2021")</f>
        <v/>
      </c>
      <c r="Y44">
        <f>HYPERLINK("https://klasma.github.io/Logging_2085/tillsynsmail/A 38674-2021 tillsynsbegäran mail.docx", "A 38674-2021")</f>
        <v/>
      </c>
    </row>
    <row r="45" ht="15" customHeight="1">
      <c r="A45" t="inlineStr">
        <is>
          <t>A 45995-2021</t>
        </is>
      </c>
      <c r="B45" s="1" t="n">
        <v>44441</v>
      </c>
      <c r="C45" s="1" t="n">
        <v>45690</v>
      </c>
      <c r="D45" t="inlineStr">
        <is>
          <t>DALARNAS LÄN</t>
        </is>
      </c>
      <c r="E45" t="inlineStr">
        <is>
          <t>LUDVIKA</t>
        </is>
      </c>
      <c r="G45" t="n">
        <v>1.2</v>
      </c>
      <c r="H45" t="n">
        <v>1</v>
      </c>
      <c r="I45" t="n">
        <v>0</v>
      </c>
      <c r="J45" t="n">
        <v>1</v>
      </c>
      <c r="K45" t="n">
        <v>0</v>
      </c>
      <c r="L45" t="n">
        <v>0</v>
      </c>
      <c r="M45" t="n">
        <v>0</v>
      </c>
      <c r="N45" t="n">
        <v>0</v>
      </c>
      <c r="O45" t="n">
        <v>1</v>
      </c>
      <c r="P45" t="n">
        <v>0</v>
      </c>
      <c r="Q45" t="n">
        <v>1</v>
      </c>
      <c r="R45" s="2" t="inlineStr">
        <is>
          <t>Nordfladdermus</t>
        </is>
      </c>
      <c r="S45">
        <f>HYPERLINK("https://klasma.github.io/Logging_2085/artfynd/A 45995-2021 artfynd.xlsx", "A 45995-2021")</f>
        <v/>
      </c>
      <c r="T45">
        <f>HYPERLINK("https://klasma.github.io/Logging_2085/kartor/A 45995-2021 karta.png", "A 45995-2021")</f>
        <v/>
      </c>
      <c r="V45">
        <f>HYPERLINK("https://klasma.github.io/Logging_2085/klagomål/A 45995-2021 FSC-klagomål.docx", "A 45995-2021")</f>
        <v/>
      </c>
      <c r="W45">
        <f>HYPERLINK("https://klasma.github.io/Logging_2085/klagomålsmail/A 45995-2021 FSC-klagomål mail.docx", "A 45995-2021")</f>
        <v/>
      </c>
      <c r="X45">
        <f>HYPERLINK("https://klasma.github.io/Logging_2085/tillsyn/A 45995-2021 tillsynsbegäran.docx", "A 45995-2021")</f>
        <v/>
      </c>
      <c r="Y45">
        <f>HYPERLINK("https://klasma.github.io/Logging_2085/tillsynsmail/A 45995-2021 tillsynsbegäran mail.docx", "A 45995-2021")</f>
        <v/>
      </c>
    </row>
    <row r="46" ht="15" customHeight="1">
      <c r="A46" t="inlineStr">
        <is>
          <t>A 50052-2021</t>
        </is>
      </c>
      <c r="B46" s="1" t="n">
        <v>44456</v>
      </c>
      <c r="C46" s="1" t="n">
        <v>45690</v>
      </c>
      <c r="D46" t="inlineStr">
        <is>
          <t>DALARNAS LÄN</t>
        </is>
      </c>
      <c r="E46" t="inlineStr">
        <is>
          <t>LUDVIKA</t>
        </is>
      </c>
      <c r="F46" t="inlineStr">
        <is>
          <t>Bergvik skog väst AB</t>
        </is>
      </c>
      <c r="G46" t="n">
        <v>2</v>
      </c>
      <c r="H46" t="n">
        <v>1</v>
      </c>
      <c r="I46" t="n">
        <v>0</v>
      </c>
      <c r="J46" t="n">
        <v>0</v>
      </c>
      <c r="K46" t="n">
        <v>0</v>
      </c>
      <c r="L46" t="n">
        <v>0</v>
      </c>
      <c r="M46" t="n">
        <v>0</v>
      </c>
      <c r="N46" t="n">
        <v>0</v>
      </c>
      <c r="O46" t="n">
        <v>0</v>
      </c>
      <c r="P46" t="n">
        <v>0</v>
      </c>
      <c r="Q46" t="n">
        <v>1</v>
      </c>
      <c r="R46" s="2" t="inlineStr">
        <is>
          <t>Buskmus</t>
        </is>
      </c>
      <c r="S46">
        <f>HYPERLINK("https://klasma.github.io/Logging_2085/artfynd/A 50052-2021 artfynd.xlsx", "A 50052-2021")</f>
        <v/>
      </c>
      <c r="T46">
        <f>HYPERLINK("https://klasma.github.io/Logging_2085/kartor/A 50052-2021 karta.png", "A 50052-2021")</f>
        <v/>
      </c>
      <c r="V46">
        <f>HYPERLINK("https://klasma.github.io/Logging_2085/klagomål/A 50052-2021 FSC-klagomål.docx", "A 50052-2021")</f>
        <v/>
      </c>
      <c r="W46">
        <f>HYPERLINK("https://klasma.github.io/Logging_2085/klagomålsmail/A 50052-2021 FSC-klagomål mail.docx", "A 50052-2021")</f>
        <v/>
      </c>
      <c r="X46">
        <f>HYPERLINK("https://klasma.github.io/Logging_2085/tillsyn/A 50052-2021 tillsynsbegäran.docx", "A 50052-2021")</f>
        <v/>
      </c>
      <c r="Y46">
        <f>HYPERLINK("https://klasma.github.io/Logging_2085/tillsynsmail/A 50052-2021 tillsynsbegäran mail.docx", "A 50052-2021")</f>
        <v/>
      </c>
    </row>
    <row r="47" ht="15" customHeight="1">
      <c r="A47" t="inlineStr">
        <is>
          <t>A 72858-2021</t>
        </is>
      </c>
      <c r="B47" s="1" t="n">
        <v>44547</v>
      </c>
      <c r="C47" s="1" t="n">
        <v>45690</v>
      </c>
      <c r="D47" t="inlineStr">
        <is>
          <t>DALARNAS LÄN</t>
        </is>
      </c>
      <c r="E47" t="inlineStr">
        <is>
          <t>LUDVIKA</t>
        </is>
      </c>
      <c r="F47" t="inlineStr">
        <is>
          <t>Kommuner</t>
        </is>
      </c>
      <c r="G47" t="n">
        <v>7</v>
      </c>
      <c r="H47" t="n">
        <v>0</v>
      </c>
      <c r="I47" t="n">
        <v>0</v>
      </c>
      <c r="J47" t="n">
        <v>0</v>
      </c>
      <c r="K47" t="n">
        <v>1</v>
      </c>
      <c r="L47" t="n">
        <v>0</v>
      </c>
      <c r="M47" t="n">
        <v>0</v>
      </c>
      <c r="N47" t="n">
        <v>0</v>
      </c>
      <c r="O47" t="n">
        <v>1</v>
      </c>
      <c r="P47" t="n">
        <v>1</v>
      </c>
      <c r="Q47" t="n">
        <v>1</v>
      </c>
      <c r="R47" s="2" t="inlineStr">
        <is>
          <t>Rynkskinn</t>
        </is>
      </c>
      <c r="S47">
        <f>HYPERLINK("https://klasma.github.io/Logging_2085/artfynd/A 72858-2021 artfynd.xlsx", "A 72858-2021")</f>
        <v/>
      </c>
      <c r="T47">
        <f>HYPERLINK("https://klasma.github.io/Logging_2085/kartor/A 72858-2021 karta.png", "A 72858-2021")</f>
        <v/>
      </c>
      <c r="V47">
        <f>HYPERLINK("https://klasma.github.io/Logging_2085/klagomål/A 72858-2021 FSC-klagomål.docx", "A 72858-2021")</f>
        <v/>
      </c>
      <c r="W47">
        <f>HYPERLINK("https://klasma.github.io/Logging_2085/klagomålsmail/A 72858-2021 FSC-klagomål mail.docx", "A 72858-2021")</f>
        <v/>
      </c>
      <c r="X47">
        <f>HYPERLINK("https://klasma.github.io/Logging_2085/tillsyn/A 72858-2021 tillsynsbegäran.docx", "A 72858-2021")</f>
        <v/>
      </c>
      <c r="Y47">
        <f>HYPERLINK("https://klasma.github.io/Logging_2085/tillsynsmail/A 72858-2021 tillsynsbegäran mail.docx", "A 72858-2021")</f>
        <v/>
      </c>
    </row>
    <row r="48" ht="15" customHeight="1">
      <c r="A48" t="inlineStr">
        <is>
          <t>A 74401-2021</t>
        </is>
      </c>
      <c r="B48" s="1" t="n">
        <v>44560</v>
      </c>
      <c r="C48" s="1" t="n">
        <v>45690</v>
      </c>
      <c r="D48" t="inlineStr">
        <is>
          <t>DALARNAS LÄN</t>
        </is>
      </c>
      <c r="E48" t="inlineStr">
        <is>
          <t>LUDVIKA</t>
        </is>
      </c>
      <c r="F48" t="inlineStr">
        <is>
          <t>Kommuner</t>
        </is>
      </c>
      <c r="G48" t="n">
        <v>0.6</v>
      </c>
      <c r="H48" t="n">
        <v>0</v>
      </c>
      <c r="I48" t="n">
        <v>1</v>
      </c>
      <c r="J48" t="n">
        <v>0</v>
      </c>
      <c r="K48" t="n">
        <v>0</v>
      </c>
      <c r="L48" t="n">
        <v>0</v>
      </c>
      <c r="M48" t="n">
        <v>0</v>
      </c>
      <c r="N48" t="n">
        <v>0</v>
      </c>
      <c r="O48" t="n">
        <v>0</v>
      </c>
      <c r="P48" t="n">
        <v>0</v>
      </c>
      <c r="Q48" t="n">
        <v>1</v>
      </c>
      <c r="R48" s="2" t="inlineStr">
        <is>
          <t>Gullgröppa</t>
        </is>
      </c>
      <c r="S48">
        <f>HYPERLINK("https://klasma.github.io/Logging_2085/artfynd/A 74401-2021 artfynd.xlsx", "A 74401-2021")</f>
        <v/>
      </c>
      <c r="T48">
        <f>HYPERLINK("https://klasma.github.io/Logging_2085/kartor/A 74401-2021 karta.png", "A 74401-2021")</f>
        <v/>
      </c>
      <c r="V48">
        <f>HYPERLINK("https://klasma.github.io/Logging_2085/klagomål/A 74401-2021 FSC-klagomål.docx", "A 74401-2021")</f>
        <v/>
      </c>
      <c r="W48">
        <f>HYPERLINK("https://klasma.github.io/Logging_2085/klagomålsmail/A 74401-2021 FSC-klagomål mail.docx", "A 74401-2021")</f>
        <v/>
      </c>
      <c r="X48">
        <f>HYPERLINK("https://klasma.github.io/Logging_2085/tillsyn/A 74401-2021 tillsynsbegäran.docx", "A 74401-2021")</f>
        <v/>
      </c>
      <c r="Y48">
        <f>HYPERLINK("https://klasma.github.io/Logging_2085/tillsynsmail/A 74401-2021 tillsynsbegäran mail.docx", "A 74401-2021")</f>
        <v/>
      </c>
    </row>
    <row r="49" ht="15" customHeight="1">
      <c r="A49" t="inlineStr">
        <is>
          <t>A 927-2022</t>
        </is>
      </c>
      <c r="B49" s="1" t="n">
        <v>44571</v>
      </c>
      <c r="C49" s="1" t="n">
        <v>45690</v>
      </c>
      <c r="D49" t="inlineStr">
        <is>
          <t>DALARNAS LÄN</t>
        </is>
      </c>
      <c r="E49" t="inlineStr">
        <is>
          <t>LUDVIKA</t>
        </is>
      </c>
      <c r="F49" t="inlineStr">
        <is>
          <t>Allmännings- och besparingsskogar</t>
        </is>
      </c>
      <c r="G49" t="n">
        <v>2.4</v>
      </c>
      <c r="H49" t="n">
        <v>0</v>
      </c>
      <c r="I49" t="n">
        <v>0</v>
      </c>
      <c r="J49" t="n">
        <v>1</v>
      </c>
      <c r="K49" t="n">
        <v>0</v>
      </c>
      <c r="L49" t="n">
        <v>0</v>
      </c>
      <c r="M49" t="n">
        <v>0</v>
      </c>
      <c r="N49" t="n">
        <v>0</v>
      </c>
      <c r="O49" t="n">
        <v>1</v>
      </c>
      <c r="P49" t="n">
        <v>0</v>
      </c>
      <c r="Q49" t="n">
        <v>1</v>
      </c>
      <c r="R49" s="2" t="inlineStr">
        <is>
          <t>Brunklöver</t>
        </is>
      </c>
      <c r="S49">
        <f>HYPERLINK("https://klasma.github.io/Logging_2085/artfynd/A 927-2022 artfynd.xlsx", "A 927-2022")</f>
        <v/>
      </c>
      <c r="T49">
        <f>HYPERLINK("https://klasma.github.io/Logging_2085/kartor/A 927-2022 karta.png", "A 927-2022")</f>
        <v/>
      </c>
      <c r="V49">
        <f>HYPERLINK("https://klasma.github.io/Logging_2085/klagomål/A 927-2022 FSC-klagomål.docx", "A 927-2022")</f>
        <v/>
      </c>
      <c r="W49">
        <f>HYPERLINK("https://klasma.github.io/Logging_2085/klagomålsmail/A 927-2022 FSC-klagomål mail.docx", "A 927-2022")</f>
        <v/>
      </c>
      <c r="X49">
        <f>HYPERLINK("https://klasma.github.io/Logging_2085/tillsyn/A 927-2022 tillsynsbegäran.docx", "A 927-2022")</f>
        <v/>
      </c>
      <c r="Y49">
        <f>HYPERLINK("https://klasma.github.io/Logging_2085/tillsynsmail/A 927-2022 tillsynsbegäran mail.docx", "A 927-2022")</f>
        <v/>
      </c>
    </row>
    <row r="50" ht="15" customHeight="1">
      <c r="A50" t="inlineStr">
        <is>
          <t>A 19512-2022</t>
        </is>
      </c>
      <c r="B50" s="1" t="n">
        <v>44693</v>
      </c>
      <c r="C50" s="1" t="n">
        <v>45690</v>
      </c>
      <c r="D50" t="inlineStr">
        <is>
          <t>DALARNAS LÄN</t>
        </is>
      </c>
      <c r="E50" t="inlineStr">
        <is>
          <t>LUDVIKA</t>
        </is>
      </c>
      <c r="F50" t="inlineStr">
        <is>
          <t>Bergvik skog väst AB</t>
        </is>
      </c>
      <c r="G50" t="n">
        <v>2.8</v>
      </c>
      <c r="H50" t="n">
        <v>0</v>
      </c>
      <c r="I50" t="n">
        <v>1</v>
      </c>
      <c r="J50" t="n">
        <v>0</v>
      </c>
      <c r="K50" t="n">
        <v>0</v>
      </c>
      <c r="L50" t="n">
        <v>0</v>
      </c>
      <c r="M50" t="n">
        <v>0</v>
      </c>
      <c r="N50" t="n">
        <v>0</v>
      </c>
      <c r="O50" t="n">
        <v>0</v>
      </c>
      <c r="P50" t="n">
        <v>0</v>
      </c>
      <c r="Q50" t="n">
        <v>1</v>
      </c>
      <c r="R50" s="2" t="inlineStr">
        <is>
          <t>Nästlav</t>
        </is>
      </c>
      <c r="S50">
        <f>HYPERLINK("https://klasma.github.io/Logging_2085/artfynd/A 19512-2022 artfynd.xlsx", "A 19512-2022")</f>
        <v/>
      </c>
      <c r="T50">
        <f>HYPERLINK("https://klasma.github.io/Logging_2085/kartor/A 19512-2022 karta.png", "A 19512-2022")</f>
        <v/>
      </c>
      <c r="V50">
        <f>HYPERLINK("https://klasma.github.io/Logging_2085/klagomål/A 19512-2022 FSC-klagomål.docx", "A 19512-2022")</f>
        <v/>
      </c>
      <c r="W50">
        <f>HYPERLINK("https://klasma.github.io/Logging_2085/klagomålsmail/A 19512-2022 FSC-klagomål mail.docx", "A 19512-2022")</f>
        <v/>
      </c>
      <c r="X50">
        <f>HYPERLINK("https://klasma.github.io/Logging_2085/tillsyn/A 19512-2022 tillsynsbegäran.docx", "A 19512-2022")</f>
        <v/>
      </c>
      <c r="Y50">
        <f>HYPERLINK("https://klasma.github.io/Logging_2085/tillsynsmail/A 19512-2022 tillsynsbegäran mail.docx", "A 19512-2022")</f>
        <v/>
      </c>
    </row>
    <row r="51" ht="15" customHeight="1">
      <c r="A51" t="inlineStr">
        <is>
          <t>A 19717-2022</t>
        </is>
      </c>
      <c r="B51" s="1" t="n">
        <v>44694</v>
      </c>
      <c r="C51" s="1" t="n">
        <v>45690</v>
      </c>
      <c r="D51" t="inlineStr">
        <is>
          <t>DALARNAS LÄN</t>
        </is>
      </c>
      <c r="E51" t="inlineStr">
        <is>
          <t>LUDVIKA</t>
        </is>
      </c>
      <c r="F51" t="inlineStr">
        <is>
          <t>Bergvik skog väst AB</t>
        </is>
      </c>
      <c r="G51" t="n">
        <v>1.1</v>
      </c>
      <c r="H51" t="n">
        <v>0</v>
      </c>
      <c r="I51" t="n">
        <v>1</v>
      </c>
      <c r="J51" t="n">
        <v>0</v>
      </c>
      <c r="K51" t="n">
        <v>0</v>
      </c>
      <c r="L51" t="n">
        <v>0</v>
      </c>
      <c r="M51" t="n">
        <v>0</v>
      </c>
      <c r="N51" t="n">
        <v>0</v>
      </c>
      <c r="O51" t="n">
        <v>0</v>
      </c>
      <c r="P51" t="n">
        <v>0</v>
      </c>
      <c r="Q51" t="n">
        <v>1</v>
      </c>
      <c r="R51" s="2" t="inlineStr">
        <is>
          <t>Vedticka</t>
        </is>
      </c>
      <c r="S51">
        <f>HYPERLINK("https://klasma.github.io/Logging_2085/artfynd/A 19717-2022 artfynd.xlsx", "A 19717-2022")</f>
        <v/>
      </c>
      <c r="T51">
        <f>HYPERLINK("https://klasma.github.io/Logging_2085/kartor/A 19717-2022 karta.png", "A 19717-2022")</f>
        <v/>
      </c>
      <c r="V51">
        <f>HYPERLINK("https://klasma.github.io/Logging_2085/klagomål/A 19717-2022 FSC-klagomål.docx", "A 19717-2022")</f>
        <v/>
      </c>
      <c r="W51">
        <f>HYPERLINK("https://klasma.github.io/Logging_2085/klagomålsmail/A 19717-2022 FSC-klagomål mail.docx", "A 19717-2022")</f>
        <v/>
      </c>
      <c r="X51">
        <f>HYPERLINK("https://klasma.github.io/Logging_2085/tillsyn/A 19717-2022 tillsynsbegäran.docx", "A 19717-2022")</f>
        <v/>
      </c>
      <c r="Y51">
        <f>HYPERLINK("https://klasma.github.io/Logging_2085/tillsynsmail/A 19717-2022 tillsynsbegäran mail.docx", "A 19717-2022")</f>
        <v/>
      </c>
    </row>
    <row r="52" ht="15" customHeight="1">
      <c r="A52" t="inlineStr">
        <is>
          <t>A 21499-2022</t>
        </is>
      </c>
      <c r="B52" s="1" t="n">
        <v>44706</v>
      </c>
      <c r="C52" s="1" t="n">
        <v>45690</v>
      </c>
      <c r="D52" t="inlineStr">
        <is>
          <t>DALARNAS LÄN</t>
        </is>
      </c>
      <c r="E52" t="inlineStr">
        <is>
          <t>LUDVIKA</t>
        </is>
      </c>
      <c r="G52" t="n">
        <v>4.3</v>
      </c>
      <c r="H52" t="n">
        <v>0</v>
      </c>
      <c r="I52" t="n">
        <v>1</v>
      </c>
      <c r="J52" t="n">
        <v>0</v>
      </c>
      <c r="K52" t="n">
        <v>0</v>
      </c>
      <c r="L52" t="n">
        <v>0</v>
      </c>
      <c r="M52" t="n">
        <v>0</v>
      </c>
      <c r="N52" t="n">
        <v>0</v>
      </c>
      <c r="O52" t="n">
        <v>0</v>
      </c>
      <c r="P52" t="n">
        <v>0</v>
      </c>
      <c r="Q52" t="n">
        <v>1</v>
      </c>
      <c r="R52" s="2" t="inlineStr">
        <is>
          <t>Strimspindling</t>
        </is>
      </c>
      <c r="S52">
        <f>HYPERLINK("https://klasma.github.io/Logging_2085/artfynd/A 21499-2022 artfynd.xlsx", "A 21499-2022")</f>
        <v/>
      </c>
      <c r="T52">
        <f>HYPERLINK("https://klasma.github.io/Logging_2085/kartor/A 21499-2022 karta.png", "A 21499-2022")</f>
        <v/>
      </c>
      <c r="V52">
        <f>HYPERLINK("https://klasma.github.io/Logging_2085/klagomål/A 21499-2022 FSC-klagomål.docx", "A 21499-2022")</f>
        <v/>
      </c>
      <c r="W52">
        <f>HYPERLINK("https://klasma.github.io/Logging_2085/klagomålsmail/A 21499-2022 FSC-klagomål mail.docx", "A 21499-2022")</f>
        <v/>
      </c>
      <c r="X52">
        <f>HYPERLINK("https://klasma.github.io/Logging_2085/tillsyn/A 21499-2022 tillsynsbegäran.docx", "A 21499-2022")</f>
        <v/>
      </c>
      <c r="Y52">
        <f>HYPERLINK("https://klasma.github.io/Logging_2085/tillsynsmail/A 21499-2022 tillsynsbegäran mail.docx", "A 21499-2022")</f>
        <v/>
      </c>
    </row>
    <row r="53" ht="15" customHeight="1">
      <c r="A53" t="inlineStr">
        <is>
          <t>A 41028-2022</t>
        </is>
      </c>
      <c r="B53" s="1" t="n">
        <v>44825</v>
      </c>
      <c r="C53" s="1" t="n">
        <v>45690</v>
      </c>
      <c r="D53" t="inlineStr">
        <is>
          <t>DALARNAS LÄN</t>
        </is>
      </c>
      <c r="E53" t="inlineStr">
        <is>
          <t>LUDVIKA</t>
        </is>
      </c>
      <c r="F53" t="inlineStr">
        <is>
          <t>Naturvårdsverket</t>
        </is>
      </c>
      <c r="G53" t="n">
        <v>8.300000000000001</v>
      </c>
      <c r="H53" t="n">
        <v>0</v>
      </c>
      <c r="I53" t="n">
        <v>0</v>
      </c>
      <c r="J53" t="n">
        <v>1</v>
      </c>
      <c r="K53" t="n">
        <v>0</v>
      </c>
      <c r="L53" t="n">
        <v>0</v>
      </c>
      <c r="M53" t="n">
        <v>0</v>
      </c>
      <c r="N53" t="n">
        <v>0</v>
      </c>
      <c r="O53" t="n">
        <v>1</v>
      </c>
      <c r="P53" t="n">
        <v>0</v>
      </c>
      <c r="Q53" t="n">
        <v>1</v>
      </c>
      <c r="R53" s="2" t="inlineStr">
        <is>
          <t>Vårtsporigt stålskinn</t>
        </is>
      </c>
      <c r="S53">
        <f>HYPERLINK("https://klasma.github.io/Logging_2085/artfynd/A 41028-2022 artfynd.xlsx", "A 41028-2022")</f>
        <v/>
      </c>
      <c r="T53">
        <f>HYPERLINK("https://klasma.github.io/Logging_2085/kartor/A 41028-2022 karta.png", "A 41028-2022")</f>
        <v/>
      </c>
      <c r="V53">
        <f>HYPERLINK("https://klasma.github.io/Logging_2085/klagomål/A 41028-2022 FSC-klagomål.docx", "A 41028-2022")</f>
        <v/>
      </c>
      <c r="W53">
        <f>HYPERLINK("https://klasma.github.io/Logging_2085/klagomålsmail/A 41028-2022 FSC-klagomål mail.docx", "A 41028-2022")</f>
        <v/>
      </c>
      <c r="X53">
        <f>HYPERLINK("https://klasma.github.io/Logging_2085/tillsyn/A 41028-2022 tillsynsbegäran.docx", "A 41028-2022")</f>
        <v/>
      </c>
      <c r="Y53">
        <f>HYPERLINK("https://klasma.github.io/Logging_2085/tillsynsmail/A 41028-2022 tillsynsbegäran mail.docx", "A 41028-2022")</f>
        <v/>
      </c>
    </row>
    <row r="54" ht="15" customHeight="1">
      <c r="A54" t="inlineStr">
        <is>
          <t>A 42558-2022</t>
        </is>
      </c>
      <c r="B54" s="1" t="n">
        <v>44831</v>
      </c>
      <c r="C54" s="1" t="n">
        <v>45690</v>
      </c>
      <c r="D54" t="inlineStr">
        <is>
          <t>DALARNAS LÄN</t>
        </is>
      </c>
      <c r="E54" t="inlineStr">
        <is>
          <t>LUDVIKA</t>
        </is>
      </c>
      <c r="F54" t="inlineStr">
        <is>
          <t>Naturvårdsverket</t>
        </is>
      </c>
      <c r="G54" t="n">
        <v>4.9</v>
      </c>
      <c r="H54" t="n">
        <v>0</v>
      </c>
      <c r="I54" t="n">
        <v>0</v>
      </c>
      <c r="J54" t="n">
        <v>0</v>
      </c>
      <c r="K54" t="n">
        <v>1</v>
      </c>
      <c r="L54" t="n">
        <v>0</v>
      </c>
      <c r="M54" t="n">
        <v>0</v>
      </c>
      <c r="N54" t="n">
        <v>0</v>
      </c>
      <c r="O54" t="n">
        <v>1</v>
      </c>
      <c r="P54" t="n">
        <v>1</v>
      </c>
      <c r="Q54" t="n">
        <v>1</v>
      </c>
      <c r="R54" s="2" t="inlineStr">
        <is>
          <t>Gräddporing</t>
        </is>
      </c>
      <c r="S54">
        <f>HYPERLINK("https://klasma.github.io/Logging_2085/artfynd/A 42558-2022 artfynd.xlsx", "A 42558-2022")</f>
        <v/>
      </c>
      <c r="T54">
        <f>HYPERLINK("https://klasma.github.io/Logging_2085/kartor/A 42558-2022 karta.png", "A 42558-2022")</f>
        <v/>
      </c>
      <c r="V54">
        <f>HYPERLINK("https://klasma.github.io/Logging_2085/klagomål/A 42558-2022 FSC-klagomål.docx", "A 42558-2022")</f>
        <v/>
      </c>
      <c r="W54">
        <f>HYPERLINK("https://klasma.github.io/Logging_2085/klagomålsmail/A 42558-2022 FSC-klagomål mail.docx", "A 42558-2022")</f>
        <v/>
      </c>
      <c r="X54">
        <f>HYPERLINK("https://klasma.github.io/Logging_2085/tillsyn/A 42558-2022 tillsynsbegäran.docx", "A 42558-2022")</f>
        <v/>
      </c>
      <c r="Y54">
        <f>HYPERLINK("https://klasma.github.io/Logging_2085/tillsynsmail/A 42558-2022 tillsynsbegäran mail.docx", "A 42558-2022")</f>
        <v/>
      </c>
    </row>
    <row r="55" ht="15" customHeight="1">
      <c r="A55" t="inlineStr">
        <is>
          <t>A 42758-2022</t>
        </is>
      </c>
      <c r="B55" s="1" t="n">
        <v>44832</v>
      </c>
      <c r="C55" s="1" t="n">
        <v>45690</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45690</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45690</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45690</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45690</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45690</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45690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45690</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45690</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45690</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45690</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45690</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45690</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45690</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45690</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45690</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45690</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45690</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45690</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45690</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45690</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45690</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45690</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45690</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45690</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45690</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45690</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45690</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45690</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45690</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45690</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45690</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45690</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45690</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45690</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45690</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45690</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45690</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45690</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45690</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45690</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45690</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45690</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45690</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45690</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45690</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45690</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45690</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45690</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45690</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45690</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45690</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45690</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45690</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45690</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45690</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45690</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45690</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45690</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45690</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45690</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45690</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45690</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45690</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45690</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45690</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45690</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45690</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45690</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45690</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45690</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45690</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45690</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45690</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45690</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45690</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45690</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45690</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45690</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45690</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45690</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45690</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45690</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45690</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45690</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45690</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45690</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45690</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45690</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45690</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45690</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45690</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45690</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45690</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45690</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45690</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45690</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45690</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45690</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45690</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45690</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45690</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45690</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45690</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45690</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45690</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45690</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45690</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45690</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45690</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45690</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45690</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45690</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45690</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45690</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45690</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45690</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45690</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45690</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45690</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45690</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45690</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45690</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45690</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45690</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45690</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45690</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45690</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45690</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45690</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45690</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45690</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45690</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45690</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45690</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45690</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45690</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45690</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45690</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45690</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45690</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45690</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45690</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45690</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45690</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45690</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45690</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45690</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45690</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45690</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45690</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45690</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45690</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45690</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45690</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45690</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45690</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45690</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45690</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45690</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45690</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45690</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45690</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45690</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45690</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45690</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45690</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45690</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45690</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45690</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45690</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45690</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45690</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45690</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45690</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45690</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45690</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45690</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45690</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45690</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45690</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45690</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45690</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45690</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45690</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45690</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45690</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45690</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45690</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45690</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45690</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45690</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45690</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45690</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45690</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45690</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45690</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45690</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45690</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45690</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45690</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45690</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45690</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45690</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45690</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45690</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45690</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45690</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45690</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45690</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45690</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45690</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45690</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45690</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45690</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45690</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45690</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45690</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45690</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45690</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45690</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45690</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45690</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45690</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45690</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45690</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45690</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45690</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45690</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45690</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45690</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45690</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45690</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45690</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45690</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45690</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45690</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45690</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45690</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45690</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45690</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45690</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45690</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45690</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45690</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45690</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45690</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45690</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45690</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45690</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45690</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45690</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45690</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45690</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45690</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45690</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45690</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45690</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45690</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45690</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45690</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45690</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45690</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45690</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45690</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45690</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45690</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45690</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45690</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45690</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45690</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45690</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45690</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45690</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45690</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45690</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45690</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45690</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45690</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45690</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45690</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45690</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45690</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45690</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45690</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45690</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45690</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45690</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45690</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45690</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45690</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45690</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45690</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45690</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45690</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45690</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45690</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45690</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45690</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45690</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45690</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45690</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45690</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45690</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45690</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45690</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45690</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45690</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45690</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45690</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45690</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45690</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45690</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45690</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45690</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45690</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45690</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45690</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45690</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45690</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45690</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45690</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45690</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45690</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45690</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45690</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45690</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45690</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45690</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45690</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45690</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45690</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45690</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45690</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45690</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45690</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45690</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45690</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45690</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45690</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45690</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45690</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45690</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45690</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45690</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45690</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45690</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45690</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45690</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45690</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45690</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45690</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45690</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45690</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45690</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45690</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45690</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45690</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45690</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45690</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45690</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45690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45690</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45690</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45690</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45690</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45690</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45690</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45690</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45690</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45690</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45690</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45690</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45690</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45690</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45690</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45690</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45690</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45690</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45690</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45690</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45690</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45690</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45690</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45690</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45690</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45690</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45690</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45690</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45690</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45690</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45690</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45690</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45690</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45690</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45690</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45690</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45690</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45690</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45690</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45690</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45690</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45690</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45690</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45690</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45690</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45690</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45690</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45690</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45690</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45690</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45690</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45690</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45690</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45690</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45690</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45690</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45690</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45690</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45690</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45690</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45690</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45690</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45690</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45690</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45690</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45690</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45690</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45690</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45690</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45690</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45690</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45690</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45690</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45690</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45690</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45690</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45690</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45690</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45690</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45690</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45690</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45690</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45690</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45690</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45690</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45690</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45690</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45690</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45690</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45690</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45690</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45690</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45690</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45690</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45690</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45690</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45690</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45690</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45690</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45690</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45690</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45690</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45690</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45690</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45690</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45690</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45690</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45690</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45690</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45690</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45690</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45690</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45690</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45690</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45690</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45690</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45690</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45690</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45690</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45690</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45690</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45690</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45690</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45690</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45690</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45690</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45690</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45690</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45690</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45690</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45690</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45690</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45690</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45690</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45690</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45690</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45690</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45690</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45690</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45690</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45690</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45690</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45690</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45690</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45690</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45690</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45690</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45690</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45690</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45690</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45690</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45690</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45690</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45690</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45690</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45690</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45690</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45690</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45690</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45690</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45690</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45690</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45690</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45690</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45690</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45690</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45690</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45690</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45690</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45690</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45690</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45690</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45690</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45690</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45690</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45690</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45690</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45690</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45690</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45690</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45690</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45690</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45690</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45690</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45690</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45690</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45690</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45690</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45690</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45690</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45690</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45690</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45690</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45690</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45690</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45690</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45690</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45690</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45690</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45690</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45690</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45690</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45690</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45690</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45690</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45690</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45690</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45690</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45690</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45690</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45690</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45690</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45690</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45690</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45690</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45690</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45690</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45690</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45690</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45690</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45690</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45690</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45690</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45690</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45690</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45690</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45690</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45690</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45690</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45690</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45690</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45690</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45690</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45690</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45690</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45690</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45690</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45690</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45690</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45690</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45690</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45690</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45690</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45690</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45690</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45690</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45690</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45690</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45690</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45690</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45690</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45690</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45690</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45690</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45690</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45690</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45690</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45690</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45690</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45690</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45690</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45690</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45690</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45690</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45690</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45690</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45690</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45690</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45690</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45690</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45690</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45690</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45690</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45690</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45690</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45690</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45690</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45690</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45690</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45690</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45690</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45690</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45690</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45690</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45690</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45690</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45690</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45690</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45690</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45690</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45690</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45690</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45690</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45690</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45690</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45690</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45690</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45690</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45690</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45690</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45690</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45690</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45690</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45690</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45690</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45690</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45690</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45690</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45690</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45690</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45690</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45690</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45690</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45690</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45690</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45690</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45690</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45690</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45690</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45690</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45690</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45690</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45690</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45690</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45690</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45690</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45690</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45690</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45690</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45690</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45690</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45690</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45690</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45690</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45690</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45690</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45690</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45690</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45690</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45690</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45690</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45690</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45690</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45690</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45690</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45690</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45690</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45690</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45690</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45690</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45690</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45690</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45690</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45690</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45690</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45690</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45690</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45690</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45690</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45690</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45690</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45690</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45690</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45690</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45690</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45690</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45690</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45690</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45690</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45690</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45690</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45690</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45690</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45690</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45690</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45690</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45690</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45690</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45690</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45690</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45690</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45690</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45690</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45690</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45690</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45690</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45690</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45690</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45690</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45690</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45690</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45690</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45690</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45690</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45690</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45690</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45690</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45690</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45690</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45690</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45690</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45690</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45690</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45690</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45690</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45690</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45690</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45690</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45690</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45690</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45690</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45690</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45690</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45690</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45690</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45690</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45690</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45690</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45690</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45690</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45690</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45690</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45690</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45690</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45690</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45690</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45690</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45690</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45690</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45690</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45690</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45690</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45690</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45690</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45690</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45690</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45690</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45690</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45690</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45690</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45690</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45690</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45690</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45690</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45690</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45690</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45690</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45690</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45690</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45690</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45690</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45690</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45690</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45690</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45690</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45690</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45690</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45690</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45690</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45690</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45690</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45690</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45690</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45690</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45690</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45690</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45690</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45690</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45690</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45690</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45690</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45690</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45690</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45690</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45690</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45690</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45690</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45690</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45690</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45690</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45690</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45690</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45690</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45690</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45690</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45690</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45690</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45690</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45690</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45690</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45690</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45690</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45690</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45690</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45690</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45690</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45690</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45690</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45690</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45690</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45690</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45690</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45690</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45690</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45690</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45690</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45690</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45690</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45690</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45690</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45690</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45690</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45690</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45690</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45690</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45690</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45690</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45690</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45690</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45690</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45690</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45690</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45690</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45690</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45690</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45690</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45690</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45690</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45690</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45690</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45690</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45690</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45690</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45690</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45690</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45690</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45690</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45690</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45690</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45690</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45690</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45690</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45690</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45690</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45690</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45690</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45690</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45690</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45690</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45690</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45690</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45690</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45690</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45690</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45690</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45690</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45690</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45690</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45690</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45690</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45690</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45690</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45690</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45690</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45690</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45690</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45690</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45690</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45690</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45690</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45690</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45690</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45690</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45690</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45690</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45690</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45690</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45690</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45690</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45690</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45690</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45690</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45690</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45690</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45690</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45690</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45690</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45690</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45690</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45690</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45690</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45690</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45690</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45690</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45690</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45690</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45690</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45690</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45690</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45690</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45690</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45690</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45690</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45690</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45690</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45690</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45690</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45690</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45690</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45690</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45690</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45690</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45690</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45690</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45690</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45690</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45690</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45690</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45690</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45690</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45690</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45690</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45690</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45690</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45690</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45690</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45690</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45690</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45690</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45690</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45690</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45690</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45690</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45690</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45690</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45690</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45690</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45690</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45690</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45690</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45690</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45690</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45690</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45690</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45690</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45690</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45690</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45690</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45690</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45690</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45690</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45690</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45690</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45690</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45690</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45690</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45690</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45690</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45690</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45690</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45690</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45690</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45690</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45690</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45690</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45690</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45690</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45690</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45690</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45690</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45690</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45690</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45690</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45690</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45690</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45690</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45690</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45690</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45690</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45690</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45690</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45690</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45690</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45690</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45690</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45690</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45690</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45690</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45690</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45690</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45690</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45690</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45690</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45690</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45690</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45690</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45690</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45690</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45690</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45690</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45690</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45690</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45690</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45690</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45690</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45690</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45690</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45690</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45690</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45690</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45690</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45690</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45690</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45690</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45690</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45690</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45690</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45690</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45690</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59634-2024</t>
        </is>
      </c>
      <c r="B1135" s="1" t="n">
        <v>45639</v>
      </c>
      <c r="C1135" s="1" t="n">
        <v>45690</v>
      </c>
      <c r="D1135" t="inlineStr">
        <is>
          <t>DALARNAS LÄN</t>
        </is>
      </c>
      <c r="E1135" t="inlineStr">
        <is>
          <t>LUDVIKA</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59448-2024</t>
        </is>
      </c>
      <c r="B1136" s="1" t="n">
        <v>45638</v>
      </c>
      <c r="C1136" s="1" t="n">
        <v>45690</v>
      </c>
      <c r="D1136" t="inlineStr">
        <is>
          <t>DALARNAS LÄN</t>
        </is>
      </c>
      <c r="E1136" t="inlineStr">
        <is>
          <t>LUDVIKA</t>
        </is>
      </c>
      <c r="F1136" t="inlineStr">
        <is>
          <t>Bergvik skog väst AB</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45690</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59398-2024</t>
        </is>
      </c>
      <c r="B1138" s="1" t="n">
        <v>45638</v>
      </c>
      <c r="C1138" s="1" t="n">
        <v>45690</v>
      </c>
      <c r="D1138" t="inlineStr">
        <is>
          <t>DALARNAS LÄN</t>
        </is>
      </c>
      <c r="E1138" t="inlineStr">
        <is>
          <t>LUDVIKA</t>
        </is>
      </c>
      <c r="F1138" t="inlineStr">
        <is>
          <t>Naturvårdsverket</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59356-2024</t>
        </is>
      </c>
      <c r="B1139" s="1" t="n">
        <v>45638</v>
      </c>
      <c r="C1139" s="1" t="n">
        <v>45690</v>
      </c>
      <c r="D1139" t="inlineStr">
        <is>
          <t>DALARNAS LÄN</t>
        </is>
      </c>
      <c r="E1139" t="inlineStr">
        <is>
          <t>LUDVIKA</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45690</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45690</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60787-2024</t>
        </is>
      </c>
      <c r="B1142" s="1" t="n">
        <v>45644</v>
      </c>
      <c r="C1142" s="1" t="n">
        <v>45690</v>
      </c>
      <c r="D1142" t="inlineStr">
        <is>
          <t>DALARNAS LÄN</t>
        </is>
      </c>
      <c r="E1142" t="inlineStr">
        <is>
          <t>LUDVIKA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60668-2024</t>
        </is>
      </c>
      <c r="B1143" s="1" t="n">
        <v>45644</v>
      </c>
      <c r="C1143" s="1" t="n">
        <v>45690</v>
      </c>
      <c r="D1143" t="inlineStr">
        <is>
          <t>DALARNAS LÄN</t>
        </is>
      </c>
      <c r="E1143" t="inlineStr">
        <is>
          <t>LUDVIKA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60660-2024</t>
        </is>
      </c>
      <c r="B1144" s="1" t="n">
        <v>45644</v>
      </c>
      <c r="C1144" s="1" t="n">
        <v>45690</v>
      </c>
      <c r="D1144" t="inlineStr">
        <is>
          <t>DALARNAS LÄN</t>
        </is>
      </c>
      <c r="E1144" t="inlineStr">
        <is>
          <t>LUDVIKA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60788-2024</t>
        </is>
      </c>
      <c r="B1145" s="1" t="n">
        <v>45644</v>
      </c>
      <c r="C1145" s="1" t="n">
        <v>45690</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45690</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45690</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45690</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61384-2024</t>
        </is>
      </c>
      <c r="B1149" s="1" t="n">
        <v>45646</v>
      </c>
      <c r="C1149" s="1" t="n">
        <v>45690</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3170-2025</t>
        </is>
      </c>
      <c r="B1150" s="1" t="n">
        <v>45679</v>
      </c>
      <c r="C1150" s="1" t="n">
        <v>45690</v>
      </c>
      <c r="D1150" t="inlineStr">
        <is>
          <t>DALARNAS LÄN</t>
        </is>
      </c>
      <c r="E1150" t="inlineStr">
        <is>
          <t>LUDVIKA</t>
        </is>
      </c>
      <c r="G1150" t="n">
        <v>5.4</v>
      </c>
      <c r="H1150" t="n">
        <v>0</v>
      </c>
      <c r="I1150" t="n">
        <v>0</v>
      </c>
      <c r="J1150" t="n">
        <v>0</v>
      </c>
      <c r="K1150" t="n">
        <v>0</v>
      </c>
      <c r="L1150" t="n">
        <v>0</v>
      </c>
      <c r="M1150" t="n">
        <v>0</v>
      </c>
      <c r="N1150" t="n">
        <v>0</v>
      </c>
      <c r="O1150" t="n">
        <v>0</v>
      </c>
      <c r="P1150" t="n">
        <v>0</v>
      </c>
      <c r="Q1150" t="n">
        <v>0</v>
      </c>
      <c r="R1150" s="2" t="inlineStr"/>
    </row>
    <row r="1151" ht="15" customHeight="1">
      <c r="A1151" t="inlineStr">
        <is>
          <t>A 3380-2025</t>
        </is>
      </c>
      <c r="B1151" s="1" t="n">
        <v>45680</v>
      </c>
      <c r="C1151" s="1" t="n">
        <v>45690</v>
      </c>
      <c r="D1151" t="inlineStr">
        <is>
          <t>DALARNAS LÄN</t>
        </is>
      </c>
      <c r="E1151" t="inlineStr">
        <is>
          <t>LUDVIKA</t>
        </is>
      </c>
      <c r="G1151" t="n">
        <v>11.9</v>
      </c>
      <c r="H1151" t="n">
        <v>0</v>
      </c>
      <c r="I1151" t="n">
        <v>0</v>
      </c>
      <c r="J1151" t="n">
        <v>0</v>
      </c>
      <c r="K1151" t="n">
        <v>0</v>
      </c>
      <c r="L1151" t="n">
        <v>0</v>
      </c>
      <c r="M1151" t="n">
        <v>0</v>
      </c>
      <c r="N1151" t="n">
        <v>0</v>
      </c>
      <c r="O1151" t="n">
        <v>0</v>
      </c>
      <c r="P1151" t="n">
        <v>0</v>
      </c>
      <c r="Q1151" t="n">
        <v>0</v>
      </c>
      <c r="R1151" s="2" t="inlineStr"/>
    </row>
    <row r="1152" ht="15" customHeight="1">
      <c r="A1152" t="inlineStr">
        <is>
          <t>A 3470-2025</t>
        </is>
      </c>
      <c r="B1152" s="1" t="n">
        <v>45680</v>
      </c>
      <c r="C1152" s="1" t="n">
        <v>45690</v>
      </c>
      <c r="D1152" t="inlineStr">
        <is>
          <t>DALARNAS LÄN</t>
        </is>
      </c>
      <c r="E1152" t="inlineStr">
        <is>
          <t>LUDVIKA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3391-2025</t>
        </is>
      </c>
      <c r="B1153" s="1" t="n">
        <v>45680</v>
      </c>
      <c r="C1153" s="1" t="n">
        <v>45690</v>
      </c>
      <c r="D1153" t="inlineStr">
        <is>
          <t>DALARNAS LÄN</t>
        </is>
      </c>
      <c r="E1153" t="inlineStr">
        <is>
          <t>LUDVIKA</t>
        </is>
      </c>
      <c r="G1153" t="n">
        <v>3.3</v>
      </c>
      <c r="H1153" t="n">
        <v>0</v>
      </c>
      <c r="I1153" t="n">
        <v>0</v>
      </c>
      <c r="J1153" t="n">
        <v>0</v>
      </c>
      <c r="K1153" t="n">
        <v>0</v>
      </c>
      <c r="L1153" t="n">
        <v>0</v>
      </c>
      <c r="M1153" t="n">
        <v>0</v>
      </c>
      <c r="N1153" t="n">
        <v>0</v>
      </c>
      <c r="O1153" t="n">
        <v>0</v>
      </c>
      <c r="P1153" t="n">
        <v>0</v>
      </c>
      <c r="Q1153" t="n">
        <v>0</v>
      </c>
      <c r="R1153" s="2" t="inlineStr"/>
    </row>
    <row r="1154" ht="15" customHeight="1">
      <c r="A1154" t="inlineStr">
        <is>
          <t>A 3468-2025</t>
        </is>
      </c>
      <c r="B1154" s="1" t="n">
        <v>45680</v>
      </c>
      <c r="C1154" s="1" t="n">
        <v>45690</v>
      </c>
      <c r="D1154" t="inlineStr">
        <is>
          <t>DALARNAS LÄN</t>
        </is>
      </c>
      <c r="E1154" t="inlineStr">
        <is>
          <t>LUDVIKA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4170-2025</t>
        </is>
      </c>
      <c r="B1155" s="1" t="n">
        <v>45685</v>
      </c>
      <c r="C1155" s="1" t="n">
        <v>45690</v>
      </c>
      <c r="D1155" t="inlineStr">
        <is>
          <t>DALARNAS LÄN</t>
        </is>
      </c>
      <c r="E1155" t="inlineStr">
        <is>
          <t>LUDVIKA</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4173-2025</t>
        </is>
      </c>
      <c r="B1156" s="1" t="n">
        <v>45685</v>
      </c>
      <c r="C1156" s="1" t="n">
        <v>45690</v>
      </c>
      <c r="D1156" t="inlineStr">
        <is>
          <t>DALARNAS LÄN</t>
        </is>
      </c>
      <c r="E1156" t="inlineStr">
        <is>
          <t>LUDVIKA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4544-2025</t>
        </is>
      </c>
      <c r="B1157" s="1" t="n">
        <v>45687</v>
      </c>
      <c r="C1157" s="1" t="n">
        <v>45690</v>
      </c>
      <c r="D1157" t="inlineStr">
        <is>
          <t>DALARNAS LÄN</t>
        </is>
      </c>
      <c r="E1157" t="inlineStr">
        <is>
          <t>LUDVIKA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4550-2025</t>
        </is>
      </c>
      <c r="B1158" s="1" t="n">
        <v>45687</v>
      </c>
      <c r="C1158" s="1" t="n">
        <v>45690</v>
      </c>
      <c r="D1158" t="inlineStr">
        <is>
          <t>DALARNAS LÄN</t>
        </is>
      </c>
      <c r="E1158" t="inlineStr">
        <is>
          <t>LUDVIKA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4782-2025</t>
        </is>
      </c>
      <c r="B1159" s="1" t="n">
        <v>45688</v>
      </c>
      <c r="C1159" s="1" t="n">
        <v>45690</v>
      </c>
      <c r="D1159" t="inlineStr">
        <is>
          <t>DALARNAS LÄN</t>
        </is>
      </c>
      <c r="E1159" t="inlineStr">
        <is>
          <t>LUDVIKA</t>
        </is>
      </c>
      <c r="G1159" t="n">
        <v>9.300000000000001</v>
      </c>
      <c r="H1159" t="n">
        <v>0</v>
      </c>
      <c r="I1159" t="n">
        <v>0</v>
      </c>
      <c r="J1159" t="n">
        <v>0</v>
      </c>
      <c r="K1159" t="n">
        <v>0</v>
      </c>
      <c r="L1159" t="n">
        <v>0</v>
      </c>
      <c r="M1159" t="n">
        <v>0</v>
      </c>
      <c r="N1159" t="n">
        <v>0</v>
      </c>
      <c r="O1159" t="n">
        <v>0</v>
      </c>
      <c r="P1159" t="n">
        <v>0</v>
      </c>
      <c r="Q1159" t="n">
        <v>0</v>
      </c>
      <c r="R1159" s="2" t="inlineStr"/>
    </row>
    <row r="1160">
      <c r="A1160" t="inlineStr">
        <is>
          <t>A 4772-2025</t>
        </is>
      </c>
      <c r="B1160" s="1" t="n">
        <v>45688</v>
      </c>
      <c r="C1160" s="1" t="n">
        <v>45690</v>
      </c>
      <c r="D1160" t="inlineStr">
        <is>
          <t>DALARNAS LÄN</t>
        </is>
      </c>
      <c r="E1160" t="inlineStr">
        <is>
          <t>LUDVIKA</t>
        </is>
      </c>
      <c r="G1160" t="n">
        <v>15.9</v>
      </c>
      <c r="H1160" t="n">
        <v>0</v>
      </c>
      <c r="I1160" t="n">
        <v>0</v>
      </c>
      <c r="J1160" t="n">
        <v>0</v>
      </c>
      <c r="K1160" t="n">
        <v>0</v>
      </c>
      <c r="L1160" t="n">
        <v>0</v>
      </c>
      <c r="M1160" t="n">
        <v>0</v>
      </c>
      <c r="N1160" t="n">
        <v>0</v>
      </c>
      <c r="O1160" t="n">
        <v>0</v>
      </c>
      <c r="P1160" t="n">
        <v>0</v>
      </c>
      <c r="Q1160" t="n">
        <v>0</v>
      </c>
      <c r="R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2025-02-02T16:34:19Z</dcterms:created>
  <dcterms:modified xmlns:dcterms="http://purl.org/dc/terms/" xmlns:xsi="http://www.w3.org/2001/XMLSchema-instance" xsi:type="dcterms:W3CDTF">2025-02-02T16:34:20Z</dcterms:modified>
</cp:coreProperties>
</file>